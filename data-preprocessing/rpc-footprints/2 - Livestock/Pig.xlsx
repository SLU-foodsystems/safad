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linro\Downloads\"/>
    </mc:Choice>
  </mc:AlternateContent>
  <xr:revisionPtr revIDLastSave="0" documentId="13_ncr:1_{ABEAA43C-8676-4FB6-9544-CA7606868B97}" xr6:coauthVersionLast="47" xr6:coauthVersionMax="47" xr10:uidLastSave="{00000000-0000-0000-0000-000000000000}"/>
  <bookViews>
    <workbookView xWindow="-110" yWindow="-110" windowWidth="19420" windowHeight="11500" tabRatio="1000" firstSheet="6" activeTab="9" xr2:uid="{00000000-000D-0000-FFFF-FFFF00000000}"/>
  </bookViews>
  <sheets>
    <sheet name="INFO" sheetId="1" r:id="rId1"/>
    <sheet name="Figures" sheetId="2" r:id="rId2"/>
    <sheet name="Footprints, per kg meat" sheetId="3" r:id="rId3"/>
    <sheet name="GHG det, per kg meat" sheetId="4" r:id="rId4"/>
    <sheet name="Footprints, per kg offal" sheetId="5" r:id="rId5"/>
    <sheet name="GHG det, per kg offal" sheetId="6" r:id="rId6"/>
    <sheet name="Footprints, per kg lard" sheetId="7" r:id="rId7"/>
    <sheet name="GHG det, per kg lard" sheetId="8" r:id="rId8"/>
    <sheet name="GHG detailed, absolute" sheetId="9" r:id="rId9"/>
    <sheet name="Footprints, absolute" sheetId="10" r:id="rId10"/>
    <sheet name="Production" sheetId="11" r:id="rId11"/>
    <sheet name="Parameters, country spec" sheetId="12" r:id="rId12"/>
    <sheet name="Mortality &amp; FCR" sheetId="13" r:id="rId13"/>
    <sheet name="Manure" sheetId="14" r:id="rId14"/>
    <sheet name="CO2 per kg feed" sheetId="15" r:id="rId15"/>
    <sheet name="CH4 per kg feed" sheetId="16" r:id="rId16"/>
    <sheet name="N2O per kg feed" sheetId="17" r:id="rId17"/>
    <sheet name="EFP per kg feed" sheetId="18" r:id="rId18"/>
    <sheet name="Off-farm feed" sheetId="19" r:id="rId19"/>
    <sheet name="Parameters, general" sheetId="20" r:id="rId20"/>
    <sheet name="References" sheetId="21" r:id="rId21"/>
    <sheet name="Verification" sheetId="22" r:id="rId22"/>
  </sheets>
  <definedNames>
    <definedName name="_xlnm._FilterDatabase" localSheetId="1" hidden="1">Figures!$A$6:$M$6</definedName>
    <definedName name="Ability_to_perceive_handling">'Parameters, general'!$B$16</definedName>
    <definedName name="AF_lard">'Parameters, general'!$B$34</definedName>
    <definedName name="AF_meat">'Parameters, general'!$B$32</definedName>
    <definedName name="AF_offal">'Parameters, general'!$B$33</definedName>
    <definedName name="Boars_per_sow">'Parameters, country spec'!$L$19</definedName>
    <definedName name="Bonefree_outof_CW_DE">'Parameters, country spec'!$D$8</definedName>
    <definedName name="Bonefree_outof_CW_DK">'Parameters, country spec'!$B$8</definedName>
    <definedName name="Bonefree_outof_CW_ES">'Parameters, country spec'!$K$8</definedName>
    <definedName name="Bonefree_outof_CW_FR">'Parameters, country spec'!$C$8</definedName>
    <definedName name="Bonefree_outof_CW_GR">'Parameters, country spec'!$E$8</definedName>
    <definedName name="Bonefree_outof_CW_HU">'Parameters, country spec'!$F$8</definedName>
    <definedName name="Bonefree_outof_CW_IE">'Parameters, country spec'!$G$8</definedName>
    <definedName name="Bonefree_outof_CW_IT">'Parameters, country spec'!$H$8</definedName>
    <definedName name="Bonefree_outof_CW_NL">'Parameters, country spec'!$I$8</definedName>
    <definedName name="Bonefree_outof_CW_PL">'Parameters, country spec'!$J$8</definedName>
    <definedName name="Bonefree_outof_CW_SE">'Parameters, country spec'!$L$8</definedName>
    <definedName name="CF_GWP_CH4_fossil">'Parameters, general'!$B$11</definedName>
    <definedName name="CF_GWP_N2O">'Parameters, general'!$B$12</definedName>
    <definedName name="Crop_data">#REF!</definedName>
    <definedName name="Crop_data_codes">#REF!</definedName>
    <definedName name="EF_biofuel_CH4">'Parameters, general'!$C$7</definedName>
    <definedName name="EF_biofuel_N2O">'Parameters, general'!$D$7</definedName>
    <definedName name="EF_biofuels_CO2">'Parameters, general'!$B$7</definedName>
    <definedName name="EF_el_CH4_BR">'Parameters, general'!$B$28</definedName>
    <definedName name="EF_el_CH4_DE">'Parameters, country spec'!$D$94</definedName>
    <definedName name="EF_el_CH4_DK">'Parameters, country spec'!$B$94</definedName>
    <definedName name="EF_el_CH4_ES">'Parameters, country spec'!$K$94</definedName>
    <definedName name="EF_el_CH4_FR">'Parameters, country spec'!$C$94</definedName>
    <definedName name="EF_el_CH4_GR">'Parameters, country spec'!$E$94</definedName>
    <definedName name="EF_el_CH4_HU">'Parameters, country spec'!$F$94</definedName>
    <definedName name="EF_el_CH4_IE">'Parameters, country spec'!$G$94</definedName>
    <definedName name="EF_el_CH4_IT">'Parameters, country spec'!$H$94</definedName>
    <definedName name="EF_el_CH4_NL">'Parameters, country spec'!$I$94</definedName>
    <definedName name="EF_el_CH4_PL">'Parameters, country spec'!$J$94</definedName>
    <definedName name="EF_el_CH4_SE">'Parameters, country spec'!$L$94</definedName>
    <definedName name="EF_el_CO2_BR">'Parameters, general'!$B$27</definedName>
    <definedName name="EF_el_CO2_DE">'Parameters, country spec'!$D$93</definedName>
    <definedName name="EF_el_CO2_DK">'Parameters, country spec'!$B$93</definedName>
    <definedName name="EF_el_CO2_ES">'Parameters, country spec'!$K$93</definedName>
    <definedName name="EF_el_CO2_FR">'Parameters, country spec'!$C$93</definedName>
    <definedName name="EF_el_CO2_GR">'Parameters, country spec'!$E$93</definedName>
    <definedName name="EF_el_CO2_HU">'Parameters, country spec'!$F$93</definedName>
    <definedName name="EF_el_CO2_IE">'Parameters, country spec'!$G$93</definedName>
    <definedName name="EF_el_CO2_IT">'Parameters, country spec'!$H$93</definedName>
    <definedName name="EF_el_CO2_NL">'Parameters, country spec'!$I$93</definedName>
    <definedName name="EF_el_CO2_PL">'Parameters, country spec'!$J$93</definedName>
    <definedName name="EF_el_CO2_SE">'Parameters, country spec'!$L$93</definedName>
    <definedName name="EF_el_N2O_BR">'Parameters, general'!$B$29</definedName>
    <definedName name="EF_el_N2O_DE">'Parameters, country spec'!$D$95</definedName>
    <definedName name="EF_el_N2O_DK">'Parameters, country spec'!$B$95</definedName>
    <definedName name="EF_el_N2O_ES">'Parameters, country spec'!$K$95</definedName>
    <definedName name="EF_el_N2O_FR">'Parameters, country spec'!$C$95</definedName>
    <definedName name="EF_el_N2O_GR">'Parameters, country spec'!$E$95</definedName>
    <definedName name="EF_el_N2O_HU">'Parameters, country spec'!$F$95</definedName>
    <definedName name="EF_el_N2O_IE">'Parameters, country spec'!$G$95</definedName>
    <definedName name="EF_el_N2O_IT">'Parameters, country spec'!$H$95</definedName>
    <definedName name="EF_el_N2O_NL">'Parameters, country spec'!$I$95</definedName>
    <definedName name="EF_el_N2O_PL">'Parameters, country spec'!$J$95</definedName>
    <definedName name="EF_el_N2O_SE">'Parameters, country spec'!$L$95</definedName>
    <definedName name="EF_electricity">'Parameters, country spec'!$L$92</definedName>
    <definedName name="EF_ent_ferm_DE">'Parameters, country spec'!$D$78</definedName>
    <definedName name="EF_ent_ferm_DK">'Parameters, country spec'!$B$78</definedName>
    <definedName name="EF_ent_ferm_ES">'Parameters, country spec'!$K$78</definedName>
    <definedName name="EF_ent_ferm_FR">'Parameters, country spec'!$C$78</definedName>
    <definedName name="EF_ent_ferm_GR">'Parameters, country spec'!$E$78</definedName>
    <definedName name="EF_ent_ferm_HU">'Parameters, country spec'!$F$78</definedName>
    <definedName name="EF_ent_ferm_IE">'Parameters, country spec'!$G$78</definedName>
    <definedName name="EF_ent_ferm_IT">'Parameters, country spec'!$H$78</definedName>
    <definedName name="EF_ent_ferm_NL">'Parameters, country spec'!$I$78</definedName>
    <definedName name="EF_ent_ferm_PL">'Parameters, country spec'!$J$78</definedName>
    <definedName name="EF_ent_ferm_SE">'Parameters, country spec'!$L$78</definedName>
    <definedName name="EF_gas_CH4">'Parameters, general'!$C$6</definedName>
    <definedName name="EF_gas_CO2">'Parameters, general'!$B$6</definedName>
    <definedName name="EF_gas_N2O">'Parameters, general'!$D$6</definedName>
    <definedName name="EF_GWP_CH4_biog">'Parameters, general'!$B$13</definedName>
    <definedName name="EF_indirect_N2O_DE">'Parameters, country spec'!$D$106</definedName>
    <definedName name="EF_indirect_N2O_DK">'Parameters, country spec'!$B$106</definedName>
    <definedName name="EF_indirect_N2O_ES">'Parameters, country spec'!$K$106</definedName>
    <definedName name="EF_indirect_N2O_FR">'Parameters, country spec'!$C$106</definedName>
    <definedName name="EF_indirect_N2O_GR">'Parameters, country spec'!$E$106</definedName>
    <definedName name="EF_indirect_N2O_HU">'Parameters, country spec'!$F$106</definedName>
    <definedName name="EF_indirect_N2O_IE">'Parameters, country spec'!$G$106</definedName>
    <definedName name="EF_indirect_N2O_IT">'Parameters, country spec'!$H$106</definedName>
    <definedName name="EF_indirect_N2O_NL">'Parameters, country spec'!$I$106</definedName>
    <definedName name="EF_indirect_N2O_PL">'Parameters, country spec'!$J$106</definedName>
    <definedName name="EF_indirect_N2O_SE">'Parameters, country spec'!$L$106</definedName>
    <definedName name="EF_min_fert_AN_CH4">'Parameters, general'!#REF!</definedName>
    <definedName name="EF_min_fert_AN_CO2">'Parameters, general'!#REF!</definedName>
    <definedName name="EF_min_fert_AN_N2O">'Parameters, general'!#REF!</definedName>
    <definedName name="EF_min_fert_BAT_CH4">'Parameters, general'!#REF!</definedName>
    <definedName name="EF_min_fert_BAT_CO2">'Parameters, general'!#REF!</definedName>
    <definedName name="EF_min_fert_BAT_N2O">'Parameters, general'!#REF!</definedName>
    <definedName name="EF_min_fert_CH4_">'Parameters, country spec'!$C$100</definedName>
    <definedName name="EF_min_fert_CH4_DE">'Parameters, country spec'!$D$99</definedName>
    <definedName name="EF_min_fert_CH4_DK">'Parameters, country spec'!$B$99</definedName>
    <definedName name="EF_min_fert_CH4_ES">'Parameters, country spec'!$K$99</definedName>
    <definedName name="EF_min_fert_CH4_FR">'Parameters, country spec'!$C$99</definedName>
    <definedName name="EF_min_fert_CH4_GR">'Parameters, country spec'!$E$99</definedName>
    <definedName name="EF_min_fert_CH4_HU">'Parameters, country spec'!$F$99</definedName>
    <definedName name="EF_min_fert_CH4_IE">'Parameters, country spec'!$G$99</definedName>
    <definedName name="EF_min_fert_CH4_IT">'Parameters, country spec'!$H$99</definedName>
    <definedName name="EF_min_fert_CH4_NL">'Parameters, country spec'!$I$99</definedName>
    <definedName name="EF_min_fert_CH4_PL">'Parameters, country spec'!$J$99</definedName>
    <definedName name="EF_min_fert_CH4_SE">'Parameters, country spec'!$L$99</definedName>
    <definedName name="EF_min_fert_CO2_DE">'Parameters, country spec'!$D$98</definedName>
    <definedName name="EF_min_fert_CO2_DK">'Parameters, country spec'!$B$98</definedName>
    <definedName name="EF_min_fert_CO2_ES">'Parameters, country spec'!$K$98</definedName>
    <definedName name="EF_min_fert_CO2_FR">'Parameters, country spec'!$C$98</definedName>
    <definedName name="EF_min_fert_CO2_GR">'Parameters, country spec'!$E$98</definedName>
    <definedName name="EF_min_fert_CO2_HU">'Parameters, country spec'!$F$98</definedName>
    <definedName name="EF_min_fert_CO2_IE">'Parameters, country spec'!$G$98</definedName>
    <definedName name="EF_min_fert_CO2_IT">'Parameters, country spec'!$H$98</definedName>
    <definedName name="EF_min_fert_CO2_NL">'Parameters, country spec'!$I$98</definedName>
    <definedName name="EF_min_fert_CO2_PL">'Parameters, country spec'!$J$98</definedName>
    <definedName name="EF_min_fert_CO2_SE">'Parameters, country spec'!$L$98</definedName>
    <definedName name="EF_min_fert_N2O_DE">'Parameters, country spec'!$D$100</definedName>
    <definedName name="EF_min_fert_N2O_DK">'Parameters, country spec'!$B$100</definedName>
    <definedName name="EF_min_fert_N2O_ES">'Parameters, country spec'!$K$100</definedName>
    <definedName name="EF_min_fert_N2O_FR">'Parameters, country spec'!$B$100</definedName>
    <definedName name="EF_min_fert_N2O_GR">'Parameters, country spec'!$E$100</definedName>
    <definedName name="EF_min_fert_N2O_HU">'Parameters, country spec'!$F$100</definedName>
    <definedName name="EF_min_fert_N2O_IE">'Parameters, country spec'!$G$100</definedName>
    <definedName name="EF_min_fert_N2O_IT">'Parameters, country spec'!$H$100</definedName>
    <definedName name="EF_min_fert_N2O_NL">'Parameters, country spec'!$I$100</definedName>
    <definedName name="EF_min_fert_N2O_PL">'Parameters, country spec'!$J$100</definedName>
    <definedName name="EF_min_fert_N2O_SE">'Parameters, country spec'!$L$100</definedName>
    <definedName name="EF_N2O_diff_DE">'Parameters, country spec'!$D$105</definedName>
    <definedName name="EF_N2O_diff_DK">'Parameters, country spec'!$B$105</definedName>
    <definedName name="EF_N2O_diff_ES">'Parameters, country spec'!$K$105</definedName>
    <definedName name="EF_N2O_diff_FR">'Parameters, country spec'!$C$105</definedName>
    <definedName name="EF_N2O_diff_GR">'Parameters, country spec'!$E$105</definedName>
    <definedName name="EF_N2O_diff_HU">'Parameters, country spec'!$F$105</definedName>
    <definedName name="EF_N2O_diff_IE">'Parameters, country spec'!$G$105</definedName>
    <definedName name="EF_N2O_diff_IT">'Parameters, country spec'!$H$105</definedName>
    <definedName name="EF_N2O_diff_NL">'Parameters, country spec'!$I$105</definedName>
    <definedName name="EF_N2O_diff_PL">'Parameters, country spec'!$J$105</definedName>
    <definedName name="EF_N2O_diff_SE">'Parameters, country spec'!$L$105</definedName>
    <definedName name="EF_oil_CH4">'Parameters, general'!$C$5</definedName>
    <definedName name="EF_oil_CO2">'Parameters, general'!$B$5</definedName>
    <definedName name="EF_oil_N2O">'Parameters, general'!$D$5</definedName>
    <definedName name="Energy_slaughter_el_DE">'Parameters, country spec'!$D$88</definedName>
    <definedName name="Energy_slaughter_el_DK">'Parameters, country spec'!$B$88</definedName>
    <definedName name="Energy_slaughter_el_ES">'Parameters, country spec'!$K$88</definedName>
    <definedName name="Energy_slaughter_el_FR">'Parameters, country spec'!$C$88</definedName>
    <definedName name="Energy_slaughter_el_GR">'Parameters, country spec'!$E$88</definedName>
    <definedName name="Energy_slaughter_el_HU">'Parameters, country spec'!$F$88</definedName>
    <definedName name="Energy_slaughter_el_IE">'Parameters, country spec'!$G$88</definedName>
    <definedName name="Energy_slaughter_el_IT">'Parameters, country spec'!$H$88</definedName>
    <definedName name="Energy_slaughter_el_NL">'Parameters, country spec'!$I$88</definedName>
    <definedName name="Energy_slaughter_el_PL">'Parameters, country spec'!$J$88</definedName>
    <definedName name="Energy_slaughter_el_SE">'Parameters, country spec'!$L$88</definedName>
    <definedName name="Energy_slaughter_heat_DE">'Parameters, country spec'!$D$89</definedName>
    <definedName name="Energy_slaughter_heat_DK">'Parameters, country spec'!$B$89</definedName>
    <definedName name="Energy_slaughter_heat_ES">'Parameters, country spec'!$K$89</definedName>
    <definedName name="Energy_slaughter_heat_FR">'Parameters, country spec'!$C$89</definedName>
    <definedName name="Energy_slaughter_heat_GR">'Parameters, country spec'!$E$89</definedName>
    <definedName name="Energy_slaughter_heat_HU">'Parameters, country spec'!$F$89</definedName>
    <definedName name="Energy_slaughter_heat_IE">'Parameters, country spec'!$G$89</definedName>
    <definedName name="Energy_slaughter_heat_IT">'Parameters, country spec'!$H$89</definedName>
    <definedName name="Energy_slaughter_heat_NL">'Parameters, country spec'!$I$89</definedName>
    <definedName name="Energy_slaughter_heat_PL">'Parameters, country spec'!$J$89</definedName>
    <definedName name="Energy_slaughter_heat_SE">'Parameters, country spec'!$L$89</definedName>
    <definedName name="Energy_stables_DE">'Parameters, country spec'!$D$83</definedName>
    <definedName name="Energy_stables_DK">'Parameters, country spec'!$B$83</definedName>
    <definedName name="Energy_stables_ES">'Parameters, country spec'!$K$83</definedName>
    <definedName name="Energy_stables_FR">'Parameters, country spec'!$C$83</definedName>
    <definedName name="Energy_stables_GR">'Parameters, country spec'!$E$83</definedName>
    <definedName name="Energy_stables_HU">'Parameters, country spec'!$F$83</definedName>
    <definedName name="Energy_stables_IE">'Parameters, country spec'!$G$83</definedName>
    <definedName name="Energy_stables_IT">'Parameters, country spec'!$H$83</definedName>
    <definedName name="Energy_stables_NL">'Parameters, country spec'!$I$83</definedName>
    <definedName name="Energy_stables_PL">'Parameters, country spec'!$J$83</definedName>
    <definedName name="Energy_stables_SE">'Parameters, country spec'!$L$83</definedName>
    <definedName name="Excreted_N_after_losses_DE">Manure!$J$139</definedName>
    <definedName name="Excreted_N_after_losses_DK">Manure!$B$139</definedName>
    <definedName name="Excreted_N_after_losses_ES">Manure!$AL$139</definedName>
    <definedName name="Excreted_N_after_losses_FR">Manure!$F$139</definedName>
    <definedName name="Excreted_N_after_losses_GR">Manure!$N$139</definedName>
    <definedName name="Excreted_N_after_losses_HU">Manure!$R$139</definedName>
    <definedName name="Excreted_N_after_losses_IE">Manure!$V$139</definedName>
    <definedName name="Excreted_N_after_losses_IT">Manure!$Z$139</definedName>
    <definedName name="Excreted_N_after_losses_NL">Manure!$AD$139</definedName>
    <definedName name="Excreted_N_after_losses_PL">Manure!$AH$139</definedName>
    <definedName name="Excreted_N_after_losses_SE">Manure!$AP$139</definedName>
    <definedName name="FCR_bonefree_incl_parents_DE">'Parameters, country spec'!$D$74</definedName>
    <definedName name="FCR_bonefree_incl_parents_DK">'Parameters, country spec'!$B$74</definedName>
    <definedName name="FCR_bonefree_incl_parents_ES">'Parameters, country spec'!$K$74</definedName>
    <definedName name="FCR_bonefree_incl_parents_FR">'Parameters, country spec'!$C$74</definedName>
    <definedName name="FCR_bonefree_incl_parents_GR">'Parameters, country spec'!$E$74</definedName>
    <definedName name="FCR_bonefree_incl_parents_HU">'Parameters, country spec'!$F$74</definedName>
    <definedName name="FCR_bonefree_incl_parents_IE">'Parameters, country spec'!$G$74</definedName>
    <definedName name="FCR_bonefree_incl_parents_IT">'Parameters, country spec'!$H$74</definedName>
    <definedName name="FCR_bonefree_incl_parents_NL">'Parameters, country spec'!$I$74</definedName>
    <definedName name="FCR_bonefree_incl_parents_PL">'Parameters, country spec'!$J$74</definedName>
    <definedName name="FCR_bonefree_incl_parents_SE">'Parameters, country spec'!$L$74</definedName>
    <definedName name="Frac_AN">#REF!</definedName>
    <definedName name="Frac_AN_DE">'Parameters, country spec'!#REF!</definedName>
    <definedName name="Frac_AN_DK">'Parameters, country spec'!#REF!</definedName>
    <definedName name="Frac_AN_ES">'Parameters, country spec'!#REF!</definedName>
    <definedName name="Frac_AN_FR">'Parameters, country spec'!#REF!</definedName>
    <definedName name="Frac_AN_GR">'Parameters, country spec'!#REF!</definedName>
    <definedName name="Frac_AN_HU">'Parameters, country spec'!#REF!</definedName>
    <definedName name="Frac_AN_IE">'Parameters, country spec'!#REF!</definedName>
    <definedName name="Frac_AN_IT">'Parameters, country spec'!#REF!</definedName>
    <definedName name="Frac_AN_NL">'Parameters, country spec'!#REF!</definedName>
    <definedName name="Frac_AN_PL">'Parameters, country spec'!#REF!</definedName>
    <definedName name="Frac_AN_SE">'Parameters, country spec'!#REF!</definedName>
    <definedName name="Frac_BAT">#REF!</definedName>
    <definedName name="Frac_BAT_DE">'Parameters, country spec'!#REF!</definedName>
    <definedName name="Frac_BAT_DK">'Parameters, country spec'!#REF!</definedName>
    <definedName name="Frac_BAT_ES">'Parameters, country spec'!#REF!</definedName>
    <definedName name="Frac_BAT_FR">'Parameters, country spec'!#REF!</definedName>
    <definedName name="Frac_BAT_GR">'Parameters, country spec'!#REF!</definedName>
    <definedName name="Frac_BAT_HU">'Parameters, country spec'!#REF!</definedName>
    <definedName name="Frac_BAT_IE">'Parameters, country spec'!#REF!</definedName>
    <definedName name="Frac_BAT_IT">'Parameters, country spec'!#REF!</definedName>
    <definedName name="Frac_BAT_NL">'Parameters, country spec'!#REF!</definedName>
    <definedName name="Frac_BAT_PL">'Parameters, country spec'!#REF!</definedName>
    <definedName name="Frac_BAT_SE">'Parameters, country spec'!#REF!</definedName>
    <definedName name="GRAT">'Parameters, country spec'!$E$95</definedName>
    <definedName name="Manure_repl_factor_DE">'Parameters, country spec'!$D$109</definedName>
    <definedName name="Manure_repl_factor_DK">'Parameters, country spec'!$B$109</definedName>
    <definedName name="Manure_repl_factor_ES">'Parameters, country spec'!$K$109</definedName>
    <definedName name="Manure_repl_factor_FR">'Parameters, country spec'!$C$109</definedName>
    <definedName name="Manure_repl_factor_GR">'Parameters, country spec'!$E$109</definedName>
    <definedName name="Manure_repl_factor_HU">'Parameters, country spec'!$F$109</definedName>
    <definedName name="Manure_repl_factor_IE">'Parameters, country spec'!$G$109</definedName>
    <definedName name="Manure_repl_factor_IT">'Parameters, country spec'!$H$109</definedName>
    <definedName name="Manure_repl_factor_NL">'Parameters, country spec'!$I$109</definedName>
    <definedName name="Manure_repl_factor_PL">'Parameters, country spec'!$J$109</definedName>
    <definedName name="Manure_repl_factor_SE">'Parameters, country spec'!$L$109</definedName>
    <definedName name="NH3_per_kg_DE">Manure!$M$142</definedName>
    <definedName name="NH3_per_kg_DK">Manure!$E$142</definedName>
    <definedName name="NH3_per_kg_ES">Manure!$AO$142</definedName>
    <definedName name="NH3_per_kg_FR">Manure!$I$142</definedName>
    <definedName name="NH3_per_kg_GR">Manure!$Q$142</definedName>
    <definedName name="NH3_per_kg_HU">Manure!$U$142</definedName>
    <definedName name="NH3_per_kg_IE">Manure!$Y$142</definedName>
    <definedName name="NH3_per_kg_IT">Manure!$AC$142</definedName>
    <definedName name="NH3_per_kg_NL">Manure!$AG$142</definedName>
    <definedName name="NH3_per_kg_PL">Manure!$AK$142</definedName>
    <definedName name="NH3_per_kg_SE">Manure!$AS$142</definedName>
    <definedName name="No_boars_DE">Production!$D$7</definedName>
    <definedName name="No_boars_DK">Production!$B$7</definedName>
    <definedName name="No_boars_ES">Production!$K$7</definedName>
    <definedName name="No_boars_FR">Production!$C$7</definedName>
    <definedName name="No_boars_GR">Production!$E$7</definedName>
    <definedName name="No_boars_HU">Production!$F$7</definedName>
    <definedName name="No_boars_IE">Production!$G$7</definedName>
    <definedName name="No_boars_IT">Production!$H$7</definedName>
    <definedName name="No_boars_NL">Production!$I$7</definedName>
    <definedName name="No_boars_PL">Production!$J$7</definedName>
    <definedName name="No_boars_SE">Production!$L$7</definedName>
    <definedName name="No_fattening_pigs_DE">Production!$D$8</definedName>
    <definedName name="No_fattening_pigs_DK">Production!$B$8</definedName>
    <definedName name="No_fattening_pigs_ES">Production!$K$8</definedName>
    <definedName name="No_fattening_pigs_FR">Production!$C$8</definedName>
    <definedName name="No_fattening_pigs_GR">Production!$E$8</definedName>
    <definedName name="No_fattening_pigs_HU">Production!$F$8</definedName>
    <definedName name="No_fattening_pigs_IE">Production!$G$8</definedName>
    <definedName name="No_fattening_pigs_IT">Production!$H$8</definedName>
    <definedName name="No_fattening_pigs_NL">Production!$I$8</definedName>
    <definedName name="No_fattening_pigs_PL">Production!$J$8</definedName>
    <definedName name="No_fattening_pigs_SE">Production!$L$8</definedName>
    <definedName name="No_piglets_DE">Production!$D$9</definedName>
    <definedName name="No_piglets_DK">Production!$B$9</definedName>
    <definedName name="No_piglets_ES">Production!$K$9</definedName>
    <definedName name="No_piglets_FR">Production!$C$9</definedName>
    <definedName name="No_piglets_GR">Production!$E$9</definedName>
    <definedName name="No_piglets_HU">Production!$F$9</definedName>
    <definedName name="No_piglets_IE">Production!$G$9</definedName>
    <definedName name="No_piglets_IT">Production!$H$9</definedName>
    <definedName name="No_piglets_NL">Production!$I$9</definedName>
    <definedName name="No_piglets_PL">Production!$J$9</definedName>
    <definedName name="No_piglets_SE">Production!$L$9</definedName>
    <definedName name="No_recruit_sows_DE">Production!$D$6</definedName>
    <definedName name="No_recruit_sows_DK">Production!$B$6</definedName>
    <definedName name="No_recruit_sows_ES">Production!$K$6</definedName>
    <definedName name="No_recruit_sows_FR">Production!$C$6</definedName>
    <definedName name="No_recruit_sows_GR">Production!$E$6</definedName>
    <definedName name="No_recruit_sows_HU">Production!$F$6</definedName>
    <definedName name="No_recruit_sows_IE">Production!$G$6</definedName>
    <definedName name="No_recruit_sows_IT">Production!$H$6</definedName>
    <definedName name="No_recruit_sows_NL">Production!$I$6</definedName>
    <definedName name="No_recruit_sows_PL">Production!$J$6</definedName>
    <definedName name="No_recruit_sows_SE">Production!$L$6</definedName>
    <definedName name="No_sows_DE">Production!$D$5</definedName>
    <definedName name="No_sows_DK">Production!$B$5</definedName>
    <definedName name="No_sows_ES">Production!$K$5</definedName>
    <definedName name="No_sows_FR">Production!$C$5</definedName>
    <definedName name="No_sows_GR">Production!$E$5</definedName>
    <definedName name="No_sows_HU">Production!$F$5</definedName>
    <definedName name="No_sows_IE">Production!$G$5</definedName>
    <definedName name="No_sows_IT">Production!$H$5</definedName>
    <definedName name="No_sows_NL">Production!$I$5</definedName>
    <definedName name="No_sows_PL">Production!$J$5</definedName>
    <definedName name="No_sows_SE">Production!$L$5</definedName>
    <definedName name="Share_biofuels_DE">'Parameters, country spec'!$D$85</definedName>
    <definedName name="Share_biofuels_DK">'Parameters, country spec'!$B$85</definedName>
    <definedName name="Share_biofuels_ES">'Parameters, country spec'!$K$85</definedName>
    <definedName name="Share_biofuels_FR">'Parameters, country spec'!$C$85</definedName>
    <definedName name="Share_biofuels_GR">'Parameters, country spec'!$E$85</definedName>
    <definedName name="Share_biofuels_HU">'Parameters, country spec'!$F$85</definedName>
    <definedName name="Share_biofuels_IE">'Parameters, country spec'!$G$85</definedName>
    <definedName name="Share_biofuels_IT">'Parameters, country spec'!$H$85</definedName>
    <definedName name="Share_biofuels_NL">'Parameters, country spec'!$I$85</definedName>
    <definedName name="Share_biofuels_PL">'Parameters, country spec'!$J$85</definedName>
    <definedName name="Share_biofuels_SE">'Parameters, country spec'!$L$85</definedName>
    <definedName name="Share_heating_DE">'Parameters, country spec'!$D$84</definedName>
    <definedName name="Share_heating_DK">'Parameters, country spec'!$B$84</definedName>
    <definedName name="Share_heating_ES">'Parameters, country spec'!$K$84</definedName>
    <definedName name="Share_heating_FR">'Parameters, country spec'!$C$84</definedName>
    <definedName name="Share_heating_GR">'Parameters, country spec'!$E$84</definedName>
    <definedName name="Share_heating_HU">'Parameters, country spec'!$F$84</definedName>
    <definedName name="Share_heating_IE">'Parameters, country spec'!$G$84</definedName>
    <definedName name="Share_heating_IT">'Parameters, country spec'!$H$84</definedName>
    <definedName name="Share_heating_NL">'Parameters, country spec'!$I$84</definedName>
    <definedName name="Share_heating_PL">'Parameters, country spec'!$J$84</definedName>
    <definedName name="Share_heating_SE">'Parameters, country spec'!$L$84</definedName>
    <definedName name="Slaughter_duration_class">'Parameters, general'!$B$17</definedName>
    <definedName name="Slaughtering_age_DE">'Parameters, country spec'!$D$16</definedName>
    <definedName name="Slaughtering_age_DK">'Parameters, country spec'!$B$16</definedName>
    <definedName name="Slaughtering_age_ES">'Parameters, country spec'!$K$16</definedName>
    <definedName name="Slaughtering_age_FR">'Parameters, country spec'!$C$16</definedName>
    <definedName name="Slaughtering_age_GR">'Parameters, country spec'!$E$16</definedName>
    <definedName name="Slaughtering_age_HU">'Parameters, country spec'!$F$16</definedName>
    <definedName name="Slaughtering_age_IE">'Parameters, country spec'!$G$16</definedName>
    <definedName name="Slaughtering_age_IT">'Parameters, country spec'!$H$16</definedName>
    <definedName name="Slaughtering_age_NL">'Parameters, country spec'!$I$16</definedName>
    <definedName name="Slaughtering_age_PL">'Parameters, country spec'!$J$16</definedName>
    <definedName name="Slaughtering_age_SE">'Parameters, country spec'!$L$16</definedName>
    <definedName name="Time_fattening_days_DE">'Parameters, country spec'!$D$5</definedName>
    <definedName name="Time_fattening_days_DK">'Parameters, country spec'!$B$5</definedName>
    <definedName name="Time_fattening_days_ES">'Parameters, country spec'!$K$5</definedName>
    <definedName name="Time_fattening_days_FR">'Parameters, country spec'!$C$5</definedName>
    <definedName name="Time_fattening_days_GR">'Parameters, country spec'!$E$5</definedName>
    <definedName name="Time_fattening_days_HU">'Parameters, country spec'!$F$5</definedName>
    <definedName name="Time_fattening_days_IE">'Parameters, country spec'!$G$5</definedName>
    <definedName name="Time_fattening_days_IT">'Parameters, country spec'!$H$5</definedName>
    <definedName name="Time_fattening_days_NL">'Parameters, country spec'!$I$5</definedName>
    <definedName name="Time_fattening_days_PL">'Parameters, country spec'!$J$5</definedName>
    <definedName name="Time_fattening_days_SE">'Parameters, country spec'!$L$5</definedName>
    <definedName name="Time_piglet_system_DE">'Parameters, country spec'!$D$15</definedName>
    <definedName name="Time_piglet_system_DK">'Parameters, country spec'!$B$15</definedName>
    <definedName name="Time_piglet_system_ES">'Parameters, country spec'!$K$15</definedName>
    <definedName name="Time_piglet_system_FR">'Parameters, country spec'!$C$15</definedName>
    <definedName name="Time_piglet_system_GR">'Parameters, country spec'!$E$15</definedName>
    <definedName name="Time_piglet_system_HU">'Parameters, country spec'!$F$15</definedName>
    <definedName name="Time_piglet_system_IE">'Parameters, country spec'!$G$15</definedName>
    <definedName name="Time_piglet_system_IT">'Parameters, country spec'!$H$15</definedName>
    <definedName name="Time_piglet_system_NL">'Parameters, country spec'!$I$15</definedName>
    <definedName name="Time_piglet_system_PL">'Parameters, country spec'!$J$15</definedName>
    <definedName name="Time_piglet_system_SE">'Parameters, country spec'!$L$15</definedName>
    <definedName name="Water_drinking_boars_DE">'Parameters, country spec'!$D$116</definedName>
    <definedName name="Water_drinking_boars_DK">'Parameters, country spec'!$B$116</definedName>
    <definedName name="Water_drinking_boars_ES">'Parameters, country spec'!$K$116</definedName>
    <definedName name="Water_drinking_boars_FR">'Parameters, country spec'!$C$116</definedName>
    <definedName name="Water_drinking_boars_GR">'Parameters, country spec'!$E$116</definedName>
    <definedName name="Water_drinking_boars_HU">'Parameters, country spec'!$F$116</definedName>
    <definedName name="Water_drinking_boars_IE">'Parameters, country spec'!$G$116</definedName>
    <definedName name="Water_drinking_boars_IT">'Parameters, country spec'!$H$116</definedName>
    <definedName name="Water_drinking_boars_NL">'Parameters, country spec'!$I$116</definedName>
    <definedName name="Water_drinking_boars_PL">'Parameters, country spec'!$J$116</definedName>
    <definedName name="Water_drinking_boars_SE">'Parameters, country spec'!$L$116</definedName>
    <definedName name="Water_drinking_piglets_DE">'Parameters, country spec'!$D$118</definedName>
    <definedName name="Water_drinking_piglets_DK">'Parameters, country spec'!$B$118</definedName>
    <definedName name="Water_drinking_piglets_ES">'Parameters, country spec'!$K$118</definedName>
    <definedName name="Water_drinking_piglets_FR">'Parameters, country spec'!$C$118</definedName>
    <definedName name="Water_drinking_piglets_GR">'Parameters, country spec'!$E$118</definedName>
    <definedName name="Water_drinking_piglets_HU">'Parameters, country spec'!$F$118</definedName>
    <definedName name="Water_drinking_piglets_IE">'Parameters, country spec'!$G$118</definedName>
    <definedName name="Water_drinking_piglets_IT">'Parameters, country spec'!$H$118</definedName>
    <definedName name="Water_drinking_piglets_NL">'Parameters, country spec'!$I$118</definedName>
    <definedName name="Water_drinking_piglets_PL">'Parameters, country spec'!$J$118</definedName>
    <definedName name="Water_drinking_piglets_SE">'Parameters, country spec'!$L$118</definedName>
    <definedName name="Water_drinking_recfat_DE">'Parameters, country spec'!$D$114</definedName>
    <definedName name="Water_drinking_recfat_DK">'Parameters, country spec'!$B$114</definedName>
    <definedName name="Water_drinking_recfat_ES">'Parameters, country spec'!$K$114</definedName>
    <definedName name="Water_drinking_recfat_FR">'Parameters, country spec'!$C$114</definedName>
    <definedName name="Water_drinking_recfat_GR">'Parameters, country spec'!$E$114</definedName>
    <definedName name="Water_drinking_recfat_HU">'Parameters, country spec'!$F$114</definedName>
    <definedName name="Water_drinking_recfat_IE">'Parameters, country spec'!$G$114</definedName>
    <definedName name="Water_drinking_recfat_IT">'Parameters, country spec'!$H$114</definedName>
    <definedName name="Water_drinking_recfat_NL">'Parameters, country spec'!$I$114</definedName>
    <definedName name="Water_drinking_recfat_PL">'Parameters, country spec'!$J$114</definedName>
    <definedName name="Water_drinking_recfat_SE">'Parameters, country spec'!$L$114</definedName>
    <definedName name="Water_drinking_sows_DE">'Parameters, country spec'!$D$112</definedName>
    <definedName name="Water_drinking_sows_DK">'Parameters, country spec'!$B$112</definedName>
    <definedName name="Water_drinking_sows_ES">'Parameters, country spec'!$K$112</definedName>
    <definedName name="Water_drinking_sows_FR">'Parameters, country spec'!$C$112</definedName>
    <definedName name="Water_drinking_sows_GR">'Parameters, country spec'!$E$112</definedName>
    <definedName name="Water_drinking_sows_HU">'Parameters, country spec'!$F$112</definedName>
    <definedName name="Water_drinking_sows_IE">'Parameters, country spec'!$G$112</definedName>
    <definedName name="Water_drinking_sows_IT">'Parameters, country spec'!$H$112</definedName>
    <definedName name="Water_drinking_sows_NL">'Parameters, country spec'!$I$112</definedName>
    <definedName name="Water_drinking_sows_PL">'Parameters, country spec'!$J$112</definedName>
    <definedName name="Water_drinking_sows_SE">'Parameters, country spec'!$L$112</definedName>
    <definedName name="Water_service_boars_DE">'Parameters, country spec'!$D$117</definedName>
    <definedName name="Water_service_boars_DK">'Parameters, country spec'!$B$117</definedName>
    <definedName name="Water_service_boars_ES">'Parameters, country spec'!$K$117</definedName>
    <definedName name="Water_service_boars_FR">'Parameters, country spec'!$C$117</definedName>
    <definedName name="Water_service_boars_GR">'Parameters, country spec'!$E$117</definedName>
    <definedName name="Water_service_boars_HU">'Parameters, country spec'!$F$117</definedName>
    <definedName name="Water_service_boars_IE">'Parameters, country spec'!$G$117</definedName>
    <definedName name="Water_service_boars_IT">'Parameters, country spec'!$H$117</definedName>
    <definedName name="Water_service_boars_NL">'Parameters, country spec'!$I$117</definedName>
    <definedName name="Water_service_boars_PL">'Parameters, country spec'!$J$117</definedName>
    <definedName name="Water_service_boars_SE">'Parameters, country spec'!$L$117</definedName>
    <definedName name="Water_service_piglets_DE">'Parameters, country spec'!$D$119</definedName>
    <definedName name="Water_service_piglets_DK">'Parameters, country spec'!$B$119</definedName>
    <definedName name="Water_service_piglets_ES">'Parameters, country spec'!$K$119</definedName>
    <definedName name="Water_service_piglets_FR">'Parameters, country spec'!$C$119</definedName>
    <definedName name="Water_service_piglets_GR">'Parameters, country spec'!$E$119</definedName>
    <definedName name="Water_service_piglets_HU">'Parameters, country spec'!$F$119</definedName>
    <definedName name="Water_service_piglets_IE">'Parameters, country spec'!$G$119</definedName>
    <definedName name="Water_service_piglets_IT">'Parameters, country spec'!$H$119</definedName>
    <definedName name="Water_service_piglets_NL">'Parameters, country spec'!$I$119</definedName>
    <definedName name="Water_service_piglets_PL">'Parameters, country spec'!$J$119</definedName>
    <definedName name="Water_service_piglets_SE">'Parameters, country spec'!$L$119</definedName>
    <definedName name="Water_service_recfat_DE">'Parameters, country spec'!$D$115</definedName>
    <definedName name="Water_service_recfat_DK">'Parameters, country spec'!$B$115</definedName>
    <definedName name="Water_service_recfat_ES">'Parameters, country spec'!$K$115</definedName>
    <definedName name="Water_service_recfat_FR">'Parameters, country spec'!$C$115</definedName>
    <definedName name="Water_service_recfat_GR">'Parameters, country spec'!$E$115</definedName>
    <definedName name="Water_service_recfat_HU">'Parameters, country spec'!$F$115</definedName>
    <definedName name="Water_service_recfat_IE">'Parameters, country spec'!$G$115</definedName>
    <definedName name="Water_service_recfat_IT">'Parameters, country spec'!$H$115</definedName>
    <definedName name="Water_service_recfat_NL">'Parameters, country spec'!$I$115</definedName>
    <definedName name="Water_service_recfat_PL">'Parameters, country spec'!$J$115</definedName>
    <definedName name="Water_service_recfat_SE">'Parameters, country spec'!$L$115</definedName>
    <definedName name="Water_service_sows_DE">'Parameters, country spec'!$D$113</definedName>
    <definedName name="Water_service_sows_DK">'Parameters, country spec'!$B$113</definedName>
    <definedName name="Water_service_sows_ES">'Parameters, country spec'!$K$113</definedName>
    <definedName name="Water_service_sows_FR">'Parameters, country spec'!$C$113</definedName>
    <definedName name="Water_service_sows_GR">'Parameters, country spec'!$E$113</definedName>
    <definedName name="Water_service_sows_HU">'Parameters, country spec'!$F$113</definedName>
    <definedName name="Water_service_sows_IE">'Parameters, country spec'!$G$113</definedName>
    <definedName name="Water_service_sows_IT">'Parameters, country spec'!$H$113</definedName>
    <definedName name="Water_service_sows_NL">'Parameters, country spec'!$I$113</definedName>
    <definedName name="Water_service_sows_PL">'Parameters, country spec'!$J$113</definedName>
    <definedName name="Water_service_sows_SE">'Parameters, country spec'!$L$113</definedName>
    <definedName name="Water_stables_DE">'Parameters, country spec'!$D$112</definedName>
    <definedName name="Water_stables_DK">'Parameters, country spec'!$B$112</definedName>
    <definedName name="Water_stables_ES">'Parameters, country spec'!$K$112</definedName>
    <definedName name="Water_stables_FR">'Parameters, country spec'!$C$112</definedName>
    <definedName name="Water_stables_GR">'Parameters, country spec'!$E$112</definedName>
    <definedName name="Water_stables_HU">'Parameters, country spec'!$F$112</definedName>
    <definedName name="Water_stables_IE">'Parameters, country spec'!$G$112</definedName>
    <definedName name="Water_stables_IT">'Parameters, country spec'!$H$112</definedName>
    <definedName name="Water_stables_NL">'Parameters, country spec'!$I$112</definedName>
    <definedName name="Water_stables_PL">'Parameters, country spec'!$J$112</definedName>
    <definedName name="Water_stables_SE">'Parameters, country spec'!$L$112</definedName>
    <definedName name="Weight_ability_to_perceive_handling">'Parameters, general'!$B$20</definedName>
    <definedName name="Weight_diseases">'Parameters, general'!$B$22</definedName>
    <definedName name="Weight_mortality">'Parameters, general'!$B$21</definedName>
    <definedName name="Weight_no_of_animal">'Parameters, general'!$B$19</definedName>
    <definedName name="Weight_slaughter_duration_class">'Parameters, general'!$B$24</definedName>
    <definedName name="Weight_space">'Parameters, general'!$B$23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2" i="22" l="1"/>
  <c r="K16" i="22"/>
  <c r="K12" i="22"/>
  <c r="K10" i="22"/>
  <c r="M9" i="22"/>
  <c r="K9" i="22"/>
  <c r="K8" i="22"/>
  <c r="B36" i="20"/>
  <c r="D6" i="20"/>
  <c r="C6" i="20"/>
  <c r="B6" i="20"/>
  <c r="C106" i="19"/>
  <c r="C105" i="19"/>
  <c r="C104" i="19"/>
  <c r="C103" i="19"/>
  <c r="L88" i="19"/>
  <c r="K88" i="19"/>
  <c r="J88" i="19"/>
  <c r="I88" i="19"/>
  <c r="I133" i="18" s="1"/>
  <c r="H88" i="19"/>
  <c r="G88" i="19"/>
  <c r="F88" i="19"/>
  <c r="P77" i="19"/>
  <c r="M77" i="19"/>
  <c r="L77" i="19"/>
  <c r="J77" i="19"/>
  <c r="I77" i="19"/>
  <c r="H77" i="19"/>
  <c r="G77" i="19"/>
  <c r="F77" i="19"/>
  <c r="E76" i="19"/>
  <c r="P75" i="19"/>
  <c r="M75" i="19"/>
  <c r="L75" i="19"/>
  <c r="L73" i="19" s="1"/>
  <c r="J75" i="19"/>
  <c r="G75" i="19"/>
  <c r="F75" i="19"/>
  <c r="P74" i="19"/>
  <c r="M74" i="19"/>
  <c r="L74" i="19"/>
  <c r="J74" i="19"/>
  <c r="J73" i="19" s="1"/>
  <c r="H74" i="19"/>
  <c r="H73" i="19" s="1"/>
  <c r="G74" i="19"/>
  <c r="G73" i="19" s="1"/>
  <c r="F74" i="19"/>
  <c r="F73" i="19" s="1"/>
  <c r="B103" i="19" s="1"/>
  <c r="P73" i="19"/>
  <c r="B105" i="19" s="1"/>
  <c r="M73" i="19"/>
  <c r="I73" i="19"/>
  <c r="E71" i="19"/>
  <c r="E70" i="19"/>
  <c r="E69" i="19"/>
  <c r="E68" i="19"/>
  <c r="P67" i="19"/>
  <c r="O67" i="19"/>
  <c r="M67" i="19"/>
  <c r="L67" i="19"/>
  <c r="K67" i="19"/>
  <c r="J67" i="19"/>
  <c r="I67" i="19"/>
  <c r="H67" i="19"/>
  <c r="G67" i="19"/>
  <c r="F67" i="19"/>
  <c r="E67" i="19"/>
  <c r="E65" i="19"/>
  <c r="E64" i="19"/>
  <c r="E63" i="19"/>
  <c r="E62" i="19"/>
  <c r="P61" i="19"/>
  <c r="O61" i="19"/>
  <c r="N61" i="19"/>
  <c r="M61" i="19"/>
  <c r="L61" i="19"/>
  <c r="K61" i="19"/>
  <c r="J61" i="19"/>
  <c r="I61" i="19"/>
  <c r="H61" i="19"/>
  <c r="G61" i="19"/>
  <c r="F61" i="19"/>
  <c r="E61" i="19"/>
  <c r="E59" i="19"/>
  <c r="E58" i="19"/>
  <c r="E57" i="19"/>
  <c r="E56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I43" i="19"/>
  <c r="C96" i="19" s="1"/>
  <c r="L36" i="19"/>
  <c r="K36" i="19"/>
  <c r="J36" i="19"/>
  <c r="I36" i="19"/>
  <c r="I74" i="18" s="1"/>
  <c r="H36" i="19"/>
  <c r="G36" i="19"/>
  <c r="G86" i="18" s="1"/>
  <c r="F36" i="19"/>
  <c r="P26" i="19"/>
  <c r="O26" i="19"/>
  <c r="M26" i="19"/>
  <c r="L26" i="19"/>
  <c r="J26" i="19"/>
  <c r="I26" i="19"/>
  <c r="H26" i="19"/>
  <c r="G26" i="19"/>
  <c r="F26" i="19"/>
  <c r="E26" i="19" s="1"/>
  <c r="E25" i="19"/>
  <c r="P24" i="19"/>
  <c r="O24" i="19"/>
  <c r="P110" i="16" s="1"/>
  <c r="M24" i="19"/>
  <c r="L24" i="19"/>
  <c r="J24" i="19"/>
  <c r="G24" i="19"/>
  <c r="H38" i="16" s="1"/>
  <c r="F24" i="19"/>
  <c r="E24" i="19"/>
  <c r="O23" i="19" a="1"/>
  <c r="O23" i="19" s="1"/>
  <c r="N23" i="19"/>
  <c r="M23" i="19"/>
  <c r="L23" i="19"/>
  <c r="J23" i="19"/>
  <c r="H23" i="19"/>
  <c r="G23" i="19"/>
  <c r="F23" i="19"/>
  <c r="K22" i="19"/>
  <c r="E20" i="19"/>
  <c r="E19" i="19"/>
  <c r="E18" i="19"/>
  <c r="E17" i="19"/>
  <c r="E16" i="19" s="1"/>
  <c r="P16" i="19"/>
  <c r="O16" i="19"/>
  <c r="N16" i="19"/>
  <c r="M16" i="19"/>
  <c r="L16" i="19"/>
  <c r="K16" i="19"/>
  <c r="J16" i="19"/>
  <c r="I16" i="19"/>
  <c r="H16" i="19"/>
  <c r="G16" i="19"/>
  <c r="F16" i="19"/>
  <c r="E14" i="19"/>
  <c r="E13" i="19"/>
  <c r="E12" i="19"/>
  <c r="E11" i="19"/>
  <c r="E10" i="19" s="1"/>
  <c r="P10" i="19"/>
  <c r="O10" i="19"/>
  <c r="N10" i="19"/>
  <c r="M10" i="19"/>
  <c r="L10" i="19"/>
  <c r="K10" i="19"/>
  <c r="J10" i="19"/>
  <c r="I10" i="19"/>
  <c r="H10" i="19"/>
  <c r="G10" i="19"/>
  <c r="F10" i="19"/>
  <c r="H136" i="18"/>
  <c r="G136" i="18"/>
  <c r="L134" i="18"/>
  <c r="L136" i="18" s="1"/>
  <c r="K134" i="18"/>
  <c r="J134" i="18"/>
  <c r="I134" i="18"/>
  <c r="I136" i="18" s="1"/>
  <c r="H134" i="18"/>
  <c r="G134" i="18"/>
  <c r="L133" i="18"/>
  <c r="K133" i="18"/>
  <c r="J133" i="18"/>
  <c r="J136" i="18" s="1"/>
  <c r="H133" i="18"/>
  <c r="G133" i="18"/>
  <c r="F133" i="18"/>
  <c r="L124" i="18"/>
  <c r="K124" i="18"/>
  <c r="H124" i="18"/>
  <c r="L122" i="18"/>
  <c r="K122" i="18"/>
  <c r="J122" i="18"/>
  <c r="J124" i="18" s="1"/>
  <c r="I122" i="18"/>
  <c r="I124" i="18" s="1"/>
  <c r="H122" i="18"/>
  <c r="G122" i="18"/>
  <c r="F122" i="18"/>
  <c r="L121" i="18"/>
  <c r="K121" i="18"/>
  <c r="J121" i="18"/>
  <c r="I121" i="18"/>
  <c r="H121" i="18"/>
  <c r="G121" i="18"/>
  <c r="F121" i="18"/>
  <c r="K112" i="18"/>
  <c r="L110" i="18"/>
  <c r="L112" i="18" s="1"/>
  <c r="K110" i="18"/>
  <c r="J110" i="18"/>
  <c r="I110" i="18"/>
  <c r="H110" i="18"/>
  <c r="G110" i="18"/>
  <c r="F110" i="18"/>
  <c r="L109" i="18"/>
  <c r="K109" i="18"/>
  <c r="J109" i="18"/>
  <c r="J112" i="18" s="1"/>
  <c r="I109" i="18"/>
  <c r="I112" i="18" s="1"/>
  <c r="H109" i="18"/>
  <c r="H112" i="18" s="1"/>
  <c r="G109" i="18"/>
  <c r="G112" i="18" s="1"/>
  <c r="F109" i="18"/>
  <c r="F112" i="18" s="1"/>
  <c r="L98" i="18"/>
  <c r="K98" i="18"/>
  <c r="J98" i="18"/>
  <c r="I98" i="18"/>
  <c r="H98" i="18"/>
  <c r="G98" i="18"/>
  <c r="L97" i="18"/>
  <c r="K97" i="18"/>
  <c r="J97" i="18"/>
  <c r="I97" i="18"/>
  <c r="H97" i="18"/>
  <c r="H100" i="18" s="1"/>
  <c r="G97" i="18"/>
  <c r="G100" i="18" s="1"/>
  <c r="F97" i="18"/>
  <c r="J88" i="18"/>
  <c r="I88" i="18"/>
  <c r="G88" i="18"/>
  <c r="L86" i="18"/>
  <c r="K86" i="18"/>
  <c r="J86" i="18"/>
  <c r="I86" i="18"/>
  <c r="L85" i="18"/>
  <c r="L88" i="18" s="1"/>
  <c r="K85" i="18"/>
  <c r="J85" i="18"/>
  <c r="I85" i="18"/>
  <c r="H85" i="18"/>
  <c r="G85" i="18"/>
  <c r="F85" i="18"/>
  <c r="I76" i="18"/>
  <c r="L74" i="18"/>
  <c r="K74" i="18"/>
  <c r="J74" i="18"/>
  <c r="G74" i="18"/>
  <c r="G76" i="18" s="1"/>
  <c r="L73" i="18"/>
  <c r="L76" i="18" s="1"/>
  <c r="K73" i="18"/>
  <c r="J73" i="18"/>
  <c r="J76" i="18" s="1"/>
  <c r="I73" i="18"/>
  <c r="H73" i="18"/>
  <c r="G73" i="18"/>
  <c r="F73" i="18"/>
  <c r="L64" i="18"/>
  <c r="K64" i="18"/>
  <c r="J64" i="18"/>
  <c r="L62" i="18"/>
  <c r="K62" i="18"/>
  <c r="J62" i="18"/>
  <c r="I62" i="18"/>
  <c r="I64" i="18" s="1"/>
  <c r="H62" i="18"/>
  <c r="H64" i="18" s="1"/>
  <c r="G62" i="18"/>
  <c r="F62" i="18"/>
  <c r="L61" i="18"/>
  <c r="K61" i="18"/>
  <c r="J61" i="18"/>
  <c r="I61" i="18"/>
  <c r="H61" i="18"/>
  <c r="G61" i="18"/>
  <c r="F61" i="18"/>
  <c r="K52" i="18"/>
  <c r="L50" i="18"/>
  <c r="K50" i="18"/>
  <c r="J50" i="18"/>
  <c r="I50" i="18"/>
  <c r="H50" i="18"/>
  <c r="G50" i="18"/>
  <c r="G52" i="18" s="1"/>
  <c r="F50" i="18"/>
  <c r="F52" i="18" s="1"/>
  <c r="L49" i="18"/>
  <c r="L52" i="18" s="1"/>
  <c r="K49" i="18"/>
  <c r="J49" i="18"/>
  <c r="J52" i="18" s="1"/>
  <c r="I49" i="18"/>
  <c r="I52" i="18" s="1"/>
  <c r="H49" i="18"/>
  <c r="H52" i="18" s="1"/>
  <c r="G49" i="18"/>
  <c r="F49" i="18"/>
  <c r="K40" i="18"/>
  <c r="I40" i="18"/>
  <c r="G40" i="18"/>
  <c r="L38" i="18"/>
  <c r="K38" i="18"/>
  <c r="J38" i="18"/>
  <c r="I38" i="18"/>
  <c r="H38" i="18"/>
  <c r="H40" i="18" s="1"/>
  <c r="G38" i="18"/>
  <c r="L37" i="18"/>
  <c r="L40" i="18" s="1"/>
  <c r="K37" i="18"/>
  <c r="J37" i="18"/>
  <c r="I37" i="18"/>
  <c r="H37" i="18"/>
  <c r="G37" i="18"/>
  <c r="F37" i="18"/>
  <c r="L28" i="18"/>
  <c r="L26" i="18"/>
  <c r="K26" i="18"/>
  <c r="K28" i="18" s="1"/>
  <c r="J26" i="18"/>
  <c r="J28" i="18" s="1"/>
  <c r="I26" i="18"/>
  <c r="I28" i="18" s="1"/>
  <c r="H26" i="18"/>
  <c r="G26" i="18"/>
  <c r="F26" i="18"/>
  <c r="L25" i="18"/>
  <c r="K25" i="18"/>
  <c r="J25" i="18"/>
  <c r="I25" i="18"/>
  <c r="H25" i="18"/>
  <c r="H28" i="18" s="1"/>
  <c r="G25" i="18"/>
  <c r="F25" i="18"/>
  <c r="L16" i="18"/>
  <c r="L14" i="18"/>
  <c r="K14" i="18"/>
  <c r="J14" i="18"/>
  <c r="I14" i="18"/>
  <c r="H14" i="18"/>
  <c r="G14" i="18"/>
  <c r="F14" i="18"/>
  <c r="F16" i="18" s="1"/>
  <c r="L13" i="18"/>
  <c r="K13" i="18"/>
  <c r="J13" i="18"/>
  <c r="I13" i="18"/>
  <c r="H13" i="18"/>
  <c r="H16" i="18" s="1"/>
  <c r="G13" i="18"/>
  <c r="F13" i="18"/>
  <c r="G136" i="17"/>
  <c r="F135" i="17"/>
  <c r="G134" i="17"/>
  <c r="Q133" i="17"/>
  <c r="N133" i="17"/>
  <c r="M133" i="17"/>
  <c r="K133" i="17"/>
  <c r="J133" i="17"/>
  <c r="I133" i="17"/>
  <c r="H133" i="17"/>
  <c r="G133" i="17"/>
  <c r="F132" i="17"/>
  <c r="F131" i="17"/>
  <c r="F130" i="17"/>
  <c r="F129" i="17"/>
  <c r="F128" i="17"/>
  <c r="F127" i="17"/>
  <c r="F126" i="17"/>
  <c r="N124" i="17"/>
  <c r="M124" i="17"/>
  <c r="F123" i="17"/>
  <c r="N122" i="17"/>
  <c r="M122" i="17"/>
  <c r="G122" i="17"/>
  <c r="Q121" i="17"/>
  <c r="N121" i="17"/>
  <c r="M121" i="17"/>
  <c r="K121" i="17"/>
  <c r="J121" i="17"/>
  <c r="I121" i="17"/>
  <c r="H121" i="17"/>
  <c r="G121" i="17"/>
  <c r="G124" i="17" s="1"/>
  <c r="F120" i="17"/>
  <c r="F119" i="17"/>
  <c r="F118" i="17"/>
  <c r="F117" i="17"/>
  <c r="F116" i="17"/>
  <c r="F115" i="17"/>
  <c r="F114" i="17"/>
  <c r="F111" i="17"/>
  <c r="N110" i="17"/>
  <c r="N112" i="17" s="1"/>
  <c r="M110" i="17"/>
  <c r="M112" i="17" s="1"/>
  <c r="G110" i="17"/>
  <c r="Q109" i="17"/>
  <c r="N109" i="17"/>
  <c r="M109" i="17"/>
  <c r="K109" i="17"/>
  <c r="J109" i="17"/>
  <c r="I109" i="17"/>
  <c r="H109" i="17"/>
  <c r="G109" i="17"/>
  <c r="F108" i="17"/>
  <c r="F107" i="17"/>
  <c r="F106" i="17"/>
  <c r="F105" i="17"/>
  <c r="F104" i="17"/>
  <c r="F103" i="17"/>
  <c r="F102" i="17"/>
  <c r="G100" i="17"/>
  <c r="F99" i="17"/>
  <c r="G98" i="17"/>
  <c r="Q97" i="17"/>
  <c r="N97" i="17"/>
  <c r="M97" i="17"/>
  <c r="K97" i="17"/>
  <c r="J97" i="17"/>
  <c r="I97" i="17"/>
  <c r="H97" i="17"/>
  <c r="G97" i="17"/>
  <c r="F96" i="17"/>
  <c r="F95" i="17"/>
  <c r="F94" i="17"/>
  <c r="F93" i="17"/>
  <c r="F92" i="17"/>
  <c r="F91" i="17"/>
  <c r="F90" i="17"/>
  <c r="G88" i="17"/>
  <c r="F87" i="17"/>
  <c r="M86" i="17"/>
  <c r="G86" i="17"/>
  <c r="Q85" i="17"/>
  <c r="N85" i="17"/>
  <c r="M85" i="17"/>
  <c r="M88" i="17" s="1"/>
  <c r="K85" i="17"/>
  <c r="J85" i="17"/>
  <c r="I85" i="17"/>
  <c r="H85" i="17"/>
  <c r="G85" i="17"/>
  <c r="F84" i="17"/>
  <c r="F83" i="17"/>
  <c r="F82" i="17"/>
  <c r="F81" i="17"/>
  <c r="F80" i="17"/>
  <c r="F79" i="17"/>
  <c r="F78" i="17"/>
  <c r="F75" i="17"/>
  <c r="M74" i="17"/>
  <c r="M76" i="17" s="1"/>
  <c r="G74" i="17"/>
  <c r="Q73" i="17"/>
  <c r="N73" i="17"/>
  <c r="M73" i="17"/>
  <c r="K73" i="17"/>
  <c r="J73" i="17"/>
  <c r="I73" i="17"/>
  <c r="H73" i="17"/>
  <c r="G73" i="17"/>
  <c r="F72" i="17"/>
  <c r="F71" i="17"/>
  <c r="F70" i="17"/>
  <c r="F69" i="17"/>
  <c r="F68" i="17"/>
  <c r="F67" i="17"/>
  <c r="F66" i="17"/>
  <c r="M64" i="17"/>
  <c r="F63" i="17"/>
  <c r="M62" i="17"/>
  <c r="G62" i="17"/>
  <c r="Q61" i="17"/>
  <c r="N61" i="17"/>
  <c r="M61" i="17"/>
  <c r="K61" i="17"/>
  <c r="J61" i="17"/>
  <c r="I61" i="17"/>
  <c r="H61" i="17"/>
  <c r="G61" i="17"/>
  <c r="F60" i="17"/>
  <c r="F59" i="17"/>
  <c r="F58" i="17"/>
  <c r="F57" i="17"/>
  <c r="F56" i="17"/>
  <c r="F55" i="17"/>
  <c r="F54" i="17"/>
  <c r="F51" i="17"/>
  <c r="N50" i="17"/>
  <c r="M50" i="17"/>
  <c r="G50" i="17"/>
  <c r="Q49" i="17"/>
  <c r="N49" i="17"/>
  <c r="M49" i="17"/>
  <c r="K49" i="17"/>
  <c r="J49" i="17"/>
  <c r="I49" i="17"/>
  <c r="H49" i="17"/>
  <c r="G49" i="17"/>
  <c r="G52" i="17" s="1"/>
  <c r="F48" i="17"/>
  <c r="F47" i="17"/>
  <c r="F46" i="17"/>
  <c r="F45" i="17"/>
  <c r="F44" i="17"/>
  <c r="F43" i="17"/>
  <c r="F42" i="17"/>
  <c r="F39" i="17"/>
  <c r="Q38" i="17"/>
  <c r="N38" i="17"/>
  <c r="M38" i="17"/>
  <c r="G38" i="17"/>
  <c r="Q37" i="17"/>
  <c r="N37" i="17"/>
  <c r="M37" i="17"/>
  <c r="K37" i="17"/>
  <c r="J37" i="17"/>
  <c r="I37" i="17"/>
  <c r="H37" i="17"/>
  <c r="G37" i="17"/>
  <c r="G40" i="17" s="1"/>
  <c r="F36" i="17"/>
  <c r="F35" i="17"/>
  <c r="F34" i="17"/>
  <c r="F33" i="17"/>
  <c r="F32" i="17"/>
  <c r="F31" i="17"/>
  <c r="F30" i="17"/>
  <c r="M28" i="17"/>
  <c r="F27" i="17"/>
  <c r="M26" i="17"/>
  <c r="G26" i="17"/>
  <c r="Q25" i="17"/>
  <c r="N25" i="17"/>
  <c r="M25" i="17"/>
  <c r="K25" i="17"/>
  <c r="J25" i="17"/>
  <c r="I25" i="17"/>
  <c r="H25" i="17"/>
  <c r="G25" i="17"/>
  <c r="F24" i="17"/>
  <c r="F23" i="17"/>
  <c r="F22" i="17"/>
  <c r="F21" i="17"/>
  <c r="F20" i="17"/>
  <c r="F19" i="17"/>
  <c r="F18" i="17"/>
  <c r="G16" i="17"/>
  <c r="F15" i="17"/>
  <c r="N14" i="17"/>
  <c r="M14" i="17"/>
  <c r="G14" i="17"/>
  <c r="Q13" i="17"/>
  <c r="N13" i="17"/>
  <c r="M13" i="17"/>
  <c r="K13" i="17"/>
  <c r="J13" i="17"/>
  <c r="I13" i="17"/>
  <c r="H13" i="17"/>
  <c r="G13" i="17"/>
  <c r="F12" i="17"/>
  <c r="F11" i="17"/>
  <c r="F10" i="17"/>
  <c r="F9" i="17"/>
  <c r="F8" i="17"/>
  <c r="F7" i="17"/>
  <c r="F6" i="17"/>
  <c r="N136" i="16"/>
  <c r="M136" i="16"/>
  <c r="K136" i="16"/>
  <c r="H136" i="16"/>
  <c r="F135" i="16"/>
  <c r="Q134" i="16"/>
  <c r="N134" i="16"/>
  <c r="M134" i="16"/>
  <c r="K134" i="16"/>
  <c r="H134" i="16"/>
  <c r="Q133" i="16"/>
  <c r="N133" i="16"/>
  <c r="M133" i="16"/>
  <c r="K133" i="16"/>
  <c r="H133" i="16"/>
  <c r="G133" i="16"/>
  <c r="F132" i="16"/>
  <c r="F131" i="16"/>
  <c r="F130" i="16"/>
  <c r="F129" i="16"/>
  <c r="F128" i="16"/>
  <c r="F127" i="16"/>
  <c r="F126" i="16"/>
  <c r="K124" i="16"/>
  <c r="H124" i="16"/>
  <c r="F123" i="16"/>
  <c r="Q122" i="16"/>
  <c r="N122" i="16"/>
  <c r="M122" i="16"/>
  <c r="K122" i="16"/>
  <c r="H122" i="16"/>
  <c r="Q121" i="16"/>
  <c r="N121" i="16"/>
  <c r="N124" i="16" s="1"/>
  <c r="M121" i="16"/>
  <c r="M124" i="16" s="1"/>
  <c r="K121" i="16"/>
  <c r="H121" i="16"/>
  <c r="G121" i="16"/>
  <c r="F120" i="16"/>
  <c r="F119" i="16"/>
  <c r="F118" i="16"/>
  <c r="F117" i="16"/>
  <c r="F116" i="16"/>
  <c r="F115" i="16"/>
  <c r="F114" i="16"/>
  <c r="H112" i="16"/>
  <c r="F111" i="16"/>
  <c r="Q110" i="16"/>
  <c r="K110" i="16"/>
  <c r="H110" i="16"/>
  <c r="Q109" i="16"/>
  <c r="N109" i="16"/>
  <c r="M109" i="16"/>
  <c r="K109" i="16"/>
  <c r="K112" i="16" s="1"/>
  <c r="H109" i="16"/>
  <c r="G109" i="16"/>
  <c r="F108" i="16"/>
  <c r="F107" i="16"/>
  <c r="F106" i="16"/>
  <c r="F105" i="16"/>
  <c r="F104" i="16"/>
  <c r="F103" i="16"/>
  <c r="F102" i="16"/>
  <c r="H100" i="16"/>
  <c r="F99" i="16"/>
  <c r="Q98" i="16"/>
  <c r="P98" i="16"/>
  <c r="N98" i="16"/>
  <c r="M98" i="16"/>
  <c r="M100" i="16" s="1"/>
  <c r="K98" i="16"/>
  <c r="K100" i="16" s="1"/>
  <c r="H98" i="16"/>
  <c r="Q97" i="16"/>
  <c r="N97" i="16"/>
  <c r="M97" i="16"/>
  <c r="K97" i="16"/>
  <c r="H97" i="16"/>
  <c r="G97" i="16"/>
  <c r="F96" i="16"/>
  <c r="F95" i="16"/>
  <c r="F94" i="16"/>
  <c r="F93" i="16"/>
  <c r="F92" i="16"/>
  <c r="F91" i="16"/>
  <c r="F90" i="16"/>
  <c r="F87" i="16"/>
  <c r="Q86" i="16"/>
  <c r="P86" i="16"/>
  <c r="N86" i="16"/>
  <c r="M86" i="16"/>
  <c r="K86" i="16"/>
  <c r="H86" i="16"/>
  <c r="Q85" i="16"/>
  <c r="N85" i="16"/>
  <c r="M85" i="16"/>
  <c r="M88" i="16" s="1"/>
  <c r="K85" i="16"/>
  <c r="K88" i="16" s="1"/>
  <c r="H85" i="16"/>
  <c r="H88" i="16" s="1"/>
  <c r="G85" i="16"/>
  <c r="F84" i="16"/>
  <c r="F83" i="16"/>
  <c r="F82" i="16"/>
  <c r="F81" i="16"/>
  <c r="F80" i="16"/>
  <c r="F79" i="16"/>
  <c r="F78" i="16"/>
  <c r="F75" i="16"/>
  <c r="Q74" i="16"/>
  <c r="P74" i="16"/>
  <c r="H74" i="16"/>
  <c r="Q73" i="16"/>
  <c r="N73" i="16"/>
  <c r="M73" i="16"/>
  <c r="K73" i="16"/>
  <c r="H73" i="16"/>
  <c r="H76" i="16" s="1"/>
  <c r="G73" i="16"/>
  <c r="F72" i="16"/>
  <c r="F71" i="16"/>
  <c r="F70" i="16"/>
  <c r="F69" i="16"/>
  <c r="F68" i="16"/>
  <c r="F67" i="16"/>
  <c r="F66" i="16"/>
  <c r="N64" i="16"/>
  <c r="K64" i="16"/>
  <c r="F63" i="16"/>
  <c r="Q62" i="16"/>
  <c r="P62" i="16"/>
  <c r="N62" i="16"/>
  <c r="M62" i="16"/>
  <c r="K62" i="16"/>
  <c r="H62" i="16"/>
  <c r="H64" i="16" s="1"/>
  <c r="Q61" i="16"/>
  <c r="N61" i="16"/>
  <c r="M61" i="16"/>
  <c r="M64" i="16" s="1"/>
  <c r="K61" i="16"/>
  <c r="H61" i="16"/>
  <c r="G61" i="16"/>
  <c r="F60" i="16"/>
  <c r="F59" i="16"/>
  <c r="F58" i="16"/>
  <c r="F57" i="16"/>
  <c r="F56" i="16"/>
  <c r="F55" i="16"/>
  <c r="F54" i="16"/>
  <c r="F51" i="16"/>
  <c r="Q50" i="16"/>
  <c r="P50" i="16"/>
  <c r="N50" i="16"/>
  <c r="M50" i="16"/>
  <c r="K50" i="16"/>
  <c r="H50" i="16"/>
  <c r="Q49" i="16"/>
  <c r="N49" i="16"/>
  <c r="N52" i="16" s="1"/>
  <c r="M49" i="16"/>
  <c r="M52" i="16" s="1"/>
  <c r="K49" i="16"/>
  <c r="H49" i="16"/>
  <c r="G49" i="16"/>
  <c r="F48" i="16"/>
  <c r="F47" i="16"/>
  <c r="F46" i="16"/>
  <c r="F45" i="16"/>
  <c r="F44" i="16"/>
  <c r="F43" i="16"/>
  <c r="F42" i="16"/>
  <c r="H40" i="16"/>
  <c r="F39" i="16"/>
  <c r="Q38" i="16"/>
  <c r="P38" i="16"/>
  <c r="N38" i="16"/>
  <c r="Q37" i="16"/>
  <c r="N37" i="16"/>
  <c r="N40" i="16" s="1"/>
  <c r="M37" i="16"/>
  <c r="K37" i="16"/>
  <c r="H37" i="16"/>
  <c r="G37" i="16"/>
  <c r="F36" i="16"/>
  <c r="F35" i="16"/>
  <c r="F34" i="16"/>
  <c r="F33" i="16"/>
  <c r="F32" i="16"/>
  <c r="F31" i="16"/>
  <c r="F30" i="16"/>
  <c r="H28" i="16"/>
  <c r="F27" i="16"/>
  <c r="Q26" i="16"/>
  <c r="N26" i="16"/>
  <c r="M26" i="16"/>
  <c r="K26" i="16"/>
  <c r="H26" i="16"/>
  <c r="Q25" i="16"/>
  <c r="N25" i="16"/>
  <c r="N28" i="16" s="1"/>
  <c r="M25" i="16"/>
  <c r="K25" i="16"/>
  <c r="K28" i="16" s="1"/>
  <c r="H25" i="16"/>
  <c r="G25" i="16"/>
  <c r="F24" i="16"/>
  <c r="F23" i="16"/>
  <c r="F22" i="16"/>
  <c r="F21" i="16"/>
  <c r="F20" i="16"/>
  <c r="F19" i="16"/>
  <c r="F18" i="16"/>
  <c r="K16" i="16"/>
  <c r="F15" i="16"/>
  <c r="Q14" i="16"/>
  <c r="P14" i="16"/>
  <c r="N14" i="16"/>
  <c r="M14" i="16"/>
  <c r="M16" i="16" s="1"/>
  <c r="K14" i="16"/>
  <c r="H14" i="16"/>
  <c r="H16" i="16" s="1"/>
  <c r="Q13" i="16"/>
  <c r="N13" i="16"/>
  <c r="N16" i="16" s="1"/>
  <c r="M13" i="16"/>
  <c r="K13" i="16"/>
  <c r="H13" i="16"/>
  <c r="G13" i="16"/>
  <c r="F12" i="16"/>
  <c r="F11" i="16"/>
  <c r="F10" i="16"/>
  <c r="F9" i="16"/>
  <c r="F8" i="16"/>
  <c r="F7" i="16"/>
  <c r="F6" i="16"/>
  <c r="N136" i="15"/>
  <c r="F135" i="15"/>
  <c r="Q134" i="15"/>
  <c r="P134" i="15"/>
  <c r="O134" i="15"/>
  <c r="N134" i="15"/>
  <c r="M134" i="15"/>
  <c r="M136" i="15" s="1"/>
  <c r="K134" i="15"/>
  <c r="I134" i="15"/>
  <c r="H134" i="15"/>
  <c r="G134" i="15"/>
  <c r="Q133" i="15"/>
  <c r="O133" i="15"/>
  <c r="N133" i="15"/>
  <c r="M133" i="15"/>
  <c r="K133" i="15"/>
  <c r="I133" i="15"/>
  <c r="H133" i="15"/>
  <c r="H136" i="15" s="1"/>
  <c r="G133" i="15"/>
  <c r="G136" i="15" s="1"/>
  <c r="F132" i="15"/>
  <c r="F131" i="15"/>
  <c r="F130" i="15"/>
  <c r="F129" i="15"/>
  <c r="F128" i="15"/>
  <c r="F127" i="15"/>
  <c r="F126" i="15"/>
  <c r="I124" i="15"/>
  <c r="F123" i="15"/>
  <c r="Q122" i="15"/>
  <c r="K122" i="15"/>
  <c r="K124" i="15" s="1"/>
  <c r="I122" i="15"/>
  <c r="H122" i="15"/>
  <c r="H124" i="15" s="1"/>
  <c r="G122" i="15"/>
  <c r="Q121" i="15"/>
  <c r="O121" i="15"/>
  <c r="N121" i="15"/>
  <c r="M121" i="15"/>
  <c r="K121" i="15"/>
  <c r="I121" i="15"/>
  <c r="H121" i="15"/>
  <c r="G121" i="15"/>
  <c r="F120" i="15"/>
  <c r="F119" i="15"/>
  <c r="F118" i="15"/>
  <c r="F117" i="15"/>
  <c r="F116" i="15"/>
  <c r="F115" i="15"/>
  <c r="F114" i="15"/>
  <c r="F111" i="15"/>
  <c r="Q110" i="15"/>
  <c r="O110" i="15"/>
  <c r="K110" i="15"/>
  <c r="I110" i="15"/>
  <c r="H110" i="15"/>
  <c r="G110" i="15"/>
  <c r="Q109" i="15"/>
  <c r="O109" i="15"/>
  <c r="N109" i="15"/>
  <c r="M109" i="15"/>
  <c r="K109" i="15"/>
  <c r="K112" i="15" s="1"/>
  <c r="I109" i="15"/>
  <c r="H109" i="15"/>
  <c r="G109" i="15"/>
  <c r="G112" i="15" s="1"/>
  <c r="F108" i="15"/>
  <c r="F107" i="15"/>
  <c r="F106" i="15"/>
  <c r="F105" i="15"/>
  <c r="F104" i="15"/>
  <c r="F103" i="15"/>
  <c r="F102" i="15"/>
  <c r="I100" i="15"/>
  <c r="F99" i="15"/>
  <c r="Q98" i="15"/>
  <c r="O98" i="15"/>
  <c r="K98" i="15"/>
  <c r="K100" i="15" s="1"/>
  <c r="I98" i="15"/>
  <c r="H98" i="15"/>
  <c r="G98" i="15"/>
  <c r="Q97" i="15"/>
  <c r="O97" i="15"/>
  <c r="N97" i="15"/>
  <c r="M97" i="15"/>
  <c r="K97" i="15"/>
  <c r="I97" i="15"/>
  <c r="H97" i="15"/>
  <c r="H100" i="15" s="1"/>
  <c r="G97" i="15"/>
  <c r="F96" i="15"/>
  <c r="F95" i="15"/>
  <c r="F94" i="15"/>
  <c r="F93" i="15"/>
  <c r="F92" i="15"/>
  <c r="F91" i="15"/>
  <c r="F90" i="15"/>
  <c r="F87" i="15"/>
  <c r="Q86" i="15"/>
  <c r="P86" i="15"/>
  <c r="O86" i="15"/>
  <c r="M86" i="15"/>
  <c r="M88" i="15" s="1"/>
  <c r="K86" i="15"/>
  <c r="I86" i="15"/>
  <c r="H86" i="15"/>
  <c r="G86" i="15"/>
  <c r="Q85" i="15"/>
  <c r="O85" i="15"/>
  <c r="N85" i="15"/>
  <c r="M85" i="15"/>
  <c r="K85" i="15"/>
  <c r="K88" i="15" s="1"/>
  <c r="I85" i="15"/>
  <c r="I88" i="15" s="1"/>
  <c r="H85" i="15"/>
  <c r="H88" i="15" s="1"/>
  <c r="G85" i="15"/>
  <c r="F84" i="15"/>
  <c r="F83" i="15"/>
  <c r="F82" i="15"/>
  <c r="F81" i="15"/>
  <c r="F80" i="15"/>
  <c r="F79" i="15"/>
  <c r="F78" i="15"/>
  <c r="I76" i="15"/>
  <c r="G76" i="15"/>
  <c r="F75" i="15"/>
  <c r="Q74" i="15"/>
  <c r="K74" i="15"/>
  <c r="K76" i="15" s="1"/>
  <c r="I74" i="15"/>
  <c r="H74" i="15"/>
  <c r="H76" i="15" s="1"/>
  <c r="G74" i="15"/>
  <c r="Q73" i="15"/>
  <c r="O73" i="15"/>
  <c r="N73" i="15"/>
  <c r="M73" i="15"/>
  <c r="K73" i="15"/>
  <c r="I73" i="15"/>
  <c r="H73" i="15"/>
  <c r="G73" i="15"/>
  <c r="F72" i="15"/>
  <c r="F71" i="15"/>
  <c r="F70" i="15"/>
  <c r="F69" i="15"/>
  <c r="F68" i="15"/>
  <c r="F67" i="15"/>
  <c r="F66" i="15"/>
  <c r="F63" i="15"/>
  <c r="Q62" i="15"/>
  <c r="O62" i="15"/>
  <c r="K62" i="15"/>
  <c r="I62" i="15"/>
  <c r="I64" i="15" s="1"/>
  <c r="H62" i="15"/>
  <c r="G62" i="15"/>
  <c r="Q61" i="15"/>
  <c r="O61" i="15"/>
  <c r="N61" i="15"/>
  <c r="M61" i="15"/>
  <c r="K61" i="15"/>
  <c r="I61" i="15"/>
  <c r="H61" i="15"/>
  <c r="G61" i="15"/>
  <c r="G64" i="15" s="1"/>
  <c r="F60" i="15"/>
  <c r="F59" i="15"/>
  <c r="F58" i="15"/>
  <c r="F57" i="15"/>
  <c r="F56" i="15"/>
  <c r="F55" i="15"/>
  <c r="F54" i="15"/>
  <c r="K52" i="15"/>
  <c r="F51" i="15"/>
  <c r="Q50" i="15"/>
  <c r="K50" i="15"/>
  <c r="I50" i="15"/>
  <c r="I52" i="15" s="1"/>
  <c r="H50" i="15"/>
  <c r="G50" i="15"/>
  <c r="G52" i="15" s="1"/>
  <c r="Q49" i="15"/>
  <c r="O49" i="15"/>
  <c r="N49" i="15"/>
  <c r="M49" i="15"/>
  <c r="K49" i="15"/>
  <c r="I49" i="15"/>
  <c r="H49" i="15"/>
  <c r="G49" i="15"/>
  <c r="F48" i="15"/>
  <c r="F47" i="15"/>
  <c r="F46" i="15"/>
  <c r="F45" i="15"/>
  <c r="F44" i="15"/>
  <c r="F43" i="15"/>
  <c r="F42" i="15"/>
  <c r="I40" i="15"/>
  <c r="F39" i="15"/>
  <c r="Q38" i="15"/>
  <c r="O38" i="15"/>
  <c r="K38" i="15"/>
  <c r="I38" i="15"/>
  <c r="H38" i="15"/>
  <c r="G38" i="15"/>
  <c r="Q37" i="15"/>
  <c r="O37" i="15"/>
  <c r="N37" i="15"/>
  <c r="M37" i="15"/>
  <c r="K37" i="15"/>
  <c r="K40" i="15" s="1"/>
  <c r="I37" i="15"/>
  <c r="H37" i="15"/>
  <c r="H40" i="15" s="1"/>
  <c r="G37" i="15"/>
  <c r="G40" i="15" s="1"/>
  <c r="F36" i="15"/>
  <c r="F35" i="15"/>
  <c r="F34" i="15"/>
  <c r="F33" i="15"/>
  <c r="F32" i="15"/>
  <c r="F31" i="15"/>
  <c r="F30" i="15"/>
  <c r="K28" i="15"/>
  <c r="F27" i="15"/>
  <c r="Q26" i="15"/>
  <c r="P26" i="15"/>
  <c r="K26" i="15"/>
  <c r="I26" i="15"/>
  <c r="H26" i="15"/>
  <c r="H28" i="15" s="1"/>
  <c r="G26" i="15"/>
  <c r="Q25" i="15"/>
  <c r="O25" i="15"/>
  <c r="N25" i="15"/>
  <c r="M25" i="15"/>
  <c r="K25" i="15"/>
  <c r="I25" i="15"/>
  <c r="H25" i="15"/>
  <c r="G25" i="15"/>
  <c r="F24" i="15"/>
  <c r="F23" i="15"/>
  <c r="F22" i="15"/>
  <c r="F21" i="15"/>
  <c r="F20" i="15"/>
  <c r="F19" i="15"/>
  <c r="F18" i="15"/>
  <c r="F15" i="15"/>
  <c r="Q14" i="15"/>
  <c r="O14" i="15"/>
  <c r="K14" i="15"/>
  <c r="I14" i="15"/>
  <c r="H14" i="15"/>
  <c r="G14" i="15"/>
  <c r="Q13" i="15"/>
  <c r="O13" i="15"/>
  <c r="N13" i="15"/>
  <c r="M13" i="15"/>
  <c r="K13" i="15"/>
  <c r="I13" i="15"/>
  <c r="H13" i="15"/>
  <c r="G13" i="15"/>
  <c r="F12" i="15"/>
  <c r="F11" i="15"/>
  <c r="F10" i="15"/>
  <c r="F9" i="15"/>
  <c r="F8" i="15"/>
  <c r="F7" i="15"/>
  <c r="F6" i="15"/>
  <c r="AH47" i="14"/>
  <c r="AD46" i="14"/>
  <c r="AH45" i="14"/>
  <c r="AH50" i="14" s="1"/>
  <c r="AD42" i="14"/>
  <c r="G42" i="14"/>
  <c r="F42" i="14"/>
  <c r="F41" i="14"/>
  <c r="AH40" i="14"/>
  <c r="AD40" i="14"/>
  <c r="AD30" i="14"/>
  <c r="Z28" i="14"/>
  <c r="AD25" i="14"/>
  <c r="Z25" i="14"/>
  <c r="Z30" i="14" s="1"/>
  <c r="G25" i="14"/>
  <c r="G30" i="14" s="1"/>
  <c r="AP24" i="14"/>
  <c r="AP29" i="14" s="1"/>
  <c r="AH24" i="14"/>
  <c r="AH29" i="14" s="1"/>
  <c r="F24" i="14"/>
  <c r="F29" i="14" s="1"/>
  <c r="AP23" i="14"/>
  <c r="AP28" i="14" s="1"/>
  <c r="AE23" i="14"/>
  <c r="AE28" i="14" s="1"/>
  <c r="Z23" i="14"/>
  <c r="F23" i="14"/>
  <c r="F28" i="14" s="1"/>
  <c r="AP21" i="14"/>
  <c r="AL21" i="14"/>
  <c r="AH21" i="14"/>
  <c r="AD21" i="14"/>
  <c r="Z21" i="14"/>
  <c r="V21" i="14"/>
  <c r="R21" i="14"/>
  <c r="N21" i="14"/>
  <c r="J21" i="14"/>
  <c r="F21" i="14"/>
  <c r="B21" i="14"/>
  <c r="AS8" i="14"/>
  <c r="AQ8" i="14"/>
  <c r="AP8" i="14"/>
  <c r="AG8" i="14"/>
  <c r="AE8" i="14"/>
  <c r="L21" i="13"/>
  <c r="K21" i="13"/>
  <c r="J21" i="13"/>
  <c r="I21" i="13"/>
  <c r="I73" i="12" s="1"/>
  <c r="H21" i="13"/>
  <c r="G21" i="13"/>
  <c r="F21" i="13"/>
  <c r="E21" i="13"/>
  <c r="D21" i="13"/>
  <c r="C21" i="13"/>
  <c r="C72" i="12" s="1"/>
  <c r="B21" i="13"/>
  <c r="L12" i="13"/>
  <c r="L6" i="12" s="1"/>
  <c r="L21" i="12" s="1"/>
  <c r="K12" i="13"/>
  <c r="K6" i="12" s="1"/>
  <c r="J12" i="13"/>
  <c r="J6" i="12" s="1"/>
  <c r="I12" i="13"/>
  <c r="I6" i="12" s="1"/>
  <c r="I21" i="12" s="1"/>
  <c r="H12" i="13"/>
  <c r="G12" i="13"/>
  <c r="F12" i="13"/>
  <c r="D12" i="13"/>
  <c r="D6" i="12" s="1"/>
  <c r="C12" i="13"/>
  <c r="C6" i="12" s="1"/>
  <c r="C21" i="12" s="1"/>
  <c r="B12" i="13"/>
  <c r="J11" i="13"/>
  <c r="E11" i="13" s="1"/>
  <c r="L10" i="13"/>
  <c r="K10" i="13"/>
  <c r="I10" i="13"/>
  <c r="H10" i="13"/>
  <c r="G10" i="13"/>
  <c r="F10" i="13"/>
  <c r="D10" i="13"/>
  <c r="C10" i="13"/>
  <c r="B10" i="13"/>
  <c r="J9" i="13"/>
  <c r="E9" i="13"/>
  <c r="L8" i="13"/>
  <c r="K8" i="13"/>
  <c r="J8" i="13"/>
  <c r="I8" i="13"/>
  <c r="H8" i="13"/>
  <c r="H17" i="12" s="1"/>
  <c r="H21" i="12" s="1"/>
  <c r="G8" i="13"/>
  <c r="F8" i="13"/>
  <c r="D8" i="13"/>
  <c r="D17" i="12" s="1"/>
  <c r="C8" i="13"/>
  <c r="B8" i="13"/>
  <c r="J7" i="13"/>
  <c r="E7" i="13" s="1"/>
  <c r="E8" i="13" s="1"/>
  <c r="J6" i="13"/>
  <c r="E6" i="13"/>
  <c r="L105" i="12"/>
  <c r="K105" i="12"/>
  <c r="J105" i="12"/>
  <c r="I105" i="12"/>
  <c r="H105" i="12"/>
  <c r="G105" i="12"/>
  <c r="F105" i="12"/>
  <c r="E105" i="12"/>
  <c r="D105" i="12"/>
  <c r="C105" i="12"/>
  <c r="B105" i="12"/>
  <c r="L92" i="12"/>
  <c r="K92" i="12"/>
  <c r="J92" i="12"/>
  <c r="I92" i="12"/>
  <c r="H92" i="12"/>
  <c r="G92" i="12"/>
  <c r="F92" i="12"/>
  <c r="E92" i="12"/>
  <c r="D92" i="12"/>
  <c r="C92" i="12"/>
  <c r="B92" i="12"/>
  <c r="B89" i="12"/>
  <c r="B88" i="12"/>
  <c r="B84" i="12"/>
  <c r="B83" i="12"/>
  <c r="K73" i="12"/>
  <c r="J73" i="12"/>
  <c r="E73" i="12"/>
  <c r="D73" i="12"/>
  <c r="C73" i="12"/>
  <c r="B73" i="12"/>
  <c r="K72" i="12"/>
  <c r="J72" i="12"/>
  <c r="I72" i="12"/>
  <c r="E72" i="12"/>
  <c r="D72" i="12"/>
  <c r="B72" i="12"/>
  <c r="K71" i="12"/>
  <c r="J71" i="12"/>
  <c r="I71" i="12"/>
  <c r="E71" i="12"/>
  <c r="D71" i="12"/>
  <c r="C71" i="12"/>
  <c r="B71" i="12"/>
  <c r="K70" i="12"/>
  <c r="J70" i="12"/>
  <c r="I70" i="12"/>
  <c r="H70" i="12"/>
  <c r="E70" i="12"/>
  <c r="D70" i="12"/>
  <c r="B70" i="12"/>
  <c r="K69" i="12"/>
  <c r="J69" i="12"/>
  <c r="E69" i="12"/>
  <c r="D69" i="12"/>
  <c r="C69" i="12"/>
  <c r="B69" i="12"/>
  <c r="L51" i="12"/>
  <c r="K51" i="12"/>
  <c r="J51" i="12"/>
  <c r="I51" i="12"/>
  <c r="H51" i="12"/>
  <c r="G51" i="12"/>
  <c r="F51" i="12"/>
  <c r="E51" i="12"/>
  <c r="D51" i="12"/>
  <c r="C51" i="12"/>
  <c r="B51" i="12"/>
  <c r="B49" i="12"/>
  <c r="B48" i="12"/>
  <c r="L36" i="12"/>
  <c r="K36" i="12"/>
  <c r="J36" i="12"/>
  <c r="I36" i="12"/>
  <c r="H36" i="12"/>
  <c r="G36" i="12"/>
  <c r="F36" i="12"/>
  <c r="E36" i="12"/>
  <c r="D36" i="12"/>
  <c r="C36" i="12"/>
  <c r="B36" i="12"/>
  <c r="B34" i="12"/>
  <c r="B33" i="12"/>
  <c r="V28" i="12"/>
  <c r="V27" i="12"/>
  <c r="V26" i="12"/>
  <c r="V25" i="12"/>
  <c r="V24" i="12"/>
  <c r="V23" i="12"/>
  <c r="V21" i="12"/>
  <c r="K21" i="12"/>
  <c r="D21" i="12"/>
  <c r="V20" i="12"/>
  <c r="J20" i="12"/>
  <c r="E20" i="12"/>
  <c r="V19" i="12"/>
  <c r="L19" i="12"/>
  <c r="K19" i="12"/>
  <c r="J19" i="12"/>
  <c r="I19" i="12"/>
  <c r="H19" i="12"/>
  <c r="G19" i="12"/>
  <c r="F19" i="12"/>
  <c r="E19" i="12"/>
  <c r="D19" i="12"/>
  <c r="C19" i="12"/>
  <c r="B19" i="12"/>
  <c r="V18" i="12"/>
  <c r="B18" i="12"/>
  <c r="L17" i="12"/>
  <c r="K17" i="12"/>
  <c r="I17" i="12"/>
  <c r="C17" i="12"/>
  <c r="B17" i="12"/>
  <c r="L16" i="12"/>
  <c r="K16" i="12"/>
  <c r="J16" i="12"/>
  <c r="I16" i="12"/>
  <c r="H16" i="12"/>
  <c r="G16" i="12"/>
  <c r="F16" i="12"/>
  <c r="E16" i="12"/>
  <c r="D16" i="12"/>
  <c r="C16" i="12"/>
  <c r="B16" i="12"/>
  <c r="L14" i="12"/>
  <c r="K14" i="12"/>
  <c r="K18" i="12" s="1"/>
  <c r="J14" i="12"/>
  <c r="I14" i="12"/>
  <c r="I18" i="12" s="1"/>
  <c r="H14" i="12"/>
  <c r="H18" i="12" s="1"/>
  <c r="G14" i="12"/>
  <c r="F14" i="12"/>
  <c r="E14" i="12"/>
  <c r="D14" i="12"/>
  <c r="D18" i="12" s="1"/>
  <c r="C14" i="12"/>
  <c r="B14" i="12"/>
  <c r="V13" i="12"/>
  <c r="V29" i="12" s="1"/>
  <c r="K11" i="12" s="1"/>
  <c r="L12" i="12"/>
  <c r="K12" i="12"/>
  <c r="E12" i="12"/>
  <c r="D12" i="12"/>
  <c r="C12" i="12"/>
  <c r="V11" i="12"/>
  <c r="I11" i="12"/>
  <c r="H11" i="12"/>
  <c r="H27" i="11" s="1"/>
  <c r="J9" i="12"/>
  <c r="E9" i="12"/>
  <c r="K7" i="12"/>
  <c r="J7" i="12"/>
  <c r="I7" i="12"/>
  <c r="H7" i="12"/>
  <c r="G7" i="12"/>
  <c r="F7" i="12"/>
  <c r="E7" i="12"/>
  <c r="D7" i="12"/>
  <c r="C7" i="12"/>
  <c r="H6" i="12"/>
  <c r="G6" i="12"/>
  <c r="F6" i="12"/>
  <c r="B6" i="12"/>
  <c r="B21" i="12" s="1"/>
  <c r="L5" i="12"/>
  <c r="K5" i="12"/>
  <c r="J5" i="12"/>
  <c r="I5" i="12"/>
  <c r="H5" i="12"/>
  <c r="G5" i="12"/>
  <c r="F5" i="12"/>
  <c r="E5" i="12"/>
  <c r="D5" i="12"/>
  <c r="C5" i="12"/>
  <c r="B5" i="12"/>
  <c r="E32" i="11"/>
  <c r="G22" i="11"/>
  <c r="F22" i="11"/>
  <c r="E22" i="11"/>
  <c r="D22" i="11"/>
  <c r="H17" i="11"/>
  <c r="H22" i="11" s="1"/>
  <c r="E17" i="11"/>
  <c r="D17" i="11"/>
  <c r="C17" i="11"/>
  <c r="B17" i="11"/>
  <c r="L12" i="11"/>
  <c r="K12" i="11"/>
  <c r="J12" i="11"/>
  <c r="I12" i="11"/>
  <c r="H12" i="11"/>
  <c r="G12" i="11"/>
  <c r="G17" i="11" s="1"/>
  <c r="F12" i="11"/>
  <c r="F17" i="11" s="1"/>
  <c r="E12" i="11"/>
  <c r="D12" i="11"/>
  <c r="C12" i="11"/>
  <c r="B12" i="11"/>
  <c r="K7" i="11"/>
  <c r="J7" i="11"/>
  <c r="I7" i="11"/>
  <c r="E7" i="11"/>
  <c r="D7" i="11"/>
  <c r="C7" i="11"/>
  <c r="B7" i="11"/>
  <c r="L6" i="11"/>
  <c r="K6" i="11"/>
  <c r="J6" i="11"/>
  <c r="AH42" i="14" s="1"/>
  <c r="I6" i="11"/>
  <c r="AD41" i="14" s="1"/>
  <c r="H6" i="11"/>
  <c r="Z42" i="14" s="1"/>
  <c r="G6" i="11"/>
  <c r="F6" i="11"/>
  <c r="E6" i="11"/>
  <c r="D6" i="11"/>
  <c r="C6" i="11"/>
  <c r="F25" i="14" s="1"/>
  <c r="F30" i="14" s="1"/>
  <c r="B6" i="11"/>
  <c r="M61" i="9"/>
  <c r="M56" i="9"/>
  <c r="M51" i="9"/>
  <c r="M46" i="9"/>
  <c r="M41" i="9"/>
  <c r="M36" i="9"/>
  <c r="M31" i="9"/>
  <c r="M26" i="9"/>
  <c r="M21" i="9"/>
  <c r="M16" i="9"/>
  <c r="M11" i="9"/>
  <c r="U17" i="7"/>
  <c r="T17" i="7"/>
  <c r="U16" i="7"/>
  <c r="T16" i="7"/>
  <c r="U15" i="7"/>
  <c r="T15" i="7"/>
  <c r="U14" i="7"/>
  <c r="T14" i="7"/>
  <c r="U13" i="7"/>
  <c r="T13" i="7"/>
  <c r="U12" i="7"/>
  <c r="T12" i="7"/>
  <c r="U11" i="7"/>
  <c r="T11" i="7"/>
  <c r="U10" i="7"/>
  <c r="T10" i="7"/>
  <c r="U9" i="7"/>
  <c r="T9" i="7"/>
  <c r="U8" i="7"/>
  <c r="T8" i="7"/>
  <c r="U7" i="7"/>
  <c r="T7" i="7"/>
  <c r="U17" i="3"/>
  <c r="T17" i="3"/>
  <c r="U16" i="3"/>
  <c r="T16" i="3"/>
  <c r="U15" i="3"/>
  <c r="T15" i="3"/>
  <c r="U14" i="3"/>
  <c r="T14" i="3"/>
  <c r="U13" i="3"/>
  <c r="T13" i="3"/>
  <c r="U12" i="3"/>
  <c r="T12" i="3"/>
  <c r="U11" i="3"/>
  <c r="T11" i="3"/>
  <c r="U10" i="3"/>
  <c r="T10" i="3"/>
  <c r="U9" i="3"/>
  <c r="T9" i="3"/>
  <c r="U8" i="3"/>
  <c r="T8" i="3"/>
  <c r="U7" i="3"/>
  <c r="T7" i="3"/>
  <c r="U17" i="5"/>
  <c r="T17" i="5"/>
  <c r="U16" i="5"/>
  <c r="T16" i="5"/>
  <c r="U15" i="5"/>
  <c r="T15" i="5"/>
  <c r="U14" i="5"/>
  <c r="T14" i="5"/>
  <c r="U13" i="5"/>
  <c r="T13" i="5"/>
  <c r="U12" i="5"/>
  <c r="T12" i="5"/>
  <c r="U11" i="5"/>
  <c r="T11" i="5"/>
  <c r="U10" i="5"/>
  <c r="T10" i="5"/>
  <c r="U9" i="5"/>
  <c r="T9" i="5"/>
  <c r="U8" i="5"/>
  <c r="T8" i="5"/>
  <c r="U7" i="5"/>
  <c r="T7" i="5"/>
  <c r="H122" i="17" l="1"/>
  <c r="H86" i="17"/>
  <c r="H50" i="17"/>
  <c r="H98" i="17"/>
  <c r="H38" i="17"/>
  <c r="H26" i="17"/>
  <c r="H62" i="17"/>
  <c r="G22" i="19"/>
  <c r="H134" i="17"/>
  <c r="H74" i="17"/>
  <c r="H76" i="17" s="1"/>
  <c r="H14" i="17"/>
  <c r="H110" i="17"/>
  <c r="F110" i="17" s="1"/>
  <c r="I86" i="17"/>
  <c r="I88" i="17" s="1"/>
  <c r="F88" i="17" s="1"/>
  <c r="I50" i="17"/>
  <c r="I14" i="17"/>
  <c r="I16" i="17" s="1"/>
  <c r="I38" i="17"/>
  <c r="I26" i="17"/>
  <c r="I28" i="17" s="1"/>
  <c r="I74" i="17"/>
  <c r="I76" i="17" s="1"/>
  <c r="I98" i="17"/>
  <c r="I100" i="17" s="1"/>
  <c r="I62" i="17"/>
  <c r="I64" i="17" s="1"/>
  <c r="I122" i="17"/>
  <c r="H22" i="19"/>
  <c r="I134" i="17"/>
  <c r="I136" i="17" s="1"/>
  <c r="I110" i="17"/>
  <c r="AH52" i="14"/>
  <c r="AH64" i="14"/>
  <c r="AH69" i="14" s="1"/>
  <c r="D37" i="11"/>
  <c r="AE25" i="14"/>
  <c r="AE30" i="14" s="1"/>
  <c r="AE42" i="14"/>
  <c r="AE24" i="14"/>
  <c r="AE29" i="14" s="1"/>
  <c r="AE41" i="14"/>
  <c r="I10" i="11"/>
  <c r="AE40" i="14"/>
  <c r="I13" i="11"/>
  <c r="O25" i="14"/>
  <c r="O30" i="14" s="1"/>
  <c r="O42" i="14"/>
  <c r="O41" i="14"/>
  <c r="O40" i="14"/>
  <c r="O23" i="14"/>
  <c r="O28" i="14" s="1"/>
  <c r="O24" i="14"/>
  <c r="O29" i="14" s="1"/>
  <c r="E13" i="11"/>
  <c r="J17" i="11"/>
  <c r="J27" i="11"/>
  <c r="B22" i="11"/>
  <c r="G130" i="14"/>
  <c r="G47" i="14"/>
  <c r="I27" i="11"/>
  <c r="I17" i="11"/>
  <c r="P98" i="17"/>
  <c r="P62" i="17"/>
  <c r="P26" i="17"/>
  <c r="P86" i="17"/>
  <c r="P74" i="17"/>
  <c r="P134" i="17"/>
  <c r="P14" i="17"/>
  <c r="P110" i="17"/>
  <c r="P122" i="17"/>
  <c r="P50" i="17"/>
  <c r="P38" i="17"/>
  <c r="C22" i="11"/>
  <c r="C42" i="14"/>
  <c r="C41" i="14"/>
  <c r="C40" i="14"/>
  <c r="C25" i="14"/>
  <c r="C30" i="14" s="1"/>
  <c r="C24" i="14"/>
  <c r="C29" i="14" s="1"/>
  <c r="C23" i="14"/>
  <c r="C28" i="14" s="1"/>
  <c r="B13" i="11"/>
  <c r="G23" i="14"/>
  <c r="G28" i="14" s="1"/>
  <c r="G40" i="14"/>
  <c r="C13" i="11"/>
  <c r="G24" i="14"/>
  <c r="G29" i="14" s="1"/>
  <c r="G41" i="14"/>
  <c r="AD45" i="14"/>
  <c r="K24" i="14"/>
  <c r="K29" i="14" s="1"/>
  <c r="K41" i="14"/>
  <c r="K42" i="14"/>
  <c r="K23" i="14"/>
  <c r="K28" i="14" s="1"/>
  <c r="K25" i="14"/>
  <c r="K30" i="14" s="1"/>
  <c r="K40" i="14"/>
  <c r="D13" i="11"/>
  <c r="K32" i="11"/>
  <c r="K17" i="11"/>
  <c r="K27" i="11"/>
  <c r="H9" i="11"/>
  <c r="H8" i="11"/>
  <c r="AM23" i="14"/>
  <c r="AM28" i="14" s="1"/>
  <c r="AM40" i="14"/>
  <c r="AM25" i="14"/>
  <c r="AM30" i="14" s="1"/>
  <c r="AM42" i="14"/>
  <c r="AM41" i="14"/>
  <c r="AM24" i="14"/>
  <c r="AM29" i="14" s="1"/>
  <c r="K10" i="11"/>
  <c r="K13" i="11"/>
  <c r="N41" i="14"/>
  <c r="N24" i="14"/>
  <c r="N29" i="14" s="1"/>
  <c r="N42" i="14"/>
  <c r="N25" i="14"/>
  <c r="N30" i="14" s="1"/>
  <c r="N40" i="14"/>
  <c r="N23" i="14"/>
  <c r="N28" i="14" s="1"/>
  <c r="I9" i="11"/>
  <c r="I8" i="11"/>
  <c r="F70" i="12"/>
  <c r="F73" i="12"/>
  <c r="F69" i="12"/>
  <c r="F71" i="12"/>
  <c r="H124" i="17"/>
  <c r="K9" i="11"/>
  <c r="K8" i="11"/>
  <c r="F72" i="12"/>
  <c r="B42" i="14"/>
  <c r="B23" i="14"/>
  <c r="B28" i="14" s="1"/>
  <c r="B41" i="14"/>
  <c r="B40" i="14"/>
  <c r="B25" i="14"/>
  <c r="B30" i="14" s="1"/>
  <c r="B24" i="14"/>
  <c r="B29" i="14" s="1"/>
  <c r="AI23" i="14"/>
  <c r="AI28" i="14" s="1"/>
  <c r="AI42" i="14"/>
  <c r="AI41" i="14"/>
  <c r="AI40" i="14"/>
  <c r="AI24" i="14"/>
  <c r="AI29" i="14" s="1"/>
  <c r="AI25" i="14"/>
  <c r="AI30" i="14" s="1"/>
  <c r="J13" i="11"/>
  <c r="H7" i="11"/>
  <c r="F7" i="11"/>
  <c r="G7" i="11"/>
  <c r="J40" i="14"/>
  <c r="J24" i="14"/>
  <c r="J29" i="14" s="1"/>
  <c r="J42" i="14"/>
  <c r="J41" i="14"/>
  <c r="J23" i="14"/>
  <c r="J25" i="14"/>
  <c r="J30" i="14" s="1"/>
  <c r="L7" i="11"/>
  <c r="F11" i="12"/>
  <c r="F27" i="11" s="1"/>
  <c r="F37" i="11" s="1"/>
  <c r="E11" i="12"/>
  <c r="E27" i="11" s="1"/>
  <c r="E37" i="11" s="1"/>
  <c r="D11" i="12"/>
  <c r="C11" i="12"/>
  <c r="C27" i="11" s="1"/>
  <c r="B11" i="12"/>
  <c r="B27" i="11" s="1"/>
  <c r="L11" i="12"/>
  <c r="J11" i="12"/>
  <c r="G11" i="12"/>
  <c r="G27" i="11" s="1"/>
  <c r="E10" i="13"/>
  <c r="E17" i="12" s="1"/>
  <c r="E18" i="12" s="1"/>
  <c r="F46" i="14"/>
  <c r="C18" i="12"/>
  <c r="AP40" i="14"/>
  <c r="AP25" i="14"/>
  <c r="AP30" i="14" s="1"/>
  <c r="AP42" i="14"/>
  <c r="AP41" i="14"/>
  <c r="D8" i="11"/>
  <c r="D10" i="11" s="1"/>
  <c r="D9" i="11"/>
  <c r="F130" i="14"/>
  <c r="F47" i="14"/>
  <c r="L32" i="11"/>
  <c r="L27" i="11"/>
  <c r="G18" i="12"/>
  <c r="H52" i="15"/>
  <c r="F50" i="15"/>
  <c r="R42" i="14"/>
  <c r="R23" i="14"/>
  <c r="R28" i="14" s="1"/>
  <c r="R41" i="14"/>
  <c r="R40" i="14"/>
  <c r="R25" i="14"/>
  <c r="R30" i="14" s="1"/>
  <c r="R24" i="14"/>
  <c r="R29" i="14" s="1"/>
  <c r="L18" i="12"/>
  <c r="G70" i="12"/>
  <c r="G73" i="12"/>
  <c r="G69" i="12"/>
  <c r="G71" i="12"/>
  <c r="G72" i="12"/>
  <c r="V42" i="14"/>
  <c r="V41" i="14"/>
  <c r="V40" i="14"/>
  <c r="V25" i="14"/>
  <c r="V30" i="14" s="1"/>
  <c r="V24" i="14"/>
  <c r="V29" i="14" s="1"/>
  <c r="V23" i="14"/>
  <c r="V28" i="14" s="1"/>
  <c r="H73" i="12"/>
  <c r="H69" i="12"/>
  <c r="H72" i="12"/>
  <c r="H71" i="12"/>
  <c r="Z130" i="14"/>
  <c r="Z47" i="14"/>
  <c r="C32" i="11"/>
  <c r="B8" i="11"/>
  <c r="B10" i="11" s="1"/>
  <c r="B9" i="11"/>
  <c r="D27" i="11"/>
  <c r="D32" i="11"/>
  <c r="L17" i="11"/>
  <c r="E12" i="13"/>
  <c r="E6" i="12" s="1"/>
  <c r="J18" i="12"/>
  <c r="G28" i="15"/>
  <c r="Z40" i="14"/>
  <c r="Z24" i="14"/>
  <c r="Z29" i="14" s="1"/>
  <c r="G37" i="11"/>
  <c r="J12" i="12"/>
  <c r="J32" i="11" s="1"/>
  <c r="I12" i="12"/>
  <c r="I32" i="11" s="1"/>
  <c r="H12" i="12"/>
  <c r="H32" i="11" s="1"/>
  <c r="G12" i="12"/>
  <c r="G32" i="11" s="1"/>
  <c r="F12" i="12"/>
  <c r="F32" i="11" s="1"/>
  <c r="B12" i="12"/>
  <c r="F40" i="14"/>
  <c r="Z41" i="14"/>
  <c r="N40" i="15"/>
  <c r="F17" i="12"/>
  <c r="AD51" i="14"/>
  <c r="AL23" i="14"/>
  <c r="AL28" i="14" s="1"/>
  <c r="AL25" i="14"/>
  <c r="AL30" i="14" s="1"/>
  <c r="AL42" i="14"/>
  <c r="AL41" i="14"/>
  <c r="AL40" i="14"/>
  <c r="AL24" i="14"/>
  <c r="AL29" i="14" s="1"/>
  <c r="G17" i="12"/>
  <c r="G21" i="12" s="1"/>
  <c r="E23" i="19"/>
  <c r="E22" i="19" s="1"/>
  <c r="M14" i="15"/>
  <c r="L22" i="19"/>
  <c r="M74" i="15"/>
  <c r="M76" i="15" s="1"/>
  <c r="F76" i="15" s="1"/>
  <c r="M50" i="15"/>
  <c r="M26" i="15"/>
  <c r="M28" i="15" s="1"/>
  <c r="M98" i="15"/>
  <c r="M100" i="15" s="1"/>
  <c r="M38" i="15"/>
  <c r="M40" i="15" s="1"/>
  <c r="F40" i="15" s="1"/>
  <c r="M122" i="15"/>
  <c r="M124" i="15" s="1"/>
  <c r="M62" i="15"/>
  <c r="F62" i="15" s="1"/>
  <c r="J50" i="17"/>
  <c r="F50" i="17" s="1"/>
  <c r="J14" i="17"/>
  <c r="J16" i="17" s="1"/>
  <c r="J98" i="17"/>
  <c r="J100" i="17" s="1"/>
  <c r="J26" i="17"/>
  <c r="J28" i="17" s="1"/>
  <c r="I22" i="19"/>
  <c r="J62" i="17"/>
  <c r="J64" i="17" s="1"/>
  <c r="J122" i="17"/>
  <c r="J38" i="17"/>
  <c r="J40" i="17" s="1"/>
  <c r="J134" i="17"/>
  <c r="J136" i="17" s="1"/>
  <c r="J74" i="17"/>
  <c r="J76" i="17" s="1"/>
  <c r="J110" i="17"/>
  <c r="AD130" i="14"/>
  <c r="AD47" i="14"/>
  <c r="G76" i="16"/>
  <c r="M22" i="19"/>
  <c r="N86" i="15"/>
  <c r="N88" i="15" s="1"/>
  <c r="N74" i="15"/>
  <c r="N50" i="15"/>
  <c r="N26" i="15"/>
  <c r="N28" i="15" s="1"/>
  <c r="N38" i="15"/>
  <c r="N62" i="15"/>
  <c r="N14" i="15"/>
  <c r="N122" i="15"/>
  <c r="N98" i="15"/>
  <c r="K14" i="17"/>
  <c r="K16" i="17" s="1"/>
  <c r="K134" i="17"/>
  <c r="K136" i="17" s="1"/>
  <c r="K50" i="17"/>
  <c r="K38" i="17"/>
  <c r="K40" i="17" s="1"/>
  <c r="K26" i="17"/>
  <c r="K28" i="17" s="1"/>
  <c r="K86" i="17"/>
  <c r="K88" i="17" s="1"/>
  <c r="K62" i="17"/>
  <c r="K64" i="17" s="1"/>
  <c r="K122" i="17"/>
  <c r="K124" i="17" s="1"/>
  <c r="K98" i="17"/>
  <c r="J22" i="19"/>
  <c r="K110" i="17"/>
  <c r="B32" i="11"/>
  <c r="AH41" i="14"/>
  <c r="G100" i="15"/>
  <c r="AH130" i="14"/>
  <c r="I69" i="12"/>
  <c r="AD23" i="14"/>
  <c r="AD28" i="14" s="1"/>
  <c r="AH25" i="14"/>
  <c r="AH30" i="14" s="1"/>
  <c r="F52" i="15"/>
  <c r="N76" i="15"/>
  <c r="K74" i="17"/>
  <c r="K76" i="17" s="1"/>
  <c r="G122" i="16"/>
  <c r="F122" i="16" s="1"/>
  <c r="G86" i="16"/>
  <c r="G110" i="16"/>
  <c r="G134" i="16"/>
  <c r="F134" i="16" s="1"/>
  <c r="F22" i="19"/>
  <c r="G74" i="16"/>
  <c r="G38" i="16"/>
  <c r="G26" i="16"/>
  <c r="F26" i="16" s="1"/>
  <c r="G98" i="16"/>
  <c r="F98" i="16" s="1"/>
  <c r="G62" i="16"/>
  <c r="G14" i="16"/>
  <c r="F14" i="16" s="1"/>
  <c r="Q62" i="17"/>
  <c r="Q26" i="17"/>
  <c r="P22" i="19"/>
  <c r="Q74" i="17"/>
  <c r="Q134" i="17"/>
  <c r="Q14" i="17"/>
  <c r="Q98" i="17"/>
  <c r="Q122" i="17"/>
  <c r="Q86" i="17"/>
  <c r="Q50" i="17"/>
  <c r="Q110" i="17"/>
  <c r="I28" i="15"/>
  <c r="G124" i="15"/>
  <c r="C70" i="12"/>
  <c r="AH23" i="14"/>
  <c r="AH28" i="14" s="1"/>
  <c r="AH62" i="14"/>
  <c r="AH67" i="14" s="1"/>
  <c r="M110" i="15"/>
  <c r="G50" i="16"/>
  <c r="J86" i="17"/>
  <c r="N110" i="15"/>
  <c r="N112" i="15" s="1"/>
  <c r="AD24" i="14"/>
  <c r="AD29" i="14" s="1"/>
  <c r="N136" i="17"/>
  <c r="J10" i="13"/>
  <c r="J17" i="12" s="1"/>
  <c r="J21" i="12" s="1"/>
  <c r="I40" i="17"/>
  <c r="G124" i="16"/>
  <c r="F124" i="16" s="1"/>
  <c r="H52" i="17"/>
  <c r="N64" i="15"/>
  <c r="F88" i="18"/>
  <c r="G88" i="15"/>
  <c r="N52" i="15"/>
  <c r="M28" i="16"/>
  <c r="M112" i="15"/>
  <c r="G64" i="17"/>
  <c r="K76" i="18"/>
  <c r="K136" i="18"/>
  <c r="N100" i="15"/>
  <c r="H88" i="17"/>
  <c r="K64" i="15"/>
  <c r="J88" i="17"/>
  <c r="H40" i="17"/>
  <c r="F40" i="17" s="1"/>
  <c r="G112" i="17"/>
  <c r="O22" i="19"/>
  <c r="P122" i="15"/>
  <c r="P98" i="15"/>
  <c r="F98" i="15" s="1"/>
  <c r="P38" i="15"/>
  <c r="P62" i="15"/>
  <c r="P110" i="15"/>
  <c r="P50" i="15"/>
  <c r="P74" i="15"/>
  <c r="P14" i="15"/>
  <c r="M52" i="15"/>
  <c r="F74" i="15"/>
  <c r="N22" i="19"/>
  <c r="O122" i="15"/>
  <c r="O74" i="15"/>
  <c r="O50" i="15"/>
  <c r="O26" i="15"/>
  <c r="G100" i="16"/>
  <c r="F100" i="16" s="1"/>
  <c r="K100" i="17"/>
  <c r="K112" i="17"/>
  <c r="J16" i="18"/>
  <c r="N16" i="17"/>
  <c r="M52" i="17"/>
  <c r="M100" i="17"/>
  <c r="F112" i="15"/>
  <c r="F134" i="15"/>
  <c r="N52" i="17"/>
  <c r="N100" i="17"/>
  <c r="H64" i="15"/>
  <c r="H112" i="15"/>
  <c r="I112" i="15"/>
  <c r="N100" i="16"/>
  <c r="J40" i="18"/>
  <c r="N134" i="17"/>
  <c r="N98" i="17"/>
  <c r="N62" i="17"/>
  <c r="N64" i="17" s="1"/>
  <c r="N26" i="17"/>
  <c r="N28" i="17" s="1"/>
  <c r="N86" i="17"/>
  <c r="N88" i="17" s="1"/>
  <c r="N74" i="17"/>
  <c r="N76" i="17" s="1"/>
  <c r="I136" i="15"/>
  <c r="F136" i="15" s="1"/>
  <c r="L100" i="18"/>
  <c r="K136" i="15"/>
  <c r="M40" i="17"/>
  <c r="I112" i="17"/>
  <c r="F64" i="18"/>
  <c r="F76" i="18"/>
  <c r="N124" i="15"/>
  <c r="N40" i="17"/>
  <c r="I52" i="17"/>
  <c r="J112" i="17"/>
  <c r="G64" i="18"/>
  <c r="K88" i="18"/>
  <c r="K52" i="16"/>
  <c r="F28" i="18"/>
  <c r="M16" i="17"/>
  <c r="G28" i="17"/>
  <c r="K52" i="17"/>
  <c r="K16" i="18"/>
  <c r="G28" i="18"/>
  <c r="M134" i="17"/>
  <c r="M136" i="17" s="1"/>
  <c r="M98" i="17"/>
  <c r="N88" i="16"/>
  <c r="G76" i="17"/>
  <c r="I124" i="17"/>
  <c r="I100" i="18"/>
  <c r="F98" i="18"/>
  <c r="F100" i="18" s="1"/>
  <c r="F86" i="18"/>
  <c r="J124" i="17"/>
  <c r="J100" i="18"/>
  <c r="F124" i="18"/>
  <c r="K38" i="16"/>
  <c r="K40" i="16" s="1"/>
  <c r="K74" i="16"/>
  <c r="K76" i="16" s="1"/>
  <c r="P26" i="16"/>
  <c r="P122" i="16"/>
  <c r="P134" i="16"/>
  <c r="F38" i="18"/>
  <c r="F40" i="18" s="1"/>
  <c r="K100" i="18"/>
  <c r="G124" i="18"/>
  <c r="M38" i="16"/>
  <c r="M40" i="16" s="1"/>
  <c r="M74" i="16"/>
  <c r="M76" i="16" s="1"/>
  <c r="M110" i="16"/>
  <c r="M112" i="16" s="1"/>
  <c r="H86" i="18"/>
  <c r="H88" i="18" s="1"/>
  <c r="H74" i="18"/>
  <c r="H76" i="18" s="1"/>
  <c r="H52" i="16"/>
  <c r="G16" i="18"/>
  <c r="F74" i="18"/>
  <c r="N74" i="16"/>
  <c r="N76" i="16" s="1"/>
  <c r="N110" i="16"/>
  <c r="N112" i="16" s="1"/>
  <c r="I16" i="18"/>
  <c r="F134" i="18"/>
  <c r="F136" i="18" s="1"/>
  <c r="C95" i="19"/>
  <c r="E8" i="11" l="1"/>
  <c r="E9" i="11"/>
  <c r="F124" i="17"/>
  <c r="F64" i="15"/>
  <c r="L10" i="11"/>
  <c r="F52" i="17"/>
  <c r="V46" i="14"/>
  <c r="V130" i="14"/>
  <c r="V47" i="14"/>
  <c r="F76" i="16"/>
  <c r="M64" i="15"/>
  <c r="K18" i="11"/>
  <c r="K23" i="11" s="1"/>
  <c r="K28" i="11"/>
  <c r="K33" i="11"/>
  <c r="H136" i="17"/>
  <c r="F136" i="17" s="1"/>
  <c r="F134" i="17"/>
  <c r="J52" i="17"/>
  <c r="F38" i="16"/>
  <c r="Z128" i="14"/>
  <c r="Z45" i="14"/>
  <c r="F52" i="14"/>
  <c r="J28" i="14"/>
  <c r="M31" i="14" s="1"/>
  <c r="J26" i="14"/>
  <c r="D28" i="11"/>
  <c r="D18" i="11"/>
  <c r="D33" i="11"/>
  <c r="C28" i="11"/>
  <c r="C33" i="11"/>
  <c r="C18" i="11"/>
  <c r="B37" i="11"/>
  <c r="O74" i="19"/>
  <c r="O75" i="19"/>
  <c r="O77" i="19"/>
  <c r="G28" i="16"/>
  <c r="F28" i="16" s="1"/>
  <c r="F74" i="16"/>
  <c r="AD63" i="14"/>
  <c r="AD68" i="14" s="1"/>
  <c r="J46" i="14"/>
  <c r="G45" i="14"/>
  <c r="H64" i="17"/>
  <c r="F62" i="17"/>
  <c r="I22" i="11"/>
  <c r="F86" i="15"/>
  <c r="O45" i="14"/>
  <c r="O46" i="14"/>
  <c r="F100" i="15"/>
  <c r="F18" i="12"/>
  <c r="F21" i="12"/>
  <c r="F26" i="15"/>
  <c r="L9" i="11"/>
  <c r="L8" i="11"/>
  <c r="J130" i="14"/>
  <c r="J47" i="14"/>
  <c r="K45" i="14"/>
  <c r="I28" i="11"/>
  <c r="I33" i="11"/>
  <c r="I18" i="11"/>
  <c r="I23" i="11" s="1"/>
  <c r="H28" i="17"/>
  <c r="F26" i="17"/>
  <c r="F38" i="15"/>
  <c r="F28" i="15"/>
  <c r="M24" i="14"/>
  <c r="M29" i="14" s="1"/>
  <c r="M41" i="14"/>
  <c r="M25" i="14"/>
  <c r="M30" i="14" s="1"/>
  <c r="M40" i="14"/>
  <c r="M42" i="14"/>
  <c r="M23" i="14"/>
  <c r="M28" i="14" s="1"/>
  <c r="B45" i="14"/>
  <c r="AF42" i="14"/>
  <c r="AF24" i="14"/>
  <c r="AF29" i="14" s="1"/>
  <c r="AF25" i="14"/>
  <c r="AF30" i="14" s="1"/>
  <c r="AF41" i="14"/>
  <c r="AF40" i="14"/>
  <c r="I14" i="11"/>
  <c r="AF23" i="14"/>
  <c r="AF28" i="14" s="1"/>
  <c r="AM46" i="14"/>
  <c r="AE45" i="14"/>
  <c r="F38" i="17"/>
  <c r="C47" i="14"/>
  <c r="C37" i="11"/>
  <c r="G52" i="14"/>
  <c r="G46" i="14"/>
  <c r="F110" i="16"/>
  <c r="G112" i="16"/>
  <c r="F112" i="16" s="1"/>
  <c r="AH46" i="14"/>
  <c r="L41" i="14"/>
  <c r="L24" i="14"/>
  <c r="L29" i="14" s="1"/>
  <c r="L42" i="14"/>
  <c r="L23" i="14"/>
  <c r="L28" i="14" s="1"/>
  <c r="L25" i="14"/>
  <c r="L30" i="14" s="1"/>
  <c r="L40" i="14"/>
  <c r="D14" i="11"/>
  <c r="J45" i="14"/>
  <c r="B46" i="14"/>
  <c r="AG25" i="14"/>
  <c r="AG30" i="14" s="1"/>
  <c r="AG31" i="14" s="1"/>
  <c r="AG40" i="14"/>
  <c r="AG42" i="14"/>
  <c r="AG41" i="14"/>
  <c r="AG24" i="14"/>
  <c r="AG29" i="14" s="1"/>
  <c r="AG23" i="14"/>
  <c r="AG28" i="14" s="1"/>
  <c r="AM47" i="14"/>
  <c r="B33" i="11"/>
  <c r="B28" i="11"/>
  <c r="B18" i="11"/>
  <c r="F98" i="17"/>
  <c r="H100" i="17"/>
  <c r="F100" i="17" s="1"/>
  <c r="F76" i="17"/>
  <c r="H112" i="17"/>
  <c r="F112" i="17" s="1"/>
  <c r="F86" i="16"/>
  <c r="G88" i="16"/>
  <c r="F88" i="16" s="1"/>
  <c r="Z46" i="14"/>
  <c r="E21" i="12"/>
  <c r="B15" i="11"/>
  <c r="W23" i="14"/>
  <c r="W28" i="14" s="1"/>
  <c r="W40" i="14"/>
  <c r="W42" i="14"/>
  <c r="W41" i="14"/>
  <c r="W25" i="14"/>
  <c r="W30" i="14" s="1"/>
  <c r="G13" i="11"/>
  <c r="W24" i="14"/>
  <c r="W29" i="14" s="1"/>
  <c r="G10" i="11"/>
  <c r="E31" i="14"/>
  <c r="K47" i="14"/>
  <c r="J22" i="11"/>
  <c r="AH94" i="14"/>
  <c r="AH104" i="14" s="1"/>
  <c r="AH74" i="14"/>
  <c r="AH84" i="14"/>
  <c r="N47" i="14"/>
  <c r="N130" i="14"/>
  <c r="AL45" i="14"/>
  <c r="D40" i="14"/>
  <c r="D25" i="14"/>
  <c r="D30" i="14" s="1"/>
  <c r="D24" i="14"/>
  <c r="D29" i="14" s="1"/>
  <c r="B14" i="11"/>
  <c r="D41" i="14"/>
  <c r="D42" i="14"/>
  <c r="D23" i="14"/>
  <c r="D28" i="14" s="1"/>
  <c r="C8" i="11"/>
  <c r="C9" i="11"/>
  <c r="F74" i="17"/>
  <c r="F51" i="14"/>
  <c r="F63" i="14" s="1"/>
  <c r="F68" i="14" s="1"/>
  <c r="N46" i="14"/>
  <c r="AH76" i="14"/>
  <c r="AH106" i="14"/>
  <c r="AH96" i="14"/>
  <c r="AH86" i="14"/>
  <c r="Z52" i="14"/>
  <c r="Z64" i="14"/>
  <c r="Z69" i="14" s="1"/>
  <c r="AI46" i="14"/>
  <c r="F124" i="15"/>
  <c r="F122" i="17"/>
  <c r="F122" i="15"/>
  <c r="H37" i="11"/>
  <c r="F14" i="15"/>
  <c r="R45" i="14"/>
  <c r="B47" i="14"/>
  <c r="AM45" i="14"/>
  <c r="K46" i="14"/>
  <c r="G136" i="16"/>
  <c r="F136" i="16" s="1"/>
  <c r="R46" i="14"/>
  <c r="AP47" i="14"/>
  <c r="AA24" i="14"/>
  <c r="AA29" i="14" s="1"/>
  <c r="AA41" i="14"/>
  <c r="AA40" i="14"/>
  <c r="H13" i="11"/>
  <c r="AA23" i="14"/>
  <c r="AA28" i="14" s="1"/>
  <c r="AA25" i="14"/>
  <c r="AA30" i="14" s="1"/>
  <c r="AA42" i="14"/>
  <c r="H10" i="11"/>
  <c r="E41" i="14"/>
  <c r="E25" i="14"/>
  <c r="E30" i="14" s="1"/>
  <c r="E40" i="14"/>
  <c r="E42" i="14"/>
  <c r="E24" i="14"/>
  <c r="E29" i="14" s="1"/>
  <c r="E23" i="14"/>
  <c r="E28" i="14" s="1"/>
  <c r="AC24" i="14"/>
  <c r="AC29" i="14" s="1"/>
  <c r="AC23" i="14"/>
  <c r="AC28" i="14" s="1"/>
  <c r="AC42" i="14"/>
  <c r="AC25" i="14"/>
  <c r="AC30" i="14" s="1"/>
  <c r="AC41" i="14"/>
  <c r="AC40" i="14"/>
  <c r="F28" i="17"/>
  <c r="AL46" i="14"/>
  <c r="G8" i="11"/>
  <c r="G9" i="11"/>
  <c r="AI45" i="14"/>
  <c r="K22" i="11"/>
  <c r="G64" i="16"/>
  <c r="F64" i="16" s="1"/>
  <c r="F62" i="16"/>
  <c r="AL47" i="14"/>
  <c r="H16" i="17"/>
  <c r="F16" i="17" s="1"/>
  <c r="F14" i="17"/>
  <c r="G16" i="16"/>
  <c r="F16" i="16" s="1"/>
  <c r="AD64" i="14"/>
  <c r="AD69" i="14" s="1"/>
  <c r="AD52" i="14"/>
  <c r="AI130" i="14"/>
  <c r="AI47" i="14"/>
  <c r="F64" i="17"/>
  <c r="J8" i="11"/>
  <c r="J9" i="11"/>
  <c r="F45" i="14"/>
  <c r="L22" i="11"/>
  <c r="AP46" i="14"/>
  <c r="S23" i="14"/>
  <c r="S28" i="14" s="1"/>
  <c r="S42" i="14"/>
  <c r="S41" i="14"/>
  <c r="S40" i="14"/>
  <c r="S24" i="14"/>
  <c r="S29" i="14" s="1"/>
  <c r="F13" i="11"/>
  <c r="S25" i="14"/>
  <c r="S30" i="14" s="1"/>
  <c r="AE46" i="14"/>
  <c r="F86" i="17"/>
  <c r="F110" i="15"/>
  <c r="G52" i="16"/>
  <c r="F52" i="16" s="1"/>
  <c r="F50" i="16"/>
  <c r="J28" i="11"/>
  <c r="J33" i="11"/>
  <c r="J18" i="11"/>
  <c r="J23" i="11" s="1"/>
  <c r="J38" i="11" s="1"/>
  <c r="AN40" i="14"/>
  <c r="AN25" i="14"/>
  <c r="AN30" i="14" s="1"/>
  <c r="AN42" i="14"/>
  <c r="AN41" i="14"/>
  <c r="AN24" i="14"/>
  <c r="AN29" i="14" s="1"/>
  <c r="AN23" i="14"/>
  <c r="AN28" i="14" s="1"/>
  <c r="AO31" i="14" s="1"/>
  <c r="K14" i="11"/>
  <c r="N45" i="14"/>
  <c r="C45" i="14"/>
  <c r="E18" i="11"/>
  <c r="E33" i="11"/>
  <c r="E28" i="11"/>
  <c r="AE47" i="14"/>
  <c r="AQ24" i="14"/>
  <c r="AQ29" i="14" s="1"/>
  <c r="AQ41" i="14"/>
  <c r="AQ42" i="14"/>
  <c r="AQ40" i="14"/>
  <c r="L13" i="11"/>
  <c r="AQ23" i="14"/>
  <c r="AQ28" i="14" s="1"/>
  <c r="AQ25" i="14"/>
  <c r="AQ30" i="14" s="1"/>
  <c r="O130" i="14"/>
  <c r="O47" i="14"/>
  <c r="G40" i="16"/>
  <c r="F40" i="16" s="1"/>
  <c r="F88" i="15"/>
  <c r="V128" i="14"/>
  <c r="V45" i="14"/>
  <c r="R47" i="14"/>
  <c r="AP45" i="14"/>
  <c r="AO23" i="14"/>
  <c r="AO28" i="14" s="1"/>
  <c r="AO42" i="14"/>
  <c r="AO25" i="14"/>
  <c r="AO30" i="14" s="1"/>
  <c r="AO41" i="14"/>
  <c r="AO40" i="14"/>
  <c r="AO24" i="14"/>
  <c r="AO29" i="14" s="1"/>
  <c r="AB41" i="14"/>
  <c r="AB24" i="14"/>
  <c r="AB29" i="14" s="1"/>
  <c r="AB23" i="14"/>
  <c r="AB28" i="14" s="1"/>
  <c r="AB25" i="14"/>
  <c r="AB30" i="14" s="1"/>
  <c r="H14" i="11"/>
  <c r="AB42" i="14"/>
  <c r="AB40" i="14"/>
  <c r="AD50" i="14"/>
  <c r="AD62" i="14"/>
  <c r="AD67" i="14" s="1"/>
  <c r="C46" i="14"/>
  <c r="AH109" i="14" l="1"/>
  <c r="F75" i="14"/>
  <c r="F105" i="14" s="1"/>
  <c r="F95" i="14"/>
  <c r="F85" i="14"/>
  <c r="B35" i="11"/>
  <c r="M11" i="8" s="1"/>
  <c r="I35" i="11"/>
  <c r="M46" i="8" s="1"/>
  <c r="I30" i="11"/>
  <c r="M46" i="6" s="1"/>
  <c r="H33" i="11"/>
  <c r="H28" i="11"/>
  <c r="H15" i="11"/>
  <c r="H18" i="11"/>
  <c r="AC130" i="14"/>
  <c r="AC47" i="14"/>
  <c r="B50" i="14"/>
  <c r="B62" i="14"/>
  <c r="B67" i="14" s="1"/>
  <c r="AO46" i="14"/>
  <c r="O52" i="14"/>
  <c r="O64" i="14"/>
  <c r="O69" i="14" s="1"/>
  <c r="AI52" i="14"/>
  <c r="N52" i="14"/>
  <c r="N64" i="14"/>
  <c r="N69" i="14" s="1"/>
  <c r="K37" i="11"/>
  <c r="AD74" i="14"/>
  <c r="AD84" i="14"/>
  <c r="AD94" i="14"/>
  <c r="Z50" i="14"/>
  <c r="Z62" i="14"/>
  <c r="Z67" i="14" s="1"/>
  <c r="AJ23" i="14"/>
  <c r="AJ28" i="14" s="1"/>
  <c r="AJ40" i="14"/>
  <c r="AJ25" i="14"/>
  <c r="AJ30" i="14" s="1"/>
  <c r="J14" i="11"/>
  <c r="AJ41" i="14"/>
  <c r="AJ42" i="14"/>
  <c r="J10" i="11"/>
  <c r="AJ24" i="14"/>
  <c r="AJ29" i="14" s="1"/>
  <c r="C51" i="14"/>
  <c r="C63" i="14"/>
  <c r="C68" i="14" s="1"/>
  <c r="B51" i="14"/>
  <c r="B63" i="14"/>
  <c r="B68" i="14" s="1"/>
  <c r="O50" i="14"/>
  <c r="O62" i="14"/>
  <c r="O67" i="14" s="1"/>
  <c r="H40" i="14"/>
  <c r="H24" i="14"/>
  <c r="H29" i="14" s="1"/>
  <c r="H42" i="14"/>
  <c r="H23" i="14"/>
  <c r="H28" i="14" s="1"/>
  <c r="C14" i="11"/>
  <c r="H41" i="14"/>
  <c r="H25" i="14"/>
  <c r="H30" i="14" s="1"/>
  <c r="C10" i="11"/>
  <c r="AE50" i="14"/>
  <c r="AE62" i="14"/>
  <c r="AE67" i="14" s="1"/>
  <c r="F64" i="14"/>
  <c r="F69" i="14" s="1"/>
  <c r="B52" i="14"/>
  <c r="B64" i="14"/>
  <c r="B69" i="14" s="1"/>
  <c r="G33" i="11"/>
  <c r="G18" i="11"/>
  <c r="G28" i="11"/>
  <c r="V51" i="14"/>
  <c r="V63" i="14"/>
  <c r="V68" i="14" s="1"/>
  <c r="C50" i="14"/>
  <c r="S45" i="14"/>
  <c r="AP52" i="14"/>
  <c r="AP64" i="14"/>
  <c r="AP69" i="14" s="1"/>
  <c r="D47" i="14"/>
  <c r="J50" i="14"/>
  <c r="J62" i="14"/>
  <c r="J67" i="14" s="1"/>
  <c r="AM51" i="14"/>
  <c r="AM63" i="14"/>
  <c r="AM68" i="14" s="1"/>
  <c r="M45" i="14"/>
  <c r="S46" i="14"/>
  <c r="E47" i="14"/>
  <c r="R50" i="14"/>
  <c r="R62" i="14"/>
  <c r="R67" i="14" s="1"/>
  <c r="D46" i="14"/>
  <c r="W46" i="14"/>
  <c r="B23" i="11"/>
  <c r="I37" i="11"/>
  <c r="AB45" i="14"/>
  <c r="AP50" i="14"/>
  <c r="AP62" i="14"/>
  <c r="AP67" i="14" s="1"/>
  <c r="N50" i="14"/>
  <c r="S47" i="14"/>
  <c r="Y23" i="14"/>
  <c r="Y28" i="14" s="1"/>
  <c r="Y42" i="14"/>
  <c r="Y40" i="14"/>
  <c r="Y41" i="14"/>
  <c r="Y25" i="14"/>
  <c r="Y30" i="14" s="1"/>
  <c r="Y24" i="14"/>
  <c r="Y29" i="14" s="1"/>
  <c r="E45" i="14"/>
  <c r="B34" i="11"/>
  <c r="B29" i="11"/>
  <c r="B30" i="11" s="1"/>
  <c r="M11" i="6" s="1"/>
  <c r="B19" i="11"/>
  <c r="B24" i="11" s="1"/>
  <c r="B39" i="11" s="1"/>
  <c r="AH125" i="14"/>
  <c r="W130" i="14"/>
  <c r="W47" i="14"/>
  <c r="G51" i="14"/>
  <c r="M46" i="14"/>
  <c r="AR41" i="14"/>
  <c r="AR42" i="14"/>
  <c r="AR40" i="14"/>
  <c r="L14" i="11"/>
  <c r="AR23" i="14"/>
  <c r="AR28" i="14" s="1"/>
  <c r="AS31" i="14" s="1"/>
  <c r="AR24" i="14"/>
  <c r="AR29" i="14" s="1"/>
  <c r="AR25" i="14"/>
  <c r="AR30" i="14" s="1"/>
  <c r="C23" i="11"/>
  <c r="AM62" i="14"/>
  <c r="AM67" i="14" s="1"/>
  <c r="AM50" i="14"/>
  <c r="AF47" i="14"/>
  <c r="F18" i="11"/>
  <c r="F33" i="11"/>
  <c r="F28" i="11"/>
  <c r="E23" i="11"/>
  <c r="J52" i="14"/>
  <c r="J64" i="14"/>
  <c r="J69" i="14" s="1"/>
  <c r="L18" i="11"/>
  <c r="L33" i="11"/>
  <c r="L28" i="11"/>
  <c r="AD86" i="14"/>
  <c r="AD96" i="14"/>
  <c r="AD76" i="14"/>
  <c r="AD106" i="14"/>
  <c r="AS24" i="14"/>
  <c r="AS29" i="14" s="1"/>
  <c r="AS41" i="14"/>
  <c r="AS40" i="14"/>
  <c r="AS23" i="14"/>
  <c r="AS28" i="14" s="1"/>
  <c r="AS42" i="14"/>
  <c r="AS25" i="14"/>
  <c r="AS30" i="14" s="1"/>
  <c r="R52" i="14"/>
  <c r="R64" i="14"/>
  <c r="R69" i="14" s="1"/>
  <c r="R51" i="14"/>
  <c r="R63" i="14"/>
  <c r="R68" i="14" s="1"/>
  <c r="AQ47" i="14"/>
  <c r="AP51" i="14"/>
  <c r="AF46" i="14"/>
  <c r="V50" i="14"/>
  <c r="L37" i="11"/>
  <c r="AA47" i="14"/>
  <c r="AA130" i="14"/>
  <c r="D45" i="14"/>
  <c r="J37" i="11"/>
  <c r="Z51" i="14"/>
  <c r="Z63" i="14" s="1"/>
  <c r="Z68" i="14" s="1"/>
  <c r="J51" i="14"/>
  <c r="AN47" i="14"/>
  <c r="AI51" i="14"/>
  <c r="AI63" i="14" s="1"/>
  <c r="AI68" i="14" s="1"/>
  <c r="AG45" i="14"/>
  <c r="AO45" i="14"/>
  <c r="L46" i="14"/>
  <c r="AA46" i="14"/>
  <c r="P109" i="17"/>
  <c r="F109" i="17" s="1"/>
  <c r="P73" i="17"/>
  <c r="F73" i="17" s="1"/>
  <c r="P37" i="17"/>
  <c r="F37" i="17" s="1"/>
  <c r="P121" i="17"/>
  <c r="F121" i="17" s="1"/>
  <c r="P49" i="17"/>
  <c r="F49" i="17" s="1"/>
  <c r="P97" i="17"/>
  <c r="F97" i="17" s="1"/>
  <c r="P85" i="17"/>
  <c r="F85" i="17" s="1"/>
  <c r="P25" i="17"/>
  <c r="F25" i="17" s="1"/>
  <c r="P13" i="17"/>
  <c r="F13" i="17" s="1"/>
  <c r="P61" i="17"/>
  <c r="F61" i="17" s="1"/>
  <c r="P133" i="17"/>
  <c r="F133" i="17" s="1"/>
  <c r="E77" i="19"/>
  <c r="O73" i="19"/>
  <c r="B104" i="19" s="1"/>
  <c r="B106" i="19" s="1"/>
  <c r="P121" i="15"/>
  <c r="F121" i="15" s="1"/>
  <c r="P109" i="15"/>
  <c r="F109" i="15" s="1"/>
  <c r="P61" i="15"/>
  <c r="F61" i="15" s="1"/>
  <c r="P37" i="15"/>
  <c r="F37" i="15" s="1"/>
  <c r="P85" i="15"/>
  <c r="F85" i="15" s="1"/>
  <c r="P133" i="15"/>
  <c r="F133" i="15" s="1"/>
  <c r="P25" i="15"/>
  <c r="F25" i="15" s="1"/>
  <c r="P73" i="15"/>
  <c r="F73" i="15" s="1"/>
  <c r="P97" i="15"/>
  <c r="F97" i="15" s="1"/>
  <c r="P13" i="15"/>
  <c r="F13" i="15" s="1"/>
  <c r="P49" i="15"/>
  <c r="F49" i="15" s="1"/>
  <c r="E74" i="19"/>
  <c r="AH111" i="14"/>
  <c r="AH127" i="14" s="1"/>
  <c r="AH135" i="14" s="1"/>
  <c r="H29" i="11"/>
  <c r="H34" i="11"/>
  <c r="H19" i="11"/>
  <c r="H24" i="11" s="1"/>
  <c r="H39" i="11" s="1"/>
  <c r="N51" i="14"/>
  <c r="N63" i="14" s="1"/>
  <c r="N68" i="14" s="1"/>
  <c r="D19" i="11"/>
  <c r="D24" i="11" s="1"/>
  <c r="D29" i="11"/>
  <c r="D30" i="11" s="1"/>
  <c r="M21" i="6" s="1"/>
  <c r="D34" i="11"/>
  <c r="D35" i="11" s="1"/>
  <c r="M21" i="8" s="1"/>
  <c r="G64" i="14"/>
  <c r="G69" i="14" s="1"/>
  <c r="D15" i="11"/>
  <c r="K51" i="14"/>
  <c r="K63" i="14"/>
  <c r="K68" i="14" s="1"/>
  <c r="AL62" i="14"/>
  <c r="AL67" i="14" s="1"/>
  <c r="AL50" i="14"/>
  <c r="K52" i="14"/>
  <c r="D23" i="11"/>
  <c r="D20" i="11"/>
  <c r="AA128" i="14"/>
  <c r="AA45" i="14"/>
  <c r="AN45" i="14"/>
  <c r="AH51" i="14"/>
  <c r="Z76" i="14"/>
  <c r="Z96" i="14"/>
  <c r="Z106" i="14" s="1"/>
  <c r="Z86" i="14"/>
  <c r="K50" i="14"/>
  <c r="AO47" i="14"/>
  <c r="AI50" i="14"/>
  <c r="I29" i="11"/>
  <c r="I34" i="11"/>
  <c r="I19" i="11"/>
  <c r="I15" i="11"/>
  <c r="K19" i="11"/>
  <c r="K29" i="11"/>
  <c r="K30" i="11" s="1"/>
  <c r="M56" i="6" s="1"/>
  <c r="K34" i="11"/>
  <c r="K35" i="11" s="1"/>
  <c r="M56" i="8" s="1"/>
  <c r="K15" i="11"/>
  <c r="E46" i="14"/>
  <c r="AM52" i="14"/>
  <c r="AM64" i="14"/>
  <c r="AM69" i="14" s="1"/>
  <c r="AF45" i="14"/>
  <c r="AQ46" i="14"/>
  <c r="F8" i="11"/>
  <c r="F9" i="11"/>
  <c r="AE51" i="14"/>
  <c r="AE63" i="14" s="1"/>
  <c r="AE68" i="14" s="1"/>
  <c r="F50" i="14"/>
  <c r="AL64" i="14"/>
  <c r="AL69" i="14" s="1"/>
  <c r="AL52" i="14"/>
  <c r="AC45" i="14"/>
  <c r="AC128" i="14"/>
  <c r="AG46" i="14"/>
  <c r="L47" i="14"/>
  <c r="C52" i="14"/>
  <c r="C64" i="14" s="1"/>
  <c r="C69" i="14" s="1"/>
  <c r="O51" i="14"/>
  <c r="AD95" i="14"/>
  <c r="AD85" i="14"/>
  <c r="AD105" i="14" s="1"/>
  <c r="AD75" i="14"/>
  <c r="K38" i="11"/>
  <c r="Q25" i="14"/>
  <c r="Q30" i="14" s="1"/>
  <c r="Q40" i="14"/>
  <c r="Q23" i="14"/>
  <c r="Q28" i="14" s="1"/>
  <c r="Q42" i="14"/>
  <c r="Q41" i="14"/>
  <c r="Q24" i="14"/>
  <c r="Q29" i="14" s="1"/>
  <c r="V52" i="14"/>
  <c r="V64" i="14"/>
  <c r="V69" i="14" s="1"/>
  <c r="I23" i="14"/>
  <c r="I28" i="14" s="1"/>
  <c r="I42" i="14"/>
  <c r="I24" i="14"/>
  <c r="I29" i="14" s="1"/>
  <c r="I41" i="14"/>
  <c r="I40" i="14"/>
  <c r="I25" i="14"/>
  <c r="I30" i="14" s="1"/>
  <c r="P49" i="16"/>
  <c r="F49" i="16" s="1"/>
  <c r="P61" i="16"/>
  <c r="F61" i="16" s="1"/>
  <c r="P85" i="16"/>
  <c r="F85" i="16" s="1"/>
  <c r="P97" i="16"/>
  <c r="F97" i="16" s="1"/>
  <c r="P121" i="16"/>
  <c r="F121" i="16" s="1"/>
  <c r="P13" i="16"/>
  <c r="F13" i="16" s="1"/>
  <c r="P73" i="16"/>
  <c r="F73" i="16" s="1"/>
  <c r="P25" i="16"/>
  <c r="F25" i="16" s="1"/>
  <c r="P133" i="16"/>
  <c r="F133" i="16" s="1"/>
  <c r="P37" i="16"/>
  <c r="F37" i="16" s="1"/>
  <c r="P109" i="16"/>
  <c r="F109" i="16" s="1"/>
  <c r="E75" i="19"/>
  <c r="M47" i="14"/>
  <c r="AB47" i="14"/>
  <c r="X40" i="14"/>
  <c r="X41" i="14"/>
  <c r="X25" i="14"/>
  <c r="X30" i="14" s="1"/>
  <c r="G14" i="11"/>
  <c r="X23" i="14"/>
  <c r="X28" i="14" s="1"/>
  <c r="Y31" i="14" s="1"/>
  <c r="X24" i="14"/>
  <c r="X29" i="14" s="1"/>
  <c r="X42" i="14"/>
  <c r="W128" i="14"/>
  <c r="W45" i="14"/>
  <c r="AQ45" i="14"/>
  <c r="AL51" i="14"/>
  <c r="AL63" i="14"/>
  <c r="AL68" i="14" s="1"/>
  <c r="G50" i="14"/>
  <c r="L45" i="14"/>
  <c r="AB46" i="14"/>
  <c r="AE52" i="14"/>
  <c r="AE64" i="14" s="1"/>
  <c r="AE69" i="14" s="1"/>
  <c r="AN46" i="14"/>
  <c r="AK41" i="14"/>
  <c r="AK23" i="14"/>
  <c r="AK28" i="14" s="1"/>
  <c r="AK42" i="14"/>
  <c r="AK24" i="14"/>
  <c r="AK29" i="14" s="1"/>
  <c r="AK40" i="14"/>
  <c r="AK25" i="14"/>
  <c r="AK30" i="14" s="1"/>
  <c r="AC46" i="14"/>
  <c r="AC31" i="14"/>
  <c r="AG47" i="14"/>
  <c r="I38" i="11"/>
  <c r="P42" i="14"/>
  <c r="P23" i="14"/>
  <c r="P28" i="14" s="1"/>
  <c r="P25" i="14"/>
  <c r="P30" i="14" s="1"/>
  <c r="P24" i="14"/>
  <c r="P29" i="14" s="1"/>
  <c r="E14" i="11"/>
  <c r="P41" i="14"/>
  <c r="P40" i="14"/>
  <c r="E10" i="11"/>
  <c r="C96" i="14" l="1"/>
  <c r="C76" i="14"/>
  <c r="C86" i="14"/>
  <c r="C106" i="14" s="1"/>
  <c r="AI85" i="14"/>
  <c r="AI75" i="14"/>
  <c r="AI95" i="14"/>
  <c r="AI105" i="14"/>
  <c r="Z111" i="14"/>
  <c r="Z127" i="14" s="1"/>
  <c r="Z135" i="14" s="1"/>
  <c r="Z95" i="14"/>
  <c r="Z75" i="14"/>
  <c r="Z105" i="14" s="1"/>
  <c r="Z85" i="14"/>
  <c r="AD121" i="14"/>
  <c r="AD110" i="14"/>
  <c r="AE95" i="14"/>
  <c r="AE85" i="14"/>
  <c r="AE75" i="14"/>
  <c r="AE105" i="14" s="1"/>
  <c r="F110" i="14"/>
  <c r="F126" i="14" s="1"/>
  <c r="N85" i="14"/>
  <c r="N75" i="14"/>
  <c r="N95" i="14"/>
  <c r="AE86" i="14"/>
  <c r="AE96" i="14"/>
  <c r="AE76" i="14"/>
  <c r="AQ50" i="14"/>
  <c r="M52" i="14"/>
  <c r="M64" i="14"/>
  <c r="M69" i="14" s="1"/>
  <c r="B85" i="14"/>
  <c r="B95" i="14"/>
  <c r="B75" i="14"/>
  <c r="B105" i="14" s="1"/>
  <c r="X47" i="14"/>
  <c r="I24" i="11"/>
  <c r="I20" i="11"/>
  <c r="AF63" i="14"/>
  <c r="AF68" i="14" s="1"/>
  <c r="AF51" i="14"/>
  <c r="AB51" i="14"/>
  <c r="AB63" i="14"/>
  <c r="AB68" i="14" s="1"/>
  <c r="V96" i="14"/>
  <c r="V86" i="14"/>
  <c r="V76" i="14"/>
  <c r="T23" i="14"/>
  <c r="T28" i="14" s="1"/>
  <c r="T42" i="14"/>
  <c r="T41" i="14"/>
  <c r="T40" i="14"/>
  <c r="T25" i="14"/>
  <c r="T30" i="14" s="1"/>
  <c r="T24" i="14"/>
  <c r="T29" i="14" s="1"/>
  <c r="F14" i="11"/>
  <c r="F10" i="11"/>
  <c r="AS46" i="14"/>
  <c r="AP84" i="14"/>
  <c r="AP74" i="14"/>
  <c r="AP94" i="14"/>
  <c r="AP104" i="14" s="1"/>
  <c r="S50" i="14"/>
  <c r="B94" i="14"/>
  <c r="B104" i="14"/>
  <c r="B84" i="14"/>
  <c r="B74" i="14"/>
  <c r="AG52" i="14"/>
  <c r="AG64" i="14" s="1"/>
  <c r="AG69" i="14" s="1"/>
  <c r="L52" i="14"/>
  <c r="AQ63" i="14"/>
  <c r="AQ68" i="14" s="1"/>
  <c r="AQ51" i="14"/>
  <c r="AA50" i="14"/>
  <c r="D39" i="11"/>
  <c r="J63" i="14"/>
  <c r="J68" i="14" s="1"/>
  <c r="AR45" i="14"/>
  <c r="E62" i="14"/>
  <c r="E67" i="14" s="1"/>
  <c r="E50" i="14"/>
  <c r="E52" i="14"/>
  <c r="E53" i="14"/>
  <c r="AL94" i="14"/>
  <c r="AL74" i="14"/>
  <c r="AL84" i="14"/>
  <c r="S52" i="14"/>
  <c r="S64" i="14" s="1"/>
  <c r="S69" i="14" s="1"/>
  <c r="D51" i="14"/>
  <c r="D63" i="14"/>
  <c r="D68" i="14" s="1"/>
  <c r="W50" i="14"/>
  <c r="AS47" i="14"/>
  <c r="C85" i="14"/>
  <c r="C95" i="14"/>
  <c r="C75" i="14"/>
  <c r="AN62" i="14"/>
  <c r="AN67" i="14" s="1"/>
  <c r="AN50" i="14"/>
  <c r="AR47" i="14"/>
  <c r="AC52" i="14"/>
  <c r="AC64" i="14"/>
  <c r="AC69" i="14" s="1"/>
  <c r="Q46" i="14"/>
  <c r="S51" i="14"/>
  <c r="S63" i="14"/>
  <c r="S68" i="14" s="1"/>
  <c r="V85" i="14"/>
  <c r="V95" i="14"/>
  <c r="V75" i="14"/>
  <c r="V105" i="14" s="1"/>
  <c r="P45" i="14"/>
  <c r="AM96" i="14"/>
  <c r="AM76" i="14"/>
  <c r="AM106" i="14" s="1"/>
  <c r="AM86" i="14"/>
  <c r="D38" i="11"/>
  <c r="D25" i="11"/>
  <c r="AQ52" i="14"/>
  <c r="AQ64" i="14" s="1"/>
  <c r="AQ69" i="14" s="1"/>
  <c r="Y46" i="14"/>
  <c r="I31" i="14"/>
  <c r="AJ46" i="14"/>
  <c r="H20" i="11"/>
  <c r="H23" i="11"/>
  <c r="J84" i="14"/>
  <c r="J74" i="14"/>
  <c r="J94" i="14"/>
  <c r="K95" i="14"/>
  <c r="K85" i="14"/>
  <c r="K75" i="14"/>
  <c r="AI64" i="14"/>
  <c r="AI69" i="14" s="1"/>
  <c r="F62" i="14"/>
  <c r="F67" i="14" s="1"/>
  <c r="F96" i="14"/>
  <c r="F76" i="14"/>
  <c r="F86" i="14"/>
  <c r="F106" i="14" s="1"/>
  <c r="AN51" i="14"/>
  <c r="AN63" i="14"/>
  <c r="AN68" i="14" s="1"/>
  <c r="I130" i="14"/>
  <c r="I47" i="14"/>
  <c r="AN52" i="14"/>
  <c r="AN64" i="14"/>
  <c r="AN69" i="14" s="1"/>
  <c r="AP86" i="14"/>
  <c r="AP96" i="14"/>
  <c r="AP76" i="14"/>
  <c r="L34" i="11"/>
  <c r="L19" i="11"/>
  <c r="L24" i="11" s="1"/>
  <c r="L29" i="11"/>
  <c r="L30" i="11" s="1"/>
  <c r="M61" i="6" s="1"/>
  <c r="L50" i="14"/>
  <c r="M53" i="14" s="1"/>
  <c r="AA51" i="14"/>
  <c r="AG51" i="14"/>
  <c r="AG63" i="14" s="1"/>
  <c r="AG68" i="14" s="1"/>
  <c r="AR46" i="14"/>
  <c r="C62" i="14"/>
  <c r="C67" i="14" s="1"/>
  <c r="G62" i="14"/>
  <c r="G67" i="14" s="1"/>
  <c r="Q45" i="14"/>
  <c r="AO50" i="14"/>
  <c r="AO62" i="14" s="1"/>
  <c r="AO67" i="14" s="1"/>
  <c r="Y128" i="14"/>
  <c r="Y45" i="14"/>
  <c r="M50" i="14"/>
  <c r="M62" i="14" s="1"/>
  <c r="M67" i="14" s="1"/>
  <c r="G30" i="11"/>
  <c r="M36" i="6" s="1"/>
  <c r="H47" i="14"/>
  <c r="J34" i="11"/>
  <c r="J35" i="11" s="1"/>
  <c r="M51" i="8" s="1"/>
  <c r="J29" i="11"/>
  <c r="J30" i="11" s="1"/>
  <c r="M51" i="6" s="1"/>
  <c r="J19" i="11"/>
  <c r="J15" i="11"/>
  <c r="J86" i="14"/>
  <c r="J96" i="14"/>
  <c r="J76" i="14"/>
  <c r="J106" i="14"/>
  <c r="AJ45" i="14"/>
  <c r="I45" i="14"/>
  <c r="D52" i="14"/>
  <c r="Q31" i="14"/>
  <c r="E38" i="11"/>
  <c r="P47" i="14"/>
  <c r="O63" i="14"/>
  <c r="O68" i="14" s="1"/>
  <c r="V62" i="14"/>
  <c r="V67" i="14" s="1"/>
  <c r="N62" i="14"/>
  <c r="N67" i="14" s="1"/>
  <c r="AO51" i="14"/>
  <c r="AO63" i="14"/>
  <c r="AO68" i="14" s="1"/>
  <c r="U41" i="14"/>
  <c r="U42" i="14"/>
  <c r="U40" i="14"/>
  <c r="U25" i="14"/>
  <c r="U30" i="14" s="1"/>
  <c r="U24" i="14"/>
  <c r="U29" i="14" s="1"/>
  <c r="U23" i="14"/>
  <c r="U28" i="14" s="1"/>
  <c r="AS45" i="14"/>
  <c r="AD111" i="14"/>
  <c r="AD127" i="14" s="1"/>
  <c r="AD135" i="14" s="1"/>
  <c r="AD122" i="14"/>
  <c r="AB50" i="14"/>
  <c r="AB62" i="14" s="1"/>
  <c r="AB67" i="14" s="1"/>
  <c r="AI62" i="14"/>
  <c r="AI67" i="14" s="1"/>
  <c r="G34" i="11"/>
  <c r="G35" i="11" s="1"/>
  <c r="M36" i="8" s="1"/>
  <c r="G29" i="11"/>
  <c r="G19" i="11"/>
  <c r="G24" i="11" s="1"/>
  <c r="G39" i="11" s="1"/>
  <c r="AO52" i="14"/>
  <c r="AO64" i="14"/>
  <c r="AO69" i="14" s="1"/>
  <c r="AK45" i="14"/>
  <c r="AL95" i="14"/>
  <c r="AL75" i="14"/>
  <c r="AL85" i="14"/>
  <c r="X46" i="14"/>
  <c r="AC50" i="14"/>
  <c r="AC62" i="14"/>
  <c r="AC67" i="14" s="1"/>
  <c r="E51" i="14"/>
  <c r="E63" i="14"/>
  <c r="E68" i="14" s="1"/>
  <c r="D62" i="14"/>
  <c r="D67" i="14" s="1"/>
  <c r="D50" i="14"/>
  <c r="L15" i="11"/>
  <c r="AM74" i="14"/>
  <c r="AM104" i="14" s="1"/>
  <c r="AM94" i="14"/>
  <c r="AM84" i="14"/>
  <c r="Y130" i="14"/>
  <c r="Y47" i="14"/>
  <c r="B20" i="11"/>
  <c r="G15" i="11"/>
  <c r="H30" i="11"/>
  <c r="M41" i="6" s="1"/>
  <c r="R76" i="14"/>
  <c r="R106" i="14" s="1"/>
  <c r="R96" i="14"/>
  <c r="R86" i="14"/>
  <c r="B96" i="14"/>
  <c r="B86" i="14"/>
  <c r="B76" i="14"/>
  <c r="B106" i="14"/>
  <c r="AK46" i="14"/>
  <c r="AK31" i="14"/>
  <c r="K24" i="11"/>
  <c r="K20" i="11"/>
  <c r="G96" i="14"/>
  <c r="G76" i="14"/>
  <c r="G106" i="14" s="1"/>
  <c r="G86" i="14"/>
  <c r="Z84" i="14"/>
  <c r="Z94" i="14"/>
  <c r="Z74" i="14"/>
  <c r="H46" i="14"/>
  <c r="AF50" i="14"/>
  <c r="AF62" i="14" s="1"/>
  <c r="AF67" i="14" s="1"/>
  <c r="C34" i="11"/>
  <c r="C35" i="11" s="1"/>
  <c r="M16" i="8" s="1"/>
  <c r="C19" i="11"/>
  <c r="C29" i="11"/>
  <c r="C30" i="11" s="1"/>
  <c r="M16" i="6" s="1"/>
  <c r="C15" i="11"/>
  <c r="AC51" i="14"/>
  <c r="AC63" i="14"/>
  <c r="AC68" i="14" s="1"/>
  <c r="AF52" i="14"/>
  <c r="AJ47" i="14"/>
  <c r="P46" i="14"/>
  <c r="X45" i="14"/>
  <c r="K62" i="14"/>
  <c r="K67" i="14" s="1"/>
  <c r="K64" i="14"/>
  <c r="K69" i="14" s="1"/>
  <c r="AH122" i="14"/>
  <c r="R85" i="14"/>
  <c r="R75" i="14"/>
  <c r="R105" i="14" s="1"/>
  <c r="R95" i="14"/>
  <c r="L35" i="11"/>
  <c r="M61" i="8" s="1"/>
  <c r="G63" i="14"/>
  <c r="G68" i="14" s="1"/>
  <c r="B38" i="11"/>
  <c r="B40" i="11" s="1"/>
  <c r="B25" i="11"/>
  <c r="M11" i="4" s="1"/>
  <c r="AM85" i="14"/>
  <c r="AM75" i="14"/>
  <c r="AM105" i="14" s="1"/>
  <c r="AM95" i="14"/>
  <c r="G23" i="11"/>
  <c r="N86" i="14"/>
  <c r="N96" i="14"/>
  <c r="N76" i="14"/>
  <c r="H35" i="11"/>
  <c r="M41" i="8" s="1"/>
  <c r="AH120" i="14"/>
  <c r="AL96" i="14"/>
  <c r="AL76" i="14"/>
  <c r="AL106" i="14" s="1"/>
  <c r="AL86" i="14"/>
  <c r="O74" i="14"/>
  <c r="O94" i="14"/>
  <c r="O84" i="14"/>
  <c r="I46" i="14"/>
  <c r="AH133" i="14"/>
  <c r="AH128" i="14"/>
  <c r="O86" i="14"/>
  <c r="O96" i="14"/>
  <c r="O76" i="14"/>
  <c r="AE74" i="14"/>
  <c r="AE84" i="14"/>
  <c r="AE94" i="14"/>
  <c r="AH63" i="14"/>
  <c r="AH68" i="14" s="1"/>
  <c r="R94" i="14"/>
  <c r="R84" i="14"/>
  <c r="R74" i="14"/>
  <c r="R104" i="14" s="1"/>
  <c r="F23" i="11"/>
  <c r="Q130" i="14"/>
  <c r="Q47" i="14"/>
  <c r="L63" i="14"/>
  <c r="L68" i="14" s="1"/>
  <c r="L51" i="14"/>
  <c r="AP63" i="14"/>
  <c r="AP68" i="14" s="1"/>
  <c r="M63" i="14"/>
  <c r="M68" i="14" s="1"/>
  <c r="M51" i="14"/>
  <c r="AD104" i="14"/>
  <c r="E19" i="11"/>
  <c r="E34" i="11"/>
  <c r="E35" i="11" s="1"/>
  <c r="M26" i="8" s="1"/>
  <c r="E29" i="11"/>
  <c r="E30" i="11" s="1"/>
  <c r="M26" i="6" s="1"/>
  <c r="E15" i="11"/>
  <c r="AK130" i="14"/>
  <c r="AK47" i="14"/>
  <c r="AB52" i="14"/>
  <c r="AB64" i="14"/>
  <c r="AB69" i="14" s="1"/>
  <c r="AD126" i="14"/>
  <c r="E73" i="19"/>
  <c r="AG50" i="14"/>
  <c r="AG62" i="14"/>
  <c r="AG67" i="14" s="1"/>
  <c r="AA52" i="14"/>
  <c r="L23" i="11"/>
  <c r="L20" i="11"/>
  <c r="C38" i="11"/>
  <c r="W52" i="14"/>
  <c r="W64" i="14"/>
  <c r="W69" i="14" s="1"/>
  <c r="W51" i="14"/>
  <c r="W63" i="14"/>
  <c r="W68" i="14" s="1"/>
  <c r="H45" i="14"/>
  <c r="AE110" i="14" l="1"/>
  <c r="AE126" i="14" s="1"/>
  <c r="G111" i="14"/>
  <c r="G122" i="14"/>
  <c r="AM111" i="14"/>
  <c r="AM127" i="14" s="1"/>
  <c r="AM122" i="14"/>
  <c r="V110" i="14"/>
  <c r="V121" i="14"/>
  <c r="AG96" i="14"/>
  <c r="AG76" i="14"/>
  <c r="AG106" i="14" s="1"/>
  <c r="AG86" i="14"/>
  <c r="AG85" i="14"/>
  <c r="AG95" i="14"/>
  <c r="AG75" i="14"/>
  <c r="B110" i="14"/>
  <c r="B126" i="14" s="1"/>
  <c r="B121" i="14"/>
  <c r="M74" i="14"/>
  <c r="M94" i="14"/>
  <c r="M84" i="14"/>
  <c r="M54" i="14"/>
  <c r="AM110" i="14"/>
  <c r="AM121" i="14"/>
  <c r="Z110" i="14"/>
  <c r="Z126" i="14" s="1"/>
  <c r="Z121" i="14"/>
  <c r="S96" i="14"/>
  <c r="S76" i="14"/>
  <c r="S86" i="14"/>
  <c r="AB84" i="14"/>
  <c r="AB74" i="14"/>
  <c r="AB94" i="14"/>
  <c r="B125" i="14"/>
  <c r="R109" i="14"/>
  <c r="R120" i="14"/>
  <c r="AL111" i="14"/>
  <c r="AL127" i="14" s="1"/>
  <c r="AL122" i="14"/>
  <c r="R110" i="14"/>
  <c r="R126" i="14" s="1"/>
  <c r="R121" i="14"/>
  <c r="AP109" i="14"/>
  <c r="AP120" i="14" s="1"/>
  <c r="C111" i="14"/>
  <c r="C127" i="14" s="1"/>
  <c r="C122" i="14"/>
  <c r="AM109" i="14"/>
  <c r="AM120" i="14" s="1"/>
  <c r="B127" i="14"/>
  <c r="AO94" i="14"/>
  <c r="AO84" i="14"/>
  <c r="AO74" i="14"/>
  <c r="AO104" i="14" s="1"/>
  <c r="AF74" i="14"/>
  <c r="AF84" i="14"/>
  <c r="AF94" i="14"/>
  <c r="R111" i="14"/>
  <c r="R127" i="14" s="1"/>
  <c r="F111" i="14"/>
  <c r="F122" i="14"/>
  <c r="AQ86" i="14"/>
  <c r="AQ76" i="14"/>
  <c r="AQ96" i="14"/>
  <c r="AQ106" i="14"/>
  <c r="F129" i="14"/>
  <c r="F134" i="14"/>
  <c r="AF85" i="14"/>
  <c r="AF95" i="14"/>
  <c r="AF75" i="14"/>
  <c r="AF105" i="14" s="1"/>
  <c r="O104" i="14"/>
  <c r="AO85" i="14"/>
  <c r="AO95" i="14"/>
  <c r="AO75" i="14"/>
  <c r="AO105" i="14" s="1"/>
  <c r="V126" i="14"/>
  <c r="AI96" i="14"/>
  <c r="AI76" i="14"/>
  <c r="AI86" i="14"/>
  <c r="AI106" i="14" s="1"/>
  <c r="C105" i="14"/>
  <c r="N74" i="14"/>
  <c r="N104" i="14" s="1"/>
  <c r="N94" i="14"/>
  <c r="N84" i="14"/>
  <c r="G85" i="14"/>
  <c r="G75" i="14"/>
  <c r="G95" i="14"/>
  <c r="AL105" i="14"/>
  <c r="O95" i="14"/>
  <c r="O85" i="14"/>
  <c r="O75" i="14"/>
  <c r="S85" i="14"/>
  <c r="S75" i="14"/>
  <c r="S95" i="14"/>
  <c r="S105" i="14"/>
  <c r="AS52" i="14"/>
  <c r="T47" i="14"/>
  <c r="AC95" i="14"/>
  <c r="AC75" i="14"/>
  <c r="AC105" i="14" s="1"/>
  <c r="AC85" i="14"/>
  <c r="P52" i="14"/>
  <c r="L62" i="14"/>
  <c r="L67" i="14" s="1"/>
  <c r="AA62" i="14"/>
  <c r="AA67" i="14" s="1"/>
  <c r="U31" i="14"/>
  <c r="N105" i="14"/>
  <c r="Z122" i="14"/>
  <c r="L38" i="11"/>
  <c r="L40" i="11" s="1"/>
  <c r="L25" i="11"/>
  <c r="F38" i="11"/>
  <c r="O106" i="14"/>
  <c r="AC53" i="14"/>
  <c r="AC54" i="14" s="1"/>
  <c r="K105" i="14"/>
  <c r="M21" i="4"/>
  <c r="D83" i="12"/>
  <c r="AL104" i="14"/>
  <c r="L85" i="14"/>
  <c r="L95" i="14"/>
  <c r="L75" i="14"/>
  <c r="L105" i="14"/>
  <c r="AK51" i="14"/>
  <c r="AK63" i="14" s="1"/>
  <c r="AK68" i="14" s="1"/>
  <c r="U46" i="14"/>
  <c r="F84" i="14"/>
  <c r="F74" i="14"/>
  <c r="F104" i="14" s="1"/>
  <c r="F94" i="14"/>
  <c r="W96" i="14"/>
  <c r="W86" i="14"/>
  <c r="W76" i="14"/>
  <c r="B111" i="14"/>
  <c r="B122" i="14" s="1"/>
  <c r="T45" i="14"/>
  <c r="AE104" i="14"/>
  <c r="S62" i="14"/>
  <c r="S67" i="14" s="1"/>
  <c r="Z104" i="14"/>
  <c r="T46" i="14"/>
  <c r="AK50" i="14"/>
  <c r="D74" i="14"/>
  <c r="D94" i="14"/>
  <c r="D84" i="14"/>
  <c r="D104" i="14"/>
  <c r="Q63" i="14"/>
  <c r="Q68" i="14" s="1"/>
  <c r="Q51" i="14"/>
  <c r="E24" i="11"/>
  <c r="E20" i="11"/>
  <c r="N106" i="14"/>
  <c r="L39" i="11"/>
  <c r="AC86" i="14"/>
  <c r="AC96" i="14"/>
  <c r="AC76" i="14"/>
  <c r="AC106" i="14" s="1"/>
  <c r="AS51" i="14"/>
  <c r="AS63" i="14"/>
  <c r="AS68" i="14" s="1"/>
  <c r="AD109" i="14"/>
  <c r="K86" i="14"/>
  <c r="K76" i="14"/>
  <c r="K96" i="14"/>
  <c r="K106" i="14" s="1"/>
  <c r="AB95" i="14"/>
  <c r="AB75" i="14"/>
  <c r="AB85" i="14"/>
  <c r="AB105" i="14" s="1"/>
  <c r="H50" i="14"/>
  <c r="G20" i="11"/>
  <c r="K94" i="14"/>
  <c r="K104" i="14"/>
  <c r="K74" i="14"/>
  <c r="K84" i="14"/>
  <c r="H38" i="11"/>
  <c r="H40" i="11" s="1"/>
  <c r="H25" i="11"/>
  <c r="W85" i="14"/>
  <c r="W75" i="14"/>
  <c r="W95" i="14"/>
  <c r="AN96" i="14"/>
  <c r="AN76" i="14"/>
  <c r="AN106" i="14" s="1"/>
  <c r="AN86" i="14"/>
  <c r="AN74" i="14"/>
  <c r="AN94" i="14"/>
  <c r="AN84" i="14"/>
  <c r="AN104" i="14" s="1"/>
  <c r="Q52" i="14"/>
  <c r="Q64" i="14" s="1"/>
  <c r="Q69" i="14" s="1"/>
  <c r="I50" i="14"/>
  <c r="I62" i="14" s="1"/>
  <c r="I67" i="14" s="1"/>
  <c r="AJ52" i="14"/>
  <c r="AJ64" i="14" s="1"/>
  <c r="AJ69" i="14" s="1"/>
  <c r="AE106" i="14"/>
  <c r="AJ50" i="14"/>
  <c r="J95" i="14"/>
  <c r="J105" i="14" s="1"/>
  <c r="J85" i="14"/>
  <c r="J75" i="14"/>
  <c r="X52" i="14"/>
  <c r="X64" i="14"/>
  <c r="X69" i="14" s="1"/>
  <c r="AK52" i="14"/>
  <c r="AK64" i="14" s="1"/>
  <c r="AK69" i="14" s="1"/>
  <c r="J111" i="14"/>
  <c r="J127" i="14" s="1"/>
  <c r="J135" i="14" s="1"/>
  <c r="D40" i="11"/>
  <c r="AQ75" i="14"/>
  <c r="AQ105" i="14" s="1"/>
  <c r="AQ85" i="14"/>
  <c r="AQ95" i="14"/>
  <c r="AO96" i="14"/>
  <c r="AO86" i="14"/>
  <c r="AO76" i="14"/>
  <c r="AO106" i="14" s="1"/>
  <c r="V106" i="14"/>
  <c r="F121" i="14"/>
  <c r="AN75" i="14"/>
  <c r="AO77" i="14" s="1"/>
  <c r="AO78" i="14" s="1"/>
  <c r="AN95" i="14"/>
  <c r="AN85" i="14"/>
  <c r="AO87" i="14" s="1"/>
  <c r="AO88" i="14" s="1"/>
  <c r="U55" i="9" s="1"/>
  <c r="W62" i="14"/>
  <c r="W67" i="14" s="1"/>
  <c r="L64" i="14"/>
  <c r="L69" i="14" s="1"/>
  <c r="AG74" i="14"/>
  <c r="AG104" i="14" s="1"/>
  <c r="AG84" i="14"/>
  <c r="AG94" i="14"/>
  <c r="I51" i="14"/>
  <c r="I63" i="14"/>
  <c r="I68" i="14" s="1"/>
  <c r="Q50" i="14"/>
  <c r="Q62" i="14"/>
  <c r="Q67" i="14" s="1"/>
  <c r="D95" i="14"/>
  <c r="D75" i="14"/>
  <c r="D85" i="14"/>
  <c r="M86" i="14"/>
  <c r="M76" i="14"/>
  <c r="M106" i="14" s="1"/>
  <c r="M96" i="14"/>
  <c r="M95" i="14"/>
  <c r="M85" i="14"/>
  <c r="M75" i="14"/>
  <c r="M105" i="14" s="1"/>
  <c r="G38" i="11"/>
  <c r="G40" i="11" s="1"/>
  <c r="G25" i="11"/>
  <c r="X50" i="14"/>
  <c r="Y53" i="14" s="1"/>
  <c r="Y54" i="14" s="1"/>
  <c r="AG53" i="14"/>
  <c r="AG54" i="14" s="1"/>
  <c r="K39" i="11"/>
  <c r="K40" i="11" s="1"/>
  <c r="K25" i="11"/>
  <c r="AC104" i="14"/>
  <c r="AC84" i="14"/>
  <c r="AC74" i="14"/>
  <c r="AC94" i="14"/>
  <c r="G84" i="14"/>
  <c r="G74" i="14"/>
  <c r="G104" i="14" s="1"/>
  <c r="G94" i="14"/>
  <c r="AP106" i="14"/>
  <c r="AR52" i="14"/>
  <c r="AR64" i="14" s="1"/>
  <c r="AR69" i="14" s="1"/>
  <c r="AP125" i="14"/>
  <c r="R125" i="14"/>
  <c r="P63" i="14"/>
  <c r="P68" i="14" s="1"/>
  <c r="P51" i="14"/>
  <c r="X51" i="14"/>
  <c r="B109" i="14"/>
  <c r="AD129" i="14"/>
  <c r="AD134" i="14"/>
  <c r="AR50" i="14"/>
  <c r="AS53" i="14" s="1"/>
  <c r="AS54" i="14" s="1"/>
  <c r="AB76" i="14"/>
  <c r="AB86" i="14"/>
  <c r="AB96" i="14"/>
  <c r="AB106" i="14"/>
  <c r="I52" i="14"/>
  <c r="I39" i="11"/>
  <c r="I40" i="11" s="1"/>
  <c r="I25" i="11"/>
  <c r="B74" i="12"/>
  <c r="X10" i="9"/>
  <c r="X8" i="9"/>
  <c r="W8" i="9"/>
  <c r="W10" i="9"/>
  <c r="B42" i="11"/>
  <c r="X7" i="9"/>
  <c r="B43" i="11"/>
  <c r="W7" i="9"/>
  <c r="B75" i="12"/>
  <c r="B45" i="11"/>
  <c r="E32" i="14"/>
  <c r="U9" i="9" s="1"/>
  <c r="Y50" i="14"/>
  <c r="Y62" i="14"/>
  <c r="Y67" i="14" s="1"/>
  <c r="Y51" i="14"/>
  <c r="V94" i="14"/>
  <c r="V84" i="14"/>
  <c r="V74" i="14"/>
  <c r="V104" i="14" s="1"/>
  <c r="AA63" i="14"/>
  <c r="AA68" i="14" s="1"/>
  <c r="AF64" i="14"/>
  <c r="AF69" i="14" s="1"/>
  <c r="AS50" i="14"/>
  <c r="E54" i="14"/>
  <c r="AI110" i="14"/>
  <c r="AI126" i="14" s="1"/>
  <c r="G127" i="14"/>
  <c r="G135" i="14" s="1"/>
  <c r="AA64" i="14"/>
  <c r="AA69" i="14" s="1"/>
  <c r="C24" i="11"/>
  <c r="C20" i="11"/>
  <c r="J104" i="14"/>
  <c r="E75" i="14"/>
  <c r="E95" i="14"/>
  <c r="E85" i="14"/>
  <c r="J24" i="11"/>
  <c r="J20" i="11"/>
  <c r="E64" i="14"/>
  <c r="E69" i="14" s="1"/>
  <c r="AP75" i="14"/>
  <c r="AP95" i="14"/>
  <c r="AP85" i="14"/>
  <c r="AH75" i="14"/>
  <c r="AH105" i="14"/>
  <c r="AH95" i="14"/>
  <c r="AH85" i="14"/>
  <c r="Y52" i="14"/>
  <c r="Y64" i="14"/>
  <c r="Y69" i="14" s="1"/>
  <c r="U45" i="14"/>
  <c r="D64" i="14"/>
  <c r="D69" i="14" s="1"/>
  <c r="H52" i="14"/>
  <c r="C74" i="14"/>
  <c r="C94" i="14"/>
  <c r="C84" i="14"/>
  <c r="C104" i="14"/>
  <c r="F127" i="14"/>
  <c r="F135" i="14" s="1"/>
  <c r="AJ51" i="14"/>
  <c r="AJ63" i="14"/>
  <c r="AJ68" i="14" s="1"/>
  <c r="F19" i="11"/>
  <c r="F29" i="11"/>
  <c r="F30" i="11" s="1"/>
  <c r="M31" i="6" s="1"/>
  <c r="F34" i="11"/>
  <c r="F35" i="11" s="1"/>
  <c r="M31" i="8" s="1"/>
  <c r="F15" i="11"/>
  <c r="AQ62" i="14"/>
  <c r="AQ67" i="14" s="1"/>
  <c r="AM126" i="14"/>
  <c r="AO53" i="14"/>
  <c r="H51" i="14"/>
  <c r="H63" i="14" s="1"/>
  <c r="H68" i="14" s="1"/>
  <c r="AI94" i="14"/>
  <c r="AI74" i="14"/>
  <c r="AI84" i="14"/>
  <c r="U47" i="14"/>
  <c r="AR51" i="14"/>
  <c r="AR63" i="14" s="1"/>
  <c r="AR68" i="14" s="1"/>
  <c r="P50" i="14"/>
  <c r="P62" i="14"/>
  <c r="P67" i="14" s="1"/>
  <c r="E84" i="14"/>
  <c r="E74" i="14"/>
  <c r="E104" i="14" s="1"/>
  <c r="E94" i="14"/>
  <c r="AO110" i="14" l="1"/>
  <c r="AO126" i="14" s="1"/>
  <c r="AO121" i="14"/>
  <c r="AN111" i="14"/>
  <c r="AN122" i="14"/>
  <c r="K111" i="14"/>
  <c r="K122" i="14"/>
  <c r="AO109" i="14"/>
  <c r="AO125" i="14" s="1"/>
  <c r="AR95" i="14"/>
  <c r="AR75" i="14"/>
  <c r="AR105" i="14" s="1"/>
  <c r="AR85" i="14"/>
  <c r="V109" i="14"/>
  <c r="AG109" i="14"/>
  <c r="AG125" i="14" s="1"/>
  <c r="AK76" i="14"/>
  <c r="AK96" i="14"/>
  <c r="AK86" i="14"/>
  <c r="AK85" i="14"/>
  <c r="AK95" i="14"/>
  <c r="AK75" i="14"/>
  <c r="AF110" i="14"/>
  <c r="AF126" i="14" s="1"/>
  <c r="AG87" i="14"/>
  <c r="AG88" i="14" s="1"/>
  <c r="U45" i="9" s="1"/>
  <c r="F109" i="14"/>
  <c r="F120" i="14"/>
  <c r="N109" i="14"/>
  <c r="N120" i="14" s="1"/>
  <c r="E109" i="14"/>
  <c r="E125" i="14" s="1"/>
  <c r="E120" i="14"/>
  <c r="AN120" i="14"/>
  <c r="AN109" i="14"/>
  <c r="AN125" i="14" s="1"/>
  <c r="AN133" i="14" s="1"/>
  <c r="U55" i="8"/>
  <c r="U55" i="6"/>
  <c r="U55" i="4"/>
  <c r="M111" i="14"/>
  <c r="M122" i="14" s="1"/>
  <c r="AO111" i="14"/>
  <c r="AO127" i="14" s="1"/>
  <c r="AO122" i="14"/>
  <c r="AJ76" i="14"/>
  <c r="AJ106" i="14" s="1"/>
  <c r="AJ86" i="14"/>
  <c r="AJ96" i="14"/>
  <c r="AI122" i="14"/>
  <c r="AI111" i="14"/>
  <c r="AB110" i="14"/>
  <c r="AB126" i="14" s="1"/>
  <c r="M110" i="14"/>
  <c r="M126" i="14" s="1"/>
  <c r="D125" i="14"/>
  <c r="D133" i="14" s="1"/>
  <c r="H75" i="14"/>
  <c r="H95" i="14"/>
  <c r="H85" i="14"/>
  <c r="H105" i="14" s="1"/>
  <c r="G109" i="14"/>
  <c r="G125" i="14" s="1"/>
  <c r="G120" i="14"/>
  <c r="AC111" i="14"/>
  <c r="AC127" i="14" s="1"/>
  <c r="AC135" i="14" s="1"/>
  <c r="AM135" i="14"/>
  <c r="AM130" i="14"/>
  <c r="I94" i="14"/>
  <c r="I84" i="14"/>
  <c r="I74" i="14"/>
  <c r="I104" i="14" s="1"/>
  <c r="AQ110" i="14"/>
  <c r="AQ121" i="14"/>
  <c r="AR76" i="14"/>
  <c r="AR86" i="14"/>
  <c r="AR106" i="14"/>
  <c r="AR96" i="14"/>
  <c r="AG111" i="14"/>
  <c r="AG127" i="14" s="1"/>
  <c r="J110" i="14"/>
  <c r="J126" i="14" s="1"/>
  <c r="J121" i="14"/>
  <c r="AC121" i="14"/>
  <c r="AC110" i="14"/>
  <c r="AC126" i="14" s="1"/>
  <c r="Q96" i="14"/>
  <c r="Q76" i="14"/>
  <c r="Q106" i="14" s="1"/>
  <c r="Q86" i="14"/>
  <c r="M61" i="4"/>
  <c r="L83" i="12"/>
  <c r="M56" i="4"/>
  <c r="K83" i="12"/>
  <c r="K74" i="12"/>
  <c r="K75" i="12" s="1"/>
  <c r="X53" i="9"/>
  <c r="X55" i="9"/>
  <c r="X52" i="9"/>
  <c r="K43" i="11"/>
  <c r="K42" i="11"/>
  <c r="K45" i="11"/>
  <c r="AO32" i="14"/>
  <c r="U54" i="9" s="1"/>
  <c r="AG105" i="14"/>
  <c r="B44" i="11"/>
  <c r="S9" i="9"/>
  <c r="AR62" i="14"/>
  <c r="AR67" i="14" s="1"/>
  <c r="W105" i="14"/>
  <c r="W106" i="14"/>
  <c r="AQ126" i="14"/>
  <c r="AB104" i="14"/>
  <c r="AJ85" i="14"/>
  <c r="AJ95" i="14"/>
  <c r="AJ75" i="14"/>
  <c r="AA95" i="14"/>
  <c r="AA75" i="14"/>
  <c r="AA105" i="14" s="1"/>
  <c r="AA85" i="14"/>
  <c r="W10" i="8"/>
  <c r="W10" i="6"/>
  <c r="W10" i="4"/>
  <c r="X62" i="14"/>
  <c r="X67" i="14" s="1"/>
  <c r="Q94" i="14"/>
  <c r="Q84" i="14"/>
  <c r="Q104" i="14"/>
  <c r="Q74" i="14"/>
  <c r="I53" i="14"/>
  <c r="AL109" i="14"/>
  <c r="AL120" i="14"/>
  <c r="AA94" i="14"/>
  <c r="AA84" i="14"/>
  <c r="AA104" i="14"/>
  <c r="AA74" i="14"/>
  <c r="R135" i="14"/>
  <c r="R130" i="14"/>
  <c r="C135" i="14"/>
  <c r="C130" i="14"/>
  <c r="E105" i="14"/>
  <c r="W8" i="8"/>
  <c r="W8" i="6"/>
  <c r="W8" i="4"/>
  <c r="AP111" i="14"/>
  <c r="AP127" i="14" s="1"/>
  <c r="AP122" i="14"/>
  <c r="M36" i="4"/>
  <c r="G83" i="12"/>
  <c r="V111" i="14"/>
  <c r="V127" i="14" s="1"/>
  <c r="V135" i="14" s="1"/>
  <c r="V122" i="14"/>
  <c r="J122" i="14"/>
  <c r="H62" i="14"/>
  <c r="H67" i="14" s="1"/>
  <c r="AK62" i="14"/>
  <c r="AK67" i="14" s="1"/>
  <c r="W18" i="9"/>
  <c r="W17" i="9"/>
  <c r="W20" i="9"/>
  <c r="AS64" i="14"/>
  <c r="AS69" i="14" s="1"/>
  <c r="R122" i="14"/>
  <c r="U50" i="14"/>
  <c r="AC109" i="14"/>
  <c r="AC125" i="14" s="1"/>
  <c r="AC133" i="14" s="1"/>
  <c r="AD125" i="14"/>
  <c r="U52" i="14"/>
  <c r="U64" i="14"/>
  <c r="U69" i="14" s="1"/>
  <c r="AK53" i="14"/>
  <c r="AK54" i="14" s="1"/>
  <c r="AD120" i="14"/>
  <c r="F24" i="11"/>
  <c r="F20" i="11"/>
  <c r="AN105" i="14"/>
  <c r="B128" i="14"/>
  <c r="B133" i="14"/>
  <c r="V125" i="14"/>
  <c r="V133" i="14" s="1"/>
  <c r="T51" i="14"/>
  <c r="T63" i="14"/>
  <c r="T68" i="14" s="1"/>
  <c r="O109" i="14"/>
  <c r="O125" i="14" s="1"/>
  <c r="O120" i="14"/>
  <c r="M104" i="14"/>
  <c r="AM125" i="14"/>
  <c r="Z109" i="14"/>
  <c r="Z120" i="14" s="1"/>
  <c r="AM129" i="14"/>
  <c r="AM134" i="14"/>
  <c r="C39" i="11"/>
  <c r="C40" i="11" s="1"/>
  <c r="C25" i="11"/>
  <c r="M46" i="4"/>
  <c r="I83" i="12"/>
  <c r="B120" i="14"/>
  <c r="X76" i="14"/>
  <c r="X106" i="14" s="1"/>
  <c r="X96" i="14"/>
  <c r="X86" i="14"/>
  <c r="H42" i="11"/>
  <c r="X40" i="9"/>
  <c r="X38" i="9"/>
  <c r="X37" i="9"/>
  <c r="H74" i="12"/>
  <c r="H75" i="12" s="1"/>
  <c r="H43" i="11"/>
  <c r="H45" i="11"/>
  <c r="AC32" i="14"/>
  <c r="U39" i="9" s="1"/>
  <c r="S94" i="14"/>
  <c r="S74" i="14"/>
  <c r="S104" i="14"/>
  <c r="S84" i="14"/>
  <c r="U51" i="14"/>
  <c r="U63" i="14" s="1"/>
  <c r="U68" i="14" s="1"/>
  <c r="P64" i="14"/>
  <c r="P69" i="14" s="1"/>
  <c r="AF104" i="14"/>
  <c r="R129" i="14"/>
  <c r="R134" i="14"/>
  <c r="D109" i="14"/>
  <c r="D120" i="14" s="1"/>
  <c r="R128" i="14"/>
  <c r="R133" i="14"/>
  <c r="AJ62" i="14"/>
  <c r="AJ67" i="14" s="1"/>
  <c r="AP128" i="14"/>
  <c r="AP133" i="14"/>
  <c r="X8" i="4"/>
  <c r="X8" i="8"/>
  <c r="X8" i="6"/>
  <c r="X10" i="6"/>
  <c r="X10" i="8"/>
  <c r="X10" i="4"/>
  <c r="S106" i="14"/>
  <c r="AO54" i="14"/>
  <c r="M41" i="4"/>
  <c r="H83" i="12"/>
  <c r="P84" i="14"/>
  <c r="P94" i="14"/>
  <c r="P74" i="14"/>
  <c r="P104" i="14"/>
  <c r="AA86" i="14"/>
  <c r="AA76" i="14"/>
  <c r="AA96" i="14"/>
  <c r="AA106" i="14" s="1"/>
  <c r="Y63" i="14"/>
  <c r="Y68" i="14" s="1"/>
  <c r="X42" i="9"/>
  <c r="X45" i="9"/>
  <c r="X43" i="9"/>
  <c r="I74" i="12"/>
  <c r="I42" i="11"/>
  <c r="I43" i="11"/>
  <c r="I75" i="12"/>
  <c r="I45" i="11"/>
  <c r="AG32" i="14"/>
  <c r="U44" i="9" s="1"/>
  <c r="E39" i="11"/>
  <c r="E40" i="11" s="1"/>
  <c r="E25" i="11"/>
  <c r="C110" i="14"/>
  <c r="C126" i="14" s="1"/>
  <c r="C121" i="14"/>
  <c r="B129" i="14"/>
  <c r="B134" i="14"/>
  <c r="AB111" i="14"/>
  <c r="AB127" i="14" s="1"/>
  <c r="AB135" i="14" s="1"/>
  <c r="AQ111" i="14"/>
  <c r="AQ127" i="14" s="1"/>
  <c r="AQ122" i="14"/>
  <c r="AL110" i="14"/>
  <c r="AL126" i="14" s="1"/>
  <c r="AL121" i="14"/>
  <c r="W7" i="6"/>
  <c r="W7" i="8"/>
  <c r="W7" i="4"/>
  <c r="W11" i="9"/>
  <c r="AS95" i="14"/>
  <c r="AS75" i="14"/>
  <c r="AS105" i="14" s="1"/>
  <c r="AS85" i="14"/>
  <c r="J39" i="11"/>
  <c r="J40" i="11" s="1"/>
  <c r="J25" i="11"/>
  <c r="AF76" i="14"/>
  <c r="AF96" i="14"/>
  <c r="AF86" i="14"/>
  <c r="AE111" i="14"/>
  <c r="AE127" i="14" s="1"/>
  <c r="G105" i="14"/>
  <c r="AH110" i="14"/>
  <c r="AH121" i="14" s="1"/>
  <c r="G42" i="11"/>
  <c r="X33" i="9"/>
  <c r="X35" i="9"/>
  <c r="X32" i="9"/>
  <c r="G43" i="11"/>
  <c r="G74" i="12"/>
  <c r="G75" i="12" s="1"/>
  <c r="G45" i="11"/>
  <c r="Y32" i="14"/>
  <c r="U34" i="9" s="1"/>
  <c r="S110" i="14"/>
  <c r="S126" i="14" s="1"/>
  <c r="S121" i="14"/>
  <c r="J109" i="14"/>
  <c r="F125" i="14"/>
  <c r="Q53" i="14"/>
  <c r="Q54" i="14" s="1"/>
  <c r="AQ94" i="14"/>
  <c r="AQ84" i="14"/>
  <c r="AQ74" i="14"/>
  <c r="AQ104" i="14"/>
  <c r="AP105" i="14"/>
  <c r="Y94" i="14"/>
  <c r="Y84" i="14"/>
  <c r="Y74" i="14"/>
  <c r="Y104" i="14" s="1"/>
  <c r="AE109" i="14"/>
  <c r="AE125" i="14" s="1"/>
  <c r="AE120" i="14"/>
  <c r="O111" i="14"/>
  <c r="O127" i="14" s="1"/>
  <c r="O135" i="14" s="1"/>
  <c r="O122" i="14"/>
  <c r="AL130" i="14"/>
  <c r="AL135" i="14"/>
  <c r="Z129" i="14"/>
  <c r="Z134" i="14"/>
  <c r="P95" i="14"/>
  <c r="P75" i="14"/>
  <c r="P85" i="14"/>
  <c r="P105" i="14" s="1"/>
  <c r="K109" i="14"/>
  <c r="K120" i="14" s="1"/>
  <c r="B135" i="14"/>
  <c r="B130" i="14"/>
  <c r="B60" i="12"/>
  <c r="B57" i="12"/>
  <c r="B54" i="12"/>
  <c r="B55" i="12"/>
  <c r="B62" i="12"/>
  <c r="B56" i="12"/>
  <c r="B61" i="12"/>
  <c r="B59" i="12"/>
  <c r="B64" i="12"/>
  <c r="B58" i="12"/>
  <c r="B63" i="12"/>
  <c r="V129" i="14"/>
  <c r="V134" i="14"/>
  <c r="AN127" i="14"/>
  <c r="AN135" i="14" s="1"/>
  <c r="X7" i="4"/>
  <c r="X7" i="8"/>
  <c r="X7" i="6"/>
  <c r="X11" i="9"/>
  <c r="D105" i="14"/>
  <c r="I85" i="14"/>
  <c r="I95" i="14"/>
  <c r="I75" i="14"/>
  <c r="L74" i="14"/>
  <c r="L104" i="14" s="1"/>
  <c r="L94" i="14"/>
  <c r="L84" i="14"/>
  <c r="C109" i="14"/>
  <c r="C125" i="14" s="1"/>
  <c r="C120" i="14"/>
  <c r="K110" i="14"/>
  <c r="K126" i="14" s="1"/>
  <c r="N111" i="14"/>
  <c r="N127" i="14" s="1"/>
  <c r="N135" i="14" s="1"/>
  <c r="N122" i="14"/>
  <c r="H64" i="14"/>
  <c r="H69" i="14" s="1"/>
  <c r="AI121" i="14"/>
  <c r="X63" i="14"/>
  <c r="X68" i="14" s="1"/>
  <c r="L86" i="14"/>
  <c r="L76" i="14"/>
  <c r="L106" i="14" s="1"/>
  <c r="L96" i="14"/>
  <c r="K127" i="14"/>
  <c r="O105" i="14"/>
  <c r="AE129" i="14"/>
  <c r="AE134" i="14"/>
  <c r="L121" i="14"/>
  <c r="L110" i="14"/>
  <c r="L126" i="14" s="1"/>
  <c r="L134" i="14" s="1"/>
  <c r="L74" i="12"/>
  <c r="L42" i="11"/>
  <c r="X60" i="9"/>
  <c r="X58" i="9"/>
  <c r="X57" i="9"/>
  <c r="L43" i="11"/>
  <c r="L75" i="12"/>
  <c r="L45" i="11"/>
  <c r="AS32" i="14"/>
  <c r="U59" i="9" s="1"/>
  <c r="AS62" i="14"/>
  <c r="AS67" i="14" s="1"/>
  <c r="T52" i="14"/>
  <c r="Y96" i="14"/>
  <c r="Y86" i="14"/>
  <c r="Y76" i="14"/>
  <c r="Y106" i="14" s="1"/>
  <c r="N110" i="14"/>
  <c r="N126" i="14" s="1"/>
  <c r="AI104" i="14"/>
  <c r="D74" i="12"/>
  <c r="X18" i="9"/>
  <c r="X17" i="9"/>
  <c r="D42" i="11"/>
  <c r="X20" i="9"/>
  <c r="D43" i="11"/>
  <c r="D45" i="11"/>
  <c r="D75" i="12"/>
  <c r="M32" i="14"/>
  <c r="U19" i="9" s="1"/>
  <c r="N125" i="14"/>
  <c r="AH126" i="14"/>
  <c r="D96" i="14"/>
  <c r="D76" i="14"/>
  <c r="D86" i="14"/>
  <c r="E87" i="14" s="1"/>
  <c r="E88" i="14" s="1"/>
  <c r="U10" i="9" s="1"/>
  <c r="D106" i="14"/>
  <c r="E96" i="14"/>
  <c r="E76" i="14"/>
  <c r="E86" i="14"/>
  <c r="AI129" i="14"/>
  <c r="AI134" i="14"/>
  <c r="T9" i="9"/>
  <c r="U9" i="6"/>
  <c r="U9" i="8"/>
  <c r="U9" i="4"/>
  <c r="I64" i="14"/>
  <c r="I69" i="14" s="1"/>
  <c r="W94" i="14"/>
  <c r="W84" i="14"/>
  <c r="W74" i="14"/>
  <c r="W104" i="14" s="1"/>
  <c r="K125" i="14"/>
  <c r="Q85" i="14"/>
  <c r="Q105" i="14"/>
  <c r="Q95" i="14"/>
  <c r="Q75" i="14"/>
  <c r="T50" i="14"/>
  <c r="AI127" i="14"/>
  <c r="AI135" i="14" s="1"/>
  <c r="AE121" i="14"/>
  <c r="Y109" i="14" l="1"/>
  <c r="Y120" i="14" s="1"/>
  <c r="U85" i="14"/>
  <c r="U75" i="14"/>
  <c r="U95" i="14"/>
  <c r="U105" i="14" s="1"/>
  <c r="J129" i="14"/>
  <c r="J134" i="14"/>
  <c r="H110" i="14"/>
  <c r="H126" i="14" s="1"/>
  <c r="H134" i="14" s="1"/>
  <c r="H121" i="14"/>
  <c r="P110" i="14"/>
  <c r="P126" i="14" s="1"/>
  <c r="P134" i="14" s="1"/>
  <c r="AA110" i="14"/>
  <c r="AA126" i="14" s="1"/>
  <c r="AQ135" i="14"/>
  <c r="AQ130" i="14"/>
  <c r="AR110" i="14"/>
  <c r="AR121" i="14" s="1"/>
  <c r="G128" i="14"/>
  <c r="G133" i="14"/>
  <c r="AR127" i="14"/>
  <c r="AR135" i="14" s="1"/>
  <c r="X127" i="14"/>
  <c r="X135" i="14" s="1"/>
  <c r="X122" i="14"/>
  <c r="X111" i="14"/>
  <c r="C128" i="14"/>
  <c r="C133" i="14"/>
  <c r="L109" i="14"/>
  <c r="M112" i="14" s="1"/>
  <c r="M113" i="14" s="1"/>
  <c r="S129" i="14"/>
  <c r="S134" i="14"/>
  <c r="I109" i="14"/>
  <c r="I120" i="14" s="1"/>
  <c r="AJ127" i="14"/>
  <c r="AJ135" i="14" s="1"/>
  <c r="Q77" i="14"/>
  <c r="Q78" i="14" s="1"/>
  <c r="I125" i="14"/>
  <c r="U10" i="8"/>
  <c r="U10" i="6"/>
  <c r="U10" i="4"/>
  <c r="AS110" i="14"/>
  <c r="AS126" i="14" s="1"/>
  <c r="Q125" i="14"/>
  <c r="AJ122" i="14"/>
  <c r="AJ111" i="14"/>
  <c r="AC129" i="14"/>
  <c r="AC134" i="14"/>
  <c r="AA111" i="14"/>
  <c r="AA122" i="14"/>
  <c r="K62" i="12"/>
  <c r="K59" i="12"/>
  <c r="K56" i="12"/>
  <c r="K60" i="12"/>
  <c r="K57" i="12"/>
  <c r="K54" i="12"/>
  <c r="K61" i="12"/>
  <c r="K58" i="12"/>
  <c r="K55" i="12"/>
  <c r="K64" i="12"/>
  <c r="K63" i="12"/>
  <c r="Y122" i="14"/>
  <c r="Y111" i="14"/>
  <c r="Y127" i="14" s="1"/>
  <c r="Y135" i="14" s="1"/>
  <c r="W109" i="14"/>
  <c r="W120" i="14"/>
  <c r="H61" i="12"/>
  <c r="H58" i="12"/>
  <c r="H55" i="12"/>
  <c r="H63" i="12"/>
  <c r="H60" i="12"/>
  <c r="H57" i="12"/>
  <c r="H54" i="12"/>
  <c r="H56" i="12"/>
  <c r="H59" i="12"/>
  <c r="H64" i="12"/>
  <c r="H62" i="12"/>
  <c r="L111" i="14"/>
  <c r="L122" i="14"/>
  <c r="G64" i="12"/>
  <c r="G61" i="12"/>
  <c r="G58" i="12"/>
  <c r="G55" i="12"/>
  <c r="G56" i="12"/>
  <c r="G63" i="12"/>
  <c r="G60" i="12"/>
  <c r="G57" i="12"/>
  <c r="G54" i="12"/>
  <c r="G62" i="12"/>
  <c r="G59" i="12"/>
  <c r="Q87" i="14"/>
  <c r="Q88" i="14" s="1"/>
  <c r="U25" i="9" s="1"/>
  <c r="Q111" i="14"/>
  <c r="Q127" i="14" s="1"/>
  <c r="Q135" i="14" s="1"/>
  <c r="W111" i="14"/>
  <c r="W127" i="14" s="1"/>
  <c r="W135" i="14" s="1"/>
  <c r="X20" i="8"/>
  <c r="X20" i="4"/>
  <c r="X20" i="6"/>
  <c r="T59" i="9"/>
  <c r="U59" i="6"/>
  <c r="U59" i="8"/>
  <c r="U59" i="4"/>
  <c r="W53" i="9"/>
  <c r="W52" i="9"/>
  <c r="W55" i="9"/>
  <c r="AB121" i="14"/>
  <c r="AO133" i="14"/>
  <c r="AO128" i="14"/>
  <c r="X17" i="8"/>
  <c r="X21" i="9"/>
  <c r="X17" i="4"/>
  <c r="X17" i="6"/>
  <c r="M87" i="14"/>
  <c r="M88" i="14" s="1"/>
  <c r="U20" i="9" s="1"/>
  <c r="M15" i="18"/>
  <c r="R15" i="16"/>
  <c r="R15" i="17"/>
  <c r="R15" i="15"/>
  <c r="AP110" i="14"/>
  <c r="AP126" i="14" s="1"/>
  <c r="AP121" i="14"/>
  <c r="W37" i="9"/>
  <c r="W38" i="9"/>
  <c r="W40" i="9"/>
  <c r="X12" i="9"/>
  <c r="C74" i="12"/>
  <c r="X15" i="9"/>
  <c r="X13" i="9"/>
  <c r="C42" i="11"/>
  <c r="C43" i="11"/>
  <c r="C75" i="12"/>
  <c r="C45" i="11"/>
  <c r="I32" i="14"/>
  <c r="U14" i="9" s="1"/>
  <c r="S11" i="9"/>
  <c r="G9" i="9"/>
  <c r="S9" i="8"/>
  <c r="S9" i="6"/>
  <c r="S9" i="4"/>
  <c r="AG122" i="14"/>
  <c r="M77" i="14"/>
  <c r="M78" i="14" s="1"/>
  <c r="AK105" i="14"/>
  <c r="AO120" i="14"/>
  <c r="Q109" i="14"/>
  <c r="Q120" i="14"/>
  <c r="O110" i="14"/>
  <c r="O126" i="14" s="1"/>
  <c r="K135" i="14"/>
  <c r="K130" i="14"/>
  <c r="D44" i="11"/>
  <c r="S19" i="9"/>
  <c r="U34" i="8"/>
  <c r="U34" i="4"/>
  <c r="T34" i="9"/>
  <c r="U34" i="6"/>
  <c r="I44" i="11"/>
  <c r="S44" i="9"/>
  <c r="M16" i="4"/>
  <c r="C83" i="12"/>
  <c r="U96" i="14"/>
  <c r="U86" i="14"/>
  <c r="U76" i="14"/>
  <c r="U106" i="14" s="1"/>
  <c r="AR84" i="14"/>
  <c r="AR94" i="14"/>
  <c r="AR74" i="14"/>
  <c r="AS77" i="14" s="1"/>
  <c r="AS78" i="14" s="1"/>
  <c r="AG135" i="14"/>
  <c r="AG130" i="14"/>
  <c r="X18" i="4"/>
  <c r="X18" i="8"/>
  <c r="X18" i="6"/>
  <c r="L62" i="12"/>
  <c r="L59" i="12"/>
  <c r="L56" i="12"/>
  <c r="L57" i="12"/>
  <c r="L54" i="12"/>
  <c r="L64" i="12"/>
  <c r="L58" i="12"/>
  <c r="L60" i="12"/>
  <c r="L55" i="12"/>
  <c r="L63" i="12"/>
  <c r="L61" i="12"/>
  <c r="M10" i="18"/>
  <c r="R10" i="16"/>
  <c r="R10" i="15"/>
  <c r="R10" i="17"/>
  <c r="AF106" i="14"/>
  <c r="AB122" i="14"/>
  <c r="X43" i="8"/>
  <c r="X43" i="6"/>
  <c r="X43" i="4"/>
  <c r="AD133" i="14"/>
  <c r="AD128" i="14"/>
  <c r="AA125" i="14"/>
  <c r="AA133" i="14" s="1"/>
  <c r="AC77" i="14"/>
  <c r="AC78" i="14" s="1"/>
  <c r="AC122" i="14"/>
  <c r="J125" i="14"/>
  <c r="P109" i="14"/>
  <c r="P125" i="14" s="1"/>
  <c r="P133" i="14" s="1"/>
  <c r="S109" i="14"/>
  <c r="S120" i="14"/>
  <c r="M109" i="14"/>
  <c r="M125" i="14" s="1"/>
  <c r="S125" i="14"/>
  <c r="M129" i="14"/>
  <c r="M134" i="14"/>
  <c r="I58" i="12"/>
  <c r="I55" i="12"/>
  <c r="I62" i="12"/>
  <c r="I63" i="12"/>
  <c r="I60" i="12"/>
  <c r="I57" i="12"/>
  <c r="I54" i="12"/>
  <c r="I61" i="12"/>
  <c r="I56" i="12"/>
  <c r="I59" i="12"/>
  <c r="I64" i="12"/>
  <c r="D111" i="14"/>
  <c r="D127" i="14" s="1"/>
  <c r="D135" i="14" s="1"/>
  <c r="AL129" i="14"/>
  <c r="AL134" i="14"/>
  <c r="AB129" i="14"/>
  <c r="AB134" i="14"/>
  <c r="L127" i="14"/>
  <c r="L135" i="14" s="1"/>
  <c r="W60" i="9"/>
  <c r="W57" i="9"/>
  <c r="W58" i="9"/>
  <c r="X61" i="9"/>
  <c r="X57" i="8"/>
  <c r="X57" i="6"/>
  <c r="X57" i="4"/>
  <c r="AI109" i="14"/>
  <c r="AI120" i="14"/>
  <c r="X36" i="9"/>
  <c r="X32" i="6"/>
  <c r="X32" i="8"/>
  <c r="X32" i="4"/>
  <c r="X60" i="6"/>
  <c r="X60" i="8"/>
  <c r="X60" i="4"/>
  <c r="AG110" i="14"/>
  <c r="AG126" i="14" s="1"/>
  <c r="N121" i="14"/>
  <c r="Y125" i="14"/>
  <c r="Y133" i="14" s="1"/>
  <c r="U54" i="8"/>
  <c r="T54" i="9"/>
  <c r="U54" i="6"/>
  <c r="U54" i="4"/>
  <c r="U53" i="14"/>
  <c r="U54" i="14" s="1"/>
  <c r="T9" i="8"/>
  <c r="T9" i="4"/>
  <c r="T9" i="6"/>
  <c r="R7" i="17"/>
  <c r="R7" i="16"/>
  <c r="M7" i="18"/>
  <c r="R7" i="15"/>
  <c r="G44" i="11"/>
  <c r="S34" i="9"/>
  <c r="AA127" i="14"/>
  <c r="AA135" i="14" s="1"/>
  <c r="P76" i="14"/>
  <c r="P106" i="14" s="1"/>
  <c r="P96" i="14"/>
  <c r="P86" i="14"/>
  <c r="M127" i="14"/>
  <c r="AG120" i="14"/>
  <c r="AG77" i="14"/>
  <c r="AG78" i="14" s="1"/>
  <c r="Q110" i="14"/>
  <c r="Q126" i="14" s="1"/>
  <c r="Q121" i="14"/>
  <c r="F39" i="11"/>
  <c r="F40" i="11" s="1"/>
  <c r="F25" i="11"/>
  <c r="U45" i="4"/>
  <c r="U45" i="8"/>
  <c r="U45" i="6"/>
  <c r="T64" i="14"/>
  <c r="T69" i="14" s="1"/>
  <c r="X55" i="8"/>
  <c r="X55" i="4"/>
  <c r="X55" i="6"/>
  <c r="O128" i="14"/>
  <c r="O133" i="14"/>
  <c r="M121" i="14"/>
  <c r="W125" i="14"/>
  <c r="W133" i="14" s="1"/>
  <c r="T39" i="9"/>
  <c r="U39" i="6"/>
  <c r="U39" i="4"/>
  <c r="U39" i="8"/>
  <c r="AR126" i="14"/>
  <c r="X45" i="6"/>
  <c r="X45" i="8"/>
  <c r="X45" i="4"/>
  <c r="W33" i="9"/>
  <c r="W32" i="9"/>
  <c r="W35" i="9"/>
  <c r="I86" i="14"/>
  <c r="I96" i="14"/>
  <c r="I76" i="14"/>
  <c r="X41" i="9"/>
  <c r="X37" i="4"/>
  <c r="X37" i="8"/>
  <c r="X37" i="6"/>
  <c r="AC87" i="14"/>
  <c r="AC88" i="14" s="1"/>
  <c r="U40" i="9" s="1"/>
  <c r="X58" i="6"/>
  <c r="X58" i="8"/>
  <c r="X58" i="4"/>
  <c r="X38" i="8"/>
  <c r="X38" i="4"/>
  <c r="X38" i="6"/>
  <c r="E128" i="14"/>
  <c r="E133" i="14"/>
  <c r="X40" i="6"/>
  <c r="X40" i="4"/>
  <c r="X40" i="8"/>
  <c r="AP135" i="14"/>
  <c r="AP130" i="14"/>
  <c r="AK106" i="14"/>
  <c r="S59" i="9"/>
  <c r="L44" i="11"/>
  <c r="I105" i="14"/>
  <c r="AF109" i="14"/>
  <c r="AF120" i="14"/>
  <c r="T62" i="14"/>
  <c r="T67" i="14" s="1"/>
  <c r="H96" i="14"/>
  <c r="H76" i="14"/>
  <c r="H106" i="14" s="1"/>
  <c r="H86" i="14"/>
  <c r="D110" i="14"/>
  <c r="D126" i="14" s="1"/>
  <c r="D134" i="14" s="1"/>
  <c r="D121" i="14"/>
  <c r="R6" i="17"/>
  <c r="R6" i="16"/>
  <c r="R6" i="15"/>
  <c r="M6" i="18"/>
  <c r="B66" i="12"/>
  <c r="F128" i="14"/>
  <c r="F133" i="14"/>
  <c r="M26" i="4"/>
  <c r="E83" i="12"/>
  <c r="AM128" i="14"/>
  <c r="AM133" i="14"/>
  <c r="AS86" i="14"/>
  <c r="AS96" i="14"/>
  <c r="AS76" i="14"/>
  <c r="I54" i="14"/>
  <c r="AJ105" i="14"/>
  <c r="AO135" i="14"/>
  <c r="AO130" i="14"/>
  <c r="D57" i="12"/>
  <c r="D54" i="12"/>
  <c r="D64" i="12"/>
  <c r="D61" i="12"/>
  <c r="D62" i="12"/>
  <c r="D59" i="12"/>
  <c r="D63" i="12"/>
  <c r="D56" i="12"/>
  <c r="D60" i="12"/>
  <c r="D58" i="12"/>
  <c r="D55" i="12"/>
  <c r="G110" i="14"/>
  <c r="G126" i="14" s="1"/>
  <c r="G121" i="14"/>
  <c r="W18" i="8"/>
  <c r="W18" i="6"/>
  <c r="W18" i="4"/>
  <c r="AQ129" i="14"/>
  <c r="AQ134" i="14"/>
  <c r="K121" i="14"/>
  <c r="AE135" i="14"/>
  <c r="AE130" i="14"/>
  <c r="AF129" i="14"/>
  <c r="AF134" i="14"/>
  <c r="K128" i="14"/>
  <c r="K133" i="14"/>
  <c r="X53" i="8"/>
  <c r="X53" i="4"/>
  <c r="X53" i="6"/>
  <c r="T85" i="14"/>
  <c r="T75" i="14"/>
  <c r="T105" i="14" s="1"/>
  <c r="T95" i="14"/>
  <c r="X94" i="14"/>
  <c r="X84" i="14"/>
  <c r="Y87" i="14" s="1"/>
  <c r="Y88" i="14" s="1"/>
  <c r="U35" i="9" s="1"/>
  <c r="X74" i="14"/>
  <c r="R16" i="17"/>
  <c r="R16" i="16"/>
  <c r="R16" i="15"/>
  <c r="M16" i="18"/>
  <c r="AQ109" i="14"/>
  <c r="AQ120" i="14"/>
  <c r="Y77" i="14"/>
  <c r="Y78" i="14" s="1"/>
  <c r="AA120" i="14"/>
  <c r="AA109" i="14"/>
  <c r="AR111" i="14"/>
  <c r="AR122" i="14" s="1"/>
  <c r="X42" i="4"/>
  <c r="X46" i="9"/>
  <c r="X42" i="8"/>
  <c r="X42" i="6"/>
  <c r="N128" i="14"/>
  <c r="N133" i="14"/>
  <c r="M13" i="18"/>
  <c r="R13" i="17"/>
  <c r="R13" i="16"/>
  <c r="R13" i="15"/>
  <c r="X47" i="9"/>
  <c r="X50" i="9"/>
  <c r="X48" i="9"/>
  <c r="J74" i="12"/>
  <c r="J43" i="11"/>
  <c r="J42" i="11"/>
  <c r="J45" i="11"/>
  <c r="J75" i="12"/>
  <c r="AK32" i="14"/>
  <c r="U49" i="9" s="1"/>
  <c r="AC120" i="14"/>
  <c r="E77" i="14"/>
  <c r="E78" i="14" s="1"/>
  <c r="M8" i="18"/>
  <c r="R8" i="17"/>
  <c r="R8" i="16"/>
  <c r="R8" i="15"/>
  <c r="X33" i="6"/>
  <c r="X33" i="4"/>
  <c r="X33" i="8"/>
  <c r="S39" i="9"/>
  <c r="H44" i="11"/>
  <c r="U62" i="14"/>
  <c r="U67" i="14" s="1"/>
  <c r="AL125" i="14"/>
  <c r="AG133" i="14"/>
  <c r="AG128" i="14"/>
  <c r="X11" i="6"/>
  <c r="X11" i="4"/>
  <c r="L15" i="2" s="1"/>
  <c r="X11" i="8"/>
  <c r="R9" i="16"/>
  <c r="R9" i="15"/>
  <c r="R9" i="17"/>
  <c r="M9" i="18"/>
  <c r="W11" i="4"/>
  <c r="K15" i="2" s="1"/>
  <c r="W11" i="6"/>
  <c r="W11" i="8"/>
  <c r="E74" i="12"/>
  <c r="X23" i="9"/>
  <c r="X22" i="9"/>
  <c r="X25" i="9"/>
  <c r="E42" i="11"/>
  <c r="E43" i="11"/>
  <c r="E45" i="11"/>
  <c r="E75" i="12"/>
  <c r="Q32" i="14"/>
  <c r="U24" i="9" s="1"/>
  <c r="AN110" i="14"/>
  <c r="AN126" i="14" s="1"/>
  <c r="AN121" i="14"/>
  <c r="W20" i="8"/>
  <c r="W20" i="4"/>
  <c r="W20" i="6"/>
  <c r="E110" i="14"/>
  <c r="E126" i="14" s="1"/>
  <c r="E121" i="14"/>
  <c r="K44" i="11"/>
  <c r="S54" i="9"/>
  <c r="V120" i="14"/>
  <c r="K129" i="14"/>
  <c r="K134" i="14"/>
  <c r="T44" i="9"/>
  <c r="U44" i="6"/>
  <c r="U44" i="8"/>
  <c r="U44" i="4"/>
  <c r="X56" i="9"/>
  <c r="X52" i="6"/>
  <c r="X52" i="4"/>
  <c r="X52" i="8"/>
  <c r="J120" i="14"/>
  <c r="W43" i="9"/>
  <c r="W45" i="9"/>
  <c r="W42" i="9"/>
  <c r="AK84" i="14"/>
  <c r="AK94" i="14"/>
  <c r="AK74" i="14"/>
  <c r="AK104" i="14" s="1"/>
  <c r="AS84" i="14"/>
  <c r="AS87" i="14" s="1"/>
  <c r="AS88" i="14" s="1"/>
  <c r="U60" i="9" s="1"/>
  <c r="AS94" i="14"/>
  <c r="AS74" i="14"/>
  <c r="AE122" i="14"/>
  <c r="H74" i="14"/>
  <c r="H104" i="14" s="1"/>
  <c r="H94" i="14"/>
  <c r="H84" i="14"/>
  <c r="I87" i="14" s="1"/>
  <c r="I88" i="14" s="1"/>
  <c r="U15" i="9" s="1"/>
  <c r="W110" i="14"/>
  <c r="W126" i="14" s="1"/>
  <c r="W121" i="14"/>
  <c r="AF121" i="14"/>
  <c r="AJ94" i="14"/>
  <c r="AJ74" i="14"/>
  <c r="AJ84" i="14"/>
  <c r="AK87" i="14" s="1"/>
  <c r="AK88" i="14" s="1"/>
  <c r="U50" i="9" s="1"/>
  <c r="AH129" i="14"/>
  <c r="AH134" i="14"/>
  <c r="M11" i="18"/>
  <c r="R11" i="15"/>
  <c r="R11" i="16"/>
  <c r="R11" i="17"/>
  <c r="M51" i="4"/>
  <c r="J83" i="12"/>
  <c r="S111" i="14"/>
  <c r="S127" i="14" s="1"/>
  <c r="S122" i="14"/>
  <c r="X75" i="14"/>
  <c r="X85" i="14"/>
  <c r="X105" i="14" s="1"/>
  <c r="X95" i="14"/>
  <c r="Y85" i="14"/>
  <c r="Y95" i="14"/>
  <c r="Y105" i="14" s="1"/>
  <c r="Y75" i="14"/>
  <c r="N134" i="14"/>
  <c r="N129" i="14"/>
  <c r="X35" i="8"/>
  <c r="X35" i="6"/>
  <c r="X35" i="4"/>
  <c r="AC112" i="14"/>
  <c r="AC113" i="14" s="1"/>
  <c r="Z125" i="14"/>
  <c r="Z133" i="14" s="1"/>
  <c r="R14" i="17"/>
  <c r="M14" i="18"/>
  <c r="R14" i="15"/>
  <c r="R14" i="16"/>
  <c r="C129" i="14"/>
  <c r="C134" i="14"/>
  <c r="E106" i="14"/>
  <c r="U19" i="8"/>
  <c r="T19" i="9"/>
  <c r="U19" i="6"/>
  <c r="U19" i="4"/>
  <c r="R12" i="17"/>
  <c r="M12" i="18"/>
  <c r="R12" i="16"/>
  <c r="R12" i="15"/>
  <c r="AE128" i="14"/>
  <c r="AE133" i="14"/>
  <c r="W17" i="8"/>
  <c r="W17" i="4"/>
  <c r="W17" i="6"/>
  <c r="W21" i="9"/>
  <c r="AB120" i="14"/>
  <c r="AB109" i="14"/>
  <c r="AB125" i="14" s="1"/>
  <c r="AB133" i="14" s="1"/>
  <c r="AO129" i="14"/>
  <c r="AO134" i="14"/>
  <c r="AK109" i="14" l="1"/>
  <c r="AK120" i="14" s="1"/>
  <c r="H111" i="14"/>
  <c r="H122" i="14"/>
  <c r="AA129" i="14"/>
  <c r="AA134" i="14"/>
  <c r="AC136" i="14" s="1"/>
  <c r="Z139" i="14" s="1"/>
  <c r="U35" i="8"/>
  <c r="U35" i="4"/>
  <c r="U35" i="6"/>
  <c r="U60" i="4"/>
  <c r="U60" i="8"/>
  <c r="U60" i="6"/>
  <c r="Y121" i="14"/>
  <c r="Y110" i="14"/>
  <c r="U111" i="14"/>
  <c r="U122" i="14" s="1"/>
  <c r="T110" i="14"/>
  <c r="T126" i="14" s="1"/>
  <c r="T134" i="14" s="1"/>
  <c r="T121" i="14"/>
  <c r="X110" i="14"/>
  <c r="X126" i="14" s="1"/>
  <c r="X121" i="14"/>
  <c r="Q129" i="14"/>
  <c r="Q134" i="14"/>
  <c r="P111" i="14"/>
  <c r="P127" i="14" s="1"/>
  <c r="P135" i="14" s="1"/>
  <c r="P122" i="14"/>
  <c r="H109" i="14"/>
  <c r="U110" i="14"/>
  <c r="U126" i="14" s="1"/>
  <c r="M88" i="18"/>
  <c r="R88" i="16"/>
  <c r="R88" i="15"/>
  <c r="R88" i="17"/>
  <c r="R83" i="17"/>
  <c r="M83" i="18"/>
  <c r="R83" i="15"/>
  <c r="R83" i="16"/>
  <c r="M71" i="18"/>
  <c r="R71" i="16"/>
  <c r="R71" i="17"/>
  <c r="R71" i="15"/>
  <c r="R36" i="16"/>
  <c r="M36" i="18"/>
  <c r="R36" i="15"/>
  <c r="R36" i="17"/>
  <c r="R74" i="17"/>
  <c r="R74" i="16"/>
  <c r="R74" i="15"/>
  <c r="M74" i="18"/>
  <c r="R32" i="16"/>
  <c r="R32" i="17"/>
  <c r="R32" i="15"/>
  <c r="M32" i="18"/>
  <c r="M135" i="14"/>
  <c r="M130" i="14"/>
  <c r="R98" i="16"/>
  <c r="M98" i="18"/>
  <c r="R98" i="17"/>
  <c r="R98" i="15"/>
  <c r="AC142" i="14"/>
  <c r="V40" i="9" s="1"/>
  <c r="R127" i="16"/>
  <c r="M127" i="18"/>
  <c r="R127" i="15"/>
  <c r="R127" i="17"/>
  <c r="S11" i="8"/>
  <c r="S11" i="4"/>
  <c r="I15" i="2" s="1"/>
  <c r="S11" i="6"/>
  <c r="AP129" i="14"/>
  <c r="AP134" i="14"/>
  <c r="W53" i="8"/>
  <c r="W53" i="6"/>
  <c r="W53" i="4"/>
  <c r="R66" i="16"/>
  <c r="R66" i="17"/>
  <c r="R66" i="15"/>
  <c r="M66" i="18"/>
  <c r="G66" i="12"/>
  <c r="R81" i="16"/>
  <c r="R81" i="17"/>
  <c r="M81" i="18"/>
  <c r="R81" i="15"/>
  <c r="R117" i="16"/>
  <c r="M117" i="18"/>
  <c r="R117" i="17"/>
  <c r="R117" i="15"/>
  <c r="Y126" i="14"/>
  <c r="AS104" i="14"/>
  <c r="T24" i="9"/>
  <c r="U24" i="8"/>
  <c r="U24" i="4"/>
  <c r="U24" i="6"/>
  <c r="M39" i="18"/>
  <c r="R39" i="16"/>
  <c r="R39" i="17"/>
  <c r="R39" i="15"/>
  <c r="W35" i="6"/>
  <c r="W35" i="8"/>
  <c r="W35" i="4"/>
  <c r="M91" i="18"/>
  <c r="R91" i="17"/>
  <c r="R91" i="15"/>
  <c r="R91" i="16"/>
  <c r="R132" i="16"/>
  <c r="R132" i="17"/>
  <c r="R132" i="15"/>
  <c r="M132" i="18"/>
  <c r="U127" i="14"/>
  <c r="R69" i="17"/>
  <c r="M69" i="18"/>
  <c r="R69" i="16"/>
  <c r="R69" i="15"/>
  <c r="M84" i="18"/>
  <c r="R84" i="17"/>
  <c r="R84" i="16"/>
  <c r="R84" i="15"/>
  <c r="R120" i="16"/>
  <c r="R120" i="17"/>
  <c r="M120" i="18"/>
  <c r="R120" i="15"/>
  <c r="W50" i="9"/>
  <c r="W47" i="9"/>
  <c r="W48" i="9"/>
  <c r="W40" i="8"/>
  <c r="W40" i="4"/>
  <c r="W40" i="6"/>
  <c r="O12" i="18"/>
  <c r="T41" i="9"/>
  <c r="T39" i="6"/>
  <c r="T39" i="8"/>
  <c r="T39" i="4"/>
  <c r="W38" i="8"/>
  <c r="W38" i="4"/>
  <c r="W38" i="6"/>
  <c r="O9" i="18"/>
  <c r="R31" i="17"/>
  <c r="R31" i="16"/>
  <c r="M31" i="18"/>
  <c r="R31" i="15"/>
  <c r="M93" i="18"/>
  <c r="R93" i="16"/>
  <c r="R93" i="17"/>
  <c r="R93" i="15"/>
  <c r="AS129" i="14"/>
  <c r="AS134" i="14"/>
  <c r="R34" i="16"/>
  <c r="M34" i="18"/>
  <c r="R34" i="17"/>
  <c r="R34" i="15"/>
  <c r="W61" i="9"/>
  <c r="W57" i="6"/>
  <c r="W57" i="8"/>
  <c r="W57" i="4"/>
  <c r="M133" i="18"/>
  <c r="R133" i="15"/>
  <c r="R133" i="16"/>
  <c r="R133" i="17"/>
  <c r="R121" i="16"/>
  <c r="M121" i="18"/>
  <c r="R121" i="17"/>
  <c r="R121" i="15"/>
  <c r="W60" i="4"/>
  <c r="W60" i="6"/>
  <c r="W60" i="8"/>
  <c r="I7" i="10"/>
  <c r="G9" i="8"/>
  <c r="G9" i="6"/>
  <c r="G9" i="4"/>
  <c r="R114" i="17"/>
  <c r="R114" i="15"/>
  <c r="M114" i="18"/>
  <c r="R114" i="16"/>
  <c r="K66" i="12"/>
  <c r="W33" i="6"/>
  <c r="W33" i="8"/>
  <c r="W33" i="4"/>
  <c r="O129" i="14"/>
  <c r="O134" i="14"/>
  <c r="R79" i="16"/>
  <c r="R79" i="17"/>
  <c r="R79" i="15"/>
  <c r="M79" i="18"/>
  <c r="X36" i="4"/>
  <c r="L16" i="2" s="1"/>
  <c r="X36" i="8"/>
  <c r="X36" i="6"/>
  <c r="O121" i="14"/>
  <c r="AJ104" i="14"/>
  <c r="R40" i="17"/>
  <c r="M40" i="18"/>
  <c r="R40" i="16"/>
  <c r="R40" i="15"/>
  <c r="M129" i="18"/>
  <c r="R129" i="16"/>
  <c r="R129" i="15"/>
  <c r="R129" i="17"/>
  <c r="T20" i="9"/>
  <c r="U20" i="8"/>
  <c r="U20" i="6"/>
  <c r="U20" i="4"/>
  <c r="R85" i="16"/>
  <c r="R85" i="17"/>
  <c r="M85" i="18"/>
  <c r="R85" i="15"/>
  <c r="AK77" i="14"/>
  <c r="AK78" i="14" s="1"/>
  <c r="X25" i="8"/>
  <c r="X25" i="6"/>
  <c r="X25" i="4"/>
  <c r="AL133" i="14"/>
  <c r="AL128" i="14"/>
  <c r="X46" i="6"/>
  <c r="X46" i="8"/>
  <c r="X46" i="4"/>
  <c r="L9" i="2" s="1"/>
  <c r="M30" i="18"/>
  <c r="R30" i="17"/>
  <c r="R30" i="16"/>
  <c r="R30" i="15"/>
  <c r="D66" i="12"/>
  <c r="I110" i="14"/>
  <c r="I126" i="14" s="1"/>
  <c r="AI125" i="14"/>
  <c r="D122" i="14"/>
  <c r="S128" i="14"/>
  <c r="S133" i="14"/>
  <c r="M128" i="18"/>
  <c r="R128" i="16"/>
  <c r="R128" i="15"/>
  <c r="R128" i="17"/>
  <c r="W13" i="9"/>
  <c r="W15" i="9"/>
  <c r="W12" i="9"/>
  <c r="S14" i="9"/>
  <c r="C44" i="11"/>
  <c r="R70" i="16"/>
  <c r="R70" i="17"/>
  <c r="R70" i="15"/>
  <c r="M70" i="18"/>
  <c r="G134" i="14"/>
  <c r="G129" i="14"/>
  <c r="X41" i="8"/>
  <c r="X41" i="6"/>
  <c r="X41" i="4"/>
  <c r="L10" i="2" s="1"/>
  <c r="AG121" i="14"/>
  <c r="P120" i="14"/>
  <c r="T34" i="8"/>
  <c r="T34" i="6"/>
  <c r="T34" i="4"/>
  <c r="M115" i="18"/>
  <c r="R115" i="16"/>
  <c r="R115" i="15"/>
  <c r="R115" i="17"/>
  <c r="J128" i="14"/>
  <c r="J133" i="14"/>
  <c r="AA121" i="14"/>
  <c r="I106" i="14"/>
  <c r="W55" i="8"/>
  <c r="W55" i="6"/>
  <c r="W55" i="4"/>
  <c r="S19" i="8"/>
  <c r="S19" i="4"/>
  <c r="G19" i="9"/>
  <c r="S19" i="6"/>
  <c r="S21" i="9"/>
  <c r="R78" i="16"/>
  <c r="M78" i="18"/>
  <c r="R78" i="17"/>
  <c r="R78" i="15"/>
  <c r="H66" i="12"/>
  <c r="O11" i="18"/>
  <c r="E111" i="14"/>
  <c r="E127" i="14" s="1"/>
  <c r="E122" i="14"/>
  <c r="T74" i="14"/>
  <c r="T94" i="14"/>
  <c r="T84" i="14"/>
  <c r="T104" i="14"/>
  <c r="R94" i="16"/>
  <c r="R94" i="17"/>
  <c r="R94" i="15"/>
  <c r="M94" i="18"/>
  <c r="T14" i="9"/>
  <c r="U14" i="8"/>
  <c r="U14" i="4"/>
  <c r="U14" i="6"/>
  <c r="R116" i="16"/>
  <c r="M116" i="18"/>
  <c r="R116" i="17"/>
  <c r="R116" i="15"/>
  <c r="W21" i="8"/>
  <c r="W21" i="4"/>
  <c r="K13" i="2" s="1"/>
  <c r="W21" i="6"/>
  <c r="R136" i="17"/>
  <c r="M136" i="18"/>
  <c r="R136" i="15"/>
  <c r="R136" i="16"/>
  <c r="I128" i="14"/>
  <c r="I133" i="14"/>
  <c r="AK125" i="14"/>
  <c r="R37" i="17"/>
  <c r="M37" i="18"/>
  <c r="R37" i="15"/>
  <c r="R37" i="16"/>
  <c r="T96" i="14"/>
  <c r="T86" i="14"/>
  <c r="T76" i="14"/>
  <c r="R68" i="17"/>
  <c r="M68" i="18"/>
  <c r="R68" i="16"/>
  <c r="R68" i="15"/>
  <c r="J55" i="12"/>
  <c r="J62" i="12"/>
  <c r="J59" i="12"/>
  <c r="J63" i="12"/>
  <c r="J60" i="12"/>
  <c r="J57" i="12"/>
  <c r="J54" i="12"/>
  <c r="J64" i="12"/>
  <c r="J61" i="12"/>
  <c r="J56" i="12"/>
  <c r="J58" i="12"/>
  <c r="S54" i="8"/>
  <c r="S56" i="9"/>
  <c r="S54" i="6"/>
  <c r="G54" i="9"/>
  <c r="S54" i="4"/>
  <c r="X26" i="9"/>
  <c r="X22" i="8"/>
  <c r="X22" i="4"/>
  <c r="X22" i="6"/>
  <c r="AO112" i="14"/>
  <c r="AO113" i="14" s="1"/>
  <c r="AO142" i="14" s="1"/>
  <c r="V55" i="9" s="1"/>
  <c r="S49" i="9"/>
  <c r="J44" i="11"/>
  <c r="R33" i="17"/>
  <c r="M33" i="18"/>
  <c r="R33" i="15"/>
  <c r="R33" i="16"/>
  <c r="L125" i="14"/>
  <c r="L133" i="14" s="1"/>
  <c r="T54" i="6"/>
  <c r="T54" i="8"/>
  <c r="T54" i="4"/>
  <c r="M128" i="14"/>
  <c r="M133" i="14"/>
  <c r="R131" i="16"/>
  <c r="M131" i="18"/>
  <c r="R131" i="17"/>
  <c r="R131" i="15"/>
  <c r="X13" i="8"/>
  <c r="X13" i="4"/>
  <c r="X13" i="6"/>
  <c r="M73" i="18"/>
  <c r="R73" i="17"/>
  <c r="R73" i="16"/>
  <c r="R73" i="15"/>
  <c r="AJ110" i="14"/>
  <c r="AJ126" i="14" s="1"/>
  <c r="P17" i="17"/>
  <c r="Q10" i="9" s="1"/>
  <c r="N17" i="17"/>
  <c r="O10" i="9" s="1"/>
  <c r="M17" i="17"/>
  <c r="N10" i="9" s="1"/>
  <c r="L17" i="17"/>
  <c r="K17" i="17"/>
  <c r="L10" i="9" s="1"/>
  <c r="G17" i="17"/>
  <c r="Q17" i="17"/>
  <c r="R10" i="9" s="1"/>
  <c r="O17" i="17"/>
  <c r="P10" i="9" s="1"/>
  <c r="J17" i="17"/>
  <c r="I17" i="17"/>
  <c r="H17" i="17"/>
  <c r="I10" i="9" s="1"/>
  <c r="F17" i="17"/>
  <c r="M97" i="18"/>
  <c r="R97" i="16"/>
  <c r="R97" i="17"/>
  <c r="R97" i="15"/>
  <c r="O7" i="18"/>
  <c r="R90" i="17"/>
  <c r="R90" i="16"/>
  <c r="M90" i="18"/>
  <c r="R90" i="15"/>
  <c r="I66" i="12"/>
  <c r="Q128" i="14"/>
  <c r="Q133" i="14"/>
  <c r="U25" i="6"/>
  <c r="U25" i="4"/>
  <c r="U25" i="8"/>
  <c r="L120" i="14"/>
  <c r="X56" i="8"/>
  <c r="X56" i="6"/>
  <c r="X56" i="4"/>
  <c r="L8" i="2" s="1"/>
  <c r="AS106" i="14"/>
  <c r="W52" i="8"/>
  <c r="W56" i="9"/>
  <c r="W52" i="6"/>
  <c r="W52" i="4"/>
  <c r="P121" i="14"/>
  <c r="E54" i="12"/>
  <c r="E64" i="12"/>
  <c r="E61" i="12"/>
  <c r="E58" i="12"/>
  <c r="E62" i="12"/>
  <c r="E59" i="12"/>
  <c r="E56" i="12"/>
  <c r="E63" i="12"/>
  <c r="E60" i="12"/>
  <c r="E57" i="12"/>
  <c r="E55" i="12"/>
  <c r="W32" i="8"/>
  <c r="W36" i="9"/>
  <c r="W32" i="4"/>
  <c r="W32" i="6"/>
  <c r="M72" i="18"/>
  <c r="R72" i="15"/>
  <c r="R72" i="16"/>
  <c r="R72" i="17"/>
  <c r="R38" i="16"/>
  <c r="M38" i="18"/>
  <c r="R38" i="17"/>
  <c r="R38" i="15"/>
  <c r="AF125" i="14"/>
  <c r="AF133" i="14" s="1"/>
  <c r="M126" i="18"/>
  <c r="R126" i="16"/>
  <c r="R126" i="17"/>
  <c r="R126" i="15"/>
  <c r="L66" i="12"/>
  <c r="T59" i="4"/>
  <c r="T59" i="6"/>
  <c r="T59" i="8"/>
  <c r="M67" i="18"/>
  <c r="R67" i="17"/>
  <c r="R67" i="16"/>
  <c r="R67" i="15"/>
  <c r="W46" i="9"/>
  <c r="W42" i="6"/>
  <c r="W42" i="4"/>
  <c r="W42" i="8"/>
  <c r="X23" i="6"/>
  <c r="X23" i="8"/>
  <c r="X23" i="4"/>
  <c r="U84" i="14"/>
  <c r="U104" i="14"/>
  <c r="U74" i="14"/>
  <c r="U94" i="14"/>
  <c r="L17" i="18"/>
  <c r="K17" i="18"/>
  <c r="Q7" i="10" s="1"/>
  <c r="G17" i="18"/>
  <c r="J17" i="18"/>
  <c r="P7" i="10" s="1"/>
  <c r="I17" i="18"/>
  <c r="O7" i="10" s="1"/>
  <c r="F17" i="18"/>
  <c r="L7" i="10" s="1"/>
  <c r="O6" i="18"/>
  <c r="H17" i="18"/>
  <c r="N7" i="10" s="1"/>
  <c r="S61" i="9"/>
  <c r="S59" i="6"/>
  <c r="S59" i="8"/>
  <c r="G59" i="9"/>
  <c r="S59" i="4"/>
  <c r="U40" i="8"/>
  <c r="T40" i="9"/>
  <c r="U40" i="6"/>
  <c r="U40" i="4"/>
  <c r="AR129" i="14"/>
  <c r="AR134" i="14"/>
  <c r="S36" i="9"/>
  <c r="G34" i="9"/>
  <c r="S34" i="8"/>
  <c r="S34" i="6"/>
  <c r="S34" i="4"/>
  <c r="AQ125" i="14"/>
  <c r="R100" i="17"/>
  <c r="M100" i="18"/>
  <c r="R100" i="16"/>
  <c r="R100" i="15"/>
  <c r="M120" i="14"/>
  <c r="R134" i="17"/>
  <c r="M134" i="18"/>
  <c r="R134" i="15"/>
  <c r="R134" i="16"/>
  <c r="X15" i="8"/>
  <c r="X15" i="6"/>
  <c r="X15" i="4"/>
  <c r="X21" i="8"/>
  <c r="X21" i="6"/>
  <c r="X21" i="4"/>
  <c r="L13" i="2" s="1"/>
  <c r="M76" i="18"/>
  <c r="R76" i="16"/>
  <c r="R76" i="17"/>
  <c r="R76" i="15"/>
  <c r="R86" i="17"/>
  <c r="M86" i="18"/>
  <c r="R86" i="16"/>
  <c r="R86" i="15"/>
  <c r="W37" i="8"/>
  <c r="W37" i="6"/>
  <c r="W37" i="4"/>
  <c r="W41" i="9"/>
  <c r="R80" i="16"/>
  <c r="R80" i="17"/>
  <c r="M80" i="18"/>
  <c r="R80" i="15"/>
  <c r="AN129" i="14"/>
  <c r="AN134" i="14"/>
  <c r="M87" i="18"/>
  <c r="R87" i="16"/>
  <c r="R87" i="17"/>
  <c r="R87" i="15"/>
  <c r="T44" i="8"/>
  <c r="T44" i="6"/>
  <c r="T44" i="4"/>
  <c r="R75" i="17"/>
  <c r="R75" i="15"/>
  <c r="R75" i="16"/>
  <c r="M75" i="18"/>
  <c r="M82" i="18"/>
  <c r="R82" i="15"/>
  <c r="R82" i="16"/>
  <c r="R82" i="17"/>
  <c r="AK111" i="14"/>
  <c r="AK127" i="14" s="1"/>
  <c r="AK135" i="14" s="1"/>
  <c r="AK122" i="14"/>
  <c r="M31" i="4"/>
  <c r="F83" i="12"/>
  <c r="R95" i="17"/>
  <c r="R95" i="15"/>
  <c r="R95" i="16"/>
  <c r="M95" i="18"/>
  <c r="AF111" i="14"/>
  <c r="AF127" i="14" s="1"/>
  <c r="AF135" i="14" s="1"/>
  <c r="AG136" i="14" s="1"/>
  <c r="AD139" i="14" s="1"/>
  <c r="S46" i="9"/>
  <c r="S44" i="4"/>
  <c r="G44" i="9"/>
  <c r="S44" i="6"/>
  <c r="S44" i="8"/>
  <c r="AK110" i="14"/>
  <c r="AK126" i="14" s="1"/>
  <c r="U15" i="8"/>
  <c r="U15" i="4"/>
  <c r="U15" i="6"/>
  <c r="X50" i="4"/>
  <c r="X50" i="6"/>
  <c r="X50" i="8"/>
  <c r="AG129" i="14"/>
  <c r="AG134" i="14"/>
  <c r="R124" i="16"/>
  <c r="R124" i="15"/>
  <c r="R124" i="17"/>
  <c r="M124" i="18"/>
  <c r="X51" i="9"/>
  <c r="X47" i="8"/>
  <c r="X47" i="6"/>
  <c r="X47" i="4"/>
  <c r="X61" i="4"/>
  <c r="L17" i="2" s="1"/>
  <c r="X61" i="6"/>
  <c r="X61" i="8"/>
  <c r="Q122" i="14"/>
  <c r="I77" i="14"/>
  <c r="I78" i="14" s="1"/>
  <c r="W58" i="6"/>
  <c r="W58" i="8"/>
  <c r="W58" i="4"/>
  <c r="R118" i="17"/>
  <c r="R118" i="16"/>
  <c r="M118" i="18"/>
  <c r="R118" i="15"/>
  <c r="R96" i="17"/>
  <c r="R96" i="16"/>
  <c r="M96" i="18"/>
  <c r="R96" i="15"/>
  <c r="AS121" i="14"/>
  <c r="O16" i="18"/>
  <c r="H127" i="14"/>
  <c r="H135" i="14" s="1"/>
  <c r="R99" i="16"/>
  <c r="M99" i="18"/>
  <c r="R99" i="15"/>
  <c r="R99" i="17"/>
  <c r="M135" i="18"/>
  <c r="R135" i="16"/>
  <c r="R135" i="15"/>
  <c r="R135" i="17"/>
  <c r="AR104" i="14"/>
  <c r="T19" i="8"/>
  <c r="T19" i="4"/>
  <c r="T19" i="6"/>
  <c r="R35" i="16"/>
  <c r="M35" i="18"/>
  <c r="R35" i="17"/>
  <c r="R35" i="15"/>
  <c r="R130" i="15"/>
  <c r="R130" i="17"/>
  <c r="M130" i="18"/>
  <c r="R130" i="16"/>
  <c r="W25" i="9"/>
  <c r="W22" i="9"/>
  <c r="W23" i="9"/>
  <c r="R119" i="17"/>
  <c r="R119" i="16"/>
  <c r="M119" i="18"/>
  <c r="R119" i="15"/>
  <c r="U50" i="8"/>
  <c r="U50" i="6"/>
  <c r="U50" i="4"/>
  <c r="U49" i="8"/>
  <c r="U49" i="4"/>
  <c r="T49" i="9"/>
  <c r="U49" i="6"/>
  <c r="X104" i="14"/>
  <c r="C60" i="12"/>
  <c r="C57" i="12"/>
  <c r="C54" i="12"/>
  <c r="C64" i="12"/>
  <c r="C62" i="12"/>
  <c r="C59" i="12"/>
  <c r="C61" i="12"/>
  <c r="C56" i="12"/>
  <c r="C58" i="12"/>
  <c r="C63" i="12"/>
  <c r="C55" i="12"/>
  <c r="M122" i="18"/>
  <c r="R122" i="17"/>
  <c r="R122" i="16"/>
  <c r="R122" i="15"/>
  <c r="E44" i="11"/>
  <c r="S24" i="9"/>
  <c r="Q112" i="14"/>
  <c r="Q113" i="14" s="1"/>
  <c r="Q142" i="14" s="1"/>
  <c r="V25" i="9" s="1"/>
  <c r="W45" i="4"/>
  <c r="W45" i="8"/>
  <c r="W45" i="6"/>
  <c r="O10" i="10"/>
  <c r="N10" i="10"/>
  <c r="L10" i="10"/>
  <c r="P10" i="10"/>
  <c r="Q10" i="10"/>
  <c r="S135" i="14"/>
  <c r="S130" i="14"/>
  <c r="W129" i="14"/>
  <c r="W134" i="14"/>
  <c r="W43" i="4"/>
  <c r="W43" i="8"/>
  <c r="W43" i="6"/>
  <c r="E134" i="14"/>
  <c r="E129" i="14"/>
  <c r="G39" i="9"/>
  <c r="S41" i="9"/>
  <c r="S39" i="6"/>
  <c r="S39" i="4"/>
  <c r="S39" i="8"/>
  <c r="X48" i="6"/>
  <c r="X48" i="8"/>
  <c r="X48" i="4"/>
  <c r="J29" i="16"/>
  <c r="O17" i="16"/>
  <c r="P8" i="9" s="1"/>
  <c r="I29" i="16"/>
  <c r="N17" i="16"/>
  <c r="O8" i="9" s="1"/>
  <c r="M17" i="16"/>
  <c r="N8" i="9" s="1"/>
  <c r="I17" i="16"/>
  <c r="Q17" i="16"/>
  <c r="R8" i="9" s="1"/>
  <c r="P17" i="16"/>
  <c r="Q8" i="9" s="1"/>
  <c r="G17" i="16"/>
  <c r="F17" i="16"/>
  <c r="L17" i="16"/>
  <c r="K17" i="16"/>
  <c r="L8" i="9" s="1"/>
  <c r="J17" i="16"/>
  <c r="H17" i="16"/>
  <c r="I8" i="9" s="1"/>
  <c r="X27" i="9"/>
  <c r="X30" i="9"/>
  <c r="F42" i="11"/>
  <c r="X28" i="9"/>
  <c r="F74" i="12"/>
  <c r="F43" i="11"/>
  <c r="F75" i="12"/>
  <c r="F45" i="11"/>
  <c r="U32" i="14"/>
  <c r="U29" i="9" s="1"/>
  <c r="R92" i="16"/>
  <c r="M92" i="18"/>
  <c r="R92" i="17"/>
  <c r="R92" i="15"/>
  <c r="M142" i="14"/>
  <c r="V20" i="9" s="1"/>
  <c r="X16" i="9"/>
  <c r="X12" i="6"/>
  <c r="X12" i="8"/>
  <c r="X12" i="4"/>
  <c r="W122" i="14"/>
  <c r="M123" i="18"/>
  <c r="R123" i="17"/>
  <c r="R123" i="15"/>
  <c r="R123" i="16"/>
  <c r="V25" i="6" l="1"/>
  <c r="V25" i="4"/>
  <c r="V25" i="8"/>
  <c r="T25" i="9"/>
  <c r="I142" i="14"/>
  <c r="V15" i="9" s="1"/>
  <c r="Q136" i="14"/>
  <c r="N139" i="14" s="1"/>
  <c r="M10" i="10" s="1"/>
  <c r="X129" i="14"/>
  <c r="X134" i="14"/>
  <c r="F64" i="12"/>
  <c r="F61" i="12"/>
  <c r="F58" i="12"/>
  <c r="F55" i="12"/>
  <c r="F59" i="12"/>
  <c r="F56" i="12"/>
  <c r="F63" i="12"/>
  <c r="F60" i="12"/>
  <c r="F57" i="12"/>
  <c r="F54" i="12"/>
  <c r="F62" i="12"/>
  <c r="O8" i="8"/>
  <c r="O8" i="4"/>
  <c r="O8" i="6"/>
  <c r="AS120" i="14"/>
  <c r="AS109" i="14"/>
  <c r="AS125" i="14" s="1"/>
  <c r="Y129" i="14"/>
  <c r="Y134" i="14"/>
  <c r="X30" i="6"/>
  <c r="X30" i="8"/>
  <c r="X30" i="4"/>
  <c r="S46" i="6"/>
  <c r="S46" i="8"/>
  <c r="S46" i="4"/>
  <c r="I9" i="2" s="1"/>
  <c r="AG112" i="14"/>
  <c r="AG113" i="14" s="1"/>
  <c r="AG142" i="14" s="1"/>
  <c r="V45" i="9" s="1"/>
  <c r="R45" i="17"/>
  <c r="R45" i="16"/>
  <c r="R45" i="15"/>
  <c r="M45" i="18"/>
  <c r="O101" i="16"/>
  <c r="P43" i="9" s="1"/>
  <c r="N101" i="16"/>
  <c r="O43" i="9" s="1"/>
  <c r="M101" i="16"/>
  <c r="N43" i="9" s="1"/>
  <c r="H101" i="16"/>
  <c r="I43" i="9" s="1"/>
  <c r="F101" i="16"/>
  <c r="L101" i="16"/>
  <c r="K101" i="16"/>
  <c r="L43" i="9" s="1"/>
  <c r="J101" i="16"/>
  <c r="I101" i="16"/>
  <c r="G101" i="16"/>
  <c r="H43" i="9" s="1"/>
  <c r="P101" i="16"/>
  <c r="Q43" i="9" s="1"/>
  <c r="Q101" i="16"/>
  <c r="R43" i="9" s="1"/>
  <c r="R105" i="17"/>
  <c r="R105" i="16"/>
  <c r="M105" i="18"/>
  <c r="R105" i="15"/>
  <c r="I111" i="14"/>
  <c r="I127" i="14" s="1"/>
  <c r="I135" i="14" s="1"/>
  <c r="O34" i="18"/>
  <c r="O91" i="18"/>
  <c r="O32" i="18"/>
  <c r="O71" i="18"/>
  <c r="X31" i="9"/>
  <c r="X27" i="8"/>
  <c r="X27" i="6"/>
  <c r="X27" i="4"/>
  <c r="O99" i="18"/>
  <c r="AF122" i="14"/>
  <c r="L7" i="3"/>
  <c r="L7" i="7"/>
  <c r="L7" i="5"/>
  <c r="W46" i="4"/>
  <c r="K9" i="2" s="1"/>
  <c r="W46" i="8"/>
  <c r="W46" i="6"/>
  <c r="R48" i="17"/>
  <c r="M48" i="18"/>
  <c r="R48" i="16"/>
  <c r="R48" i="15"/>
  <c r="H101" i="17"/>
  <c r="I45" i="9" s="1"/>
  <c r="G101" i="17"/>
  <c r="H45" i="9" s="1"/>
  <c r="J101" i="17"/>
  <c r="Q101" i="17"/>
  <c r="R45" i="9" s="1"/>
  <c r="P101" i="17"/>
  <c r="Q45" i="9" s="1"/>
  <c r="O101" i="17"/>
  <c r="P45" i="9" s="1"/>
  <c r="N101" i="17"/>
  <c r="O45" i="9" s="1"/>
  <c r="M101" i="17"/>
  <c r="N45" i="9" s="1"/>
  <c r="L101" i="17"/>
  <c r="K101" i="17"/>
  <c r="L45" i="9" s="1"/>
  <c r="I101" i="17"/>
  <c r="J45" i="9" s="1"/>
  <c r="F101" i="17"/>
  <c r="N10" i="8"/>
  <c r="N10" i="6"/>
  <c r="N10" i="4"/>
  <c r="R108" i="16"/>
  <c r="R108" i="15"/>
  <c r="R108" i="17"/>
  <c r="M108" i="18"/>
  <c r="O37" i="18"/>
  <c r="E130" i="14"/>
  <c r="E135" i="14"/>
  <c r="E136" i="14" s="1"/>
  <c r="B139" i="14" s="1"/>
  <c r="AO136" i="14"/>
  <c r="AL139" i="14" s="1"/>
  <c r="N77" i="17"/>
  <c r="O35" i="9" s="1"/>
  <c r="M77" i="17"/>
  <c r="N35" i="9" s="1"/>
  <c r="L77" i="17"/>
  <c r="P77" i="17"/>
  <c r="Q35" i="9" s="1"/>
  <c r="O77" i="17"/>
  <c r="P35" i="9" s="1"/>
  <c r="K77" i="17"/>
  <c r="L35" i="9" s="1"/>
  <c r="J77" i="17"/>
  <c r="F77" i="17"/>
  <c r="H77" i="17"/>
  <c r="I35" i="9" s="1"/>
  <c r="G77" i="17"/>
  <c r="I77" i="17"/>
  <c r="Q77" i="17"/>
  <c r="R35" i="9" s="1"/>
  <c r="S26" i="9"/>
  <c r="G24" i="9"/>
  <c r="S24" i="4"/>
  <c r="S24" i="8"/>
  <c r="S24" i="6"/>
  <c r="W13" i="8"/>
  <c r="W13" i="4"/>
  <c r="W13" i="6"/>
  <c r="O79" i="18"/>
  <c r="X109" i="14"/>
  <c r="W36" i="6"/>
  <c r="W36" i="4"/>
  <c r="K16" i="2" s="1"/>
  <c r="W36" i="8"/>
  <c r="G49" i="9"/>
  <c r="S49" i="4"/>
  <c r="S51" i="9"/>
  <c r="S49" i="8"/>
  <c r="S49" i="6"/>
  <c r="X28" i="6"/>
  <c r="X28" i="8"/>
  <c r="X28" i="4"/>
  <c r="O76" i="18"/>
  <c r="V55" i="8"/>
  <c r="V55" i="6"/>
  <c r="V55" i="4"/>
  <c r="T55" i="9"/>
  <c r="T20" i="6"/>
  <c r="T20" i="4"/>
  <c r="T20" i="8"/>
  <c r="N7" i="3"/>
  <c r="N7" i="7"/>
  <c r="N7" i="5"/>
  <c r="M43" i="18"/>
  <c r="R43" i="17"/>
  <c r="R43" i="16"/>
  <c r="R43" i="15"/>
  <c r="R19" i="17"/>
  <c r="M19" i="18"/>
  <c r="R19" i="16"/>
  <c r="R19" i="15"/>
  <c r="G34" i="6"/>
  <c r="I12" i="10"/>
  <c r="G34" i="8"/>
  <c r="G34" i="4"/>
  <c r="R111" i="17"/>
  <c r="R111" i="16"/>
  <c r="R111" i="15"/>
  <c r="M111" i="18"/>
  <c r="O84" i="18"/>
  <c r="S36" i="8"/>
  <c r="S36" i="4"/>
  <c r="I16" i="2" s="1"/>
  <c r="S36" i="6"/>
  <c r="R44" i="16"/>
  <c r="R44" i="17"/>
  <c r="M44" i="18"/>
  <c r="R44" i="15"/>
  <c r="AK133" i="14"/>
  <c r="AK128" i="14"/>
  <c r="R22" i="17"/>
  <c r="M22" i="18"/>
  <c r="R22" i="15"/>
  <c r="R22" i="16"/>
  <c r="M50" i="18"/>
  <c r="R50" i="16"/>
  <c r="R50" i="15"/>
  <c r="R50" i="17"/>
  <c r="T14" i="6"/>
  <c r="T14" i="4"/>
  <c r="T14" i="8"/>
  <c r="O40" i="18"/>
  <c r="O69" i="18"/>
  <c r="S41" i="8"/>
  <c r="S41" i="4"/>
  <c r="I10" i="2" s="1"/>
  <c r="S41" i="6"/>
  <c r="N10" i="7"/>
  <c r="N10" i="3"/>
  <c r="N10" i="5"/>
  <c r="R25" i="16"/>
  <c r="R25" i="17"/>
  <c r="R25" i="15"/>
  <c r="M25" i="18"/>
  <c r="T21" i="9"/>
  <c r="R7" i="10"/>
  <c r="R46" i="17"/>
  <c r="R46" i="16"/>
  <c r="M46" i="18"/>
  <c r="R46" i="15"/>
  <c r="S56" i="6"/>
  <c r="S56" i="8"/>
  <c r="S56" i="4"/>
  <c r="I8" i="2" s="1"/>
  <c r="O94" i="18"/>
  <c r="L89" i="18"/>
  <c r="R13" i="10" s="1"/>
  <c r="K89" i="18"/>
  <c r="Q13" i="10" s="1"/>
  <c r="G89" i="18"/>
  <c r="M13" i="10" s="1"/>
  <c r="J89" i="18"/>
  <c r="P13" i="10" s="1"/>
  <c r="I89" i="18"/>
  <c r="O13" i="10" s="1"/>
  <c r="H89" i="18"/>
  <c r="N13" i="10" s="1"/>
  <c r="F89" i="18"/>
  <c r="L13" i="10" s="1"/>
  <c r="I129" i="14"/>
  <c r="I134" i="14"/>
  <c r="I17" i="10"/>
  <c r="G59" i="4"/>
  <c r="G59" i="6"/>
  <c r="G59" i="8"/>
  <c r="O36" i="18"/>
  <c r="P10" i="8"/>
  <c r="P10" i="4"/>
  <c r="P10" i="6"/>
  <c r="I112" i="14"/>
  <c r="I113" i="14" s="1"/>
  <c r="G137" i="17"/>
  <c r="P137" i="17"/>
  <c r="Q60" i="9" s="1"/>
  <c r="N137" i="17"/>
  <c r="O60" i="9" s="1"/>
  <c r="M137" i="17"/>
  <c r="N60" i="9" s="1"/>
  <c r="L137" i="17"/>
  <c r="K137" i="17"/>
  <c r="L60" i="9" s="1"/>
  <c r="J137" i="17"/>
  <c r="I137" i="17"/>
  <c r="H137" i="17"/>
  <c r="I60" i="9" s="1"/>
  <c r="Q137" i="17"/>
  <c r="R60" i="9" s="1"/>
  <c r="O137" i="17"/>
  <c r="P60" i="9" s="1"/>
  <c r="F137" i="17"/>
  <c r="W61" i="4"/>
  <c r="K17" i="2" s="1"/>
  <c r="W61" i="6"/>
  <c r="W61" i="8"/>
  <c r="T26" i="9"/>
  <c r="T24" i="4"/>
  <c r="T24" i="8"/>
  <c r="T24" i="6"/>
  <c r="I14" i="10"/>
  <c r="G44" i="4"/>
  <c r="G44" i="6"/>
  <c r="G44" i="8"/>
  <c r="K101" i="15"/>
  <c r="L42" i="9" s="1"/>
  <c r="I101" i="15"/>
  <c r="J42" i="9" s="1"/>
  <c r="O101" i="15"/>
  <c r="P42" i="9" s="1"/>
  <c r="N101" i="15"/>
  <c r="O42" i="9" s="1"/>
  <c r="M101" i="15"/>
  <c r="N42" i="9" s="1"/>
  <c r="H101" i="15"/>
  <c r="I42" i="9" s="1"/>
  <c r="G101" i="15"/>
  <c r="H42" i="9" s="1"/>
  <c r="Q101" i="15"/>
  <c r="R42" i="9" s="1"/>
  <c r="F101" i="15"/>
  <c r="AA46" i="9" s="1"/>
  <c r="R112" i="17"/>
  <c r="R112" i="16"/>
  <c r="R112" i="15"/>
  <c r="M112" i="18"/>
  <c r="U77" i="14"/>
  <c r="U78" i="14" s="1"/>
  <c r="F44" i="11"/>
  <c r="S29" i="9"/>
  <c r="T49" i="8"/>
  <c r="T49" i="4"/>
  <c r="T49" i="6"/>
  <c r="L137" i="18"/>
  <c r="K137" i="18"/>
  <c r="Q17" i="10" s="1"/>
  <c r="J137" i="18"/>
  <c r="P17" i="10" s="1"/>
  <c r="I137" i="18"/>
  <c r="O17" i="10" s="1"/>
  <c r="H137" i="18"/>
  <c r="N17" i="10" s="1"/>
  <c r="G137" i="18"/>
  <c r="F137" i="18"/>
  <c r="L17" i="10" s="1"/>
  <c r="I8" i="6"/>
  <c r="I8" i="8"/>
  <c r="I8" i="4"/>
  <c r="R107" i="16"/>
  <c r="M107" i="18"/>
  <c r="R107" i="15"/>
  <c r="R107" i="17"/>
  <c r="L8" i="6"/>
  <c r="L8" i="8"/>
  <c r="L8" i="4"/>
  <c r="O35" i="18"/>
  <c r="G54" i="6"/>
  <c r="I16" i="10"/>
  <c r="G54" i="8"/>
  <c r="G54" i="4"/>
  <c r="N89" i="15"/>
  <c r="O37" i="9" s="1"/>
  <c r="I89" i="15"/>
  <c r="J37" i="9" s="1"/>
  <c r="G89" i="15"/>
  <c r="H37" i="9" s="1"/>
  <c r="F89" i="15"/>
  <c r="AA41" i="9" s="1"/>
  <c r="Q89" i="15"/>
  <c r="R37" i="9" s="1"/>
  <c r="O89" i="15"/>
  <c r="P37" i="9" s="1"/>
  <c r="M89" i="15"/>
  <c r="N37" i="9" s="1"/>
  <c r="K89" i="15"/>
  <c r="L37" i="9" s="1"/>
  <c r="H89" i="15"/>
  <c r="I37" i="9" s="1"/>
  <c r="M20" i="18"/>
  <c r="R20" i="16"/>
  <c r="R20" i="17"/>
  <c r="R20" i="15"/>
  <c r="Q7" i="5"/>
  <c r="Q7" i="3"/>
  <c r="Q7" i="7"/>
  <c r="AJ121" i="14"/>
  <c r="R103" i="17"/>
  <c r="M103" i="18"/>
  <c r="R103" i="16"/>
  <c r="R103" i="15"/>
  <c r="O13" i="18"/>
  <c r="O92" i="18"/>
  <c r="I13" i="10"/>
  <c r="G39" i="8"/>
  <c r="G39" i="4"/>
  <c r="G39" i="6"/>
  <c r="O10" i="5"/>
  <c r="O10" i="3"/>
  <c r="O10" i="7"/>
  <c r="R23" i="17"/>
  <c r="R23" i="16"/>
  <c r="M23" i="18"/>
  <c r="R23" i="15"/>
  <c r="W27" i="9"/>
  <c r="W30" i="9"/>
  <c r="W28" i="9"/>
  <c r="O134" i="18"/>
  <c r="R49" i="16"/>
  <c r="R49" i="17"/>
  <c r="M49" i="18"/>
  <c r="R49" i="15"/>
  <c r="J89" i="16"/>
  <c r="H89" i="16"/>
  <c r="I38" i="9" s="1"/>
  <c r="G89" i="16"/>
  <c r="H38" i="9" s="1"/>
  <c r="F89" i="16"/>
  <c r="Q89" i="16"/>
  <c r="R38" i="9" s="1"/>
  <c r="K89" i="16"/>
  <c r="L38" i="9" s="1"/>
  <c r="I89" i="16"/>
  <c r="M89" i="16"/>
  <c r="N38" i="9" s="1"/>
  <c r="L89" i="16"/>
  <c r="P89" i="16"/>
  <c r="Q38" i="9" s="1"/>
  <c r="O89" i="16"/>
  <c r="P38" i="9" s="1"/>
  <c r="N89" i="16"/>
  <c r="O38" i="9" s="1"/>
  <c r="I121" i="14"/>
  <c r="AJ109" i="14"/>
  <c r="P125" i="16"/>
  <c r="Q53" i="9" s="1"/>
  <c r="N125" i="16"/>
  <c r="O53" i="9" s="1"/>
  <c r="M125" i="16"/>
  <c r="N53" i="9" s="1"/>
  <c r="L125" i="16"/>
  <c r="K125" i="16"/>
  <c r="L53" i="9" s="1"/>
  <c r="G125" i="16"/>
  <c r="Q125" i="16"/>
  <c r="R53" i="9" s="1"/>
  <c r="O125" i="16"/>
  <c r="P53" i="9" s="1"/>
  <c r="J125" i="16"/>
  <c r="I125" i="16"/>
  <c r="H125" i="16"/>
  <c r="I53" i="9" s="1"/>
  <c r="F125" i="16"/>
  <c r="O93" i="18"/>
  <c r="O39" i="18"/>
  <c r="O127" i="18"/>
  <c r="N8" i="4"/>
  <c r="N8" i="6"/>
  <c r="N8" i="8"/>
  <c r="AK129" i="14"/>
  <c r="AK134" i="14"/>
  <c r="R106" i="17"/>
  <c r="R106" i="16"/>
  <c r="R106" i="15"/>
  <c r="M106" i="18"/>
  <c r="T109" i="14"/>
  <c r="T120" i="14"/>
  <c r="O41" i="17"/>
  <c r="P20" i="9" s="1"/>
  <c r="N41" i="17"/>
  <c r="O20" i="9" s="1"/>
  <c r="M41" i="17"/>
  <c r="N20" i="9" s="1"/>
  <c r="H41" i="17"/>
  <c r="I20" i="9" s="1"/>
  <c r="F41" i="17"/>
  <c r="P41" i="17"/>
  <c r="Q20" i="9" s="1"/>
  <c r="L41" i="17"/>
  <c r="K41" i="17"/>
  <c r="L20" i="9" s="1"/>
  <c r="J41" i="17"/>
  <c r="I41" i="17"/>
  <c r="J20" i="9" s="1"/>
  <c r="Q41" i="17"/>
  <c r="R20" i="9" s="1"/>
  <c r="G41" i="17"/>
  <c r="H20" i="9" s="1"/>
  <c r="U134" i="14"/>
  <c r="U129" i="14"/>
  <c r="R24" i="17"/>
  <c r="R24" i="16"/>
  <c r="M24" i="18"/>
  <c r="R24" i="15"/>
  <c r="O100" i="18"/>
  <c r="L41" i="18"/>
  <c r="R9" i="10" s="1"/>
  <c r="O30" i="18"/>
  <c r="K41" i="18"/>
  <c r="Q9" i="10" s="1"/>
  <c r="J41" i="18"/>
  <c r="P9" i="10" s="1"/>
  <c r="H41" i="18"/>
  <c r="N9" i="10" s="1"/>
  <c r="F41" i="18"/>
  <c r="L9" i="10" s="1"/>
  <c r="I41" i="18"/>
  <c r="O9" i="10" s="1"/>
  <c r="G41" i="18"/>
  <c r="M9" i="10" s="1"/>
  <c r="O98" i="18"/>
  <c r="W25" i="6"/>
  <c r="W25" i="4"/>
  <c r="W25" i="8"/>
  <c r="W56" i="6"/>
  <c r="W56" i="8"/>
  <c r="W56" i="4"/>
  <c r="K8" i="2" s="1"/>
  <c r="M109" i="18"/>
  <c r="R109" i="17"/>
  <c r="R109" i="16"/>
  <c r="R109" i="15"/>
  <c r="H120" i="14"/>
  <c r="AQ133" i="14"/>
  <c r="AQ128" i="14"/>
  <c r="I7" i="5"/>
  <c r="I7" i="3"/>
  <c r="I7" i="7"/>
  <c r="AS111" i="14"/>
  <c r="AS127" i="14" s="1"/>
  <c r="AS122" i="14"/>
  <c r="M102" i="18"/>
  <c r="R102" i="17"/>
  <c r="R102" i="16"/>
  <c r="R102" i="15"/>
  <c r="J66" i="12"/>
  <c r="O7" i="7"/>
  <c r="O7" i="3"/>
  <c r="O7" i="5"/>
  <c r="R51" i="16"/>
  <c r="R51" i="17"/>
  <c r="M51" i="18"/>
  <c r="R51" i="15"/>
  <c r="X26" i="8"/>
  <c r="X26" i="4"/>
  <c r="L7" i="2" s="1"/>
  <c r="X26" i="6"/>
  <c r="V20" i="8"/>
  <c r="V20" i="4"/>
  <c r="V20" i="6"/>
  <c r="M27" i="18"/>
  <c r="R27" i="17"/>
  <c r="R27" i="15"/>
  <c r="R27" i="16"/>
  <c r="P7" i="5"/>
  <c r="P7" i="7"/>
  <c r="P7" i="3"/>
  <c r="H125" i="14"/>
  <c r="H133" i="14" s="1"/>
  <c r="R47" i="17"/>
  <c r="M47" i="18"/>
  <c r="R47" i="16"/>
  <c r="R47" i="15"/>
  <c r="AJ129" i="14"/>
  <c r="AJ134" i="14"/>
  <c r="M110" i="18"/>
  <c r="R110" i="16"/>
  <c r="R110" i="17"/>
  <c r="R110" i="15"/>
  <c r="AI133" i="14"/>
  <c r="AI128" i="14"/>
  <c r="L10" i="7"/>
  <c r="L10" i="3"/>
  <c r="L10" i="5"/>
  <c r="Q8" i="8"/>
  <c r="Q8" i="4"/>
  <c r="Q8" i="6"/>
  <c r="R26" i="17"/>
  <c r="M26" i="18"/>
  <c r="R26" i="16"/>
  <c r="R26" i="15"/>
  <c r="O96" i="18"/>
  <c r="T40" i="8"/>
  <c r="T40" i="4"/>
  <c r="T40" i="6"/>
  <c r="R52" i="17"/>
  <c r="R52" i="16"/>
  <c r="M52" i="18"/>
  <c r="R52" i="15"/>
  <c r="O68" i="18"/>
  <c r="O136" i="18"/>
  <c r="S21" i="8"/>
  <c r="S21" i="4"/>
  <c r="I13" i="2" s="1"/>
  <c r="S21" i="6"/>
  <c r="O85" i="18"/>
  <c r="L125" i="18"/>
  <c r="R16" i="10" s="1"/>
  <c r="K125" i="18"/>
  <c r="Q16" i="10" s="1"/>
  <c r="G125" i="18"/>
  <c r="J125" i="18"/>
  <c r="P16" i="10" s="1"/>
  <c r="I125" i="18"/>
  <c r="O16" i="10" s="1"/>
  <c r="H125" i="18"/>
  <c r="N16" i="10" s="1"/>
  <c r="F125" i="18"/>
  <c r="L16" i="10" s="1"/>
  <c r="W48" i="8"/>
  <c r="W48" i="6"/>
  <c r="W48" i="4"/>
  <c r="U135" i="14"/>
  <c r="U130" i="14"/>
  <c r="M21" i="18"/>
  <c r="R21" i="17"/>
  <c r="R21" i="16"/>
  <c r="R21" i="15"/>
  <c r="X51" i="8"/>
  <c r="X51" i="6"/>
  <c r="X51" i="4"/>
  <c r="L14" i="2" s="1"/>
  <c r="I77" i="16"/>
  <c r="H77" i="16"/>
  <c r="I33" i="9" s="1"/>
  <c r="G77" i="16"/>
  <c r="O77" i="16"/>
  <c r="P33" i="9" s="1"/>
  <c r="N77" i="16"/>
  <c r="O33" i="9" s="1"/>
  <c r="M77" i="16"/>
  <c r="N33" i="9" s="1"/>
  <c r="L77" i="16"/>
  <c r="K77" i="16"/>
  <c r="L33" i="9" s="1"/>
  <c r="J77" i="16"/>
  <c r="Q77" i="16"/>
  <c r="R33" i="9" s="1"/>
  <c r="F77" i="16"/>
  <c r="P77" i="16"/>
  <c r="Q33" i="9" s="1"/>
  <c r="G101" i="18"/>
  <c r="M14" i="10" s="1"/>
  <c r="L101" i="18"/>
  <c r="R14" i="10" s="1"/>
  <c r="K101" i="18"/>
  <c r="Q14" i="10" s="1"/>
  <c r="I101" i="18"/>
  <c r="O14" i="10" s="1"/>
  <c r="H101" i="18"/>
  <c r="N14" i="10" s="1"/>
  <c r="F101" i="18"/>
  <c r="L14" i="10" s="1"/>
  <c r="J101" i="18"/>
  <c r="P14" i="10" s="1"/>
  <c r="R8" i="8"/>
  <c r="R8" i="6"/>
  <c r="R8" i="4"/>
  <c r="M28" i="18"/>
  <c r="R28" i="17"/>
  <c r="R28" i="16"/>
  <c r="R28" i="15"/>
  <c r="O86" i="18"/>
  <c r="U109" i="14"/>
  <c r="U120" i="14" s="1"/>
  <c r="R42" i="16"/>
  <c r="R42" i="17"/>
  <c r="M42" i="18"/>
  <c r="R42" i="15"/>
  <c r="E66" i="12"/>
  <c r="O10" i="18"/>
  <c r="I10" i="6"/>
  <c r="I10" i="4"/>
  <c r="I10" i="8"/>
  <c r="O14" i="18"/>
  <c r="S14" i="8"/>
  <c r="G14" i="9"/>
  <c r="S16" i="9"/>
  <c r="S14" i="6"/>
  <c r="S14" i="4"/>
  <c r="Q41" i="15"/>
  <c r="R17" i="9" s="1"/>
  <c r="P65" i="15"/>
  <c r="Q27" i="9" s="1"/>
  <c r="P41" i="15"/>
  <c r="Q17" i="9" s="1"/>
  <c r="O41" i="15"/>
  <c r="P17" i="9" s="1"/>
  <c r="P53" i="15"/>
  <c r="Q22" i="9" s="1"/>
  <c r="M41" i="15"/>
  <c r="N17" i="9" s="1"/>
  <c r="K41" i="15"/>
  <c r="L17" i="9" s="1"/>
  <c r="P137" i="15"/>
  <c r="Q57" i="9" s="1"/>
  <c r="P77" i="15"/>
  <c r="Q32" i="9" s="1"/>
  <c r="N41" i="15"/>
  <c r="O17" i="9" s="1"/>
  <c r="P113" i="15"/>
  <c r="Q47" i="9" s="1"/>
  <c r="H41" i="15"/>
  <c r="I17" i="9" s="1"/>
  <c r="G41" i="15"/>
  <c r="H17" i="9" s="1"/>
  <c r="P125" i="15"/>
  <c r="Q52" i="9" s="1"/>
  <c r="P101" i="15"/>
  <c r="Q42" i="9" s="1"/>
  <c r="P89" i="15"/>
  <c r="Q37" i="9" s="1"/>
  <c r="F41" i="15"/>
  <c r="I41" i="15"/>
  <c r="J17" i="9" s="1"/>
  <c r="K125" i="15"/>
  <c r="L52" i="9" s="1"/>
  <c r="I125" i="15"/>
  <c r="J52" i="9" s="1"/>
  <c r="H125" i="15"/>
  <c r="I52" i="9" s="1"/>
  <c r="Q125" i="15"/>
  <c r="R52" i="9" s="1"/>
  <c r="G125" i="15"/>
  <c r="H52" i="9" s="1"/>
  <c r="F125" i="15"/>
  <c r="O125" i="15"/>
  <c r="P52" i="9" s="1"/>
  <c r="N125" i="15"/>
  <c r="O52" i="9" s="1"/>
  <c r="M125" i="15"/>
  <c r="N52" i="9" s="1"/>
  <c r="O133" i="18"/>
  <c r="O31" i="18"/>
  <c r="W47" i="8"/>
  <c r="W51" i="9"/>
  <c r="W47" i="6"/>
  <c r="W47" i="4"/>
  <c r="O8" i="18"/>
  <c r="F77" i="18"/>
  <c r="L12" i="10" s="1"/>
  <c r="I77" i="18"/>
  <c r="O12" i="10" s="1"/>
  <c r="G77" i="18"/>
  <c r="O66" i="18"/>
  <c r="J77" i="18"/>
  <c r="P12" i="10" s="1"/>
  <c r="H77" i="18"/>
  <c r="N12" i="10" s="1"/>
  <c r="L77" i="18"/>
  <c r="K77" i="18"/>
  <c r="Q12" i="10" s="1"/>
  <c r="V40" i="8"/>
  <c r="V40" i="6"/>
  <c r="V40" i="4"/>
  <c r="W23" i="6"/>
  <c r="W23" i="8"/>
  <c r="W23" i="4"/>
  <c r="W15" i="8"/>
  <c r="W15" i="6"/>
  <c r="W15" i="4"/>
  <c r="W26" i="9"/>
  <c r="W22" i="8"/>
  <c r="W22" i="4"/>
  <c r="W22" i="6"/>
  <c r="N137" i="15"/>
  <c r="O57" i="9" s="1"/>
  <c r="N16" i="15"/>
  <c r="N17" i="15" s="1"/>
  <c r="O7" i="9" s="1"/>
  <c r="L16" i="15"/>
  <c r="Q17" i="15"/>
  <c r="R7" i="9" s="1"/>
  <c r="K16" i="15"/>
  <c r="K17" i="15" s="1"/>
  <c r="L7" i="9" s="1"/>
  <c r="Q137" i="15"/>
  <c r="R57" i="9" s="1"/>
  <c r="P17" i="15"/>
  <c r="Q7" i="9" s="1"/>
  <c r="J16" i="15"/>
  <c r="K137" i="15"/>
  <c r="L57" i="9" s="1"/>
  <c r="I137" i="15"/>
  <c r="J57" i="9" s="1"/>
  <c r="H137" i="15"/>
  <c r="I57" i="9" s="1"/>
  <c r="G137" i="15"/>
  <c r="L17" i="15"/>
  <c r="F137" i="15"/>
  <c r="O137" i="15"/>
  <c r="P57" i="9" s="1"/>
  <c r="M137" i="15"/>
  <c r="N57" i="9" s="1"/>
  <c r="O17" i="15"/>
  <c r="P7" i="9" s="1"/>
  <c r="I16" i="15"/>
  <c r="I17" i="15" s="1"/>
  <c r="J7" i="9" s="1"/>
  <c r="H16" i="15"/>
  <c r="H17" i="15" s="1"/>
  <c r="I7" i="9" s="1"/>
  <c r="G16" i="15"/>
  <c r="F16" i="15" s="1"/>
  <c r="F17" i="15" s="1"/>
  <c r="AA11" i="9" s="1"/>
  <c r="J17" i="15"/>
  <c r="M16" i="15"/>
  <c r="M17" i="15" s="1"/>
  <c r="N7" i="9" s="1"/>
  <c r="M104" i="18"/>
  <c r="R104" i="17"/>
  <c r="R104" i="16"/>
  <c r="R104" i="15"/>
  <c r="U87" i="14"/>
  <c r="U88" i="14" s="1"/>
  <c r="U30" i="9" s="1"/>
  <c r="R10" i="8"/>
  <c r="R10" i="4"/>
  <c r="R10" i="6"/>
  <c r="T106" i="14"/>
  <c r="P8" i="8"/>
  <c r="P8" i="4"/>
  <c r="P8" i="6"/>
  <c r="S61" i="4"/>
  <c r="I17" i="2" s="1"/>
  <c r="S61" i="8"/>
  <c r="S61" i="6"/>
  <c r="P137" i="16"/>
  <c r="Q58" i="9" s="1"/>
  <c r="O137" i="16"/>
  <c r="P58" i="9" s="1"/>
  <c r="N137" i="16"/>
  <c r="O58" i="9" s="1"/>
  <c r="Q137" i="16"/>
  <c r="R58" i="9" s="1"/>
  <c r="M137" i="16"/>
  <c r="N58" i="9" s="1"/>
  <c r="L137" i="16"/>
  <c r="K137" i="16"/>
  <c r="L58" i="9" s="1"/>
  <c r="G137" i="16"/>
  <c r="J137" i="16"/>
  <c r="I137" i="16"/>
  <c r="H137" i="16"/>
  <c r="I58" i="9" s="1"/>
  <c r="F137" i="16"/>
  <c r="L10" i="6"/>
  <c r="L10" i="4"/>
  <c r="L10" i="8"/>
  <c r="X16" i="8"/>
  <c r="X16" i="6"/>
  <c r="X16" i="4"/>
  <c r="L12" i="2" s="1"/>
  <c r="Q10" i="5"/>
  <c r="Q10" i="3"/>
  <c r="Q10" i="7"/>
  <c r="W41" i="8"/>
  <c r="W41" i="6"/>
  <c r="W41" i="4"/>
  <c r="K10" i="2" s="1"/>
  <c r="O10" i="8"/>
  <c r="O10" i="4"/>
  <c r="O10" i="6"/>
  <c r="M136" i="14"/>
  <c r="J139" i="14" s="1"/>
  <c r="P10" i="7"/>
  <c r="P10" i="5"/>
  <c r="P10" i="3"/>
  <c r="Q10" i="8"/>
  <c r="Q10" i="4"/>
  <c r="Q10" i="6"/>
  <c r="T41" i="8"/>
  <c r="T41" i="4"/>
  <c r="J10" i="2" s="1"/>
  <c r="T41" i="6"/>
  <c r="O70" i="18"/>
  <c r="O38" i="18"/>
  <c r="Q89" i="17"/>
  <c r="R40" i="9" s="1"/>
  <c r="M89" i="17"/>
  <c r="N40" i="9" s="1"/>
  <c r="K89" i="17"/>
  <c r="L40" i="9" s="1"/>
  <c r="J89" i="17"/>
  <c r="I89" i="17"/>
  <c r="J40" i="9" s="1"/>
  <c r="H89" i="17"/>
  <c r="I40" i="9" s="1"/>
  <c r="P89" i="17"/>
  <c r="Q40" i="9" s="1"/>
  <c r="O89" i="17"/>
  <c r="P40" i="9" s="1"/>
  <c r="N89" i="17"/>
  <c r="O40" i="9" s="1"/>
  <c r="L89" i="17"/>
  <c r="G89" i="17"/>
  <c r="H40" i="9" s="1"/>
  <c r="F89" i="17"/>
  <c r="T29" i="9"/>
  <c r="U29" i="6"/>
  <c r="U29" i="4"/>
  <c r="U29" i="8"/>
  <c r="R18" i="17"/>
  <c r="M18" i="18"/>
  <c r="R18" i="16"/>
  <c r="R18" i="15"/>
  <c r="C66" i="12"/>
  <c r="AR109" i="14"/>
  <c r="AR120" i="14" s="1"/>
  <c r="AK121" i="14"/>
  <c r="O72" i="18"/>
  <c r="O33" i="18"/>
  <c r="O15" i="18"/>
  <c r="E112" i="14"/>
  <c r="E113" i="14" s="1"/>
  <c r="E142" i="14" s="1"/>
  <c r="V10" i="9" s="1"/>
  <c r="I9" i="10"/>
  <c r="G19" i="8"/>
  <c r="G19" i="4"/>
  <c r="G19" i="6"/>
  <c r="W16" i="9"/>
  <c r="W12" i="6"/>
  <c r="W12" i="4"/>
  <c r="W12" i="8"/>
  <c r="H41" i="16"/>
  <c r="I18" i="9" s="1"/>
  <c r="G41" i="16"/>
  <c r="H18" i="9" s="1"/>
  <c r="Q41" i="16"/>
  <c r="R18" i="9" s="1"/>
  <c r="P41" i="16"/>
  <c r="Q18" i="9" s="1"/>
  <c r="O41" i="16"/>
  <c r="P18" i="9" s="1"/>
  <c r="N41" i="16"/>
  <c r="O18" i="9" s="1"/>
  <c r="J41" i="16"/>
  <c r="K41" i="16"/>
  <c r="L18" i="9" s="1"/>
  <c r="I41" i="16"/>
  <c r="M41" i="16"/>
  <c r="N18" i="9" s="1"/>
  <c r="L41" i="16"/>
  <c r="F41" i="16"/>
  <c r="Q125" i="17"/>
  <c r="R55" i="9" s="1"/>
  <c r="P125" i="17"/>
  <c r="Q55" i="9" s="1"/>
  <c r="O125" i="17"/>
  <c r="P55" i="9" s="1"/>
  <c r="N125" i="17"/>
  <c r="O55" i="9" s="1"/>
  <c r="M125" i="17"/>
  <c r="N55" i="9" s="1"/>
  <c r="I125" i="17"/>
  <c r="L125" i="17"/>
  <c r="K125" i="17"/>
  <c r="L55" i="9" s="1"/>
  <c r="J125" i="17"/>
  <c r="H125" i="17"/>
  <c r="I55" i="9" s="1"/>
  <c r="G125" i="17"/>
  <c r="F125" i="17"/>
  <c r="W50" i="4"/>
  <c r="W50" i="8"/>
  <c r="W50" i="6"/>
  <c r="K77" i="15"/>
  <c r="L32" i="9" s="1"/>
  <c r="I77" i="15"/>
  <c r="J32" i="9" s="1"/>
  <c r="O77" i="15"/>
  <c r="P32" i="9" s="1"/>
  <c r="M77" i="15"/>
  <c r="N32" i="9" s="1"/>
  <c r="H77" i="15"/>
  <c r="I32" i="9" s="1"/>
  <c r="G77" i="15"/>
  <c r="Q77" i="15"/>
  <c r="R32" i="9" s="1"/>
  <c r="N77" i="15"/>
  <c r="O32" i="9" s="1"/>
  <c r="F77" i="15"/>
  <c r="U121" i="14"/>
  <c r="J7" i="8" l="1"/>
  <c r="J7" i="4"/>
  <c r="J7" i="6"/>
  <c r="I11" i="9"/>
  <c r="I7" i="8"/>
  <c r="I7" i="4"/>
  <c r="I7" i="6"/>
  <c r="N7" i="8"/>
  <c r="N11" i="9"/>
  <c r="N7" i="4"/>
  <c r="N7" i="6"/>
  <c r="O11" i="9"/>
  <c r="O7" i="6"/>
  <c r="O7" i="8"/>
  <c r="O7" i="4"/>
  <c r="L11" i="9"/>
  <c r="L7" i="8"/>
  <c r="L7" i="4"/>
  <c r="L7" i="6"/>
  <c r="H10" i="9"/>
  <c r="J10" i="9"/>
  <c r="M7" i="10"/>
  <c r="H8" i="9"/>
  <c r="AA11" i="6"/>
  <c r="AA11" i="8"/>
  <c r="AA11" i="4"/>
  <c r="W51" i="8"/>
  <c r="W51" i="6"/>
  <c r="W51" i="4"/>
  <c r="K14" i="2" s="1"/>
  <c r="X31" i="6"/>
  <c r="X31" i="8"/>
  <c r="X31" i="4"/>
  <c r="L11" i="2" s="1"/>
  <c r="N40" i="8"/>
  <c r="N40" i="6"/>
  <c r="N40" i="4"/>
  <c r="J113" i="16"/>
  <c r="I113" i="16"/>
  <c r="H113" i="16"/>
  <c r="I48" i="9" s="1"/>
  <c r="N113" i="16"/>
  <c r="O48" i="9" s="1"/>
  <c r="L113" i="16"/>
  <c r="K113" i="16"/>
  <c r="L48" i="9" s="1"/>
  <c r="G113" i="16"/>
  <c r="F113" i="16"/>
  <c r="Q113" i="16"/>
  <c r="R48" i="9" s="1"/>
  <c r="P113" i="16"/>
  <c r="Q48" i="9" s="1"/>
  <c r="O113" i="16"/>
  <c r="P48" i="9" s="1"/>
  <c r="M113" i="16"/>
  <c r="N48" i="9" s="1"/>
  <c r="N17" i="5"/>
  <c r="N17" i="3"/>
  <c r="N17" i="7"/>
  <c r="H21" i="9"/>
  <c r="H17" i="4"/>
  <c r="H17" i="8"/>
  <c r="H17" i="6"/>
  <c r="G17" i="9"/>
  <c r="O38" i="8"/>
  <c r="O38" i="6"/>
  <c r="O38" i="4"/>
  <c r="I13" i="7"/>
  <c r="I13" i="3"/>
  <c r="I13" i="5"/>
  <c r="N18" i="6"/>
  <c r="N18" i="4"/>
  <c r="N18" i="8"/>
  <c r="P11" i="9"/>
  <c r="P7" i="6"/>
  <c r="P7" i="4"/>
  <c r="P7" i="8"/>
  <c r="I17" i="6"/>
  <c r="I21" i="9"/>
  <c r="I17" i="8"/>
  <c r="I17" i="4"/>
  <c r="L113" i="18"/>
  <c r="J113" i="18"/>
  <c r="P15" i="10" s="1"/>
  <c r="I113" i="18"/>
  <c r="O15" i="10" s="1"/>
  <c r="H113" i="18"/>
  <c r="N15" i="10" s="1"/>
  <c r="G113" i="18"/>
  <c r="K113" i="18"/>
  <c r="Q15" i="10" s="1"/>
  <c r="F113" i="18"/>
  <c r="L15" i="10" s="1"/>
  <c r="P38" i="4"/>
  <c r="P38" i="8"/>
  <c r="P38" i="6"/>
  <c r="P17" i="3"/>
  <c r="P17" i="5"/>
  <c r="P17" i="7"/>
  <c r="R7" i="7"/>
  <c r="R7" i="5"/>
  <c r="R7" i="3"/>
  <c r="P35" i="8"/>
  <c r="P35" i="4"/>
  <c r="P35" i="6"/>
  <c r="M55" i="18"/>
  <c r="R55" i="17"/>
  <c r="R55" i="16"/>
  <c r="R55" i="15"/>
  <c r="Q12" i="5"/>
  <c r="Q12" i="3"/>
  <c r="Q12" i="7"/>
  <c r="Q47" i="8"/>
  <c r="Q47" i="4"/>
  <c r="Q47" i="6"/>
  <c r="I53" i="4"/>
  <c r="I53" i="6"/>
  <c r="I53" i="8"/>
  <c r="W28" i="6"/>
  <c r="W28" i="4"/>
  <c r="W28" i="8"/>
  <c r="AA46" i="8"/>
  <c r="AA46" i="6"/>
  <c r="AA46" i="4"/>
  <c r="T21" i="8"/>
  <c r="T21" i="4"/>
  <c r="J13" i="2" s="1"/>
  <c r="T21" i="6"/>
  <c r="O135" i="18"/>
  <c r="V10" i="6"/>
  <c r="V10" i="4"/>
  <c r="V10" i="8"/>
  <c r="T10" i="9"/>
  <c r="O83" i="18"/>
  <c r="L58" i="8"/>
  <c r="L58" i="6"/>
  <c r="L58" i="4"/>
  <c r="O56" i="9"/>
  <c r="O52" i="4"/>
  <c r="O52" i="6"/>
  <c r="O52" i="8"/>
  <c r="O88" i="18"/>
  <c r="O124" i="18"/>
  <c r="W30" i="8"/>
  <c r="W30" i="6"/>
  <c r="W30" i="4"/>
  <c r="R46" i="9"/>
  <c r="R42" i="6"/>
  <c r="R42" i="8"/>
  <c r="R42" i="4"/>
  <c r="N13" i="7"/>
  <c r="N13" i="5"/>
  <c r="N13" i="3"/>
  <c r="O74" i="18"/>
  <c r="U30" i="8"/>
  <c r="U30" i="6"/>
  <c r="U30" i="4"/>
  <c r="P61" i="9"/>
  <c r="P57" i="4"/>
  <c r="P57" i="8"/>
  <c r="P57" i="6"/>
  <c r="N12" i="7"/>
  <c r="N12" i="3"/>
  <c r="N12" i="5"/>
  <c r="P52" i="6"/>
  <c r="P56" i="9"/>
  <c r="P52" i="8"/>
  <c r="P52" i="4"/>
  <c r="Q36" i="9"/>
  <c r="Q32" i="8"/>
  <c r="Q32" i="4"/>
  <c r="Q32" i="6"/>
  <c r="L33" i="4"/>
  <c r="L33" i="6"/>
  <c r="L33" i="8"/>
  <c r="O130" i="18"/>
  <c r="N38" i="6"/>
  <c r="N38" i="8"/>
  <c r="N38" i="4"/>
  <c r="W31" i="9"/>
  <c r="W27" i="6"/>
  <c r="W27" i="8"/>
  <c r="W27" i="4"/>
  <c r="P41" i="9"/>
  <c r="P37" i="6"/>
  <c r="P37" i="8"/>
  <c r="P37" i="4"/>
  <c r="H42" i="6"/>
  <c r="G42" i="9"/>
  <c r="H42" i="8"/>
  <c r="H46" i="9"/>
  <c r="H42" i="4"/>
  <c r="O13" i="7"/>
  <c r="O13" i="3"/>
  <c r="O13" i="5"/>
  <c r="N35" i="4"/>
  <c r="N35" i="8"/>
  <c r="N35" i="6"/>
  <c r="L45" i="8"/>
  <c r="L45" i="4"/>
  <c r="L45" i="6"/>
  <c r="N43" i="8"/>
  <c r="N43" i="4"/>
  <c r="N43" i="6"/>
  <c r="M64" i="18"/>
  <c r="R64" i="15"/>
  <c r="R64" i="17"/>
  <c r="R64" i="16"/>
  <c r="L40" i="6"/>
  <c r="L40" i="8"/>
  <c r="L40" i="4"/>
  <c r="M14" i="3"/>
  <c r="M14" i="7"/>
  <c r="M14" i="5"/>
  <c r="N60" i="8"/>
  <c r="N60" i="4"/>
  <c r="N60" i="6"/>
  <c r="Y112" i="14"/>
  <c r="Y113" i="14" s="1"/>
  <c r="Y142" i="14" s="1"/>
  <c r="V35" i="9" s="1"/>
  <c r="X125" i="14"/>
  <c r="X133" i="14" s="1"/>
  <c r="Y136" i="14" s="1"/>
  <c r="V139" i="14" s="1"/>
  <c r="H33" i="9" s="1"/>
  <c r="R63" i="16"/>
  <c r="M63" i="18"/>
  <c r="R63" i="17"/>
  <c r="R63" i="15"/>
  <c r="S16" i="8"/>
  <c r="S16" i="6"/>
  <c r="S16" i="4"/>
  <c r="I12" i="2" s="1"/>
  <c r="O118" i="18"/>
  <c r="O114" i="18"/>
  <c r="O27" i="18"/>
  <c r="R56" i="17"/>
  <c r="M56" i="18"/>
  <c r="R56" i="16"/>
  <c r="R56" i="15"/>
  <c r="T111" i="14"/>
  <c r="T127" i="14" s="1"/>
  <c r="T135" i="14" s="1"/>
  <c r="Q33" i="8"/>
  <c r="Q33" i="6"/>
  <c r="Q33" i="4"/>
  <c r="O121" i="18"/>
  <c r="L43" i="8"/>
  <c r="L43" i="6"/>
  <c r="L43" i="4"/>
  <c r="R11" i="9"/>
  <c r="R7" i="6"/>
  <c r="R7" i="4"/>
  <c r="R7" i="8"/>
  <c r="O20" i="6"/>
  <c r="O20" i="8"/>
  <c r="O20" i="4"/>
  <c r="I37" i="8"/>
  <c r="I41" i="9"/>
  <c r="I37" i="4"/>
  <c r="I37" i="6"/>
  <c r="L13" i="5"/>
  <c r="L13" i="3"/>
  <c r="L13" i="7"/>
  <c r="I9" i="7"/>
  <c r="I9" i="5"/>
  <c r="I9" i="3"/>
  <c r="N52" i="6"/>
  <c r="N56" i="9"/>
  <c r="N52" i="4"/>
  <c r="N52" i="8"/>
  <c r="R33" i="8"/>
  <c r="R33" i="4"/>
  <c r="R33" i="6"/>
  <c r="O115" i="18"/>
  <c r="P20" i="6"/>
  <c r="P20" i="4"/>
  <c r="P20" i="8"/>
  <c r="Q38" i="8"/>
  <c r="Q38" i="4"/>
  <c r="Q38" i="6"/>
  <c r="L41" i="9"/>
  <c r="L37" i="8"/>
  <c r="L37" i="4"/>
  <c r="L37" i="6"/>
  <c r="Q17" i="7"/>
  <c r="Q17" i="3"/>
  <c r="Q17" i="5"/>
  <c r="T26" i="6"/>
  <c r="T26" i="8"/>
  <c r="T26" i="4"/>
  <c r="J7" i="2" s="1"/>
  <c r="O123" i="18"/>
  <c r="O78" i="18"/>
  <c r="Q35" i="8"/>
  <c r="Q35" i="6"/>
  <c r="Q35" i="4"/>
  <c r="R58" i="16"/>
  <c r="R58" i="17"/>
  <c r="M58" i="18"/>
  <c r="R58" i="15"/>
  <c r="L18" i="6"/>
  <c r="L18" i="4"/>
  <c r="L18" i="8"/>
  <c r="T29" i="8"/>
  <c r="T29" i="6"/>
  <c r="T29" i="4"/>
  <c r="N61" i="9"/>
  <c r="N57" i="6"/>
  <c r="N57" i="8"/>
  <c r="N57" i="4"/>
  <c r="R12" i="10"/>
  <c r="O17" i="8"/>
  <c r="O17" i="4"/>
  <c r="O21" i="9"/>
  <c r="O17" i="6"/>
  <c r="O73" i="18"/>
  <c r="AS135" i="14"/>
  <c r="AS130" i="14"/>
  <c r="N41" i="9"/>
  <c r="N37" i="8"/>
  <c r="N37" i="4"/>
  <c r="N37" i="6"/>
  <c r="O126" i="18"/>
  <c r="K45" i="9"/>
  <c r="J45" i="8"/>
  <c r="J45" i="4"/>
  <c r="J45" i="6"/>
  <c r="O128" i="18"/>
  <c r="I43" i="8"/>
  <c r="I43" i="4"/>
  <c r="I43" i="6"/>
  <c r="M61" i="18"/>
  <c r="R61" i="15"/>
  <c r="R61" i="17"/>
  <c r="R61" i="16"/>
  <c r="H55" i="9"/>
  <c r="O57" i="8"/>
  <c r="O61" i="9"/>
  <c r="O57" i="6"/>
  <c r="O57" i="4"/>
  <c r="I55" i="8"/>
  <c r="I55" i="4"/>
  <c r="I55" i="6"/>
  <c r="O18" i="4"/>
  <c r="O18" i="8"/>
  <c r="O18" i="6"/>
  <c r="N58" i="8"/>
  <c r="N58" i="6"/>
  <c r="N58" i="4"/>
  <c r="P12" i="7"/>
  <c r="P12" i="5"/>
  <c r="P12" i="3"/>
  <c r="AA56" i="9"/>
  <c r="Q61" i="9"/>
  <c r="Q57" i="6"/>
  <c r="Q57" i="8"/>
  <c r="Q57" i="4"/>
  <c r="P53" i="8"/>
  <c r="P53" i="4"/>
  <c r="P53" i="6"/>
  <c r="O119" i="18"/>
  <c r="R37" i="8"/>
  <c r="R41" i="9"/>
  <c r="R37" i="6"/>
  <c r="R37" i="4"/>
  <c r="O82" i="18"/>
  <c r="I42" i="8"/>
  <c r="I46" i="9"/>
  <c r="I42" i="6"/>
  <c r="I42" i="4"/>
  <c r="P13" i="7"/>
  <c r="P13" i="3"/>
  <c r="P13" i="5"/>
  <c r="O95" i="18"/>
  <c r="O35" i="4"/>
  <c r="O35" i="6"/>
  <c r="O35" i="8"/>
  <c r="I122" i="14"/>
  <c r="O43" i="6"/>
  <c r="O43" i="8"/>
  <c r="O43" i="4"/>
  <c r="AS128" i="14"/>
  <c r="AS133" i="14"/>
  <c r="L29" i="18"/>
  <c r="R8" i="10" s="1"/>
  <c r="K29" i="18"/>
  <c r="Q8" i="10" s="1"/>
  <c r="J29" i="18"/>
  <c r="P8" i="10" s="1"/>
  <c r="I29" i="18"/>
  <c r="O8" i="10" s="1"/>
  <c r="H29" i="18"/>
  <c r="N8" i="10" s="1"/>
  <c r="G29" i="18"/>
  <c r="F29" i="18"/>
  <c r="L8" i="10" s="1"/>
  <c r="Q16" i="3"/>
  <c r="Q16" i="5"/>
  <c r="Q16" i="7"/>
  <c r="N113" i="15"/>
  <c r="O47" i="9" s="1"/>
  <c r="K113" i="15"/>
  <c r="L47" i="9" s="1"/>
  <c r="Q113" i="15"/>
  <c r="R47" i="9" s="1"/>
  <c r="O113" i="15"/>
  <c r="P47" i="9" s="1"/>
  <c r="M113" i="15"/>
  <c r="N47" i="9" s="1"/>
  <c r="I113" i="15"/>
  <c r="J47" i="9" s="1"/>
  <c r="F113" i="15"/>
  <c r="AA51" i="9" s="1"/>
  <c r="G113" i="15"/>
  <c r="H113" i="15"/>
  <c r="I47" i="9" s="1"/>
  <c r="AJ125" i="14"/>
  <c r="AJ133" i="14" s="1"/>
  <c r="AK136" i="14" s="1"/>
  <c r="AH139" i="14" s="1"/>
  <c r="AK112" i="14"/>
  <c r="AK113" i="14" s="1"/>
  <c r="AK142" i="14" s="1"/>
  <c r="V50" i="9" s="1"/>
  <c r="R61" i="9"/>
  <c r="R57" i="4"/>
  <c r="R57" i="6"/>
  <c r="R57" i="8"/>
  <c r="R9" i="5"/>
  <c r="R9" i="3"/>
  <c r="R9" i="7"/>
  <c r="O44" i="18"/>
  <c r="X120" i="14"/>
  <c r="R16" i="5"/>
  <c r="R16" i="3"/>
  <c r="R16" i="7"/>
  <c r="M113" i="17"/>
  <c r="N50" i="9" s="1"/>
  <c r="L113" i="17"/>
  <c r="K113" i="17"/>
  <c r="L50" i="9" s="1"/>
  <c r="Q113" i="17"/>
  <c r="R50" i="9" s="1"/>
  <c r="J113" i="17"/>
  <c r="P113" i="17"/>
  <c r="Q50" i="9" s="1"/>
  <c r="O113" i="17"/>
  <c r="P50" i="9" s="1"/>
  <c r="N113" i="17"/>
  <c r="O50" i="9" s="1"/>
  <c r="I113" i="17"/>
  <c r="H113" i="17"/>
  <c r="I50" i="9" s="1"/>
  <c r="G113" i="17"/>
  <c r="F113" i="17"/>
  <c r="P18" i="6"/>
  <c r="P18" i="8"/>
  <c r="P18" i="4"/>
  <c r="AA61" i="9"/>
  <c r="L38" i="8"/>
  <c r="L38" i="6"/>
  <c r="L38" i="4"/>
  <c r="N42" i="8"/>
  <c r="N42" i="4"/>
  <c r="N46" i="9"/>
  <c r="N42" i="6"/>
  <c r="N45" i="8"/>
  <c r="N45" i="6"/>
  <c r="N45" i="4"/>
  <c r="Q18" i="6"/>
  <c r="Q18" i="4"/>
  <c r="Q18" i="8"/>
  <c r="R56" i="9"/>
  <c r="R52" i="6"/>
  <c r="R52" i="4"/>
  <c r="R52" i="8"/>
  <c r="H37" i="8"/>
  <c r="G37" i="9"/>
  <c r="H37" i="4"/>
  <c r="H41" i="9"/>
  <c r="H37" i="6"/>
  <c r="O117" i="18"/>
  <c r="O12" i="7"/>
  <c r="O12" i="5"/>
  <c r="O12" i="3"/>
  <c r="P33" i="4"/>
  <c r="P33" i="6"/>
  <c r="P33" i="8"/>
  <c r="R20" i="6"/>
  <c r="R20" i="4"/>
  <c r="R20" i="8"/>
  <c r="R13" i="7"/>
  <c r="R13" i="5"/>
  <c r="R13" i="3"/>
  <c r="P45" i="8"/>
  <c r="P45" i="6"/>
  <c r="P45" i="4"/>
  <c r="V15" i="8"/>
  <c r="V15" i="6"/>
  <c r="V15" i="4"/>
  <c r="T15" i="9"/>
  <c r="P40" i="8"/>
  <c r="P40" i="4"/>
  <c r="P40" i="6"/>
  <c r="L12" i="7"/>
  <c r="L12" i="5"/>
  <c r="L12" i="3"/>
  <c r="N14" i="5"/>
  <c r="N14" i="3"/>
  <c r="N14" i="7"/>
  <c r="K20" i="9"/>
  <c r="J20" i="8"/>
  <c r="J20" i="6"/>
  <c r="J20" i="4"/>
  <c r="N55" i="6"/>
  <c r="N55" i="8"/>
  <c r="N55" i="4"/>
  <c r="L52" i="8"/>
  <c r="L52" i="4"/>
  <c r="L56" i="9"/>
  <c r="L52" i="6"/>
  <c r="O14" i="3"/>
  <c r="O14" i="5"/>
  <c r="O14" i="7"/>
  <c r="I33" i="8"/>
  <c r="I33" i="6"/>
  <c r="I33" i="4"/>
  <c r="N16" i="3"/>
  <c r="N16" i="7"/>
  <c r="N16" i="5"/>
  <c r="L9" i="3"/>
  <c r="L9" i="5"/>
  <c r="L9" i="7"/>
  <c r="N53" i="6"/>
  <c r="N53" i="4"/>
  <c r="N53" i="8"/>
  <c r="I38" i="6"/>
  <c r="I38" i="4"/>
  <c r="I38" i="8"/>
  <c r="S29" i="6"/>
  <c r="S29" i="8"/>
  <c r="S31" i="9"/>
  <c r="G29" i="9"/>
  <c r="S29" i="4"/>
  <c r="L46" i="9"/>
  <c r="L42" i="8"/>
  <c r="L42" i="6"/>
  <c r="L42" i="4"/>
  <c r="G49" i="8"/>
  <c r="G49" i="6"/>
  <c r="G49" i="4"/>
  <c r="I15" i="10"/>
  <c r="R35" i="8"/>
  <c r="R35" i="4"/>
  <c r="R35" i="6"/>
  <c r="R45" i="8"/>
  <c r="R45" i="6"/>
  <c r="R45" i="4"/>
  <c r="O122" i="18"/>
  <c r="R62" i="16"/>
  <c r="M62" i="18"/>
  <c r="R62" i="15"/>
  <c r="R62" i="17"/>
  <c r="T25" i="6"/>
  <c r="T25" i="4"/>
  <c r="T25" i="8"/>
  <c r="R55" i="8"/>
  <c r="R55" i="6"/>
  <c r="R55" i="4"/>
  <c r="Q46" i="9"/>
  <c r="Q42" i="6"/>
  <c r="Q42" i="8"/>
  <c r="Q42" i="4"/>
  <c r="I14" i="3"/>
  <c r="I14" i="5"/>
  <c r="I14" i="7"/>
  <c r="I58" i="8"/>
  <c r="I58" i="4"/>
  <c r="I58" i="6"/>
  <c r="O60" i="8"/>
  <c r="O60" i="6"/>
  <c r="O60" i="4"/>
  <c r="O17" i="7"/>
  <c r="O17" i="3"/>
  <c r="O17" i="5"/>
  <c r="O48" i="18"/>
  <c r="G52" i="9"/>
  <c r="H52" i="8"/>
  <c r="H52" i="4"/>
  <c r="H52" i="6"/>
  <c r="AA41" i="6"/>
  <c r="AA41" i="4"/>
  <c r="AA41" i="8"/>
  <c r="O116" i="18"/>
  <c r="AA36" i="9"/>
  <c r="P14" i="7"/>
  <c r="P14" i="5"/>
  <c r="P14" i="3"/>
  <c r="H53" i="9"/>
  <c r="P60" i="8"/>
  <c r="P60" i="6"/>
  <c r="P60" i="4"/>
  <c r="R18" i="6"/>
  <c r="R18" i="8"/>
  <c r="R18" i="4"/>
  <c r="L14" i="7"/>
  <c r="L14" i="3"/>
  <c r="L14" i="5"/>
  <c r="M9" i="7"/>
  <c r="M9" i="3"/>
  <c r="M9" i="5"/>
  <c r="O129" i="18"/>
  <c r="J55" i="9"/>
  <c r="J56" i="9" s="1"/>
  <c r="AS112" i="14"/>
  <c r="AS113" i="14" s="1"/>
  <c r="AS142" i="14" s="1"/>
  <c r="V60" i="9" s="1"/>
  <c r="AR125" i="14"/>
  <c r="AR133" i="14" s="1"/>
  <c r="AS136" i="14" s="1"/>
  <c r="AP139" i="14" s="1"/>
  <c r="I61" i="9"/>
  <c r="I57" i="4"/>
  <c r="I57" i="8"/>
  <c r="I57" i="6"/>
  <c r="J52" i="8"/>
  <c r="J52" i="4"/>
  <c r="J52" i="6"/>
  <c r="K53" i="15"/>
  <c r="L22" i="9" s="1"/>
  <c r="H53" i="15"/>
  <c r="I22" i="9" s="1"/>
  <c r="G53" i="15"/>
  <c r="H22" i="9" s="1"/>
  <c r="F53" i="15"/>
  <c r="Q53" i="15"/>
  <c r="R22" i="9" s="1"/>
  <c r="O53" i="15"/>
  <c r="P22" i="9" s="1"/>
  <c r="N53" i="15"/>
  <c r="O22" i="9" s="1"/>
  <c r="M53" i="15"/>
  <c r="N22" i="9" s="1"/>
  <c r="I53" i="15"/>
  <c r="J22" i="9" s="1"/>
  <c r="I60" i="8"/>
  <c r="I60" i="6"/>
  <c r="I60" i="4"/>
  <c r="S26" i="6"/>
  <c r="S26" i="4"/>
  <c r="I7" i="2" s="1"/>
  <c r="S26" i="8"/>
  <c r="Q40" i="8"/>
  <c r="Q40" i="4"/>
  <c r="Q40" i="6"/>
  <c r="G17" i="15"/>
  <c r="H7" i="9" s="1"/>
  <c r="J53" i="18"/>
  <c r="I53" i="18"/>
  <c r="H53" i="18"/>
  <c r="L53" i="18"/>
  <c r="R10" i="10" s="1"/>
  <c r="K53" i="18"/>
  <c r="O52" i="18" s="1"/>
  <c r="G53" i="18"/>
  <c r="O42" i="18"/>
  <c r="F53" i="18"/>
  <c r="I36" i="9"/>
  <c r="I32" i="4"/>
  <c r="I32" i="6"/>
  <c r="I32" i="8"/>
  <c r="O55" i="6"/>
  <c r="O55" i="4"/>
  <c r="O55" i="8"/>
  <c r="I40" i="4"/>
  <c r="I40" i="6"/>
  <c r="I40" i="8"/>
  <c r="J57" i="6"/>
  <c r="J57" i="8"/>
  <c r="J57" i="4"/>
  <c r="O132" i="18"/>
  <c r="J21" i="9"/>
  <c r="J17" i="6"/>
  <c r="J17" i="8"/>
  <c r="J17" i="4"/>
  <c r="Q27" i="6"/>
  <c r="Q27" i="8"/>
  <c r="Q27" i="4"/>
  <c r="H53" i="17"/>
  <c r="I25" i="9" s="1"/>
  <c r="F53" i="17"/>
  <c r="O53" i="17"/>
  <c r="P25" i="9" s="1"/>
  <c r="J53" i="17"/>
  <c r="I53" i="17"/>
  <c r="J25" i="9" s="1"/>
  <c r="G53" i="17"/>
  <c r="H25" i="9" s="1"/>
  <c r="Q53" i="17"/>
  <c r="R25" i="9" s="1"/>
  <c r="P53" i="17"/>
  <c r="Q25" i="9" s="1"/>
  <c r="K53" i="17"/>
  <c r="L25" i="9" s="1"/>
  <c r="M53" i="17"/>
  <c r="N25" i="9" s="1"/>
  <c r="L53" i="17"/>
  <c r="N53" i="17"/>
  <c r="O25" i="9" s="1"/>
  <c r="Q14" i="7"/>
  <c r="Q14" i="3"/>
  <c r="Q14" i="5"/>
  <c r="O16" i="7"/>
  <c r="O16" i="3"/>
  <c r="O16" i="5"/>
  <c r="N9" i="7"/>
  <c r="N9" i="5"/>
  <c r="N9" i="3"/>
  <c r="L20" i="6"/>
  <c r="L20" i="8"/>
  <c r="L20" i="4"/>
  <c r="O53" i="4"/>
  <c r="O53" i="8"/>
  <c r="O53" i="6"/>
  <c r="R43" i="8"/>
  <c r="R43" i="6"/>
  <c r="R43" i="4"/>
  <c r="V45" i="6"/>
  <c r="V45" i="8"/>
  <c r="V45" i="4"/>
  <c r="T45" i="9"/>
  <c r="R54" i="16"/>
  <c r="R54" i="17"/>
  <c r="M54" i="18"/>
  <c r="R54" i="15"/>
  <c r="F66" i="12"/>
  <c r="W16" i="6"/>
  <c r="W16" i="8"/>
  <c r="W16" i="4"/>
  <c r="K12" i="2" s="1"/>
  <c r="O49" i="18"/>
  <c r="Q56" i="9"/>
  <c r="Q52" i="8"/>
  <c r="Q52" i="6"/>
  <c r="Q52" i="4"/>
  <c r="O109" i="18"/>
  <c r="I8" i="10"/>
  <c r="G14" i="8"/>
  <c r="G14" i="6"/>
  <c r="G14" i="4"/>
  <c r="N20" i="8"/>
  <c r="N20" i="6"/>
  <c r="N20" i="4"/>
  <c r="Q60" i="6"/>
  <c r="Q60" i="4"/>
  <c r="Q60" i="8"/>
  <c r="O120" i="18"/>
  <c r="R58" i="4"/>
  <c r="R58" i="8"/>
  <c r="R58" i="6"/>
  <c r="N33" i="4"/>
  <c r="N33" i="6"/>
  <c r="N33" i="8"/>
  <c r="O47" i="18"/>
  <c r="R53" i="8"/>
  <c r="R53" i="4"/>
  <c r="R53" i="6"/>
  <c r="O43" i="18"/>
  <c r="P43" i="8"/>
  <c r="P43" i="6"/>
  <c r="P43" i="4"/>
  <c r="L55" i="6"/>
  <c r="L55" i="8"/>
  <c r="L55" i="4"/>
  <c r="O58" i="8"/>
  <c r="O58" i="4"/>
  <c r="O58" i="6"/>
  <c r="N17" i="8"/>
  <c r="N21" i="9"/>
  <c r="N17" i="6"/>
  <c r="N17" i="4"/>
  <c r="O51" i="18"/>
  <c r="R38" i="8"/>
  <c r="R38" i="4"/>
  <c r="R38" i="6"/>
  <c r="O42" i="8"/>
  <c r="O46" i="9"/>
  <c r="O42" i="4"/>
  <c r="O42" i="6"/>
  <c r="O50" i="18"/>
  <c r="M10" i="3"/>
  <c r="M10" i="7"/>
  <c r="M10" i="5"/>
  <c r="P58" i="8"/>
  <c r="P58" i="6"/>
  <c r="P58" i="4"/>
  <c r="W26" i="4"/>
  <c r="K7" i="2" s="1"/>
  <c r="W26" i="8"/>
  <c r="W26" i="6"/>
  <c r="Q26" i="9"/>
  <c r="Q22" i="6"/>
  <c r="Q22" i="8"/>
  <c r="Q22" i="4"/>
  <c r="O67" i="18"/>
  <c r="L53" i="8"/>
  <c r="L53" i="4"/>
  <c r="L53" i="6"/>
  <c r="P42" i="8"/>
  <c r="P42" i="6"/>
  <c r="P42" i="4"/>
  <c r="P46" i="9"/>
  <c r="I10" i="10"/>
  <c r="G24" i="6"/>
  <c r="G24" i="8"/>
  <c r="G24" i="4"/>
  <c r="R32" i="8"/>
  <c r="R32" i="6"/>
  <c r="R36" i="9"/>
  <c r="R32" i="4"/>
  <c r="O9" i="7"/>
  <c r="O9" i="5"/>
  <c r="O9" i="3"/>
  <c r="O41" i="9"/>
  <c r="O37" i="6"/>
  <c r="O37" i="8"/>
  <c r="O37" i="4"/>
  <c r="Q45" i="8"/>
  <c r="Q45" i="6"/>
  <c r="Q45" i="4"/>
  <c r="N32" i="8"/>
  <c r="N32" i="4"/>
  <c r="N32" i="6"/>
  <c r="N36" i="9"/>
  <c r="P55" i="6"/>
  <c r="P55" i="4"/>
  <c r="P55" i="8"/>
  <c r="K29" i="15"/>
  <c r="L12" i="9" s="1"/>
  <c r="H29" i="15"/>
  <c r="I12" i="9" s="1"/>
  <c r="G29" i="15"/>
  <c r="H12" i="9" s="1"/>
  <c r="P29" i="15"/>
  <c r="Q12" i="9" s="1"/>
  <c r="N29" i="15"/>
  <c r="O12" i="9" s="1"/>
  <c r="M29" i="15"/>
  <c r="N12" i="9" s="1"/>
  <c r="Q29" i="15"/>
  <c r="R12" i="9" s="1"/>
  <c r="O29" i="15"/>
  <c r="P12" i="9" s="1"/>
  <c r="I29" i="15"/>
  <c r="J12" i="9" s="1"/>
  <c r="F29" i="15"/>
  <c r="AA16" i="9" s="1"/>
  <c r="K40" i="9"/>
  <c r="J40" i="6"/>
  <c r="J40" i="8"/>
  <c r="J40" i="4"/>
  <c r="L61" i="9"/>
  <c r="L57" i="4"/>
  <c r="L57" i="6"/>
  <c r="L57" i="8"/>
  <c r="AA21" i="9"/>
  <c r="R21" i="9"/>
  <c r="R17" i="8"/>
  <c r="R17" i="4"/>
  <c r="R17" i="6"/>
  <c r="Q53" i="16"/>
  <c r="R23" i="9" s="1"/>
  <c r="P53" i="16"/>
  <c r="Q23" i="9" s="1"/>
  <c r="O53" i="16"/>
  <c r="P23" i="9" s="1"/>
  <c r="K53" i="16"/>
  <c r="L23" i="9" s="1"/>
  <c r="H53" i="16"/>
  <c r="I23" i="9" s="1"/>
  <c r="G53" i="16"/>
  <c r="H23" i="9" s="1"/>
  <c r="F53" i="16"/>
  <c r="I53" i="16"/>
  <c r="M53" i="16"/>
  <c r="N23" i="9" s="1"/>
  <c r="L53" i="16"/>
  <c r="J53" i="16"/>
  <c r="N53" i="16"/>
  <c r="O23" i="9" s="1"/>
  <c r="R14" i="7"/>
  <c r="R14" i="3"/>
  <c r="R14" i="5"/>
  <c r="P16" i="7"/>
  <c r="P16" i="3"/>
  <c r="P16" i="5"/>
  <c r="U125" i="14"/>
  <c r="P9" i="7"/>
  <c r="P9" i="3"/>
  <c r="P9" i="5"/>
  <c r="Q53" i="8"/>
  <c r="Q53" i="4"/>
  <c r="Q53" i="6"/>
  <c r="O97" i="18"/>
  <c r="I16" i="7"/>
  <c r="I16" i="5"/>
  <c r="I16" i="3"/>
  <c r="O131" i="18"/>
  <c r="T125" i="14"/>
  <c r="T133" i="14" s="1"/>
  <c r="L60" i="8"/>
  <c r="L60" i="4"/>
  <c r="L60" i="6"/>
  <c r="I17" i="7"/>
  <c r="I17" i="5"/>
  <c r="I17" i="3"/>
  <c r="H35" i="9"/>
  <c r="H45" i="6"/>
  <c r="H45" i="8"/>
  <c r="H45" i="4"/>
  <c r="Q43" i="6"/>
  <c r="Q43" i="8"/>
  <c r="Q43" i="4"/>
  <c r="O75" i="18"/>
  <c r="R57" i="17"/>
  <c r="R57" i="15"/>
  <c r="R57" i="16"/>
  <c r="M57" i="18"/>
  <c r="J32" i="6"/>
  <c r="J32" i="4"/>
  <c r="J32" i="8"/>
  <c r="Q11" i="9"/>
  <c r="Q7" i="6"/>
  <c r="Q7" i="4"/>
  <c r="Q7" i="8"/>
  <c r="O46" i="18"/>
  <c r="L32" i="6"/>
  <c r="L32" i="8"/>
  <c r="L32" i="4"/>
  <c r="L36" i="9"/>
  <c r="J29" i="17"/>
  <c r="I29" i="17"/>
  <c r="H29" i="17"/>
  <c r="I15" i="9" s="1"/>
  <c r="M29" i="17"/>
  <c r="N15" i="9" s="1"/>
  <c r="K29" i="17"/>
  <c r="L15" i="9" s="1"/>
  <c r="G29" i="17"/>
  <c r="H15" i="9" s="1"/>
  <c r="F29" i="17"/>
  <c r="Q29" i="17"/>
  <c r="R15" i="9" s="1"/>
  <c r="P29" i="17"/>
  <c r="Q15" i="9" s="1"/>
  <c r="O29" i="17"/>
  <c r="P15" i="9" s="1"/>
  <c r="N29" i="17"/>
  <c r="O15" i="9" s="1"/>
  <c r="L29" i="17"/>
  <c r="I20" i="6"/>
  <c r="I20" i="8"/>
  <c r="I20" i="4"/>
  <c r="R40" i="8"/>
  <c r="R40" i="4"/>
  <c r="R40" i="6"/>
  <c r="L35" i="4"/>
  <c r="L35" i="8"/>
  <c r="L35" i="6"/>
  <c r="R59" i="16"/>
  <c r="R59" i="17"/>
  <c r="M59" i="18"/>
  <c r="R59" i="15"/>
  <c r="G40" i="9"/>
  <c r="H40" i="6"/>
  <c r="H40" i="8"/>
  <c r="H40" i="4"/>
  <c r="L17" i="6"/>
  <c r="L21" i="9"/>
  <c r="L17" i="8"/>
  <c r="L17" i="4"/>
  <c r="M13" i="5"/>
  <c r="M13" i="3"/>
  <c r="M13" i="7"/>
  <c r="O33" i="4"/>
  <c r="O33" i="6"/>
  <c r="O33" i="8"/>
  <c r="G20" i="9"/>
  <c r="H20" i="6"/>
  <c r="H20" i="4"/>
  <c r="H20" i="8"/>
  <c r="O23" i="18"/>
  <c r="Q13" i="7"/>
  <c r="Q13" i="3"/>
  <c r="Q13" i="5"/>
  <c r="O45" i="8"/>
  <c r="O45" i="6"/>
  <c r="O45" i="4"/>
  <c r="O45" i="18"/>
  <c r="O32" i="8"/>
  <c r="O36" i="9"/>
  <c r="O32" i="4"/>
  <c r="O32" i="6"/>
  <c r="O40" i="8"/>
  <c r="O40" i="6"/>
  <c r="O40" i="4"/>
  <c r="I56" i="9"/>
  <c r="I52" i="8"/>
  <c r="I52" i="4"/>
  <c r="I52" i="6"/>
  <c r="I136" i="14"/>
  <c r="F139" i="14" s="1"/>
  <c r="J37" i="8"/>
  <c r="J41" i="9"/>
  <c r="J37" i="4"/>
  <c r="J37" i="6"/>
  <c r="R60" i="4"/>
  <c r="R60" i="8"/>
  <c r="R60" i="6"/>
  <c r="S51" i="8"/>
  <c r="S51" i="6"/>
  <c r="S51" i="4"/>
  <c r="I14" i="2" s="1"/>
  <c r="H18" i="6"/>
  <c r="G18" i="9"/>
  <c r="H18" i="8"/>
  <c r="H18" i="4"/>
  <c r="Q58" i="6"/>
  <c r="Q58" i="8"/>
  <c r="Q58" i="4"/>
  <c r="P21" i="9"/>
  <c r="P17" i="8"/>
  <c r="P17" i="4"/>
  <c r="P17" i="6"/>
  <c r="L16" i="7"/>
  <c r="L16" i="5"/>
  <c r="L16" i="3"/>
  <c r="G38" i="9"/>
  <c r="H38" i="4"/>
  <c r="H38" i="8"/>
  <c r="H38" i="6"/>
  <c r="J42" i="6"/>
  <c r="J42" i="8"/>
  <c r="J42" i="4"/>
  <c r="J46" i="9"/>
  <c r="I18" i="6"/>
  <c r="I18" i="8"/>
  <c r="I18" i="4"/>
  <c r="Q21" i="9"/>
  <c r="Q17" i="8"/>
  <c r="Q17" i="4"/>
  <c r="Q17" i="6"/>
  <c r="P32" i="8"/>
  <c r="P32" i="4"/>
  <c r="P32" i="6"/>
  <c r="P36" i="9"/>
  <c r="Q55" i="8"/>
  <c r="Q55" i="4"/>
  <c r="Q55" i="6"/>
  <c r="M29" i="16"/>
  <c r="N13" i="9" s="1"/>
  <c r="L29" i="16"/>
  <c r="K29" i="16"/>
  <c r="L13" i="9" s="1"/>
  <c r="P29" i="16"/>
  <c r="Q13" i="9" s="1"/>
  <c r="N29" i="16"/>
  <c r="O13" i="9" s="1"/>
  <c r="H29" i="16"/>
  <c r="I13" i="9" s="1"/>
  <c r="O29" i="16"/>
  <c r="P13" i="9" s="1"/>
  <c r="G29" i="16"/>
  <c r="H13" i="9" s="1"/>
  <c r="F29" i="16"/>
  <c r="Q29" i="16"/>
  <c r="R13" i="9" s="1"/>
  <c r="O80" i="18"/>
  <c r="Q37" i="8"/>
  <c r="Q41" i="9"/>
  <c r="Q37" i="6"/>
  <c r="Q37" i="4"/>
  <c r="O90" i="18"/>
  <c r="M16" i="10"/>
  <c r="Q9" i="7"/>
  <c r="Q9" i="5"/>
  <c r="Q9" i="3"/>
  <c r="Q20" i="6"/>
  <c r="Q20" i="4"/>
  <c r="Q20" i="8"/>
  <c r="AJ120" i="14"/>
  <c r="L17" i="7"/>
  <c r="L17" i="5"/>
  <c r="L17" i="3"/>
  <c r="O87" i="18"/>
  <c r="O81" i="18"/>
  <c r="I12" i="5"/>
  <c r="I12" i="7"/>
  <c r="I12" i="3"/>
  <c r="T55" i="8"/>
  <c r="T55" i="4"/>
  <c r="T55" i="6"/>
  <c r="T56" i="9"/>
  <c r="I35" i="8"/>
  <c r="I35" i="6"/>
  <c r="I35" i="4"/>
  <c r="I45" i="6"/>
  <c r="I45" i="8"/>
  <c r="I45" i="4"/>
  <c r="G43" i="9"/>
  <c r="H43" i="8"/>
  <c r="H43" i="4"/>
  <c r="H43" i="6"/>
  <c r="M60" i="18"/>
  <c r="R60" i="17"/>
  <c r="R60" i="16"/>
  <c r="R60" i="15"/>
  <c r="G33" i="9" l="1"/>
  <c r="H33" i="6"/>
  <c r="H33" i="8"/>
  <c r="H33" i="4"/>
  <c r="H58" i="9"/>
  <c r="H60" i="9"/>
  <c r="H57" i="9"/>
  <c r="J60" i="9"/>
  <c r="M17" i="10"/>
  <c r="J56" i="8"/>
  <c r="J56" i="6"/>
  <c r="J56" i="4"/>
  <c r="R21" i="8"/>
  <c r="R21" i="4"/>
  <c r="H13" i="2" s="1"/>
  <c r="R21" i="6"/>
  <c r="P56" i="4"/>
  <c r="G8" i="2" s="1"/>
  <c r="P56" i="8"/>
  <c r="P56" i="6"/>
  <c r="H14" i="10"/>
  <c r="G43" i="8"/>
  <c r="G43" i="4"/>
  <c r="G43" i="6"/>
  <c r="H12" i="6"/>
  <c r="H16" i="9"/>
  <c r="G12" i="9"/>
  <c r="H12" i="8"/>
  <c r="H12" i="4"/>
  <c r="I25" i="8"/>
  <c r="I25" i="4"/>
  <c r="I25" i="6"/>
  <c r="Q48" i="4"/>
  <c r="Q48" i="6"/>
  <c r="Q48" i="8"/>
  <c r="I16" i="9"/>
  <c r="I12" i="6"/>
  <c r="I12" i="8"/>
  <c r="I12" i="4"/>
  <c r="Q8" i="7"/>
  <c r="Q8" i="3"/>
  <c r="Q8" i="5"/>
  <c r="K46" i="9"/>
  <c r="K45" i="8"/>
  <c r="K45" i="6"/>
  <c r="K45" i="4"/>
  <c r="O19" i="18"/>
  <c r="N15" i="7"/>
  <c r="N15" i="5"/>
  <c r="N15" i="3"/>
  <c r="G38" i="6"/>
  <c r="G38" i="8"/>
  <c r="H13" i="10"/>
  <c r="G38" i="4"/>
  <c r="J13" i="10"/>
  <c r="G40" i="6"/>
  <c r="G40" i="4"/>
  <c r="G40" i="8"/>
  <c r="L12" i="8"/>
  <c r="L12" i="4"/>
  <c r="L12" i="6"/>
  <c r="L16" i="9"/>
  <c r="O18" i="18"/>
  <c r="O15" i="5"/>
  <c r="O15" i="7"/>
  <c r="O15" i="3"/>
  <c r="R13" i="8"/>
  <c r="R13" i="4"/>
  <c r="R13" i="6"/>
  <c r="N23" i="6"/>
  <c r="N23" i="4"/>
  <c r="N23" i="8"/>
  <c r="H26" i="9"/>
  <c r="G22" i="9"/>
  <c r="H22" i="6"/>
  <c r="H22" i="4"/>
  <c r="H22" i="8"/>
  <c r="M12" i="10"/>
  <c r="R56" i="4"/>
  <c r="H8" i="2" s="1"/>
  <c r="R56" i="6"/>
  <c r="R56" i="8"/>
  <c r="R8" i="5"/>
  <c r="R8" i="7"/>
  <c r="R8" i="3"/>
  <c r="Q61" i="8"/>
  <c r="Q61" i="6"/>
  <c r="Q61" i="4"/>
  <c r="P15" i="5"/>
  <c r="P15" i="7"/>
  <c r="P15" i="3"/>
  <c r="H48" i="9"/>
  <c r="J9" i="10"/>
  <c r="G20" i="8"/>
  <c r="G20" i="6"/>
  <c r="G20" i="4"/>
  <c r="O59" i="18"/>
  <c r="R15" i="8"/>
  <c r="R15" i="4"/>
  <c r="R15" i="6"/>
  <c r="L61" i="4"/>
  <c r="E17" i="2" s="1"/>
  <c r="L61" i="6"/>
  <c r="L61" i="8"/>
  <c r="O46" i="6"/>
  <c r="O46" i="8"/>
  <c r="O46" i="4"/>
  <c r="F9" i="2" s="1"/>
  <c r="O108" i="18"/>
  <c r="H32" i="9"/>
  <c r="I22" i="4"/>
  <c r="I22" i="6"/>
  <c r="I22" i="8"/>
  <c r="I26" i="9"/>
  <c r="AA36" i="8"/>
  <c r="AA36" i="6"/>
  <c r="AA36" i="4"/>
  <c r="O22" i="18"/>
  <c r="N51" i="9"/>
  <c r="N47" i="8"/>
  <c r="N47" i="6"/>
  <c r="N47" i="4"/>
  <c r="AA56" i="8"/>
  <c r="AA56" i="6"/>
  <c r="AA56" i="4"/>
  <c r="N61" i="8"/>
  <c r="N61" i="4"/>
  <c r="N61" i="6"/>
  <c r="G46" i="9"/>
  <c r="H46" i="4"/>
  <c r="B9" i="2" s="1"/>
  <c r="H46" i="8"/>
  <c r="H46" i="6"/>
  <c r="U112" i="14"/>
  <c r="U113" i="14" s="1"/>
  <c r="U142" i="14" s="1"/>
  <c r="V30" i="9" s="1"/>
  <c r="O21" i="18"/>
  <c r="R15" i="10"/>
  <c r="L48" i="6"/>
  <c r="L48" i="8"/>
  <c r="L48" i="4"/>
  <c r="N11" i="8"/>
  <c r="N11" i="4"/>
  <c r="N11" i="6"/>
  <c r="V50" i="8"/>
  <c r="V50" i="4"/>
  <c r="V50" i="6"/>
  <c r="T50" i="9"/>
  <c r="H53" i="8"/>
  <c r="H53" i="4"/>
  <c r="H53" i="6"/>
  <c r="G53" i="9"/>
  <c r="P36" i="8"/>
  <c r="P36" i="6"/>
  <c r="P36" i="4"/>
  <c r="G16" i="2" s="1"/>
  <c r="P22" i="6"/>
  <c r="P26" i="9"/>
  <c r="P22" i="8"/>
  <c r="P22" i="4"/>
  <c r="W31" i="8"/>
  <c r="W31" i="6"/>
  <c r="W31" i="4"/>
  <c r="K11" i="2" s="1"/>
  <c r="O104" i="18"/>
  <c r="R26" i="9"/>
  <c r="R22" i="4"/>
  <c r="R22" i="8"/>
  <c r="R22" i="6"/>
  <c r="AA61" i="6"/>
  <c r="AA61" i="4"/>
  <c r="AA61" i="8"/>
  <c r="H47" i="9"/>
  <c r="R48" i="6"/>
  <c r="R48" i="4"/>
  <c r="R48" i="8"/>
  <c r="O11" i="8"/>
  <c r="O11" i="4"/>
  <c r="F15" i="2" s="1"/>
  <c r="O11" i="6"/>
  <c r="P15" i="6"/>
  <c r="P15" i="4"/>
  <c r="P15" i="8"/>
  <c r="Q56" i="6"/>
  <c r="Q56" i="8"/>
  <c r="Q56" i="4"/>
  <c r="AA26" i="9"/>
  <c r="AA51" i="8"/>
  <c r="AA51" i="4"/>
  <c r="AA51" i="6"/>
  <c r="O25" i="18"/>
  <c r="T10" i="8"/>
  <c r="T10" i="4"/>
  <c r="T10" i="6"/>
  <c r="T11" i="9"/>
  <c r="Q15" i="8"/>
  <c r="Q15" i="6"/>
  <c r="Q15" i="4"/>
  <c r="O112" i="18"/>
  <c r="L56" i="6"/>
  <c r="L56" i="4"/>
  <c r="E8" i="2" s="1"/>
  <c r="L56" i="8"/>
  <c r="J47" i="4"/>
  <c r="J47" i="6"/>
  <c r="J47" i="8"/>
  <c r="I46" i="8"/>
  <c r="I46" i="4"/>
  <c r="C9" i="2" s="1"/>
  <c r="I46" i="6"/>
  <c r="O61" i="8"/>
  <c r="O61" i="6"/>
  <c r="O61" i="4"/>
  <c r="F17" i="2" s="1"/>
  <c r="R46" i="8"/>
  <c r="R46" i="6"/>
  <c r="R46" i="4"/>
  <c r="H9" i="2" s="1"/>
  <c r="O24" i="18"/>
  <c r="H13" i="6"/>
  <c r="H13" i="8"/>
  <c r="G13" i="9"/>
  <c r="H13" i="4"/>
  <c r="Q11" i="8"/>
  <c r="Q11" i="6"/>
  <c r="Q11" i="4"/>
  <c r="G45" i="9"/>
  <c r="R36" i="8"/>
  <c r="R36" i="6"/>
  <c r="R36" i="4"/>
  <c r="H16" i="2" s="1"/>
  <c r="J35" i="9"/>
  <c r="O25" i="8"/>
  <c r="O25" i="4"/>
  <c r="O25" i="6"/>
  <c r="L22" i="4"/>
  <c r="L22" i="6"/>
  <c r="L22" i="8"/>
  <c r="L26" i="9"/>
  <c r="P51" i="9"/>
  <c r="P47" i="8"/>
  <c r="P47" i="4"/>
  <c r="P47" i="6"/>
  <c r="H55" i="8"/>
  <c r="H55" i="6"/>
  <c r="H55" i="4"/>
  <c r="P25" i="6"/>
  <c r="P25" i="4"/>
  <c r="P25" i="8"/>
  <c r="N8" i="3"/>
  <c r="N8" i="5"/>
  <c r="N8" i="7"/>
  <c r="L41" i="6"/>
  <c r="L41" i="4"/>
  <c r="E10" i="2" s="1"/>
  <c r="L41" i="8"/>
  <c r="H9" i="10"/>
  <c r="G18" i="6"/>
  <c r="G18" i="8"/>
  <c r="G18" i="4"/>
  <c r="Q12" i="8"/>
  <c r="Q12" i="4"/>
  <c r="Q16" i="9"/>
  <c r="Q12" i="6"/>
  <c r="P48" i="6"/>
  <c r="P48" i="8"/>
  <c r="P48" i="4"/>
  <c r="Q41" i="4"/>
  <c r="Q41" i="8"/>
  <c r="Q41" i="6"/>
  <c r="AA21" i="8"/>
  <c r="AA21" i="4"/>
  <c r="AA21" i="6"/>
  <c r="I15" i="5"/>
  <c r="I15" i="3"/>
  <c r="I15" i="7"/>
  <c r="P8" i="7"/>
  <c r="P8" i="3"/>
  <c r="P8" i="5"/>
  <c r="R12" i="5"/>
  <c r="R12" i="3"/>
  <c r="R12" i="7"/>
  <c r="O15" i="6"/>
  <c r="O15" i="4"/>
  <c r="O15" i="8"/>
  <c r="H15" i="8"/>
  <c r="H15" i="4"/>
  <c r="H15" i="6"/>
  <c r="H50" i="9"/>
  <c r="O107" i="18"/>
  <c r="O63" i="18"/>
  <c r="O48" i="4"/>
  <c r="O48" i="6"/>
  <c r="O48" i="8"/>
  <c r="O36" i="6"/>
  <c r="O36" i="4"/>
  <c r="F16" i="2" s="1"/>
  <c r="O36" i="8"/>
  <c r="I23" i="8"/>
  <c r="I23" i="4"/>
  <c r="I23" i="6"/>
  <c r="Q26" i="6"/>
  <c r="Q26" i="8"/>
  <c r="Q26" i="4"/>
  <c r="N41" i="8"/>
  <c r="N41" i="6"/>
  <c r="N41" i="4"/>
  <c r="I41" i="4"/>
  <c r="C10" i="2" s="1"/>
  <c r="I41" i="6"/>
  <c r="I41" i="8"/>
  <c r="P61" i="8"/>
  <c r="P61" i="6"/>
  <c r="P61" i="4"/>
  <c r="G17" i="2" s="1"/>
  <c r="Q51" i="9"/>
  <c r="M7" i="7"/>
  <c r="M7" i="3"/>
  <c r="M7" i="5"/>
  <c r="L23" i="6"/>
  <c r="L23" i="8"/>
  <c r="L23" i="4"/>
  <c r="O103" i="18"/>
  <c r="R17" i="10"/>
  <c r="O26" i="18"/>
  <c r="Q13" i="4"/>
  <c r="Q13" i="6"/>
  <c r="Q13" i="8"/>
  <c r="U128" i="14"/>
  <c r="U133" i="14"/>
  <c r="Q65" i="15"/>
  <c r="R27" i="9" s="1"/>
  <c r="O65" i="15"/>
  <c r="P27" i="9" s="1"/>
  <c r="N65" i="15"/>
  <c r="O27" i="9" s="1"/>
  <c r="M65" i="15"/>
  <c r="N27" i="9" s="1"/>
  <c r="F65" i="15"/>
  <c r="AA31" i="9" s="1"/>
  <c r="I65" i="15"/>
  <c r="J27" i="9" s="1"/>
  <c r="H65" i="15"/>
  <c r="I27" i="9" s="1"/>
  <c r="G65" i="15"/>
  <c r="K65" i="15"/>
  <c r="L27" i="9" s="1"/>
  <c r="O50" i="6"/>
  <c r="O50" i="4"/>
  <c r="O50" i="8"/>
  <c r="G10" i="9"/>
  <c r="H10" i="6"/>
  <c r="H10" i="8"/>
  <c r="H10" i="4"/>
  <c r="L13" i="6"/>
  <c r="L13" i="8"/>
  <c r="L13" i="4"/>
  <c r="J41" i="6"/>
  <c r="J41" i="4"/>
  <c r="J41" i="8"/>
  <c r="J15" i="9"/>
  <c r="Q23" i="6"/>
  <c r="Q23" i="8"/>
  <c r="Q23" i="4"/>
  <c r="J16" i="9"/>
  <c r="J12" i="4"/>
  <c r="J12" i="8"/>
  <c r="J12" i="6"/>
  <c r="H65" i="18"/>
  <c r="N11" i="10" s="1"/>
  <c r="G65" i="18"/>
  <c r="F65" i="18"/>
  <c r="L11" i="10" s="1"/>
  <c r="J65" i="18"/>
  <c r="P11" i="10" s="1"/>
  <c r="L65" i="18"/>
  <c r="R11" i="10" s="1"/>
  <c r="O54" i="18"/>
  <c r="K65" i="18"/>
  <c r="Q11" i="10" s="1"/>
  <c r="I65" i="18"/>
  <c r="O11" i="10" s="1"/>
  <c r="R25" i="6"/>
  <c r="R25" i="8"/>
  <c r="R25" i="4"/>
  <c r="P50" i="4"/>
  <c r="P50" i="6"/>
  <c r="P50" i="8"/>
  <c r="O28" i="18"/>
  <c r="Z21" i="9"/>
  <c r="G21" i="9"/>
  <c r="H21" i="8"/>
  <c r="H21" i="6"/>
  <c r="H21" i="4"/>
  <c r="B13" i="2" s="1"/>
  <c r="L50" i="8"/>
  <c r="L50" i="6"/>
  <c r="L50" i="4"/>
  <c r="O8" i="7"/>
  <c r="O8" i="5"/>
  <c r="O8" i="3"/>
  <c r="I47" i="6"/>
  <c r="I47" i="8"/>
  <c r="I51" i="9"/>
  <c r="I47" i="4"/>
  <c r="M15" i="10"/>
  <c r="O20" i="18"/>
  <c r="O64" i="18"/>
  <c r="G14" i="10"/>
  <c r="G42" i="4"/>
  <c r="G42" i="6"/>
  <c r="G42" i="8"/>
  <c r="G9" i="10"/>
  <c r="G17" i="6"/>
  <c r="G17" i="8"/>
  <c r="G17" i="4"/>
  <c r="I13" i="8"/>
  <c r="I13" i="4"/>
  <c r="I13" i="6"/>
  <c r="N25" i="8"/>
  <c r="N25" i="6"/>
  <c r="N25" i="4"/>
  <c r="O62" i="18"/>
  <c r="I50" i="8"/>
  <c r="I50" i="6"/>
  <c r="I50" i="4"/>
  <c r="N15" i="6"/>
  <c r="N15" i="4"/>
  <c r="N15" i="8"/>
  <c r="K40" i="8"/>
  <c r="K41" i="9"/>
  <c r="K40" i="6"/>
  <c r="K40" i="4"/>
  <c r="L25" i="8"/>
  <c r="L25" i="6"/>
  <c r="L25" i="4"/>
  <c r="J50" i="9"/>
  <c r="I15" i="6"/>
  <c r="I15" i="8"/>
  <c r="I15" i="4"/>
  <c r="O111" i="18"/>
  <c r="R41" i="4"/>
  <c r="H10" i="2" s="1"/>
  <c r="R41" i="6"/>
  <c r="R41" i="8"/>
  <c r="V35" i="4"/>
  <c r="V35" i="8"/>
  <c r="V35" i="6"/>
  <c r="T35" i="9"/>
  <c r="I11" i="6"/>
  <c r="I11" i="8"/>
  <c r="I11" i="4"/>
  <c r="C15" i="2" s="1"/>
  <c r="J46" i="4"/>
  <c r="J46" i="6"/>
  <c r="J46" i="8"/>
  <c r="R23" i="8"/>
  <c r="R23" i="4"/>
  <c r="R23" i="6"/>
  <c r="P12" i="8"/>
  <c r="P12" i="6"/>
  <c r="P12" i="4"/>
  <c r="P16" i="9"/>
  <c r="I10" i="7"/>
  <c r="I10" i="3"/>
  <c r="I10" i="5"/>
  <c r="I65" i="17"/>
  <c r="H65" i="17"/>
  <c r="I30" i="9" s="1"/>
  <c r="G65" i="17"/>
  <c r="Q65" i="17"/>
  <c r="R30" i="9" s="1"/>
  <c r="P65" i="17"/>
  <c r="Q30" i="9" s="1"/>
  <c r="O65" i="17"/>
  <c r="P30" i="9" s="1"/>
  <c r="K65" i="17"/>
  <c r="L30" i="9" s="1"/>
  <c r="N65" i="17"/>
  <c r="O30" i="9" s="1"/>
  <c r="M65" i="17"/>
  <c r="N30" i="9" s="1"/>
  <c r="L65" i="17"/>
  <c r="J65" i="17"/>
  <c r="F65" i="17"/>
  <c r="H25" i="8"/>
  <c r="H25" i="4"/>
  <c r="H25" i="6"/>
  <c r="I11" i="10"/>
  <c r="G29" i="4"/>
  <c r="G29" i="8"/>
  <c r="G29" i="6"/>
  <c r="N46" i="8"/>
  <c r="N46" i="6"/>
  <c r="N46" i="4"/>
  <c r="Q50" i="6"/>
  <c r="Q50" i="8"/>
  <c r="Q50" i="4"/>
  <c r="N56" i="6"/>
  <c r="N56" i="8"/>
  <c r="N56" i="4"/>
  <c r="N22" i="6"/>
  <c r="N26" i="9"/>
  <c r="N22" i="8"/>
  <c r="N22" i="4"/>
  <c r="Q46" i="8"/>
  <c r="Q46" i="6"/>
  <c r="Q46" i="4"/>
  <c r="Q15" i="5"/>
  <c r="Q15" i="3"/>
  <c r="Q15" i="7"/>
  <c r="V60" i="6"/>
  <c r="V60" i="4"/>
  <c r="V60" i="8"/>
  <c r="T60" i="9"/>
  <c r="I56" i="4"/>
  <c r="C8" i="2" s="1"/>
  <c r="I56" i="6"/>
  <c r="I56" i="8"/>
  <c r="O41" i="6"/>
  <c r="O41" i="4"/>
  <c r="F10" i="2" s="1"/>
  <c r="O41" i="8"/>
  <c r="G7" i="9"/>
  <c r="H11" i="9"/>
  <c r="H7" i="8"/>
  <c r="H7" i="4"/>
  <c r="H7" i="6"/>
  <c r="P13" i="4"/>
  <c r="P13" i="6"/>
  <c r="P13" i="8"/>
  <c r="H35" i="8"/>
  <c r="H35" i="6"/>
  <c r="H35" i="4"/>
  <c r="N36" i="4"/>
  <c r="N36" i="6"/>
  <c r="N36" i="8"/>
  <c r="R47" i="8"/>
  <c r="R47" i="6"/>
  <c r="R47" i="4"/>
  <c r="R51" i="9"/>
  <c r="T56" i="8"/>
  <c r="T56" i="6"/>
  <c r="T56" i="4"/>
  <c r="J8" i="2" s="1"/>
  <c r="I36" i="6"/>
  <c r="I36" i="8"/>
  <c r="I36" i="4"/>
  <c r="C16" i="2" s="1"/>
  <c r="I48" i="4"/>
  <c r="I48" i="6"/>
  <c r="I48" i="8"/>
  <c r="O13" i="6"/>
  <c r="O13" i="8"/>
  <c r="O13" i="4"/>
  <c r="J21" i="8"/>
  <c r="J21" i="6"/>
  <c r="J21" i="4"/>
  <c r="J10" i="6"/>
  <c r="J10" i="4"/>
  <c r="K10" i="9"/>
  <c r="J10" i="8"/>
  <c r="P21" i="6"/>
  <c r="P21" i="4"/>
  <c r="G13" i="2" s="1"/>
  <c r="P21" i="8"/>
  <c r="P23" i="6"/>
  <c r="P23" i="4"/>
  <c r="P23" i="8"/>
  <c r="L46" i="4"/>
  <c r="E9" i="2" s="1"/>
  <c r="L46" i="6"/>
  <c r="L46" i="8"/>
  <c r="O61" i="18"/>
  <c r="O60" i="18"/>
  <c r="M16" i="7"/>
  <c r="M16" i="5"/>
  <c r="M16" i="3"/>
  <c r="N13" i="6"/>
  <c r="N13" i="8"/>
  <c r="N13" i="4"/>
  <c r="L36" i="8"/>
  <c r="L36" i="6"/>
  <c r="L36" i="4"/>
  <c r="E16" i="2" s="1"/>
  <c r="R16" i="9"/>
  <c r="R12" i="6"/>
  <c r="R12" i="8"/>
  <c r="R12" i="4"/>
  <c r="P46" i="8"/>
  <c r="P46" i="4"/>
  <c r="G9" i="2" s="1"/>
  <c r="P46" i="6"/>
  <c r="N21" i="6"/>
  <c r="N21" i="8"/>
  <c r="N21" i="4"/>
  <c r="N65" i="16"/>
  <c r="O28" i="9" s="1"/>
  <c r="M65" i="16"/>
  <c r="N28" i="9" s="1"/>
  <c r="L65" i="16"/>
  <c r="Q65" i="16"/>
  <c r="R28" i="9" s="1"/>
  <c r="J65" i="16"/>
  <c r="P65" i="16"/>
  <c r="Q28" i="9" s="1"/>
  <c r="K65" i="16"/>
  <c r="L28" i="9" s="1"/>
  <c r="O65" i="16"/>
  <c r="P28" i="9" s="1"/>
  <c r="I65" i="16"/>
  <c r="H65" i="16"/>
  <c r="I28" i="9" s="1"/>
  <c r="G65" i="16"/>
  <c r="F65" i="16"/>
  <c r="J25" i="8"/>
  <c r="K25" i="9"/>
  <c r="J25" i="6"/>
  <c r="J25" i="4"/>
  <c r="R10" i="3"/>
  <c r="R10" i="5"/>
  <c r="R10" i="7"/>
  <c r="G52" i="8"/>
  <c r="G52" i="6"/>
  <c r="G52" i="4"/>
  <c r="G16" i="10"/>
  <c r="S31" i="4"/>
  <c r="I11" i="2" s="1"/>
  <c r="S31" i="8"/>
  <c r="S31" i="6"/>
  <c r="K21" i="9"/>
  <c r="K20" i="8"/>
  <c r="K20" i="4"/>
  <c r="K20" i="6"/>
  <c r="H41" i="6"/>
  <c r="Z41" i="9"/>
  <c r="G41" i="9"/>
  <c r="H41" i="4"/>
  <c r="B10" i="2" s="1"/>
  <c r="H41" i="8"/>
  <c r="L8" i="5"/>
  <c r="L8" i="7"/>
  <c r="L8" i="3"/>
  <c r="O110" i="18"/>
  <c r="O56" i="18"/>
  <c r="P41" i="8"/>
  <c r="P41" i="4"/>
  <c r="G10" i="2" s="1"/>
  <c r="P41" i="6"/>
  <c r="Q36" i="6"/>
  <c r="Q36" i="8"/>
  <c r="Q36" i="4"/>
  <c r="P11" i="8"/>
  <c r="P11" i="6"/>
  <c r="P11" i="4"/>
  <c r="G15" i="2" s="1"/>
  <c r="O16" i="9"/>
  <c r="O12" i="8"/>
  <c r="O12" i="4"/>
  <c r="O12" i="6"/>
  <c r="G37" i="6"/>
  <c r="G37" i="8"/>
  <c r="G37" i="4"/>
  <c r="G13" i="10"/>
  <c r="N48" i="6"/>
  <c r="N48" i="4"/>
  <c r="N48" i="8"/>
  <c r="O22" i="6"/>
  <c r="O26" i="9"/>
  <c r="O22" i="8"/>
  <c r="O22" i="4"/>
  <c r="O106" i="18"/>
  <c r="O102" i="18"/>
  <c r="O23" i="6"/>
  <c r="O23" i="4"/>
  <c r="O23" i="8"/>
  <c r="K55" i="9"/>
  <c r="G55" i="9" s="1"/>
  <c r="J55" i="8"/>
  <c r="J55" i="6"/>
  <c r="J55" i="4"/>
  <c r="N50" i="4"/>
  <c r="N50" i="8"/>
  <c r="N50" i="6"/>
  <c r="R11" i="8"/>
  <c r="R11" i="6"/>
  <c r="R11" i="4"/>
  <c r="H15" i="2" s="1"/>
  <c r="O105" i="18"/>
  <c r="H23" i="8"/>
  <c r="G23" i="9"/>
  <c r="H23" i="6"/>
  <c r="H23" i="4"/>
  <c r="T15" i="8"/>
  <c r="T15" i="4"/>
  <c r="T15" i="6"/>
  <c r="T16" i="9"/>
  <c r="H8" i="6"/>
  <c r="G8" i="9"/>
  <c r="H8" i="8"/>
  <c r="H8" i="4"/>
  <c r="Q21" i="8"/>
  <c r="Q21" i="4"/>
  <c r="Q21" i="6"/>
  <c r="L15" i="6"/>
  <c r="L15" i="8"/>
  <c r="L15" i="4"/>
  <c r="L51" i="9"/>
  <c r="L47" i="6"/>
  <c r="L47" i="4"/>
  <c r="L47" i="8"/>
  <c r="I21" i="8"/>
  <c r="I21" i="6"/>
  <c r="I21" i="4"/>
  <c r="C13" i="2" s="1"/>
  <c r="O51" i="9"/>
  <c r="O47" i="6"/>
  <c r="O47" i="8"/>
  <c r="O47" i="4"/>
  <c r="AA16" i="4"/>
  <c r="AA16" i="6"/>
  <c r="AA16" i="8"/>
  <c r="Q25" i="6"/>
  <c r="Q25" i="8"/>
  <c r="Q25" i="4"/>
  <c r="T122" i="14"/>
  <c r="L21" i="6"/>
  <c r="L21" i="8"/>
  <c r="L21" i="4"/>
  <c r="E13" i="2" s="1"/>
  <c r="U136" i="14"/>
  <c r="R139" i="14" s="1"/>
  <c r="N16" i="9"/>
  <c r="N12" i="8"/>
  <c r="N12" i="4"/>
  <c r="N12" i="6"/>
  <c r="I8" i="5"/>
  <c r="I8" i="3"/>
  <c r="I8" i="7"/>
  <c r="T45" i="8"/>
  <c r="T45" i="4"/>
  <c r="T45" i="6"/>
  <c r="T46" i="9"/>
  <c r="J22" i="6"/>
  <c r="J22" i="4"/>
  <c r="J22" i="8"/>
  <c r="J26" i="9"/>
  <c r="I61" i="8"/>
  <c r="I61" i="4"/>
  <c r="C17" i="2" s="1"/>
  <c r="I61" i="6"/>
  <c r="H56" i="9"/>
  <c r="R50" i="8"/>
  <c r="R50" i="6"/>
  <c r="R50" i="4"/>
  <c r="R61" i="8"/>
  <c r="R61" i="6"/>
  <c r="R61" i="4"/>
  <c r="H17" i="2" s="1"/>
  <c r="M8" i="10"/>
  <c r="O21" i="6"/>
  <c r="O21" i="8"/>
  <c r="O21" i="4"/>
  <c r="F13" i="2" s="1"/>
  <c r="O58" i="18"/>
  <c r="O56" i="8"/>
  <c r="O56" i="6"/>
  <c r="O56" i="4"/>
  <c r="F8" i="2" s="1"/>
  <c r="L15" i="3"/>
  <c r="L15" i="5"/>
  <c r="L15" i="7"/>
  <c r="L11" i="4"/>
  <c r="E15" i="2" s="1"/>
  <c r="L11" i="8"/>
  <c r="L11" i="6"/>
  <c r="J11" i="9"/>
  <c r="J16" i="10" l="1"/>
  <c r="G55" i="8"/>
  <c r="G55" i="4"/>
  <c r="G55" i="6"/>
  <c r="T16" i="8"/>
  <c r="T16" i="6"/>
  <c r="T16" i="4"/>
  <c r="J12" i="2" s="1"/>
  <c r="P31" i="9"/>
  <c r="P27" i="4"/>
  <c r="P27" i="8"/>
  <c r="P27" i="6"/>
  <c r="T46" i="6"/>
  <c r="T46" i="8"/>
  <c r="T46" i="4"/>
  <c r="J9" i="2" s="1"/>
  <c r="L51" i="8"/>
  <c r="L51" i="4"/>
  <c r="E14" i="2" s="1"/>
  <c r="L51" i="6"/>
  <c r="O30" i="8"/>
  <c r="O30" i="4"/>
  <c r="O30" i="6"/>
  <c r="G21" i="8"/>
  <c r="F9" i="10"/>
  <c r="G21" i="6"/>
  <c r="G21" i="4"/>
  <c r="N11" i="7"/>
  <c r="N11" i="3"/>
  <c r="N11" i="5"/>
  <c r="K35" i="9"/>
  <c r="J35" i="8"/>
  <c r="J35" i="4"/>
  <c r="J35" i="6"/>
  <c r="J36" i="9"/>
  <c r="J9" i="3"/>
  <c r="J9" i="5"/>
  <c r="J9" i="7"/>
  <c r="M8" i="5"/>
  <c r="M8" i="7"/>
  <c r="M8" i="3"/>
  <c r="G23" i="8"/>
  <c r="G23" i="4"/>
  <c r="H10" i="10"/>
  <c r="G23" i="6"/>
  <c r="O16" i="4"/>
  <c r="F12" i="2" s="1"/>
  <c r="O16" i="8"/>
  <c r="O16" i="6"/>
  <c r="M10" i="2"/>
  <c r="N28" i="8"/>
  <c r="N28" i="4"/>
  <c r="N28" i="6"/>
  <c r="L30" i="8"/>
  <c r="L30" i="4"/>
  <c r="L30" i="6"/>
  <c r="Z21" i="8"/>
  <c r="Z21" i="6"/>
  <c r="Z21" i="4"/>
  <c r="Q16" i="8"/>
  <c r="Q16" i="4"/>
  <c r="Q16" i="6"/>
  <c r="T11" i="8"/>
  <c r="T11" i="4"/>
  <c r="J15" i="2" s="1"/>
  <c r="T11" i="6"/>
  <c r="H36" i="9"/>
  <c r="H32" i="8"/>
  <c r="G32" i="9"/>
  <c r="H32" i="4"/>
  <c r="H32" i="6"/>
  <c r="G48" i="9"/>
  <c r="H48" i="6"/>
  <c r="H48" i="4"/>
  <c r="H48" i="8"/>
  <c r="K46" i="6"/>
  <c r="K46" i="4"/>
  <c r="D9" i="2" s="1"/>
  <c r="M9" i="2" s="1"/>
  <c r="K46" i="8"/>
  <c r="G8" i="10"/>
  <c r="G12" i="6"/>
  <c r="G12" i="8"/>
  <c r="G12" i="4"/>
  <c r="G41" i="4"/>
  <c r="F13" i="10"/>
  <c r="G41" i="8"/>
  <c r="G41" i="6"/>
  <c r="O28" i="8"/>
  <c r="O28" i="4"/>
  <c r="O28" i="6"/>
  <c r="K11" i="9"/>
  <c r="Z11" i="9" s="1"/>
  <c r="K10" i="6"/>
  <c r="K10" i="4"/>
  <c r="K10" i="8"/>
  <c r="P30" i="8"/>
  <c r="P30" i="4"/>
  <c r="P30" i="6"/>
  <c r="M15" i="7"/>
  <c r="M15" i="3"/>
  <c r="M15" i="5"/>
  <c r="G22" i="8"/>
  <c r="G22" i="6"/>
  <c r="G22" i="4"/>
  <c r="G10" i="10"/>
  <c r="H16" i="8"/>
  <c r="H16" i="6"/>
  <c r="H16" i="4"/>
  <c r="B12" i="2" s="1"/>
  <c r="M17" i="7"/>
  <c r="M17" i="5"/>
  <c r="M17" i="3"/>
  <c r="D10" i="2"/>
  <c r="G16" i="7"/>
  <c r="G16" i="3"/>
  <c r="G16" i="5"/>
  <c r="O27" i="6"/>
  <c r="O27" i="8"/>
  <c r="O27" i="4"/>
  <c r="O31" i="9"/>
  <c r="R26" i="6"/>
  <c r="R26" i="4"/>
  <c r="H7" i="2" s="1"/>
  <c r="R26" i="8"/>
  <c r="L11" i="7"/>
  <c r="L11" i="3"/>
  <c r="L11" i="5"/>
  <c r="M12" i="7"/>
  <c r="M12" i="3"/>
  <c r="M12" i="5"/>
  <c r="N30" i="8"/>
  <c r="N30" i="6"/>
  <c r="N30" i="4"/>
  <c r="K50" i="9"/>
  <c r="J50" i="8"/>
  <c r="J50" i="6"/>
  <c r="J50" i="4"/>
  <c r="R30" i="4"/>
  <c r="R30" i="6"/>
  <c r="R30" i="8"/>
  <c r="I51" i="8"/>
  <c r="I51" i="6"/>
  <c r="I51" i="4"/>
  <c r="C14" i="2" s="1"/>
  <c r="O26" i="6"/>
  <c r="O26" i="4"/>
  <c r="F7" i="2" s="1"/>
  <c r="O26" i="8"/>
  <c r="K26" i="9"/>
  <c r="K25" i="4"/>
  <c r="K25" i="8"/>
  <c r="K25" i="6"/>
  <c r="H11" i="6"/>
  <c r="H11" i="8"/>
  <c r="H11" i="4"/>
  <c r="B15" i="2" s="1"/>
  <c r="G7" i="10"/>
  <c r="G7" i="8"/>
  <c r="G7" i="4"/>
  <c r="G7" i="6"/>
  <c r="R17" i="7"/>
  <c r="R17" i="5"/>
  <c r="R17" i="3"/>
  <c r="H47" i="4"/>
  <c r="H47" i="8"/>
  <c r="H51" i="9"/>
  <c r="H47" i="6"/>
  <c r="G47" i="9"/>
  <c r="H58" i="8"/>
  <c r="G58" i="9"/>
  <c r="H58" i="4"/>
  <c r="H58" i="6"/>
  <c r="I11" i="7"/>
  <c r="I11" i="5"/>
  <c r="I11" i="3"/>
  <c r="J30" i="9"/>
  <c r="L27" i="6"/>
  <c r="L27" i="8"/>
  <c r="L31" i="9"/>
  <c r="L27" i="4"/>
  <c r="H9" i="7"/>
  <c r="H9" i="5"/>
  <c r="H9" i="3"/>
  <c r="J51" i="9"/>
  <c r="R15" i="7"/>
  <c r="R15" i="5"/>
  <c r="R15" i="3"/>
  <c r="H13" i="7"/>
  <c r="H13" i="3"/>
  <c r="H13" i="5"/>
  <c r="H14" i="7"/>
  <c r="H14" i="5"/>
  <c r="H14" i="3"/>
  <c r="P28" i="6"/>
  <c r="P28" i="8"/>
  <c r="P28" i="4"/>
  <c r="J26" i="8"/>
  <c r="J26" i="4"/>
  <c r="J26" i="6"/>
  <c r="N31" i="9"/>
  <c r="N27" i="4"/>
  <c r="N27" i="6"/>
  <c r="N27" i="8"/>
  <c r="K55" i="8"/>
  <c r="K56" i="9"/>
  <c r="K55" i="6"/>
  <c r="K55" i="4"/>
  <c r="T60" i="6"/>
  <c r="T60" i="4"/>
  <c r="T60" i="8"/>
  <c r="T61" i="9"/>
  <c r="P11" i="7"/>
  <c r="P11" i="5"/>
  <c r="P11" i="3"/>
  <c r="I26" i="8"/>
  <c r="I26" i="4"/>
  <c r="C7" i="2" s="1"/>
  <c r="I26" i="6"/>
  <c r="F14" i="10"/>
  <c r="G46" i="8"/>
  <c r="G46" i="6"/>
  <c r="G46" i="4"/>
  <c r="R27" i="6"/>
  <c r="R31" i="9"/>
  <c r="R27" i="8"/>
  <c r="R27" i="4"/>
  <c r="Q30" i="6"/>
  <c r="Q30" i="8"/>
  <c r="Q30" i="4"/>
  <c r="G10" i="8"/>
  <c r="G10" i="6"/>
  <c r="G10" i="4"/>
  <c r="J7" i="10"/>
  <c r="H30" i="9"/>
  <c r="H60" i="6"/>
  <c r="H60" i="4"/>
  <c r="H60" i="8"/>
  <c r="H50" i="8"/>
  <c r="G50" i="9"/>
  <c r="H50" i="6"/>
  <c r="H50" i="4"/>
  <c r="G56" i="9"/>
  <c r="Z56" i="9"/>
  <c r="H56" i="8"/>
  <c r="H56" i="4"/>
  <c r="B8" i="2" s="1"/>
  <c r="H56" i="6"/>
  <c r="K21" i="8"/>
  <c r="K21" i="6"/>
  <c r="K21" i="4"/>
  <c r="H28" i="9"/>
  <c r="G25" i="9"/>
  <c r="T35" i="8"/>
  <c r="T35" i="4"/>
  <c r="T35" i="6"/>
  <c r="T36" i="9"/>
  <c r="O57" i="18"/>
  <c r="H27" i="9"/>
  <c r="P51" i="6"/>
  <c r="P51" i="4"/>
  <c r="G14" i="2" s="1"/>
  <c r="P51" i="8"/>
  <c r="N51" i="6"/>
  <c r="N51" i="8"/>
  <c r="N51" i="4"/>
  <c r="I16" i="6"/>
  <c r="I16" i="4"/>
  <c r="C12" i="2" s="1"/>
  <c r="I16" i="8"/>
  <c r="O55" i="18"/>
  <c r="P16" i="8"/>
  <c r="P16" i="4"/>
  <c r="G12" i="2" s="1"/>
  <c r="P16" i="6"/>
  <c r="G9" i="7"/>
  <c r="G9" i="3"/>
  <c r="G9" i="5"/>
  <c r="L28" i="8"/>
  <c r="L28" i="4"/>
  <c r="L28" i="6"/>
  <c r="M13" i="2"/>
  <c r="Q51" i="8"/>
  <c r="Q51" i="6"/>
  <c r="Q51" i="4"/>
  <c r="L16" i="6"/>
  <c r="L16" i="4"/>
  <c r="E12" i="2" s="1"/>
  <c r="L16" i="8"/>
  <c r="R28" i="6"/>
  <c r="R28" i="4"/>
  <c r="R28" i="8"/>
  <c r="G14" i="5"/>
  <c r="G14" i="3"/>
  <c r="G14" i="7"/>
  <c r="K60" i="9"/>
  <c r="J60" i="4"/>
  <c r="J60" i="8"/>
  <c r="J60" i="6"/>
  <c r="J61" i="9"/>
  <c r="J16" i="4"/>
  <c r="J16" i="8"/>
  <c r="J16" i="6"/>
  <c r="J14" i="10"/>
  <c r="G45" i="6"/>
  <c r="G45" i="8"/>
  <c r="G45" i="4"/>
  <c r="P26" i="4"/>
  <c r="G7" i="2" s="1"/>
  <c r="P26" i="8"/>
  <c r="P26" i="6"/>
  <c r="D13" i="2"/>
  <c r="O51" i="4"/>
  <c r="F14" i="2" s="1"/>
  <c r="O51" i="6"/>
  <c r="O51" i="8"/>
  <c r="G8" i="6"/>
  <c r="G8" i="8"/>
  <c r="H7" i="10"/>
  <c r="G8" i="4"/>
  <c r="I28" i="8"/>
  <c r="I28" i="4"/>
  <c r="I28" i="6"/>
  <c r="N26" i="8"/>
  <c r="N26" i="6"/>
  <c r="N26" i="4"/>
  <c r="K41" i="8"/>
  <c r="K41" i="6"/>
  <c r="K41" i="4"/>
  <c r="O11" i="7"/>
  <c r="O11" i="3"/>
  <c r="O11" i="5"/>
  <c r="J15" i="6"/>
  <c r="J15" i="8"/>
  <c r="J15" i="4"/>
  <c r="K15" i="9"/>
  <c r="I31" i="9"/>
  <c r="I27" i="8"/>
  <c r="I27" i="6"/>
  <c r="I27" i="4"/>
  <c r="L26" i="8"/>
  <c r="L26" i="6"/>
  <c r="L26" i="4"/>
  <c r="E7" i="2" s="1"/>
  <c r="H8" i="10"/>
  <c r="G13" i="6"/>
  <c r="G13" i="4"/>
  <c r="G13" i="8"/>
  <c r="AA26" i="8"/>
  <c r="AA26" i="4"/>
  <c r="AA26" i="6"/>
  <c r="G53" i="6"/>
  <c r="H16" i="10"/>
  <c r="G53" i="8"/>
  <c r="G53" i="4"/>
  <c r="V30" i="6"/>
  <c r="V30" i="8"/>
  <c r="V30" i="4"/>
  <c r="T30" i="9"/>
  <c r="AA31" i="4"/>
  <c r="AA31" i="8"/>
  <c r="AA31" i="6"/>
  <c r="R16" i="8"/>
  <c r="R16" i="4"/>
  <c r="H12" i="2" s="1"/>
  <c r="R16" i="6"/>
  <c r="R11" i="5"/>
  <c r="R11" i="7"/>
  <c r="R11" i="3"/>
  <c r="Q28" i="6"/>
  <c r="Q28" i="4"/>
  <c r="Q28" i="8"/>
  <c r="Q31" i="9"/>
  <c r="T50" i="6"/>
  <c r="T50" i="8"/>
  <c r="T50" i="4"/>
  <c r="T51" i="9"/>
  <c r="M11" i="10"/>
  <c r="J11" i="6"/>
  <c r="J11" i="8"/>
  <c r="J11" i="4"/>
  <c r="Z41" i="8"/>
  <c r="Z41" i="4"/>
  <c r="Z41" i="6"/>
  <c r="H26" i="8"/>
  <c r="H26" i="4"/>
  <c r="B7" i="2" s="1"/>
  <c r="H26" i="6"/>
  <c r="R51" i="6"/>
  <c r="R51" i="4"/>
  <c r="H14" i="2" s="1"/>
  <c r="R51" i="8"/>
  <c r="G57" i="9"/>
  <c r="H57" i="8"/>
  <c r="H57" i="6"/>
  <c r="H57" i="4"/>
  <c r="H61" i="9"/>
  <c r="J13" i="3"/>
  <c r="J13" i="5"/>
  <c r="J13" i="7"/>
  <c r="I30" i="4"/>
  <c r="I30" i="8"/>
  <c r="I30" i="6"/>
  <c r="N16" i="8"/>
  <c r="N16" i="6"/>
  <c r="N16" i="4"/>
  <c r="G13" i="7"/>
  <c r="G13" i="3"/>
  <c r="G13" i="5"/>
  <c r="Q11" i="3"/>
  <c r="Q11" i="7"/>
  <c r="Q11" i="5"/>
  <c r="J31" i="9"/>
  <c r="J27" i="8"/>
  <c r="J27" i="6"/>
  <c r="J27" i="4"/>
  <c r="G15" i="9"/>
  <c r="Z46" i="9"/>
  <c r="G33" i="8"/>
  <c r="G33" i="6"/>
  <c r="G33" i="4"/>
  <c r="H12" i="10"/>
  <c r="Z11" i="4" l="1"/>
  <c r="Z11" i="6"/>
  <c r="Z11" i="8"/>
  <c r="H10" i="7"/>
  <c r="H10" i="3"/>
  <c r="H10" i="5"/>
  <c r="G17" i="10"/>
  <c r="G57" i="8"/>
  <c r="G57" i="6"/>
  <c r="G57" i="4"/>
  <c r="T51" i="8"/>
  <c r="T51" i="6"/>
  <c r="T51" i="4"/>
  <c r="J14" i="2" s="1"/>
  <c r="T36" i="6"/>
  <c r="T36" i="4"/>
  <c r="J16" i="2" s="1"/>
  <c r="T36" i="8"/>
  <c r="G50" i="8"/>
  <c r="J15" i="10"/>
  <c r="G50" i="6"/>
  <c r="G50" i="4"/>
  <c r="J30" i="4"/>
  <c r="K30" i="9"/>
  <c r="J30" i="6"/>
  <c r="J30" i="8"/>
  <c r="T30" i="6"/>
  <c r="T30" i="8"/>
  <c r="T30" i="4"/>
  <c r="T31" i="9"/>
  <c r="R31" i="6"/>
  <c r="R31" i="8"/>
  <c r="R31" i="4"/>
  <c r="H11" i="2" s="1"/>
  <c r="P31" i="8"/>
  <c r="P31" i="6"/>
  <c r="P31" i="4"/>
  <c r="G11" i="2" s="1"/>
  <c r="K60" i="8"/>
  <c r="K60" i="4"/>
  <c r="K61" i="9"/>
  <c r="G61" i="9" s="1"/>
  <c r="K60" i="6"/>
  <c r="L31" i="6"/>
  <c r="L31" i="4"/>
  <c r="E11" i="2" s="1"/>
  <c r="L31" i="8"/>
  <c r="G8" i="7"/>
  <c r="G8" i="5"/>
  <c r="G8" i="3"/>
  <c r="H8" i="7"/>
  <c r="H8" i="3"/>
  <c r="H8" i="5"/>
  <c r="G25" i="8"/>
  <c r="G25" i="4"/>
  <c r="J10" i="10"/>
  <c r="G25" i="6"/>
  <c r="J14" i="7"/>
  <c r="J14" i="5"/>
  <c r="J14" i="3"/>
  <c r="G28" i="9"/>
  <c r="H28" i="8"/>
  <c r="H28" i="4"/>
  <c r="H28" i="6"/>
  <c r="G48" i="6"/>
  <c r="G48" i="4"/>
  <c r="G48" i="8"/>
  <c r="H15" i="10"/>
  <c r="H36" i="8"/>
  <c r="H36" i="6"/>
  <c r="H36" i="4"/>
  <c r="B16" i="2" s="1"/>
  <c r="G36" i="9"/>
  <c r="H61" i="6"/>
  <c r="Z61" i="9"/>
  <c r="H61" i="4"/>
  <c r="B17" i="2" s="1"/>
  <c r="H61" i="8"/>
  <c r="Z56" i="8"/>
  <c r="Z56" i="6"/>
  <c r="Z56" i="4"/>
  <c r="K26" i="8"/>
  <c r="K26" i="4"/>
  <c r="D7" i="2" s="1"/>
  <c r="M7" i="2" s="1"/>
  <c r="K26" i="6"/>
  <c r="K36" i="9"/>
  <c r="Z36" i="9" s="1"/>
  <c r="K35" i="4"/>
  <c r="K35" i="8"/>
  <c r="K35" i="6"/>
  <c r="G35" i="9"/>
  <c r="G7" i="5"/>
  <c r="G7" i="3"/>
  <c r="G7" i="7"/>
  <c r="Z26" i="9"/>
  <c r="I31" i="6"/>
  <c r="I31" i="4"/>
  <c r="C11" i="2" s="1"/>
  <c r="I31" i="8"/>
  <c r="G30" i="9"/>
  <c r="H30" i="4"/>
  <c r="H30" i="8"/>
  <c r="H30" i="6"/>
  <c r="F14" i="7"/>
  <c r="F14" i="5"/>
  <c r="F14" i="3"/>
  <c r="H17" i="10"/>
  <c r="G58" i="6"/>
  <c r="G58" i="8"/>
  <c r="G58" i="4"/>
  <c r="O31" i="8"/>
  <c r="O31" i="6"/>
  <c r="O31" i="4"/>
  <c r="F11" i="2" s="1"/>
  <c r="G10" i="7"/>
  <c r="G10" i="5"/>
  <c r="G10" i="3"/>
  <c r="T61" i="6"/>
  <c r="T61" i="8"/>
  <c r="T61" i="4"/>
  <c r="J17" i="2" s="1"/>
  <c r="H31" i="9"/>
  <c r="H27" i="8"/>
  <c r="H27" i="6"/>
  <c r="G27" i="9"/>
  <c r="H27" i="4"/>
  <c r="K56" i="4"/>
  <c r="D8" i="2" s="1"/>
  <c r="M8" i="2" s="1"/>
  <c r="K56" i="6"/>
  <c r="K56" i="8"/>
  <c r="Q31" i="8"/>
  <c r="Q31" i="6"/>
  <c r="Q31" i="4"/>
  <c r="Z46" i="8"/>
  <c r="Z46" i="4"/>
  <c r="Z46" i="6"/>
  <c r="H16" i="7"/>
  <c r="H16" i="3"/>
  <c r="H16" i="5"/>
  <c r="K16" i="9"/>
  <c r="K15" i="6"/>
  <c r="K15" i="8"/>
  <c r="K15" i="4"/>
  <c r="G11" i="9"/>
  <c r="H51" i="8"/>
  <c r="Z51" i="9"/>
  <c r="H51" i="4"/>
  <c r="B14" i="2" s="1"/>
  <c r="H51" i="6"/>
  <c r="G51" i="9"/>
  <c r="J31" i="4"/>
  <c r="J31" i="6"/>
  <c r="J31" i="8"/>
  <c r="F16" i="10"/>
  <c r="G56" i="4"/>
  <c r="G56" i="8"/>
  <c r="G56" i="6"/>
  <c r="H12" i="7"/>
  <c r="H12" i="5"/>
  <c r="H12" i="3"/>
  <c r="G26" i="9"/>
  <c r="G60" i="9"/>
  <c r="J8" i="10"/>
  <c r="G15" i="8"/>
  <c r="G15" i="4"/>
  <c r="G15" i="6"/>
  <c r="H7" i="7"/>
  <c r="H7" i="3"/>
  <c r="H7" i="5"/>
  <c r="J7" i="7"/>
  <c r="J7" i="3"/>
  <c r="J7" i="5"/>
  <c r="N31" i="8"/>
  <c r="N31" i="4"/>
  <c r="N31" i="6"/>
  <c r="J51" i="8"/>
  <c r="J51" i="6"/>
  <c r="J51" i="4"/>
  <c r="G15" i="10"/>
  <c r="G47" i="8"/>
  <c r="G47" i="6"/>
  <c r="G47" i="4"/>
  <c r="G12" i="10"/>
  <c r="G32" i="4"/>
  <c r="G32" i="6"/>
  <c r="G32" i="8"/>
  <c r="J36" i="8"/>
  <c r="J36" i="6"/>
  <c r="J36" i="4"/>
  <c r="M11" i="7"/>
  <c r="M11" i="5"/>
  <c r="M11" i="3"/>
  <c r="F9" i="7"/>
  <c r="F9" i="3"/>
  <c r="F9" i="5"/>
  <c r="K11" i="8"/>
  <c r="K11" i="6"/>
  <c r="K11" i="4"/>
  <c r="D15" i="2" s="1"/>
  <c r="M15" i="2" s="1"/>
  <c r="J61" i="6"/>
  <c r="J61" i="8"/>
  <c r="J61" i="4"/>
  <c r="K51" i="9"/>
  <c r="K50" i="8"/>
  <c r="K50" i="4"/>
  <c r="K50" i="6"/>
  <c r="F13" i="7"/>
  <c r="F13" i="5"/>
  <c r="F13" i="3"/>
  <c r="J16" i="7"/>
  <c r="J16" i="5"/>
  <c r="J16" i="3"/>
  <c r="G61" i="8" l="1"/>
  <c r="F17" i="10"/>
  <c r="G61" i="6"/>
  <c r="G61" i="4"/>
  <c r="Z36" i="6"/>
  <c r="Z36" i="4"/>
  <c r="Z36" i="8"/>
  <c r="J8" i="5"/>
  <c r="J8" i="7"/>
  <c r="J8" i="3"/>
  <c r="Z51" i="8"/>
  <c r="Z51" i="4"/>
  <c r="Z51" i="6"/>
  <c r="J17" i="10"/>
  <c r="G60" i="8"/>
  <c r="G60" i="6"/>
  <c r="G60" i="4"/>
  <c r="G26" i="8"/>
  <c r="G26" i="4"/>
  <c r="G26" i="6"/>
  <c r="F10" i="10"/>
  <c r="F7" i="10"/>
  <c r="G11" i="4"/>
  <c r="G11" i="6"/>
  <c r="G11" i="8"/>
  <c r="Z26" i="8"/>
  <c r="Z26" i="4"/>
  <c r="Z26" i="6"/>
  <c r="M17" i="2"/>
  <c r="H11" i="10"/>
  <c r="G28" i="8"/>
  <c r="G28" i="4"/>
  <c r="G28" i="6"/>
  <c r="G35" i="8"/>
  <c r="G35" i="6"/>
  <c r="J12" i="10"/>
  <c r="G35" i="4"/>
  <c r="K51" i="8"/>
  <c r="K51" i="6"/>
  <c r="K51" i="4"/>
  <c r="D14" i="2" s="1"/>
  <c r="M14" i="2" s="1"/>
  <c r="Z31" i="9"/>
  <c r="G31" i="9"/>
  <c r="H31" i="8"/>
  <c r="H31" i="6"/>
  <c r="H31" i="4"/>
  <c r="B11" i="2" s="1"/>
  <c r="J10" i="7"/>
  <c r="J10" i="3"/>
  <c r="J10" i="5"/>
  <c r="G51" i="8"/>
  <c r="G51" i="4"/>
  <c r="G51" i="6"/>
  <c r="F15" i="10"/>
  <c r="G30" i="8"/>
  <c r="G30" i="4"/>
  <c r="J11" i="10"/>
  <c r="G30" i="6"/>
  <c r="G15" i="3"/>
  <c r="G15" i="5"/>
  <c r="G15" i="7"/>
  <c r="T31" i="6"/>
  <c r="T31" i="8"/>
  <c r="T31" i="4"/>
  <c r="J11" i="2" s="1"/>
  <c r="Z61" i="8"/>
  <c r="Z61" i="4"/>
  <c r="Z61" i="6"/>
  <c r="G17" i="7"/>
  <c r="G17" i="3"/>
  <c r="G17" i="5"/>
  <c r="F12" i="10"/>
  <c r="G36" i="6"/>
  <c r="G36" i="8"/>
  <c r="G36" i="4"/>
  <c r="D17" i="2"/>
  <c r="F16" i="7"/>
  <c r="F16" i="3"/>
  <c r="F16" i="5"/>
  <c r="K61" i="4"/>
  <c r="K61" i="6"/>
  <c r="K61" i="8"/>
  <c r="K16" i="6"/>
  <c r="K16" i="8"/>
  <c r="K16" i="4"/>
  <c r="D12" i="2" s="1"/>
  <c r="M12" i="2" s="1"/>
  <c r="Z16" i="9"/>
  <c r="G16" i="9"/>
  <c r="K36" i="8"/>
  <c r="K36" i="6"/>
  <c r="K36" i="4"/>
  <c r="J15" i="3"/>
  <c r="J15" i="7"/>
  <c r="J15" i="5"/>
  <c r="D16" i="2"/>
  <c r="M16" i="2" s="1"/>
  <c r="G11" i="10"/>
  <c r="G27" i="8"/>
  <c r="G27" i="6"/>
  <c r="G27" i="4"/>
  <c r="K31" i="9"/>
  <c r="K30" i="8"/>
  <c r="K30" i="4"/>
  <c r="K30" i="6"/>
  <c r="H17" i="7"/>
  <c r="H17" i="5"/>
  <c r="H17" i="3"/>
  <c r="G12" i="7"/>
  <c r="G12" i="5"/>
  <c r="G12" i="3"/>
  <c r="H15" i="3"/>
  <c r="H15" i="7"/>
  <c r="H15" i="5"/>
  <c r="J11" i="7" l="1"/>
  <c r="J11" i="3"/>
  <c r="J11" i="5"/>
  <c r="F12" i="7"/>
  <c r="F12" i="3"/>
  <c r="F12" i="5"/>
  <c r="Z31" i="8"/>
  <c r="Z31" i="6"/>
  <c r="Z31" i="4"/>
  <c r="F8" i="10"/>
  <c r="G16" i="8"/>
  <c r="G16" i="4"/>
  <c r="G16" i="6"/>
  <c r="F10" i="5"/>
  <c r="F10" i="3"/>
  <c r="F10" i="7"/>
  <c r="H11" i="3"/>
  <c r="H11" i="7"/>
  <c r="H11" i="5"/>
  <c r="G11" i="7"/>
  <c r="G11" i="5"/>
  <c r="G11" i="3"/>
  <c r="J17" i="5"/>
  <c r="J17" i="3"/>
  <c r="J17" i="7"/>
  <c r="G31" i="8"/>
  <c r="F11" i="10"/>
  <c r="G31" i="6"/>
  <c r="G31" i="4"/>
  <c r="F7" i="5"/>
  <c r="F7" i="3"/>
  <c r="F7" i="7"/>
  <c r="F17" i="7"/>
  <c r="F17" i="3"/>
  <c r="F17" i="5"/>
  <c r="F15" i="7"/>
  <c r="F15" i="3"/>
  <c r="F15" i="5"/>
  <c r="Z16" i="6"/>
  <c r="Z16" i="8"/>
  <c r="Z16" i="4"/>
  <c r="J12" i="5"/>
  <c r="J12" i="3"/>
  <c r="J12" i="7"/>
  <c r="K31" i="4"/>
  <c r="D11" i="2" s="1"/>
  <c r="M11" i="2" s="1"/>
  <c r="K31" i="8"/>
  <c r="K31" i="6"/>
  <c r="F11" i="7" l="1"/>
  <c r="F11" i="5"/>
  <c r="F11" i="3"/>
  <c r="F8" i="7"/>
  <c r="F8" i="3"/>
  <c r="F8" i="5"/>
</calcChain>
</file>

<file path=xl/sharedStrings.xml><?xml version="1.0" encoding="utf-8"?>
<sst xmlns="http://schemas.openxmlformats.org/spreadsheetml/2006/main" count="5284" uniqueCount="601">
  <si>
    <t>Footprints (per kg of offal)</t>
  </si>
  <si>
    <t>* Adjusted for manure</t>
  </si>
  <si>
    <t>Animal products</t>
  </si>
  <si>
    <t>Climate</t>
  </si>
  <si>
    <t>Land</t>
  </si>
  <si>
    <t>Nitrogen*</t>
  </si>
  <si>
    <t>Phosphorus</t>
  </si>
  <si>
    <t>Water</t>
  </si>
  <si>
    <t>Pesticides</t>
  </si>
  <si>
    <t>Biodiversity</t>
  </si>
  <si>
    <t>Ammonia</t>
  </si>
  <si>
    <t>Labour</t>
  </si>
  <si>
    <t>Animal welfare</t>
  </si>
  <si>
    <t>Use of antibiotics</t>
  </si>
  <si>
    <t>Code</t>
  </si>
  <si>
    <t>Name</t>
  </si>
  <si>
    <t>Category</t>
  </si>
  <si>
    <t>Country</t>
  </si>
  <si>
    <t>Country code</t>
  </si>
  <si>
    <t>Carbon footprint, kg CO2e/kg</t>
  </si>
  <si>
    <t>Carbon dioxide, kg CO2/kg</t>
  </si>
  <si>
    <t>Methane, fossil, kg CH4/kg</t>
  </si>
  <si>
    <t>Methane, biogenic, kg CH4/kg</t>
  </si>
  <si>
    <t>Nitrous oxide, kg N2O/kg</t>
  </si>
  <si>
    <t>HFCs, kg HFCs/kg</t>
  </si>
  <si>
    <t>Cropland use, m2/kg</t>
  </si>
  <si>
    <t>New N input, kg N/kg</t>
  </si>
  <si>
    <t>New P input, kg P/kg</t>
  </si>
  <si>
    <t>Blue freshwater use, m3/kg</t>
  </si>
  <si>
    <t>Pesticide use,             g a.i./kg</t>
  </si>
  <si>
    <t>Extinction rate, E/MSY/kg</t>
  </si>
  <si>
    <t>Ammonia emission, kg NH3/kg</t>
  </si>
  <si>
    <t>Labour requirements, h/kg</t>
  </si>
  <si>
    <t>Animal welfare index per kg of bonefree meat</t>
  </si>
  <si>
    <t>Antibiotics use indicator/kg</t>
  </si>
  <si>
    <t>21153</t>
  </si>
  <si>
    <t>Edible offal of pigs, fresh, chilled or frozen</t>
  </si>
  <si>
    <t>Offals</t>
  </si>
  <si>
    <t xml:space="preserve">Denmark </t>
  </si>
  <si>
    <t>DK</t>
  </si>
  <si>
    <t>France</t>
  </si>
  <si>
    <t>FR</t>
  </si>
  <si>
    <t>Germany</t>
  </si>
  <si>
    <t>DE</t>
  </si>
  <si>
    <t>Greece</t>
  </si>
  <si>
    <t>GR</t>
  </si>
  <si>
    <t xml:space="preserve">Hungary </t>
  </si>
  <si>
    <t>HU</t>
  </si>
  <si>
    <t>Ireland</t>
  </si>
  <si>
    <t>IE</t>
  </si>
  <si>
    <t>Italy</t>
  </si>
  <si>
    <t>IT</t>
  </si>
  <si>
    <t>Netherlands</t>
  </si>
  <si>
    <t>NL</t>
  </si>
  <si>
    <t>Poland</t>
  </si>
  <si>
    <t>PL</t>
  </si>
  <si>
    <t>Spain</t>
  </si>
  <si>
    <t>ES</t>
  </si>
  <si>
    <t>Sweden</t>
  </si>
  <si>
    <t>SE</t>
  </si>
  <si>
    <t>Info</t>
  </si>
  <si>
    <t>This is a file that contains the calculation of the footprints for pork.</t>
  </si>
  <si>
    <t>Color codes for tabs:</t>
  </si>
  <si>
    <t>Results</t>
  </si>
  <si>
    <t>Tabs for input</t>
  </si>
  <si>
    <t>Intermediate calculations</t>
  </si>
  <si>
    <t>Figures</t>
  </si>
  <si>
    <t>Greenhouse gas emission for bonefree pig meat across countries, to farmgate including slaughter, no waste</t>
  </si>
  <si>
    <t>Production of mineral fertilizer</t>
  </si>
  <si>
    <t xml:space="preserve">Production of capital goods </t>
  </si>
  <si>
    <t xml:space="preserve">Emissions from soil </t>
  </si>
  <si>
    <t>Diesel use field machinary</t>
  </si>
  <si>
    <t>Energy use for feed processing</t>
  </si>
  <si>
    <t>Land use change emissions</t>
  </si>
  <si>
    <t>Feed transports</t>
  </si>
  <si>
    <t>Enteric fermentation</t>
  </si>
  <si>
    <t>Manure management</t>
  </si>
  <si>
    <t>Energy use in stables</t>
  </si>
  <si>
    <t>Energy use for slaughter</t>
  </si>
  <si>
    <t>Tot</t>
  </si>
  <si>
    <t>Order this study:</t>
  </si>
  <si>
    <t>Order Lesschen:</t>
  </si>
  <si>
    <t>Hungary</t>
  </si>
  <si>
    <t>Denmark</t>
  </si>
  <si>
    <t>Explanation:</t>
  </si>
  <si>
    <t xml:space="preserve"> - We include slaugthering that gives a high value for Poland</t>
  </si>
  <si>
    <t xml:space="preserve"> - Ireland has only liquid manure and a lower MCF</t>
  </si>
  <si>
    <t xml:space="preserve"> - Italy has also only liquid manure but a much higher MCF</t>
  </si>
  <si>
    <t xml:space="preserve"> - France and Greece also has very high MCF</t>
  </si>
  <si>
    <t xml:space="preserve"> - Hungary (and Italy, Spain, Greece) has low emissions from feed because of lower N2O-factors (dry climate)</t>
  </si>
  <si>
    <t>Water use</t>
  </si>
  <si>
    <t>Notes:</t>
  </si>
  <si>
    <t>https://www.fao.org/3/I8686EN/i8686en.pdf</t>
  </si>
  <si>
    <t>Footprints (per kg of bonefree meat)</t>
  </si>
  <si>
    <t>21113.02</t>
  </si>
  <si>
    <t>Pig meat</t>
  </si>
  <si>
    <t>Red meat</t>
  </si>
  <si>
    <t>* Production of mineral fertiliser is adjusted to account for the N supplied by manure.</t>
  </si>
  <si>
    <t>**** Slaughtering pigs starts emitting methane when after 4 months</t>
  </si>
  <si>
    <t>GHG emissions (per kg of bonefree meat)</t>
  </si>
  <si>
    <t>** Adjusted for use of manure instead of mineral fertiliser (lower emission factor for manure)</t>
  </si>
  <si>
    <t>*** Calculated as percentage of direct emissions due to assumption due to data limitations regarding nitrogen leaching and volatilization from soils in different regions.</t>
  </si>
  <si>
    <t>Animals</t>
  </si>
  <si>
    <t>Stables</t>
  </si>
  <si>
    <t>Slaughter</t>
  </si>
  <si>
    <t>Control</t>
  </si>
  <si>
    <t>Sum</t>
  </si>
  <si>
    <t>Inputs</t>
  </si>
  <si>
    <t>Soil emissions</t>
  </si>
  <si>
    <t>Energy use</t>
  </si>
  <si>
    <t>Land use change</t>
  </si>
  <si>
    <t>Feed processing</t>
  </si>
  <si>
    <t>Transports</t>
  </si>
  <si>
    <t>Gas</t>
  </si>
  <si>
    <t>GHG</t>
  </si>
  <si>
    <t>Production of mineral fertilizer*</t>
  </si>
  <si>
    <t>Direct emissions**</t>
  </si>
  <si>
    <t>Indirect emissions***</t>
  </si>
  <si>
    <t>Diesel use field mach</t>
  </si>
  <si>
    <t>Energy use in greenhouses</t>
  </si>
  <si>
    <t>Energy use for irrigation</t>
  </si>
  <si>
    <t>Energy use for post-harvest proc</t>
  </si>
  <si>
    <t>LUC emissions</t>
  </si>
  <si>
    <t>Enteric fermentation****</t>
  </si>
  <si>
    <t>Manure management - tot</t>
  </si>
  <si>
    <t>Manure management - direct</t>
  </si>
  <si>
    <t>Manure management - indirect</t>
  </si>
  <si>
    <t>Total feed, excl LUC</t>
  </si>
  <si>
    <t>Feed mix emissions, kg CO2 per kg feed, excl. adjustement manure</t>
  </si>
  <si>
    <t>CO2</t>
  </si>
  <si>
    <t>CH4, fossil</t>
  </si>
  <si>
    <t>CH4, biogenic</t>
  </si>
  <si>
    <t>N2O</t>
  </si>
  <si>
    <t>CO2e</t>
  </si>
  <si>
    <t xml:space="preserve">Ireland </t>
  </si>
  <si>
    <t>Netherland</t>
  </si>
  <si>
    <t>GHG emissions (per kg of offal)</t>
  </si>
  <si>
    <t>Footprints (per kg of lard)</t>
  </si>
  <si>
    <t>21511.01</t>
  </si>
  <si>
    <t>Fat of pigs</t>
  </si>
  <si>
    <t>Animal fats</t>
  </si>
  <si>
    <t>GHG emissions (per kg of lard)</t>
  </si>
  <si>
    <t>GHG emissions (absolute, per animal system per year - undivided, unallocated)</t>
  </si>
  <si>
    <t>Pig production</t>
  </si>
  <si>
    <t>Footprints (absolute, per animal system per year - undivided, unallocated)</t>
  </si>
  <si>
    <t>**Values inserted directly here, no formula in this excel sheet</t>
  </si>
  <si>
    <t>Animal welfare**</t>
  </si>
  <si>
    <t>Use of antibiotics**</t>
  </si>
  <si>
    <t>Production system</t>
  </si>
  <si>
    <t>Animals in production per year (no)</t>
  </si>
  <si>
    <t>Sows</t>
  </si>
  <si>
    <t>Number of sows (any number can be used here)</t>
  </si>
  <si>
    <t>Recruitment sows</t>
  </si>
  <si>
    <t>Number of sows * recruitment rate</t>
  </si>
  <si>
    <t>Boars</t>
  </si>
  <si>
    <t>Kolla ingrisningålder och justera antalet rekryteringsuggor</t>
  </si>
  <si>
    <t>Fattening pigs</t>
  </si>
  <si>
    <t>Number of sows * live piglets at weaning per year - recruitment sows</t>
  </si>
  <si>
    <t>Piglets</t>
  </si>
  <si>
    <t>Number of sows * live piglets at weaning per year</t>
  </si>
  <si>
    <t>Total:</t>
  </si>
  <si>
    <t>Animals slaughtered per year (no)</t>
  </si>
  <si>
    <t>Number of sows * recruitment rate * (1  -  mortality sows)</t>
  </si>
  <si>
    <t>Number of slaughter pig adjusted for mortality and rejection at slaughter</t>
  </si>
  <si>
    <t>Meat produced (kg CW)</t>
  </si>
  <si>
    <t>Number of animals * slaughtering weight</t>
  </si>
  <si>
    <t>Meat produced (kg bonefree)</t>
  </si>
  <si>
    <t>Offal produced (kg edible)</t>
  </si>
  <si>
    <t>Lard produced (kg edible)</t>
  </si>
  <si>
    <t>Meat, offal and lard produced (kg bonefree)</t>
  </si>
  <si>
    <t>Animals in production per kg of meat&amp;offal&amp;lard produced (no)</t>
  </si>
  <si>
    <t>Sow, incl recruitment</t>
  </si>
  <si>
    <t>Sum sows and board</t>
  </si>
  <si>
    <t>Production parameters and emission factors, country specific</t>
  </si>
  <si>
    <t>Production parameters</t>
  </si>
  <si>
    <t xml:space="preserve">Sources: </t>
  </si>
  <si>
    <t>Time of fattening phase, days</t>
  </si>
  <si>
    <t xml:space="preserve">Zira et al. 2023, 6 months, for all except Italy (9 months), Bava et al 2017 </t>
  </si>
  <si>
    <t>Mortality fattening pigs, %</t>
  </si>
  <si>
    <t>See tab "Mortality &amp; FCR"</t>
  </si>
  <si>
    <t>Rejection after slaughter, %</t>
  </si>
  <si>
    <t>SE: SBA, 2022a, Table 2, DK: Sandberg, undated</t>
  </si>
  <si>
    <t>Meat yield, kg bonefree meat per CW</t>
  </si>
  <si>
    <t>Clune et al. 2017</t>
  </si>
  <si>
    <t>Meat yield, kg CW per fattening pig</t>
  </si>
  <si>
    <t>AHDB undated</t>
  </si>
  <si>
    <t>Table 9 in SBA (2022)</t>
  </si>
  <si>
    <t>Alternative source shows lower offal for pig:</t>
  </si>
  <si>
    <t xml:space="preserve">https://www.mdpi.com/2072-6643/16/11/1609 </t>
  </si>
  <si>
    <t>https://www.landbrugsinfo.dk/-/media/landbrugsinfo/public/1/a/2/sododelighed_data_daka_seges_insight_notat_2441.pdf</t>
  </si>
  <si>
    <t>Meat yield, kg CW per sow</t>
  </si>
  <si>
    <t xml:space="preserve">Landquist et al. 2020, p. 11 </t>
  </si>
  <si>
    <t>kg/animal</t>
  </si>
  <si>
    <t>% to food</t>
  </si>
  <si>
    <t>kg to food</t>
  </si>
  <si>
    <t>Offal yield, kg edible per animal</t>
  </si>
  <si>
    <t>SBA, 2022, Table 9 --&gt;</t>
  </si>
  <si>
    <t>Blod</t>
  </si>
  <si>
    <t>Lard yield, kg per animal</t>
  </si>
  <si>
    <t>Recruitment rate, %</t>
  </si>
  <si>
    <t>Landquist et al. 2020, p. 11</t>
  </si>
  <si>
    <t>Skalle</t>
  </si>
  <si>
    <t>Liveborn piglets per sow and year</t>
  </si>
  <si>
    <t>Öron</t>
  </si>
  <si>
    <t>Ingår i skalle</t>
  </si>
  <si>
    <t>Time in piglet system, days</t>
  </si>
  <si>
    <t xml:space="preserve">Zira et al. 2023, 10 weeks </t>
  </si>
  <si>
    <t>Swedish data used for all</t>
  </si>
  <si>
    <t>Tunga</t>
  </si>
  <si>
    <t>Slaughtering age, days</t>
  </si>
  <si>
    <t>Mortality piglets, % of born</t>
  </si>
  <si>
    <t>Kind</t>
  </si>
  <si>
    <t>Living piglets at weaning per sow and year</t>
  </si>
  <si>
    <t>Matstrupe</t>
  </si>
  <si>
    <t>Boars per sow, no</t>
  </si>
  <si>
    <t>Calculated based on national statistics as in Moberg et al. 2019</t>
  </si>
  <si>
    <t>Hjärta</t>
  </si>
  <si>
    <t>Mortality parents, %</t>
  </si>
  <si>
    <t>SE: Gård och Djurhälsan. 2025 Tabell 7, p. 11, IE: Teagasc 2024, DK: Seges innovation 2025, text p. 2, FR, NL, ES: Seges innovation 2025, text Figur 2. DE, HU, IT: Empraba 2021</t>
  </si>
  <si>
    <t>Lever</t>
  </si>
  <si>
    <t>Total mortality, %</t>
  </si>
  <si>
    <t>For animal welfare calculations</t>
  </si>
  <si>
    <t>Njure</t>
  </si>
  <si>
    <t>Share of feed ingredients breeding (%)</t>
  </si>
  <si>
    <t>Ister</t>
  </si>
  <si>
    <t>Not included</t>
  </si>
  <si>
    <t>Barley, average</t>
  </si>
  <si>
    <t>CAPRI-diets from Karlsson et al. for all countries except Sweden, see "Livestock feed.xlsx", tab Pigs breeding</t>
  </si>
  <si>
    <t>Mage</t>
  </si>
  <si>
    <t>Maize (corn)</t>
  </si>
  <si>
    <t>Sweden: Landquist et al. 2020. Bilaga 1, shares calculated in "Livestock feed.xlsx", tab Swedish pig</t>
  </si>
  <si>
    <t>Mellangärde</t>
  </si>
  <si>
    <t>Oats</t>
  </si>
  <si>
    <t xml:space="preserve">Denmark: Thu Lan T, 2011_Environmental assessment of Danish pork (Table Annex, A3) </t>
  </si>
  <si>
    <t>Tarmar</t>
  </si>
  <si>
    <t>Rye</t>
  </si>
  <si>
    <t>Grissvans</t>
  </si>
  <si>
    <t>Wheat, average</t>
  </si>
  <si>
    <t>Framfötter</t>
  </si>
  <si>
    <t>Peas, dry</t>
  </si>
  <si>
    <t>Summa:</t>
  </si>
  <si>
    <t>Broad beans and horse beans, dry</t>
  </si>
  <si>
    <t>Rape seed cake</t>
  </si>
  <si>
    <t>Soy cake</t>
  </si>
  <si>
    <t>By-products</t>
  </si>
  <si>
    <t>Other</t>
  </si>
  <si>
    <t>Cereals</t>
  </si>
  <si>
    <t>Share of feed ingredients fattening (%)</t>
  </si>
  <si>
    <t>CAPRI-diets from Karlsson et al. for all countries except Sweden, see "Livestock feed.xlsx", tab Pigs fattening</t>
  </si>
  <si>
    <t>Sweden: Landquist et al. 2020. Bilaga 1, shares calculated in "Livestock feed.xlsx", tab Swedish pig, using same for fattening and breeding</t>
  </si>
  <si>
    <t>Share of feed ingredients, weighted average breeding and fattening (%)</t>
  </si>
  <si>
    <t>Feed requirement</t>
  </si>
  <si>
    <t>Source:</t>
  </si>
  <si>
    <t>Comment:</t>
  </si>
  <si>
    <t>Sows, kg per year</t>
  </si>
  <si>
    <t>Zira et al. 2023, Table 2 for Sweden, adjusted for other countries based on data in the international report (see tab Mortality &amp; FCR)</t>
  </si>
  <si>
    <t>Recruitment sows, kg per animal</t>
  </si>
  <si>
    <t>Boars, kg per year</t>
  </si>
  <si>
    <t>Fattening pigs, kg per animal</t>
  </si>
  <si>
    <t>Piglets, kg per animal</t>
  </si>
  <si>
    <t>Feed conversion, kg per kg bonefree including parents and losses</t>
  </si>
  <si>
    <t>Share fattening pigs</t>
  </si>
  <si>
    <t>Methane enteric fermentation, kg CH4 per animal and year</t>
  </si>
  <si>
    <t xml:space="preserve">Energy use in stables </t>
  </si>
  <si>
    <t>Energy use per fattening pig, kWh per animal</t>
  </si>
  <si>
    <t>Landquist et al. 2020, p.11</t>
  </si>
  <si>
    <t>Energy use per piglet, kWh per animal</t>
  </si>
  <si>
    <t>Total energy use, kWh per kg bonefree meat&amp;offal</t>
  </si>
  <si>
    <t>DK: Nguyen et al. 2011</t>
  </si>
  <si>
    <t>Share non electricity</t>
  </si>
  <si>
    <t>Approximated from Table 6 in Landquist et al. 2020</t>
  </si>
  <si>
    <t>Share biofuels for non-electricity</t>
  </si>
  <si>
    <t>Energy use at slaughter</t>
  </si>
  <si>
    <t>Electricity, kWh/kg CW</t>
  </si>
  <si>
    <t>DK: Nguyen et al. 2011, Table 10</t>
  </si>
  <si>
    <t>Heat, kWh/kg CW</t>
  </si>
  <si>
    <t>Karlis et al. 2024 for the rest</t>
  </si>
  <si>
    <t>Emission factors electricity</t>
  </si>
  <si>
    <t>Electricity, kg CO2e/kWh</t>
  </si>
  <si>
    <t>ecoinvent; market for electricity, low voltage</t>
  </si>
  <si>
    <t>Electricity, kg CO2/kWh</t>
  </si>
  <si>
    <t>Electricity, kg CH4/kWh</t>
  </si>
  <si>
    <t>Electricity, kg N2O/kWh</t>
  </si>
  <si>
    <t>Emission from the production of mineral fertilisers (kg)</t>
  </si>
  <si>
    <t>Production of mineral fertiliser, kg CO2/kg N</t>
  </si>
  <si>
    <t>From EF N Fertiliser.xlsx</t>
  </si>
  <si>
    <t>Production of mineral fertiliser, kg CH4/kg N</t>
  </si>
  <si>
    <t>Production of mineral fertiliser, kg N2O/kg N</t>
  </si>
  <si>
    <t>Emission factors N2O from soil</t>
  </si>
  <si>
    <t>Direct emissions from mineral fertiliser</t>
  </si>
  <si>
    <t>From Emission factors.xslx</t>
  </si>
  <si>
    <t>Direct emissions from manure</t>
  </si>
  <si>
    <t>Difference in emission factor min. fert - manure</t>
  </si>
  <si>
    <t>Indirect emissions, share of direct emissions</t>
  </si>
  <si>
    <t>Manure replacement factor</t>
  </si>
  <si>
    <t>Based on växttillgängligt kväve</t>
  </si>
  <si>
    <t>Drinking, sows, l per animal per day</t>
  </si>
  <si>
    <t>From Water requirements per species.xlsx</t>
  </si>
  <si>
    <t>Service, sows, l per animal per day</t>
  </si>
  <si>
    <t>Drinking, recruitment sows and fattening pigs , l per animal per day</t>
  </si>
  <si>
    <t>Service, recruitment sows and fattening pigs, l per animal per day</t>
  </si>
  <si>
    <t>Drinking, boars, l per animal per day</t>
  </si>
  <si>
    <t>Service, boars, l per animal per day</t>
  </si>
  <si>
    <t>Drinking, piglets, l per animal per day</t>
  </si>
  <si>
    <t>Service, piglets, l per animal per day</t>
  </si>
  <si>
    <t>Mortality</t>
  </si>
  <si>
    <t>Source: Gård&amp;Djurhälsan, 2022, Table 2</t>
  </si>
  <si>
    <t>Greece*</t>
  </si>
  <si>
    <t>Poland*</t>
  </si>
  <si>
    <t>Born</t>
  </si>
  <si>
    <t>From Danish data:</t>
  </si>
  <si>
    <t>Weaned</t>
  </si>
  <si>
    <t>Mortality rate (incl. For parent animals)</t>
  </si>
  <si>
    <t>Mortality weaning</t>
  </si>
  <si>
    <t>Pre-weaning mortality rate</t>
  </si>
  <si>
    <t>Sold</t>
  </si>
  <si>
    <t>Piglet mortality rate</t>
  </si>
  <si>
    <t>Mortality piglet growth phase</t>
  </si>
  <si>
    <t>Weaned pigs (7-30 kg) mortality rate</t>
  </si>
  <si>
    <t>Slaughtered</t>
  </si>
  <si>
    <t>Mortality slaughtering/fattening pigs</t>
  </si>
  <si>
    <t xml:space="preserve">Finisher (30-115 Kg) mortality rate </t>
  </si>
  <si>
    <t>* Missing data, used average of other countries</t>
  </si>
  <si>
    <t>FCR</t>
  </si>
  <si>
    <t>Source: Gård&amp;Djurhälsan, 2022, Figur 15</t>
  </si>
  <si>
    <t>Hungary *</t>
  </si>
  <si>
    <t>Spain*</t>
  </si>
  <si>
    <t>MJ OE per kg of growth</t>
  </si>
  <si>
    <t>Adjustment factor from Sweden</t>
  </si>
  <si>
    <t>* Missing data, used 35.5 for these</t>
  </si>
  <si>
    <t>Manure emissions</t>
  </si>
  <si>
    <t>Sources:</t>
  </si>
  <si>
    <t>NIR 2023, table 5.37. Only shares for liquid, solid and other (deep litter) were considered and adjusted to 100%</t>
  </si>
  <si>
    <t>CRF 2023, Table 3B(a)s2 Allocation.  Only shares for liquid, solid and other (deep litter) were considered and adjusted to 100%</t>
  </si>
  <si>
    <t>NIR 2023 Table 5.15</t>
  </si>
  <si>
    <t>NIR 2023, p. 137: ''All swine manure is in pit storage systems'' Assumed to be liquid</t>
  </si>
  <si>
    <t>NIR 2023, table 5.3.2.</t>
  </si>
  <si>
    <t>CRF 2023, Table 3B(a)s2 Allocation, White Swine.  Only shares for liquid, solid and other (deep litter) were considered and adjusted to 100%</t>
  </si>
  <si>
    <t>Landquist et al. 2020, p. 12</t>
  </si>
  <si>
    <t xml:space="preserve"> </t>
  </si>
  <si>
    <t>Share solid</t>
  </si>
  <si>
    <t>Share liquid</t>
  </si>
  <si>
    <t>Share deep litter</t>
  </si>
  <si>
    <t>METHANE EMISSIONS</t>
  </si>
  <si>
    <t>Emission factors methane emissions</t>
  </si>
  <si>
    <t>MCF solid manure</t>
  </si>
  <si>
    <t>CRF 2023, Table 3B(a)s2 MCF Cool</t>
  </si>
  <si>
    <t>CRF 2023, Table 3B(a)s2 MCF.   Only shares for liquid, solid and other (deep litter) were considered and adjusted to 100%. Weighted average between cool / temperate per type of manure</t>
  </si>
  <si>
    <t>CRF 2023, Table 3B(a)s2 MCF.   Only shares for liquid, solid and other (deep litter) were considered and adjusted to 100%.</t>
  </si>
  <si>
    <t>NIR 2023, p. 309 market swine</t>
  </si>
  <si>
    <t>NIR 2023 Table 5.3.20</t>
  </si>
  <si>
    <t>IPCC Table 10.17, referred to in NIR 2023</t>
  </si>
  <si>
    <t>CRF 2023, Table 3B(a)s2 MCF. Weighted average of MCF for cool / temperate</t>
  </si>
  <si>
    <t>CRF 2023, Table 3B(a)s2 MCF.  Only shares for liquid, solid and other (deep litter) were considered and adjusted to 100%</t>
  </si>
  <si>
    <t>NIR 2023 Table 5.3.7</t>
  </si>
  <si>
    <t>CRF 2023, Table 3B(a)s2 MCF.  White Swine Only shares for liquid, solid and other (deep litter) were considered and adjusted to 100%. Weighted average between cool / temperate per type of manure</t>
  </si>
  <si>
    <t>NIR 2022, Table 5.18</t>
  </si>
  <si>
    <t>MCF liquid manure</t>
  </si>
  <si>
    <t>NIR 2023, Table 5.13</t>
  </si>
  <si>
    <t>NIR 2023 Table 5.3.21</t>
  </si>
  <si>
    <t>IPCC Table 10.17, referred to in NIR 2024</t>
  </si>
  <si>
    <t>NIR 2023 Table 5.3.7. Right above table: ''Since 2019 100% of tanks with liquid slurry
need to be covered''</t>
  </si>
  <si>
    <t xml:space="preserve">  </t>
  </si>
  <si>
    <t>MCF deep litter sows and boars</t>
  </si>
  <si>
    <t>NIR 2023, Table 5.14</t>
  </si>
  <si>
    <t>NIR 2023 Table 5.3.22</t>
  </si>
  <si>
    <t>IPCC Table 10.17, referred to in NIR 2025</t>
  </si>
  <si>
    <t>MCF deep litter fattening pigs</t>
  </si>
  <si>
    <t>NIR 2023 Table 5.3.23</t>
  </si>
  <si>
    <t>IPCC Table 10.17, referred to in NIR 2026</t>
  </si>
  <si>
    <t>MCF deep litter piglets</t>
  </si>
  <si>
    <t>NIR 2023 Table 5.3.24</t>
  </si>
  <si>
    <t>IPCC Table 10.17, referred to in NIR 2027</t>
  </si>
  <si>
    <t>Volatile solids (VS), fraction of manure</t>
  </si>
  <si>
    <t>NIR 2023, p. 427</t>
  </si>
  <si>
    <t>approx sweden</t>
  </si>
  <si>
    <t>Bo, m3 CH4/kg VS</t>
  </si>
  <si>
    <t>NIR 2023, Table 5.11</t>
  </si>
  <si>
    <t xml:space="preserve">CRF 2023, Table 3B(a)s1 </t>
  </si>
  <si>
    <t>IPCC 2006 Chp 10, table A-7, A-8</t>
  </si>
  <si>
    <t>IPCC 2019 Table 10.16</t>
  </si>
  <si>
    <t>NIR, 2023. Table 5.20</t>
  </si>
  <si>
    <t>NIR 2023 Table 5.3.6 Breeding ´+ market swine</t>
  </si>
  <si>
    <t>NIR 2023, Tabla 5.3.5. Porcino
blanco</t>
  </si>
  <si>
    <t>Manure production, kg DM VS per day</t>
  </si>
  <si>
    <t>NIR 2023, supporting annex 3D table 3D-14</t>
  </si>
  <si>
    <t>CRF 2023, Table 3B(a)s1 . White swine</t>
  </si>
  <si>
    <t>NIR 2022, Table 5.16</t>
  </si>
  <si>
    <t>För Spanien snarare approximera med Sverige?? Men blir hur som helst ingen större skillnad.</t>
  </si>
  <si>
    <t>Total amount of DM VS produced, kg per year</t>
  </si>
  <si>
    <t>Solid</t>
  </si>
  <si>
    <t>Liquid</t>
  </si>
  <si>
    <t xml:space="preserve">Deep litter </t>
  </si>
  <si>
    <t>Methane emissions, kg CH4 per year</t>
  </si>
  <si>
    <t>Stäm av mot CFRs</t>
  </si>
  <si>
    <t>Deep litter</t>
  </si>
  <si>
    <t>Total</t>
  </si>
  <si>
    <t>Per kg meat&amp;offal</t>
  </si>
  <si>
    <t>NITROGEN  EMISSIONS</t>
  </si>
  <si>
    <t>N excreted per animal</t>
  </si>
  <si>
    <t>Behöver uppdateras till landsspecifika värden!</t>
  </si>
  <si>
    <t>N excreted, kg per head per year</t>
  </si>
  <si>
    <t>Proportion of TAN</t>
  </si>
  <si>
    <t>EMEP/EEA 2019. Table 3.9</t>
  </si>
  <si>
    <t>N excreted in different systems, kg per year</t>
  </si>
  <si>
    <t>CRF 2023, Table 3B(b)</t>
  </si>
  <si>
    <t>NIR 2022, Table 5.17, note that this is for a pig for a whole year, not per animal slaughtered</t>
  </si>
  <si>
    <t>TAN excreted in different systems, kg per year, m_house, TAN</t>
  </si>
  <si>
    <t>Emissions from housing, kg NH3-N per year, E_house</t>
  </si>
  <si>
    <t>Step 6</t>
  </si>
  <si>
    <t xml:space="preserve">Using EF for solid manure </t>
  </si>
  <si>
    <t>EF NH3-N housing solid</t>
  </si>
  <si>
    <t>EMEP/EEA 2019. Table 3.9, value for sows includes piglets, boars approx. with sows</t>
  </si>
  <si>
    <t>EF NH3-N housing slurry</t>
  </si>
  <si>
    <t>Add bedding</t>
  </si>
  <si>
    <t>Step 7</t>
  </si>
  <si>
    <t>Remaining TAN after housing losses, kg per year, m_storage, TAN</t>
  </si>
  <si>
    <t>Modified TAN to account for org N mineralisation (only applies to liquid)</t>
  </si>
  <si>
    <t>Step 9</t>
  </si>
  <si>
    <t>EMEP/EEA equ. 32</t>
  </si>
  <si>
    <t>f min</t>
  </si>
  <si>
    <t>EMEP/EEA 2019, just below equ. 32</t>
  </si>
  <si>
    <t>Emission of NH3-N from storage, kg per year, E_storage_ammonia</t>
  </si>
  <si>
    <t>Step 10</t>
  </si>
  <si>
    <t>Step 10 is emissions of NH3-N, N2O-N, NO-N and N2 but here they are split, equ 33 and 34</t>
  </si>
  <si>
    <t>EF NH3-N storage solid</t>
  </si>
  <si>
    <t>EF NH3-N storage slurry</t>
  </si>
  <si>
    <t>Emission of N2O-N from storage, kg per year, E_storage_N2O</t>
  </si>
  <si>
    <t>Per kg meat/offal</t>
  </si>
  <si>
    <t>EF N2O-N storage solid</t>
  </si>
  <si>
    <t>EMEP/EEA 2019. Table 3.8, Pig manure heaps, solid</t>
  </si>
  <si>
    <t>Här verkar alla använda litet olika och det slår ganska mycket</t>
  </si>
  <si>
    <t>EF N2O-N storage slurry</t>
  </si>
  <si>
    <t>EMEP/EEA 2019. Table 3.8, Cattle slurry with natural crust</t>
  </si>
  <si>
    <t>Emission of NO and N2 from storage, kg per year, E_storage_NO and N2</t>
  </si>
  <si>
    <t>EF NOx-N storage solid</t>
  </si>
  <si>
    <t>EMEP/EEA 2019. Table 3.10</t>
  </si>
  <si>
    <t>EF NOx-N storage slurry</t>
  </si>
  <si>
    <t>EF N2 storage solid</t>
  </si>
  <si>
    <t>EF N2 storage slurry</t>
  </si>
  <si>
    <t>Remaining TAN after storage losses, kg per year, m_applic, TAN</t>
  </si>
  <si>
    <t>Emission of NH3-N from application, kg per year, E_application_ammonia</t>
  </si>
  <si>
    <t>Step 12</t>
  </si>
  <si>
    <t>Per kg of meat&amp;offal</t>
  </si>
  <si>
    <t>EF NH3-N application solid</t>
  </si>
  <si>
    <t>EF NH3-N application slurry</t>
  </si>
  <si>
    <t>Varför är det olika här för suggor och slaktsvin? Rasmus undersöker.</t>
  </si>
  <si>
    <t>EF N2O volatilization</t>
  </si>
  <si>
    <t>IPCC, 2019</t>
  </si>
  <si>
    <t>Remaining TAN after application losses, kg per year, m_returned, TAN</t>
  </si>
  <si>
    <t>Total losses, kg N per year</t>
  </si>
  <si>
    <t>Fraction of applied that is lost:</t>
  </si>
  <si>
    <t>Remaining total-N after losses, kg per year</t>
  </si>
  <si>
    <t>Total returned to soils:</t>
  </si>
  <si>
    <t>Remaining total-N per kg of meat&amp;offal</t>
  </si>
  <si>
    <t>Excreted N after losses, kg N per kg of meat&amp;offal</t>
  </si>
  <si>
    <t>Ammonia emissions</t>
  </si>
  <si>
    <t>Ammonia emissions, kg NH3 per kg of meat&amp;offal</t>
  </si>
  <si>
    <t>Emissions of CO2 from feed crops (per kg of crop)</t>
  </si>
  <si>
    <t>Columns G-Q copied straight from RPC filerna for all feeds except for rape seed cake and soy bean meal</t>
  </si>
  <si>
    <t>Crops</t>
  </si>
  <si>
    <t>Share</t>
  </si>
  <si>
    <t xml:space="preserve">Categories </t>
  </si>
  <si>
    <t>Direct emissions</t>
  </si>
  <si>
    <t>Indirect emissions</t>
  </si>
  <si>
    <t>Transports of feed</t>
  </si>
  <si>
    <t>0115</t>
  </si>
  <si>
    <t>Cereals, incl feed</t>
  </si>
  <si>
    <t>0112</t>
  </si>
  <si>
    <t>0117</t>
  </si>
  <si>
    <t>0116</t>
  </si>
  <si>
    <t>0111</t>
  </si>
  <si>
    <t>01705</t>
  </si>
  <si>
    <t>Pulses, incl feed</t>
  </si>
  <si>
    <t>01702</t>
  </si>
  <si>
    <t>Protein feed</t>
  </si>
  <si>
    <t>France, Germany, Poland</t>
  </si>
  <si>
    <t>Soy bean meal</t>
  </si>
  <si>
    <t>Brazil, Argentina</t>
  </si>
  <si>
    <t>By-product</t>
  </si>
  <si>
    <t>approx Germany</t>
  </si>
  <si>
    <t>Other, feed</t>
  </si>
  <si>
    <t>Feed, other</t>
  </si>
  <si>
    <t>Total for the feed mix:</t>
  </si>
  <si>
    <t>Approx Hungary</t>
  </si>
  <si>
    <t>Emissions of CH4 from feed crops (per kg of crop)</t>
  </si>
  <si>
    <t>Emissions of N2O from feed crops (per kg of crop)</t>
  </si>
  <si>
    <t>Environmental footprints per kg of feed</t>
  </si>
  <si>
    <t>Columns F-L copied straight from RPC filerna</t>
  </si>
  <si>
    <t>Nitrogen</t>
  </si>
  <si>
    <t>N application, kg N/kg</t>
  </si>
  <si>
    <t>P application, kg P/kg</t>
  </si>
  <si>
    <t>Share of extinction rate , %</t>
  </si>
  <si>
    <t>Off-farm feed</t>
  </si>
  <si>
    <t>Greenhouse gas emissons:</t>
  </si>
  <si>
    <t>Cultivated in country</t>
  </si>
  <si>
    <t>Source LUC:</t>
  </si>
  <si>
    <t>0141</t>
  </si>
  <si>
    <t>Soya beans</t>
  </si>
  <si>
    <t>Brazil</t>
  </si>
  <si>
    <t>Pendrill et al. 2022</t>
  </si>
  <si>
    <t>CH4, bio</t>
  </si>
  <si>
    <t>Argentina</t>
  </si>
  <si>
    <t>0141_m</t>
  </si>
  <si>
    <t>Flysjö et al. 2008, Figur 6.35</t>
  </si>
  <si>
    <t>Flysjö et al. 2008, Figur 6.35, divided by GWP-factor used in report, Tabell 5.1</t>
  </si>
  <si>
    <t>Other footprints:</t>
  </si>
  <si>
    <t>Pulses</t>
  </si>
  <si>
    <t>BR</t>
  </si>
  <si>
    <t>Copied from RPC-file</t>
  </si>
  <si>
    <t>AR</t>
  </si>
  <si>
    <t>Remember to divide biodiversity by 100 when updating! Or use merged_data in the R-script</t>
  </si>
  <si>
    <t>Feed</t>
  </si>
  <si>
    <t>Parameters for soy</t>
  </si>
  <si>
    <t>Soy meal in 1 kg soy bean</t>
  </si>
  <si>
    <t>Flysjö et al. 2008, Tabell 4.24</t>
  </si>
  <si>
    <t>Economic allocation factor meal</t>
  </si>
  <si>
    <t>Energy use processing:</t>
  </si>
  <si>
    <t>Electricity</t>
  </si>
  <si>
    <t>MJ per kg soy beans processed</t>
  </si>
  <si>
    <t>Share electricity:</t>
  </si>
  <si>
    <t>Flysjö et al. 2008</t>
  </si>
  <si>
    <t>Biomass</t>
  </si>
  <si>
    <t>Assuming half of soy from Brazil and the other half from Argentina.</t>
  </si>
  <si>
    <t xml:space="preserve">https://www.fediol.eu/data/Where%20does%20soy%20come%20from.pdf </t>
  </si>
  <si>
    <t>Rape seed meal</t>
  </si>
  <si>
    <t>01443</t>
  </si>
  <si>
    <t>Rape or colza seed, average</t>
  </si>
  <si>
    <t>01443_m</t>
  </si>
  <si>
    <t>Source transports:</t>
  </si>
  <si>
    <t>Flysjö et al. 2008, Figur 6.36</t>
  </si>
  <si>
    <t>Flysjö et al. 2008, Figur 6.36, divided by GWP-factor used in report, Tabell 5.1</t>
  </si>
  <si>
    <t>Parameters for rape seed</t>
  </si>
  <si>
    <t>Rape meal in 1 kg rape seed</t>
  </si>
  <si>
    <t>MJ per kg rape seed processed</t>
  </si>
  <si>
    <t>Flysjö et al. 2008, p. 45, using share of electricity as for soy because ratio between electricity and gas/biofuels not stated</t>
  </si>
  <si>
    <t>Using the three largest rapeseed countries and taking an average of these.</t>
  </si>
  <si>
    <t>https://projects.luke.fi/ruokafakta/en/field-crops/rapeseed-production-volumes/#:~:text=The%20largest%20producers%20are%20France,Germany%2C%20with%203.7%20billion%20kilos.</t>
  </si>
  <si>
    <t>Verification</t>
  </si>
  <si>
    <t>This study</t>
  </si>
  <si>
    <t>Cultivation</t>
  </si>
  <si>
    <t>Slightly different because in this study we use a mix of three countries, Flysjö only Sweden</t>
  </si>
  <si>
    <t>Processing</t>
  </si>
  <si>
    <t>Slightly higher because of electricity mix from the three countries</t>
  </si>
  <si>
    <t>Transport</t>
  </si>
  <si>
    <t>Slightly different because of different GWP-factors</t>
  </si>
  <si>
    <t>Emission and characterisation factors, general</t>
  </si>
  <si>
    <t>Emission factors energy carriers</t>
  </si>
  <si>
    <t>kg CO2 per kWh</t>
  </si>
  <si>
    <t>kg CH4 per kWh</t>
  </si>
  <si>
    <t>kg N2O per kWh</t>
  </si>
  <si>
    <t>Heating oil, kg CO2e/kWh</t>
  </si>
  <si>
    <t>Gode et al 2011</t>
  </si>
  <si>
    <t>Natural gas, kg CO2e/kWh</t>
  </si>
  <si>
    <t>Biofuels, kg CO2e/kWh</t>
  </si>
  <si>
    <t>Gode et al 2011, average of bark and chips, pellets and briquettes</t>
  </si>
  <si>
    <t>Characterisations factors</t>
  </si>
  <si>
    <t>Ability to perceive handling (from 0 to 1)</t>
  </si>
  <si>
    <t>Slaughter duration class (0.01-2)</t>
  </si>
  <si>
    <t>Weight no of animal</t>
  </si>
  <si>
    <t>Weight ability to perceive handling</t>
  </si>
  <si>
    <t>Weight mortality</t>
  </si>
  <si>
    <t>Weight diseases</t>
  </si>
  <si>
    <t>Weight space</t>
  </si>
  <si>
    <t>Weight slaughter duration class</t>
  </si>
  <si>
    <t>Emission factors, electricity Brazil</t>
  </si>
  <si>
    <t>See Chicken.xlsx</t>
  </si>
  <si>
    <t>Allocation factors</t>
  </si>
  <si>
    <t>Approx meat/offal/fat from cattle</t>
  </si>
  <si>
    <t>Meat</t>
  </si>
  <si>
    <t>Offal</t>
  </si>
  <si>
    <t>Lard</t>
  </si>
  <si>
    <t>Check</t>
  </si>
  <si>
    <t>References</t>
  </si>
  <si>
    <t>AHDB. Undated. https://projectblue.blob.core.windows.net/media/Default/Market%20Intelligence/COP/Pork%20cost%20of%20production%20in%20selected%20countries%202022%20data%20tables.pdf</t>
  </si>
  <si>
    <t>Bava et al. 2017. Environmental impact of the typical heavy pig production in Italy. https://doi.org/10.1016/j.jclepro.2015.11.029</t>
  </si>
  <si>
    <t>Emprapa. 2021. Custos de produção de suínos em 2019 nos países da rede InterPIG. https://www.infoteca.cnptia.embrapa.br/infoteca/bitstream/doc/1130713/1/COT580.pdf</t>
  </si>
  <si>
    <t xml:space="preserve">Gård&amp;Djurhälsan. 2022. Internationella rapporten 2022. https://www.gardochdjurhalsan.se/wp-content/uploads/2022/12/internationella-rapporten-2022.pdf </t>
  </si>
  <si>
    <t>Gård&amp;Djurhälsan. 2025.Hållbarhet hos svenska suggor. https://kottforetagen.se/app/uploads/2025/10/Bilaga-5-Slutrapport-Hallbara-suggor-for-spridning.pdf</t>
  </si>
  <si>
    <t>Jordbruksverket. 2022a. Livsmedelsförluster vid slakt av grisar och nötkreatur. https://www2.jordbruksverket.se/download/18.21f254fa1841746110e74b0d/1666948431839/ra22_18v5.pdf</t>
  </si>
  <si>
    <t>Jordbruksverket. 2022b. Förluster av griskött, nötkött och mjölk på gården. https://www2.jordbruksverket.se/download/18.44383e8d183df1393e37250a/1666008670832/ra22_19.pdf</t>
  </si>
  <si>
    <t>Karlis, P., Presicce, F., Giner Santonja, G., Brinkmann, T. and Roudier, S. (2024) Best Available Techniques (BAT) Reference Document for the Slaughterhouses, Animal By-products and/or Edible Co-products Industries, Publications Office of the European Union, Luxembourg, 2024, doi:10.2760/18199, JRC135916</t>
  </si>
  <si>
    <t xml:space="preserve">Landquist et al. 2020. Uppdaterad och utökad livscykelanalys av svensk grisproduktion. RISE Rapport 2020:59. https://www.diva-portal.org/smash/get/diva2:1516404/FULLTEXT03.pdf </t>
  </si>
  <si>
    <t>Ngyugen et al. 2011. ENVIRONMENTAL ASSESSMENT OF DANISH PORK. https://dcapub.au.dk/djfpublikation/djfpdf/ir_103_54761_indhold_internet.pdf</t>
  </si>
  <si>
    <t>Sandberg et al. Undated. Evaluation of the usefulness of carcass-weight, meat-percentage or identity of pig-producer in future-risk-based meat inspection. https://dr.lib.iastate.edu/server/api/core/bitstreams/243618e1-19f6-45f4-abbe-0ebb29d10974/content</t>
  </si>
  <si>
    <t>Seges Innovation. 2025.Sodødelighed: Deskriptive analyser af
data fra Daka og SEGES InSight.  https://www.landbrugsinfo.dk/-/media/landbrugsinfo/public/1/a/2/sododelighed_data_daka_seges_insight_notat_2441.pdf</t>
  </si>
  <si>
    <t>Zira S et al. 2023. Environmental consequences of pig production scenarios using biomass from rotational grass-clover leys as feed. https://doi.org/10.1016/j.eti.2023.103068</t>
  </si>
  <si>
    <t>SBA. 2022. Livsmedelsförluster vid slakt av grisar och nötkreatur. https://www2.jordbruksverket.se/download/18.21f254fa1841746110e74b0d/1666948431839/ra22_18v5.pdf</t>
  </si>
  <si>
    <t>Manure</t>
  </si>
  <si>
    <t>Landquist et al. 2020 has the following emissions from manure:</t>
  </si>
  <si>
    <t>In bonefree weight:</t>
  </si>
  <si>
    <t>This study:</t>
  </si>
  <si>
    <t>CH4</t>
  </si>
  <si>
    <t>Explained fully by use of different MCF factors, Landquist used default IPCC (10% for liquid and 39% for deep litter)</t>
  </si>
  <si>
    <t>N2O direct</t>
  </si>
  <si>
    <t>N2O indirect</t>
  </si>
  <si>
    <t>Zira et al. 2023</t>
  </si>
  <si>
    <t>Borde vara samma låga metan som jag, alltså mkt mer kväverelaterade utsläpp</t>
  </si>
  <si>
    <t>Landquist et al</t>
  </si>
  <si>
    <t>Total in bonefree</t>
  </si>
  <si>
    <t>Lower for manure, but higher for feed due to mostly SOC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</si>
</sst>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E+00"/>
    <numFmt numFmtId="165" formatCode="0.000"/>
    <numFmt numFmtId="166" formatCode="0.000E+00"/>
    <numFmt numFmtId="167" formatCode="0.0000"/>
    <numFmt numFmtId="168" formatCode="0.0"/>
    <numFmt numFmtId="169" formatCode="#,##0.0"/>
    <numFmt numFmtId="170" formatCode="0.00000"/>
    <numFmt numFmtId="171" formatCode="0E+00"/>
  </numFmts>
  <fonts count="43" x14ac:knownFonts="1"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186"/>
    </font>
    <font>
      <sz val="10"/>
      <name val="Arial"/>
      <family val="2"/>
      <charset val="1"/>
    </font>
    <font>
      <sz val="9"/>
      <name val="Times New Roman"/>
      <family val="1"/>
      <charset val="1"/>
    </font>
    <font>
      <sz val="11"/>
      <color theme="0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FFFFFF"/>
      <name val="Calibri"/>
      <family val="2"/>
      <charset val="186"/>
    </font>
    <font>
      <u/>
      <sz val="10"/>
      <color rgb="FF0000FF"/>
      <name val="Times New Roman"/>
      <family val="1"/>
      <charset val="1"/>
    </font>
    <font>
      <b/>
      <sz val="9"/>
      <name val="Times New Roman"/>
      <family val="1"/>
      <charset val="1"/>
    </font>
    <font>
      <sz val="9"/>
      <color rgb="FF000000"/>
      <name val="Times New Roman"/>
      <family val="1"/>
      <charset val="1"/>
    </font>
    <font>
      <sz val="12"/>
      <color rgb="FF000000"/>
      <name val="Times New Roman"/>
      <family val="1"/>
      <charset val="1"/>
    </font>
    <font>
      <b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sz val="16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sz val="11"/>
      <name val="Calibri"/>
      <family val="2"/>
      <charset val="1"/>
    </font>
    <font>
      <u/>
      <sz val="11"/>
      <color theme="10"/>
      <name val="Calibri"/>
      <family val="2"/>
      <charset val="1"/>
    </font>
    <font>
      <sz val="10"/>
      <color theme="1"/>
      <name val="Calibri"/>
      <family val="2"/>
      <charset val="1"/>
    </font>
    <font>
      <sz val="11"/>
      <color theme="1" tint="0.49989318521683401"/>
      <name val="Calibri"/>
      <family val="2"/>
      <charset val="1"/>
    </font>
    <font>
      <b/>
      <sz val="11"/>
      <color theme="0"/>
      <name val="Calibri"/>
      <family val="2"/>
      <charset val="1"/>
    </font>
    <font>
      <b/>
      <sz val="11"/>
      <color theme="1" tint="0.49989318521683401"/>
      <name val="Calibri"/>
      <family val="2"/>
      <charset val="1"/>
    </font>
    <font>
      <sz val="11"/>
      <color theme="5" tint="-0.249977111117893"/>
      <name val="Calibri"/>
      <family val="2"/>
      <charset val="1"/>
    </font>
    <font>
      <i/>
      <sz val="11"/>
      <color theme="1"/>
      <name val="Calibri"/>
      <family val="2"/>
      <charset val="1"/>
    </font>
    <font>
      <sz val="10"/>
      <color rgb="FFFF0000"/>
      <name val="Calibri"/>
      <family val="2"/>
      <charset val="1"/>
    </font>
    <font>
      <b/>
      <i/>
      <sz val="11"/>
      <color theme="1"/>
      <name val="Calibri"/>
      <family val="2"/>
      <charset val="1"/>
    </font>
    <font>
      <b/>
      <sz val="11"/>
      <name val="Calibri"/>
      <family val="2"/>
      <charset val="1"/>
    </font>
    <font>
      <sz val="10"/>
      <name val="Calibri"/>
      <family val="2"/>
      <charset val="1"/>
    </font>
    <font>
      <sz val="11"/>
      <color theme="4" tint="-0.249977111117893"/>
      <name val="Calibri"/>
      <family val="2"/>
      <charset val="1"/>
    </font>
    <font>
      <b/>
      <sz val="11"/>
      <color theme="5"/>
      <name val="Calibri"/>
      <family val="2"/>
      <charset val="1"/>
    </font>
    <font>
      <sz val="9"/>
      <color theme="1"/>
      <name val="Calibri"/>
      <family val="2"/>
      <charset val="1"/>
    </font>
    <font>
      <b/>
      <sz val="10"/>
      <color theme="1"/>
      <name val="Calibri"/>
      <family val="2"/>
      <charset val="1"/>
    </font>
    <font>
      <i/>
      <sz val="11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color theme="5"/>
      <name val="Calibri"/>
      <family val="2"/>
      <charset val="1"/>
    </font>
    <font>
      <sz val="11"/>
      <color theme="8"/>
      <name val="Calibri"/>
      <family val="2"/>
      <charset val="1"/>
    </font>
    <font>
      <i/>
      <sz val="11"/>
      <color rgb="FFFF0000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11"/>
      <color theme="4"/>
      <name val="Calibri"/>
      <family val="2"/>
      <charset val="1"/>
    </font>
    <font>
      <i/>
      <sz val="10"/>
      <color theme="1"/>
      <name val="Calibri"/>
      <family val="2"/>
      <charset val="1"/>
    </font>
    <font>
      <b/>
      <i/>
      <sz val="11"/>
      <name val="Calibri"/>
      <family val="2"/>
      <charset val="1"/>
    </font>
    <font>
      <sz val="11"/>
      <color theme="4" tint="-0.499984740745262"/>
      <name val="Calibri"/>
      <family val="2"/>
      <charset val="1"/>
    </font>
    <font>
      <sz val="11"/>
      <color theme="1"/>
      <name val="Calibri"/>
      <family val="2"/>
      <charset val="1"/>
    </font>
  </fonts>
  <fills count="44">
    <fill>
      <patternFill patternType="none"/>
    </fill>
    <fill>
      <patternFill patternType="gray125"/>
    </fill>
    <fill>
      <patternFill patternType="solid">
        <fgColor theme="4" tint="0.79989013336588644"/>
        <bgColor rgb="FFE7E6E6"/>
      </patternFill>
    </fill>
    <fill>
      <patternFill patternType="solid">
        <fgColor rgb="FFCCCCFF"/>
        <bgColor rgb="FFBDD7EE"/>
      </patternFill>
    </fill>
    <fill>
      <patternFill patternType="solid">
        <fgColor theme="5" tint="0.79989013336588644"/>
        <bgColor rgb="FFFFF2CC"/>
      </patternFill>
    </fill>
    <fill>
      <patternFill patternType="solid">
        <fgColor rgb="FFFF99CC"/>
        <bgColor rgb="FFF4B183"/>
      </patternFill>
    </fill>
    <fill>
      <patternFill patternType="solid">
        <fgColor theme="6" tint="0.79989013336588644"/>
        <bgColor rgb="FFF2F2F2"/>
      </patternFill>
    </fill>
    <fill>
      <patternFill patternType="solid">
        <fgColor rgb="FFCCFFCC"/>
        <bgColor rgb="FFCCFFFF"/>
      </patternFill>
    </fill>
    <fill>
      <patternFill patternType="solid">
        <fgColor theme="7" tint="0.79989013336588644"/>
        <bgColor rgb="FFFFFFCC"/>
      </patternFill>
    </fill>
    <fill>
      <patternFill patternType="solid">
        <fgColor rgb="FFCC99FF"/>
        <bgColor rgb="FFFF99CC"/>
      </patternFill>
    </fill>
    <fill>
      <patternFill patternType="darkGray">
        <fgColor theme="8" tint="0.79989013336588644"/>
        <bgColor rgb="FFE7E6E6"/>
      </patternFill>
    </fill>
    <fill>
      <patternFill patternType="solid">
        <fgColor rgb="FFCCFFFF"/>
        <bgColor rgb="FFCCFFCC"/>
      </patternFill>
    </fill>
    <fill>
      <patternFill patternType="solid">
        <fgColor theme="9" tint="0.79989013336588644"/>
        <bgColor rgb="FFE7E6E6"/>
      </patternFill>
    </fill>
    <fill>
      <patternFill patternType="solid">
        <fgColor rgb="FFFFCC99"/>
        <bgColor rgb="FFF8CBAD"/>
      </patternFill>
    </fill>
    <fill>
      <patternFill patternType="solid">
        <fgColor theme="4" tint="0.59987182226020086"/>
        <bgColor rgb="FFCCCCFF"/>
      </patternFill>
    </fill>
    <fill>
      <patternFill patternType="solid">
        <fgColor rgb="FF99CCFF"/>
        <bgColor rgb="FF9EC3E6"/>
      </patternFill>
    </fill>
    <fill>
      <patternFill patternType="solid">
        <fgColor theme="5" tint="0.59987182226020086"/>
        <bgColor rgb="FFFFCC99"/>
      </patternFill>
    </fill>
    <fill>
      <patternFill patternType="solid">
        <fgColor rgb="FFFF8080"/>
        <bgColor rgb="FFFF99CC"/>
      </patternFill>
    </fill>
    <fill>
      <patternFill patternType="solid">
        <fgColor theme="6" tint="0.59987182226020086"/>
        <bgColor rgb="FFD9D9D9"/>
      </patternFill>
    </fill>
    <fill>
      <patternFill patternType="solid">
        <fgColor rgb="FF00FF00"/>
        <bgColor rgb="FF33CCCC"/>
      </patternFill>
    </fill>
    <fill>
      <patternFill patternType="solid">
        <fgColor theme="7" tint="0.59987182226020086"/>
        <bgColor rgb="FFFFFF99"/>
      </patternFill>
    </fill>
    <fill>
      <patternFill patternType="mediumGray">
        <fgColor theme="8" tint="0.59987182226020086"/>
        <bgColor rgb="FFBDD7EE"/>
      </patternFill>
    </fill>
    <fill>
      <patternFill patternType="solid">
        <fgColor theme="9" tint="0.59987182226020086"/>
        <bgColor rgb="FFD9D9D9"/>
      </patternFill>
    </fill>
    <fill>
      <patternFill patternType="solid">
        <fgColor rgb="FFFFCC00"/>
        <bgColor rgb="FFFFD966"/>
      </patternFill>
    </fill>
    <fill>
      <patternFill patternType="solid">
        <fgColor theme="4" tint="0.39988402966399123"/>
        <bgColor rgb="FF99CCFF"/>
      </patternFill>
    </fill>
    <fill>
      <patternFill patternType="solid">
        <fgColor rgb="FF0066CB"/>
        <bgColor rgb="FF3773C0"/>
      </patternFill>
    </fill>
    <fill>
      <patternFill patternType="solid">
        <fgColor theme="5" tint="0.39988402966399123"/>
        <bgColor rgb="FFFFCC99"/>
      </patternFill>
    </fill>
    <fill>
      <patternFill patternType="darkGray">
        <fgColor theme="6" tint="0.39988402966399123"/>
        <bgColor rgb="FFC0C0C0"/>
      </patternFill>
    </fill>
    <fill>
      <patternFill patternType="solid">
        <fgColor theme="7" tint="0.39988402966399123"/>
        <bgColor rgb="FFFFE699"/>
      </patternFill>
    </fill>
    <fill>
      <patternFill patternType="solid">
        <fgColor rgb="FF800080"/>
        <bgColor rgb="FF323399"/>
      </patternFill>
    </fill>
    <fill>
      <patternFill patternType="mediumGray">
        <fgColor theme="8" tint="0.39988402966399123"/>
        <bgColor rgb="FF9EC3E6"/>
      </patternFill>
    </fill>
    <fill>
      <patternFill patternType="solid">
        <fgColor rgb="FF33CCCC"/>
        <bgColor rgb="FF75A3DA"/>
      </patternFill>
    </fill>
    <fill>
      <patternFill patternType="solid">
        <fgColor theme="9" tint="0.39988402966399123"/>
        <bgColor rgb="FFC5E0B4"/>
      </patternFill>
    </fill>
    <fill>
      <patternFill patternType="solid">
        <fgColor rgb="FFFF9900"/>
        <bgColor rgb="FFF37D1A"/>
      </patternFill>
    </fill>
    <fill>
      <patternFill patternType="solid">
        <fgColor rgb="FF323399"/>
        <bgColor rgb="FF404040"/>
      </patternFill>
    </fill>
    <fill>
      <patternFill patternType="solid">
        <fgColor rgb="FFFF0000"/>
        <bgColor rgb="FFBE4F07"/>
      </patternFill>
    </fill>
    <fill>
      <patternFill patternType="darkGray">
        <fgColor rgb="FF1A9433"/>
        <bgColor rgb="FF548235"/>
      </patternFill>
    </fill>
    <fill>
      <patternFill patternType="solid">
        <fgColor rgb="FFFF6600"/>
        <bgColor rgb="FFF37D1A"/>
      </patternFill>
    </fill>
    <fill>
      <patternFill patternType="solid">
        <fgColor theme="2"/>
        <bgColor rgb="FFEDEDED"/>
      </patternFill>
    </fill>
    <fill>
      <patternFill patternType="solid">
        <fgColor theme="2" tint="-0.249977111117893"/>
        <bgColor rgb="FFC0C0C0"/>
      </patternFill>
    </fill>
    <fill>
      <patternFill patternType="solid">
        <fgColor theme="2" tint="-9.9978637043366805E-2"/>
        <bgColor rgb="FFD9D9D9"/>
      </patternFill>
    </fill>
    <fill>
      <patternFill patternType="solid">
        <fgColor theme="0" tint="-0.14999847407452621"/>
        <bgColor rgb="FFDBDBDB"/>
      </patternFill>
    </fill>
    <fill>
      <patternFill patternType="solid">
        <fgColor theme="9" tint="-0.249977111117893"/>
        <bgColor rgb="FF5B5B5B"/>
      </patternFill>
    </fill>
    <fill>
      <patternFill patternType="solid">
        <fgColor theme="0" tint="-4.9989318521683403E-2"/>
        <bgColor rgb="FFEDEDED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double">
        <color theme="9" tint="-0.249977111117893"/>
      </left>
      <right style="double">
        <color theme="9" tint="-0.249977111117893"/>
      </right>
      <top style="double">
        <color theme="9" tint="-0.249977111117893"/>
      </top>
      <bottom style="double">
        <color theme="9" tint="-0.249977111117893"/>
      </bottom>
      <diagonal/>
    </border>
    <border>
      <left/>
      <right style="double">
        <color theme="9" tint="-0.249977111117893"/>
      </right>
      <top/>
      <bottom style="thin">
        <color auto="1"/>
      </bottom>
      <diagonal/>
    </border>
    <border>
      <left style="double">
        <color theme="9" tint="-0.249977111117893"/>
      </left>
      <right style="double">
        <color theme="9" tint="-0.249977111117893"/>
      </right>
      <top style="double">
        <color theme="9" tint="-0.249977111117893"/>
      </top>
      <bottom style="thin">
        <color auto="1"/>
      </bottom>
      <diagonal/>
    </border>
    <border>
      <left style="double">
        <color theme="9" tint="-0.249977111117893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096">
    <xf numFmtId="0" fontId="0" fillId="0" borderId="0"/>
    <xf numFmtId="0" fontId="42" fillId="2" borderId="0"/>
    <xf numFmtId="0" fontId="1" fillId="3" borderId="0"/>
    <xf numFmtId="0" fontId="2" fillId="3" borderId="0"/>
    <xf numFmtId="0" fontId="42" fillId="4" borderId="0"/>
    <xf numFmtId="0" fontId="1" fillId="5" borderId="0"/>
    <xf numFmtId="0" fontId="2" fillId="5" borderId="0"/>
    <xf numFmtId="0" fontId="42" fillId="6" borderId="0"/>
    <xf numFmtId="0" fontId="1" fillId="7" borderId="0"/>
    <xf numFmtId="0" fontId="2" fillId="7" borderId="0"/>
    <xf numFmtId="0" fontId="42" fillId="8" borderId="0"/>
    <xf numFmtId="0" fontId="1" fillId="9" borderId="0"/>
    <xf numFmtId="0" fontId="2" fillId="9" borderId="0"/>
    <xf numFmtId="0" fontId="42" fillId="10" borderId="0"/>
    <xf numFmtId="0" fontId="1" fillId="11" borderId="0"/>
    <xf numFmtId="0" fontId="2" fillId="11" borderId="0"/>
    <xf numFmtId="0" fontId="42" fillId="12" borderId="0"/>
    <xf numFmtId="0" fontId="1" fillId="13" borderId="0"/>
    <xf numFmtId="0" fontId="2" fillId="13" borderId="0"/>
    <xf numFmtId="0" fontId="2" fillId="3" borderId="0"/>
    <xf numFmtId="0" fontId="2" fillId="3" borderId="0"/>
    <xf numFmtId="0" fontId="2" fillId="5" borderId="0"/>
    <xf numFmtId="0" fontId="2" fillId="5" borderId="0"/>
    <xf numFmtId="0" fontId="2" fillId="7" borderId="0"/>
    <xf numFmtId="0" fontId="2" fillId="7" borderId="0"/>
    <xf numFmtId="0" fontId="2" fillId="9" borderId="0"/>
    <xf numFmtId="0" fontId="2" fillId="9" borderId="0"/>
    <xf numFmtId="0" fontId="2" fillId="11" borderId="0"/>
    <xf numFmtId="0" fontId="2" fillId="11" borderId="0"/>
    <xf numFmtId="0" fontId="2" fillId="13" borderId="0"/>
    <xf numFmtId="0" fontId="2" fillId="13" borderId="0"/>
    <xf numFmtId="0" fontId="3" fillId="0" borderId="0">
      <alignment horizontal="left" vertical="center" indent="2"/>
    </xf>
    <xf numFmtId="0" fontId="3" fillId="0" borderId="0">
      <alignment horizontal="left" vertical="center" indent="2"/>
    </xf>
    <xf numFmtId="0" fontId="3" fillId="0" borderId="0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49" fontId="4" fillId="0" borderId="1">
      <alignment horizontal="left" vertical="center" indent="2"/>
    </xf>
    <xf numFmtId="0" fontId="42" fillId="14" borderId="0"/>
    <xf numFmtId="0" fontId="1" fillId="15" borderId="0"/>
    <xf numFmtId="0" fontId="2" fillId="15" borderId="0"/>
    <xf numFmtId="0" fontId="42" fillId="16" borderId="0"/>
    <xf numFmtId="0" fontId="1" fillId="17" borderId="0"/>
    <xf numFmtId="0" fontId="2" fillId="17" borderId="0"/>
    <xf numFmtId="0" fontId="42" fillId="18" borderId="0"/>
    <xf numFmtId="0" fontId="1" fillId="19" borderId="0"/>
    <xf numFmtId="0" fontId="2" fillId="19" borderId="0"/>
    <xf numFmtId="0" fontId="42" fillId="20" borderId="0"/>
    <xf numFmtId="0" fontId="1" fillId="9" borderId="0"/>
    <xf numFmtId="0" fontId="2" fillId="9" borderId="0"/>
    <xf numFmtId="0" fontId="42" fillId="21" borderId="0"/>
    <xf numFmtId="0" fontId="1" fillId="15" borderId="0"/>
    <xf numFmtId="0" fontId="2" fillId="15" borderId="0"/>
    <xf numFmtId="0" fontId="42" fillId="22" borderId="0"/>
    <xf numFmtId="0" fontId="1" fillId="23" borderId="0"/>
    <xf numFmtId="0" fontId="2" fillId="23" borderId="0"/>
    <xf numFmtId="0" fontId="2" fillId="15" borderId="0"/>
    <xf numFmtId="0" fontId="2" fillId="15" borderId="0"/>
    <xf numFmtId="0" fontId="2" fillId="17" borderId="0"/>
    <xf numFmtId="0" fontId="2" fillId="17" borderId="0"/>
    <xf numFmtId="0" fontId="2" fillId="19" borderId="0"/>
    <xf numFmtId="0" fontId="2" fillId="19" borderId="0"/>
    <xf numFmtId="0" fontId="2" fillId="9" borderId="0"/>
    <xf numFmtId="0" fontId="2" fillId="9" borderId="0"/>
    <xf numFmtId="0" fontId="2" fillId="15" borderId="0"/>
    <xf numFmtId="0" fontId="2" fillId="15" borderId="0"/>
    <xf numFmtId="0" fontId="2" fillId="23" borderId="0"/>
    <xf numFmtId="0" fontId="2" fillId="23" borderId="0"/>
    <xf numFmtId="0" fontId="3" fillId="0" borderId="0">
      <alignment horizontal="left" vertical="center" indent="5"/>
    </xf>
    <xf numFmtId="0" fontId="3" fillId="0" borderId="0">
      <alignment horizontal="left" vertical="center" indent="5"/>
    </xf>
    <xf numFmtId="0" fontId="3" fillId="0" borderId="0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49" fontId="4" fillId="0" borderId="2">
      <alignment horizontal="left" vertical="center" indent="5"/>
    </xf>
    <xf numFmtId="0" fontId="3" fillId="0" borderId="0">
      <alignment horizontal="left" vertical="center"/>
    </xf>
    <xf numFmtId="0" fontId="5" fillId="24" borderId="0"/>
    <xf numFmtId="0" fontId="6" fillId="25" borderId="0"/>
    <xf numFmtId="0" fontId="7" fillId="25" borderId="0"/>
    <xf numFmtId="0" fontId="5" fillId="26" borderId="0"/>
    <xf numFmtId="0" fontId="6" fillId="17" borderId="0"/>
    <xf numFmtId="0" fontId="7" fillId="17" borderId="0"/>
    <xf numFmtId="0" fontId="5" fillId="27" borderId="0"/>
    <xf numFmtId="0" fontId="6" fillId="19" borderId="0"/>
    <xf numFmtId="0" fontId="7" fillId="19" borderId="0"/>
    <xf numFmtId="0" fontId="5" fillId="28" borderId="0"/>
    <xf numFmtId="0" fontId="6" fillId="29" borderId="0"/>
    <xf numFmtId="0" fontId="7" fillId="29" borderId="0"/>
    <xf numFmtId="0" fontId="5" fillId="30" borderId="0"/>
    <xf numFmtId="0" fontId="6" fillId="31" borderId="0"/>
    <xf numFmtId="0" fontId="7" fillId="31" borderId="0"/>
    <xf numFmtId="0" fontId="5" fillId="32" borderId="0"/>
    <xf numFmtId="0" fontId="6" fillId="33" borderId="0"/>
    <xf numFmtId="0" fontId="7" fillId="33" borderId="0"/>
    <xf numFmtId="0" fontId="7" fillId="25" borderId="0"/>
    <xf numFmtId="0" fontId="7" fillId="25" borderId="0"/>
    <xf numFmtId="0" fontId="7" fillId="17" borderId="0"/>
    <xf numFmtId="0" fontId="7" fillId="17" borderId="0"/>
    <xf numFmtId="0" fontId="7" fillId="19" borderId="0"/>
    <xf numFmtId="0" fontId="7" fillId="19" borderId="0"/>
    <xf numFmtId="0" fontId="7" fillId="29" borderId="0"/>
    <xf numFmtId="0" fontId="7" fillId="29" borderId="0"/>
    <xf numFmtId="0" fontId="7" fillId="31" borderId="0"/>
    <xf numFmtId="0" fontId="7" fillId="31" borderId="0"/>
    <xf numFmtId="0" fontId="7" fillId="33" borderId="0"/>
    <xf numFmtId="0" fontId="7" fillId="33" borderId="0"/>
    <xf numFmtId="0" fontId="8" fillId="0" borderId="0"/>
    <xf numFmtId="0" fontId="7" fillId="34" borderId="0"/>
    <xf numFmtId="0" fontId="7" fillId="34" borderId="0"/>
    <xf numFmtId="0" fontId="6" fillId="34" borderId="0"/>
    <xf numFmtId="0" fontId="7" fillId="35" borderId="0"/>
    <xf numFmtId="0" fontId="7" fillId="35" borderId="0"/>
    <xf numFmtId="0" fontId="6" fillId="35" borderId="0"/>
    <xf numFmtId="0" fontId="7" fillId="36" borderId="0"/>
    <xf numFmtId="0" fontId="7" fillId="36" borderId="0"/>
    <xf numFmtId="0" fontId="6" fillId="36" borderId="0"/>
    <xf numFmtId="0" fontId="7" fillId="29" borderId="0"/>
    <xf numFmtId="0" fontId="7" fillId="29" borderId="0"/>
    <xf numFmtId="0" fontId="6" fillId="29" borderId="0"/>
    <xf numFmtId="0" fontId="7" fillId="31" borderId="0"/>
    <xf numFmtId="0" fontId="7" fillId="31" borderId="0"/>
    <xf numFmtId="0" fontId="6" fillId="31" borderId="0"/>
    <xf numFmtId="0" fontId="7" fillId="37" borderId="0"/>
    <xf numFmtId="0" fontId="7" fillId="37" borderId="0"/>
    <xf numFmtId="0" fontId="6" fillId="37" borderId="0"/>
    <xf numFmtId="0" fontId="9" fillId="11" borderId="0"/>
    <xf numFmtId="4" fontId="9" fillId="11" borderId="0"/>
    <xf numFmtId="0" fontId="4" fillId="11" borderId="0">
      <alignment horizontal="right" vertical="center"/>
    </xf>
    <xf numFmtId="4" fontId="4" fillId="11" borderId="0">
      <alignment horizontal="right" vertical="center"/>
    </xf>
    <xf numFmtId="0" fontId="4" fillId="11" borderId="1">
      <alignment horizontal="right" vertical="center"/>
    </xf>
    <xf numFmtId="0" fontId="4" fillId="7" borderId="0">
      <alignment horizontal="right" vertical="center"/>
    </xf>
    <xf numFmtId="4" fontId="4" fillId="7" borderId="0">
      <alignment horizontal="right" vertical="center"/>
    </xf>
    <xf numFmtId="0" fontId="4" fillId="7" borderId="0">
      <alignment horizontal="right" vertical="center"/>
    </xf>
    <xf numFmtId="0" fontId="4" fillId="7" borderId="0">
      <alignment horizontal="right" vertical="center"/>
    </xf>
    <xf numFmtId="0" fontId="4" fillId="7" borderId="0">
      <alignment horizontal="right" vertical="center"/>
    </xf>
    <xf numFmtId="4" fontId="4" fillId="7" borderId="0">
      <alignment horizontal="right" vertical="center"/>
    </xf>
    <xf numFmtId="0" fontId="4" fillId="7" borderId="0">
      <alignment horizontal="right" vertical="center"/>
    </xf>
    <xf numFmtId="0" fontId="4" fillId="7" borderId="0">
      <alignment horizontal="right" vertical="center"/>
    </xf>
    <xf numFmtId="0" fontId="4" fillId="7" borderId="3">
      <alignment horizontal="right" vertical="center"/>
    </xf>
    <xf numFmtId="0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0" fontId="42" fillId="0" borderId="0"/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4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0" fillId="7" borderId="1">
      <alignment horizontal="right" vertical="center"/>
    </xf>
    <xf numFmtId="0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4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1" fillId="7" borderId="1">
      <alignment horizontal="right" vertical="center"/>
    </xf>
    <xf numFmtId="0" fontId="10" fillId="7" borderId="4">
      <alignment horizontal="right" vertical="center"/>
    </xf>
    <xf numFmtId="0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4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1">
      <alignment horizontal="right" vertical="center"/>
    </xf>
    <xf numFmtId="0" fontId="10" fillId="13" borderId="4">
      <alignment horizontal="right" vertical="center"/>
    </xf>
    <xf numFmtId="0" fontId="10" fillId="13" borderId="5">
      <alignment horizontal="right" vertical="center"/>
    </xf>
    <xf numFmtId="0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4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2">
      <alignment horizontal="right" vertical="center"/>
    </xf>
    <xf numFmtId="0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4" fontId="10" fillId="13" borderId="6">
      <alignment horizontal="right" vertical="center"/>
    </xf>
    <xf numFmtId="0" fontId="10" fillId="13" borderId="6">
      <alignment horizontal="right" vertical="center"/>
    </xf>
    <xf numFmtId="0" fontId="10" fillId="13" borderId="6">
      <alignment horizontal="right" vertical="center"/>
    </xf>
    <xf numFmtId="0" fontId="10" fillId="13" borderId="6">
      <alignment horizontal="right" vertical="center"/>
    </xf>
    <xf numFmtId="0" fontId="10" fillId="13" borderId="6">
      <alignment horizontal="right" vertical="center"/>
    </xf>
    <xf numFmtId="0" fontId="10" fillId="13" borderId="6">
      <alignment horizontal="right" vertical="center"/>
    </xf>
    <xf numFmtId="0" fontId="10" fillId="13" borderId="6">
      <alignment horizontal="right" vertical="center"/>
    </xf>
    <xf numFmtId="0" fontId="10" fillId="13" borderId="6">
      <alignment horizontal="right" vertical="center"/>
    </xf>
    <xf numFmtId="0" fontId="10" fillId="13" borderId="6">
      <alignment horizontal="right" vertical="center"/>
    </xf>
    <xf numFmtId="0" fontId="10" fillId="13" borderId="6">
      <alignment horizontal="right" vertical="center"/>
    </xf>
    <xf numFmtId="0" fontId="10" fillId="13" borderId="6">
      <alignment horizontal="right" vertical="center"/>
    </xf>
    <xf numFmtId="0" fontId="10" fillId="13" borderId="6">
      <alignment horizontal="right" vertical="center"/>
    </xf>
    <xf numFmtId="0" fontId="10" fillId="13" borderId="6">
      <alignment horizontal="right" vertical="center"/>
    </xf>
    <xf numFmtId="0" fontId="10" fillId="13" borderId="6">
      <alignment horizontal="right" vertical="center"/>
    </xf>
    <xf numFmtId="0" fontId="10" fillId="13" borderId="6">
      <alignment horizontal="right" vertical="center"/>
    </xf>
    <xf numFmtId="0" fontId="10" fillId="13" borderId="6">
      <alignment horizontal="right" vertical="center"/>
    </xf>
    <xf numFmtId="0" fontId="10" fillId="13" borderId="6">
      <alignment horizontal="right" vertical="center"/>
    </xf>
    <xf numFmtId="0" fontId="10" fillId="13" borderId="6">
      <alignment horizontal="right" vertical="center"/>
    </xf>
    <xf numFmtId="0" fontId="10" fillId="13" borderId="6">
      <alignment horizontal="right" vertical="center"/>
    </xf>
    <xf numFmtId="0" fontId="10" fillId="13" borderId="6">
      <alignment horizontal="right" vertical="center"/>
    </xf>
    <xf numFmtId="0" fontId="10" fillId="13" borderId="6">
      <alignment horizontal="right" vertical="center"/>
    </xf>
    <xf numFmtId="0" fontId="10" fillId="13" borderId="6">
      <alignment horizontal="right" vertical="center"/>
    </xf>
    <xf numFmtId="0" fontId="10" fillId="13" borderId="6">
      <alignment horizontal="right" vertical="center"/>
    </xf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7" fillId="0" borderId="0"/>
  </cellStyleXfs>
  <cellXfs count="354">
    <xf numFmtId="0" fontId="0" fillId="0" borderId="0" xfId="0"/>
    <xf numFmtId="0" fontId="0" fillId="0" borderId="0" xfId="1537" applyFont="1" applyAlignment="1">
      <alignment horizontal="left"/>
    </xf>
    <xf numFmtId="0" fontId="14" fillId="0" borderId="0" xfId="1537" applyFont="1" applyAlignment="1">
      <alignment horizontal="left"/>
    </xf>
    <xf numFmtId="0" fontId="0" fillId="22" borderId="0" xfId="1537" applyFont="1" applyFill="1" applyAlignment="1">
      <alignment horizontal="left"/>
    </xf>
    <xf numFmtId="0" fontId="0" fillId="24" borderId="0" xfId="1537" applyFont="1" applyFill="1" applyAlignment="1">
      <alignment horizontal="left"/>
    </xf>
    <xf numFmtId="0" fontId="0" fillId="38" borderId="0" xfId="1537" applyFont="1" applyFill="1" applyAlignment="1">
      <alignment horizontal="left"/>
    </xf>
    <xf numFmtId="0" fontId="0" fillId="39" borderId="0" xfId="1537" applyFont="1" applyFill="1" applyAlignment="1">
      <alignment horizontal="left"/>
    </xf>
    <xf numFmtId="0" fontId="12" fillId="0" borderId="0" xfId="1537" applyFont="1" applyAlignment="1">
      <alignment horizontal="left"/>
    </xf>
    <xf numFmtId="0" fontId="14" fillId="0" borderId="0" xfId="1537" applyFont="1"/>
    <xf numFmtId="0" fontId="15" fillId="0" borderId="0" xfId="1537" applyFont="1"/>
    <xf numFmtId="164" fontId="16" fillId="0" borderId="0" xfId="1537" applyNumberFormat="1" applyFont="1" applyAlignment="1">
      <alignment horizontal="left" vertical="center" wrapText="1"/>
    </xf>
    <xf numFmtId="0" fontId="16" fillId="0" borderId="0" xfId="1537" applyFont="1" applyAlignment="1">
      <alignment horizontal="left" vertical="center" wrapText="1"/>
    </xf>
    <xf numFmtId="0" fontId="0" fillId="40" borderId="0" xfId="1537" applyFont="1" applyFill="1"/>
    <xf numFmtId="165" fontId="0" fillId="0" borderId="0" xfId="1537" applyNumberFormat="1" applyFont="1"/>
    <xf numFmtId="0" fontId="0" fillId="38" borderId="0" xfId="1537" applyFont="1" applyFill="1"/>
    <xf numFmtId="0" fontId="0" fillId="41" borderId="0" xfId="1537" applyFont="1" applyFill="1"/>
    <xf numFmtId="0" fontId="16" fillId="0" borderId="0" xfId="1537" applyFont="1"/>
    <xf numFmtId="0" fontId="16" fillId="40" borderId="0" xfId="1537" applyFont="1" applyFill="1"/>
    <xf numFmtId="3" fontId="0" fillId="0" borderId="0" xfId="1537" applyNumberFormat="1" applyFont="1"/>
    <xf numFmtId="0" fontId="17" fillId="0" borderId="0" xfId="1537" applyFont="1"/>
    <xf numFmtId="0" fontId="0" fillId="0" borderId="0" xfId="1537" applyFont="1" applyAlignment="1">
      <alignment horizontal="left" vertical="top"/>
    </xf>
    <xf numFmtId="0" fontId="18" fillId="0" borderId="0" xfId="1537" applyFont="1" applyAlignment="1">
      <alignment horizontal="left"/>
    </xf>
    <xf numFmtId="0" fontId="13" fillId="0" borderId="0" xfId="1537" applyFont="1"/>
    <xf numFmtId="0" fontId="19" fillId="0" borderId="0" xfId="1537" applyFont="1"/>
    <xf numFmtId="0" fontId="0" fillId="42" borderId="0" xfId="1537" applyFont="1" applyFill="1" applyAlignment="1">
      <alignment horizontal="left"/>
    </xf>
    <xf numFmtId="0" fontId="0" fillId="42" borderId="0" xfId="1537" applyFont="1" applyFill="1"/>
    <xf numFmtId="0" fontId="0" fillId="42" borderId="0" xfId="1537" applyFont="1" applyFill="1" applyAlignment="1">
      <alignment horizontal="left" vertical="top"/>
    </xf>
    <xf numFmtId="0" fontId="13" fillId="42" borderId="0" xfId="1537" applyFont="1" applyFill="1"/>
    <xf numFmtId="0" fontId="19" fillId="42" borderId="0" xfId="1537" applyFont="1" applyFill="1"/>
    <xf numFmtId="49" fontId="12" fillId="22" borderId="0" xfId="1537" applyNumberFormat="1" applyFont="1" applyFill="1" applyAlignment="1">
      <alignment horizontal="left"/>
    </xf>
    <xf numFmtId="0" fontId="16" fillId="22" borderId="0" xfId="1537" applyFont="1" applyFill="1"/>
    <xf numFmtId="0" fontId="0" fillId="22" borderId="0" xfId="1537" applyFont="1" applyFill="1"/>
    <xf numFmtId="0" fontId="12" fillId="22" borderId="0" xfId="1537" applyFont="1" applyFill="1"/>
    <xf numFmtId="2" fontId="12" fillId="22" borderId="0" xfId="1537" applyNumberFormat="1" applyFont="1" applyFill="1" applyAlignment="1">
      <alignment horizontal="left" vertical="center"/>
    </xf>
    <xf numFmtId="11" fontId="12" fillId="22" borderId="0" xfId="1537" applyNumberFormat="1" applyFont="1" applyFill="1" applyAlignment="1">
      <alignment horizontal="left" vertical="center"/>
    </xf>
    <xf numFmtId="164" fontId="12" fillId="22" borderId="0" xfId="1537" applyNumberFormat="1" applyFont="1" applyFill="1"/>
    <xf numFmtId="49" fontId="0" fillId="12" borderId="0" xfId="1537" applyNumberFormat="1" applyFont="1" applyFill="1" applyAlignment="1">
      <alignment horizontal="center" vertical="center" wrapText="1"/>
    </xf>
    <xf numFmtId="0" fontId="16" fillId="12" borderId="0" xfId="1537" applyFont="1" applyFill="1" applyAlignment="1">
      <alignment horizontal="center" vertical="center" wrapText="1"/>
    </xf>
    <xf numFmtId="0" fontId="0" fillId="12" borderId="0" xfId="1537" applyFont="1" applyFill="1" applyAlignment="1">
      <alignment horizontal="center" vertical="center"/>
    </xf>
    <xf numFmtId="0" fontId="0" fillId="12" borderId="0" xfId="1537" applyFont="1" applyFill="1" applyAlignment="1">
      <alignment horizontal="center" vertical="center" wrapText="1"/>
    </xf>
    <xf numFmtId="1" fontId="0" fillId="12" borderId="0" xfId="1537" applyNumberFormat="1" applyFont="1" applyFill="1" applyAlignment="1">
      <alignment horizontal="left" vertical="top" wrapText="1"/>
    </xf>
    <xf numFmtId="1" fontId="16" fillId="12" borderId="0" xfId="1537" applyNumberFormat="1" applyFont="1" applyFill="1" applyAlignment="1">
      <alignment horizontal="left" vertical="top" wrapText="1"/>
    </xf>
    <xf numFmtId="1" fontId="16" fillId="12" borderId="0" xfId="1537" applyNumberFormat="1" applyFont="1" applyFill="1" applyAlignment="1">
      <alignment horizontal="center" vertical="center" wrapText="1"/>
    </xf>
    <xf numFmtId="2" fontId="16" fillId="12" borderId="0" xfId="1537" applyNumberFormat="1" applyFont="1" applyFill="1" applyAlignment="1">
      <alignment horizontal="center" vertical="center" wrapText="1"/>
    </xf>
    <xf numFmtId="166" fontId="0" fillId="12" borderId="0" xfId="1537" applyNumberFormat="1" applyFont="1" applyFill="1" applyAlignment="1">
      <alignment horizontal="center" vertical="center" wrapText="1"/>
    </xf>
    <xf numFmtId="11" fontId="0" fillId="12" borderId="0" xfId="1537" applyNumberFormat="1" applyFont="1" applyFill="1" applyAlignment="1">
      <alignment horizontal="center" vertical="center" wrapText="1"/>
    </xf>
    <xf numFmtId="164" fontId="0" fillId="12" borderId="0" xfId="1537" applyNumberFormat="1" applyFont="1" applyFill="1" applyAlignment="1">
      <alignment horizontal="center" vertical="center" wrapText="1"/>
    </xf>
    <xf numFmtId="0" fontId="0" fillId="0" borderId="0" xfId="1537" applyFont="1" applyAlignment="1">
      <alignment vertical="center"/>
    </xf>
    <xf numFmtId="49" fontId="0" fillId="0" borderId="0" xfId="1537" applyNumberFormat="1" applyFont="1" applyAlignment="1">
      <alignment horizontal="left" vertical="top"/>
    </xf>
    <xf numFmtId="2" fontId="0" fillId="0" borderId="0" xfId="1537" applyNumberFormat="1" applyFont="1"/>
    <xf numFmtId="167" fontId="0" fillId="0" borderId="0" xfId="1537" applyNumberFormat="1" applyFont="1"/>
    <xf numFmtId="11" fontId="0" fillId="0" borderId="0" xfId="1537" applyNumberFormat="1" applyFont="1"/>
    <xf numFmtId="2" fontId="16" fillId="0" borderId="0" xfId="1537" applyNumberFormat="1" applyFont="1"/>
    <xf numFmtId="165" fontId="16" fillId="0" borderId="0" xfId="1537" applyNumberFormat="1" applyFont="1"/>
    <xf numFmtId="164" fontId="16" fillId="0" borderId="0" xfId="1537" applyNumberFormat="1" applyFont="1"/>
    <xf numFmtId="4" fontId="0" fillId="0" borderId="0" xfId="1537" applyNumberFormat="1" applyFont="1"/>
    <xf numFmtId="168" fontId="0" fillId="0" borderId="0" xfId="1537" applyNumberFormat="1" applyFont="1"/>
    <xf numFmtId="168" fontId="16" fillId="0" borderId="0" xfId="1537" applyNumberFormat="1" applyFont="1"/>
    <xf numFmtId="164" fontId="0" fillId="0" borderId="0" xfId="1537" applyNumberFormat="1" applyFont="1"/>
    <xf numFmtId="11" fontId="19" fillId="0" borderId="0" xfId="1537" applyNumberFormat="1" applyFont="1"/>
    <xf numFmtId="0" fontId="5" fillId="42" borderId="0" xfId="1537" applyFont="1" applyFill="1" applyAlignment="1">
      <alignment horizontal="left"/>
    </xf>
    <xf numFmtId="0" fontId="5" fillId="42" borderId="0" xfId="1537" applyFont="1" applyFill="1"/>
    <xf numFmtId="0" fontId="20" fillId="42" borderId="0" xfId="1537" applyFont="1" applyFill="1"/>
    <xf numFmtId="164" fontId="20" fillId="42" borderId="0" xfId="1537" applyNumberFormat="1" applyFont="1" applyFill="1"/>
    <xf numFmtId="0" fontId="21" fillId="42" borderId="0" xfId="1537" applyFont="1" applyFill="1"/>
    <xf numFmtId="0" fontId="0" fillId="22" borderId="0" xfId="1537" applyFont="1" applyFill="1" applyAlignment="1">
      <alignment horizontal="left" vertical="top"/>
    </xf>
    <xf numFmtId="164" fontId="12" fillId="22" borderId="0" xfId="1537" applyNumberFormat="1" applyFont="1" applyFill="1" applyAlignment="1">
      <alignment horizontal="left" vertical="center"/>
    </xf>
    <xf numFmtId="164" fontId="0" fillId="22" borderId="0" xfId="1537" applyNumberFormat="1" applyFont="1" applyFill="1" applyAlignment="1">
      <alignment horizontal="center" vertical="center" wrapText="1"/>
    </xf>
    <xf numFmtId="164" fontId="0" fillId="22" borderId="0" xfId="1537" applyNumberFormat="1" applyFont="1" applyFill="1"/>
    <xf numFmtId="0" fontId="5" fillId="22" borderId="0" xfId="1537" applyFont="1" applyFill="1"/>
    <xf numFmtId="0" fontId="19" fillId="22" borderId="0" xfId="1537" applyFont="1" applyFill="1"/>
    <xf numFmtId="164" fontId="5" fillId="22" borderId="0" xfId="1537" applyNumberFormat="1" applyFont="1" applyFill="1"/>
    <xf numFmtId="0" fontId="19" fillId="12" borderId="0" xfId="1537" applyFont="1" applyFill="1" applyAlignment="1">
      <alignment horizontal="center" vertical="center" wrapText="1"/>
    </xf>
    <xf numFmtId="0" fontId="0" fillId="0" borderId="7" xfId="1537" applyFont="1" applyBorder="1" applyAlignment="1">
      <alignment horizontal="left" vertical="top"/>
    </xf>
    <xf numFmtId="0" fontId="16" fillId="0" borderId="7" xfId="1537" applyFont="1" applyBorder="1"/>
    <xf numFmtId="3" fontId="0" fillId="0" borderId="7" xfId="1537" applyNumberFormat="1" applyFont="1" applyBorder="1"/>
    <xf numFmtId="3" fontId="0" fillId="0" borderId="7" xfId="1537" applyNumberFormat="1" applyFont="1" applyBorder="1" applyAlignment="1">
      <alignment horizontal="left" vertical="top"/>
    </xf>
    <xf numFmtId="165" fontId="16" fillId="0" borderId="7" xfId="1537" applyNumberFormat="1" applyFont="1" applyBorder="1"/>
    <xf numFmtId="165" fontId="0" fillId="0" borderId="7" xfId="1537" applyNumberFormat="1" applyFont="1" applyBorder="1"/>
    <xf numFmtId="0" fontId="0" fillId="0" borderId="7" xfId="1537" applyFont="1" applyBorder="1"/>
    <xf numFmtId="0" fontId="19" fillId="0" borderId="7" xfId="1537" applyFont="1" applyBorder="1"/>
    <xf numFmtId="2" fontId="0" fillId="0" borderId="7" xfId="1537" applyNumberFormat="1" applyFont="1" applyBorder="1"/>
    <xf numFmtId="11" fontId="16" fillId="0" borderId="0" xfId="1537" applyNumberFormat="1" applyFont="1" applyAlignment="1">
      <alignment horizontal="left" vertical="top"/>
    </xf>
    <xf numFmtId="164" fontId="19" fillId="0" borderId="0" xfId="1537" applyNumberFormat="1" applyFont="1"/>
    <xf numFmtId="0" fontId="0" fillId="38" borderId="8" xfId="1537" applyFont="1" applyFill="1" applyBorder="1" applyAlignment="1">
      <alignment horizontal="left" vertical="top"/>
    </xf>
    <xf numFmtId="0" fontId="16" fillId="38" borderId="8" xfId="1537" applyFont="1" applyFill="1" applyBorder="1"/>
    <xf numFmtId="3" fontId="0" fillId="38" borderId="8" xfId="1537" applyNumberFormat="1" applyFont="1" applyFill="1" applyBorder="1"/>
    <xf numFmtId="11" fontId="16" fillId="38" borderId="8" xfId="1537" applyNumberFormat="1" applyFont="1" applyFill="1" applyBorder="1" applyAlignment="1">
      <alignment horizontal="left" vertical="top"/>
    </xf>
    <xf numFmtId="2" fontId="16" fillId="38" borderId="9" xfId="1537" applyNumberFormat="1" applyFont="1" applyFill="1" applyBorder="1"/>
    <xf numFmtId="165" fontId="16" fillId="38" borderId="8" xfId="1537" applyNumberFormat="1" applyFont="1" applyFill="1" applyBorder="1"/>
    <xf numFmtId="2" fontId="16" fillId="38" borderId="0" xfId="1537" applyNumberFormat="1" applyFont="1" applyFill="1"/>
    <xf numFmtId="2" fontId="0" fillId="6" borderId="0" xfId="1537" applyNumberFormat="1" applyFont="1" applyFill="1"/>
    <xf numFmtId="3" fontId="0" fillId="0" borderId="0" xfId="1537" applyNumberFormat="1" applyFont="1" applyAlignment="1">
      <alignment horizontal="left" vertical="top"/>
    </xf>
    <xf numFmtId="3" fontId="0" fillId="38" borderId="0" xfId="1537" applyNumberFormat="1" applyFont="1" applyFill="1"/>
    <xf numFmtId="11" fontId="16" fillId="38" borderId="10" xfId="1537" applyNumberFormat="1" applyFont="1" applyFill="1" applyBorder="1" applyAlignment="1">
      <alignment horizontal="left" vertical="top"/>
    </xf>
    <xf numFmtId="0" fontId="0" fillId="38" borderId="8" xfId="1537" applyFont="1" applyFill="1" applyBorder="1"/>
    <xf numFmtId="167" fontId="19" fillId="0" borderId="0" xfId="1537" applyNumberFormat="1" applyFont="1"/>
    <xf numFmtId="2" fontId="16" fillId="38" borderId="11" xfId="1537" applyNumberFormat="1" applyFont="1" applyFill="1" applyBorder="1"/>
    <xf numFmtId="165" fontId="16" fillId="38" borderId="12" xfId="1537" applyNumberFormat="1" applyFont="1" applyFill="1" applyBorder="1"/>
    <xf numFmtId="0" fontId="22" fillId="0" borderId="0" xfId="1537" applyFont="1"/>
    <xf numFmtId="3" fontId="16" fillId="0" borderId="0" xfId="1537" applyNumberFormat="1" applyFont="1"/>
    <xf numFmtId="0" fontId="1" fillId="0" borderId="0" xfId="1537" applyFont="1"/>
    <xf numFmtId="4" fontId="0" fillId="38" borderId="0" xfId="1537" applyNumberFormat="1" applyFont="1" applyFill="1"/>
    <xf numFmtId="4" fontId="16" fillId="38" borderId="0" xfId="1537" applyNumberFormat="1" applyFont="1" applyFill="1"/>
    <xf numFmtId="0" fontId="23" fillId="0" borderId="0" xfId="1537" applyFont="1"/>
    <xf numFmtId="169" fontId="16" fillId="0" borderId="0" xfId="1537" applyNumberFormat="1" applyFont="1"/>
    <xf numFmtId="0" fontId="18" fillId="0" borderId="0" xfId="1537" applyFont="1"/>
    <xf numFmtId="4" fontId="16" fillId="0" borderId="0" xfId="1537" applyNumberFormat="1" applyFont="1"/>
    <xf numFmtId="0" fontId="24" fillId="0" borderId="0" xfId="1537" applyFont="1"/>
    <xf numFmtId="0" fontId="25" fillId="0" borderId="0" xfId="1537" applyFont="1"/>
    <xf numFmtId="3" fontId="26" fillId="0" borderId="0" xfId="1537" applyNumberFormat="1" applyFont="1"/>
    <xf numFmtId="0" fontId="16" fillId="38" borderId="0" xfId="1537" applyFont="1" applyFill="1"/>
    <xf numFmtId="0" fontId="27" fillId="0" borderId="0" xfId="1537" applyFont="1"/>
    <xf numFmtId="3" fontId="16" fillId="38" borderId="0" xfId="1537" applyNumberFormat="1" applyFont="1" applyFill="1"/>
    <xf numFmtId="170" fontId="16" fillId="0" borderId="0" xfId="1537" applyNumberFormat="1" applyFont="1"/>
    <xf numFmtId="167" fontId="16" fillId="0" borderId="0" xfId="1537" applyNumberFormat="1" applyFont="1"/>
    <xf numFmtId="169" fontId="0" fillId="0" borderId="0" xfId="1537" applyNumberFormat="1" applyFont="1"/>
    <xf numFmtId="0" fontId="0" fillId="2" borderId="0" xfId="1537" applyFont="1" applyFill="1"/>
    <xf numFmtId="0" fontId="28" fillId="0" borderId="0" xfId="1537" applyFont="1"/>
    <xf numFmtId="0" fontId="29" fillId="0" borderId="0" xfId="1537" applyFont="1"/>
    <xf numFmtId="0" fontId="30" fillId="0" borderId="0" xfId="1537" applyFont="1"/>
    <xf numFmtId="168" fontId="29" fillId="0" borderId="0" xfId="1537" applyNumberFormat="1" applyFont="1"/>
    <xf numFmtId="168" fontId="28" fillId="0" borderId="0" xfId="1537" applyNumberFormat="1" applyFont="1"/>
    <xf numFmtId="0" fontId="31" fillId="0" borderId="13" xfId="1537" applyFont="1" applyBorder="1"/>
    <xf numFmtId="0" fontId="18" fillId="0" borderId="7" xfId="1537" applyFont="1" applyBorder="1"/>
    <xf numFmtId="0" fontId="18" fillId="0" borderId="14" xfId="1537" applyFont="1" applyBorder="1"/>
    <xf numFmtId="0" fontId="12" fillId="0" borderId="0" xfId="1537" applyFont="1"/>
    <xf numFmtId="0" fontId="18" fillId="0" borderId="15" xfId="1537" applyFont="1" applyBorder="1"/>
    <xf numFmtId="0" fontId="18" fillId="0" borderId="16" xfId="1537" applyFont="1" applyBorder="1"/>
    <xf numFmtId="2" fontId="28" fillId="0" borderId="0" xfId="1537" applyNumberFormat="1" applyFont="1"/>
    <xf numFmtId="0" fontId="22" fillId="2" borderId="0" xfId="1537" applyFont="1" applyFill="1"/>
    <xf numFmtId="0" fontId="32" fillId="0" borderId="0" xfId="1537" applyFont="1"/>
    <xf numFmtId="165" fontId="29" fillId="0" borderId="0" xfId="1537" applyNumberFormat="1" applyFont="1"/>
    <xf numFmtId="165" fontId="28" fillId="0" borderId="0" xfId="1537" applyNumberFormat="1" applyFont="1"/>
    <xf numFmtId="3" fontId="23" fillId="0" borderId="0" xfId="1537" applyNumberFormat="1" applyFont="1"/>
    <xf numFmtId="169" fontId="23" fillId="0" borderId="0" xfId="1537" applyNumberFormat="1" applyFont="1"/>
    <xf numFmtId="0" fontId="18" fillId="0" borderId="17" xfId="1537" applyFont="1" applyBorder="1"/>
    <xf numFmtId="0" fontId="18" fillId="0" borderId="8" xfId="1537" applyFont="1" applyBorder="1"/>
    <xf numFmtId="168" fontId="18" fillId="0" borderId="8" xfId="1537" applyNumberFormat="1" applyFont="1" applyBorder="1"/>
    <xf numFmtId="0" fontId="18" fillId="0" borderId="18" xfId="1537" applyFont="1" applyBorder="1"/>
    <xf numFmtId="3" fontId="22" fillId="0" borderId="0" xfId="1537" applyNumberFormat="1" applyFont="1"/>
    <xf numFmtId="0" fontId="18" fillId="2" borderId="0" xfId="1537" applyFont="1" applyFill="1"/>
    <xf numFmtId="1" fontId="28" fillId="0" borderId="0" xfId="1537" applyNumberFormat="1" applyFont="1"/>
    <xf numFmtId="2" fontId="29" fillId="0" borderId="0" xfId="1537" applyNumberFormat="1" applyFont="1"/>
    <xf numFmtId="2" fontId="27" fillId="0" borderId="0" xfId="1537" applyNumberFormat="1" applyFont="1"/>
    <xf numFmtId="0" fontId="33" fillId="0" borderId="0" xfId="1537" applyFont="1" applyAlignment="1">
      <alignment horizontal="left" vertical="center"/>
    </xf>
    <xf numFmtId="165" fontId="34" fillId="0" borderId="0" xfId="1537" applyNumberFormat="1" applyFont="1"/>
    <xf numFmtId="167" fontId="34" fillId="0" borderId="0" xfId="1537" applyNumberFormat="1" applyFont="1"/>
    <xf numFmtId="170" fontId="34" fillId="0" borderId="0" xfId="1537" applyNumberFormat="1" applyFont="1"/>
    <xf numFmtId="164" fontId="34" fillId="0" borderId="0" xfId="1537" applyNumberFormat="1" applyFont="1"/>
    <xf numFmtId="3" fontId="0" fillId="2" borderId="0" xfId="1537" applyNumberFormat="1" applyFont="1" applyFill="1"/>
    <xf numFmtId="168" fontId="34" fillId="0" borderId="0" xfId="1537" applyNumberFormat="1" applyFont="1"/>
    <xf numFmtId="168" fontId="34" fillId="0" borderId="0" xfId="1537" applyNumberFormat="1" applyFont="1" applyAlignment="1">
      <alignment horizontal="right" vertical="center"/>
    </xf>
    <xf numFmtId="0" fontId="23" fillId="0" borderId="0" xfId="1537" applyFont="1" applyAlignment="1">
      <alignment vertical="center"/>
    </xf>
    <xf numFmtId="165" fontId="34" fillId="0" borderId="0" xfId="1537" applyNumberFormat="1" applyFont="1" applyAlignment="1">
      <alignment vertical="center"/>
    </xf>
    <xf numFmtId="2" fontId="35" fillId="0" borderId="0" xfId="1537" applyNumberFormat="1" applyFont="1" applyAlignment="1">
      <alignment vertical="center"/>
    </xf>
    <xf numFmtId="0" fontId="28" fillId="2" borderId="0" xfId="1537" applyFont="1" applyFill="1"/>
    <xf numFmtId="168" fontId="28" fillId="0" borderId="0" xfId="1537" applyNumberFormat="1" applyFont="1" applyAlignment="1">
      <alignment vertical="center"/>
    </xf>
    <xf numFmtId="1" fontId="28" fillId="0" borderId="0" xfId="1537" applyNumberFormat="1" applyFont="1" applyAlignment="1">
      <alignment vertical="center"/>
    </xf>
    <xf numFmtId="0" fontId="35" fillId="0" borderId="0" xfId="1537" applyFont="1"/>
    <xf numFmtId="0" fontId="0" fillId="0" borderId="0" xfId="1537" applyFont="1" applyAlignment="1">
      <alignment horizontal="left" vertical="center" wrapText="1"/>
    </xf>
    <xf numFmtId="168" fontId="0" fillId="8" borderId="0" xfId="1537" applyNumberFormat="1" applyFont="1" applyFill="1"/>
    <xf numFmtId="0" fontId="12" fillId="0" borderId="0" xfId="1537" applyFont="1" applyAlignment="1">
      <alignment horizontal="left" vertical="center"/>
    </xf>
    <xf numFmtId="0" fontId="0" fillId="0" borderId="0" xfId="1537" applyFont="1" applyAlignment="1">
      <alignment horizontal="left" vertical="center"/>
    </xf>
    <xf numFmtId="1" fontId="0" fillId="38" borderId="0" xfId="1537" applyNumberFormat="1" applyFont="1" applyFill="1"/>
    <xf numFmtId="2" fontId="0" fillId="38" borderId="0" xfId="1537" applyNumberFormat="1" applyFont="1" applyFill="1"/>
    <xf numFmtId="168" fontId="0" fillId="38" borderId="0" xfId="1537" applyNumberFormat="1" applyFont="1" applyFill="1"/>
    <xf numFmtId="0" fontId="18" fillId="0" borderId="0" xfId="1537" applyFont="1" applyAlignment="1">
      <alignment horizontal="left" vertical="center"/>
    </xf>
    <xf numFmtId="0" fontId="0" fillId="2" borderId="19" xfId="1537" applyFont="1" applyFill="1" applyBorder="1"/>
    <xf numFmtId="0" fontId="0" fillId="2" borderId="13" xfId="1537" applyFont="1" applyFill="1" applyBorder="1"/>
    <xf numFmtId="0" fontId="0" fillId="2" borderId="7" xfId="1537" applyFont="1" applyFill="1" applyBorder="1"/>
    <xf numFmtId="0" fontId="0" fillId="2" borderId="14" xfId="1537" applyFont="1" applyFill="1" applyBorder="1"/>
    <xf numFmtId="0" fontId="0" fillId="0" borderId="20" xfId="1537" applyFont="1" applyBorder="1"/>
    <xf numFmtId="0" fontId="32" fillId="0" borderId="15" xfId="1537" applyFont="1" applyBorder="1" applyAlignment="1">
      <alignment horizontal="left" vertical="center"/>
    </xf>
    <xf numFmtId="0" fontId="32" fillId="0" borderId="0" xfId="1537" applyFont="1" applyAlignment="1">
      <alignment horizontal="left" vertical="center"/>
    </xf>
    <xf numFmtId="0" fontId="32" fillId="0" borderId="16" xfId="1537" applyFont="1" applyBorder="1" applyAlignment="1">
      <alignment horizontal="left" vertical="center"/>
    </xf>
    <xf numFmtId="2" fontId="32" fillId="0" borderId="20" xfId="1537" applyNumberFormat="1" applyFont="1" applyBorder="1"/>
    <xf numFmtId="2" fontId="28" fillId="0" borderId="0" xfId="1537" applyNumberFormat="1" applyFont="1" applyAlignment="1">
      <alignment horizontal="right" vertical="center"/>
    </xf>
    <xf numFmtId="2" fontId="28" fillId="0" borderId="16" xfId="1537" applyNumberFormat="1" applyFont="1" applyBorder="1" applyAlignment="1">
      <alignment horizontal="right" vertical="center"/>
    </xf>
    <xf numFmtId="2" fontId="28" fillId="0" borderId="15" xfId="1537" applyNumberFormat="1" applyFont="1" applyBorder="1" applyAlignment="1">
      <alignment horizontal="right" vertical="center"/>
    </xf>
    <xf numFmtId="0" fontId="32" fillId="0" borderId="20" xfId="1537" applyFont="1" applyBorder="1"/>
    <xf numFmtId="0" fontId="16" fillId="24" borderId="20" xfId="1537" applyFont="1" applyFill="1" applyBorder="1" applyAlignment="1">
      <alignment horizontal="left" vertical="center"/>
    </xf>
    <xf numFmtId="0" fontId="0" fillId="24" borderId="15" xfId="1537" applyFont="1" applyFill="1" applyBorder="1"/>
    <xf numFmtId="0" fontId="0" fillId="24" borderId="0" xfId="1537" applyFont="1" applyFill="1"/>
    <xf numFmtId="0" fontId="0" fillId="24" borderId="16" xfId="1537" applyFont="1" applyFill="1" applyBorder="1"/>
    <xf numFmtId="0" fontId="0" fillId="38" borderId="20" xfId="1537" applyFont="1" applyFill="1" applyBorder="1"/>
    <xf numFmtId="0" fontId="22" fillId="38" borderId="15" xfId="1537" applyFont="1" applyFill="1" applyBorder="1"/>
    <xf numFmtId="0" fontId="22" fillId="38" borderId="0" xfId="1537" applyFont="1" applyFill="1"/>
    <xf numFmtId="0" fontId="22" fillId="38" borderId="16" xfId="1537" applyFont="1" applyFill="1" applyBorder="1"/>
    <xf numFmtId="0" fontId="23" fillId="0" borderId="20" xfId="1537" applyFont="1" applyBorder="1" applyAlignment="1">
      <alignment horizontal="left" vertical="center"/>
    </xf>
    <xf numFmtId="165" fontId="28" fillId="0" borderId="15" xfId="1537" applyNumberFormat="1" applyFont="1" applyBorder="1" applyAlignment="1">
      <alignment horizontal="right" vertical="center"/>
    </xf>
    <xf numFmtId="0" fontId="0" fillId="0" borderId="16" xfId="1537" applyFont="1" applyBorder="1"/>
    <xf numFmtId="0" fontId="32" fillId="0" borderId="20" xfId="1537" applyFont="1" applyBorder="1" applyAlignment="1">
      <alignment horizontal="left" vertical="center"/>
    </xf>
    <xf numFmtId="0" fontId="0" fillId="0" borderId="0" xfId="1537" applyFont="1" applyAlignment="1">
      <alignment wrapText="1"/>
    </xf>
    <xf numFmtId="2" fontId="28" fillId="0" borderId="15" xfId="1537" applyNumberFormat="1" applyFont="1" applyBorder="1"/>
    <xf numFmtId="2" fontId="28" fillId="0" borderId="16" xfId="1537" applyNumberFormat="1" applyFont="1" applyBorder="1"/>
    <xf numFmtId="0" fontId="0" fillId="0" borderId="15" xfId="1537" applyFont="1" applyBorder="1"/>
    <xf numFmtId="0" fontId="23" fillId="38" borderId="20" xfId="1537" applyFont="1" applyFill="1" applyBorder="1" applyAlignment="1">
      <alignment horizontal="left" vertical="center"/>
    </xf>
    <xf numFmtId="0" fontId="0" fillId="38" borderId="15" xfId="1537" applyFont="1" applyFill="1" applyBorder="1"/>
    <xf numFmtId="0" fontId="0" fillId="38" borderId="16" xfId="1537" applyFont="1" applyFill="1" applyBorder="1"/>
    <xf numFmtId="1" fontId="0" fillId="0" borderId="15" xfId="1537" applyNumberFormat="1" applyFont="1" applyBorder="1"/>
    <xf numFmtId="1" fontId="0" fillId="0" borderId="0" xfId="1537" applyNumberFormat="1" applyFont="1"/>
    <xf numFmtId="1" fontId="0" fillId="0" borderId="16" xfId="1537" applyNumberFormat="1" applyFont="1" applyBorder="1"/>
    <xf numFmtId="1" fontId="16" fillId="0" borderId="0" xfId="1537" applyNumberFormat="1" applyFont="1"/>
    <xf numFmtId="0" fontId="32" fillId="38" borderId="20" xfId="1537" applyFont="1" applyFill="1" applyBorder="1" applyAlignment="1">
      <alignment horizontal="left" vertical="center"/>
    </xf>
    <xf numFmtId="1" fontId="16" fillId="38" borderId="0" xfId="1537" applyNumberFormat="1" applyFont="1" applyFill="1"/>
    <xf numFmtId="2" fontId="0" fillId="0" borderId="15" xfId="1537" applyNumberFormat="1" applyFont="1" applyBorder="1"/>
    <xf numFmtId="2" fontId="0" fillId="0" borderId="16" xfId="1537" applyNumberFormat="1" applyFont="1" applyBorder="1"/>
    <xf numFmtId="2" fontId="13" fillId="0" borderId="0" xfId="1537" applyNumberFormat="1" applyFont="1"/>
    <xf numFmtId="165" fontId="0" fillId="0" borderId="16" xfId="1537" applyNumberFormat="1" applyFont="1" applyBorder="1"/>
    <xf numFmtId="168" fontId="28" fillId="0" borderId="15" xfId="1537" applyNumberFormat="1" applyFont="1" applyBorder="1" applyAlignment="1">
      <alignment horizontal="right" vertical="center"/>
    </xf>
    <xf numFmtId="168" fontId="28" fillId="0" borderId="0" xfId="1537" applyNumberFormat="1" applyFont="1" applyAlignment="1">
      <alignment horizontal="right" vertical="center"/>
    </xf>
    <xf numFmtId="168" fontId="28" fillId="0" borderId="16" xfId="1537" applyNumberFormat="1" applyFont="1" applyBorder="1" applyAlignment="1">
      <alignment horizontal="right" vertical="center"/>
    </xf>
    <xf numFmtId="2" fontId="16" fillId="0" borderId="15" xfId="1537" applyNumberFormat="1" applyFont="1" applyBorder="1"/>
    <xf numFmtId="168" fontId="0" fillId="0" borderId="16" xfId="1537" applyNumberFormat="1" applyFont="1" applyBorder="1"/>
    <xf numFmtId="168" fontId="0" fillId="0" borderId="15" xfId="1537" applyNumberFormat="1" applyFont="1" applyBorder="1"/>
    <xf numFmtId="1" fontId="16" fillId="0" borderId="15" xfId="1537" applyNumberFormat="1" applyFont="1" applyBorder="1"/>
    <xf numFmtId="0" fontId="23" fillId="0" borderId="20" xfId="1537" applyFont="1" applyBorder="1"/>
    <xf numFmtId="0" fontId="36" fillId="0" borderId="20" xfId="1537" applyFont="1" applyBorder="1" applyAlignment="1">
      <alignment horizontal="left" vertical="center"/>
    </xf>
    <xf numFmtId="0" fontId="13" fillId="0" borderId="15" xfId="1537" applyFont="1" applyBorder="1"/>
    <xf numFmtId="0" fontId="13" fillId="0" borderId="16" xfId="1537" applyFont="1" applyBorder="1"/>
    <xf numFmtId="0" fontId="37" fillId="0" borderId="0" xfId="1537" applyFont="1"/>
    <xf numFmtId="1" fontId="16" fillId="38" borderId="15" xfId="1537" applyNumberFormat="1" applyFont="1" applyFill="1" applyBorder="1"/>
    <xf numFmtId="168" fontId="16" fillId="0" borderId="15" xfId="1537" applyNumberFormat="1" applyFont="1" applyBorder="1"/>
    <xf numFmtId="168" fontId="16" fillId="0" borderId="16" xfId="1537" applyNumberFormat="1" applyFont="1" applyBorder="1"/>
    <xf numFmtId="0" fontId="28" fillId="0" borderId="15" xfId="1537" applyFont="1" applyBorder="1"/>
    <xf numFmtId="0" fontId="28" fillId="0" borderId="16" xfId="1537" applyFont="1" applyBorder="1"/>
    <xf numFmtId="0" fontId="23" fillId="38" borderId="20" xfId="1537" applyFont="1" applyFill="1" applyBorder="1"/>
    <xf numFmtId="165" fontId="0" fillId="0" borderId="15" xfId="1537" applyNumberFormat="1" applyFont="1" applyBorder="1"/>
    <xf numFmtId="167" fontId="28" fillId="0" borderId="15" xfId="1537" applyNumberFormat="1" applyFont="1" applyBorder="1"/>
    <xf numFmtId="167" fontId="28" fillId="0" borderId="0" xfId="1537" applyNumberFormat="1" applyFont="1"/>
    <xf numFmtId="167" fontId="28" fillId="0" borderId="16" xfId="1537" applyNumberFormat="1" applyFont="1" applyBorder="1"/>
    <xf numFmtId="168" fontId="0" fillId="38" borderId="15" xfId="1537" applyNumberFormat="1" applyFont="1" applyFill="1" applyBorder="1"/>
    <xf numFmtId="168" fontId="0" fillId="38" borderId="16" xfId="1537" applyNumberFormat="1" applyFont="1" applyFill="1" applyBorder="1"/>
    <xf numFmtId="2" fontId="23" fillId="0" borderId="15" xfId="1537" applyNumberFormat="1" applyFont="1" applyBorder="1"/>
    <xf numFmtId="2" fontId="23" fillId="0" borderId="0" xfId="1537" applyNumberFormat="1" applyFont="1"/>
    <xf numFmtId="2" fontId="23" fillId="0" borderId="16" xfId="1537" applyNumberFormat="1" applyFont="1" applyBorder="1"/>
    <xf numFmtId="0" fontId="22" fillId="0" borderId="15" xfId="1537" applyFont="1" applyBorder="1"/>
    <xf numFmtId="165" fontId="0" fillId="38" borderId="15" xfId="1537" applyNumberFormat="1" applyFont="1" applyFill="1" applyBorder="1"/>
    <xf numFmtId="0" fontId="0" fillId="0" borderId="21" xfId="1537" applyFont="1" applyBorder="1"/>
    <xf numFmtId="0" fontId="0" fillId="0" borderId="17" xfId="1537" applyFont="1" applyBorder="1"/>
    <xf numFmtId="0" fontId="0" fillId="0" borderId="8" xfId="1537" applyFont="1" applyBorder="1"/>
    <xf numFmtId="0" fontId="0" fillId="0" borderId="18" xfId="1537" applyFont="1" applyBorder="1"/>
    <xf numFmtId="0" fontId="23" fillId="0" borderId="0" xfId="1537" applyFont="1" applyAlignment="1">
      <alignment horizontal="left" vertical="center"/>
    </xf>
    <xf numFmtId="0" fontId="12" fillId="24" borderId="0" xfId="1537" applyFont="1" applyFill="1" applyAlignment="1">
      <alignment vertical="center"/>
    </xf>
    <xf numFmtId="0" fontId="0" fillId="24" borderId="0" xfId="1537" applyFont="1" applyFill="1" applyAlignment="1">
      <alignment horizontal="center" vertical="center"/>
    </xf>
    <xf numFmtId="164" fontId="26" fillId="24" borderId="0" xfId="1537" applyNumberFormat="1" applyFont="1" applyFill="1" applyAlignment="1">
      <alignment horizontal="center" vertical="center"/>
    </xf>
    <xf numFmtId="164" fontId="12" fillId="24" borderId="0" xfId="1537" applyNumberFormat="1" applyFont="1" applyFill="1" applyAlignment="1">
      <alignment horizontal="center" vertical="center"/>
    </xf>
    <xf numFmtId="164" fontId="0" fillId="24" borderId="0" xfId="1537" applyNumberFormat="1" applyFont="1" applyFill="1" applyAlignment="1">
      <alignment horizontal="center" vertical="center" wrapText="1"/>
    </xf>
    <xf numFmtId="164" fontId="0" fillId="24" borderId="0" xfId="1537" applyNumberFormat="1" applyFont="1" applyFill="1" applyAlignment="1">
      <alignment horizontal="center" vertical="center"/>
    </xf>
    <xf numFmtId="164" fontId="12" fillId="24" borderId="0" xfId="1537" applyNumberFormat="1" applyFont="1" applyFill="1" applyAlignment="1">
      <alignment horizontal="center" vertical="center" wrapText="1"/>
    </xf>
    <xf numFmtId="0" fontId="12" fillId="24" borderId="0" xfId="1537" applyFont="1" applyFill="1" applyAlignment="1">
      <alignment horizontal="center" vertical="center"/>
    </xf>
    <xf numFmtId="0" fontId="0" fillId="2" borderId="0" xfId="1537" applyFont="1" applyFill="1" applyAlignment="1">
      <alignment horizontal="left" vertical="center"/>
    </xf>
    <xf numFmtId="0" fontId="0" fillId="2" borderId="0" xfId="1537" applyFont="1" applyFill="1" applyAlignment="1">
      <alignment horizontal="center" vertical="center" wrapText="1"/>
    </xf>
    <xf numFmtId="0" fontId="26" fillId="2" borderId="0" xfId="1537" applyFont="1" applyFill="1" applyAlignment="1">
      <alignment horizontal="left" vertical="center" wrapText="1"/>
    </xf>
    <xf numFmtId="164" fontId="0" fillId="2" borderId="0" xfId="1537" applyNumberFormat="1" applyFont="1" applyFill="1" applyAlignment="1">
      <alignment horizontal="center" vertical="center" wrapText="1"/>
    </xf>
    <xf numFmtId="49" fontId="0" fillId="0" borderId="0" xfId="1537" applyNumberFormat="1" applyFont="1"/>
    <xf numFmtId="0" fontId="16" fillId="0" borderId="0" xfId="1537" applyFont="1" applyAlignment="1">
      <alignment horizontal="left"/>
    </xf>
    <xf numFmtId="2" fontId="16" fillId="0" borderId="0" xfId="1537" applyNumberFormat="1" applyFont="1" applyAlignment="1">
      <alignment horizontal="right"/>
    </xf>
    <xf numFmtId="0" fontId="38" fillId="0" borderId="0" xfId="1537" applyFont="1"/>
    <xf numFmtId="2" fontId="32" fillId="0" borderId="0" xfId="1537" applyNumberFormat="1" applyFont="1"/>
    <xf numFmtId="165" fontId="38" fillId="0" borderId="0" xfId="1537" applyNumberFormat="1" applyFont="1"/>
    <xf numFmtId="0" fontId="39" fillId="0" borderId="0" xfId="1537" applyFont="1" applyAlignment="1">
      <alignment horizontal="left" vertical="center"/>
    </xf>
    <xf numFmtId="2" fontId="16" fillId="0" borderId="0" xfId="1537" applyNumberFormat="1" applyFont="1" applyAlignment="1">
      <alignment horizontal="left" vertical="center"/>
    </xf>
    <xf numFmtId="2" fontId="16" fillId="0" borderId="0" xfId="1537" applyNumberFormat="1" applyFont="1" applyAlignment="1">
      <alignment horizontal="right" vertical="center"/>
    </xf>
    <xf numFmtId="0" fontId="0" fillId="43" borderId="8" xfId="1537" applyFont="1" applyFill="1" applyBorder="1"/>
    <xf numFmtId="3" fontId="12" fillId="43" borderId="8" xfId="1537" applyNumberFormat="1" applyFont="1" applyFill="1" applyBorder="1"/>
    <xf numFmtId="0" fontId="16" fillId="43" borderId="8" xfId="1537" applyFont="1" applyFill="1" applyBorder="1"/>
    <xf numFmtId="0" fontId="16" fillId="43" borderId="8" xfId="1537" applyFont="1" applyFill="1" applyBorder="1" applyAlignment="1">
      <alignment horizontal="left"/>
    </xf>
    <xf numFmtId="165" fontId="16" fillId="43" borderId="8" xfId="1537" applyNumberFormat="1" applyFont="1" applyFill="1" applyBorder="1"/>
    <xf numFmtId="0" fontId="40" fillId="43" borderId="8" xfId="1537" applyFont="1" applyFill="1" applyBorder="1"/>
    <xf numFmtId="165" fontId="13" fillId="0" borderId="0" xfId="1537" applyNumberFormat="1" applyFont="1"/>
    <xf numFmtId="11" fontId="16" fillId="0" borderId="0" xfId="1537" applyNumberFormat="1" applyFont="1" applyAlignment="1">
      <alignment horizontal="right"/>
    </xf>
    <xf numFmtId="164" fontId="28" fillId="0" borderId="0" xfId="1537" applyNumberFormat="1" applyFont="1"/>
    <xf numFmtId="171" fontId="28" fillId="0" borderId="0" xfId="1537" applyNumberFormat="1" applyFont="1"/>
    <xf numFmtId="11" fontId="28" fillId="0" borderId="0" xfId="1537" applyNumberFormat="1" applyFont="1"/>
    <xf numFmtId="11" fontId="28" fillId="0" borderId="0" xfId="1537" applyNumberFormat="1" applyFont="1" applyAlignment="1">
      <alignment horizontal="right"/>
    </xf>
    <xf numFmtId="11" fontId="16" fillId="0" borderId="0" xfId="1537" applyNumberFormat="1" applyFont="1" applyAlignment="1">
      <alignment horizontal="right" vertical="center"/>
    </xf>
    <xf numFmtId="11" fontId="16" fillId="43" borderId="0" xfId="1537" applyNumberFormat="1" applyFont="1" applyFill="1"/>
    <xf numFmtId="11" fontId="16" fillId="0" borderId="7" xfId="1537" applyNumberFormat="1" applyFont="1" applyBorder="1" applyAlignment="1">
      <alignment horizontal="right"/>
    </xf>
    <xf numFmtId="164" fontId="28" fillId="0" borderId="7" xfId="1537" applyNumberFormat="1" applyFont="1" applyBorder="1"/>
    <xf numFmtId="171" fontId="28" fillId="0" borderId="7" xfId="1537" applyNumberFormat="1" applyFont="1" applyBorder="1"/>
    <xf numFmtId="2" fontId="28" fillId="0" borderId="7" xfId="1537" applyNumberFormat="1" applyFont="1" applyBorder="1"/>
    <xf numFmtId="0" fontId="28" fillId="0" borderId="7" xfId="1537" applyFont="1" applyBorder="1"/>
    <xf numFmtId="11" fontId="28" fillId="0" borderId="7" xfId="1537" applyNumberFormat="1" applyFont="1" applyBorder="1"/>
    <xf numFmtId="0" fontId="0" fillId="43" borderId="0" xfId="1537" applyFont="1" applyFill="1"/>
    <xf numFmtId="3" fontId="12" fillId="43" borderId="0" xfId="1537" applyNumberFormat="1" applyFont="1" applyFill="1"/>
    <xf numFmtId="0" fontId="16" fillId="43" borderId="0" xfId="1537" applyFont="1" applyFill="1"/>
    <xf numFmtId="49" fontId="0" fillId="0" borderId="7" xfId="1537" applyNumberFormat="1" applyFont="1" applyBorder="1"/>
    <xf numFmtId="11" fontId="16" fillId="43" borderId="8" xfId="1537" applyNumberFormat="1" applyFont="1" applyFill="1" applyBorder="1"/>
    <xf numFmtId="0" fontId="12" fillId="24" borderId="0" xfId="1537" applyFont="1" applyFill="1"/>
    <xf numFmtId="2" fontId="12" fillId="24" borderId="0" xfId="1537" applyNumberFormat="1" applyFont="1" applyFill="1" applyAlignment="1">
      <alignment horizontal="left" vertical="center"/>
    </xf>
    <xf numFmtId="11" fontId="12" fillId="24" borderId="0" xfId="1537" applyNumberFormat="1" applyFont="1" applyFill="1" applyAlignment="1">
      <alignment horizontal="left" vertical="center"/>
    </xf>
    <xf numFmtId="164" fontId="12" fillId="24" borderId="0" xfId="1537" applyNumberFormat="1" applyFont="1" applyFill="1"/>
    <xf numFmtId="164" fontId="12" fillId="0" borderId="0" xfId="1537" applyNumberFormat="1" applyFont="1"/>
    <xf numFmtId="0" fontId="0" fillId="2" borderId="0" xfId="1537" applyFont="1" applyFill="1" applyAlignment="1">
      <alignment horizontal="center" vertical="center"/>
    </xf>
    <xf numFmtId="1" fontId="16" fillId="2" borderId="0" xfId="1537" applyNumberFormat="1" applyFont="1" applyFill="1" applyAlignment="1">
      <alignment horizontal="center" vertical="center" wrapText="1"/>
    </xf>
    <xf numFmtId="2" fontId="16" fillId="2" borderId="0" xfId="1537" applyNumberFormat="1" applyFont="1" applyFill="1" applyAlignment="1">
      <alignment horizontal="center" vertical="center" wrapText="1"/>
    </xf>
    <xf numFmtId="166" fontId="0" fillId="2" borderId="0" xfId="1537" applyNumberFormat="1" applyFont="1" applyFill="1" applyAlignment="1">
      <alignment horizontal="center" vertical="center" wrapText="1"/>
    </xf>
    <xf numFmtId="11" fontId="0" fillId="2" borderId="0" xfId="1537" applyNumberFormat="1" applyFont="1" applyFill="1" applyAlignment="1">
      <alignment horizontal="center" vertical="center" wrapText="1"/>
    </xf>
    <xf numFmtId="2" fontId="41" fillId="0" borderId="0" xfId="1537" applyNumberFormat="1" applyFont="1" applyAlignment="1">
      <alignment horizontal="right"/>
    </xf>
    <xf numFmtId="165" fontId="41" fillId="0" borderId="0" xfId="1537" applyNumberFormat="1" applyFont="1"/>
    <xf numFmtId="2" fontId="41" fillId="0" borderId="0" xfId="1537" applyNumberFormat="1" applyFont="1"/>
    <xf numFmtId="11" fontId="41" fillId="0" borderId="0" xfId="1537" applyNumberFormat="1" applyFont="1"/>
    <xf numFmtId="0" fontId="41" fillId="0" borderId="0" xfId="1537" applyFont="1"/>
    <xf numFmtId="165" fontId="41" fillId="0" borderId="0" xfId="1537" applyNumberFormat="1" applyFont="1" applyAlignment="1">
      <alignment horizontal="right" vertical="center"/>
    </xf>
    <xf numFmtId="2" fontId="41" fillId="0" borderId="0" xfId="1537" applyNumberFormat="1" applyFont="1" applyAlignment="1">
      <alignment horizontal="right" vertical="center"/>
    </xf>
    <xf numFmtId="11" fontId="41" fillId="0" borderId="0" xfId="1537" applyNumberFormat="1" applyFont="1" applyAlignment="1">
      <alignment horizontal="right" vertical="center"/>
    </xf>
    <xf numFmtId="11" fontId="16" fillId="0" borderId="0" xfId="1537" applyNumberFormat="1" applyFont="1"/>
    <xf numFmtId="165" fontId="16" fillId="0" borderId="0" xfId="1537" applyNumberFormat="1" applyFont="1" applyAlignment="1">
      <alignment horizontal="right" vertical="center"/>
    </xf>
    <xf numFmtId="166" fontId="16" fillId="0" borderId="0" xfId="1537" applyNumberFormat="1" applyFont="1" applyAlignment="1">
      <alignment horizontal="right" vertical="center"/>
    </xf>
    <xf numFmtId="2" fontId="41" fillId="0" borderId="7" xfId="1537" applyNumberFormat="1" applyFont="1" applyBorder="1"/>
    <xf numFmtId="11" fontId="41" fillId="0" borderId="7" xfId="1537" applyNumberFormat="1" applyFont="1" applyBorder="1" applyAlignment="1">
      <alignment horizontal="right" vertical="center"/>
    </xf>
    <xf numFmtId="0" fontId="41" fillId="0" borderId="0" xfId="1537" applyFont="1" applyAlignment="1">
      <alignment horizontal="right" vertical="center"/>
    </xf>
    <xf numFmtId="0" fontId="15" fillId="38" borderId="0" xfId="1537" applyFont="1" applyFill="1"/>
    <xf numFmtId="0" fontId="12" fillId="32" borderId="0" xfId="1537" applyFont="1" applyFill="1"/>
    <xf numFmtId="0" fontId="0" fillId="32" borderId="0" xfId="1537" applyFont="1" applyFill="1"/>
    <xf numFmtId="164" fontId="12" fillId="32" borderId="0" xfId="1537" applyNumberFormat="1" applyFont="1" applyFill="1" applyAlignment="1">
      <alignment horizontal="left" vertical="center"/>
    </xf>
    <xf numFmtId="164" fontId="0" fillId="32" borderId="0" xfId="1537" applyNumberFormat="1" applyFont="1" applyFill="1" applyAlignment="1">
      <alignment horizontal="center" vertical="center" wrapText="1"/>
    </xf>
    <xf numFmtId="164" fontId="0" fillId="32" borderId="0" xfId="1537" applyNumberFormat="1" applyFont="1" applyFill="1"/>
    <xf numFmtId="164" fontId="12" fillId="32" borderId="0" xfId="1537" applyNumberFormat="1" applyFont="1" applyFill="1"/>
    <xf numFmtId="0" fontId="0" fillId="12" borderId="0" xfId="1537" applyFont="1" applyFill="1" applyAlignment="1">
      <alignment horizontal="left" vertical="center"/>
    </xf>
    <xf numFmtId="0" fontId="0" fillId="12" borderId="0" xfId="1537" applyFont="1" applyFill="1" applyAlignment="1">
      <alignment horizontal="left" vertical="top" wrapText="1"/>
    </xf>
    <xf numFmtId="0" fontId="12" fillId="12" borderId="0" xfId="1537" applyFont="1" applyFill="1" applyAlignment="1">
      <alignment horizontal="left" vertical="center" wrapText="1"/>
    </xf>
    <xf numFmtId="164" fontId="0" fillId="0" borderId="0" xfId="1537" applyNumberFormat="1" applyFont="1" applyAlignment="1">
      <alignment horizontal="left" vertical="center" wrapText="1"/>
    </xf>
    <xf numFmtId="0" fontId="33" fillId="0" borderId="0" xfId="1537" applyFont="1" applyAlignment="1">
      <alignment horizontal="left" vertical="center" wrapText="1"/>
    </xf>
    <xf numFmtId="170" fontId="0" fillId="0" borderId="0" xfId="1537" applyNumberFormat="1" applyFont="1"/>
    <xf numFmtId="0" fontId="0" fillId="0" borderId="13" xfId="1537" applyFont="1" applyBorder="1"/>
    <xf numFmtId="165" fontId="0" fillId="0" borderId="14" xfId="1537" applyNumberFormat="1" applyFont="1" applyBorder="1"/>
    <xf numFmtId="165" fontId="0" fillId="0" borderId="8" xfId="1537" applyNumberFormat="1" applyFont="1" applyBorder="1"/>
    <xf numFmtId="170" fontId="0" fillId="0" borderId="8" xfId="1537" applyNumberFormat="1" applyFont="1" applyBorder="1"/>
    <xf numFmtId="165" fontId="0" fillId="0" borderId="18" xfId="1537" applyNumberFormat="1" applyFont="1" applyBorder="1"/>
    <xf numFmtId="164" fontId="0" fillId="0" borderId="0" xfId="1537" applyNumberFormat="1" applyFont="1" applyAlignment="1">
      <alignment horizontal="center" vertical="center" wrapText="1"/>
    </xf>
    <xf numFmtId="0" fontId="0" fillId="0" borderId="0" xfId="1537" applyFont="1" applyAlignment="1">
      <alignment horizontal="center" vertical="center" wrapText="1"/>
    </xf>
    <xf numFmtId="49" fontId="0" fillId="0" borderId="15" xfId="1537" applyNumberFormat="1" applyFont="1" applyBorder="1"/>
    <xf numFmtId="49" fontId="0" fillId="0" borderId="22" xfId="1537" applyNumberFormat="1" applyFont="1" applyBorder="1"/>
    <xf numFmtId="0" fontId="0" fillId="0" borderId="23" xfId="1537" applyFont="1" applyBorder="1"/>
    <xf numFmtId="2" fontId="0" fillId="0" borderId="23" xfId="1537" applyNumberFormat="1" applyFont="1" applyBorder="1"/>
    <xf numFmtId="167" fontId="0" fillId="0" borderId="23" xfId="1537" applyNumberFormat="1" applyFont="1" applyBorder="1"/>
    <xf numFmtId="11" fontId="0" fillId="0" borderId="23" xfId="1537" applyNumberFormat="1" applyFont="1" applyBorder="1"/>
    <xf numFmtId="166" fontId="0" fillId="0" borderId="0" xfId="1537" applyNumberFormat="1" applyFont="1"/>
    <xf numFmtId="167" fontId="0" fillId="0" borderId="8" xfId="1537" applyNumberFormat="1" applyFont="1" applyBorder="1"/>
    <xf numFmtId="0" fontId="0" fillId="0" borderId="22" xfId="1537" applyFont="1" applyBorder="1"/>
    <xf numFmtId="165" fontId="12" fillId="0" borderId="0" xfId="1537" applyNumberFormat="1" applyFont="1"/>
    <xf numFmtId="0" fontId="23" fillId="38" borderId="0" xfId="1537" applyFont="1" applyFill="1"/>
    <xf numFmtId="1" fontId="16" fillId="0" borderId="0" xfId="1537" applyNumberFormat="1" applyFont="1" applyAlignment="1">
      <alignment vertical="center"/>
    </xf>
    <xf numFmtId="168" fontId="16" fillId="0" borderId="0" xfId="1537" applyNumberFormat="1" applyFont="1" applyAlignment="1">
      <alignment vertical="center"/>
    </xf>
    <xf numFmtId="2" fontId="12" fillId="0" borderId="0" xfId="1537" applyNumberFormat="1" applyFont="1"/>
    <xf numFmtId="2" fontId="0" fillId="0" borderId="0" xfId="0" applyNumberFormat="1"/>
    <xf numFmtId="2" fontId="16" fillId="0" borderId="0" xfId="0" applyNumberFormat="1" applyFont="1"/>
    <xf numFmtId="49" fontId="0" fillId="0" borderId="7" xfId="1537" applyNumberFormat="1" applyFont="1" applyBorder="1" applyAlignment="1">
      <alignment horizontal="left" vertical="top"/>
    </xf>
    <xf numFmtId="0" fontId="0" fillId="0" borderId="7" xfId="0" applyBorder="1"/>
    <xf numFmtId="49" fontId="0" fillId="12" borderId="8" xfId="1537" applyNumberFormat="1" applyFont="1" applyFill="1" applyBorder="1" applyAlignment="1">
      <alignment horizontal="center" vertical="center" wrapText="1"/>
    </xf>
    <xf numFmtId="0" fontId="16" fillId="12" borderId="8" xfId="1537" applyFont="1" applyFill="1" applyBorder="1" applyAlignment="1">
      <alignment horizontal="center" vertical="center" wrapText="1"/>
    </xf>
  </cellXfs>
  <cellStyles count="5096">
    <cellStyle name="???????????" xfId="292" xr:uid="{00000000-0005-0000-0000-000024010000}"/>
    <cellStyle name="20 % - Akzent1" xfId="1" xr:uid="{00000000-0005-0000-0000-000001000000}"/>
    <cellStyle name="20 % - Akzent1 2" xfId="2" xr:uid="{00000000-0005-0000-0000-000002000000}"/>
    <cellStyle name="20 % - Akzent1 3" xfId="3" xr:uid="{00000000-0005-0000-0000-000003000000}"/>
    <cellStyle name="20 % - Akzent2" xfId="4" xr:uid="{00000000-0005-0000-0000-000004000000}"/>
    <cellStyle name="20 % - Akzent2 2" xfId="5" xr:uid="{00000000-0005-0000-0000-000005000000}"/>
    <cellStyle name="20 % - Akzent2 3" xfId="6" xr:uid="{00000000-0005-0000-0000-000006000000}"/>
    <cellStyle name="20 % - Akzent3" xfId="7" xr:uid="{00000000-0005-0000-0000-000007000000}"/>
    <cellStyle name="20 % - Akzent3 2" xfId="8" xr:uid="{00000000-0005-0000-0000-000008000000}"/>
    <cellStyle name="20 % - Akzent3 3" xfId="9" xr:uid="{00000000-0005-0000-0000-000009000000}"/>
    <cellStyle name="20 % - Akzent4" xfId="10" xr:uid="{00000000-0005-0000-0000-00000A000000}"/>
    <cellStyle name="20 % - Akzent4 2" xfId="11" xr:uid="{00000000-0005-0000-0000-00000B000000}"/>
    <cellStyle name="20 % - Akzent4 3" xfId="12" xr:uid="{00000000-0005-0000-0000-00000C000000}"/>
    <cellStyle name="20 % - Akzent5" xfId="13" xr:uid="{00000000-0005-0000-0000-00000D000000}"/>
    <cellStyle name="20 % - Akzent5 2" xfId="14" xr:uid="{00000000-0005-0000-0000-00000E000000}"/>
    <cellStyle name="20 % - Akzent5 3" xfId="15" xr:uid="{00000000-0005-0000-0000-00000F000000}"/>
    <cellStyle name="20 % - Akzent6" xfId="16" xr:uid="{00000000-0005-0000-0000-000010000000}"/>
    <cellStyle name="20 % - Akzent6 2" xfId="17" xr:uid="{00000000-0005-0000-0000-000011000000}"/>
    <cellStyle name="20 % - Akzent6 3" xfId="18" xr:uid="{00000000-0005-0000-0000-000012000000}"/>
    <cellStyle name="20% - Accent1 2" xfId="19" xr:uid="{00000000-0005-0000-0000-000013000000}"/>
    <cellStyle name="20% - Accent1 3" xfId="20" xr:uid="{00000000-0005-0000-0000-000014000000}"/>
    <cellStyle name="20% - Accent2 2" xfId="21" xr:uid="{00000000-0005-0000-0000-000015000000}"/>
    <cellStyle name="20% - Accent2 3" xfId="22" xr:uid="{00000000-0005-0000-0000-000016000000}"/>
    <cellStyle name="20% - Accent3 2" xfId="23" xr:uid="{00000000-0005-0000-0000-000017000000}"/>
    <cellStyle name="20% - Accent3 3" xfId="24" xr:uid="{00000000-0005-0000-0000-000018000000}"/>
    <cellStyle name="20% - Accent4 2" xfId="25" xr:uid="{00000000-0005-0000-0000-000019000000}"/>
    <cellStyle name="20% - Accent4 3" xfId="26" xr:uid="{00000000-0005-0000-0000-00001A000000}"/>
    <cellStyle name="20% - Accent5 2" xfId="27" xr:uid="{00000000-0005-0000-0000-00001B000000}"/>
    <cellStyle name="20% - Accent5 3" xfId="28" xr:uid="{00000000-0005-0000-0000-00001C000000}"/>
    <cellStyle name="20% - Accent6 2" xfId="29" xr:uid="{00000000-0005-0000-0000-00001D000000}"/>
    <cellStyle name="20% - Accent6 3" xfId="30" xr:uid="{00000000-0005-0000-0000-00001E000000}"/>
    <cellStyle name="2x indented GHG Textfiels" xfId="31" xr:uid="{00000000-0005-0000-0000-00001F000000}"/>
    <cellStyle name="2x indented GHG Textfiels 2" xfId="32" xr:uid="{00000000-0005-0000-0000-000020000000}"/>
    <cellStyle name="2x indented GHG Textfiels 2 2" xfId="33" xr:uid="{00000000-0005-0000-0000-000021000000}"/>
    <cellStyle name="2x indented GHG Textfiels 3" xfId="34" xr:uid="{00000000-0005-0000-0000-000022000000}"/>
    <cellStyle name="2x indented GHG Textfiels 3 2" xfId="35" xr:uid="{00000000-0005-0000-0000-000023000000}"/>
    <cellStyle name="2x indented GHG Textfiels 3 2 2" xfId="36" xr:uid="{00000000-0005-0000-0000-000024000000}"/>
    <cellStyle name="2x indented GHG Textfiels 3 2 2 10" xfId="37" xr:uid="{00000000-0005-0000-0000-000025000000}"/>
    <cellStyle name="2x indented GHG Textfiels 3 2 2 11" xfId="38" xr:uid="{00000000-0005-0000-0000-000026000000}"/>
    <cellStyle name="2x indented GHG Textfiels 3 2 2 12" xfId="39" xr:uid="{00000000-0005-0000-0000-000027000000}"/>
    <cellStyle name="2x indented GHG Textfiels 3 2 2 2" xfId="40" xr:uid="{00000000-0005-0000-0000-000028000000}"/>
    <cellStyle name="2x indented GHG Textfiels 3 2 2 2 10" xfId="41" xr:uid="{00000000-0005-0000-0000-000029000000}"/>
    <cellStyle name="2x indented GHG Textfiels 3 2 2 2 11" xfId="42" xr:uid="{00000000-0005-0000-0000-00002A000000}"/>
    <cellStyle name="2x indented GHG Textfiels 3 2 2 2 2" xfId="43" xr:uid="{00000000-0005-0000-0000-00002B000000}"/>
    <cellStyle name="2x indented GHG Textfiels 3 2 2 2 3" xfId="44" xr:uid="{00000000-0005-0000-0000-00002C000000}"/>
    <cellStyle name="2x indented GHG Textfiels 3 2 2 2 4" xfId="45" xr:uid="{00000000-0005-0000-0000-00002D000000}"/>
    <cellStyle name="2x indented GHG Textfiels 3 2 2 2 5" xfId="46" xr:uid="{00000000-0005-0000-0000-00002E000000}"/>
    <cellStyle name="2x indented GHG Textfiels 3 2 2 2 6" xfId="47" xr:uid="{00000000-0005-0000-0000-00002F000000}"/>
    <cellStyle name="2x indented GHG Textfiels 3 2 2 2 7" xfId="48" xr:uid="{00000000-0005-0000-0000-000030000000}"/>
    <cellStyle name="2x indented GHG Textfiels 3 2 2 2 8" xfId="49" xr:uid="{00000000-0005-0000-0000-000031000000}"/>
    <cellStyle name="2x indented GHG Textfiels 3 2 2 2 9" xfId="50" xr:uid="{00000000-0005-0000-0000-000032000000}"/>
    <cellStyle name="2x indented GHG Textfiels 3 2 2 3" xfId="51" xr:uid="{00000000-0005-0000-0000-000033000000}"/>
    <cellStyle name="2x indented GHG Textfiels 3 2 2 4" xfId="52" xr:uid="{00000000-0005-0000-0000-000034000000}"/>
    <cellStyle name="2x indented GHG Textfiels 3 2 2 5" xfId="53" xr:uid="{00000000-0005-0000-0000-000035000000}"/>
    <cellStyle name="2x indented GHG Textfiels 3 2 2 6" xfId="54" xr:uid="{00000000-0005-0000-0000-000036000000}"/>
    <cellStyle name="2x indented GHG Textfiels 3 2 2 7" xfId="55" xr:uid="{00000000-0005-0000-0000-000037000000}"/>
    <cellStyle name="2x indented GHG Textfiels 3 2 2 8" xfId="56" xr:uid="{00000000-0005-0000-0000-000038000000}"/>
    <cellStyle name="2x indented GHG Textfiels 3 2 2 9" xfId="57" xr:uid="{00000000-0005-0000-0000-000039000000}"/>
    <cellStyle name="2x indented GHG Textfiels 3 2 3" xfId="58" xr:uid="{00000000-0005-0000-0000-00003A000000}"/>
    <cellStyle name="2x indented GHG Textfiels 3 2 3 10" xfId="59" xr:uid="{00000000-0005-0000-0000-00003B000000}"/>
    <cellStyle name="2x indented GHG Textfiels 3 2 3 11" xfId="60" xr:uid="{00000000-0005-0000-0000-00003C000000}"/>
    <cellStyle name="2x indented GHG Textfiels 3 2 3 2" xfId="61" xr:uid="{00000000-0005-0000-0000-00003D000000}"/>
    <cellStyle name="2x indented GHG Textfiels 3 2 3 3" xfId="62" xr:uid="{00000000-0005-0000-0000-00003E000000}"/>
    <cellStyle name="2x indented GHG Textfiels 3 2 3 4" xfId="63" xr:uid="{00000000-0005-0000-0000-00003F000000}"/>
    <cellStyle name="2x indented GHG Textfiels 3 2 3 5" xfId="64" xr:uid="{00000000-0005-0000-0000-000040000000}"/>
    <cellStyle name="2x indented GHG Textfiels 3 2 3 6" xfId="65" xr:uid="{00000000-0005-0000-0000-000041000000}"/>
    <cellStyle name="2x indented GHG Textfiels 3 2 3 7" xfId="66" xr:uid="{00000000-0005-0000-0000-000042000000}"/>
    <cellStyle name="2x indented GHG Textfiels 3 2 3 8" xfId="67" xr:uid="{00000000-0005-0000-0000-000043000000}"/>
    <cellStyle name="2x indented GHG Textfiels 3 2 3 9" xfId="68" xr:uid="{00000000-0005-0000-0000-000044000000}"/>
    <cellStyle name="2x indented GHG Textfiels 3 3" xfId="69" xr:uid="{00000000-0005-0000-0000-000045000000}"/>
    <cellStyle name="2x indented GHG Textfiels 3 3 10" xfId="70" xr:uid="{00000000-0005-0000-0000-000046000000}"/>
    <cellStyle name="2x indented GHG Textfiels 3 3 11" xfId="71" xr:uid="{00000000-0005-0000-0000-000047000000}"/>
    <cellStyle name="2x indented GHG Textfiels 3 3 12" xfId="72" xr:uid="{00000000-0005-0000-0000-000048000000}"/>
    <cellStyle name="2x indented GHG Textfiels 3 3 13" xfId="73" xr:uid="{00000000-0005-0000-0000-000049000000}"/>
    <cellStyle name="2x indented GHG Textfiels 3 3 14" xfId="74" xr:uid="{00000000-0005-0000-0000-00004A000000}"/>
    <cellStyle name="2x indented GHG Textfiels 3 3 2" xfId="75" xr:uid="{00000000-0005-0000-0000-00004B000000}"/>
    <cellStyle name="2x indented GHG Textfiels 3 3 2 10" xfId="76" xr:uid="{00000000-0005-0000-0000-00004C000000}"/>
    <cellStyle name="2x indented GHG Textfiels 3 3 2 11" xfId="77" xr:uid="{00000000-0005-0000-0000-00004D000000}"/>
    <cellStyle name="2x indented GHG Textfiels 3 3 2 12" xfId="78" xr:uid="{00000000-0005-0000-0000-00004E000000}"/>
    <cellStyle name="2x indented GHG Textfiels 3 3 2 2" xfId="79" xr:uid="{00000000-0005-0000-0000-00004F000000}"/>
    <cellStyle name="2x indented GHG Textfiels 3 3 2 2 10" xfId="80" xr:uid="{00000000-0005-0000-0000-000050000000}"/>
    <cellStyle name="2x indented GHG Textfiels 3 3 2 2 11" xfId="81" xr:uid="{00000000-0005-0000-0000-000051000000}"/>
    <cellStyle name="2x indented GHG Textfiels 3 3 2 2 2" xfId="82" xr:uid="{00000000-0005-0000-0000-000052000000}"/>
    <cellStyle name="2x indented GHG Textfiels 3 3 2 2 3" xfId="83" xr:uid="{00000000-0005-0000-0000-000053000000}"/>
    <cellStyle name="2x indented GHG Textfiels 3 3 2 2 4" xfId="84" xr:uid="{00000000-0005-0000-0000-000054000000}"/>
    <cellStyle name="2x indented GHG Textfiels 3 3 2 2 5" xfId="85" xr:uid="{00000000-0005-0000-0000-000055000000}"/>
    <cellStyle name="2x indented GHG Textfiels 3 3 2 2 6" xfId="86" xr:uid="{00000000-0005-0000-0000-000056000000}"/>
    <cellStyle name="2x indented GHG Textfiels 3 3 2 2 7" xfId="87" xr:uid="{00000000-0005-0000-0000-000057000000}"/>
    <cellStyle name="2x indented GHG Textfiels 3 3 2 2 8" xfId="88" xr:uid="{00000000-0005-0000-0000-000058000000}"/>
    <cellStyle name="2x indented GHG Textfiels 3 3 2 2 9" xfId="89" xr:uid="{00000000-0005-0000-0000-000059000000}"/>
    <cellStyle name="2x indented GHG Textfiels 3 3 2 3" xfId="90" xr:uid="{00000000-0005-0000-0000-00005A000000}"/>
    <cellStyle name="2x indented GHG Textfiels 3 3 2 4" xfId="91" xr:uid="{00000000-0005-0000-0000-00005B000000}"/>
    <cellStyle name="2x indented GHG Textfiels 3 3 2 5" xfId="92" xr:uid="{00000000-0005-0000-0000-00005C000000}"/>
    <cellStyle name="2x indented GHG Textfiels 3 3 2 6" xfId="93" xr:uid="{00000000-0005-0000-0000-00005D000000}"/>
    <cellStyle name="2x indented GHG Textfiels 3 3 2 7" xfId="94" xr:uid="{00000000-0005-0000-0000-00005E000000}"/>
    <cellStyle name="2x indented GHG Textfiels 3 3 2 8" xfId="95" xr:uid="{00000000-0005-0000-0000-00005F000000}"/>
    <cellStyle name="2x indented GHG Textfiels 3 3 2 9" xfId="96" xr:uid="{00000000-0005-0000-0000-000060000000}"/>
    <cellStyle name="2x indented GHG Textfiels 3 3 3" xfId="97" xr:uid="{00000000-0005-0000-0000-000061000000}"/>
    <cellStyle name="2x indented GHG Textfiels 3 3 3 10" xfId="98" xr:uid="{00000000-0005-0000-0000-000062000000}"/>
    <cellStyle name="2x indented GHG Textfiels 3 3 3 11" xfId="99" xr:uid="{00000000-0005-0000-0000-000063000000}"/>
    <cellStyle name="2x indented GHG Textfiels 3 3 3 12" xfId="100" xr:uid="{00000000-0005-0000-0000-000064000000}"/>
    <cellStyle name="2x indented GHG Textfiels 3 3 3 2" xfId="101" xr:uid="{00000000-0005-0000-0000-000065000000}"/>
    <cellStyle name="2x indented GHG Textfiels 3 3 3 2 10" xfId="102" xr:uid="{00000000-0005-0000-0000-000066000000}"/>
    <cellStyle name="2x indented GHG Textfiels 3 3 3 2 11" xfId="103" xr:uid="{00000000-0005-0000-0000-000067000000}"/>
    <cellStyle name="2x indented GHG Textfiels 3 3 3 2 2" xfId="104" xr:uid="{00000000-0005-0000-0000-000068000000}"/>
    <cellStyle name="2x indented GHG Textfiels 3 3 3 2 3" xfId="105" xr:uid="{00000000-0005-0000-0000-000069000000}"/>
    <cellStyle name="2x indented GHG Textfiels 3 3 3 2 4" xfId="106" xr:uid="{00000000-0005-0000-0000-00006A000000}"/>
    <cellStyle name="2x indented GHG Textfiels 3 3 3 2 5" xfId="107" xr:uid="{00000000-0005-0000-0000-00006B000000}"/>
    <cellStyle name="2x indented GHG Textfiels 3 3 3 2 6" xfId="108" xr:uid="{00000000-0005-0000-0000-00006C000000}"/>
    <cellStyle name="2x indented GHG Textfiels 3 3 3 2 7" xfId="109" xr:uid="{00000000-0005-0000-0000-00006D000000}"/>
    <cellStyle name="2x indented GHG Textfiels 3 3 3 2 8" xfId="110" xr:uid="{00000000-0005-0000-0000-00006E000000}"/>
    <cellStyle name="2x indented GHG Textfiels 3 3 3 2 9" xfId="111" xr:uid="{00000000-0005-0000-0000-00006F000000}"/>
    <cellStyle name="2x indented GHG Textfiels 3 3 3 3" xfId="112" xr:uid="{00000000-0005-0000-0000-000070000000}"/>
    <cellStyle name="2x indented GHG Textfiels 3 3 3 4" xfId="113" xr:uid="{00000000-0005-0000-0000-000071000000}"/>
    <cellStyle name="2x indented GHG Textfiels 3 3 3 5" xfId="114" xr:uid="{00000000-0005-0000-0000-000072000000}"/>
    <cellStyle name="2x indented GHG Textfiels 3 3 3 6" xfId="115" xr:uid="{00000000-0005-0000-0000-000073000000}"/>
    <cellStyle name="2x indented GHG Textfiels 3 3 3 7" xfId="116" xr:uid="{00000000-0005-0000-0000-000074000000}"/>
    <cellStyle name="2x indented GHG Textfiels 3 3 3 8" xfId="117" xr:uid="{00000000-0005-0000-0000-000075000000}"/>
    <cellStyle name="2x indented GHG Textfiels 3 3 3 9" xfId="118" xr:uid="{00000000-0005-0000-0000-000076000000}"/>
    <cellStyle name="2x indented GHG Textfiels 3 3 4" xfId="119" xr:uid="{00000000-0005-0000-0000-000077000000}"/>
    <cellStyle name="2x indented GHG Textfiels 3 3 4 10" xfId="120" xr:uid="{00000000-0005-0000-0000-000078000000}"/>
    <cellStyle name="2x indented GHG Textfiels 3 3 4 11" xfId="121" xr:uid="{00000000-0005-0000-0000-000079000000}"/>
    <cellStyle name="2x indented GHG Textfiels 3 3 4 12" xfId="122" xr:uid="{00000000-0005-0000-0000-00007A000000}"/>
    <cellStyle name="2x indented GHG Textfiels 3 3 4 2" xfId="123" xr:uid="{00000000-0005-0000-0000-00007B000000}"/>
    <cellStyle name="2x indented GHG Textfiels 3 3 4 2 10" xfId="124" xr:uid="{00000000-0005-0000-0000-00007C000000}"/>
    <cellStyle name="2x indented GHG Textfiels 3 3 4 2 11" xfId="125" xr:uid="{00000000-0005-0000-0000-00007D000000}"/>
    <cellStyle name="2x indented GHG Textfiels 3 3 4 2 2" xfId="126" xr:uid="{00000000-0005-0000-0000-00007E000000}"/>
    <cellStyle name="2x indented GHG Textfiels 3 3 4 2 3" xfId="127" xr:uid="{00000000-0005-0000-0000-00007F000000}"/>
    <cellStyle name="2x indented GHG Textfiels 3 3 4 2 4" xfId="128" xr:uid="{00000000-0005-0000-0000-000080000000}"/>
    <cellStyle name="2x indented GHG Textfiels 3 3 4 2 5" xfId="129" xr:uid="{00000000-0005-0000-0000-000081000000}"/>
    <cellStyle name="2x indented GHG Textfiels 3 3 4 2 6" xfId="130" xr:uid="{00000000-0005-0000-0000-000082000000}"/>
    <cellStyle name="2x indented GHG Textfiels 3 3 4 2 7" xfId="131" xr:uid="{00000000-0005-0000-0000-000083000000}"/>
    <cellStyle name="2x indented GHG Textfiels 3 3 4 2 8" xfId="132" xr:uid="{00000000-0005-0000-0000-000084000000}"/>
    <cellStyle name="2x indented GHG Textfiels 3 3 4 2 9" xfId="133" xr:uid="{00000000-0005-0000-0000-000085000000}"/>
    <cellStyle name="2x indented GHG Textfiels 3 3 4 3" xfId="134" xr:uid="{00000000-0005-0000-0000-000086000000}"/>
    <cellStyle name="2x indented GHG Textfiels 3 3 4 4" xfId="135" xr:uid="{00000000-0005-0000-0000-000087000000}"/>
    <cellStyle name="2x indented GHG Textfiels 3 3 4 5" xfId="136" xr:uid="{00000000-0005-0000-0000-000088000000}"/>
    <cellStyle name="2x indented GHG Textfiels 3 3 4 6" xfId="137" xr:uid="{00000000-0005-0000-0000-000089000000}"/>
    <cellStyle name="2x indented GHG Textfiels 3 3 4 7" xfId="138" xr:uid="{00000000-0005-0000-0000-00008A000000}"/>
    <cellStyle name="2x indented GHG Textfiels 3 3 4 8" xfId="139" xr:uid="{00000000-0005-0000-0000-00008B000000}"/>
    <cellStyle name="2x indented GHG Textfiels 3 3 4 9" xfId="140" xr:uid="{00000000-0005-0000-0000-00008C000000}"/>
    <cellStyle name="2x indented GHG Textfiels 3 3 5" xfId="141" xr:uid="{00000000-0005-0000-0000-00008D000000}"/>
    <cellStyle name="2x indented GHG Textfiels 3 3 6" xfId="142" xr:uid="{00000000-0005-0000-0000-00008E000000}"/>
    <cellStyle name="2x indented GHG Textfiels 3 3 7" xfId="143" xr:uid="{00000000-0005-0000-0000-00008F000000}"/>
    <cellStyle name="2x indented GHG Textfiels 3 3 8" xfId="144" xr:uid="{00000000-0005-0000-0000-000090000000}"/>
    <cellStyle name="2x indented GHG Textfiels 3 3 9" xfId="145" xr:uid="{00000000-0005-0000-0000-000091000000}"/>
    <cellStyle name="40 % - Akzent1" xfId="146" xr:uid="{00000000-0005-0000-0000-000092000000}"/>
    <cellStyle name="40 % - Akzent1 2" xfId="147" xr:uid="{00000000-0005-0000-0000-000093000000}"/>
    <cellStyle name="40 % - Akzent1 3" xfId="148" xr:uid="{00000000-0005-0000-0000-000094000000}"/>
    <cellStyle name="40 % - Akzent2" xfId="149" xr:uid="{00000000-0005-0000-0000-000095000000}"/>
    <cellStyle name="40 % - Akzent2 2" xfId="150" xr:uid="{00000000-0005-0000-0000-000096000000}"/>
    <cellStyle name="40 % - Akzent2 3" xfId="151" xr:uid="{00000000-0005-0000-0000-000097000000}"/>
    <cellStyle name="40 % - Akzent3" xfId="152" xr:uid="{00000000-0005-0000-0000-000098000000}"/>
    <cellStyle name="40 % - Akzent3 2" xfId="153" xr:uid="{00000000-0005-0000-0000-000099000000}"/>
    <cellStyle name="40 % - Akzent3 3" xfId="154" xr:uid="{00000000-0005-0000-0000-00009A000000}"/>
    <cellStyle name="40 % - Akzent4" xfId="155" xr:uid="{00000000-0005-0000-0000-00009B000000}"/>
    <cellStyle name="40 % - Akzent4 2" xfId="156" xr:uid="{00000000-0005-0000-0000-00009C000000}"/>
    <cellStyle name="40 % - Akzent4 3" xfId="157" xr:uid="{00000000-0005-0000-0000-00009D000000}"/>
    <cellStyle name="40 % - Akzent5" xfId="158" xr:uid="{00000000-0005-0000-0000-00009E000000}"/>
    <cellStyle name="40 % - Akzent5 2" xfId="159" xr:uid="{00000000-0005-0000-0000-00009F000000}"/>
    <cellStyle name="40 % - Akzent5 3" xfId="160" xr:uid="{00000000-0005-0000-0000-0000A0000000}"/>
    <cellStyle name="40 % - Akzent6" xfId="161" xr:uid="{00000000-0005-0000-0000-0000A1000000}"/>
    <cellStyle name="40 % - Akzent6 2" xfId="162" xr:uid="{00000000-0005-0000-0000-0000A2000000}"/>
    <cellStyle name="40 % - Akzent6 3" xfId="163" xr:uid="{00000000-0005-0000-0000-0000A3000000}"/>
    <cellStyle name="40% - Accent1 2" xfId="164" xr:uid="{00000000-0005-0000-0000-0000A4000000}"/>
    <cellStyle name="40% - Accent1 3" xfId="165" xr:uid="{00000000-0005-0000-0000-0000A5000000}"/>
    <cellStyle name="40% - Accent2 2" xfId="166" xr:uid="{00000000-0005-0000-0000-0000A6000000}"/>
    <cellStyle name="40% - Accent2 3" xfId="167" xr:uid="{00000000-0005-0000-0000-0000A7000000}"/>
    <cellStyle name="40% - Accent3 2" xfId="168" xr:uid="{00000000-0005-0000-0000-0000A8000000}"/>
    <cellStyle name="40% - Accent3 3" xfId="169" xr:uid="{00000000-0005-0000-0000-0000A9000000}"/>
    <cellStyle name="40% - Accent4 2" xfId="170" xr:uid="{00000000-0005-0000-0000-0000AA000000}"/>
    <cellStyle name="40% - Accent4 3" xfId="171" xr:uid="{00000000-0005-0000-0000-0000AB000000}"/>
    <cellStyle name="40% - Accent5 2" xfId="172" xr:uid="{00000000-0005-0000-0000-0000AC000000}"/>
    <cellStyle name="40% - Accent5 3" xfId="173" xr:uid="{00000000-0005-0000-0000-0000AD000000}"/>
    <cellStyle name="40% - Accent6 2" xfId="174" xr:uid="{00000000-0005-0000-0000-0000AE000000}"/>
    <cellStyle name="40% - Accent6 3" xfId="175" xr:uid="{00000000-0005-0000-0000-0000AF000000}"/>
    <cellStyle name="5x indented GHG Textfiels" xfId="176" xr:uid="{00000000-0005-0000-0000-0000B0000000}"/>
    <cellStyle name="5x indented GHG Textfiels 2" xfId="177" xr:uid="{00000000-0005-0000-0000-0000B1000000}"/>
    <cellStyle name="5x indented GHG Textfiels 2 2" xfId="178" xr:uid="{00000000-0005-0000-0000-0000B2000000}"/>
    <cellStyle name="5x indented GHG Textfiels 3" xfId="179" xr:uid="{00000000-0005-0000-0000-0000B3000000}"/>
    <cellStyle name="5x indented GHG Textfiels 3 2" xfId="180" xr:uid="{00000000-0005-0000-0000-0000B4000000}"/>
    <cellStyle name="5x indented GHG Textfiels 3 2 2" xfId="181" xr:uid="{00000000-0005-0000-0000-0000B5000000}"/>
    <cellStyle name="5x indented GHG Textfiels 3 3" xfId="182" xr:uid="{00000000-0005-0000-0000-0000B6000000}"/>
    <cellStyle name="5x indented GHG Textfiels 3 3 10" xfId="183" xr:uid="{00000000-0005-0000-0000-0000B7000000}"/>
    <cellStyle name="5x indented GHG Textfiels 3 3 11" xfId="184" xr:uid="{00000000-0005-0000-0000-0000B8000000}"/>
    <cellStyle name="5x indented GHG Textfiels 3 3 12" xfId="185" xr:uid="{00000000-0005-0000-0000-0000B9000000}"/>
    <cellStyle name="5x indented GHG Textfiels 3 3 13" xfId="186" xr:uid="{00000000-0005-0000-0000-0000BA000000}"/>
    <cellStyle name="5x indented GHG Textfiels 3 3 14" xfId="187" xr:uid="{00000000-0005-0000-0000-0000BB000000}"/>
    <cellStyle name="5x indented GHG Textfiels 3 3 15" xfId="188" xr:uid="{00000000-0005-0000-0000-0000BC000000}"/>
    <cellStyle name="5x indented GHG Textfiels 3 3 2" xfId="189" xr:uid="{00000000-0005-0000-0000-0000BD000000}"/>
    <cellStyle name="5x indented GHG Textfiels 3 3 2 10" xfId="190" xr:uid="{00000000-0005-0000-0000-0000BE000000}"/>
    <cellStyle name="5x indented GHG Textfiels 3 3 2 11" xfId="191" xr:uid="{00000000-0005-0000-0000-0000BF000000}"/>
    <cellStyle name="5x indented GHG Textfiels 3 3 2 12" xfId="192" xr:uid="{00000000-0005-0000-0000-0000C0000000}"/>
    <cellStyle name="5x indented GHG Textfiels 3 3 2 2" xfId="193" xr:uid="{00000000-0005-0000-0000-0000C1000000}"/>
    <cellStyle name="5x indented GHG Textfiels 3 3 2 2 10" xfId="194" xr:uid="{00000000-0005-0000-0000-0000C2000000}"/>
    <cellStyle name="5x indented GHG Textfiels 3 3 2 2 11" xfId="195" xr:uid="{00000000-0005-0000-0000-0000C3000000}"/>
    <cellStyle name="5x indented GHG Textfiels 3 3 2 2 2" xfId="196" xr:uid="{00000000-0005-0000-0000-0000C4000000}"/>
    <cellStyle name="5x indented GHG Textfiels 3 3 2 2 3" xfId="197" xr:uid="{00000000-0005-0000-0000-0000C5000000}"/>
    <cellStyle name="5x indented GHG Textfiels 3 3 2 2 4" xfId="198" xr:uid="{00000000-0005-0000-0000-0000C6000000}"/>
    <cellStyle name="5x indented GHG Textfiels 3 3 2 2 5" xfId="199" xr:uid="{00000000-0005-0000-0000-0000C7000000}"/>
    <cellStyle name="5x indented GHG Textfiels 3 3 2 2 6" xfId="200" xr:uid="{00000000-0005-0000-0000-0000C8000000}"/>
    <cellStyle name="5x indented GHG Textfiels 3 3 2 2 7" xfId="201" xr:uid="{00000000-0005-0000-0000-0000C9000000}"/>
    <cellStyle name="5x indented GHG Textfiels 3 3 2 2 8" xfId="202" xr:uid="{00000000-0005-0000-0000-0000CA000000}"/>
    <cellStyle name="5x indented GHG Textfiels 3 3 2 2 9" xfId="203" xr:uid="{00000000-0005-0000-0000-0000CB000000}"/>
    <cellStyle name="5x indented GHG Textfiels 3 3 2 3" xfId="204" xr:uid="{00000000-0005-0000-0000-0000CC000000}"/>
    <cellStyle name="5x indented GHG Textfiels 3 3 2 4" xfId="205" xr:uid="{00000000-0005-0000-0000-0000CD000000}"/>
    <cellStyle name="5x indented GHG Textfiels 3 3 2 5" xfId="206" xr:uid="{00000000-0005-0000-0000-0000CE000000}"/>
    <cellStyle name="5x indented GHG Textfiels 3 3 2 6" xfId="207" xr:uid="{00000000-0005-0000-0000-0000CF000000}"/>
    <cellStyle name="5x indented GHG Textfiels 3 3 2 7" xfId="208" xr:uid="{00000000-0005-0000-0000-0000D0000000}"/>
    <cellStyle name="5x indented GHG Textfiels 3 3 2 8" xfId="209" xr:uid="{00000000-0005-0000-0000-0000D1000000}"/>
    <cellStyle name="5x indented GHG Textfiels 3 3 2 9" xfId="210" xr:uid="{00000000-0005-0000-0000-0000D2000000}"/>
    <cellStyle name="5x indented GHG Textfiels 3 3 3" xfId="211" xr:uid="{00000000-0005-0000-0000-0000D3000000}"/>
    <cellStyle name="5x indented GHG Textfiels 3 3 3 10" xfId="212" xr:uid="{00000000-0005-0000-0000-0000D4000000}"/>
    <cellStyle name="5x indented GHG Textfiels 3 3 3 11" xfId="213" xr:uid="{00000000-0005-0000-0000-0000D5000000}"/>
    <cellStyle name="5x indented GHG Textfiels 3 3 3 12" xfId="214" xr:uid="{00000000-0005-0000-0000-0000D6000000}"/>
    <cellStyle name="5x indented GHG Textfiels 3 3 3 2" xfId="215" xr:uid="{00000000-0005-0000-0000-0000D7000000}"/>
    <cellStyle name="5x indented GHG Textfiels 3 3 3 2 10" xfId="216" xr:uid="{00000000-0005-0000-0000-0000D8000000}"/>
    <cellStyle name="5x indented GHG Textfiels 3 3 3 2 11" xfId="217" xr:uid="{00000000-0005-0000-0000-0000D9000000}"/>
    <cellStyle name="5x indented GHG Textfiels 3 3 3 2 2" xfId="218" xr:uid="{00000000-0005-0000-0000-0000DA000000}"/>
    <cellStyle name="5x indented GHG Textfiels 3 3 3 2 3" xfId="219" xr:uid="{00000000-0005-0000-0000-0000DB000000}"/>
    <cellStyle name="5x indented GHG Textfiels 3 3 3 2 4" xfId="220" xr:uid="{00000000-0005-0000-0000-0000DC000000}"/>
    <cellStyle name="5x indented GHG Textfiels 3 3 3 2 5" xfId="221" xr:uid="{00000000-0005-0000-0000-0000DD000000}"/>
    <cellStyle name="5x indented GHG Textfiels 3 3 3 2 6" xfId="222" xr:uid="{00000000-0005-0000-0000-0000DE000000}"/>
    <cellStyle name="5x indented GHG Textfiels 3 3 3 2 7" xfId="223" xr:uid="{00000000-0005-0000-0000-0000DF000000}"/>
    <cellStyle name="5x indented GHG Textfiels 3 3 3 2 8" xfId="224" xr:uid="{00000000-0005-0000-0000-0000E0000000}"/>
    <cellStyle name="5x indented GHG Textfiels 3 3 3 2 9" xfId="225" xr:uid="{00000000-0005-0000-0000-0000E1000000}"/>
    <cellStyle name="5x indented GHG Textfiels 3 3 3 3" xfId="226" xr:uid="{00000000-0005-0000-0000-0000E2000000}"/>
    <cellStyle name="5x indented GHG Textfiels 3 3 3 4" xfId="227" xr:uid="{00000000-0005-0000-0000-0000E3000000}"/>
    <cellStyle name="5x indented GHG Textfiels 3 3 3 5" xfId="228" xr:uid="{00000000-0005-0000-0000-0000E4000000}"/>
    <cellStyle name="5x indented GHG Textfiels 3 3 3 6" xfId="229" xr:uid="{00000000-0005-0000-0000-0000E5000000}"/>
    <cellStyle name="5x indented GHG Textfiels 3 3 3 7" xfId="230" xr:uid="{00000000-0005-0000-0000-0000E6000000}"/>
    <cellStyle name="5x indented GHG Textfiels 3 3 3 8" xfId="231" xr:uid="{00000000-0005-0000-0000-0000E7000000}"/>
    <cellStyle name="5x indented GHG Textfiels 3 3 3 9" xfId="232" xr:uid="{00000000-0005-0000-0000-0000E8000000}"/>
    <cellStyle name="5x indented GHG Textfiels 3 3 4" xfId="233" xr:uid="{00000000-0005-0000-0000-0000E9000000}"/>
    <cellStyle name="5x indented GHG Textfiels 3 3 4 10" xfId="234" xr:uid="{00000000-0005-0000-0000-0000EA000000}"/>
    <cellStyle name="5x indented GHG Textfiels 3 3 4 11" xfId="235" xr:uid="{00000000-0005-0000-0000-0000EB000000}"/>
    <cellStyle name="5x indented GHG Textfiels 3 3 4 12" xfId="236" xr:uid="{00000000-0005-0000-0000-0000EC000000}"/>
    <cellStyle name="5x indented GHG Textfiels 3 3 4 2" xfId="237" xr:uid="{00000000-0005-0000-0000-0000ED000000}"/>
    <cellStyle name="5x indented GHG Textfiels 3 3 4 2 10" xfId="238" xr:uid="{00000000-0005-0000-0000-0000EE000000}"/>
    <cellStyle name="5x indented GHG Textfiels 3 3 4 2 11" xfId="239" xr:uid="{00000000-0005-0000-0000-0000EF000000}"/>
    <cellStyle name="5x indented GHG Textfiels 3 3 4 2 2" xfId="240" xr:uid="{00000000-0005-0000-0000-0000F0000000}"/>
    <cellStyle name="5x indented GHG Textfiels 3 3 4 2 3" xfId="241" xr:uid="{00000000-0005-0000-0000-0000F1000000}"/>
    <cellStyle name="5x indented GHG Textfiels 3 3 4 2 4" xfId="242" xr:uid="{00000000-0005-0000-0000-0000F2000000}"/>
    <cellStyle name="5x indented GHG Textfiels 3 3 4 2 5" xfId="243" xr:uid="{00000000-0005-0000-0000-0000F3000000}"/>
    <cellStyle name="5x indented GHG Textfiels 3 3 4 2 6" xfId="244" xr:uid="{00000000-0005-0000-0000-0000F4000000}"/>
    <cellStyle name="5x indented GHG Textfiels 3 3 4 2 7" xfId="245" xr:uid="{00000000-0005-0000-0000-0000F5000000}"/>
    <cellStyle name="5x indented GHG Textfiels 3 3 4 2 8" xfId="246" xr:uid="{00000000-0005-0000-0000-0000F6000000}"/>
    <cellStyle name="5x indented GHG Textfiels 3 3 4 2 9" xfId="247" xr:uid="{00000000-0005-0000-0000-0000F7000000}"/>
    <cellStyle name="5x indented GHG Textfiels 3 3 4 3" xfId="248" xr:uid="{00000000-0005-0000-0000-0000F8000000}"/>
    <cellStyle name="5x indented GHG Textfiels 3 3 4 4" xfId="249" xr:uid="{00000000-0005-0000-0000-0000F9000000}"/>
    <cellStyle name="5x indented GHG Textfiels 3 3 4 5" xfId="250" xr:uid="{00000000-0005-0000-0000-0000FA000000}"/>
    <cellStyle name="5x indented GHG Textfiels 3 3 4 6" xfId="251" xr:uid="{00000000-0005-0000-0000-0000FB000000}"/>
    <cellStyle name="5x indented GHG Textfiels 3 3 4 7" xfId="252" xr:uid="{00000000-0005-0000-0000-0000FC000000}"/>
    <cellStyle name="5x indented GHG Textfiels 3 3 4 8" xfId="253" xr:uid="{00000000-0005-0000-0000-0000FD000000}"/>
    <cellStyle name="5x indented GHG Textfiels 3 3 4 9" xfId="254" xr:uid="{00000000-0005-0000-0000-0000FE000000}"/>
    <cellStyle name="5x indented GHG Textfiels 3 3 5" xfId="255" xr:uid="{00000000-0005-0000-0000-0000FF000000}"/>
    <cellStyle name="5x indented GHG Textfiels 3 3 5 2" xfId="256" xr:uid="{00000000-0005-0000-0000-000000010000}"/>
    <cellStyle name="5x indented GHG Textfiels 3 3 6" xfId="257" xr:uid="{00000000-0005-0000-0000-000001010000}"/>
    <cellStyle name="5x indented GHG Textfiels 3 3 7" xfId="258" xr:uid="{00000000-0005-0000-0000-000002010000}"/>
    <cellStyle name="5x indented GHG Textfiels 3 3 8" xfId="259" xr:uid="{00000000-0005-0000-0000-000003010000}"/>
    <cellStyle name="5x indented GHG Textfiels 3 3 9" xfId="260" xr:uid="{00000000-0005-0000-0000-000004010000}"/>
    <cellStyle name="5x indented GHG Textfiels_Table 4(II)" xfId="261" xr:uid="{00000000-0005-0000-0000-000005010000}"/>
    <cellStyle name="60 % - Akzent1" xfId="262" xr:uid="{00000000-0005-0000-0000-000006010000}"/>
    <cellStyle name="60 % - Akzent1 2" xfId="263" xr:uid="{00000000-0005-0000-0000-000007010000}"/>
    <cellStyle name="60 % - Akzent1 3" xfId="264" xr:uid="{00000000-0005-0000-0000-000008010000}"/>
    <cellStyle name="60 % - Akzent2" xfId="265" xr:uid="{00000000-0005-0000-0000-000009010000}"/>
    <cellStyle name="60 % - Akzent2 2" xfId="266" xr:uid="{00000000-0005-0000-0000-00000A010000}"/>
    <cellStyle name="60 % - Akzent2 3" xfId="267" xr:uid="{00000000-0005-0000-0000-00000B010000}"/>
    <cellStyle name="60 % - Akzent3" xfId="268" xr:uid="{00000000-0005-0000-0000-00000C010000}"/>
    <cellStyle name="60 % - Akzent3 2" xfId="269" xr:uid="{00000000-0005-0000-0000-00000D010000}"/>
    <cellStyle name="60 % - Akzent3 3" xfId="270" xr:uid="{00000000-0005-0000-0000-00000E010000}"/>
    <cellStyle name="60 % - Akzent4" xfId="271" xr:uid="{00000000-0005-0000-0000-00000F010000}"/>
    <cellStyle name="60 % - Akzent4 2" xfId="272" xr:uid="{00000000-0005-0000-0000-000010010000}"/>
    <cellStyle name="60 % - Akzent4 3" xfId="273" xr:uid="{00000000-0005-0000-0000-000011010000}"/>
    <cellStyle name="60 % - Akzent5" xfId="274" xr:uid="{00000000-0005-0000-0000-000012010000}"/>
    <cellStyle name="60 % - Akzent5 2" xfId="275" xr:uid="{00000000-0005-0000-0000-000013010000}"/>
    <cellStyle name="60 % - Akzent5 3" xfId="276" xr:uid="{00000000-0005-0000-0000-000014010000}"/>
    <cellStyle name="60 % - Akzent6" xfId="277" xr:uid="{00000000-0005-0000-0000-000015010000}"/>
    <cellStyle name="60 % - Akzent6 2" xfId="278" xr:uid="{00000000-0005-0000-0000-000016010000}"/>
    <cellStyle name="60 % - Akzent6 3" xfId="279" xr:uid="{00000000-0005-0000-0000-000017010000}"/>
    <cellStyle name="60% - Accent1 2" xfId="280" xr:uid="{00000000-0005-0000-0000-000018010000}"/>
    <cellStyle name="60% - Accent1 3" xfId="281" xr:uid="{00000000-0005-0000-0000-000019010000}"/>
    <cellStyle name="60% - Accent2 2" xfId="282" xr:uid="{00000000-0005-0000-0000-00001A010000}"/>
    <cellStyle name="60% - Accent2 3" xfId="283" xr:uid="{00000000-0005-0000-0000-00001B010000}"/>
    <cellStyle name="60% - Accent3 2" xfId="284" xr:uid="{00000000-0005-0000-0000-00001C010000}"/>
    <cellStyle name="60% - Accent3 3" xfId="285" xr:uid="{00000000-0005-0000-0000-00001D010000}"/>
    <cellStyle name="60% - Accent4 2" xfId="286" xr:uid="{00000000-0005-0000-0000-00001E010000}"/>
    <cellStyle name="60% - Accent4 3" xfId="287" xr:uid="{00000000-0005-0000-0000-00001F010000}"/>
    <cellStyle name="60% - Accent5 2" xfId="288" xr:uid="{00000000-0005-0000-0000-000020010000}"/>
    <cellStyle name="60% - Accent5 3" xfId="289" xr:uid="{00000000-0005-0000-0000-000021010000}"/>
    <cellStyle name="60% - Accent6 2" xfId="290" xr:uid="{00000000-0005-0000-0000-000022010000}"/>
    <cellStyle name="60% - Accent6 3" xfId="291" xr:uid="{00000000-0005-0000-0000-000023010000}"/>
    <cellStyle name="Accent1 2" xfId="293" xr:uid="{00000000-0005-0000-0000-000025010000}"/>
    <cellStyle name="Accent1 3" xfId="294" xr:uid="{00000000-0005-0000-0000-000026010000}"/>
    <cellStyle name="Accent1 4" xfId="295" xr:uid="{00000000-0005-0000-0000-000027010000}"/>
    <cellStyle name="Accent2 2" xfId="296" xr:uid="{00000000-0005-0000-0000-000028010000}"/>
    <cellStyle name="Accent2 3" xfId="297" xr:uid="{00000000-0005-0000-0000-000029010000}"/>
    <cellStyle name="Accent2 4" xfId="298" xr:uid="{00000000-0005-0000-0000-00002A010000}"/>
    <cellStyle name="Accent3 2" xfId="299" xr:uid="{00000000-0005-0000-0000-00002B010000}"/>
    <cellStyle name="Accent3 3" xfId="300" xr:uid="{00000000-0005-0000-0000-00002C010000}"/>
    <cellStyle name="Accent3 4" xfId="301" xr:uid="{00000000-0005-0000-0000-00002D010000}"/>
    <cellStyle name="Accent4 2" xfId="302" xr:uid="{00000000-0005-0000-0000-00002E010000}"/>
    <cellStyle name="Accent4 3" xfId="303" xr:uid="{00000000-0005-0000-0000-00002F010000}"/>
    <cellStyle name="Accent4 4" xfId="304" xr:uid="{00000000-0005-0000-0000-000030010000}"/>
    <cellStyle name="Accent5 2" xfId="305" xr:uid="{00000000-0005-0000-0000-000031010000}"/>
    <cellStyle name="Accent5 3" xfId="306" xr:uid="{00000000-0005-0000-0000-000032010000}"/>
    <cellStyle name="Accent5 4" xfId="307" xr:uid="{00000000-0005-0000-0000-000033010000}"/>
    <cellStyle name="Accent6 2" xfId="308" xr:uid="{00000000-0005-0000-0000-000034010000}"/>
    <cellStyle name="Accent6 3" xfId="309" xr:uid="{00000000-0005-0000-0000-000035010000}"/>
    <cellStyle name="Accent6 4" xfId="310" xr:uid="{00000000-0005-0000-0000-000036010000}"/>
    <cellStyle name="AggblueBoldCels" xfId="311" xr:uid="{00000000-0005-0000-0000-000037010000}"/>
    <cellStyle name="AggblueBoldCels 2" xfId="312" xr:uid="{00000000-0005-0000-0000-000038010000}"/>
    <cellStyle name="AggblueCels" xfId="313" xr:uid="{00000000-0005-0000-0000-000039010000}"/>
    <cellStyle name="AggblueCels 2" xfId="314" xr:uid="{00000000-0005-0000-0000-00003A010000}"/>
    <cellStyle name="AggblueCels_1x" xfId="315" xr:uid="{00000000-0005-0000-0000-00003B010000}"/>
    <cellStyle name="AggBoldCells" xfId="316" xr:uid="{00000000-0005-0000-0000-00003C010000}"/>
    <cellStyle name="AggBoldCells 2" xfId="317" xr:uid="{00000000-0005-0000-0000-00003D010000}"/>
    <cellStyle name="AggBoldCells 3" xfId="318" xr:uid="{00000000-0005-0000-0000-00003E010000}"/>
    <cellStyle name="AggBoldCells 4" xfId="319" xr:uid="{00000000-0005-0000-0000-00003F010000}"/>
    <cellStyle name="AggCels" xfId="320" xr:uid="{00000000-0005-0000-0000-000040010000}"/>
    <cellStyle name="AggCels 2" xfId="321" xr:uid="{00000000-0005-0000-0000-000041010000}"/>
    <cellStyle name="AggCels 3" xfId="322" xr:uid="{00000000-0005-0000-0000-000042010000}"/>
    <cellStyle name="AggCels 4" xfId="323" xr:uid="{00000000-0005-0000-0000-000043010000}"/>
    <cellStyle name="AggCels_T(2)" xfId="324" xr:uid="{00000000-0005-0000-0000-000044010000}"/>
    <cellStyle name="AggGreen" xfId="325" xr:uid="{00000000-0005-0000-0000-000045010000}"/>
    <cellStyle name="AggGreen 2" xfId="326" xr:uid="{00000000-0005-0000-0000-000046010000}"/>
    <cellStyle name="AggGreen 2 2" xfId="327" xr:uid="{00000000-0005-0000-0000-000047010000}"/>
    <cellStyle name="AggGreen 2 2 2" xfId="328" xr:uid="{00000000-0005-0000-0000-000048010000}"/>
    <cellStyle name="AggGreen 2 2 2 10" xfId="329" xr:uid="{00000000-0005-0000-0000-000049010000}"/>
    <cellStyle name="AggGreen 2 2 2 11" xfId="330" xr:uid="{00000000-0005-0000-0000-00004A010000}"/>
    <cellStyle name="AggGreen 2 2 2 12" xfId="331" xr:uid="{00000000-0005-0000-0000-00004B010000}"/>
    <cellStyle name="AggGreen 2 2 2 2" xfId="332" xr:uid="{00000000-0005-0000-0000-00004C010000}"/>
    <cellStyle name="AggGreen 2 2 2 2 10" xfId="333" xr:uid="{00000000-0005-0000-0000-00004D010000}"/>
    <cellStyle name="AggGreen 2 2 2 2 11" xfId="334" xr:uid="{00000000-0005-0000-0000-00004E010000}"/>
    <cellStyle name="AggGreen 2 2 2 2 2" xfId="335" xr:uid="{00000000-0005-0000-0000-00004F010000}"/>
    <cellStyle name="AggGreen 2 2 2 2 3" xfId="336" xr:uid="{00000000-0005-0000-0000-000050010000}"/>
    <cellStyle name="AggGreen 2 2 2 2 4" xfId="337" xr:uid="{00000000-0005-0000-0000-000051010000}"/>
    <cellStyle name="AggGreen 2 2 2 2 5" xfId="338" xr:uid="{00000000-0005-0000-0000-000052010000}"/>
    <cellStyle name="AggGreen 2 2 2 2 6" xfId="339" xr:uid="{00000000-0005-0000-0000-000053010000}"/>
    <cellStyle name="AggGreen 2 2 2 2 7" xfId="340" xr:uid="{00000000-0005-0000-0000-000054010000}"/>
    <cellStyle name="AggGreen 2 2 2 2 8" xfId="341" xr:uid="{00000000-0005-0000-0000-000055010000}"/>
    <cellStyle name="AggGreen 2 2 2 2 9" xfId="342" xr:uid="{00000000-0005-0000-0000-000056010000}"/>
    <cellStyle name="AggGreen 2 2 2 3" xfId="343" xr:uid="{00000000-0005-0000-0000-000057010000}"/>
    <cellStyle name="AggGreen 2 2 2 4" xfId="344" xr:uid="{00000000-0005-0000-0000-000058010000}"/>
    <cellStyle name="AggGreen 2 2 2 5" xfId="345" xr:uid="{00000000-0005-0000-0000-000059010000}"/>
    <cellStyle name="AggGreen 2 2 2 6" xfId="346" xr:uid="{00000000-0005-0000-0000-00005A010000}"/>
    <cellStyle name="AggGreen 2 2 2 7" xfId="347" xr:uid="{00000000-0005-0000-0000-00005B010000}"/>
    <cellStyle name="AggGreen 2 2 2 8" xfId="348" xr:uid="{00000000-0005-0000-0000-00005C010000}"/>
    <cellStyle name="AggGreen 2 2 2 9" xfId="349" xr:uid="{00000000-0005-0000-0000-00005D010000}"/>
    <cellStyle name="AggGreen 2 2 3" xfId="350" xr:uid="{00000000-0005-0000-0000-00005E010000}"/>
    <cellStyle name="AggGreen 2 2 3 10" xfId="351" xr:uid="{00000000-0005-0000-0000-00005F010000}"/>
    <cellStyle name="AggGreen 2 2 3 11" xfId="352" xr:uid="{00000000-0005-0000-0000-000060010000}"/>
    <cellStyle name="AggGreen 2 2 3 2" xfId="353" xr:uid="{00000000-0005-0000-0000-000061010000}"/>
    <cellStyle name="AggGreen 2 2 3 3" xfId="354" xr:uid="{00000000-0005-0000-0000-000062010000}"/>
    <cellStyle name="AggGreen 2 2 3 4" xfId="355" xr:uid="{00000000-0005-0000-0000-000063010000}"/>
    <cellStyle name="AggGreen 2 2 3 5" xfId="356" xr:uid="{00000000-0005-0000-0000-000064010000}"/>
    <cellStyle name="AggGreen 2 2 3 6" xfId="357" xr:uid="{00000000-0005-0000-0000-000065010000}"/>
    <cellStyle name="AggGreen 2 2 3 7" xfId="358" xr:uid="{00000000-0005-0000-0000-000066010000}"/>
    <cellStyle name="AggGreen 2 2 3 8" xfId="359" xr:uid="{00000000-0005-0000-0000-000067010000}"/>
    <cellStyle name="AggGreen 2 2 3 9" xfId="360" xr:uid="{00000000-0005-0000-0000-000068010000}"/>
    <cellStyle name="AggGreen 2 3" xfId="361" xr:uid="{00000000-0005-0000-0000-000069010000}"/>
    <cellStyle name="AggGreen 2 3 10" xfId="362" xr:uid="{00000000-0005-0000-0000-00006A010000}"/>
    <cellStyle name="AggGreen 2 3 11" xfId="363" xr:uid="{00000000-0005-0000-0000-00006B010000}"/>
    <cellStyle name="AggGreen 2 3 12" xfId="364" xr:uid="{00000000-0005-0000-0000-00006C010000}"/>
    <cellStyle name="AggGreen 2 3 13" xfId="365" xr:uid="{00000000-0005-0000-0000-00006D010000}"/>
    <cellStyle name="AggGreen 2 3 14" xfId="366" xr:uid="{00000000-0005-0000-0000-00006E010000}"/>
    <cellStyle name="AggGreen 2 3 2" xfId="367" xr:uid="{00000000-0005-0000-0000-00006F010000}"/>
    <cellStyle name="AggGreen 2 3 2 10" xfId="368" xr:uid="{00000000-0005-0000-0000-000070010000}"/>
    <cellStyle name="AggGreen 2 3 2 11" xfId="369" xr:uid="{00000000-0005-0000-0000-000071010000}"/>
    <cellStyle name="AggGreen 2 3 2 12" xfId="370" xr:uid="{00000000-0005-0000-0000-000072010000}"/>
    <cellStyle name="AggGreen 2 3 2 2" xfId="371" xr:uid="{00000000-0005-0000-0000-000073010000}"/>
    <cellStyle name="AggGreen 2 3 2 2 10" xfId="372" xr:uid="{00000000-0005-0000-0000-000074010000}"/>
    <cellStyle name="AggGreen 2 3 2 2 11" xfId="373" xr:uid="{00000000-0005-0000-0000-000075010000}"/>
    <cellStyle name="AggGreen 2 3 2 2 2" xfId="374" xr:uid="{00000000-0005-0000-0000-000076010000}"/>
    <cellStyle name="AggGreen 2 3 2 2 3" xfId="375" xr:uid="{00000000-0005-0000-0000-000077010000}"/>
    <cellStyle name="AggGreen 2 3 2 2 4" xfId="376" xr:uid="{00000000-0005-0000-0000-000078010000}"/>
    <cellStyle name="AggGreen 2 3 2 2 5" xfId="377" xr:uid="{00000000-0005-0000-0000-000079010000}"/>
    <cellStyle name="AggGreen 2 3 2 2 6" xfId="378" xr:uid="{00000000-0005-0000-0000-00007A010000}"/>
    <cellStyle name="AggGreen 2 3 2 2 7" xfId="379" xr:uid="{00000000-0005-0000-0000-00007B010000}"/>
    <cellStyle name="AggGreen 2 3 2 2 8" xfId="380" xr:uid="{00000000-0005-0000-0000-00007C010000}"/>
    <cellStyle name="AggGreen 2 3 2 2 9" xfId="381" xr:uid="{00000000-0005-0000-0000-00007D010000}"/>
    <cellStyle name="AggGreen 2 3 2 27" xfId="382" xr:uid="{00000000-0005-0000-0000-00007E010000}"/>
    <cellStyle name="AggGreen 2 3 2 3" xfId="383" xr:uid="{00000000-0005-0000-0000-00007F010000}"/>
    <cellStyle name="AggGreen 2 3 2 4" xfId="384" xr:uid="{00000000-0005-0000-0000-000080010000}"/>
    <cellStyle name="AggGreen 2 3 2 5" xfId="385" xr:uid="{00000000-0005-0000-0000-000081010000}"/>
    <cellStyle name="AggGreen 2 3 2 6" xfId="386" xr:uid="{00000000-0005-0000-0000-000082010000}"/>
    <cellStyle name="AggGreen 2 3 2 7" xfId="387" xr:uid="{00000000-0005-0000-0000-000083010000}"/>
    <cellStyle name="AggGreen 2 3 2 8" xfId="388" xr:uid="{00000000-0005-0000-0000-000084010000}"/>
    <cellStyle name="AggGreen 2 3 2 9" xfId="389" xr:uid="{00000000-0005-0000-0000-000085010000}"/>
    <cellStyle name="AggGreen 2 3 3" xfId="390" xr:uid="{00000000-0005-0000-0000-000086010000}"/>
    <cellStyle name="AggGreen 2 3 3 10" xfId="391" xr:uid="{00000000-0005-0000-0000-000087010000}"/>
    <cellStyle name="AggGreen 2 3 3 11" xfId="392" xr:uid="{00000000-0005-0000-0000-000088010000}"/>
    <cellStyle name="AggGreen 2 3 3 12" xfId="393" xr:uid="{00000000-0005-0000-0000-000089010000}"/>
    <cellStyle name="AggGreen 2 3 3 2" xfId="394" xr:uid="{00000000-0005-0000-0000-00008A010000}"/>
    <cellStyle name="AggGreen 2 3 3 2 10" xfId="395" xr:uid="{00000000-0005-0000-0000-00008B010000}"/>
    <cellStyle name="AggGreen 2 3 3 2 11" xfId="396" xr:uid="{00000000-0005-0000-0000-00008C010000}"/>
    <cellStyle name="AggGreen 2 3 3 2 2" xfId="397" xr:uid="{00000000-0005-0000-0000-00008D010000}"/>
    <cellStyle name="AggGreen 2 3 3 2 3" xfId="398" xr:uid="{00000000-0005-0000-0000-00008E010000}"/>
    <cellStyle name="AggGreen 2 3 3 2 4" xfId="399" xr:uid="{00000000-0005-0000-0000-00008F010000}"/>
    <cellStyle name="AggGreen 2 3 3 2 5" xfId="400" xr:uid="{00000000-0005-0000-0000-000090010000}"/>
    <cellStyle name="AggGreen 2 3 3 2 6" xfId="401" xr:uid="{00000000-0005-0000-0000-000091010000}"/>
    <cellStyle name="AggGreen 2 3 3 2 7" xfId="402" xr:uid="{00000000-0005-0000-0000-000092010000}"/>
    <cellStyle name="AggGreen 2 3 3 2 8" xfId="403" xr:uid="{00000000-0005-0000-0000-000093010000}"/>
    <cellStyle name="AggGreen 2 3 3 2 9" xfId="404" xr:uid="{00000000-0005-0000-0000-000094010000}"/>
    <cellStyle name="AggGreen 2 3 3 3" xfId="405" xr:uid="{00000000-0005-0000-0000-000095010000}"/>
    <cellStyle name="AggGreen 2 3 3 4" xfId="406" xr:uid="{00000000-0005-0000-0000-000096010000}"/>
    <cellStyle name="AggGreen 2 3 3 5" xfId="407" xr:uid="{00000000-0005-0000-0000-000097010000}"/>
    <cellStyle name="AggGreen 2 3 3 6" xfId="408" xr:uid="{00000000-0005-0000-0000-000098010000}"/>
    <cellStyle name="AggGreen 2 3 3 7" xfId="409" xr:uid="{00000000-0005-0000-0000-000099010000}"/>
    <cellStyle name="AggGreen 2 3 3 8" xfId="410" xr:uid="{00000000-0005-0000-0000-00009A010000}"/>
    <cellStyle name="AggGreen 2 3 3 9" xfId="411" xr:uid="{00000000-0005-0000-0000-00009B010000}"/>
    <cellStyle name="AggGreen 2 3 4" xfId="412" xr:uid="{00000000-0005-0000-0000-00009C010000}"/>
    <cellStyle name="AggGreen 2 3 4 10" xfId="413" xr:uid="{00000000-0005-0000-0000-00009D010000}"/>
    <cellStyle name="AggGreen 2 3 4 11" xfId="414" xr:uid="{00000000-0005-0000-0000-00009E010000}"/>
    <cellStyle name="AggGreen 2 3 4 12" xfId="415" xr:uid="{00000000-0005-0000-0000-00009F010000}"/>
    <cellStyle name="AggGreen 2 3 4 2" xfId="416" xr:uid="{00000000-0005-0000-0000-0000A0010000}"/>
    <cellStyle name="AggGreen 2 3 4 2 10" xfId="417" xr:uid="{00000000-0005-0000-0000-0000A1010000}"/>
    <cellStyle name="AggGreen 2 3 4 2 11" xfId="418" xr:uid="{00000000-0005-0000-0000-0000A2010000}"/>
    <cellStyle name="AggGreen 2 3 4 2 2" xfId="419" xr:uid="{00000000-0005-0000-0000-0000A3010000}"/>
    <cellStyle name="AggGreen 2 3 4 2 3" xfId="420" xr:uid="{00000000-0005-0000-0000-0000A4010000}"/>
    <cellStyle name="AggGreen 2 3 4 2 4" xfId="421" xr:uid="{00000000-0005-0000-0000-0000A5010000}"/>
    <cellStyle name="AggGreen 2 3 4 2 5" xfId="422" xr:uid="{00000000-0005-0000-0000-0000A6010000}"/>
    <cellStyle name="AggGreen 2 3 4 2 6" xfId="423" xr:uid="{00000000-0005-0000-0000-0000A7010000}"/>
    <cellStyle name="AggGreen 2 3 4 2 7" xfId="424" xr:uid="{00000000-0005-0000-0000-0000A8010000}"/>
    <cellStyle name="AggGreen 2 3 4 2 8" xfId="425" xr:uid="{00000000-0005-0000-0000-0000A9010000}"/>
    <cellStyle name="AggGreen 2 3 4 2 9" xfId="426" xr:uid="{00000000-0005-0000-0000-0000AA010000}"/>
    <cellStyle name="AggGreen 2 3 4 3" xfId="427" xr:uid="{00000000-0005-0000-0000-0000AB010000}"/>
    <cellStyle name="AggGreen 2 3 4 4" xfId="428" xr:uid="{00000000-0005-0000-0000-0000AC010000}"/>
    <cellStyle name="AggGreen 2 3 4 5" xfId="429" xr:uid="{00000000-0005-0000-0000-0000AD010000}"/>
    <cellStyle name="AggGreen 2 3 4 6" xfId="430" xr:uid="{00000000-0005-0000-0000-0000AE010000}"/>
    <cellStyle name="AggGreen 2 3 4 7" xfId="431" xr:uid="{00000000-0005-0000-0000-0000AF010000}"/>
    <cellStyle name="AggGreen 2 3 4 8" xfId="432" xr:uid="{00000000-0005-0000-0000-0000B0010000}"/>
    <cellStyle name="AggGreen 2 3 4 9" xfId="433" xr:uid="{00000000-0005-0000-0000-0000B1010000}"/>
    <cellStyle name="AggGreen 2 3 5" xfId="434" xr:uid="{00000000-0005-0000-0000-0000B2010000}"/>
    <cellStyle name="AggGreen 2 3 6" xfId="435" xr:uid="{00000000-0005-0000-0000-0000B3010000}"/>
    <cellStyle name="AggGreen 2 3 7" xfId="436" xr:uid="{00000000-0005-0000-0000-0000B4010000}"/>
    <cellStyle name="AggGreen 2 3 8" xfId="437" xr:uid="{00000000-0005-0000-0000-0000B5010000}"/>
    <cellStyle name="AggGreen 2 3 9" xfId="438" xr:uid="{00000000-0005-0000-0000-0000B6010000}"/>
    <cellStyle name="AggGreen 3" xfId="439" xr:uid="{00000000-0005-0000-0000-0000B7010000}"/>
    <cellStyle name="AggGreen 3 2" xfId="440" xr:uid="{00000000-0005-0000-0000-0000B8010000}"/>
    <cellStyle name="AggGreen 3 2 10" xfId="441" xr:uid="{00000000-0005-0000-0000-0000B9010000}"/>
    <cellStyle name="AggGreen 3 2 11" xfId="442" xr:uid="{00000000-0005-0000-0000-0000BA010000}"/>
    <cellStyle name="AggGreen 3 2 12" xfId="443" xr:uid="{00000000-0005-0000-0000-0000BB010000}"/>
    <cellStyle name="AggGreen 3 2 2" xfId="444" xr:uid="{00000000-0005-0000-0000-0000BC010000}"/>
    <cellStyle name="AggGreen 3 2 2 10" xfId="445" xr:uid="{00000000-0005-0000-0000-0000BD010000}"/>
    <cellStyle name="AggGreen 3 2 2 11" xfId="446" xr:uid="{00000000-0005-0000-0000-0000BE010000}"/>
    <cellStyle name="AggGreen 3 2 2 2" xfId="447" xr:uid="{00000000-0005-0000-0000-0000BF010000}"/>
    <cellStyle name="AggGreen 3 2 2 3" xfId="448" xr:uid="{00000000-0005-0000-0000-0000C0010000}"/>
    <cellStyle name="AggGreen 3 2 2 4" xfId="449" xr:uid="{00000000-0005-0000-0000-0000C1010000}"/>
    <cellStyle name="AggGreen 3 2 2 5" xfId="450" xr:uid="{00000000-0005-0000-0000-0000C2010000}"/>
    <cellStyle name="AggGreen 3 2 2 6" xfId="451" xr:uid="{00000000-0005-0000-0000-0000C3010000}"/>
    <cellStyle name="AggGreen 3 2 2 7" xfId="452" xr:uid="{00000000-0005-0000-0000-0000C4010000}"/>
    <cellStyle name="AggGreen 3 2 2 8" xfId="453" xr:uid="{00000000-0005-0000-0000-0000C5010000}"/>
    <cellStyle name="AggGreen 3 2 2 9" xfId="454" xr:uid="{00000000-0005-0000-0000-0000C6010000}"/>
    <cellStyle name="AggGreen 3 2 3" xfId="455" xr:uid="{00000000-0005-0000-0000-0000C7010000}"/>
    <cellStyle name="AggGreen 3 2 4" xfId="456" xr:uid="{00000000-0005-0000-0000-0000C8010000}"/>
    <cellStyle name="AggGreen 3 2 5" xfId="457" xr:uid="{00000000-0005-0000-0000-0000C9010000}"/>
    <cellStyle name="AggGreen 3 2 6" xfId="458" xr:uid="{00000000-0005-0000-0000-0000CA010000}"/>
    <cellStyle name="AggGreen 3 2 7" xfId="459" xr:uid="{00000000-0005-0000-0000-0000CB010000}"/>
    <cellStyle name="AggGreen 3 2 8" xfId="460" xr:uid="{00000000-0005-0000-0000-0000CC010000}"/>
    <cellStyle name="AggGreen 3 2 9" xfId="461" xr:uid="{00000000-0005-0000-0000-0000CD010000}"/>
    <cellStyle name="AggGreen 3 3" xfId="462" xr:uid="{00000000-0005-0000-0000-0000CE010000}"/>
    <cellStyle name="AggGreen 3 3 10" xfId="463" xr:uid="{00000000-0005-0000-0000-0000CF010000}"/>
    <cellStyle name="AggGreen 3 3 11" xfId="464" xr:uid="{00000000-0005-0000-0000-0000D0010000}"/>
    <cellStyle name="AggGreen 3 3 2" xfId="465" xr:uid="{00000000-0005-0000-0000-0000D1010000}"/>
    <cellStyle name="AggGreen 3 3 3" xfId="466" xr:uid="{00000000-0005-0000-0000-0000D2010000}"/>
    <cellStyle name="AggGreen 3 3 4" xfId="467" xr:uid="{00000000-0005-0000-0000-0000D3010000}"/>
    <cellStyle name="AggGreen 3 3 5" xfId="468" xr:uid="{00000000-0005-0000-0000-0000D4010000}"/>
    <cellStyle name="AggGreen 3 3 6" xfId="469" xr:uid="{00000000-0005-0000-0000-0000D5010000}"/>
    <cellStyle name="AggGreen 3 3 7" xfId="470" xr:uid="{00000000-0005-0000-0000-0000D6010000}"/>
    <cellStyle name="AggGreen 3 3 8" xfId="471" xr:uid="{00000000-0005-0000-0000-0000D7010000}"/>
    <cellStyle name="AggGreen 3 3 9" xfId="472" xr:uid="{00000000-0005-0000-0000-0000D8010000}"/>
    <cellStyle name="AggGreen 4" xfId="473" xr:uid="{00000000-0005-0000-0000-0000D9010000}"/>
    <cellStyle name="AggGreen 4 10" xfId="474" xr:uid="{00000000-0005-0000-0000-0000DA010000}"/>
    <cellStyle name="AggGreen 4 11" xfId="475" xr:uid="{00000000-0005-0000-0000-0000DB010000}"/>
    <cellStyle name="AggGreen 4 12" xfId="476" xr:uid="{00000000-0005-0000-0000-0000DC010000}"/>
    <cellStyle name="AggGreen 4 13" xfId="477" xr:uid="{00000000-0005-0000-0000-0000DD010000}"/>
    <cellStyle name="AggGreen 4 14" xfId="478" xr:uid="{00000000-0005-0000-0000-0000DE010000}"/>
    <cellStyle name="AggGreen 4 2" xfId="479" xr:uid="{00000000-0005-0000-0000-0000DF010000}"/>
    <cellStyle name="AggGreen 4 2 10" xfId="480" xr:uid="{00000000-0005-0000-0000-0000E0010000}"/>
    <cellStyle name="AggGreen 4 2 11" xfId="481" xr:uid="{00000000-0005-0000-0000-0000E1010000}"/>
    <cellStyle name="AggGreen 4 2 12" xfId="482" xr:uid="{00000000-0005-0000-0000-0000E2010000}"/>
    <cellStyle name="AggGreen 4 2 2" xfId="483" xr:uid="{00000000-0005-0000-0000-0000E3010000}"/>
    <cellStyle name="AggGreen 4 2 2 10" xfId="484" xr:uid="{00000000-0005-0000-0000-0000E4010000}"/>
    <cellStyle name="AggGreen 4 2 2 11" xfId="485" xr:uid="{00000000-0005-0000-0000-0000E5010000}"/>
    <cellStyle name="AggGreen 4 2 2 2" xfId="486" xr:uid="{00000000-0005-0000-0000-0000E6010000}"/>
    <cellStyle name="AggGreen 4 2 2 3" xfId="487" xr:uid="{00000000-0005-0000-0000-0000E7010000}"/>
    <cellStyle name="AggGreen 4 2 2 4" xfId="488" xr:uid="{00000000-0005-0000-0000-0000E8010000}"/>
    <cellStyle name="AggGreen 4 2 2 5" xfId="489" xr:uid="{00000000-0005-0000-0000-0000E9010000}"/>
    <cellStyle name="AggGreen 4 2 2 6" xfId="490" xr:uid="{00000000-0005-0000-0000-0000EA010000}"/>
    <cellStyle name="AggGreen 4 2 2 7" xfId="491" xr:uid="{00000000-0005-0000-0000-0000EB010000}"/>
    <cellStyle name="AggGreen 4 2 2 8" xfId="492" xr:uid="{00000000-0005-0000-0000-0000EC010000}"/>
    <cellStyle name="AggGreen 4 2 2 9" xfId="493" xr:uid="{00000000-0005-0000-0000-0000ED010000}"/>
    <cellStyle name="AggGreen 4 2 3" xfId="494" xr:uid="{00000000-0005-0000-0000-0000EE010000}"/>
    <cellStyle name="AggGreen 4 2 4" xfId="495" xr:uid="{00000000-0005-0000-0000-0000EF010000}"/>
    <cellStyle name="AggGreen 4 2 5" xfId="496" xr:uid="{00000000-0005-0000-0000-0000F0010000}"/>
    <cellStyle name="AggGreen 4 2 6" xfId="497" xr:uid="{00000000-0005-0000-0000-0000F1010000}"/>
    <cellStyle name="AggGreen 4 2 7" xfId="498" xr:uid="{00000000-0005-0000-0000-0000F2010000}"/>
    <cellStyle name="AggGreen 4 2 8" xfId="499" xr:uid="{00000000-0005-0000-0000-0000F3010000}"/>
    <cellStyle name="AggGreen 4 2 9" xfId="500" xr:uid="{00000000-0005-0000-0000-0000F4010000}"/>
    <cellStyle name="AggGreen 4 3" xfId="501" xr:uid="{00000000-0005-0000-0000-0000F5010000}"/>
    <cellStyle name="AggGreen 4 3 10" xfId="502" xr:uid="{00000000-0005-0000-0000-0000F6010000}"/>
    <cellStyle name="AggGreen 4 3 11" xfId="503" xr:uid="{00000000-0005-0000-0000-0000F7010000}"/>
    <cellStyle name="AggGreen 4 3 12" xfId="504" xr:uid="{00000000-0005-0000-0000-0000F8010000}"/>
    <cellStyle name="AggGreen 4 3 2" xfId="505" xr:uid="{00000000-0005-0000-0000-0000F9010000}"/>
    <cellStyle name="AggGreen 4 3 2 10" xfId="506" xr:uid="{00000000-0005-0000-0000-0000FA010000}"/>
    <cellStyle name="AggGreen 4 3 2 11" xfId="507" xr:uid="{00000000-0005-0000-0000-0000FB010000}"/>
    <cellStyle name="AggGreen 4 3 2 2" xfId="508" xr:uid="{00000000-0005-0000-0000-0000FC010000}"/>
    <cellStyle name="AggGreen 4 3 2 3" xfId="509" xr:uid="{00000000-0005-0000-0000-0000FD010000}"/>
    <cellStyle name="AggGreen 4 3 2 4" xfId="510" xr:uid="{00000000-0005-0000-0000-0000FE010000}"/>
    <cellStyle name="AggGreen 4 3 2 5" xfId="511" xr:uid="{00000000-0005-0000-0000-0000FF010000}"/>
    <cellStyle name="AggGreen 4 3 2 6" xfId="512" xr:uid="{00000000-0005-0000-0000-000000020000}"/>
    <cellStyle name="AggGreen 4 3 2 7" xfId="513" xr:uid="{00000000-0005-0000-0000-000001020000}"/>
    <cellStyle name="AggGreen 4 3 2 8" xfId="514" xr:uid="{00000000-0005-0000-0000-000002020000}"/>
    <cellStyle name="AggGreen 4 3 2 9" xfId="515" xr:uid="{00000000-0005-0000-0000-000003020000}"/>
    <cellStyle name="AggGreen 4 3 3" xfId="516" xr:uid="{00000000-0005-0000-0000-000004020000}"/>
    <cellStyle name="AggGreen 4 3 4" xfId="517" xr:uid="{00000000-0005-0000-0000-000005020000}"/>
    <cellStyle name="AggGreen 4 3 5" xfId="518" xr:uid="{00000000-0005-0000-0000-000006020000}"/>
    <cellStyle name="AggGreen 4 3 6" xfId="519" xr:uid="{00000000-0005-0000-0000-000007020000}"/>
    <cellStyle name="AggGreen 4 3 7" xfId="520" xr:uid="{00000000-0005-0000-0000-000008020000}"/>
    <cellStyle name="AggGreen 4 3 8" xfId="521" xr:uid="{00000000-0005-0000-0000-000009020000}"/>
    <cellStyle name="AggGreen 4 3 9" xfId="522" xr:uid="{00000000-0005-0000-0000-00000A020000}"/>
    <cellStyle name="AggGreen 4 4" xfId="523" xr:uid="{00000000-0005-0000-0000-00000B020000}"/>
    <cellStyle name="AggGreen 4 4 10" xfId="524" xr:uid="{00000000-0005-0000-0000-00000C020000}"/>
    <cellStyle name="AggGreen 4 4 11" xfId="525" xr:uid="{00000000-0005-0000-0000-00000D020000}"/>
    <cellStyle name="AggGreen 4 4 12" xfId="526" xr:uid="{00000000-0005-0000-0000-00000E020000}"/>
    <cellStyle name="AggGreen 4 4 2" xfId="527" xr:uid="{00000000-0005-0000-0000-00000F020000}"/>
    <cellStyle name="AggGreen 4 4 2 10" xfId="528" xr:uid="{00000000-0005-0000-0000-000010020000}"/>
    <cellStyle name="AggGreen 4 4 2 11" xfId="529" xr:uid="{00000000-0005-0000-0000-000011020000}"/>
    <cellStyle name="AggGreen 4 4 2 2" xfId="530" xr:uid="{00000000-0005-0000-0000-000012020000}"/>
    <cellStyle name="AggGreen 4 4 2 3" xfId="531" xr:uid="{00000000-0005-0000-0000-000013020000}"/>
    <cellStyle name="AggGreen 4 4 2 4" xfId="532" xr:uid="{00000000-0005-0000-0000-000014020000}"/>
    <cellStyle name="AggGreen 4 4 2 5" xfId="533" xr:uid="{00000000-0005-0000-0000-000015020000}"/>
    <cellStyle name="AggGreen 4 4 2 6" xfId="534" xr:uid="{00000000-0005-0000-0000-000016020000}"/>
    <cellStyle name="AggGreen 4 4 2 7" xfId="535" xr:uid="{00000000-0005-0000-0000-000017020000}"/>
    <cellStyle name="AggGreen 4 4 2 8" xfId="536" xr:uid="{00000000-0005-0000-0000-000018020000}"/>
    <cellStyle name="AggGreen 4 4 2 9" xfId="537" xr:uid="{00000000-0005-0000-0000-000019020000}"/>
    <cellStyle name="AggGreen 4 4 3" xfId="538" xr:uid="{00000000-0005-0000-0000-00001A020000}"/>
    <cellStyle name="AggGreen 4 4 4" xfId="539" xr:uid="{00000000-0005-0000-0000-00001B020000}"/>
    <cellStyle name="AggGreen 4 4 5" xfId="540" xr:uid="{00000000-0005-0000-0000-00001C020000}"/>
    <cellStyle name="AggGreen 4 4 6" xfId="541" xr:uid="{00000000-0005-0000-0000-00001D020000}"/>
    <cellStyle name="AggGreen 4 4 7" xfId="542" xr:uid="{00000000-0005-0000-0000-00001E020000}"/>
    <cellStyle name="AggGreen 4 4 8" xfId="543" xr:uid="{00000000-0005-0000-0000-00001F020000}"/>
    <cellStyle name="AggGreen 4 4 9" xfId="544" xr:uid="{00000000-0005-0000-0000-000020020000}"/>
    <cellStyle name="AggGreen 4 5" xfId="545" xr:uid="{00000000-0005-0000-0000-000021020000}"/>
    <cellStyle name="AggGreen 4 6" xfId="546" xr:uid="{00000000-0005-0000-0000-000022020000}"/>
    <cellStyle name="AggGreen 4 7" xfId="547" xr:uid="{00000000-0005-0000-0000-000023020000}"/>
    <cellStyle name="AggGreen 4 8" xfId="548" xr:uid="{00000000-0005-0000-0000-000024020000}"/>
    <cellStyle name="AggGreen 4 9" xfId="549" xr:uid="{00000000-0005-0000-0000-000025020000}"/>
    <cellStyle name="AggGreen 5" xfId="550" xr:uid="{00000000-0005-0000-0000-000026020000}"/>
    <cellStyle name="AggGreen 5 2" xfId="551" xr:uid="{00000000-0005-0000-0000-000027020000}"/>
    <cellStyle name="AggGreen 5 3" xfId="552" xr:uid="{00000000-0005-0000-0000-000028020000}"/>
    <cellStyle name="AggGreen 5 4" xfId="553" xr:uid="{00000000-0005-0000-0000-000029020000}"/>
    <cellStyle name="AggGreen 5 5" xfId="554" xr:uid="{00000000-0005-0000-0000-00002A020000}"/>
    <cellStyle name="AggGreen_Bbdr" xfId="784" xr:uid="{00000000-0005-0000-0000-000010030000}"/>
    <cellStyle name="AggGreen12" xfId="555" xr:uid="{00000000-0005-0000-0000-00002B020000}"/>
    <cellStyle name="AggGreen12 2" xfId="556" xr:uid="{00000000-0005-0000-0000-00002C020000}"/>
    <cellStyle name="AggGreen12 2 2" xfId="557" xr:uid="{00000000-0005-0000-0000-00002D020000}"/>
    <cellStyle name="AggGreen12 2 2 2" xfId="558" xr:uid="{00000000-0005-0000-0000-00002E020000}"/>
    <cellStyle name="AggGreen12 2 2 2 10" xfId="559" xr:uid="{00000000-0005-0000-0000-00002F020000}"/>
    <cellStyle name="AggGreen12 2 2 2 11" xfId="560" xr:uid="{00000000-0005-0000-0000-000030020000}"/>
    <cellStyle name="AggGreen12 2 2 2 12" xfId="561" xr:uid="{00000000-0005-0000-0000-000031020000}"/>
    <cellStyle name="AggGreen12 2 2 2 2" xfId="562" xr:uid="{00000000-0005-0000-0000-000032020000}"/>
    <cellStyle name="AggGreen12 2 2 2 2 10" xfId="563" xr:uid="{00000000-0005-0000-0000-000033020000}"/>
    <cellStyle name="AggGreen12 2 2 2 2 11" xfId="564" xr:uid="{00000000-0005-0000-0000-000034020000}"/>
    <cellStyle name="AggGreen12 2 2 2 2 2" xfId="565" xr:uid="{00000000-0005-0000-0000-000035020000}"/>
    <cellStyle name="AggGreen12 2 2 2 2 3" xfId="566" xr:uid="{00000000-0005-0000-0000-000036020000}"/>
    <cellStyle name="AggGreen12 2 2 2 2 4" xfId="567" xr:uid="{00000000-0005-0000-0000-000037020000}"/>
    <cellStyle name="AggGreen12 2 2 2 2 5" xfId="568" xr:uid="{00000000-0005-0000-0000-000038020000}"/>
    <cellStyle name="AggGreen12 2 2 2 2 6" xfId="569" xr:uid="{00000000-0005-0000-0000-000039020000}"/>
    <cellStyle name="AggGreen12 2 2 2 2 7" xfId="570" xr:uid="{00000000-0005-0000-0000-00003A020000}"/>
    <cellStyle name="AggGreen12 2 2 2 2 8" xfId="571" xr:uid="{00000000-0005-0000-0000-00003B020000}"/>
    <cellStyle name="AggGreen12 2 2 2 2 9" xfId="572" xr:uid="{00000000-0005-0000-0000-00003C020000}"/>
    <cellStyle name="AggGreen12 2 2 2 3" xfId="573" xr:uid="{00000000-0005-0000-0000-00003D020000}"/>
    <cellStyle name="AggGreen12 2 2 2 4" xfId="574" xr:uid="{00000000-0005-0000-0000-00003E020000}"/>
    <cellStyle name="AggGreen12 2 2 2 5" xfId="575" xr:uid="{00000000-0005-0000-0000-00003F020000}"/>
    <cellStyle name="AggGreen12 2 2 2 6" xfId="576" xr:uid="{00000000-0005-0000-0000-000040020000}"/>
    <cellStyle name="AggGreen12 2 2 2 7" xfId="577" xr:uid="{00000000-0005-0000-0000-000041020000}"/>
    <cellStyle name="AggGreen12 2 2 2 8" xfId="578" xr:uid="{00000000-0005-0000-0000-000042020000}"/>
    <cellStyle name="AggGreen12 2 2 2 9" xfId="579" xr:uid="{00000000-0005-0000-0000-000043020000}"/>
    <cellStyle name="AggGreen12 2 2 3" xfId="580" xr:uid="{00000000-0005-0000-0000-000044020000}"/>
    <cellStyle name="AggGreen12 2 2 3 10" xfId="581" xr:uid="{00000000-0005-0000-0000-000045020000}"/>
    <cellStyle name="AggGreen12 2 2 3 11" xfId="582" xr:uid="{00000000-0005-0000-0000-000046020000}"/>
    <cellStyle name="AggGreen12 2 2 3 2" xfId="583" xr:uid="{00000000-0005-0000-0000-000047020000}"/>
    <cellStyle name="AggGreen12 2 2 3 3" xfId="584" xr:uid="{00000000-0005-0000-0000-000048020000}"/>
    <cellStyle name="AggGreen12 2 2 3 4" xfId="585" xr:uid="{00000000-0005-0000-0000-000049020000}"/>
    <cellStyle name="AggGreen12 2 2 3 5" xfId="586" xr:uid="{00000000-0005-0000-0000-00004A020000}"/>
    <cellStyle name="AggGreen12 2 2 3 6" xfId="587" xr:uid="{00000000-0005-0000-0000-00004B020000}"/>
    <cellStyle name="AggGreen12 2 2 3 7" xfId="588" xr:uid="{00000000-0005-0000-0000-00004C020000}"/>
    <cellStyle name="AggGreen12 2 2 3 8" xfId="589" xr:uid="{00000000-0005-0000-0000-00004D020000}"/>
    <cellStyle name="AggGreen12 2 2 3 9" xfId="590" xr:uid="{00000000-0005-0000-0000-00004E020000}"/>
    <cellStyle name="AggGreen12 2 3" xfId="591" xr:uid="{00000000-0005-0000-0000-00004F020000}"/>
    <cellStyle name="AggGreen12 2 3 10" xfId="592" xr:uid="{00000000-0005-0000-0000-000050020000}"/>
    <cellStyle name="AggGreen12 2 3 11" xfId="593" xr:uid="{00000000-0005-0000-0000-000051020000}"/>
    <cellStyle name="AggGreen12 2 3 12" xfId="594" xr:uid="{00000000-0005-0000-0000-000052020000}"/>
    <cellStyle name="AggGreen12 2 3 13" xfId="595" xr:uid="{00000000-0005-0000-0000-000053020000}"/>
    <cellStyle name="AggGreen12 2 3 14" xfId="596" xr:uid="{00000000-0005-0000-0000-000054020000}"/>
    <cellStyle name="AggGreen12 2 3 2" xfId="597" xr:uid="{00000000-0005-0000-0000-000055020000}"/>
    <cellStyle name="AggGreen12 2 3 2 10" xfId="598" xr:uid="{00000000-0005-0000-0000-000056020000}"/>
    <cellStyle name="AggGreen12 2 3 2 11" xfId="599" xr:uid="{00000000-0005-0000-0000-000057020000}"/>
    <cellStyle name="AggGreen12 2 3 2 12" xfId="600" xr:uid="{00000000-0005-0000-0000-000058020000}"/>
    <cellStyle name="AggGreen12 2 3 2 2" xfId="601" xr:uid="{00000000-0005-0000-0000-000059020000}"/>
    <cellStyle name="AggGreen12 2 3 2 2 10" xfId="602" xr:uid="{00000000-0005-0000-0000-00005A020000}"/>
    <cellStyle name="AggGreen12 2 3 2 2 11" xfId="603" xr:uid="{00000000-0005-0000-0000-00005B020000}"/>
    <cellStyle name="AggGreen12 2 3 2 2 2" xfId="604" xr:uid="{00000000-0005-0000-0000-00005C020000}"/>
    <cellStyle name="AggGreen12 2 3 2 2 3" xfId="605" xr:uid="{00000000-0005-0000-0000-00005D020000}"/>
    <cellStyle name="AggGreen12 2 3 2 2 4" xfId="606" xr:uid="{00000000-0005-0000-0000-00005E020000}"/>
    <cellStyle name="AggGreen12 2 3 2 2 5" xfId="607" xr:uid="{00000000-0005-0000-0000-00005F020000}"/>
    <cellStyle name="AggGreen12 2 3 2 2 6" xfId="608" xr:uid="{00000000-0005-0000-0000-000060020000}"/>
    <cellStyle name="AggGreen12 2 3 2 2 7" xfId="609" xr:uid="{00000000-0005-0000-0000-000061020000}"/>
    <cellStyle name="AggGreen12 2 3 2 2 8" xfId="610" xr:uid="{00000000-0005-0000-0000-000062020000}"/>
    <cellStyle name="AggGreen12 2 3 2 2 9" xfId="611" xr:uid="{00000000-0005-0000-0000-000063020000}"/>
    <cellStyle name="AggGreen12 2 3 2 3" xfId="612" xr:uid="{00000000-0005-0000-0000-000064020000}"/>
    <cellStyle name="AggGreen12 2 3 2 4" xfId="613" xr:uid="{00000000-0005-0000-0000-000065020000}"/>
    <cellStyle name="AggGreen12 2 3 2 5" xfId="614" xr:uid="{00000000-0005-0000-0000-000066020000}"/>
    <cellStyle name="AggGreen12 2 3 2 6" xfId="615" xr:uid="{00000000-0005-0000-0000-000067020000}"/>
    <cellStyle name="AggGreen12 2 3 2 7" xfId="616" xr:uid="{00000000-0005-0000-0000-000068020000}"/>
    <cellStyle name="AggGreen12 2 3 2 8" xfId="617" xr:uid="{00000000-0005-0000-0000-000069020000}"/>
    <cellStyle name="AggGreen12 2 3 2 9" xfId="618" xr:uid="{00000000-0005-0000-0000-00006A020000}"/>
    <cellStyle name="AggGreen12 2 3 3" xfId="619" xr:uid="{00000000-0005-0000-0000-00006B020000}"/>
    <cellStyle name="AggGreen12 2 3 3 10" xfId="620" xr:uid="{00000000-0005-0000-0000-00006C020000}"/>
    <cellStyle name="AggGreen12 2 3 3 11" xfId="621" xr:uid="{00000000-0005-0000-0000-00006D020000}"/>
    <cellStyle name="AggGreen12 2 3 3 12" xfId="622" xr:uid="{00000000-0005-0000-0000-00006E020000}"/>
    <cellStyle name="AggGreen12 2 3 3 2" xfId="623" xr:uid="{00000000-0005-0000-0000-00006F020000}"/>
    <cellStyle name="AggGreen12 2 3 3 2 10" xfId="624" xr:uid="{00000000-0005-0000-0000-000070020000}"/>
    <cellStyle name="AggGreen12 2 3 3 2 11" xfId="625" xr:uid="{00000000-0005-0000-0000-000071020000}"/>
    <cellStyle name="AggGreen12 2 3 3 2 2" xfId="626" xr:uid="{00000000-0005-0000-0000-000072020000}"/>
    <cellStyle name="AggGreen12 2 3 3 2 3" xfId="627" xr:uid="{00000000-0005-0000-0000-000073020000}"/>
    <cellStyle name="AggGreen12 2 3 3 2 4" xfId="628" xr:uid="{00000000-0005-0000-0000-000074020000}"/>
    <cellStyle name="AggGreen12 2 3 3 2 5" xfId="629" xr:uid="{00000000-0005-0000-0000-000075020000}"/>
    <cellStyle name="AggGreen12 2 3 3 2 6" xfId="630" xr:uid="{00000000-0005-0000-0000-000076020000}"/>
    <cellStyle name="AggGreen12 2 3 3 2 7" xfId="631" xr:uid="{00000000-0005-0000-0000-000077020000}"/>
    <cellStyle name="AggGreen12 2 3 3 2 8" xfId="632" xr:uid="{00000000-0005-0000-0000-000078020000}"/>
    <cellStyle name="AggGreen12 2 3 3 2 9" xfId="633" xr:uid="{00000000-0005-0000-0000-000079020000}"/>
    <cellStyle name="AggGreen12 2 3 3 3" xfId="634" xr:uid="{00000000-0005-0000-0000-00007A020000}"/>
    <cellStyle name="AggGreen12 2 3 3 4" xfId="635" xr:uid="{00000000-0005-0000-0000-00007B020000}"/>
    <cellStyle name="AggGreen12 2 3 3 5" xfId="636" xr:uid="{00000000-0005-0000-0000-00007C020000}"/>
    <cellStyle name="AggGreen12 2 3 3 6" xfId="637" xr:uid="{00000000-0005-0000-0000-00007D020000}"/>
    <cellStyle name="AggGreen12 2 3 3 7" xfId="638" xr:uid="{00000000-0005-0000-0000-00007E020000}"/>
    <cellStyle name="AggGreen12 2 3 3 8" xfId="639" xr:uid="{00000000-0005-0000-0000-00007F020000}"/>
    <cellStyle name="AggGreen12 2 3 3 9" xfId="640" xr:uid="{00000000-0005-0000-0000-000080020000}"/>
    <cellStyle name="AggGreen12 2 3 4" xfId="641" xr:uid="{00000000-0005-0000-0000-000081020000}"/>
    <cellStyle name="AggGreen12 2 3 4 10" xfId="642" xr:uid="{00000000-0005-0000-0000-000082020000}"/>
    <cellStyle name="AggGreen12 2 3 4 11" xfId="643" xr:uid="{00000000-0005-0000-0000-000083020000}"/>
    <cellStyle name="AggGreen12 2 3 4 12" xfId="644" xr:uid="{00000000-0005-0000-0000-000084020000}"/>
    <cellStyle name="AggGreen12 2 3 4 2" xfId="645" xr:uid="{00000000-0005-0000-0000-000085020000}"/>
    <cellStyle name="AggGreen12 2 3 4 2 10" xfId="646" xr:uid="{00000000-0005-0000-0000-000086020000}"/>
    <cellStyle name="AggGreen12 2 3 4 2 11" xfId="647" xr:uid="{00000000-0005-0000-0000-000087020000}"/>
    <cellStyle name="AggGreen12 2 3 4 2 2" xfId="648" xr:uid="{00000000-0005-0000-0000-000088020000}"/>
    <cellStyle name="AggGreen12 2 3 4 2 3" xfId="649" xr:uid="{00000000-0005-0000-0000-000089020000}"/>
    <cellStyle name="AggGreen12 2 3 4 2 4" xfId="650" xr:uid="{00000000-0005-0000-0000-00008A020000}"/>
    <cellStyle name="AggGreen12 2 3 4 2 5" xfId="651" xr:uid="{00000000-0005-0000-0000-00008B020000}"/>
    <cellStyle name="AggGreen12 2 3 4 2 6" xfId="652" xr:uid="{00000000-0005-0000-0000-00008C020000}"/>
    <cellStyle name="AggGreen12 2 3 4 2 7" xfId="653" xr:uid="{00000000-0005-0000-0000-00008D020000}"/>
    <cellStyle name="AggGreen12 2 3 4 2 8" xfId="654" xr:uid="{00000000-0005-0000-0000-00008E020000}"/>
    <cellStyle name="AggGreen12 2 3 4 2 9" xfId="655" xr:uid="{00000000-0005-0000-0000-00008F020000}"/>
    <cellStyle name="AggGreen12 2 3 4 3" xfId="656" xr:uid="{00000000-0005-0000-0000-000090020000}"/>
    <cellStyle name="AggGreen12 2 3 4 4" xfId="657" xr:uid="{00000000-0005-0000-0000-000091020000}"/>
    <cellStyle name="AggGreen12 2 3 4 5" xfId="658" xr:uid="{00000000-0005-0000-0000-000092020000}"/>
    <cellStyle name="AggGreen12 2 3 4 6" xfId="659" xr:uid="{00000000-0005-0000-0000-000093020000}"/>
    <cellStyle name="AggGreen12 2 3 4 7" xfId="660" xr:uid="{00000000-0005-0000-0000-000094020000}"/>
    <cellStyle name="AggGreen12 2 3 4 8" xfId="661" xr:uid="{00000000-0005-0000-0000-000095020000}"/>
    <cellStyle name="AggGreen12 2 3 4 9" xfId="662" xr:uid="{00000000-0005-0000-0000-000096020000}"/>
    <cellStyle name="AggGreen12 2 3 5" xfId="663" xr:uid="{00000000-0005-0000-0000-000097020000}"/>
    <cellStyle name="AggGreen12 2 3 6" xfId="664" xr:uid="{00000000-0005-0000-0000-000098020000}"/>
    <cellStyle name="AggGreen12 2 3 7" xfId="665" xr:uid="{00000000-0005-0000-0000-000099020000}"/>
    <cellStyle name="AggGreen12 2 3 8" xfId="666" xr:uid="{00000000-0005-0000-0000-00009A020000}"/>
    <cellStyle name="AggGreen12 2 3 9" xfId="667" xr:uid="{00000000-0005-0000-0000-00009B020000}"/>
    <cellStyle name="AggGreen12 3" xfId="668" xr:uid="{00000000-0005-0000-0000-00009C020000}"/>
    <cellStyle name="AggGreen12 3 2" xfId="669" xr:uid="{00000000-0005-0000-0000-00009D020000}"/>
    <cellStyle name="AggGreen12 3 2 10" xfId="670" xr:uid="{00000000-0005-0000-0000-00009E020000}"/>
    <cellStyle name="AggGreen12 3 2 11" xfId="671" xr:uid="{00000000-0005-0000-0000-00009F020000}"/>
    <cellStyle name="AggGreen12 3 2 12" xfId="672" xr:uid="{00000000-0005-0000-0000-0000A0020000}"/>
    <cellStyle name="AggGreen12 3 2 2" xfId="673" xr:uid="{00000000-0005-0000-0000-0000A1020000}"/>
    <cellStyle name="AggGreen12 3 2 2 10" xfId="674" xr:uid="{00000000-0005-0000-0000-0000A2020000}"/>
    <cellStyle name="AggGreen12 3 2 2 11" xfId="675" xr:uid="{00000000-0005-0000-0000-0000A3020000}"/>
    <cellStyle name="AggGreen12 3 2 2 2" xfId="676" xr:uid="{00000000-0005-0000-0000-0000A4020000}"/>
    <cellStyle name="AggGreen12 3 2 2 3" xfId="677" xr:uid="{00000000-0005-0000-0000-0000A5020000}"/>
    <cellStyle name="AggGreen12 3 2 2 4" xfId="678" xr:uid="{00000000-0005-0000-0000-0000A6020000}"/>
    <cellStyle name="AggGreen12 3 2 2 5" xfId="679" xr:uid="{00000000-0005-0000-0000-0000A7020000}"/>
    <cellStyle name="AggGreen12 3 2 2 6" xfId="680" xr:uid="{00000000-0005-0000-0000-0000A8020000}"/>
    <cellStyle name="AggGreen12 3 2 2 7" xfId="681" xr:uid="{00000000-0005-0000-0000-0000A9020000}"/>
    <cellStyle name="AggGreen12 3 2 2 8" xfId="682" xr:uid="{00000000-0005-0000-0000-0000AA020000}"/>
    <cellStyle name="AggGreen12 3 2 2 9" xfId="683" xr:uid="{00000000-0005-0000-0000-0000AB020000}"/>
    <cellStyle name="AggGreen12 3 2 3" xfId="684" xr:uid="{00000000-0005-0000-0000-0000AC020000}"/>
    <cellStyle name="AggGreen12 3 2 4" xfId="685" xr:uid="{00000000-0005-0000-0000-0000AD020000}"/>
    <cellStyle name="AggGreen12 3 2 5" xfId="686" xr:uid="{00000000-0005-0000-0000-0000AE020000}"/>
    <cellStyle name="AggGreen12 3 2 6" xfId="687" xr:uid="{00000000-0005-0000-0000-0000AF020000}"/>
    <cellStyle name="AggGreen12 3 2 7" xfId="688" xr:uid="{00000000-0005-0000-0000-0000B0020000}"/>
    <cellStyle name="AggGreen12 3 2 8" xfId="689" xr:uid="{00000000-0005-0000-0000-0000B1020000}"/>
    <cellStyle name="AggGreen12 3 2 9" xfId="690" xr:uid="{00000000-0005-0000-0000-0000B2020000}"/>
    <cellStyle name="AggGreen12 3 3" xfId="691" xr:uid="{00000000-0005-0000-0000-0000B3020000}"/>
    <cellStyle name="AggGreen12 3 3 10" xfId="692" xr:uid="{00000000-0005-0000-0000-0000B4020000}"/>
    <cellStyle name="AggGreen12 3 3 11" xfId="693" xr:uid="{00000000-0005-0000-0000-0000B5020000}"/>
    <cellStyle name="AggGreen12 3 3 2" xfId="694" xr:uid="{00000000-0005-0000-0000-0000B6020000}"/>
    <cellStyle name="AggGreen12 3 3 3" xfId="695" xr:uid="{00000000-0005-0000-0000-0000B7020000}"/>
    <cellStyle name="AggGreen12 3 3 4" xfId="696" xr:uid="{00000000-0005-0000-0000-0000B8020000}"/>
    <cellStyle name="AggGreen12 3 3 5" xfId="697" xr:uid="{00000000-0005-0000-0000-0000B9020000}"/>
    <cellStyle name="AggGreen12 3 3 6" xfId="698" xr:uid="{00000000-0005-0000-0000-0000BA020000}"/>
    <cellStyle name="AggGreen12 3 3 7" xfId="699" xr:uid="{00000000-0005-0000-0000-0000BB020000}"/>
    <cellStyle name="AggGreen12 3 3 8" xfId="700" xr:uid="{00000000-0005-0000-0000-0000BC020000}"/>
    <cellStyle name="AggGreen12 3 3 9" xfId="701" xr:uid="{00000000-0005-0000-0000-0000BD020000}"/>
    <cellStyle name="AggGreen12 4" xfId="702" xr:uid="{00000000-0005-0000-0000-0000BE020000}"/>
    <cellStyle name="AggGreen12 4 10" xfId="703" xr:uid="{00000000-0005-0000-0000-0000BF020000}"/>
    <cellStyle name="AggGreen12 4 11" xfId="704" xr:uid="{00000000-0005-0000-0000-0000C0020000}"/>
    <cellStyle name="AggGreen12 4 12" xfId="705" xr:uid="{00000000-0005-0000-0000-0000C1020000}"/>
    <cellStyle name="AggGreen12 4 13" xfId="706" xr:uid="{00000000-0005-0000-0000-0000C2020000}"/>
    <cellStyle name="AggGreen12 4 14" xfId="707" xr:uid="{00000000-0005-0000-0000-0000C3020000}"/>
    <cellStyle name="AggGreen12 4 2" xfId="708" xr:uid="{00000000-0005-0000-0000-0000C4020000}"/>
    <cellStyle name="AggGreen12 4 2 10" xfId="709" xr:uid="{00000000-0005-0000-0000-0000C5020000}"/>
    <cellStyle name="AggGreen12 4 2 11" xfId="710" xr:uid="{00000000-0005-0000-0000-0000C6020000}"/>
    <cellStyle name="AggGreen12 4 2 12" xfId="711" xr:uid="{00000000-0005-0000-0000-0000C7020000}"/>
    <cellStyle name="AggGreen12 4 2 2" xfId="712" xr:uid="{00000000-0005-0000-0000-0000C8020000}"/>
    <cellStyle name="AggGreen12 4 2 2 10" xfId="713" xr:uid="{00000000-0005-0000-0000-0000C9020000}"/>
    <cellStyle name="AggGreen12 4 2 2 11" xfId="714" xr:uid="{00000000-0005-0000-0000-0000CA020000}"/>
    <cellStyle name="AggGreen12 4 2 2 2" xfId="715" xr:uid="{00000000-0005-0000-0000-0000CB020000}"/>
    <cellStyle name="AggGreen12 4 2 2 3" xfId="716" xr:uid="{00000000-0005-0000-0000-0000CC020000}"/>
    <cellStyle name="AggGreen12 4 2 2 4" xfId="717" xr:uid="{00000000-0005-0000-0000-0000CD020000}"/>
    <cellStyle name="AggGreen12 4 2 2 5" xfId="718" xr:uid="{00000000-0005-0000-0000-0000CE020000}"/>
    <cellStyle name="AggGreen12 4 2 2 6" xfId="719" xr:uid="{00000000-0005-0000-0000-0000CF020000}"/>
    <cellStyle name="AggGreen12 4 2 2 7" xfId="720" xr:uid="{00000000-0005-0000-0000-0000D0020000}"/>
    <cellStyle name="AggGreen12 4 2 2 8" xfId="721" xr:uid="{00000000-0005-0000-0000-0000D1020000}"/>
    <cellStyle name="AggGreen12 4 2 2 9" xfId="722" xr:uid="{00000000-0005-0000-0000-0000D2020000}"/>
    <cellStyle name="AggGreen12 4 2 3" xfId="723" xr:uid="{00000000-0005-0000-0000-0000D3020000}"/>
    <cellStyle name="AggGreen12 4 2 4" xfId="724" xr:uid="{00000000-0005-0000-0000-0000D4020000}"/>
    <cellStyle name="AggGreen12 4 2 5" xfId="725" xr:uid="{00000000-0005-0000-0000-0000D5020000}"/>
    <cellStyle name="AggGreen12 4 2 6" xfId="726" xr:uid="{00000000-0005-0000-0000-0000D6020000}"/>
    <cellStyle name="AggGreen12 4 2 7" xfId="727" xr:uid="{00000000-0005-0000-0000-0000D7020000}"/>
    <cellStyle name="AggGreen12 4 2 8" xfId="728" xr:uid="{00000000-0005-0000-0000-0000D8020000}"/>
    <cellStyle name="AggGreen12 4 2 9" xfId="729" xr:uid="{00000000-0005-0000-0000-0000D9020000}"/>
    <cellStyle name="AggGreen12 4 3" xfId="730" xr:uid="{00000000-0005-0000-0000-0000DA020000}"/>
    <cellStyle name="AggGreen12 4 3 10" xfId="731" xr:uid="{00000000-0005-0000-0000-0000DB020000}"/>
    <cellStyle name="AggGreen12 4 3 11" xfId="732" xr:uid="{00000000-0005-0000-0000-0000DC020000}"/>
    <cellStyle name="AggGreen12 4 3 12" xfId="733" xr:uid="{00000000-0005-0000-0000-0000DD020000}"/>
    <cellStyle name="AggGreen12 4 3 2" xfId="734" xr:uid="{00000000-0005-0000-0000-0000DE020000}"/>
    <cellStyle name="AggGreen12 4 3 2 10" xfId="735" xr:uid="{00000000-0005-0000-0000-0000DF020000}"/>
    <cellStyle name="AggGreen12 4 3 2 11" xfId="736" xr:uid="{00000000-0005-0000-0000-0000E0020000}"/>
    <cellStyle name="AggGreen12 4 3 2 2" xfId="737" xr:uid="{00000000-0005-0000-0000-0000E1020000}"/>
    <cellStyle name="AggGreen12 4 3 2 3" xfId="738" xr:uid="{00000000-0005-0000-0000-0000E2020000}"/>
    <cellStyle name="AggGreen12 4 3 2 4" xfId="739" xr:uid="{00000000-0005-0000-0000-0000E3020000}"/>
    <cellStyle name="AggGreen12 4 3 2 5" xfId="740" xr:uid="{00000000-0005-0000-0000-0000E4020000}"/>
    <cellStyle name="AggGreen12 4 3 2 6" xfId="741" xr:uid="{00000000-0005-0000-0000-0000E5020000}"/>
    <cellStyle name="AggGreen12 4 3 2 7" xfId="742" xr:uid="{00000000-0005-0000-0000-0000E6020000}"/>
    <cellStyle name="AggGreen12 4 3 2 8" xfId="743" xr:uid="{00000000-0005-0000-0000-0000E7020000}"/>
    <cellStyle name="AggGreen12 4 3 2 9" xfId="744" xr:uid="{00000000-0005-0000-0000-0000E8020000}"/>
    <cellStyle name="AggGreen12 4 3 3" xfId="745" xr:uid="{00000000-0005-0000-0000-0000E9020000}"/>
    <cellStyle name="AggGreen12 4 3 4" xfId="746" xr:uid="{00000000-0005-0000-0000-0000EA020000}"/>
    <cellStyle name="AggGreen12 4 3 5" xfId="747" xr:uid="{00000000-0005-0000-0000-0000EB020000}"/>
    <cellStyle name="AggGreen12 4 3 6" xfId="748" xr:uid="{00000000-0005-0000-0000-0000EC020000}"/>
    <cellStyle name="AggGreen12 4 3 7" xfId="749" xr:uid="{00000000-0005-0000-0000-0000ED020000}"/>
    <cellStyle name="AggGreen12 4 3 8" xfId="750" xr:uid="{00000000-0005-0000-0000-0000EE020000}"/>
    <cellStyle name="AggGreen12 4 3 9" xfId="751" xr:uid="{00000000-0005-0000-0000-0000EF020000}"/>
    <cellStyle name="AggGreen12 4 4" xfId="752" xr:uid="{00000000-0005-0000-0000-0000F0020000}"/>
    <cellStyle name="AggGreen12 4 4 10" xfId="753" xr:uid="{00000000-0005-0000-0000-0000F1020000}"/>
    <cellStyle name="AggGreen12 4 4 11" xfId="754" xr:uid="{00000000-0005-0000-0000-0000F2020000}"/>
    <cellStyle name="AggGreen12 4 4 12" xfId="755" xr:uid="{00000000-0005-0000-0000-0000F3020000}"/>
    <cellStyle name="AggGreen12 4 4 2" xfId="756" xr:uid="{00000000-0005-0000-0000-0000F4020000}"/>
    <cellStyle name="AggGreen12 4 4 2 10" xfId="757" xr:uid="{00000000-0005-0000-0000-0000F5020000}"/>
    <cellStyle name="AggGreen12 4 4 2 11" xfId="758" xr:uid="{00000000-0005-0000-0000-0000F6020000}"/>
    <cellStyle name="AggGreen12 4 4 2 2" xfId="759" xr:uid="{00000000-0005-0000-0000-0000F7020000}"/>
    <cellStyle name="AggGreen12 4 4 2 3" xfId="760" xr:uid="{00000000-0005-0000-0000-0000F8020000}"/>
    <cellStyle name="AggGreen12 4 4 2 4" xfId="761" xr:uid="{00000000-0005-0000-0000-0000F9020000}"/>
    <cellStyle name="AggGreen12 4 4 2 5" xfId="762" xr:uid="{00000000-0005-0000-0000-0000FA020000}"/>
    <cellStyle name="AggGreen12 4 4 2 6" xfId="763" xr:uid="{00000000-0005-0000-0000-0000FB020000}"/>
    <cellStyle name="AggGreen12 4 4 2 7" xfId="764" xr:uid="{00000000-0005-0000-0000-0000FC020000}"/>
    <cellStyle name="AggGreen12 4 4 2 8" xfId="765" xr:uid="{00000000-0005-0000-0000-0000FD020000}"/>
    <cellStyle name="AggGreen12 4 4 2 9" xfId="766" xr:uid="{00000000-0005-0000-0000-0000FE020000}"/>
    <cellStyle name="AggGreen12 4 4 3" xfId="767" xr:uid="{00000000-0005-0000-0000-0000FF020000}"/>
    <cellStyle name="AggGreen12 4 4 4" xfId="768" xr:uid="{00000000-0005-0000-0000-000000030000}"/>
    <cellStyle name="AggGreen12 4 4 5" xfId="769" xr:uid="{00000000-0005-0000-0000-000001030000}"/>
    <cellStyle name="AggGreen12 4 4 6" xfId="770" xr:uid="{00000000-0005-0000-0000-000002030000}"/>
    <cellStyle name="AggGreen12 4 4 7" xfId="771" xr:uid="{00000000-0005-0000-0000-000003030000}"/>
    <cellStyle name="AggGreen12 4 4 8" xfId="772" xr:uid="{00000000-0005-0000-0000-000004030000}"/>
    <cellStyle name="AggGreen12 4 4 9" xfId="773" xr:uid="{00000000-0005-0000-0000-000005030000}"/>
    <cellStyle name="AggGreen12 4 5" xfId="774" xr:uid="{00000000-0005-0000-0000-000006030000}"/>
    <cellStyle name="AggGreen12 4 6" xfId="775" xr:uid="{00000000-0005-0000-0000-000007030000}"/>
    <cellStyle name="AggGreen12 4 7" xfId="776" xr:uid="{00000000-0005-0000-0000-000008030000}"/>
    <cellStyle name="AggGreen12 4 8" xfId="777" xr:uid="{00000000-0005-0000-0000-000009030000}"/>
    <cellStyle name="AggGreen12 4 9" xfId="778" xr:uid="{00000000-0005-0000-0000-00000A030000}"/>
    <cellStyle name="AggGreen12 5" xfId="779" xr:uid="{00000000-0005-0000-0000-00000B030000}"/>
    <cellStyle name="AggGreen12 5 2" xfId="780" xr:uid="{00000000-0005-0000-0000-00000C030000}"/>
    <cellStyle name="AggGreen12 5 3" xfId="781" xr:uid="{00000000-0005-0000-0000-00000D030000}"/>
    <cellStyle name="AggGreen12 5 4" xfId="782" xr:uid="{00000000-0005-0000-0000-00000E030000}"/>
    <cellStyle name="AggGreen12 5 5" xfId="783" xr:uid="{00000000-0005-0000-0000-00000F030000}"/>
    <cellStyle name="AggOrange" xfId="785" xr:uid="{00000000-0005-0000-0000-000011030000}"/>
    <cellStyle name="AggOrange 2" xfId="786" xr:uid="{00000000-0005-0000-0000-000012030000}"/>
    <cellStyle name="AggOrange 2 2" xfId="787" xr:uid="{00000000-0005-0000-0000-000013030000}"/>
    <cellStyle name="AggOrange 2 2 2" xfId="788" xr:uid="{00000000-0005-0000-0000-000014030000}"/>
    <cellStyle name="AggOrange 2 2 2 10" xfId="789" xr:uid="{00000000-0005-0000-0000-000015030000}"/>
    <cellStyle name="AggOrange 2 2 2 11" xfId="790" xr:uid="{00000000-0005-0000-0000-000016030000}"/>
    <cellStyle name="AggOrange 2 2 2 12" xfId="791" xr:uid="{00000000-0005-0000-0000-000017030000}"/>
    <cellStyle name="AggOrange 2 2 2 2" xfId="792" xr:uid="{00000000-0005-0000-0000-000018030000}"/>
    <cellStyle name="AggOrange 2 2 2 2 10" xfId="793" xr:uid="{00000000-0005-0000-0000-000019030000}"/>
    <cellStyle name="AggOrange 2 2 2 2 11" xfId="794" xr:uid="{00000000-0005-0000-0000-00001A030000}"/>
    <cellStyle name="AggOrange 2 2 2 2 2" xfId="795" xr:uid="{00000000-0005-0000-0000-00001B030000}"/>
    <cellStyle name="AggOrange 2 2 2 2 3" xfId="796" xr:uid="{00000000-0005-0000-0000-00001C030000}"/>
    <cellStyle name="AggOrange 2 2 2 2 4" xfId="797" xr:uid="{00000000-0005-0000-0000-00001D030000}"/>
    <cellStyle name="AggOrange 2 2 2 2 5" xfId="798" xr:uid="{00000000-0005-0000-0000-00001E030000}"/>
    <cellStyle name="AggOrange 2 2 2 2 6" xfId="799" xr:uid="{00000000-0005-0000-0000-00001F030000}"/>
    <cellStyle name="AggOrange 2 2 2 2 7" xfId="800" xr:uid="{00000000-0005-0000-0000-000020030000}"/>
    <cellStyle name="AggOrange 2 2 2 2 8" xfId="801" xr:uid="{00000000-0005-0000-0000-000021030000}"/>
    <cellStyle name="AggOrange 2 2 2 2 9" xfId="802" xr:uid="{00000000-0005-0000-0000-000022030000}"/>
    <cellStyle name="AggOrange 2 2 2 3" xfId="803" xr:uid="{00000000-0005-0000-0000-000023030000}"/>
    <cellStyle name="AggOrange 2 2 2 4" xfId="804" xr:uid="{00000000-0005-0000-0000-000024030000}"/>
    <cellStyle name="AggOrange 2 2 2 5" xfId="805" xr:uid="{00000000-0005-0000-0000-000025030000}"/>
    <cellStyle name="AggOrange 2 2 2 6" xfId="806" xr:uid="{00000000-0005-0000-0000-000026030000}"/>
    <cellStyle name="AggOrange 2 2 2 7" xfId="807" xr:uid="{00000000-0005-0000-0000-000027030000}"/>
    <cellStyle name="AggOrange 2 2 2 8" xfId="808" xr:uid="{00000000-0005-0000-0000-000028030000}"/>
    <cellStyle name="AggOrange 2 2 2 9" xfId="809" xr:uid="{00000000-0005-0000-0000-000029030000}"/>
    <cellStyle name="AggOrange 2 2 3" xfId="810" xr:uid="{00000000-0005-0000-0000-00002A030000}"/>
    <cellStyle name="AggOrange 2 2 3 10" xfId="811" xr:uid="{00000000-0005-0000-0000-00002B030000}"/>
    <cellStyle name="AggOrange 2 2 3 11" xfId="812" xr:uid="{00000000-0005-0000-0000-00002C030000}"/>
    <cellStyle name="AggOrange 2 2 3 2" xfId="813" xr:uid="{00000000-0005-0000-0000-00002D030000}"/>
    <cellStyle name="AggOrange 2 2 3 3" xfId="814" xr:uid="{00000000-0005-0000-0000-00002E030000}"/>
    <cellStyle name="AggOrange 2 2 3 4" xfId="815" xr:uid="{00000000-0005-0000-0000-00002F030000}"/>
    <cellStyle name="AggOrange 2 2 3 5" xfId="816" xr:uid="{00000000-0005-0000-0000-000030030000}"/>
    <cellStyle name="AggOrange 2 2 3 6" xfId="817" xr:uid="{00000000-0005-0000-0000-000031030000}"/>
    <cellStyle name="AggOrange 2 2 3 7" xfId="818" xr:uid="{00000000-0005-0000-0000-000032030000}"/>
    <cellStyle name="AggOrange 2 2 3 8" xfId="819" xr:uid="{00000000-0005-0000-0000-000033030000}"/>
    <cellStyle name="AggOrange 2 2 3 9" xfId="820" xr:uid="{00000000-0005-0000-0000-000034030000}"/>
    <cellStyle name="AggOrange 2 3" xfId="821" xr:uid="{00000000-0005-0000-0000-000035030000}"/>
    <cellStyle name="AggOrange 2 3 10" xfId="822" xr:uid="{00000000-0005-0000-0000-000036030000}"/>
    <cellStyle name="AggOrange 2 3 11" xfId="823" xr:uid="{00000000-0005-0000-0000-000037030000}"/>
    <cellStyle name="AggOrange 2 3 12" xfId="824" xr:uid="{00000000-0005-0000-0000-000038030000}"/>
    <cellStyle name="AggOrange 2 3 13" xfId="825" xr:uid="{00000000-0005-0000-0000-000039030000}"/>
    <cellStyle name="AggOrange 2 3 14" xfId="826" xr:uid="{00000000-0005-0000-0000-00003A030000}"/>
    <cellStyle name="AggOrange 2 3 2" xfId="827" xr:uid="{00000000-0005-0000-0000-00003B030000}"/>
    <cellStyle name="AggOrange 2 3 2 10" xfId="828" xr:uid="{00000000-0005-0000-0000-00003C030000}"/>
    <cellStyle name="AggOrange 2 3 2 11" xfId="829" xr:uid="{00000000-0005-0000-0000-00003D030000}"/>
    <cellStyle name="AggOrange 2 3 2 12" xfId="830" xr:uid="{00000000-0005-0000-0000-00003E030000}"/>
    <cellStyle name="AggOrange 2 3 2 2" xfId="831" xr:uid="{00000000-0005-0000-0000-00003F030000}"/>
    <cellStyle name="AggOrange 2 3 2 2 10" xfId="832" xr:uid="{00000000-0005-0000-0000-000040030000}"/>
    <cellStyle name="AggOrange 2 3 2 2 11" xfId="833" xr:uid="{00000000-0005-0000-0000-000041030000}"/>
    <cellStyle name="AggOrange 2 3 2 2 2" xfId="834" xr:uid="{00000000-0005-0000-0000-000042030000}"/>
    <cellStyle name="AggOrange 2 3 2 2 3" xfId="835" xr:uid="{00000000-0005-0000-0000-000043030000}"/>
    <cellStyle name="AggOrange 2 3 2 2 4" xfId="836" xr:uid="{00000000-0005-0000-0000-000044030000}"/>
    <cellStyle name="AggOrange 2 3 2 2 5" xfId="837" xr:uid="{00000000-0005-0000-0000-000045030000}"/>
    <cellStyle name="AggOrange 2 3 2 2 6" xfId="838" xr:uid="{00000000-0005-0000-0000-000046030000}"/>
    <cellStyle name="AggOrange 2 3 2 2 7" xfId="839" xr:uid="{00000000-0005-0000-0000-000047030000}"/>
    <cellStyle name="AggOrange 2 3 2 2 8" xfId="840" xr:uid="{00000000-0005-0000-0000-000048030000}"/>
    <cellStyle name="AggOrange 2 3 2 2 9" xfId="841" xr:uid="{00000000-0005-0000-0000-000049030000}"/>
    <cellStyle name="AggOrange 2 3 2 3" xfId="842" xr:uid="{00000000-0005-0000-0000-00004A030000}"/>
    <cellStyle name="AggOrange 2 3 2 4" xfId="843" xr:uid="{00000000-0005-0000-0000-00004B030000}"/>
    <cellStyle name="AggOrange 2 3 2 5" xfId="844" xr:uid="{00000000-0005-0000-0000-00004C030000}"/>
    <cellStyle name="AggOrange 2 3 2 6" xfId="845" xr:uid="{00000000-0005-0000-0000-00004D030000}"/>
    <cellStyle name="AggOrange 2 3 2 7" xfId="846" xr:uid="{00000000-0005-0000-0000-00004E030000}"/>
    <cellStyle name="AggOrange 2 3 2 8" xfId="847" xr:uid="{00000000-0005-0000-0000-00004F030000}"/>
    <cellStyle name="AggOrange 2 3 2 9" xfId="848" xr:uid="{00000000-0005-0000-0000-000050030000}"/>
    <cellStyle name="AggOrange 2 3 3" xfId="849" xr:uid="{00000000-0005-0000-0000-000051030000}"/>
    <cellStyle name="AggOrange 2 3 3 10" xfId="850" xr:uid="{00000000-0005-0000-0000-000052030000}"/>
    <cellStyle name="AggOrange 2 3 3 11" xfId="851" xr:uid="{00000000-0005-0000-0000-000053030000}"/>
    <cellStyle name="AggOrange 2 3 3 12" xfId="852" xr:uid="{00000000-0005-0000-0000-000054030000}"/>
    <cellStyle name="AggOrange 2 3 3 2" xfId="853" xr:uid="{00000000-0005-0000-0000-000055030000}"/>
    <cellStyle name="AggOrange 2 3 3 2 10" xfId="854" xr:uid="{00000000-0005-0000-0000-000056030000}"/>
    <cellStyle name="AggOrange 2 3 3 2 11" xfId="855" xr:uid="{00000000-0005-0000-0000-000057030000}"/>
    <cellStyle name="AggOrange 2 3 3 2 2" xfId="856" xr:uid="{00000000-0005-0000-0000-000058030000}"/>
    <cellStyle name="AggOrange 2 3 3 2 3" xfId="857" xr:uid="{00000000-0005-0000-0000-000059030000}"/>
    <cellStyle name="AggOrange 2 3 3 2 4" xfId="858" xr:uid="{00000000-0005-0000-0000-00005A030000}"/>
    <cellStyle name="AggOrange 2 3 3 2 5" xfId="859" xr:uid="{00000000-0005-0000-0000-00005B030000}"/>
    <cellStyle name="AggOrange 2 3 3 2 6" xfId="860" xr:uid="{00000000-0005-0000-0000-00005C030000}"/>
    <cellStyle name="AggOrange 2 3 3 2 7" xfId="861" xr:uid="{00000000-0005-0000-0000-00005D030000}"/>
    <cellStyle name="AggOrange 2 3 3 2 8" xfId="862" xr:uid="{00000000-0005-0000-0000-00005E030000}"/>
    <cellStyle name="AggOrange 2 3 3 2 9" xfId="863" xr:uid="{00000000-0005-0000-0000-00005F030000}"/>
    <cellStyle name="AggOrange 2 3 3 3" xfId="864" xr:uid="{00000000-0005-0000-0000-000060030000}"/>
    <cellStyle name="AggOrange 2 3 3 4" xfId="865" xr:uid="{00000000-0005-0000-0000-000061030000}"/>
    <cellStyle name="AggOrange 2 3 3 5" xfId="866" xr:uid="{00000000-0005-0000-0000-000062030000}"/>
    <cellStyle name="AggOrange 2 3 3 6" xfId="867" xr:uid="{00000000-0005-0000-0000-000063030000}"/>
    <cellStyle name="AggOrange 2 3 3 7" xfId="868" xr:uid="{00000000-0005-0000-0000-000064030000}"/>
    <cellStyle name="AggOrange 2 3 3 8" xfId="869" xr:uid="{00000000-0005-0000-0000-000065030000}"/>
    <cellStyle name="AggOrange 2 3 3 9" xfId="870" xr:uid="{00000000-0005-0000-0000-000066030000}"/>
    <cellStyle name="AggOrange 2 3 4" xfId="871" xr:uid="{00000000-0005-0000-0000-000067030000}"/>
    <cellStyle name="AggOrange 2 3 4 10" xfId="872" xr:uid="{00000000-0005-0000-0000-000068030000}"/>
    <cellStyle name="AggOrange 2 3 4 11" xfId="873" xr:uid="{00000000-0005-0000-0000-000069030000}"/>
    <cellStyle name="AggOrange 2 3 4 12" xfId="874" xr:uid="{00000000-0005-0000-0000-00006A030000}"/>
    <cellStyle name="AggOrange 2 3 4 2" xfId="875" xr:uid="{00000000-0005-0000-0000-00006B030000}"/>
    <cellStyle name="AggOrange 2 3 4 2 10" xfId="876" xr:uid="{00000000-0005-0000-0000-00006C030000}"/>
    <cellStyle name="AggOrange 2 3 4 2 11" xfId="877" xr:uid="{00000000-0005-0000-0000-00006D030000}"/>
    <cellStyle name="AggOrange 2 3 4 2 2" xfId="878" xr:uid="{00000000-0005-0000-0000-00006E030000}"/>
    <cellStyle name="AggOrange 2 3 4 2 3" xfId="879" xr:uid="{00000000-0005-0000-0000-00006F030000}"/>
    <cellStyle name="AggOrange 2 3 4 2 4" xfId="880" xr:uid="{00000000-0005-0000-0000-000070030000}"/>
    <cellStyle name="AggOrange 2 3 4 2 5" xfId="881" xr:uid="{00000000-0005-0000-0000-000071030000}"/>
    <cellStyle name="AggOrange 2 3 4 2 6" xfId="882" xr:uid="{00000000-0005-0000-0000-000072030000}"/>
    <cellStyle name="AggOrange 2 3 4 2 7" xfId="883" xr:uid="{00000000-0005-0000-0000-000073030000}"/>
    <cellStyle name="AggOrange 2 3 4 2 8" xfId="884" xr:uid="{00000000-0005-0000-0000-000074030000}"/>
    <cellStyle name="AggOrange 2 3 4 2 9" xfId="885" xr:uid="{00000000-0005-0000-0000-000075030000}"/>
    <cellStyle name="AggOrange 2 3 4 3" xfId="886" xr:uid="{00000000-0005-0000-0000-000076030000}"/>
    <cellStyle name="AggOrange 2 3 4 4" xfId="887" xr:uid="{00000000-0005-0000-0000-000077030000}"/>
    <cellStyle name="AggOrange 2 3 4 5" xfId="888" xr:uid="{00000000-0005-0000-0000-000078030000}"/>
    <cellStyle name="AggOrange 2 3 4 6" xfId="889" xr:uid="{00000000-0005-0000-0000-000079030000}"/>
    <cellStyle name="AggOrange 2 3 4 7" xfId="890" xr:uid="{00000000-0005-0000-0000-00007A030000}"/>
    <cellStyle name="AggOrange 2 3 4 8" xfId="891" xr:uid="{00000000-0005-0000-0000-00007B030000}"/>
    <cellStyle name="AggOrange 2 3 4 9" xfId="892" xr:uid="{00000000-0005-0000-0000-00007C030000}"/>
    <cellStyle name="AggOrange 2 3 5" xfId="893" xr:uid="{00000000-0005-0000-0000-00007D030000}"/>
    <cellStyle name="AggOrange 2 3 6" xfId="894" xr:uid="{00000000-0005-0000-0000-00007E030000}"/>
    <cellStyle name="AggOrange 2 3 7" xfId="895" xr:uid="{00000000-0005-0000-0000-00007F030000}"/>
    <cellStyle name="AggOrange 2 3 8" xfId="896" xr:uid="{00000000-0005-0000-0000-000080030000}"/>
    <cellStyle name="AggOrange 2 3 9" xfId="897" xr:uid="{00000000-0005-0000-0000-000081030000}"/>
    <cellStyle name="AggOrange 3" xfId="898" xr:uid="{00000000-0005-0000-0000-000082030000}"/>
    <cellStyle name="AggOrange 3 2" xfId="899" xr:uid="{00000000-0005-0000-0000-000083030000}"/>
    <cellStyle name="AggOrange 3 2 10" xfId="900" xr:uid="{00000000-0005-0000-0000-000084030000}"/>
    <cellStyle name="AggOrange 3 2 11" xfId="901" xr:uid="{00000000-0005-0000-0000-000085030000}"/>
    <cellStyle name="AggOrange 3 2 12" xfId="902" xr:uid="{00000000-0005-0000-0000-000086030000}"/>
    <cellStyle name="AggOrange 3 2 2" xfId="903" xr:uid="{00000000-0005-0000-0000-000087030000}"/>
    <cellStyle name="AggOrange 3 2 2 10" xfId="904" xr:uid="{00000000-0005-0000-0000-000088030000}"/>
    <cellStyle name="AggOrange 3 2 2 11" xfId="905" xr:uid="{00000000-0005-0000-0000-000089030000}"/>
    <cellStyle name="AggOrange 3 2 2 2" xfId="906" xr:uid="{00000000-0005-0000-0000-00008A030000}"/>
    <cellStyle name="AggOrange 3 2 2 3" xfId="907" xr:uid="{00000000-0005-0000-0000-00008B030000}"/>
    <cellStyle name="AggOrange 3 2 2 4" xfId="908" xr:uid="{00000000-0005-0000-0000-00008C030000}"/>
    <cellStyle name="AggOrange 3 2 2 5" xfId="909" xr:uid="{00000000-0005-0000-0000-00008D030000}"/>
    <cellStyle name="AggOrange 3 2 2 6" xfId="910" xr:uid="{00000000-0005-0000-0000-00008E030000}"/>
    <cellStyle name="AggOrange 3 2 2 7" xfId="911" xr:uid="{00000000-0005-0000-0000-00008F030000}"/>
    <cellStyle name="AggOrange 3 2 2 8" xfId="912" xr:uid="{00000000-0005-0000-0000-000090030000}"/>
    <cellStyle name="AggOrange 3 2 2 9" xfId="913" xr:uid="{00000000-0005-0000-0000-000091030000}"/>
    <cellStyle name="AggOrange 3 2 3" xfId="914" xr:uid="{00000000-0005-0000-0000-000092030000}"/>
    <cellStyle name="AggOrange 3 2 4" xfId="915" xr:uid="{00000000-0005-0000-0000-000093030000}"/>
    <cellStyle name="AggOrange 3 2 5" xfId="916" xr:uid="{00000000-0005-0000-0000-000094030000}"/>
    <cellStyle name="AggOrange 3 2 6" xfId="917" xr:uid="{00000000-0005-0000-0000-000095030000}"/>
    <cellStyle name="AggOrange 3 2 7" xfId="918" xr:uid="{00000000-0005-0000-0000-000096030000}"/>
    <cellStyle name="AggOrange 3 2 8" xfId="919" xr:uid="{00000000-0005-0000-0000-000097030000}"/>
    <cellStyle name="AggOrange 3 2 9" xfId="920" xr:uid="{00000000-0005-0000-0000-000098030000}"/>
    <cellStyle name="AggOrange 3 3" xfId="921" xr:uid="{00000000-0005-0000-0000-000099030000}"/>
    <cellStyle name="AggOrange 3 3 10" xfId="922" xr:uid="{00000000-0005-0000-0000-00009A030000}"/>
    <cellStyle name="AggOrange 3 3 11" xfId="923" xr:uid="{00000000-0005-0000-0000-00009B030000}"/>
    <cellStyle name="AggOrange 3 3 2" xfId="924" xr:uid="{00000000-0005-0000-0000-00009C030000}"/>
    <cellStyle name="AggOrange 3 3 3" xfId="925" xr:uid="{00000000-0005-0000-0000-00009D030000}"/>
    <cellStyle name="AggOrange 3 3 4" xfId="926" xr:uid="{00000000-0005-0000-0000-00009E030000}"/>
    <cellStyle name="AggOrange 3 3 5" xfId="927" xr:uid="{00000000-0005-0000-0000-00009F030000}"/>
    <cellStyle name="AggOrange 3 3 6" xfId="928" xr:uid="{00000000-0005-0000-0000-0000A0030000}"/>
    <cellStyle name="AggOrange 3 3 7" xfId="929" xr:uid="{00000000-0005-0000-0000-0000A1030000}"/>
    <cellStyle name="AggOrange 3 3 8" xfId="930" xr:uid="{00000000-0005-0000-0000-0000A2030000}"/>
    <cellStyle name="AggOrange 3 3 9" xfId="931" xr:uid="{00000000-0005-0000-0000-0000A3030000}"/>
    <cellStyle name="AggOrange 4" xfId="932" xr:uid="{00000000-0005-0000-0000-0000A4030000}"/>
    <cellStyle name="AggOrange 4 10" xfId="933" xr:uid="{00000000-0005-0000-0000-0000A5030000}"/>
    <cellStyle name="AggOrange 4 11" xfId="934" xr:uid="{00000000-0005-0000-0000-0000A6030000}"/>
    <cellStyle name="AggOrange 4 12" xfId="935" xr:uid="{00000000-0005-0000-0000-0000A7030000}"/>
    <cellStyle name="AggOrange 4 13" xfId="936" xr:uid="{00000000-0005-0000-0000-0000A8030000}"/>
    <cellStyle name="AggOrange 4 14" xfId="937" xr:uid="{00000000-0005-0000-0000-0000A9030000}"/>
    <cellStyle name="AggOrange 4 2" xfId="938" xr:uid="{00000000-0005-0000-0000-0000AA030000}"/>
    <cellStyle name="AggOrange 4 2 10" xfId="939" xr:uid="{00000000-0005-0000-0000-0000AB030000}"/>
    <cellStyle name="AggOrange 4 2 11" xfId="940" xr:uid="{00000000-0005-0000-0000-0000AC030000}"/>
    <cellStyle name="AggOrange 4 2 12" xfId="941" xr:uid="{00000000-0005-0000-0000-0000AD030000}"/>
    <cellStyle name="AggOrange 4 2 2" xfId="942" xr:uid="{00000000-0005-0000-0000-0000AE030000}"/>
    <cellStyle name="AggOrange 4 2 2 10" xfId="943" xr:uid="{00000000-0005-0000-0000-0000AF030000}"/>
    <cellStyle name="AggOrange 4 2 2 11" xfId="944" xr:uid="{00000000-0005-0000-0000-0000B0030000}"/>
    <cellStyle name="AggOrange 4 2 2 2" xfId="945" xr:uid="{00000000-0005-0000-0000-0000B1030000}"/>
    <cellStyle name="AggOrange 4 2 2 3" xfId="946" xr:uid="{00000000-0005-0000-0000-0000B2030000}"/>
    <cellStyle name="AggOrange 4 2 2 4" xfId="947" xr:uid="{00000000-0005-0000-0000-0000B3030000}"/>
    <cellStyle name="AggOrange 4 2 2 5" xfId="948" xr:uid="{00000000-0005-0000-0000-0000B4030000}"/>
    <cellStyle name="AggOrange 4 2 2 6" xfId="949" xr:uid="{00000000-0005-0000-0000-0000B5030000}"/>
    <cellStyle name="AggOrange 4 2 2 7" xfId="950" xr:uid="{00000000-0005-0000-0000-0000B6030000}"/>
    <cellStyle name="AggOrange 4 2 2 8" xfId="951" xr:uid="{00000000-0005-0000-0000-0000B7030000}"/>
    <cellStyle name="AggOrange 4 2 2 9" xfId="952" xr:uid="{00000000-0005-0000-0000-0000B8030000}"/>
    <cellStyle name="AggOrange 4 2 3" xfId="953" xr:uid="{00000000-0005-0000-0000-0000B9030000}"/>
    <cellStyle name="AggOrange 4 2 4" xfId="954" xr:uid="{00000000-0005-0000-0000-0000BA030000}"/>
    <cellStyle name="AggOrange 4 2 5" xfId="955" xr:uid="{00000000-0005-0000-0000-0000BB030000}"/>
    <cellStyle name="AggOrange 4 2 6" xfId="956" xr:uid="{00000000-0005-0000-0000-0000BC030000}"/>
    <cellStyle name="AggOrange 4 2 7" xfId="957" xr:uid="{00000000-0005-0000-0000-0000BD030000}"/>
    <cellStyle name="AggOrange 4 2 8" xfId="958" xr:uid="{00000000-0005-0000-0000-0000BE030000}"/>
    <cellStyle name="AggOrange 4 2 9" xfId="959" xr:uid="{00000000-0005-0000-0000-0000BF030000}"/>
    <cellStyle name="AggOrange 4 3" xfId="960" xr:uid="{00000000-0005-0000-0000-0000C0030000}"/>
    <cellStyle name="AggOrange 4 3 10" xfId="961" xr:uid="{00000000-0005-0000-0000-0000C1030000}"/>
    <cellStyle name="AggOrange 4 3 11" xfId="962" xr:uid="{00000000-0005-0000-0000-0000C2030000}"/>
    <cellStyle name="AggOrange 4 3 12" xfId="963" xr:uid="{00000000-0005-0000-0000-0000C3030000}"/>
    <cellStyle name="AggOrange 4 3 2" xfId="964" xr:uid="{00000000-0005-0000-0000-0000C4030000}"/>
    <cellStyle name="AggOrange 4 3 2 10" xfId="965" xr:uid="{00000000-0005-0000-0000-0000C5030000}"/>
    <cellStyle name="AggOrange 4 3 2 11" xfId="966" xr:uid="{00000000-0005-0000-0000-0000C6030000}"/>
    <cellStyle name="AggOrange 4 3 2 2" xfId="967" xr:uid="{00000000-0005-0000-0000-0000C7030000}"/>
    <cellStyle name="AggOrange 4 3 2 3" xfId="968" xr:uid="{00000000-0005-0000-0000-0000C8030000}"/>
    <cellStyle name="AggOrange 4 3 2 4" xfId="969" xr:uid="{00000000-0005-0000-0000-0000C9030000}"/>
    <cellStyle name="AggOrange 4 3 2 5" xfId="970" xr:uid="{00000000-0005-0000-0000-0000CA030000}"/>
    <cellStyle name="AggOrange 4 3 2 6" xfId="971" xr:uid="{00000000-0005-0000-0000-0000CB030000}"/>
    <cellStyle name="AggOrange 4 3 2 7" xfId="972" xr:uid="{00000000-0005-0000-0000-0000CC030000}"/>
    <cellStyle name="AggOrange 4 3 2 8" xfId="973" xr:uid="{00000000-0005-0000-0000-0000CD030000}"/>
    <cellStyle name="AggOrange 4 3 2 9" xfId="974" xr:uid="{00000000-0005-0000-0000-0000CE030000}"/>
    <cellStyle name="AggOrange 4 3 3" xfId="975" xr:uid="{00000000-0005-0000-0000-0000CF030000}"/>
    <cellStyle name="AggOrange 4 3 4" xfId="976" xr:uid="{00000000-0005-0000-0000-0000D0030000}"/>
    <cellStyle name="AggOrange 4 3 5" xfId="977" xr:uid="{00000000-0005-0000-0000-0000D1030000}"/>
    <cellStyle name="AggOrange 4 3 6" xfId="978" xr:uid="{00000000-0005-0000-0000-0000D2030000}"/>
    <cellStyle name="AggOrange 4 3 7" xfId="979" xr:uid="{00000000-0005-0000-0000-0000D3030000}"/>
    <cellStyle name="AggOrange 4 3 8" xfId="980" xr:uid="{00000000-0005-0000-0000-0000D4030000}"/>
    <cellStyle name="AggOrange 4 3 9" xfId="981" xr:uid="{00000000-0005-0000-0000-0000D5030000}"/>
    <cellStyle name="AggOrange 4 4" xfId="982" xr:uid="{00000000-0005-0000-0000-0000D6030000}"/>
    <cellStyle name="AggOrange 4 4 10" xfId="983" xr:uid="{00000000-0005-0000-0000-0000D7030000}"/>
    <cellStyle name="AggOrange 4 4 11" xfId="984" xr:uid="{00000000-0005-0000-0000-0000D8030000}"/>
    <cellStyle name="AggOrange 4 4 12" xfId="985" xr:uid="{00000000-0005-0000-0000-0000D9030000}"/>
    <cellStyle name="AggOrange 4 4 2" xfId="986" xr:uid="{00000000-0005-0000-0000-0000DA030000}"/>
    <cellStyle name="AggOrange 4 4 2 10" xfId="987" xr:uid="{00000000-0005-0000-0000-0000DB030000}"/>
    <cellStyle name="AggOrange 4 4 2 11" xfId="988" xr:uid="{00000000-0005-0000-0000-0000DC030000}"/>
    <cellStyle name="AggOrange 4 4 2 2" xfId="989" xr:uid="{00000000-0005-0000-0000-0000DD030000}"/>
    <cellStyle name="AggOrange 4 4 2 3" xfId="990" xr:uid="{00000000-0005-0000-0000-0000DE030000}"/>
    <cellStyle name="AggOrange 4 4 2 4" xfId="991" xr:uid="{00000000-0005-0000-0000-0000DF030000}"/>
    <cellStyle name="AggOrange 4 4 2 5" xfId="992" xr:uid="{00000000-0005-0000-0000-0000E0030000}"/>
    <cellStyle name="AggOrange 4 4 2 6" xfId="993" xr:uid="{00000000-0005-0000-0000-0000E1030000}"/>
    <cellStyle name="AggOrange 4 4 2 7" xfId="994" xr:uid="{00000000-0005-0000-0000-0000E2030000}"/>
    <cellStyle name="AggOrange 4 4 2 8" xfId="995" xr:uid="{00000000-0005-0000-0000-0000E3030000}"/>
    <cellStyle name="AggOrange 4 4 2 9" xfId="996" xr:uid="{00000000-0005-0000-0000-0000E4030000}"/>
    <cellStyle name="AggOrange 4 4 3" xfId="997" xr:uid="{00000000-0005-0000-0000-0000E5030000}"/>
    <cellStyle name="AggOrange 4 4 4" xfId="998" xr:uid="{00000000-0005-0000-0000-0000E6030000}"/>
    <cellStyle name="AggOrange 4 4 5" xfId="999" xr:uid="{00000000-0005-0000-0000-0000E7030000}"/>
    <cellStyle name="AggOrange 4 4 6" xfId="1000" xr:uid="{00000000-0005-0000-0000-0000E8030000}"/>
    <cellStyle name="AggOrange 4 4 7" xfId="1001" xr:uid="{00000000-0005-0000-0000-0000E9030000}"/>
    <cellStyle name="AggOrange 4 4 8" xfId="1002" xr:uid="{00000000-0005-0000-0000-0000EA030000}"/>
    <cellStyle name="AggOrange 4 4 9" xfId="1003" xr:uid="{00000000-0005-0000-0000-0000EB030000}"/>
    <cellStyle name="AggOrange 4 5" xfId="1004" xr:uid="{00000000-0005-0000-0000-0000EC030000}"/>
    <cellStyle name="AggOrange 4 6" xfId="1005" xr:uid="{00000000-0005-0000-0000-0000ED030000}"/>
    <cellStyle name="AggOrange 4 7" xfId="1006" xr:uid="{00000000-0005-0000-0000-0000EE030000}"/>
    <cellStyle name="AggOrange 4 8" xfId="1007" xr:uid="{00000000-0005-0000-0000-0000EF030000}"/>
    <cellStyle name="AggOrange 4 9" xfId="1008" xr:uid="{00000000-0005-0000-0000-0000F0030000}"/>
    <cellStyle name="AggOrange 5" xfId="1009" xr:uid="{00000000-0005-0000-0000-0000F1030000}"/>
    <cellStyle name="AggOrange 5 2" xfId="1010" xr:uid="{00000000-0005-0000-0000-0000F2030000}"/>
    <cellStyle name="AggOrange 5 3" xfId="1011" xr:uid="{00000000-0005-0000-0000-0000F3030000}"/>
    <cellStyle name="AggOrange 5 4" xfId="1012" xr:uid="{00000000-0005-0000-0000-0000F4030000}"/>
    <cellStyle name="AggOrange 5 5" xfId="1013" xr:uid="{00000000-0005-0000-0000-0000F5030000}"/>
    <cellStyle name="AggOrange_B_border" xfId="1243" xr:uid="{00000000-0005-0000-0000-0000DB040000}"/>
    <cellStyle name="AggOrange9" xfId="1014" xr:uid="{00000000-0005-0000-0000-0000F6030000}"/>
    <cellStyle name="AggOrange9 2" xfId="1015" xr:uid="{00000000-0005-0000-0000-0000F7030000}"/>
    <cellStyle name="AggOrange9 2 2" xfId="1016" xr:uid="{00000000-0005-0000-0000-0000F8030000}"/>
    <cellStyle name="AggOrange9 2 2 2" xfId="1017" xr:uid="{00000000-0005-0000-0000-0000F9030000}"/>
    <cellStyle name="AggOrange9 2 2 2 10" xfId="1018" xr:uid="{00000000-0005-0000-0000-0000FA030000}"/>
    <cellStyle name="AggOrange9 2 2 2 11" xfId="1019" xr:uid="{00000000-0005-0000-0000-0000FB030000}"/>
    <cellStyle name="AggOrange9 2 2 2 12" xfId="1020" xr:uid="{00000000-0005-0000-0000-0000FC030000}"/>
    <cellStyle name="AggOrange9 2 2 2 2" xfId="1021" xr:uid="{00000000-0005-0000-0000-0000FD030000}"/>
    <cellStyle name="AggOrange9 2 2 2 2 10" xfId="1022" xr:uid="{00000000-0005-0000-0000-0000FE030000}"/>
    <cellStyle name="AggOrange9 2 2 2 2 11" xfId="1023" xr:uid="{00000000-0005-0000-0000-0000FF030000}"/>
    <cellStyle name="AggOrange9 2 2 2 2 2" xfId="1024" xr:uid="{00000000-0005-0000-0000-000000040000}"/>
    <cellStyle name="AggOrange9 2 2 2 2 3" xfId="1025" xr:uid="{00000000-0005-0000-0000-000001040000}"/>
    <cellStyle name="AggOrange9 2 2 2 2 4" xfId="1026" xr:uid="{00000000-0005-0000-0000-000002040000}"/>
    <cellStyle name="AggOrange9 2 2 2 2 5" xfId="1027" xr:uid="{00000000-0005-0000-0000-000003040000}"/>
    <cellStyle name="AggOrange9 2 2 2 2 6" xfId="1028" xr:uid="{00000000-0005-0000-0000-000004040000}"/>
    <cellStyle name="AggOrange9 2 2 2 2 7" xfId="1029" xr:uid="{00000000-0005-0000-0000-000005040000}"/>
    <cellStyle name="AggOrange9 2 2 2 2 8" xfId="1030" xr:uid="{00000000-0005-0000-0000-000006040000}"/>
    <cellStyle name="AggOrange9 2 2 2 2 9" xfId="1031" xr:uid="{00000000-0005-0000-0000-000007040000}"/>
    <cellStyle name="AggOrange9 2 2 2 3" xfId="1032" xr:uid="{00000000-0005-0000-0000-000008040000}"/>
    <cellStyle name="AggOrange9 2 2 2 4" xfId="1033" xr:uid="{00000000-0005-0000-0000-000009040000}"/>
    <cellStyle name="AggOrange9 2 2 2 5" xfId="1034" xr:uid="{00000000-0005-0000-0000-00000A040000}"/>
    <cellStyle name="AggOrange9 2 2 2 6" xfId="1035" xr:uid="{00000000-0005-0000-0000-00000B040000}"/>
    <cellStyle name="AggOrange9 2 2 2 7" xfId="1036" xr:uid="{00000000-0005-0000-0000-00000C040000}"/>
    <cellStyle name="AggOrange9 2 2 2 8" xfId="1037" xr:uid="{00000000-0005-0000-0000-00000D040000}"/>
    <cellStyle name="AggOrange9 2 2 2 9" xfId="1038" xr:uid="{00000000-0005-0000-0000-00000E040000}"/>
    <cellStyle name="AggOrange9 2 2 3" xfId="1039" xr:uid="{00000000-0005-0000-0000-00000F040000}"/>
    <cellStyle name="AggOrange9 2 2 3 10" xfId="1040" xr:uid="{00000000-0005-0000-0000-000010040000}"/>
    <cellStyle name="AggOrange9 2 2 3 11" xfId="1041" xr:uid="{00000000-0005-0000-0000-000011040000}"/>
    <cellStyle name="AggOrange9 2 2 3 2" xfId="1042" xr:uid="{00000000-0005-0000-0000-000012040000}"/>
    <cellStyle name="AggOrange9 2 2 3 3" xfId="1043" xr:uid="{00000000-0005-0000-0000-000013040000}"/>
    <cellStyle name="AggOrange9 2 2 3 4" xfId="1044" xr:uid="{00000000-0005-0000-0000-000014040000}"/>
    <cellStyle name="AggOrange9 2 2 3 5" xfId="1045" xr:uid="{00000000-0005-0000-0000-000015040000}"/>
    <cellStyle name="AggOrange9 2 2 3 6" xfId="1046" xr:uid="{00000000-0005-0000-0000-000016040000}"/>
    <cellStyle name="AggOrange9 2 2 3 7" xfId="1047" xr:uid="{00000000-0005-0000-0000-000017040000}"/>
    <cellStyle name="AggOrange9 2 2 3 8" xfId="1048" xr:uid="{00000000-0005-0000-0000-000018040000}"/>
    <cellStyle name="AggOrange9 2 2 3 9" xfId="1049" xr:uid="{00000000-0005-0000-0000-000019040000}"/>
    <cellStyle name="AggOrange9 2 3" xfId="1050" xr:uid="{00000000-0005-0000-0000-00001A040000}"/>
    <cellStyle name="AggOrange9 2 3 10" xfId="1051" xr:uid="{00000000-0005-0000-0000-00001B040000}"/>
    <cellStyle name="AggOrange9 2 3 11" xfId="1052" xr:uid="{00000000-0005-0000-0000-00001C040000}"/>
    <cellStyle name="AggOrange9 2 3 12" xfId="1053" xr:uid="{00000000-0005-0000-0000-00001D040000}"/>
    <cellStyle name="AggOrange9 2 3 13" xfId="1054" xr:uid="{00000000-0005-0000-0000-00001E040000}"/>
    <cellStyle name="AggOrange9 2 3 14" xfId="1055" xr:uid="{00000000-0005-0000-0000-00001F040000}"/>
    <cellStyle name="AggOrange9 2 3 2" xfId="1056" xr:uid="{00000000-0005-0000-0000-000020040000}"/>
    <cellStyle name="AggOrange9 2 3 2 10" xfId="1057" xr:uid="{00000000-0005-0000-0000-000021040000}"/>
    <cellStyle name="AggOrange9 2 3 2 11" xfId="1058" xr:uid="{00000000-0005-0000-0000-000022040000}"/>
    <cellStyle name="AggOrange9 2 3 2 12" xfId="1059" xr:uid="{00000000-0005-0000-0000-000023040000}"/>
    <cellStyle name="AggOrange9 2 3 2 2" xfId="1060" xr:uid="{00000000-0005-0000-0000-000024040000}"/>
    <cellStyle name="AggOrange9 2 3 2 2 10" xfId="1061" xr:uid="{00000000-0005-0000-0000-000025040000}"/>
    <cellStyle name="AggOrange9 2 3 2 2 11" xfId="1062" xr:uid="{00000000-0005-0000-0000-000026040000}"/>
    <cellStyle name="AggOrange9 2 3 2 2 2" xfId="1063" xr:uid="{00000000-0005-0000-0000-000027040000}"/>
    <cellStyle name="AggOrange9 2 3 2 2 3" xfId="1064" xr:uid="{00000000-0005-0000-0000-000028040000}"/>
    <cellStyle name="AggOrange9 2 3 2 2 4" xfId="1065" xr:uid="{00000000-0005-0000-0000-000029040000}"/>
    <cellStyle name="AggOrange9 2 3 2 2 5" xfId="1066" xr:uid="{00000000-0005-0000-0000-00002A040000}"/>
    <cellStyle name="AggOrange9 2 3 2 2 6" xfId="1067" xr:uid="{00000000-0005-0000-0000-00002B040000}"/>
    <cellStyle name="AggOrange9 2 3 2 2 7" xfId="1068" xr:uid="{00000000-0005-0000-0000-00002C040000}"/>
    <cellStyle name="AggOrange9 2 3 2 2 8" xfId="1069" xr:uid="{00000000-0005-0000-0000-00002D040000}"/>
    <cellStyle name="AggOrange9 2 3 2 2 9" xfId="1070" xr:uid="{00000000-0005-0000-0000-00002E040000}"/>
    <cellStyle name="AggOrange9 2 3 2 3" xfId="1071" xr:uid="{00000000-0005-0000-0000-00002F040000}"/>
    <cellStyle name="AggOrange9 2 3 2 4" xfId="1072" xr:uid="{00000000-0005-0000-0000-000030040000}"/>
    <cellStyle name="AggOrange9 2 3 2 5" xfId="1073" xr:uid="{00000000-0005-0000-0000-000031040000}"/>
    <cellStyle name="AggOrange9 2 3 2 6" xfId="1074" xr:uid="{00000000-0005-0000-0000-000032040000}"/>
    <cellStyle name="AggOrange9 2 3 2 7" xfId="1075" xr:uid="{00000000-0005-0000-0000-000033040000}"/>
    <cellStyle name="AggOrange9 2 3 2 8" xfId="1076" xr:uid="{00000000-0005-0000-0000-000034040000}"/>
    <cellStyle name="AggOrange9 2 3 2 9" xfId="1077" xr:uid="{00000000-0005-0000-0000-000035040000}"/>
    <cellStyle name="AggOrange9 2 3 3" xfId="1078" xr:uid="{00000000-0005-0000-0000-000036040000}"/>
    <cellStyle name="AggOrange9 2 3 3 10" xfId="1079" xr:uid="{00000000-0005-0000-0000-000037040000}"/>
    <cellStyle name="AggOrange9 2 3 3 11" xfId="1080" xr:uid="{00000000-0005-0000-0000-000038040000}"/>
    <cellStyle name="AggOrange9 2 3 3 12" xfId="1081" xr:uid="{00000000-0005-0000-0000-000039040000}"/>
    <cellStyle name="AggOrange9 2 3 3 2" xfId="1082" xr:uid="{00000000-0005-0000-0000-00003A040000}"/>
    <cellStyle name="AggOrange9 2 3 3 2 10" xfId="1083" xr:uid="{00000000-0005-0000-0000-00003B040000}"/>
    <cellStyle name="AggOrange9 2 3 3 2 11" xfId="1084" xr:uid="{00000000-0005-0000-0000-00003C040000}"/>
    <cellStyle name="AggOrange9 2 3 3 2 2" xfId="1085" xr:uid="{00000000-0005-0000-0000-00003D040000}"/>
    <cellStyle name="AggOrange9 2 3 3 2 3" xfId="1086" xr:uid="{00000000-0005-0000-0000-00003E040000}"/>
    <cellStyle name="AggOrange9 2 3 3 2 4" xfId="1087" xr:uid="{00000000-0005-0000-0000-00003F040000}"/>
    <cellStyle name="AggOrange9 2 3 3 2 5" xfId="1088" xr:uid="{00000000-0005-0000-0000-000040040000}"/>
    <cellStyle name="AggOrange9 2 3 3 2 6" xfId="1089" xr:uid="{00000000-0005-0000-0000-000041040000}"/>
    <cellStyle name="AggOrange9 2 3 3 2 7" xfId="1090" xr:uid="{00000000-0005-0000-0000-000042040000}"/>
    <cellStyle name="AggOrange9 2 3 3 2 8" xfId="1091" xr:uid="{00000000-0005-0000-0000-000043040000}"/>
    <cellStyle name="AggOrange9 2 3 3 2 9" xfId="1092" xr:uid="{00000000-0005-0000-0000-000044040000}"/>
    <cellStyle name="AggOrange9 2 3 3 3" xfId="1093" xr:uid="{00000000-0005-0000-0000-000045040000}"/>
    <cellStyle name="AggOrange9 2 3 3 4" xfId="1094" xr:uid="{00000000-0005-0000-0000-000046040000}"/>
    <cellStyle name="AggOrange9 2 3 3 5" xfId="1095" xr:uid="{00000000-0005-0000-0000-000047040000}"/>
    <cellStyle name="AggOrange9 2 3 3 6" xfId="1096" xr:uid="{00000000-0005-0000-0000-000048040000}"/>
    <cellStyle name="AggOrange9 2 3 3 7" xfId="1097" xr:uid="{00000000-0005-0000-0000-000049040000}"/>
    <cellStyle name="AggOrange9 2 3 3 8" xfId="1098" xr:uid="{00000000-0005-0000-0000-00004A040000}"/>
    <cellStyle name="AggOrange9 2 3 3 9" xfId="1099" xr:uid="{00000000-0005-0000-0000-00004B040000}"/>
    <cellStyle name="AggOrange9 2 3 4" xfId="1100" xr:uid="{00000000-0005-0000-0000-00004C040000}"/>
    <cellStyle name="AggOrange9 2 3 4 10" xfId="1101" xr:uid="{00000000-0005-0000-0000-00004D040000}"/>
    <cellStyle name="AggOrange9 2 3 4 11" xfId="1102" xr:uid="{00000000-0005-0000-0000-00004E040000}"/>
    <cellStyle name="AggOrange9 2 3 4 12" xfId="1103" xr:uid="{00000000-0005-0000-0000-00004F040000}"/>
    <cellStyle name="AggOrange9 2 3 4 2" xfId="1104" xr:uid="{00000000-0005-0000-0000-000050040000}"/>
    <cellStyle name="AggOrange9 2 3 4 2 10" xfId="1105" xr:uid="{00000000-0005-0000-0000-000051040000}"/>
    <cellStyle name="AggOrange9 2 3 4 2 11" xfId="1106" xr:uid="{00000000-0005-0000-0000-000052040000}"/>
    <cellStyle name="AggOrange9 2 3 4 2 2" xfId="1107" xr:uid="{00000000-0005-0000-0000-000053040000}"/>
    <cellStyle name="AggOrange9 2 3 4 2 3" xfId="1108" xr:uid="{00000000-0005-0000-0000-000054040000}"/>
    <cellStyle name="AggOrange9 2 3 4 2 4" xfId="1109" xr:uid="{00000000-0005-0000-0000-000055040000}"/>
    <cellStyle name="AggOrange9 2 3 4 2 5" xfId="1110" xr:uid="{00000000-0005-0000-0000-000056040000}"/>
    <cellStyle name="AggOrange9 2 3 4 2 6" xfId="1111" xr:uid="{00000000-0005-0000-0000-000057040000}"/>
    <cellStyle name="AggOrange9 2 3 4 2 7" xfId="1112" xr:uid="{00000000-0005-0000-0000-000058040000}"/>
    <cellStyle name="AggOrange9 2 3 4 2 8" xfId="1113" xr:uid="{00000000-0005-0000-0000-000059040000}"/>
    <cellStyle name="AggOrange9 2 3 4 2 9" xfId="1114" xr:uid="{00000000-0005-0000-0000-00005A040000}"/>
    <cellStyle name="AggOrange9 2 3 4 3" xfId="1115" xr:uid="{00000000-0005-0000-0000-00005B040000}"/>
    <cellStyle name="AggOrange9 2 3 4 4" xfId="1116" xr:uid="{00000000-0005-0000-0000-00005C040000}"/>
    <cellStyle name="AggOrange9 2 3 4 5" xfId="1117" xr:uid="{00000000-0005-0000-0000-00005D040000}"/>
    <cellStyle name="AggOrange9 2 3 4 6" xfId="1118" xr:uid="{00000000-0005-0000-0000-00005E040000}"/>
    <cellStyle name="AggOrange9 2 3 4 7" xfId="1119" xr:uid="{00000000-0005-0000-0000-00005F040000}"/>
    <cellStyle name="AggOrange9 2 3 4 8" xfId="1120" xr:uid="{00000000-0005-0000-0000-000060040000}"/>
    <cellStyle name="AggOrange9 2 3 4 9" xfId="1121" xr:uid="{00000000-0005-0000-0000-000061040000}"/>
    <cellStyle name="AggOrange9 2 3 5" xfId="1122" xr:uid="{00000000-0005-0000-0000-000062040000}"/>
    <cellStyle name="AggOrange9 2 3 6" xfId="1123" xr:uid="{00000000-0005-0000-0000-000063040000}"/>
    <cellStyle name="AggOrange9 2 3 7" xfId="1124" xr:uid="{00000000-0005-0000-0000-000064040000}"/>
    <cellStyle name="AggOrange9 2 3 8" xfId="1125" xr:uid="{00000000-0005-0000-0000-000065040000}"/>
    <cellStyle name="AggOrange9 2 3 9" xfId="1126" xr:uid="{00000000-0005-0000-0000-000066040000}"/>
    <cellStyle name="AggOrange9 3" xfId="1127" xr:uid="{00000000-0005-0000-0000-000067040000}"/>
    <cellStyle name="AggOrange9 3 2" xfId="1128" xr:uid="{00000000-0005-0000-0000-000068040000}"/>
    <cellStyle name="AggOrange9 3 2 10" xfId="1129" xr:uid="{00000000-0005-0000-0000-000069040000}"/>
    <cellStyle name="AggOrange9 3 2 11" xfId="1130" xr:uid="{00000000-0005-0000-0000-00006A040000}"/>
    <cellStyle name="AggOrange9 3 2 12" xfId="1131" xr:uid="{00000000-0005-0000-0000-00006B040000}"/>
    <cellStyle name="AggOrange9 3 2 2" xfId="1132" xr:uid="{00000000-0005-0000-0000-00006C040000}"/>
    <cellStyle name="AggOrange9 3 2 2 10" xfId="1133" xr:uid="{00000000-0005-0000-0000-00006D040000}"/>
    <cellStyle name="AggOrange9 3 2 2 11" xfId="1134" xr:uid="{00000000-0005-0000-0000-00006E040000}"/>
    <cellStyle name="AggOrange9 3 2 2 2" xfId="1135" xr:uid="{00000000-0005-0000-0000-00006F040000}"/>
    <cellStyle name="AggOrange9 3 2 2 3" xfId="1136" xr:uid="{00000000-0005-0000-0000-000070040000}"/>
    <cellStyle name="AggOrange9 3 2 2 4" xfId="1137" xr:uid="{00000000-0005-0000-0000-000071040000}"/>
    <cellStyle name="AggOrange9 3 2 2 5" xfId="1138" xr:uid="{00000000-0005-0000-0000-000072040000}"/>
    <cellStyle name="AggOrange9 3 2 2 6" xfId="1139" xr:uid="{00000000-0005-0000-0000-000073040000}"/>
    <cellStyle name="AggOrange9 3 2 2 7" xfId="1140" xr:uid="{00000000-0005-0000-0000-000074040000}"/>
    <cellStyle name="AggOrange9 3 2 2 8" xfId="1141" xr:uid="{00000000-0005-0000-0000-000075040000}"/>
    <cellStyle name="AggOrange9 3 2 2 9" xfId="1142" xr:uid="{00000000-0005-0000-0000-000076040000}"/>
    <cellStyle name="AggOrange9 3 2 3" xfId="1143" xr:uid="{00000000-0005-0000-0000-000077040000}"/>
    <cellStyle name="AggOrange9 3 2 4" xfId="1144" xr:uid="{00000000-0005-0000-0000-000078040000}"/>
    <cellStyle name="AggOrange9 3 2 5" xfId="1145" xr:uid="{00000000-0005-0000-0000-000079040000}"/>
    <cellStyle name="AggOrange9 3 2 6" xfId="1146" xr:uid="{00000000-0005-0000-0000-00007A040000}"/>
    <cellStyle name="AggOrange9 3 2 7" xfId="1147" xr:uid="{00000000-0005-0000-0000-00007B040000}"/>
    <cellStyle name="AggOrange9 3 2 8" xfId="1148" xr:uid="{00000000-0005-0000-0000-00007C040000}"/>
    <cellStyle name="AggOrange9 3 2 9" xfId="1149" xr:uid="{00000000-0005-0000-0000-00007D040000}"/>
    <cellStyle name="AggOrange9 3 3" xfId="1150" xr:uid="{00000000-0005-0000-0000-00007E040000}"/>
    <cellStyle name="AggOrange9 3 3 10" xfId="1151" xr:uid="{00000000-0005-0000-0000-00007F040000}"/>
    <cellStyle name="AggOrange9 3 3 11" xfId="1152" xr:uid="{00000000-0005-0000-0000-000080040000}"/>
    <cellStyle name="AggOrange9 3 3 2" xfId="1153" xr:uid="{00000000-0005-0000-0000-000081040000}"/>
    <cellStyle name="AggOrange9 3 3 3" xfId="1154" xr:uid="{00000000-0005-0000-0000-000082040000}"/>
    <cellStyle name="AggOrange9 3 3 4" xfId="1155" xr:uid="{00000000-0005-0000-0000-000083040000}"/>
    <cellStyle name="AggOrange9 3 3 5" xfId="1156" xr:uid="{00000000-0005-0000-0000-000084040000}"/>
    <cellStyle name="AggOrange9 3 3 6" xfId="1157" xr:uid="{00000000-0005-0000-0000-000085040000}"/>
    <cellStyle name="AggOrange9 3 3 7" xfId="1158" xr:uid="{00000000-0005-0000-0000-000086040000}"/>
    <cellStyle name="AggOrange9 3 3 8" xfId="1159" xr:uid="{00000000-0005-0000-0000-000087040000}"/>
    <cellStyle name="AggOrange9 3 3 9" xfId="1160" xr:uid="{00000000-0005-0000-0000-000088040000}"/>
    <cellStyle name="AggOrange9 4" xfId="1161" xr:uid="{00000000-0005-0000-0000-000089040000}"/>
    <cellStyle name="AggOrange9 4 10" xfId="1162" xr:uid="{00000000-0005-0000-0000-00008A040000}"/>
    <cellStyle name="AggOrange9 4 11" xfId="1163" xr:uid="{00000000-0005-0000-0000-00008B040000}"/>
    <cellStyle name="AggOrange9 4 12" xfId="1164" xr:uid="{00000000-0005-0000-0000-00008C040000}"/>
    <cellStyle name="AggOrange9 4 13" xfId="1165" xr:uid="{00000000-0005-0000-0000-00008D040000}"/>
    <cellStyle name="AggOrange9 4 14" xfId="1166" xr:uid="{00000000-0005-0000-0000-00008E040000}"/>
    <cellStyle name="AggOrange9 4 2" xfId="1167" xr:uid="{00000000-0005-0000-0000-00008F040000}"/>
    <cellStyle name="AggOrange9 4 2 10" xfId="1168" xr:uid="{00000000-0005-0000-0000-000090040000}"/>
    <cellStyle name="AggOrange9 4 2 11" xfId="1169" xr:uid="{00000000-0005-0000-0000-000091040000}"/>
    <cellStyle name="AggOrange9 4 2 12" xfId="1170" xr:uid="{00000000-0005-0000-0000-000092040000}"/>
    <cellStyle name="AggOrange9 4 2 2" xfId="1171" xr:uid="{00000000-0005-0000-0000-000093040000}"/>
    <cellStyle name="AggOrange9 4 2 2 10" xfId="1172" xr:uid="{00000000-0005-0000-0000-000094040000}"/>
    <cellStyle name="AggOrange9 4 2 2 11" xfId="1173" xr:uid="{00000000-0005-0000-0000-000095040000}"/>
    <cellStyle name="AggOrange9 4 2 2 2" xfId="1174" xr:uid="{00000000-0005-0000-0000-000096040000}"/>
    <cellStyle name="AggOrange9 4 2 2 3" xfId="1175" xr:uid="{00000000-0005-0000-0000-000097040000}"/>
    <cellStyle name="AggOrange9 4 2 2 4" xfId="1176" xr:uid="{00000000-0005-0000-0000-000098040000}"/>
    <cellStyle name="AggOrange9 4 2 2 5" xfId="1177" xr:uid="{00000000-0005-0000-0000-000099040000}"/>
    <cellStyle name="AggOrange9 4 2 2 6" xfId="1178" xr:uid="{00000000-0005-0000-0000-00009A040000}"/>
    <cellStyle name="AggOrange9 4 2 2 7" xfId="1179" xr:uid="{00000000-0005-0000-0000-00009B040000}"/>
    <cellStyle name="AggOrange9 4 2 2 8" xfId="1180" xr:uid="{00000000-0005-0000-0000-00009C040000}"/>
    <cellStyle name="AggOrange9 4 2 2 9" xfId="1181" xr:uid="{00000000-0005-0000-0000-00009D040000}"/>
    <cellStyle name="AggOrange9 4 2 3" xfId="1182" xr:uid="{00000000-0005-0000-0000-00009E040000}"/>
    <cellStyle name="AggOrange9 4 2 4" xfId="1183" xr:uid="{00000000-0005-0000-0000-00009F040000}"/>
    <cellStyle name="AggOrange9 4 2 5" xfId="1184" xr:uid="{00000000-0005-0000-0000-0000A0040000}"/>
    <cellStyle name="AggOrange9 4 2 6" xfId="1185" xr:uid="{00000000-0005-0000-0000-0000A1040000}"/>
    <cellStyle name="AggOrange9 4 2 7" xfId="1186" xr:uid="{00000000-0005-0000-0000-0000A2040000}"/>
    <cellStyle name="AggOrange9 4 2 8" xfId="1187" xr:uid="{00000000-0005-0000-0000-0000A3040000}"/>
    <cellStyle name="AggOrange9 4 2 9" xfId="1188" xr:uid="{00000000-0005-0000-0000-0000A4040000}"/>
    <cellStyle name="AggOrange9 4 3" xfId="1189" xr:uid="{00000000-0005-0000-0000-0000A5040000}"/>
    <cellStyle name="AggOrange9 4 3 10" xfId="1190" xr:uid="{00000000-0005-0000-0000-0000A6040000}"/>
    <cellStyle name="AggOrange9 4 3 11" xfId="1191" xr:uid="{00000000-0005-0000-0000-0000A7040000}"/>
    <cellStyle name="AggOrange9 4 3 12" xfId="1192" xr:uid="{00000000-0005-0000-0000-0000A8040000}"/>
    <cellStyle name="AggOrange9 4 3 2" xfId="1193" xr:uid="{00000000-0005-0000-0000-0000A9040000}"/>
    <cellStyle name="AggOrange9 4 3 2 10" xfId="1194" xr:uid="{00000000-0005-0000-0000-0000AA040000}"/>
    <cellStyle name="AggOrange9 4 3 2 11" xfId="1195" xr:uid="{00000000-0005-0000-0000-0000AB040000}"/>
    <cellStyle name="AggOrange9 4 3 2 2" xfId="1196" xr:uid="{00000000-0005-0000-0000-0000AC040000}"/>
    <cellStyle name="AggOrange9 4 3 2 3" xfId="1197" xr:uid="{00000000-0005-0000-0000-0000AD040000}"/>
    <cellStyle name="AggOrange9 4 3 2 4" xfId="1198" xr:uid="{00000000-0005-0000-0000-0000AE040000}"/>
    <cellStyle name="AggOrange9 4 3 2 5" xfId="1199" xr:uid="{00000000-0005-0000-0000-0000AF040000}"/>
    <cellStyle name="AggOrange9 4 3 2 6" xfId="1200" xr:uid="{00000000-0005-0000-0000-0000B0040000}"/>
    <cellStyle name="AggOrange9 4 3 2 7" xfId="1201" xr:uid="{00000000-0005-0000-0000-0000B1040000}"/>
    <cellStyle name="AggOrange9 4 3 2 8" xfId="1202" xr:uid="{00000000-0005-0000-0000-0000B2040000}"/>
    <cellStyle name="AggOrange9 4 3 2 9" xfId="1203" xr:uid="{00000000-0005-0000-0000-0000B3040000}"/>
    <cellStyle name="AggOrange9 4 3 3" xfId="1204" xr:uid="{00000000-0005-0000-0000-0000B4040000}"/>
    <cellStyle name="AggOrange9 4 3 4" xfId="1205" xr:uid="{00000000-0005-0000-0000-0000B5040000}"/>
    <cellStyle name="AggOrange9 4 3 5" xfId="1206" xr:uid="{00000000-0005-0000-0000-0000B6040000}"/>
    <cellStyle name="AggOrange9 4 3 6" xfId="1207" xr:uid="{00000000-0005-0000-0000-0000B7040000}"/>
    <cellStyle name="AggOrange9 4 3 7" xfId="1208" xr:uid="{00000000-0005-0000-0000-0000B8040000}"/>
    <cellStyle name="AggOrange9 4 3 8" xfId="1209" xr:uid="{00000000-0005-0000-0000-0000B9040000}"/>
    <cellStyle name="AggOrange9 4 3 9" xfId="1210" xr:uid="{00000000-0005-0000-0000-0000BA040000}"/>
    <cellStyle name="AggOrange9 4 4" xfId="1211" xr:uid="{00000000-0005-0000-0000-0000BB040000}"/>
    <cellStyle name="AggOrange9 4 4 10" xfId="1212" xr:uid="{00000000-0005-0000-0000-0000BC040000}"/>
    <cellStyle name="AggOrange9 4 4 11" xfId="1213" xr:uid="{00000000-0005-0000-0000-0000BD040000}"/>
    <cellStyle name="AggOrange9 4 4 12" xfId="1214" xr:uid="{00000000-0005-0000-0000-0000BE040000}"/>
    <cellStyle name="AggOrange9 4 4 2" xfId="1215" xr:uid="{00000000-0005-0000-0000-0000BF040000}"/>
    <cellStyle name="AggOrange9 4 4 2 10" xfId="1216" xr:uid="{00000000-0005-0000-0000-0000C0040000}"/>
    <cellStyle name="AggOrange9 4 4 2 11" xfId="1217" xr:uid="{00000000-0005-0000-0000-0000C1040000}"/>
    <cellStyle name="AggOrange9 4 4 2 2" xfId="1218" xr:uid="{00000000-0005-0000-0000-0000C2040000}"/>
    <cellStyle name="AggOrange9 4 4 2 3" xfId="1219" xr:uid="{00000000-0005-0000-0000-0000C3040000}"/>
    <cellStyle name="AggOrange9 4 4 2 4" xfId="1220" xr:uid="{00000000-0005-0000-0000-0000C4040000}"/>
    <cellStyle name="AggOrange9 4 4 2 5" xfId="1221" xr:uid="{00000000-0005-0000-0000-0000C5040000}"/>
    <cellStyle name="AggOrange9 4 4 2 6" xfId="1222" xr:uid="{00000000-0005-0000-0000-0000C6040000}"/>
    <cellStyle name="AggOrange9 4 4 2 7" xfId="1223" xr:uid="{00000000-0005-0000-0000-0000C7040000}"/>
    <cellStyle name="AggOrange9 4 4 2 8" xfId="1224" xr:uid="{00000000-0005-0000-0000-0000C8040000}"/>
    <cellStyle name="AggOrange9 4 4 2 9" xfId="1225" xr:uid="{00000000-0005-0000-0000-0000C9040000}"/>
    <cellStyle name="AggOrange9 4 4 3" xfId="1226" xr:uid="{00000000-0005-0000-0000-0000CA040000}"/>
    <cellStyle name="AggOrange9 4 4 4" xfId="1227" xr:uid="{00000000-0005-0000-0000-0000CB040000}"/>
    <cellStyle name="AggOrange9 4 4 5" xfId="1228" xr:uid="{00000000-0005-0000-0000-0000CC040000}"/>
    <cellStyle name="AggOrange9 4 4 6" xfId="1229" xr:uid="{00000000-0005-0000-0000-0000CD040000}"/>
    <cellStyle name="AggOrange9 4 4 7" xfId="1230" xr:uid="{00000000-0005-0000-0000-0000CE040000}"/>
    <cellStyle name="AggOrange9 4 4 8" xfId="1231" xr:uid="{00000000-0005-0000-0000-0000CF040000}"/>
    <cellStyle name="AggOrange9 4 4 9" xfId="1232" xr:uid="{00000000-0005-0000-0000-0000D0040000}"/>
    <cellStyle name="AggOrange9 4 5" xfId="1233" xr:uid="{00000000-0005-0000-0000-0000D1040000}"/>
    <cellStyle name="AggOrange9 4 6" xfId="1234" xr:uid="{00000000-0005-0000-0000-0000D2040000}"/>
    <cellStyle name="AggOrange9 4 7" xfId="1235" xr:uid="{00000000-0005-0000-0000-0000D3040000}"/>
    <cellStyle name="AggOrange9 4 8" xfId="1236" xr:uid="{00000000-0005-0000-0000-0000D4040000}"/>
    <cellStyle name="AggOrange9 4 9" xfId="1237" xr:uid="{00000000-0005-0000-0000-0000D5040000}"/>
    <cellStyle name="AggOrange9 5" xfId="1238" xr:uid="{00000000-0005-0000-0000-0000D6040000}"/>
    <cellStyle name="AggOrange9 5 2" xfId="1239" xr:uid="{00000000-0005-0000-0000-0000D7040000}"/>
    <cellStyle name="AggOrange9 5 3" xfId="1240" xr:uid="{00000000-0005-0000-0000-0000D8040000}"/>
    <cellStyle name="AggOrange9 5 4" xfId="1241" xr:uid="{00000000-0005-0000-0000-0000D9040000}"/>
    <cellStyle name="AggOrange9 5 5" xfId="1242" xr:uid="{00000000-0005-0000-0000-0000DA040000}"/>
    <cellStyle name="AggOrangeLB_2x" xfId="1244" xr:uid="{00000000-0005-0000-0000-0000DC040000}"/>
    <cellStyle name="AggOrangeLBorder" xfId="1245" xr:uid="{00000000-0005-0000-0000-0000DD040000}"/>
    <cellStyle name="AggOrangeLBorder 2" xfId="1246" xr:uid="{00000000-0005-0000-0000-0000DE040000}"/>
    <cellStyle name="AggOrangeLBorder 2 2" xfId="1247" xr:uid="{00000000-0005-0000-0000-0000DF040000}"/>
    <cellStyle name="AggOrangeLBorder 2 2 2" xfId="1248" xr:uid="{00000000-0005-0000-0000-0000E0040000}"/>
    <cellStyle name="AggOrangeLBorder 2 3" xfId="1249" xr:uid="{00000000-0005-0000-0000-0000E1040000}"/>
    <cellStyle name="AggOrangeLBorder 2 3 10" xfId="1250" xr:uid="{00000000-0005-0000-0000-0000E2040000}"/>
    <cellStyle name="AggOrangeLBorder 2 3 11" xfId="1251" xr:uid="{00000000-0005-0000-0000-0000E3040000}"/>
    <cellStyle name="AggOrangeLBorder 2 3 12" xfId="1252" xr:uid="{00000000-0005-0000-0000-0000E4040000}"/>
    <cellStyle name="AggOrangeLBorder 2 3 13" xfId="1253" xr:uid="{00000000-0005-0000-0000-0000E5040000}"/>
    <cellStyle name="AggOrangeLBorder 2 3 14" xfId="1254" xr:uid="{00000000-0005-0000-0000-0000E6040000}"/>
    <cellStyle name="AggOrangeLBorder 2 3 15" xfId="1255" xr:uid="{00000000-0005-0000-0000-0000E7040000}"/>
    <cellStyle name="AggOrangeLBorder 2 3 2" xfId="1256" xr:uid="{00000000-0005-0000-0000-0000E8040000}"/>
    <cellStyle name="AggOrangeLBorder 2 3 2 10" xfId="1257" xr:uid="{00000000-0005-0000-0000-0000E9040000}"/>
    <cellStyle name="AggOrangeLBorder 2 3 2 11" xfId="1258" xr:uid="{00000000-0005-0000-0000-0000EA040000}"/>
    <cellStyle name="AggOrangeLBorder 2 3 2 12" xfId="1259" xr:uid="{00000000-0005-0000-0000-0000EB040000}"/>
    <cellStyle name="AggOrangeLBorder 2 3 2 2" xfId="1260" xr:uid="{00000000-0005-0000-0000-0000EC040000}"/>
    <cellStyle name="AggOrangeLBorder 2 3 2 2 10" xfId="1261" xr:uid="{00000000-0005-0000-0000-0000ED040000}"/>
    <cellStyle name="AggOrangeLBorder 2 3 2 2 11" xfId="1262" xr:uid="{00000000-0005-0000-0000-0000EE040000}"/>
    <cellStyle name="AggOrangeLBorder 2 3 2 2 2" xfId="1263" xr:uid="{00000000-0005-0000-0000-0000EF040000}"/>
    <cellStyle name="AggOrangeLBorder 2 3 2 2 3" xfId="1264" xr:uid="{00000000-0005-0000-0000-0000F0040000}"/>
    <cellStyle name="AggOrangeLBorder 2 3 2 2 4" xfId="1265" xr:uid="{00000000-0005-0000-0000-0000F1040000}"/>
    <cellStyle name="AggOrangeLBorder 2 3 2 2 5" xfId="1266" xr:uid="{00000000-0005-0000-0000-0000F2040000}"/>
    <cellStyle name="AggOrangeLBorder 2 3 2 2 6" xfId="1267" xr:uid="{00000000-0005-0000-0000-0000F3040000}"/>
    <cellStyle name="AggOrangeLBorder 2 3 2 2 7" xfId="1268" xr:uid="{00000000-0005-0000-0000-0000F4040000}"/>
    <cellStyle name="AggOrangeLBorder 2 3 2 2 8" xfId="1269" xr:uid="{00000000-0005-0000-0000-0000F5040000}"/>
    <cellStyle name="AggOrangeLBorder 2 3 2 2 9" xfId="1270" xr:uid="{00000000-0005-0000-0000-0000F6040000}"/>
    <cellStyle name="AggOrangeLBorder 2 3 2 3" xfId="1271" xr:uid="{00000000-0005-0000-0000-0000F7040000}"/>
    <cellStyle name="AggOrangeLBorder 2 3 2 4" xfId="1272" xr:uid="{00000000-0005-0000-0000-0000F8040000}"/>
    <cellStyle name="AggOrangeLBorder 2 3 2 5" xfId="1273" xr:uid="{00000000-0005-0000-0000-0000F9040000}"/>
    <cellStyle name="AggOrangeLBorder 2 3 2 6" xfId="1274" xr:uid="{00000000-0005-0000-0000-0000FA040000}"/>
    <cellStyle name="AggOrangeLBorder 2 3 2 7" xfId="1275" xr:uid="{00000000-0005-0000-0000-0000FB040000}"/>
    <cellStyle name="AggOrangeLBorder 2 3 2 8" xfId="1276" xr:uid="{00000000-0005-0000-0000-0000FC040000}"/>
    <cellStyle name="AggOrangeLBorder 2 3 2 9" xfId="1277" xr:uid="{00000000-0005-0000-0000-0000FD040000}"/>
    <cellStyle name="AggOrangeLBorder 2 3 3" xfId="1278" xr:uid="{00000000-0005-0000-0000-0000FE040000}"/>
    <cellStyle name="AggOrangeLBorder 2 3 3 10" xfId="1279" xr:uid="{00000000-0005-0000-0000-0000FF040000}"/>
    <cellStyle name="AggOrangeLBorder 2 3 3 11" xfId="1280" xr:uid="{00000000-0005-0000-0000-000000050000}"/>
    <cellStyle name="AggOrangeLBorder 2 3 3 12" xfId="1281" xr:uid="{00000000-0005-0000-0000-000001050000}"/>
    <cellStyle name="AggOrangeLBorder 2 3 3 2" xfId="1282" xr:uid="{00000000-0005-0000-0000-000002050000}"/>
    <cellStyle name="AggOrangeLBorder 2 3 3 2 10" xfId="1283" xr:uid="{00000000-0005-0000-0000-000003050000}"/>
    <cellStyle name="AggOrangeLBorder 2 3 3 2 11" xfId="1284" xr:uid="{00000000-0005-0000-0000-000004050000}"/>
    <cellStyle name="AggOrangeLBorder 2 3 3 2 2" xfId="1285" xr:uid="{00000000-0005-0000-0000-000005050000}"/>
    <cellStyle name="AggOrangeLBorder 2 3 3 2 3" xfId="1286" xr:uid="{00000000-0005-0000-0000-000006050000}"/>
    <cellStyle name="AggOrangeLBorder 2 3 3 2 4" xfId="1287" xr:uid="{00000000-0005-0000-0000-000007050000}"/>
    <cellStyle name="AggOrangeLBorder 2 3 3 2 5" xfId="1288" xr:uid="{00000000-0005-0000-0000-000008050000}"/>
    <cellStyle name="AggOrangeLBorder 2 3 3 2 6" xfId="1289" xr:uid="{00000000-0005-0000-0000-000009050000}"/>
    <cellStyle name="AggOrangeLBorder 2 3 3 2 7" xfId="1290" xr:uid="{00000000-0005-0000-0000-00000A050000}"/>
    <cellStyle name="AggOrangeLBorder 2 3 3 2 8" xfId="1291" xr:uid="{00000000-0005-0000-0000-00000B050000}"/>
    <cellStyle name="AggOrangeLBorder 2 3 3 2 9" xfId="1292" xr:uid="{00000000-0005-0000-0000-00000C050000}"/>
    <cellStyle name="AggOrangeLBorder 2 3 3 3" xfId="1293" xr:uid="{00000000-0005-0000-0000-00000D050000}"/>
    <cellStyle name="AggOrangeLBorder 2 3 3 4" xfId="1294" xr:uid="{00000000-0005-0000-0000-00000E050000}"/>
    <cellStyle name="AggOrangeLBorder 2 3 3 5" xfId="1295" xr:uid="{00000000-0005-0000-0000-00000F050000}"/>
    <cellStyle name="AggOrangeLBorder 2 3 3 6" xfId="1296" xr:uid="{00000000-0005-0000-0000-000010050000}"/>
    <cellStyle name="AggOrangeLBorder 2 3 3 7" xfId="1297" xr:uid="{00000000-0005-0000-0000-000011050000}"/>
    <cellStyle name="AggOrangeLBorder 2 3 3 8" xfId="1298" xr:uid="{00000000-0005-0000-0000-000012050000}"/>
    <cellStyle name="AggOrangeLBorder 2 3 3 9" xfId="1299" xr:uid="{00000000-0005-0000-0000-000013050000}"/>
    <cellStyle name="AggOrangeLBorder 2 3 4" xfId="1300" xr:uid="{00000000-0005-0000-0000-000014050000}"/>
    <cellStyle name="AggOrangeLBorder 2 3 4 10" xfId="1301" xr:uid="{00000000-0005-0000-0000-000015050000}"/>
    <cellStyle name="AggOrangeLBorder 2 3 4 11" xfId="1302" xr:uid="{00000000-0005-0000-0000-000016050000}"/>
    <cellStyle name="AggOrangeLBorder 2 3 4 12" xfId="1303" xr:uid="{00000000-0005-0000-0000-000017050000}"/>
    <cellStyle name="AggOrangeLBorder 2 3 4 2" xfId="1304" xr:uid="{00000000-0005-0000-0000-000018050000}"/>
    <cellStyle name="AggOrangeLBorder 2 3 4 2 10" xfId="1305" xr:uid="{00000000-0005-0000-0000-000019050000}"/>
    <cellStyle name="AggOrangeLBorder 2 3 4 2 11" xfId="1306" xr:uid="{00000000-0005-0000-0000-00001A050000}"/>
    <cellStyle name="AggOrangeLBorder 2 3 4 2 2" xfId="1307" xr:uid="{00000000-0005-0000-0000-00001B050000}"/>
    <cellStyle name="AggOrangeLBorder 2 3 4 2 3" xfId="1308" xr:uid="{00000000-0005-0000-0000-00001C050000}"/>
    <cellStyle name="AggOrangeLBorder 2 3 4 2 4" xfId="1309" xr:uid="{00000000-0005-0000-0000-00001D050000}"/>
    <cellStyle name="AggOrangeLBorder 2 3 4 2 5" xfId="1310" xr:uid="{00000000-0005-0000-0000-00001E050000}"/>
    <cellStyle name="AggOrangeLBorder 2 3 4 2 6" xfId="1311" xr:uid="{00000000-0005-0000-0000-00001F050000}"/>
    <cellStyle name="AggOrangeLBorder 2 3 4 2 7" xfId="1312" xr:uid="{00000000-0005-0000-0000-000020050000}"/>
    <cellStyle name="AggOrangeLBorder 2 3 4 2 8" xfId="1313" xr:uid="{00000000-0005-0000-0000-000021050000}"/>
    <cellStyle name="AggOrangeLBorder 2 3 4 2 9" xfId="1314" xr:uid="{00000000-0005-0000-0000-000022050000}"/>
    <cellStyle name="AggOrangeLBorder 2 3 4 3" xfId="1315" xr:uid="{00000000-0005-0000-0000-000023050000}"/>
    <cellStyle name="AggOrangeLBorder 2 3 4 4" xfId="1316" xr:uid="{00000000-0005-0000-0000-000024050000}"/>
    <cellStyle name="AggOrangeLBorder 2 3 4 5" xfId="1317" xr:uid="{00000000-0005-0000-0000-000025050000}"/>
    <cellStyle name="AggOrangeLBorder 2 3 4 6" xfId="1318" xr:uid="{00000000-0005-0000-0000-000026050000}"/>
    <cellStyle name="AggOrangeLBorder 2 3 4 7" xfId="1319" xr:uid="{00000000-0005-0000-0000-000027050000}"/>
    <cellStyle name="AggOrangeLBorder 2 3 4 8" xfId="1320" xr:uid="{00000000-0005-0000-0000-000028050000}"/>
    <cellStyle name="AggOrangeLBorder 2 3 4 9" xfId="1321" xr:uid="{00000000-0005-0000-0000-000029050000}"/>
    <cellStyle name="AggOrangeLBorder 2 3 5" xfId="1322" xr:uid="{00000000-0005-0000-0000-00002A050000}"/>
    <cellStyle name="AggOrangeLBorder 2 3 5 2" xfId="1323" xr:uid="{00000000-0005-0000-0000-00002B050000}"/>
    <cellStyle name="AggOrangeLBorder 2 3 6" xfId="1324" xr:uid="{00000000-0005-0000-0000-00002C050000}"/>
    <cellStyle name="AggOrangeLBorder 2 3 7" xfId="1325" xr:uid="{00000000-0005-0000-0000-00002D050000}"/>
    <cellStyle name="AggOrangeLBorder 2 3 8" xfId="1326" xr:uid="{00000000-0005-0000-0000-00002E050000}"/>
    <cellStyle name="AggOrangeLBorder 2 3 9" xfId="1327" xr:uid="{00000000-0005-0000-0000-00002F050000}"/>
    <cellStyle name="AggOrangeLBorder 3" xfId="1328" xr:uid="{00000000-0005-0000-0000-000030050000}"/>
    <cellStyle name="AggOrangeLBorder 3 2" xfId="1329" xr:uid="{00000000-0005-0000-0000-000031050000}"/>
    <cellStyle name="AggOrangeLBorder 4" xfId="1330" xr:uid="{00000000-0005-0000-0000-000032050000}"/>
    <cellStyle name="AggOrangeLBorder 4 10" xfId="1331" xr:uid="{00000000-0005-0000-0000-000033050000}"/>
    <cellStyle name="AggOrangeLBorder 4 11" xfId="1332" xr:uid="{00000000-0005-0000-0000-000034050000}"/>
    <cellStyle name="AggOrangeLBorder 4 12" xfId="1333" xr:uid="{00000000-0005-0000-0000-000035050000}"/>
    <cellStyle name="AggOrangeLBorder 4 13" xfId="1334" xr:uid="{00000000-0005-0000-0000-000036050000}"/>
    <cellStyle name="AggOrangeLBorder 4 14" xfId="1335" xr:uid="{00000000-0005-0000-0000-000037050000}"/>
    <cellStyle name="AggOrangeLBorder 4 15" xfId="1336" xr:uid="{00000000-0005-0000-0000-000038050000}"/>
    <cellStyle name="AggOrangeLBorder 4 2" xfId="1337" xr:uid="{00000000-0005-0000-0000-000039050000}"/>
    <cellStyle name="AggOrangeLBorder 4 2 10" xfId="1338" xr:uid="{00000000-0005-0000-0000-00003A050000}"/>
    <cellStyle name="AggOrangeLBorder 4 2 11" xfId="1339" xr:uid="{00000000-0005-0000-0000-00003B050000}"/>
    <cellStyle name="AggOrangeLBorder 4 2 12" xfId="1340" xr:uid="{00000000-0005-0000-0000-00003C050000}"/>
    <cellStyle name="AggOrangeLBorder 4 2 2" xfId="1341" xr:uid="{00000000-0005-0000-0000-00003D050000}"/>
    <cellStyle name="AggOrangeLBorder 4 2 2 10" xfId="1342" xr:uid="{00000000-0005-0000-0000-00003E050000}"/>
    <cellStyle name="AggOrangeLBorder 4 2 2 11" xfId="1343" xr:uid="{00000000-0005-0000-0000-00003F050000}"/>
    <cellStyle name="AggOrangeLBorder 4 2 2 2" xfId="1344" xr:uid="{00000000-0005-0000-0000-000040050000}"/>
    <cellStyle name="AggOrangeLBorder 4 2 2 3" xfId="1345" xr:uid="{00000000-0005-0000-0000-000041050000}"/>
    <cellStyle name="AggOrangeLBorder 4 2 2 4" xfId="1346" xr:uid="{00000000-0005-0000-0000-000042050000}"/>
    <cellStyle name="AggOrangeLBorder 4 2 2 5" xfId="1347" xr:uid="{00000000-0005-0000-0000-000043050000}"/>
    <cellStyle name="AggOrangeLBorder 4 2 2 6" xfId="1348" xr:uid="{00000000-0005-0000-0000-000044050000}"/>
    <cellStyle name="AggOrangeLBorder 4 2 2 7" xfId="1349" xr:uid="{00000000-0005-0000-0000-000045050000}"/>
    <cellStyle name="AggOrangeLBorder 4 2 2 8" xfId="1350" xr:uid="{00000000-0005-0000-0000-000046050000}"/>
    <cellStyle name="AggOrangeLBorder 4 2 2 9" xfId="1351" xr:uid="{00000000-0005-0000-0000-000047050000}"/>
    <cellStyle name="AggOrangeLBorder 4 2 3" xfId="1352" xr:uid="{00000000-0005-0000-0000-000048050000}"/>
    <cellStyle name="AggOrangeLBorder 4 2 4" xfId="1353" xr:uid="{00000000-0005-0000-0000-000049050000}"/>
    <cellStyle name="AggOrangeLBorder 4 2 5" xfId="1354" xr:uid="{00000000-0005-0000-0000-00004A050000}"/>
    <cellStyle name="AggOrangeLBorder 4 2 6" xfId="1355" xr:uid="{00000000-0005-0000-0000-00004B050000}"/>
    <cellStyle name="AggOrangeLBorder 4 2 7" xfId="1356" xr:uid="{00000000-0005-0000-0000-00004C050000}"/>
    <cellStyle name="AggOrangeLBorder 4 2 8" xfId="1357" xr:uid="{00000000-0005-0000-0000-00004D050000}"/>
    <cellStyle name="AggOrangeLBorder 4 2 9" xfId="1358" xr:uid="{00000000-0005-0000-0000-00004E050000}"/>
    <cellStyle name="AggOrangeLBorder 4 3" xfId="1359" xr:uid="{00000000-0005-0000-0000-00004F050000}"/>
    <cellStyle name="AggOrangeLBorder 4 3 10" xfId="1360" xr:uid="{00000000-0005-0000-0000-000050050000}"/>
    <cellStyle name="AggOrangeLBorder 4 3 11" xfId="1361" xr:uid="{00000000-0005-0000-0000-000051050000}"/>
    <cellStyle name="AggOrangeLBorder 4 3 12" xfId="1362" xr:uid="{00000000-0005-0000-0000-000052050000}"/>
    <cellStyle name="AggOrangeLBorder 4 3 2" xfId="1363" xr:uid="{00000000-0005-0000-0000-000053050000}"/>
    <cellStyle name="AggOrangeLBorder 4 3 2 10" xfId="1364" xr:uid="{00000000-0005-0000-0000-000054050000}"/>
    <cellStyle name="AggOrangeLBorder 4 3 2 11" xfId="1365" xr:uid="{00000000-0005-0000-0000-000055050000}"/>
    <cellStyle name="AggOrangeLBorder 4 3 2 2" xfId="1366" xr:uid="{00000000-0005-0000-0000-000056050000}"/>
    <cellStyle name="AggOrangeLBorder 4 3 2 3" xfId="1367" xr:uid="{00000000-0005-0000-0000-000057050000}"/>
    <cellStyle name="AggOrangeLBorder 4 3 2 4" xfId="1368" xr:uid="{00000000-0005-0000-0000-000058050000}"/>
    <cellStyle name="AggOrangeLBorder 4 3 2 5" xfId="1369" xr:uid="{00000000-0005-0000-0000-000059050000}"/>
    <cellStyle name="AggOrangeLBorder 4 3 2 6" xfId="1370" xr:uid="{00000000-0005-0000-0000-00005A050000}"/>
    <cellStyle name="AggOrangeLBorder 4 3 2 7" xfId="1371" xr:uid="{00000000-0005-0000-0000-00005B050000}"/>
    <cellStyle name="AggOrangeLBorder 4 3 2 8" xfId="1372" xr:uid="{00000000-0005-0000-0000-00005C050000}"/>
    <cellStyle name="AggOrangeLBorder 4 3 2 9" xfId="1373" xr:uid="{00000000-0005-0000-0000-00005D050000}"/>
    <cellStyle name="AggOrangeLBorder 4 3 3" xfId="1374" xr:uid="{00000000-0005-0000-0000-00005E050000}"/>
    <cellStyle name="AggOrangeLBorder 4 3 4" xfId="1375" xr:uid="{00000000-0005-0000-0000-00005F050000}"/>
    <cellStyle name="AggOrangeLBorder 4 3 5" xfId="1376" xr:uid="{00000000-0005-0000-0000-000060050000}"/>
    <cellStyle name="AggOrangeLBorder 4 3 6" xfId="1377" xr:uid="{00000000-0005-0000-0000-000061050000}"/>
    <cellStyle name="AggOrangeLBorder 4 3 7" xfId="1378" xr:uid="{00000000-0005-0000-0000-000062050000}"/>
    <cellStyle name="AggOrangeLBorder 4 3 8" xfId="1379" xr:uid="{00000000-0005-0000-0000-000063050000}"/>
    <cellStyle name="AggOrangeLBorder 4 3 9" xfId="1380" xr:uid="{00000000-0005-0000-0000-000064050000}"/>
    <cellStyle name="AggOrangeLBorder 4 4" xfId="1381" xr:uid="{00000000-0005-0000-0000-000065050000}"/>
    <cellStyle name="AggOrangeLBorder 4 4 10" xfId="1382" xr:uid="{00000000-0005-0000-0000-000066050000}"/>
    <cellStyle name="AggOrangeLBorder 4 4 11" xfId="1383" xr:uid="{00000000-0005-0000-0000-000067050000}"/>
    <cellStyle name="AggOrangeLBorder 4 4 12" xfId="1384" xr:uid="{00000000-0005-0000-0000-000068050000}"/>
    <cellStyle name="AggOrangeLBorder 4 4 2" xfId="1385" xr:uid="{00000000-0005-0000-0000-000069050000}"/>
    <cellStyle name="AggOrangeLBorder 4 4 2 10" xfId="1386" xr:uid="{00000000-0005-0000-0000-00006A050000}"/>
    <cellStyle name="AggOrangeLBorder 4 4 2 11" xfId="1387" xr:uid="{00000000-0005-0000-0000-00006B050000}"/>
    <cellStyle name="AggOrangeLBorder 4 4 2 2" xfId="1388" xr:uid="{00000000-0005-0000-0000-00006C050000}"/>
    <cellStyle name="AggOrangeLBorder 4 4 2 3" xfId="1389" xr:uid="{00000000-0005-0000-0000-00006D050000}"/>
    <cellStyle name="AggOrangeLBorder 4 4 2 4" xfId="1390" xr:uid="{00000000-0005-0000-0000-00006E050000}"/>
    <cellStyle name="AggOrangeLBorder 4 4 2 5" xfId="1391" xr:uid="{00000000-0005-0000-0000-00006F050000}"/>
    <cellStyle name="AggOrangeLBorder 4 4 2 6" xfId="1392" xr:uid="{00000000-0005-0000-0000-000070050000}"/>
    <cellStyle name="AggOrangeLBorder 4 4 2 7" xfId="1393" xr:uid="{00000000-0005-0000-0000-000071050000}"/>
    <cellStyle name="AggOrangeLBorder 4 4 2 8" xfId="1394" xr:uid="{00000000-0005-0000-0000-000072050000}"/>
    <cellStyle name="AggOrangeLBorder 4 4 2 9" xfId="1395" xr:uid="{00000000-0005-0000-0000-000073050000}"/>
    <cellStyle name="AggOrangeLBorder 4 4 3" xfId="1396" xr:uid="{00000000-0005-0000-0000-000074050000}"/>
    <cellStyle name="AggOrangeLBorder 4 4 4" xfId="1397" xr:uid="{00000000-0005-0000-0000-000075050000}"/>
    <cellStyle name="AggOrangeLBorder 4 4 5" xfId="1398" xr:uid="{00000000-0005-0000-0000-000076050000}"/>
    <cellStyle name="AggOrangeLBorder 4 4 6" xfId="1399" xr:uid="{00000000-0005-0000-0000-000077050000}"/>
    <cellStyle name="AggOrangeLBorder 4 4 7" xfId="1400" xr:uid="{00000000-0005-0000-0000-000078050000}"/>
    <cellStyle name="AggOrangeLBorder 4 4 8" xfId="1401" xr:uid="{00000000-0005-0000-0000-000079050000}"/>
    <cellStyle name="AggOrangeLBorder 4 4 9" xfId="1402" xr:uid="{00000000-0005-0000-0000-00007A050000}"/>
    <cellStyle name="AggOrangeLBorder 4 5" xfId="1403" xr:uid="{00000000-0005-0000-0000-00007B050000}"/>
    <cellStyle name="AggOrangeLBorder 4 5 2" xfId="1404" xr:uid="{00000000-0005-0000-0000-00007C050000}"/>
    <cellStyle name="AggOrangeLBorder 4 6" xfId="1405" xr:uid="{00000000-0005-0000-0000-00007D050000}"/>
    <cellStyle name="AggOrangeLBorder 4 7" xfId="1406" xr:uid="{00000000-0005-0000-0000-00007E050000}"/>
    <cellStyle name="AggOrangeLBorder 4 8" xfId="1407" xr:uid="{00000000-0005-0000-0000-00007F050000}"/>
    <cellStyle name="AggOrangeLBorder 4 9" xfId="1408" xr:uid="{00000000-0005-0000-0000-000080050000}"/>
    <cellStyle name="AggOrangeLBorder 5" xfId="1409" xr:uid="{00000000-0005-0000-0000-000081050000}"/>
    <cellStyle name="AggOrangeLBorder 5 2" xfId="1410" xr:uid="{00000000-0005-0000-0000-000082050000}"/>
    <cellStyle name="AggOrangeRBorder" xfId="1411" xr:uid="{00000000-0005-0000-0000-000083050000}"/>
    <cellStyle name="AggOrangeRBorder 2" xfId="1412" xr:uid="{00000000-0005-0000-0000-000084050000}"/>
    <cellStyle name="AggOrangeRBorder 2 2" xfId="1413" xr:uid="{00000000-0005-0000-0000-000085050000}"/>
    <cellStyle name="AggOrangeRBorder 2 2 2" xfId="1414" xr:uid="{00000000-0005-0000-0000-000086050000}"/>
    <cellStyle name="AggOrangeRBorder 2 2 2 10" xfId="1415" xr:uid="{00000000-0005-0000-0000-000087050000}"/>
    <cellStyle name="AggOrangeRBorder 2 2 2 11" xfId="1416" xr:uid="{00000000-0005-0000-0000-000088050000}"/>
    <cellStyle name="AggOrangeRBorder 2 2 2 12" xfId="1417" xr:uid="{00000000-0005-0000-0000-000089050000}"/>
    <cellStyle name="AggOrangeRBorder 2 2 2 2" xfId="1418" xr:uid="{00000000-0005-0000-0000-00008A050000}"/>
    <cellStyle name="AggOrangeRBorder 2 2 2 2 10" xfId="1419" xr:uid="{00000000-0005-0000-0000-00008B050000}"/>
    <cellStyle name="AggOrangeRBorder 2 2 2 2 11" xfId="1420" xr:uid="{00000000-0005-0000-0000-00008C050000}"/>
    <cellStyle name="AggOrangeRBorder 2 2 2 2 2" xfId="1421" xr:uid="{00000000-0005-0000-0000-00008D050000}"/>
    <cellStyle name="AggOrangeRBorder 2 2 2 2 3" xfId="1422" xr:uid="{00000000-0005-0000-0000-00008E050000}"/>
    <cellStyle name="AggOrangeRBorder 2 2 2 2 4" xfId="1423" xr:uid="{00000000-0005-0000-0000-00008F050000}"/>
    <cellStyle name="AggOrangeRBorder 2 2 2 2 5" xfId="1424" xr:uid="{00000000-0005-0000-0000-000090050000}"/>
    <cellStyle name="AggOrangeRBorder 2 2 2 2 6" xfId="1425" xr:uid="{00000000-0005-0000-0000-000091050000}"/>
    <cellStyle name="AggOrangeRBorder 2 2 2 2 7" xfId="1426" xr:uid="{00000000-0005-0000-0000-000092050000}"/>
    <cellStyle name="AggOrangeRBorder 2 2 2 2 8" xfId="1427" xr:uid="{00000000-0005-0000-0000-000093050000}"/>
    <cellStyle name="AggOrangeRBorder 2 2 2 2 9" xfId="1428" xr:uid="{00000000-0005-0000-0000-000094050000}"/>
    <cellStyle name="AggOrangeRBorder 2 2 2 3" xfId="1429" xr:uid="{00000000-0005-0000-0000-000095050000}"/>
    <cellStyle name="AggOrangeRBorder 2 2 2 4" xfId="1430" xr:uid="{00000000-0005-0000-0000-000096050000}"/>
    <cellStyle name="AggOrangeRBorder 2 2 2 5" xfId="1431" xr:uid="{00000000-0005-0000-0000-000097050000}"/>
    <cellStyle name="AggOrangeRBorder 2 2 2 6" xfId="1432" xr:uid="{00000000-0005-0000-0000-000098050000}"/>
    <cellStyle name="AggOrangeRBorder 2 2 2 7" xfId="1433" xr:uid="{00000000-0005-0000-0000-000099050000}"/>
    <cellStyle name="AggOrangeRBorder 2 2 2 8" xfId="1434" xr:uid="{00000000-0005-0000-0000-00009A050000}"/>
    <cellStyle name="AggOrangeRBorder 2 2 2 9" xfId="1435" xr:uid="{00000000-0005-0000-0000-00009B050000}"/>
    <cellStyle name="AggOrangeRBorder 2 3" xfId="1436" xr:uid="{00000000-0005-0000-0000-00009C050000}"/>
    <cellStyle name="AggOrangeRBorder 2 3 10" xfId="1437" xr:uid="{00000000-0005-0000-0000-00009D050000}"/>
    <cellStyle name="AggOrangeRBorder 2 3 11" xfId="1438" xr:uid="{00000000-0005-0000-0000-00009E050000}"/>
    <cellStyle name="AggOrangeRBorder 2 3 12" xfId="1439" xr:uid="{00000000-0005-0000-0000-00009F050000}"/>
    <cellStyle name="AggOrangeRBorder 2 3 13" xfId="1440" xr:uid="{00000000-0005-0000-0000-0000A0050000}"/>
    <cellStyle name="AggOrangeRBorder 2 3 14" xfId="1441" xr:uid="{00000000-0005-0000-0000-0000A1050000}"/>
    <cellStyle name="AggOrangeRBorder 2 3 15" xfId="1442" xr:uid="{00000000-0005-0000-0000-0000A2050000}"/>
    <cellStyle name="AggOrangeRBorder 2 3 2" xfId="1443" xr:uid="{00000000-0005-0000-0000-0000A3050000}"/>
    <cellStyle name="AggOrangeRBorder 2 3 2 10" xfId="1444" xr:uid="{00000000-0005-0000-0000-0000A4050000}"/>
    <cellStyle name="AggOrangeRBorder 2 3 2 11" xfId="1445" xr:uid="{00000000-0005-0000-0000-0000A5050000}"/>
    <cellStyle name="AggOrangeRBorder 2 3 2 12" xfId="1446" xr:uid="{00000000-0005-0000-0000-0000A6050000}"/>
    <cellStyle name="AggOrangeRBorder 2 3 2 2" xfId="1447" xr:uid="{00000000-0005-0000-0000-0000A7050000}"/>
    <cellStyle name="AggOrangeRBorder 2 3 2 2 10" xfId="1448" xr:uid="{00000000-0005-0000-0000-0000A8050000}"/>
    <cellStyle name="AggOrangeRBorder 2 3 2 2 11" xfId="1449" xr:uid="{00000000-0005-0000-0000-0000A9050000}"/>
    <cellStyle name="AggOrangeRBorder 2 3 2 2 2" xfId="1450" xr:uid="{00000000-0005-0000-0000-0000AA050000}"/>
    <cellStyle name="AggOrangeRBorder 2 3 2 2 3" xfId="1451" xr:uid="{00000000-0005-0000-0000-0000AB050000}"/>
    <cellStyle name="AggOrangeRBorder 2 3 2 2 4" xfId="1452" xr:uid="{00000000-0005-0000-0000-0000AC050000}"/>
    <cellStyle name="AggOrangeRBorder 2 3 2 2 5" xfId="1453" xr:uid="{00000000-0005-0000-0000-0000AD050000}"/>
    <cellStyle name="AggOrangeRBorder 2 3 2 2 6" xfId="1454" xr:uid="{00000000-0005-0000-0000-0000AE050000}"/>
    <cellStyle name="AggOrangeRBorder 2 3 2 2 7" xfId="1455" xr:uid="{00000000-0005-0000-0000-0000AF050000}"/>
    <cellStyle name="AggOrangeRBorder 2 3 2 2 8" xfId="1456" xr:uid="{00000000-0005-0000-0000-0000B0050000}"/>
    <cellStyle name="AggOrangeRBorder 2 3 2 2 9" xfId="1457" xr:uid="{00000000-0005-0000-0000-0000B1050000}"/>
    <cellStyle name="AggOrangeRBorder 2 3 2 3" xfId="1458" xr:uid="{00000000-0005-0000-0000-0000B2050000}"/>
    <cellStyle name="AggOrangeRBorder 2 3 2 4" xfId="1459" xr:uid="{00000000-0005-0000-0000-0000B3050000}"/>
    <cellStyle name="AggOrangeRBorder 2 3 2 5" xfId="1460" xr:uid="{00000000-0005-0000-0000-0000B4050000}"/>
    <cellStyle name="AggOrangeRBorder 2 3 2 6" xfId="1461" xr:uid="{00000000-0005-0000-0000-0000B5050000}"/>
    <cellStyle name="AggOrangeRBorder 2 3 2 7" xfId="1462" xr:uid="{00000000-0005-0000-0000-0000B6050000}"/>
    <cellStyle name="AggOrangeRBorder 2 3 2 8" xfId="1463" xr:uid="{00000000-0005-0000-0000-0000B7050000}"/>
    <cellStyle name="AggOrangeRBorder 2 3 2 9" xfId="1464" xr:uid="{00000000-0005-0000-0000-0000B8050000}"/>
    <cellStyle name="AggOrangeRBorder 2 3 3" xfId="1465" xr:uid="{00000000-0005-0000-0000-0000B9050000}"/>
    <cellStyle name="AggOrangeRBorder 2 3 3 10" xfId="1466" xr:uid="{00000000-0005-0000-0000-0000BA050000}"/>
    <cellStyle name="AggOrangeRBorder 2 3 3 11" xfId="1467" xr:uid="{00000000-0005-0000-0000-0000BB050000}"/>
    <cellStyle name="AggOrangeRBorder 2 3 3 12" xfId="1468" xr:uid="{00000000-0005-0000-0000-0000BC050000}"/>
    <cellStyle name="AggOrangeRBorder 2 3 3 2" xfId="1469" xr:uid="{00000000-0005-0000-0000-0000BD050000}"/>
    <cellStyle name="AggOrangeRBorder 2 3 3 2 10" xfId="1470" xr:uid="{00000000-0005-0000-0000-0000BE050000}"/>
    <cellStyle name="AggOrangeRBorder 2 3 3 2 11" xfId="1471" xr:uid="{00000000-0005-0000-0000-0000BF050000}"/>
    <cellStyle name="AggOrangeRBorder 2 3 3 2 2" xfId="1472" xr:uid="{00000000-0005-0000-0000-0000C0050000}"/>
    <cellStyle name="AggOrangeRBorder 2 3 3 2 3" xfId="1473" xr:uid="{00000000-0005-0000-0000-0000C1050000}"/>
    <cellStyle name="AggOrangeRBorder 2 3 3 2 4" xfId="1474" xr:uid="{00000000-0005-0000-0000-0000C2050000}"/>
    <cellStyle name="AggOrangeRBorder 2 3 3 2 5" xfId="1475" xr:uid="{00000000-0005-0000-0000-0000C3050000}"/>
    <cellStyle name="AggOrangeRBorder 2 3 3 2 6" xfId="1476" xr:uid="{00000000-0005-0000-0000-0000C4050000}"/>
    <cellStyle name="AggOrangeRBorder 2 3 3 2 7" xfId="1477" xr:uid="{00000000-0005-0000-0000-0000C5050000}"/>
    <cellStyle name="AggOrangeRBorder 2 3 3 2 8" xfId="1478" xr:uid="{00000000-0005-0000-0000-0000C6050000}"/>
    <cellStyle name="AggOrangeRBorder 2 3 3 2 9" xfId="1479" xr:uid="{00000000-0005-0000-0000-0000C7050000}"/>
    <cellStyle name="AggOrangeRBorder 2 3 3 3" xfId="1480" xr:uid="{00000000-0005-0000-0000-0000C8050000}"/>
    <cellStyle name="AggOrangeRBorder 2 3 3 4" xfId="1481" xr:uid="{00000000-0005-0000-0000-0000C9050000}"/>
    <cellStyle name="AggOrangeRBorder 2 3 3 5" xfId="1482" xr:uid="{00000000-0005-0000-0000-0000CA050000}"/>
    <cellStyle name="AggOrangeRBorder 2 3 3 6" xfId="1483" xr:uid="{00000000-0005-0000-0000-0000CB050000}"/>
    <cellStyle name="AggOrangeRBorder 2 3 3 7" xfId="1484" xr:uid="{00000000-0005-0000-0000-0000CC050000}"/>
    <cellStyle name="AggOrangeRBorder 2 3 3 8" xfId="1485" xr:uid="{00000000-0005-0000-0000-0000CD050000}"/>
    <cellStyle name="AggOrangeRBorder 2 3 3 9" xfId="1486" xr:uid="{00000000-0005-0000-0000-0000CE050000}"/>
    <cellStyle name="AggOrangeRBorder 2 3 4" xfId="1487" xr:uid="{00000000-0005-0000-0000-0000CF050000}"/>
    <cellStyle name="AggOrangeRBorder 2 3 4 10" xfId="1488" xr:uid="{00000000-0005-0000-0000-0000D0050000}"/>
    <cellStyle name="AggOrangeRBorder 2 3 4 11" xfId="1489" xr:uid="{00000000-0005-0000-0000-0000D1050000}"/>
    <cellStyle name="AggOrangeRBorder 2 3 4 12" xfId="1490" xr:uid="{00000000-0005-0000-0000-0000D2050000}"/>
    <cellStyle name="AggOrangeRBorder 2 3 4 2" xfId="1491" xr:uid="{00000000-0005-0000-0000-0000D3050000}"/>
    <cellStyle name="AggOrangeRBorder 2 3 4 2 10" xfId="1492" xr:uid="{00000000-0005-0000-0000-0000D4050000}"/>
    <cellStyle name="AggOrangeRBorder 2 3 4 2 11" xfId="1493" xr:uid="{00000000-0005-0000-0000-0000D5050000}"/>
    <cellStyle name="AggOrangeRBorder 2 3 4 2 2" xfId="1494" xr:uid="{00000000-0005-0000-0000-0000D6050000}"/>
    <cellStyle name="AggOrangeRBorder 2 3 4 2 3" xfId="1495" xr:uid="{00000000-0005-0000-0000-0000D7050000}"/>
    <cellStyle name="AggOrangeRBorder 2 3 4 2 4" xfId="1496" xr:uid="{00000000-0005-0000-0000-0000D8050000}"/>
    <cellStyle name="AggOrangeRBorder 2 3 4 2 5" xfId="1497" xr:uid="{00000000-0005-0000-0000-0000D9050000}"/>
    <cellStyle name="AggOrangeRBorder 2 3 4 2 6" xfId="1498" xr:uid="{00000000-0005-0000-0000-0000DA050000}"/>
    <cellStyle name="AggOrangeRBorder 2 3 4 2 7" xfId="1499" xr:uid="{00000000-0005-0000-0000-0000DB050000}"/>
    <cellStyle name="AggOrangeRBorder 2 3 4 2 8" xfId="1500" xr:uid="{00000000-0005-0000-0000-0000DC050000}"/>
    <cellStyle name="AggOrangeRBorder 2 3 4 2 9" xfId="1501" xr:uid="{00000000-0005-0000-0000-0000DD050000}"/>
    <cellStyle name="AggOrangeRBorder 2 3 4 3" xfId="1502" xr:uid="{00000000-0005-0000-0000-0000DE050000}"/>
    <cellStyle name="AggOrangeRBorder 2 3 4 4" xfId="1503" xr:uid="{00000000-0005-0000-0000-0000DF050000}"/>
    <cellStyle name="AggOrangeRBorder 2 3 4 5" xfId="1504" xr:uid="{00000000-0005-0000-0000-0000E0050000}"/>
    <cellStyle name="AggOrangeRBorder 2 3 4 6" xfId="1505" xr:uid="{00000000-0005-0000-0000-0000E1050000}"/>
    <cellStyle name="AggOrangeRBorder 2 3 4 7" xfId="1506" xr:uid="{00000000-0005-0000-0000-0000E2050000}"/>
    <cellStyle name="AggOrangeRBorder 2 3 4 8" xfId="1507" xr:uid="{00000000-0005-0000-0000-0000E3050000}"/>
    <cellStyle name="AggOrangeRBorder 2 3 4 9" xfId="1508" xr:uid="{00000000-0005-0000-0000-0000E4050000}"/>
    <cellStyle name="AggOrangeRBorder 2 3 5" xfId="1509" xr:uid="{00000000-0005-0000-0000-0000E5050000}"/>
    <cellStyle name="AggOrangeRBorder 2 3 5 2" xfId="1510" xr:uid="{00000000-0005-0000-0000-0000E6050000}"/>
    <cellStyle name="AggOrangeRBorder 2 3 6" xfId="1511" xr:uid="{00000000-0005-0000-0000-0000E7050000}"/>
    <cellStyle name="AggOrangeRBorder 2 3 7" xfId="1512" xr:uid="{00000000-0005-0000-0000-0000E8050000}"/>
    <cellStyle name="AggOrangeRBorder 2 3 8" xfId="1513" xr:uid="{00000000-0005-0000-0000-0000E9050000}"/>
    <cellStyle name="AggOrangeRBorder 2 3 9" xfId="1514" xr:uid="{00000000-0005-0000-0000-0000EA050000}"/>
    <cellStyle name="AggOrangeRBorder 3" xfId="1515" xr:uid="{00000000-0005-0000-0000-0000EB050000}"/>
    <cellStyle name="AggOrangeRBorder 3 2" xfId="1516" xr:uid="{00000000-0005-0000-0000-0000EC050000}"/>
    <cellStyle name="AggOrangeRBorder 3 2 2" xfId="1517" xr:uid="{00000000-0005-0000-0000-0000ED050000}"/>
    <cellStyle name="AggOrangeRBorder 3 2 2 10" xfId="1518" xr:uid="{00000000-0005-0000-0000-0000EE050000}"/>
    <cellStyle name="AggOrangeRBorder 3 2 2 11" xfId="1519" xr:uid="{00000000-0005-0000-0000-0000EF050000}"/>
    <cellStyle name="AggOrangeRBorder 3 2 2 2" xfId="1520" xr:uid="{00000000-0005-0000-0000-0000F0050000}"/>
    <cellStyle name="AggOrangeRBorder 3 2 2 3" xfId="1521" xr:uid="{00000000-0005-0000-0000-0000F1050000}"/>
    <cellStyle name="AggOrangeRBorder 3 2 2 4" xfId="1522" xr:uid="{00000000-0005-0000-0000-0000F2050000}"/>
    <cellStyle name="AggOrangeRBorder 3 2 2 5" xfId="1523" xr:uid="{00000000-0005-0000-0000-0000F3050000}"/>
    <cellStyle name="AggOrangeRBorder 3 2 2 6" xfId="1524" xr:uid="{00000000-0005-0000-0000-0000F4050000}"/>
    <cellStyle name="AggOrangeRBorder 3 2 2 7" xfId="1525" xr:uid="{00000000-0005-0000-0000-0000F5050000}"/>
    <cellStyle name="AggOrangeRBorder 3 2 2 8" xfId="1526" xr:uid="{00000000-0005-0000-0000-0000F6050000}"/>
    <cellStyle name="AggOrangeRBorder 3 2 2 9" xfId="1527" xr:uid="{00000000-0005-0000-0000-0000F7050000}"/>
    <cellStyle name="AggOrangeRBorder 3 2 3" xfId="1528" xr:uid="{00000000-0005-0000-0000-0000F8050000}"/>
    <cellStyle name="AggOrangeRBorder 3 2 3 10" xfId="1529" xr:uid="{00000000-0005-0000-0000-0000F9050000}"/>
    <cellStyle name="AggOrangeRBorder 3 2 3 11" xfId="1530" xr:uid="{00000000-0005-0000-0000-0000FA050000}"/>
    <cellStyle name="AggOrangeRBorder 3 2 3 2" xfId="1531" xr:uid="{00000000-0005-0000-0000-0000FB050000}"/>
    <cellStyle name="AggOrangeRBorder 3 2 3 3" xfId="1532" xr:uid="{00000000-0005-0000-0000-0000FC050000}"/>
    <cellStyle name="AggOrangeRBorder 3 2 3 4" xfId="1533" xr:uid="{00000000-0005-0000-0000-0000FD050000}"/>
    <cellStyle name="AggOrangeRBorder 3 2 3 5" xfId="1534" xr:uid="{00000000-0005-0000-0000-0000FE050000}"/>
    <cellStyle name="AggOrangeRBorder 3 2 3 6" xfId="1535" xr:uid="{00000000-0005-0000-0000-0000FF050000}"/>
    <cellStyle name="AggOrangeRBorder 3 2 3 7" xfId="1536" xr:uid="{00000000-0005-0000-0000-000000060000}"/>
    <cellStyle name="AggOrangeRBorder 3 2 3 8" xfId="1537" xr:uid="{00000000-0005-0000-0000-000001060000}"/>
    <cellStyle name="AggOrangeRBorder 3 2 3 9" xfId="1538" xr:uid="{00000000-0005-0000-0000-000002060000}"/>
    <cellStyle name="AggOrangeRBorder 4" xfId="1539" xr:uid="{00000000-0005-0000-0000-000003060000}"/>
    <cellStyle name="AggOrangeRBorder 4 10" xfId="1540" xr:uid="{00000000-0005-0000-0000-000004060000}"/>
    <cellStyle name="AggOrangeRBorder 4 11" xfId="1541" xr:uid="{00000000-0005-0000-0000-000005060000}"/>
    <cellStyle name="AggOrangeRBorder 4 12" xfId="1542" xr:uid="{00000000-0005-0000-0000-000006060000}"/>
    <cellStyle name="AggOrangeRBorder 4 13" xfId="1543" xr:uid="{00000000-0005-0000-0000-000007060000}"/>
    <cellStyle name="AggOrangeRBorder 4 14" xfId="1544" xr:uid="{00000000-0005-0000-0000-000008060000}"/>
    <cellStyle name="AggOrangeRBorder 4 15" xfId="1545" xr:uid="{00000000-0005-0000-0000-000009060000}"/>
    <cellStyle name="AggOrangeRBorder 4 2" xfId="1546" xr:uid="{00000000-0005-0000-0000-00000A060000}"/>
    <cellStyle name="AggOrangeRBorder 4 2 10" xfId="1547" xr:uid="{00000000-0005-0000-0000-00000B060000}"/>
    <cellStyle name="AggOrangeRBorder 4 2 11" xfId="1548" xr:uid="{00000000-0005-0000-0000-00000C060000}"/>
    <cellStyle name="AggOrangeRBorder 4 2 12" xfId="1549" xr:uid="{00000000-0005-0000-0000-00000D060000}"/>
    <cellStyle name="AggOrangeRBorder 4 2 2" xfId="1550" xr:uid="{00000000-0005-0000-0000-00000E060000}"/>
    <cellStyle name="AggOrangeRBorder 4 2 2 10" xfId="1551" xr:uid="{00000000-0005-0000-0000-00000F060000}"/>
    <cellStyle name="AggOrangeRBorder 4 2 2 11" xfId="1552" xr:uid="{00000000-0005-0000-0000-000010060000}"/>
    <cellStyle name="AggOrangeRBorder 4 2 2 2" xfId="1553" xr:uid="{00000000-0005-0000-0000-000011060000}"/>
    <cellStyle name="AggOrangeRBorder 4 2 2 3" xfId="1554" xr:uid="{00000000-0005-0000-0000-000012060000}"/>
    <cellStyle name="AggOrangeRBorder 4 2 2 4" xfId="1555" xr:uid="{00000000-0005-0000-0000-000013060000}"/>
    <cellStyle name="AggOrangeRBorder 4 2 2 5" xfId="1556" xr:uid="{00000000-0005-0000-0000-000014060000}"/>
    <cellStyle name="AggOrangeRBorder 4 2 2 6" xfId="1557" xr:uid="{00000000-0005-0000-0000-000015060000}"/>
    <cellStyle name="AggOrangeRBorder 4 2 2 7" xfId="1558" xr:uid="{00000000-0005-0000-0000-000016060000}"/>
    <cellStyle name="AggOrangeRBorder 4 2 2 8" xfId="1559" xr:uid="{00000000-0005-0000-0000-000017060000}"/>
    <cellStyle name="AggOrangeRBorder 4 2 2 9" xfId="1560" xr:uid="{00000000-0005-0000-0000-000018060000}"/>
    <cellStyle name="AggOrangeRBorder 4 2 3" xfId="1561" xr:uid="{00000000-0005-0000-0000-000019060000}"/>
    <cellStyle name="AggOrangeRBorder 4 2 4" xfId="1562" xr:uid="{00000000-0005-0000-0000-00001A060000}"/>
    <cellStyle name="AggOrangeRBorder 4 2 5" xfId="1563" xr:uid="{00000000-0005-0000-0000-00001B060000}"/>
    <cellStyle name="AggOrangeRBorder 4 2 6" xfId="1564" xr:uid="{00000000-0005-0000-0000-00001C060000}"/>
    <cellStyle name="AggOrangeRBorder 4 2 7" xfId="1565" xr:uid="{00000000-0005-0000-0000-00001D060000}"/>
    <cellStyle name="AggOrangeRBorder 4 2 8" xfId="1566" xr:uid="{00000000-0005-0000-0000-00001E060000}"/>
    <cellStyle name="AggOrangeRBorder 4 2 9" xfId="1567" xr:uid="{00000000-0005-0000-0000-00001F060000}"/>
    <cellStyle name="AggOrangeRBorder 4 3" xfId="1568" xr:uid="{00000000-0005-0000-0000-000020060000}"/>
    <cellStyle name="AggOrangeRBorder 4 3 10" xfId="1569" xr:uid="{00000000-0005-0000-0000-000021060000}"/>
    <cellStyle name="AggOrangeRBorder 4 3 11" xfId="1570" xr:uid="{00000000-0005-0000-0000-000022060000}"/>
    <cellStyle name="AggOrangeRBorder 4 3 12" xfId="1571" xr:uid="{00000000-0005-0000-0000-000023060000}"/>
    <cellStyle name="AggOrangeRBorder 4 3 2" xfId="1572" xr:uid="{00000000-0005-0000-0000-000024060000}"/>
    <cellStyle name="AggOrangeRBorder 4 3 2 10" xfId="1573" xr:uid="{00000000-0005-0000-0000-000025060000}"/>
    <cellStyle name="AggOrangeRBorder 4 3 2 11" xfId="1574" xr:uid="{00000000-0005-0000-0000-000026060000}"/>
    <cellStyle name="AggOrangeRBorder 4 3 2 2" xfId="1575" xr:uid="{00000000-0005-0000-0000-000027060000}"/>
    <cellStyle name="AggOrangeRBorder 4 3 2 3" xfId="1576" xr:uid="{00000000-0005-0000-0000-000028060000}"/>
    <cellStyle name="AggOrangeRBorder 4 3 2 4" xfId="1577" xr:uid="{00000000-0005-0000-0000-000029060000}"/>
    <cellStyle name="AggOrangeRBorder 4 3 2 5" xfId="1578" xr:uid="{00000000-0005-0000-0000-00002A060000}"/>
    <cellStyle name="AggOrangeRBorder 4 3 2 6" xfId="1579" xr:uid="{00000000-0005-0000-0000-00002B060000}"/>
    <cellStyle name="AggOrangeRBorder 4 3 2 7" xfId="1580" xr:uid="{00000000-0005-0000-0000-00002C060000}"/>
    <cellStyle name="AggOrangeRBorder 4 3 2 8" xfId="1581" xr:uid="{00000000-0005-0000-0000-00002D060000}"/>
    <cellStyle name="AggOrangeRBorder 4 3 2 9" xfId="1582" xr:uid="{00000000-0005-0000-0000-00002E060000}"/>
    <cellStyle name="AggOrangeRBorder 4 3 3" xfId="1583" xr:uid="{00000000-0005-0000-0000-00002F060000}"/>
    <cellStyle name="AggOrangeRBorder 4 3 4" xfId="1584" xr:uid="{00000000-0005-0000-0000-000030060000}"/>
    <cellStyle name="AggOrangeRBorder 4 3 5" xfId="1585" xr:uid="{00000000-0005-0000-0000-000031060000}"/>
    <cellStyle name="AggOrangeRBorder 4 3 6" xfId="1586" xr:uid="{00000000-0005-0000-0000-000032060000}"/>
    <cellStyle name="AggOrangeRBorder 4 3 7" xfId="1587" xr:uid="{00000000-0005-0000-0000-000033060000}"/>
    <cellStyle name="AggOrangeRBorder 4 3 8" xfId="1588" xr:uid="{00000000-0005-0000-0000-000034060000}"/>
    <cellStyle name="AggOrangeRBorder 4 3 9" xfId="1589" xr:uid="{00000000-0005-0000-0000-000035060000}"/>
    <cellStyle name="AggOrangeRBorder 4 4" xfId="1590" xr:uid="{00000000-0005-0000-0000-000036060000}"/>
    <cellStyle name="AggOrangeRBorder 4 4 10" xfId="1591" xr:uid="{00000000-0005-0000-0000-000037060000}"/>
    <cellStyle name="AggOrangeRBorder 4 4 11" xfId="1592" xr:uid="{00000000-0005-0000-0000-000038060000}"/>
    <cellStyle name="AggOrangeRBorder 4 4 12" xfId="1593" xr:uid="{00000000-0005-0000-0000-000039060000}"/>
    <cellStyle name="AggOrangeRBorder 4 4 2" xfId="1594" xr:uid="{00000000-0005-0000-0000-00003A060000}"/>
    <cellStyle name="AggOrangeRBorder 4 4 2 10" xfId="1595" xr:uid="{00000000-0005-0000-0000-00003B060000}"/>
    <cellStyle name="AggOrangeRBorder 4 4 2 11" xfId="1596" xr:uid="{00000000-0005-0000-0000-00003C060000}"/>
    <cellStyle name="AggOrangeRBorder 4 4 2 2" xfId="1597" xr:uid="{00000000-0005-0000-0000-00003D060000}"/>
    <cellStyle name="AggOrangeRBorder 4 4 2 3" xfId="1598" xr:uid="{00000000-0005-0000-0000-00003E060000}"/>
    <cellStyle name="AggOrangeRBorder 4 4 2 4" xfId="1599" xr:uid="{00000000-0005-0000-0000-00003F060000}"/>
    <cellStyle name="AggOrangeRBorder 4 4 2 5" xfId="1600" xr:uid="{00000000-0005-0000-0000-000040060000}"/>
    <cellStyle name="AggOrangeRBorder 4 4 2 6" xfId="1601" xr:uid="{00000000-0005-0000-0000-000041060000}"/>
    <cellStyle name="AggOrangeRBorder 4 4 2 7" xfId="1602" xr:uid="{00000000-0005-0000-0000-000042060000}"/>
    <cellStyle name="AggOrangeRBorder 4 4 2 8" xfId="1603" xr:uid="{00000000-0005-0000-0000-000043060000}"/>
    <cellStyle name="AggOrangeRBorder 4 4 2 9" xfId="1604" xr:uid="{00000000-0005-0000-0000-000044060000}"/>
    <cellStyle name="AggOrangeRBorder 4 4 3" xfId="1605" xr:uid="{00000000-0005-0000-0000-000045060000}"/>
    <cellStyle name="AggOrangeRBorder 4 4 4" xfId="1606" xr:uid="{00000000-0005-0000-0000-000046060000}"/>
    <cellStyle name="AggOrangeRBorder 4 4 5" xfId="1607" xr:uid="{00000000-0005-0000-0000-000047060000}"/>
    <cellStyle name="AggOrangeRBorder 4 4 6" xfId="1608" xr:uid="{00000000-0005-0000-0000-000048060000}"/>
    <cellStyle name="AggOrangeRBorder 4 4 7" xfId="1609" xr:uid="{00000000-0005-0000-0000-000049060000}"/>
    <cellStyle name="AggOrangeRBorder 4 4 8" xfId="1610" xr:uid="{00000000-0005-0000-0000-00004A060000}"/>
    <cellStyle name="AggOrangeRBorder 4 4 9" xfId="1611" xr:uid="{00000000-0005-0000-0000-00004B060000}"/>
    <cellStyle name="AggOrangeRBorder 4 5" xfId="1612" xr:uid="{00000000-0005-0000-0000-00004C060000}"/>
    <cellStyle name="AggOrangeRBorder 4 5 2" xfId="1613" xr:uid="{00000000-0005-0000-0000-00004D060000}"/>
    <cellStyle name="AggOrangeRBorder 4 6" xfId="1614" xr:uid="{00000000-0005-0000-0000-00004E060000}"/>
    <cellStyle name="AggOrangeRBorder 4 7" xfId="1615" xr:uid="{00000000-0005-0000-0000-00004F060000}"/>
    <cellStyle name="AggOrangeRBorder 4 8" xfId="1616" xr:uid="{00000000-0005-0000-0000-000050060000}"/>
    <cellStyle name="AggOrangeRBorder 4 9" xfId="1617" xr:uid="{00000000-0005-0000-0000-000051060000}"/>
    <cellStyle name="AggOrangeRBorder 5" xfId="1618" xr:uid="{00000000-0005-0000-0000-000052060000}"/>
    <cellStyle name="AggOrangeRBorder 5 2" xfId="1619" xr:uid="{00000000-0005-0000-0000-000053060000}"/>
    <cellStyle name="AggOrangeRBorder_CRFReport-template" xfId="1620" xr:uid="{00000000-0005-0000-0000-000054060000}"/>
    <cellStyle name="Akzent1" xfId="1621" xr:uid="{00000000-0005-0000-0000-000055060000}"/>
    <cellStyle name="Akzent2" xfId="1622" xr:uid="{00000000-0005-0000-0000-000056060000}"/>
    <cellStyle name="Akzent3" xfId="1623" xr:uid="{00000000-0005-0000-0000-000057060000}"/>
    <cellStyle name="Akzent4" xfId="1624" xr:uid="{00000000-0005-0000-0000-000058060000}"/>
    <cellStyle name="Akzent5" xfId="1625" xr:uid="{00000000-0005-0000-0000-000059060000}"/>
    <cellStyle name="Akzent6" xfId="1626" xr:uid="{00000000-0005-0000-0000-00005A060000}"/>
    <cellStyle name="Ausgabe" xfId="1627" xr:uid="{00000000-0005-0000-0000-00005B060000}"/>
    <cellStyle name="Ausgabe 2" xfId="1628" xr:uid="{00000000-0005-0000-0000-00005C060000}"/>
    <cellStyle name="Ausgabe 2 10" xfId="1629" xr:uid="{00000000-0005-0000-0000-00005D060000}"/>
    <cellStyle name="Ausgabe 2 11" xfId="1630" xr:uid="{00000000-0005-0000-0000-00005E060000}"/>
    <cellStyle name="Ausgabe 2 12" xfId="1631" xr:uid="{00000000-0005-0000-0000-00005F060000}"/>
    <cellStyle name="Ausgabe 2 2" xfId="1632" xr:uid="{00000000-0005-0000-0000-000060060000}"/>
    <cellStyle name="Ausgabe 2 2 10" xfId="1633" xr:uid="{00000000-0005-0000-0000-000061060000}"/>
    <cellStyle name="Ausgabe 2 2 11" xfId="1634" xr:uid="{00000000-0005-0000-0000-000062060000}"/>
    <cellStyle name="Ausgabe 2 2 12" xfId="1635" xr:uid="{00000000-0005-0000-0000-000063060000}"/>
    <cellStyle name="Ausgabe 2 2 2" xfId="1636" xr:uid="{00000000-0005-0000-0000-000064060000}"/>
    <cellStyle name="Ausgabe 2 2 2 10" xfId="1637" xr:uid="{00000000-0005-0000-0000-000065060000}"/>
    <cellStyle name="Ausgabe 2 2 2 11" xfId="1638" xr:uid="{00000000-0005-0000-0000-000066060000}"/>
    <cellStyle name="Ausgabe 2 2 2 2" xfId="1639" xr:uid="{00000000-0005-0000-0000-000067060000}"/>
    <cellStyle name="Ausgabe 2 2 2 3" xfId="1640" xr:uid="{00000000-0005-0000-0000-000068060000}"/>
    <cellStyle name="Ausgabe 2 2 2 4" xfId="1641" xr:uid="{00000000-0005-0000-0000-000069060000}"/>
    <cellStyle name="Ausgabe 2 2 2 5" xfId="1642" xr:uid="{00000000-0005-0000-0000-00006A060000}"/>
    <cellStyle name="Ausgabe 2 2 2 6" xfId="1643" xr:uid="{00000000-0005-0000-0000-00006B060000}"/>
    <cellStyle name="Ausgabe 2 2 2 7" xfId="1644" xr:uid="{00000000-0005-0000-0000-00006C060000}"/>
    <cellStyle name="Ausgabe 2 2 2 8" xfId="1645" xr:uid="{00000000-0005-0000-0000-00006D060000}"/>
    <cellStyle name="Ausgabe 2 2 2 9" xfId="1646" xr:uid="{00000000-0005-0000-0000-00006E060000}"/>
    <cellStyle name="Ausgabe 2 2 3" xfId="1647" xr:uid="{00000000-0005-0000-0000-00006F060000}"/>
    <cellStyle name="Ausgabe 2 2 4" xfId="1648" xr:uid="{00000000-0005-0000-0000-000070060000}"/>
    <cellStyle name="Ausgabe 2 2 5" xfId="1649" xr:uid="{00000000-0005-0000-0000-000071060000}"/>
    <cellStyle name="Ausgabe 2 2 6" xfId="1650" xr:uid="{00000000-0005-0000-0000-000072060000}"/>
    <cellStyle name="Ausgabe 2 2 7" xfId="1651" xr:uid="{00000000-0005-0000-0000-000073060000}"/>
    <cellStyle name="Ausgabe 2 2 8" xfId="1652" xr:uid="{00000000-0005-0000-0000-000074060000}"/>
    <cellStyle name="Ausgabe 2 2 9" xfId="1653" xr:uid="{00000000-0005-0000-0000-000075060000}"/>
    <cellStyle name="Ausgabe 2 3" xfId="1654" xr:uid="{00000000-0005-0000-0000-000076060000}"/>
    <cellStyle name="Ausgabe 2 3 10" xfId="1655" xr:uid="{00000000-0005-0000-0000-000077060000}"/>
    <cellStyle name="Ausgabe 2 3 11" xfId="1656" xr:uid="{00000000-0005-0000-0000-000078060000}"/>
    <cellStyle name="Ausgabe 2 3 12" xfId="1657" xr:uid="{00000000-0005-0000-0000-000079060000}"/>
    <cellStyle name="Ausgabe 2 3 2" xfId="1658" xr:uid="{00000000-0005-0000-0000-00007A060000}"/>
    <cellStyle name="Ausgabe 2 3 2 10" xfId="1659" xr:uid="{00000000-0005-0000-0000-00007B060000}"/>
    <cellStyle name="Ausgabe 2 3 2 11" xfId="1660" xr:uid="{00000000-0005-0000-0000-00007C060000}"/>
    <cellStyle name="Ausgabe 2 3 2 2" xfId="1661" xr:uid="{00000000-0005-0000-0000-00007D060000}"/>
    <cellStyle name="Ausgabe 2 3 2 3" xfId="1662" xr:uid="{00000000-0005-0000-0000-00007E060000}"/>
    <cellStyle name="Ausgabe 2 3 2 4" xfId="1663" xr:uid="{00000000-0005-0000-0000-00007F060000}"/>
    <cellStyle name="Ausgabe 2 3 2 5" xfId="1664" xr:uid="{00000000-0005-0000-0000-000080060000}"/>
    <cellStyle name="Ausgabe 2 3 2 6" xfId="1665" xr:uid="{00000000-0005-0000-0000-000081060000}"/>
    <cellStyle name="Ausgabe 2 3 2 7" xfId="1666" xr:uid="{00000000-0005-0000-0000-000082060000}"/>
    <cellStyle name="Ausgabe 2 3 2 8" xfId="1667" xr:uid="{00000000-0005-0000-0000-000083060000}"/>
    <cellStyle name="Ausgabe 2 3 2 9" xfId="1668" xr:uid="{00000000-0005-0000-0000-000084060000}"/>
    <cellStyle name="Ausgabe 2 3 3" xfId="1669" xr:uid="{00000000-0005-0000-0000-000085060000}"/>
    <cellStyle name="Ausgabe 2 3 4" xfId="1670" xr:uid="{00000000-0005-0000-0000-000086060000}"/>
    <cellStyle name="Ausgabe 2 3 5" xfId="1671" xr:uid="{00000000-0005-0000-0000-000087060000}"/>
    <cellStyle name="Ausgabe 2 3 6" xfId="1672" xr:uid="{00000000-0005-0000-0000-000088060000}"/>
    <cellStyle name="Ausgabe 2 3 7" xfId="1673" xr:uid="{00000000-0005-0000-0000-000089060000}"/>
    <cellStyle name="Ausgabe 2 3 8" xfId="1674" xr:uid="{00000000-0005-0000-0000-00008A060000}"/>
    <cellStyle name="Ausgabe 2 3 9" xfId="1675" xr:uid="{00000000-0005-0000-0000-00008B060000}"/>
    <cellStyle name="Ausgabe 2 4" xfId="1676" xr:uid="{00000000-0005-0000-0000-00008C060000}"/>
    <cellStyle name="Ausgabe 2 4 10" xfId="1677" xr:uid="{00000000-0005-0000-0000-00008D060000}"/>
    <cellStyle name="Ausgabe 2 4 11" xfId="1678" xr:uid="{00000000-0005-0000-0000-00008E060000}"/>
    <cellStyle name="Ausgabe 2 4 2" xfId="1679" xr:uid="{00000000-0005-0000-0000-00008F060000}"/>
    <cellStyle name="Ausgabe 2 4 3" xfId="1680" xr:uid="{00000000-0005-0000-0000-000090060000}"/>
    <cellStyle name="Ausgabe 2 4 4" xfId="1681" xr:uid="{00000000-0005-0000-0000-000091060000}"/>
    <cellStyle name="Ausgabe 2 4 5" xfId="1682" xr:uid="{00000000-0005-0000-0000-000092060000}"/>
    <cellStyle name="Ausgabe 2 4 6" xfId="1683" xr:uid="{00000000-0005-0000-0000-000093060000}"/>
    <cellStyle name="Ausgabe 2 4 7" xfId="1684" xr:uid="{00000000-0005-0000-0000-000094060000}"/>
    <cellStyle name="Ausgabe 2 4 8" xfId="1685" xr:uid="{00000000-0005-0000-0000-000095060000}"/>
    <cellStyle name="Ausgabe 2 4 9" xfId="1686" xr:uid="{00000000-0005-0000-0000-000096060000}"/>
    <cellStyle name="Ausgabe 2 5" xfId="1687" xr:uid="{00000000-0005-0000-0000-000097060000}"/>
    <cellStyle name="Ausgabe 2 6" xfId="1688" xr:uid="{00000000-0005-0000-0000-000098060000}"/>
    <cellStyle name="Ausgabe 2 7" xfId="1689" xr:uid="{00000000-0005-0000-0000-000099060000}"/>
    <cellStyle name="Ausgabe 2 8" xfId="1690" xr:uid="{00000000-0005-0000-0000-00009A060000}"/>
    <cellStyle name="Ausgabe 2 9" xfId="1691" xr:uid="{00000000-0005-0000-0000-00009B060000}"/>
    <cellStyle name="Ausgabe 3" xfId="1692" xr:uid="{00000000-0005-0000-0000-00009C060000}"/>
    <cellStyle name="Ausgabe 3 10" xfId="1693" xr:uid="{00000000-0005-0000-0000-00009D060000}"/>
    <cellStyle name="Ausgabe 3 11" xfId="1694" xr:uid="{00000000-0005-0000-0000-00009E060000}"/>
    <cellStyle name="Ausgabe 3 12" xfId="1695" xr:uid="{00000000-0005-0000-0000-00009F060000}"/>
    <cellStyle name="Ausgabe 3 2" xfId="1696" xr:uid="{00000000-0005-0000-0000-0000A0060000}"/>
    <cellStyle name="Ausgabe 3 2 10" xfId="1697" xr:uid="{00000000-0005-0000-0000-0000A1060000}"/>
    <cellStyle name="Ausgabe 3 2 11" xfId="1698" xr:uid="{00000000-0005-0000-0000-0000A2060000}"/>
    <cellStyle name="Ausgabe 3 2 12" xfId="1699" xr:uid="{00000000-0005-0000-0000-0000A3060000}"/>
    <cellStyle name="Ausgabe 3 2 2" xfId="1700" xr:uid="{00000000-0005-0000-0000-0000A4060000}"/>
    <cellStyle name="Ausgabe 3 2 2 10" xfId="1701" xr:uid="{00000000-0005-0000-0000-0000A5060000}"/>
    <cellStyle name="Ausgabe 3 2 2 11" xfId="1702" xr:uid="{00000000-0005-0000-0000-0000A6060000}"/>
    <cellStyle name="Ausgabe 3 2 2 2" xfId="1703" xr:uid="{00000000-0005-0000-0000-0000A7060000}"/>
    <cellStyle name="Ausgabe 3 2 2 3" xfId="1704" xr:uid="{00000000-0005-0000-0000-0000A8060000}"/>
    <cellStyle name="Ausgabe 3 2 2 4" xfId="1705" xr:uid="{00000000-0005-0000-0000-0000A9060000}"/>
    <cellStyle name="Ausgabe 3 2 2 5" xfId="1706" xr:uid="{00000000-0005-0000-0000-0000AA060000}"/>
    <cellStyle name="Ausgabe 3 2 2 6" xfId="1707" xr:uid="{00000000-0005-0000-0000-0000AB060000}"/>
    <cellStyle name="Ausgabe 3 2 2 7" xfId="1708" xr:uid="{00000000-0005-0000-0000-0000AC060000}"/>
    <cellStyle name="Ausgabe 3 2 2 8" xfId="1709" xr:uid="{00000000-0005-0000-0000-0000AD060000}"/>
    <cellStyle name="Ausgabe 3 2 2 9" xfId="1710" xr:uid="{00000000-0005-0000-0000-0000AE060000}"/>
    <cellStyle name="Ausgabe 3 2 3" xfId="1711" xr:uid="{00000000-0005-0000-0000-0000AF060000}"/>
    <cellStyle name="Ausgabe 3 2 4" xfId="1712" xr:uid="{00000000-0005-0000-0000-0000B0060000}"/>
    <cellStyle name="Ausgabe 3 2 5" xfId="1713" xr:uid="{00000000-0005-0000-0000-0000B1060000}"/>
    <cellStyle name="Ausgabe 3 2 6" xfId="1714" xr:uid="{00000000-0005-0000-0000-0000B2060000}"/>
    <cellStyle name="Ausgabe 3 2 7" xfId="1715" xr:uid="{00000000-0005-0000-0000-0000B3060000}"/>
    <cellStyle name="Ausgabe 3 2 8" xfId="1716" xr:uid="{00000000-0005-0000-0000-0000B4060000}"/>
    <cellStyle name="Ausgabe 3 2 9" xfId="1717" xr:uid="{00000000-0005-0000-0000-0000B5060000}"/>
    <cellStyle name="Ausgabe 3 3" xfId="1718" xr:uid="{00000000-0005-0000-0000-0000B6060000}"/>
    <cellStyle name="Ausgabe 3 3 10" xfId="1719" xr:uid="{00000000-0005-0000-0000-0000B7060000}"/>
    <cellStyle name="Ausgabe 3 3 11" xfId="1720" xr:uid="{00000000-0005-0000-0000-0000B8060000}"/>
    <cellStyle name="Ausgabe 3 3 12" xfId="1721" xr:uid="{00000000-0005-0000-0000-0000B9060000}"/>
    <cellStyle name="Ausgabe 3 3 2" xfId="1722" xr:uid="{00000000-0005-0000-0000-0000BA060000}"/>
    <cellStyle name="Ausgabe 3 3 2 10" xfId="1723" xr:uid="{00000000-0005-0000-0000-0000BB060000}"/>
    <cellStyle name="Ausgabe 3 3 2 11" xfId="1724" xr:uid="{00000000-0005-0000-0000-0000BC060000}"/>
    <cellStyle name="Ausgabe 3 3 2 2" xfId="1725" xr:uid="{00000000-0005-0000-0000-0000BD060000}"/>
    <cellStyle name="Ausgabe 3 3 2 3" xfId="1726" xr:uid="{00000000-0005-0000-0000-0000BE060000}"/>
    <cellStyle name="Ausgabe 3 3 2 4" xfId="1727" xr:uid="{00000000-0005-0000-0000-0000BF060000}"/>
    <cellStyle name="Ausgabe 3 3 2 5" xfId="1728" xr:uid="{00000000-0005-0000-0000-0000C0060000}"/>
    <cellStyle name="Ausgabe 3 3 2 6" xfId="1729" xr:uid="{00000000-0005-0000-0000-0000C1060000}"/>
    <cellStyle name="Ausgabe 3 3 2 7" xfId="1730" xr:uid="{00000000-0005-0000-0000-0000C2060000}"/>
    <cellStyle name="Ausgabe 3 3 2 8" xfId="1731" xr:uid="{00000000-0005-0000-0000-0000C3060000}"/>
    <cellStyle name="Ausgabe 3 3 2 9" xfId="1732" xr:uid="{00000000-0005-0000-0000-0000C4060000}"/>
    <cellStyle name="Ausgabe 3 3 3" xfId="1733" xr:uid="{00000000-0005-0000-0000-0000C5060000}"/>
    <cellStyle name="Ausgabe 3 3 4" xfId="1734" xr:uid="{00000000-0005-0000-0000-0000C6060000}"/>
    <cellStyle name="Ausgabe 3 3 5" xfId="1735" xr:uid="{00000000-0005-0000-0000-0000C7060000}"/>
    <cellStyle name="Ausgabe 3 3 6" xfId="1736" xr:uid="{00000000-0005-0000-0000-0000C8060000}"/>
    <cellStyle name="Ausgabe 3 3 7" xfId="1737" xr:uid="{00000000-0005-0000-0000-0000C9060000}"/>
    <cellStyle name="Ausgabe 3 3 8" xfId="1738" xr:uid="{00000000-0005-0000-0000-0000CA060000}"/>
    <cellStyle name="Ausgabe 3 3 9" xfId="1739" xr:uid="{00000000-0005-0000-0000-0000CB060000}"/>
    <cellStyle name="Ausgabe 3 4" xfId="1740" xr:uid="{00000000-0005-0000-0000-0000CC060000}"/>
    <cellStyle name="Ausgabe 3 4 10" xfId="1741" xr:uid="{00000000-0005-0000-0000-0000CD060000}"/>
    <cellStyle name="Ausgabe 3 4 11" xfId="1742" xr:uid="{00000000-0005-0000-0000-0000CE060000}"/>
    <cellStyle name="Ausgabe 3 4 2" xfId="1743" xr:uid="{00000000-0005-0000-0000-0000CF060000}"/>
    <cellStyle name="Ausgabe 3 4 3" xfId="1744" xr:uid="{00000000-0005-0000-0000-0000D0060000}"/>
    <cellStyle name="Ausgabe 3 4 4" xfId="1745" xr:uid="{00000000-0005-0000-0000-0000D1060000}"/>
    <cellStyle name="Ausgabe 3 4 5" xfId="1746" xr:uid="{00000000-0005-0000-0000-0000D2060000}"/>
    <cellStyle name="Ausgabe 3 4 6" xfId="1747" xr:uid="{00000000-0005-0000-0000-0000D3060000}"/>
    <cellStyle name="Ausgabe 3 4 7" xfId="1748" xr:uid="{00000000-0005-0000-0000-0000D4060000}"/>
    <cellStyle name="Ausgabe 3 4 8" xfId="1749" xr:uid="{00000000-0005-0000-0000-0000D5060000}"/>
    <cellStyle name="Ausgabe 3 4 9" xfId="1750" xr:uid="{00000000-0005-0000-0000-0000D6060000}"/>
    <cellStyle name="Ausgabe 3 5" xfId="1751" xr:uid="{00000000-0005-0000-0000-0000D7060000}"/>
    <cellStyle name="Ausgabe 3 6" xfId="1752" xr:uid="{00000000-0005-0000-0000-0000D8060000}"/>
    <cellStyle name="Ausgabe 3 7" xfId="1753" xr:uid="{00000000-0005-0000-0000-0000D9060000}"/>
    <cellStyle name="Ausgabe 3 8" xfId="1754" xr:uid="{00000000-0005-0000-0000-0000DA060000}"/>
    <cellStyle name="Ausgabe 3 9" xfId="1755" xr:uid="{00000000-0005-0000-0000-0000DB060000}"/>
    <cellStyle name="Ausgabe 4" xfId="1756" xr:uid="{00000000-0005-0000-0000-0000DC060000}"/>
    <cellStyle name="Ausgabe 4 10" xfId="1757" xr:uid="{00000000-0005-0000-0000-0000DD060000}"/>
    <cellStyle name="Ausgabe 4 11" xfId="1758" xr:uid="{00000000-0005-0000-0000-0000DE060000}"/>
    <cellStyle name="Ausgabe 4 12" xfId="1759" xr:uid="{00000000-0005-0000-0000-0000DF060000}"/>
    <cellStyle name="Ausgabe 4 2" xfId="1760" xr:uid="{00000000-0005-0000-0000-0000E0060000}"/>
    <cellStyle name="Ausgabe 4 2 10" xfId="1761" xr:uid="{00000000-0005-0000-0000-0000E1060000}"/>
    <cellStyle name="Ausgabe 4 2 11" xfId="1762" xr:uid="{00000000-0005-0000-0000-0000E2060000}"/>
    <cellStyle name="Ausgabe 4 2 2" xfId="1763" xr:uid="{00000000-0005-0000-0000-0000E3060000}"/>
    <cellStyle name="Ausgabe 4 2 3" xfId="1764" xr:uid="{00000000-0005-0000-0000-0000E4060000}"/>
    <cellStyle name="Ausgabe 4 2 4" xfId="1765" xr:uid="{00000000-0005-0000-0000-0000E5060000}"/>
    <cellStyle name="Ausgabe 4 2 5" xfId="1766" xr:uid="{00000000-0005-0000-0000-0000E6060000}"/>
    <cellStyle name="Ausgabe 4 2 6" xfId="1767" xr:uid="{00000000-0005-0000-0000-0000E7060000}"/>
    <cellStyle name="Ausgabe 4 2 7" xfId="1768" xr:uid="{00000000-0005-0000-0000-0000E8060000}"/>
    <cellStyle name="Ausgabe 4 2 8" xfId="1769" xr:uid="{00000000-0005-0000-0000-0000E9060000}"/>
    <cellStyle name="Ausgabe 4 2 9" xfId="1770" xr:uid="{00000000-0005-0000-0000-0000EA060000}"/>
    <cellStyle name="Ausgabe 4 3" xfId="1771" xr:uid="{00000000-0005-0000-0000-0000EB060000}"/>
    <cellStyle name="Ausgabe 4 4" xfId="1772" xr:uid="{00000000-0005-0000-0000-0000EC060000}"/>
    <cellStyle name="Ausgabe 4 5" xfId="1773" xr:uid="{00000000-0005-0000-0000-0000ED060000}"/>
    <cellStyle name="Ausgabe 4 6" xfId="1774" xr:uid="{00000000-0005-0000-0000-0000EE060000}"/>
    <cellStyle name="Ausgabe 4 7" xfId="1775" xr:uid="{00000000-0005-0000-0000-0000EF060000}"/>
    <cellStyle name="Ausgabe 4 8" xfId="1776" xr:uid="{00000000-0005-0000-0000-0000F0060000}"/>
    <cellStyle name="Ausgabe 4 9" xfId="1777" xr:uid="{00000000-0005-0000-0000-0000F1060000}"/>
    <cellStyle name="Ausgabe 5" xfId="1778" xr:uid="{00000000-0005-0000-0000-0000F2060000}"/>
    <cellStyle name="Ausgabe 5 10" xfId="1779" xr:uid="{00000000-0005-0000-0000-0000F3060000}"/>
    <cellStyle name="Ausgabe 5 11" xfId="1780" xr:uid="{00000000-0005-0000-0000-0000F4060000}"/>
    <cellStyle name="Ausgabe 5 12" xfId="1781" xr:uid="{00000000-0005-0000-0000-0000F5060000}"/>
    <cellStyle name="Ausgabe 5 2" xfId="1782" xr:uid="{00000000-0005-0000-0000-0000F6060000}"/>
    <cellStyle name="Ausgabe 5 2 10" xfId="1783" xr:uid="{00000000-0005-0000-0000-0000F7060000}"/>
    <cellStyle name="Ausgabe 5 2 11" xfId="1784" xr:uid="{00000000-0005-0000-0000-0000F8060000}"/>
    <cellStyle name="Ausgabe 5 2 2" xfId="1785" xr:uid="{00000000-0005-0000-0000-0000F9060000}"/>
    <cellStyle name="Ausgabe 5 2 3" xfId="1786" xr:uid="{00000000-0005-0000-0000-0000FA060000}"/>
    <cellStyle name="Ausgabe 5 2 4" xfId="1787" xr:uid="{00000000-0005-0000-0000-0000FB060000}"/>
    <cellStyle name="Ausgabe 5 2 5" xfId="1788" xr:uid="{00000000-0005-0000-0000-0000FC060000}"/>
    <cellStyle name="Ausgabe 5 2 6" xfId="1789" xr:uid="{00000000-0005-0000-0000-0000FD060000}"/>
    <cellStyle name="Ausgabe 5 2 7" xfId="1790" xr:uid="{00000000-0005-0000-0000-0000FE060000}"/>
    <cellStyle name="Ausgabe 5 2 8" xfId="1791" xr:uid="{00000000-0005-0000-0000-0000FF060000}"/>
    <cellStyle name="Ausgabe 5 2 9" xfId="1792" xr:uid="{00000000-0005-0000-0000-000000070000}"/>
    <cellStyle name="Ausgabe 5 3" xfId="1793" xr:uid="{00000000-0005-0000-0000-000001070000}"/>
    <cellStyle name="Ausgabe 5 4" xfId="1794" xr:uid="{00000000-0005-0000-0000-000002070000}"/>
    <cellStyle name="Ausgabe 5 5" xfId="1795" xr:uid="{00000000-0005-0000-0000-000003070000}"/>
    <cellStyle name="Ausgabe 5 6" xfId="1796" xr:uid="{00000000-0005-0000-0000-000004070000}"/>
    <cellStyle name="Ausgabe 5 7" xfId="1797" xr:uid="{00000000-0005-0000-0000-000005070000}"/>
    <cellStyle name="Ausgabe 5 8" xfId="1798" xr:uid="{00000000-0005-0000-0000-000006070000}"/>
    <cellStyle name="Ausgabe 5 9" xfId="1799" xr:uid="{00000000-0005-0000-0000-000007070000}"/>
    <cellStyle name="Ausgabe 6" xfId="1800" xr:uid="{00000000-0005-0000-0000-000008070000}"/>
    <cellStyle name="Ausgabe 6 10" xfId="1801" xr:uid="{00000000-0005-0000-0000-000009070000}"/>
    <cellStyle name="Ausgabe 6 11" xfId="1802" xr:uid="{00000000-0005-0000-0000-00000A070000}"/>
    <cellStyle name="Ausgabe 6 2" xfId="1803" xr:uid="{00000000-0005-0000-0000-00000B070000}"/>
    <cellStyle name="Ausgabe 6 3" xfId="1804" xr:uid="{00000000-0005-0000-0000-00000C070000}"/>
    <cellStyle name="Ausgabe 6 4" xfId="1805" xr:uid="{00000000-0005-0000-0000-00000D070000}"/>
    <cellStyle name="Ausgabe 6 5" xfId="1806" xr:uid="{00000000-0005-0000-0000-00000E070000}"/>
    <cellStyle name="Ausgabe 6 6" xfId="1807" xr:uid="{00000000-0005-0000-0000-00000F070000}"/>
    <cellStyle name="Ausgabe 6 7" xfId="1808" xr:uid="{00000000-0005-0000-0000-000010070000}"/>
    <cellStyle name="Ausgabe 6 8" xfId="1809" xr:uid="{00000000-0005-0000-0000-000011070000}"/>
    <cellStyle name="Ausgabe 6 9" xfId="1810" xr:uid="{00000000-0005-0000-0000-000012070000}"/>
    <cellStyle name="Bad 2" xfId="1811" xr:uid="{00000000-0005-0000-0000-000013070000}"/>
    <cellStyle name="Bad 3" xfId="1812" xr:uid="{00000000-0005-0000-0000-000014070000}"/>
    <cellStyle name="Bad 4" xfId="1813" xr:uid="{00000000-0005-0000-0000-000015070000}"/>
    <cellStyle name="Berechnung" xfId="1814" xr:uid="{00000000-0005-0000-0000-000016070000}"/>
    <cellStyle name="Berechnung 2" xfId="1815" xr:uid="{00000000-0005-0000-0000-000017070000}"/>
    <cellStyle name="Berechnung 2 10" xfId="1816" xr:uid="{00000000-0005-0000-0000-000018070000}"/>
    <cellStyle name="Berechnung 2 11" xfId="1817" xr:uid="{00000000-0005-0000-0000-000019070000}"/>
    <cellStyle name="Berechnung 2 12" xfId="1818" xr:uid="{00000000-0005-0000-0000-00001A070000}"/>
    <cellStyle name="Berechnung 2 13" xfId="1819" xr:uid="{00000000-0005-0000-0000-00001B070000}"/>
    <cellStyle name="Berechnung 2 2" xfId="1820" xr:uid="{00000000-0005-0000-0000-00001C070000}"/>
    <cellStyle name="Berechnung 2 2 10" xfId="1821" xr:uid="{00000000-0005-0000-0000-00001D070000}"/>
    <cellStyle name="Berechnung 2 2 11" xfId="1822" xr:uid="{00000000-0005-0000-0000-00001E070000}"/>
    <cellStyle name="Berechnung 2 2 12" xfId="1823" xr:uid="{00000000-0005-0000-0000-00001F070000}"/>
    <cellStyle name="Berechnung 2 2 2" xfId="1824" xr:uid="{00000000-0005-0000-0000-000020070000}"/>
    <cellStyle name="Berechnung 2 2 2 10" xfId="1825" xr:uid="{00000000-0005-0000-0000-000021070000}"/>
    <cellStyle name="Berechnung 2 2 2 11" xfId="1826" xr:uid="{00000000-0005-0000-0000-000022070000}"/>
    <cellStyle name="Berechnung 2 2 2 2" xfId="1827" xr:uid="{00000000-0005-0000-0000-000023070000}"/>
    <cellStyle name="Berechnung 2 2 2 3" xfId="1828" xr:uid="{00000000-0005-0000-0000-000024070000}"/>
    <cellStyle name="Berechnung 2 2 2 4" xfId="1829" xr:uid="{00000000-0005-0000-0000-000025070000}"/>
    <cellStyle name="Berechnung 2 2 2 5" xfId="1830" xr:uid="{00000000-0005-0000-0000-000026070000}"/>
    <cellStyle name="Berechnung 2 2 2 6" xfId="1831" xr:uid="{00000000-0005-0000-0000-000027070000}"/>
    <cellStyle name="Berechnung 2 2 2 7" xfId="1832" xr:uid="{00000000-0005-0000-0000-000028070000}"/>
    <cellStyle name="Berechnung 2 2 2 8" xfId="1833" xr:uid="{00000000-0005-0000-0000-000029070000}"/>
    <cellStyle name="Berechnung 2 2 2 9" xfId="1834" xr:uid="{00000000-0005-0000-0000-00002A070000}"/>
    <cellStyle name="Berechnung 2 2 3" xfId="1835" xr:uid="{00000000-0005-0000-0000-00002B070000}"/>
    <cellStyle name="Berechnung 2 2 4" xfId="1836" xr:uid="{00000000-0005-0000-0000-00002C070000}"/>
    <cellStyle name="Berechnung 2 2 5" xfId="1837" xr:uid="{00000000-0005-0000-0000-00002D070000}"/>
    <cellStyle name="Berechnung 2 2 6" xfId="1838" xr:uid="{00000000-0005-0000-0000-00002E070000}"/>
    <cellStyle name="Berechnung 2 2 7" xfId="1839" xr:uid="{00000000-0005-0000-0000-00002F070000}"/>
    <cellStyle name="Berechnung 2 2 8" xfId="1840" xr:uid="{00000000-0005-0000-0000-000030070000}"/>
    <cellStyle name="Berechnung 2 2 9" xfId="1841" xr:uid="{00000000-0005-0000-0000-000031070000}"/>
    <cellStyle name="Berechnung 2 3" xfId="1842" xr:uid="{00000000-0005-0000-0000-000032070000}"/>
    <cellStyle name="Berechnung 2 3 10" xfId="1843" xr:uid="{00000000-0005-0000-0000-000033070000}"/>
    <cellStyle name="Berechnung 2 3 11" xfId="1844" xr:uid="{00000000-0005-0000-0000-000034070000}"/>
    <cellStyle name="Berechnung 2 3 12" xfId="1845" xr:uid="{00000000-0005-0000-0000-000035070000}"/>
    <cellStyle name="Berechnung 2 3 2" xfId="1846" xr:uid="{00000000-0005-0000-0000-000036070000}"/>
    <cellStyle name="Berechnung 2 3 2 10" xfId="1847" xr:uid="{00000000-0005-0000-0000-000037070000}"/>
    <cellStyle name="Berechnung 2 3 2 11" xfId="1848" xr:uid="{00000000-0005-0000-0000-000038070000}"/>
    <cellStyle name="Berechnung 2 3 2 2" xfId="1849" xr:uid="{00000000-0005-0000-0000-000039070000}"/>
    <cellStyle name="Berechnung 2 3 2 3" xfId="1850" xr:uid="{00000000-0005-0000-0000-00003A070000}"/>
    <cellStyle name="Berechnung 2 3 2 4" xfId="1851" xr:uid="{00000000-0005-0000-0000-00003B070000}"/>
    <cellStyle name="Berechnung 2 3 2 5" xfId="1852" xr:uid="{00000000-0005-0000-0000-00003C070000}"/>
    <cellStyle name="Berechnung 2 3 2 6" xfId="1853" xr:uid="{00000000-0005-0000-0000-00003D070000}"/>
    <cellStyle name="Berechnung 2 3 2 7" xfId="1854" xr:uid="{00000000-0005-0000-0000-00003E070000}"/>
    <cellStyle name="Berechnung 2 3 2 8" xfId="1855" xr:uid="{00000000-0005-0000-0000-00003F070000}"/>
    <cellStyle name="Berechnung 2 3 2 9" xfId="1856" xr:uid="{00000000-0005-0000-0000-000040070000}"/>
    <cellStyle name="Berechnung 2 3 3" xfId="1857" xr:uid="{00000000-0005-0000-0000-000041070000}"/>
    <cellStyle name="Berechnung 2 3 4" xfId="1858" xr:uid="{00000000-0005-0000-0000-000042070000}"/>
    <cellStyle name="Berechnung 2 3 5" xfId="1859" xr:uid="{00000000-0005-0000-0000-000043070000}"/>
    <cellStyle name="Berechnung 2 3 6" xfId="1860" xr:uid="{00000000-0005-0000-0000-000044070000}"/>
    <cellStyle name="Berechnung 2 3 7" xfId="1861" xr:uid="{00000000-0005-0000-0000-000045070000}"/>
    <cellStyle name="Berechnung 2 3 8" xfId="1862" xr:uid="{00000000-0005-0000-0000-000046070000}"/>
    <cellStyle name="Berechnung 2 3 9" xfId="1863" xr:uid="{00000000-0005-0000-0000-000047070000}"/>
    <cellStyle name="Berechnung 2 4" xfId="1864" xr:uid="{00000000-0005-0000-0000-000048070000}"/>
    <cellStyle name="Berechnung 2 4 10" xfId="1865" xr:uid="{00000000-0005-0000-0000-000049070000}"/>
    <cellStyle name="Berechnung 2 4 11" xfId="1866" xr:uid="{00000000-0005-0000-0000-00004A070000}"/>
    <cellStyle name="Berechnung 2 4 12" xfId="1867" xr:uid="{00000000-0005-0000-0000-00004B070000}"/>
    <cellStyle name="Berechnung 2 4 2" xfId="1868" xr:uid="{00000000-0005-0000-0000-00004C070000}"/>
    <cellStyle name="Berechnung 2 4 2 10" xfId="1869" xr:uid="{00000000-0005-0000-0000-00004D070000}"/>
    <cellStyle name="Berechnung 2 4 2 11" xfId="1870" xr:uid="{00000000-0005-0000-0000-00004E070000}"/>
    <cellStyle name="Berechnung 2 4 2 2" xfId="1871" xr:uid="{00000000-0005-0000-0000-00004F070000}"/>
    <cellStyle name="Berechnung 2 4 2 3" xfId="1872" xr:uid="{00000000-0005-0000-0000-000050070000}"/>
    <cellStyle name="Berechnung 2 4 2 4" xfId="1873" xr:uid="{00000000-0005-0000-0000-000051070000}"/>
    <cellStyle name="Berechnung 2 4 2 5" xfId="1874" xr:uid="{00000000-0005-0000-0000-000052070000}"/>
    <cellStyle name="Berechnung 2 4 2 6" xfId="1875" xr:uid="{00000000-0005-0000-0000-000053070000}"/>
    <cellStyle name="Berechnung 2 4 2 7" xfId="1876" xr:uid="{00000000-0005-0000-0000-000054070000}"/>
    <cellStyle name="Berechnung 2 4 2 8" xfId="1877" xr:uid="{00000000-0005-0000-0000-000055070000}"/>
    <cellStyle name="Berechnung 2 4 2 9" xfId="1878" xr:uid="{00000000-0005-0000-0000-000056070000}"/>
    <cellStyle name="Berechnung 2 4 3" xfId="1879" xr:uid="{00000000-0005-0000-0000-000057070000}"/>
    <cellStyle name="Berechnung 2 4 4" xfId="1880" xr:uid="{00000000-0005-0000-0000-000058070000}"/>
    <cellStyle name="Berechnung 2 4 5" xfId="1881" xr:uid="{00000000-0005-0000-0000-000059070000}"/>
    <cellStyle name="Berechnung 2 4 6" xfId="1882" xr:uid="{00000000-0005-0000-0000-00005A070000}"/>
    <cellStyle name="Berechnung 2 4 7" xfId="1883" xr:uid="{00000000-0005-0000-0000-00005B070000}"/>
    <cellStyle name="Berechnung 2 4 8" xfId="1884" xr:uid="{00000000-0005-0000-0000-00005C070000}"/>
    <cellStyle name="Berechnung 2 4 9" xfId="1885" xr:uid="{00000000-0005-0000-0000-00005D070000}"/>
    <cellStyle name="Berechnung 2 5" xfId="1886" xr:uid="{00000000-0005-0000-0000-00005E070000}"/>
    <cellStyle name="Berechnung 2 5 10" xfId="1887" xr:uid="{00000000-0005-0000-0000-00005F070000}"/>
    <cellStyle name="Berechnung 2 5 11" xfId="1888" xr:uid="{00000000-0005-0000-0000-000060070000}"/>
    <cellStyle name="Berechnung 2 5 2" xfId="1889" xr:uid="{00000000-0005-0000-0000-000061070000}"/>
    <cellStyle name="Berechnung 2 5 3" xfId="1890" xr:uid="{00000000-0005-0000-0000-000062070000}"/>
    <cellStyle name="Berechnung 2 5 4" xfId="1891" xr:uid="{00000000-0005-0000-0000-000063070000}"/>
    <cellStyle name="Berechnung 2 5 5" xfId="1892" xr:uid="{00000000-0005-0000-0000-000064070000}"/>
    <cellStyle name="Berechnung 2 5 6" xfId="1893" xr:uid="{00000000-0005-0000-0000-000065070000}"/>
    <cellStyle name="Berechnung 2 5 7" xfId="1894" xr:uid="{00000000-0005-0000-0000-000066070000}"/>
    <cellStyle name="Berechnung 2 5 8" xfId="1895" xr:uid="{00000000-0005-0000-0000-000067070000}"/>
    <cellStyle name="Berechnung 2 5 9" xfId="1896" xr:uid="{00000000-0005-0000-0000-000068070000}"/>
    <cellStyle name="Berechnung 2 6" xfId="1897" xr:uid="{00000000-0005-0000-0000-000069070000}"/>
    <cellStyle name="Berechnung 2 7" xfId="1898" xr:uid="{00000000-0005-0000-0000-00006A070000}"/>
    <cellStyle name="Berechnung 2 8" xfId="1899" xr:uid="{00000000-0005-0000-0000-00006B070000}"/>
    <cellStyle name="Berechnung 2 9" xfId="1900" xr:uid="{00000000-0005-0000-0000-00006C070000}"/>
    <cellStyle name="Berechnung 3" xfId="1901" xr:uid="{00000000-0005-0000-0000-00006D070000}"/>
    <cellStyle name="Berechnung 3 10" xfId="1902" xr:uid="{00000000-0005-0000-0000-00006E070000}"/>
    <cellStyle name="Berechnung 3 11" xfId="1903" xr:uid="{00000000-0005-0000-0000-00006F070000}"/>
    <cellStyle name="Berechnung 3 12" xfId="1904" xr:uid="{00000000-0005-0000-0000-000070070000}"/>
    <cellStyle name="Berechnung 3 13" xfId="1905" xr:uid="{00000000-0005-0000-0000-000071070000}"/>
    <cellStyle name="Berechnung 3 2" xfId="1906" xr:uid="{00000000-0005-0000-0000-000072070000}"/>
    <cellStyle name="Berechnung 3 2 10" xfId="1907" xr:uid="{00000000-0005-0000-0000-000073070000}"/>
    <cellStyle name="Berechnung 3 2 11" xfId="1908" xr:uid="{00000000-0005-0000-0000-000074070000}"/>
    <cellStyle name="Berechnung 3 2 12" xfId="1909" xr:uid="{00000000-0005-0000-0000-000075070000}"/>
    <cellStyle name="Berechnung 3 2 2" xfId="1910" xr:uid="{00000000-0005-0000-0000-000076070000}"/>
    <cellStyle name="Berechnung 3 2 2 10" xfId="1911" xr:uid="{00000000-0005-0000-0000-000077070000}"/>
    <cellStyle name="Berechnung 3 2 2 11" xfId="1912" xr:uid="{00000000-0005-0000-0000-000078070000}"/>
    <cellStyle name="Berechnung 3 2 2 2" xfId="1913" xr:uid="{00000000-0005-0000-0000-000079070000}"/>
    <cellStyle name="Berechnung 3 2 2 3" xfId="1914" xr:uid="{00000000-0005-0000-0000-00007A070000}"/>
    <cellStyle name="Berechnung 3 2 2 4" xfId="1915" xr:uid="{00000000-0005-0000-0000-00007B070000}"/>
    <cellStyle name="Berechnung 3 2 2 5" xfId="1916" xr:uid="{00000000-0005-0000-0000-00007C070000}"/>
    <cellStyle name="Berechnung 3 2 2 6" xfId="1917" xr:uid="{00000000-0005-0000-0000-00007D070000}"/>
    <cellStyle name="Berechnung 3 2 2 7" xfId="1918" xr:uid="{00000000-0005-0000-0000-00007E070000}"/>
    <cellStyle name="Berechnung 3 2 2 8" xfId="1919" xr:uid="{00000000-0005-0000-0000-00007F070000}"/>
    <cellStyle name="Berechnung 3 2 2 9" xfId="1920" xr:uid="{00000000-0005-0000-0000-000080070000}"/>
    <cellStyle name="Berechnung 3 2 3" xfId="1921" xr:uid="{00000000-0005-0000-0000-000081070000}"/>
    <cellStyle name="Berechnung 3 2 4" xfId="1922" xr:uid="{00000000-0005-0000-0000-000082070000}"/>
    <cellStyle name="Berechnung 3 2 5" xfId="1923" xr:uid="{00000000-0005-0000-0000-000083070000}"/>
    <cellStyle name="Berechnung 3 2 6" xfId="1924" xr:uid="{00000000-0005-0000-0000-000084070000}"/>
    <cellStyle name="Berechnung 3 2 7" xfId="1925" xr:uid="{00000000-0005-0000-0000-000085070000}"/>
    <cellStyle name="Berechnung 3 2 8" xfId="1926" xr:uid="{00000000-0005-0000-0000-000086070000}"/>
    <cellStyle name="Berechnung 3 2 9" xfId="1927" xr:uid="{00000000-0005-0000-0000-000087070000}"/>
    <cellStyle name="Berechnung 3 3" xfId="1928" xr:uid="{00000000-0005-0000-0000-000088070000}"/>
    <cellStyle name="Berechnung 3 3 10" xfId="1929" xr:uid="{00000000-0005-0000-0000-000089070000}"/>
    <cellStyle name="Berechnung 3 3 11" xfId="1930" xr:uid="{00000000-0005-0000-0000-00008A070000}"/>
    <cellStyle name="Berechnung 3 3 12" xfId="1931" xr:uid="{00000000-0005-0000-0000-00008B070000}"/>
    <cellStyle name="Berechnung 3 3 2" xfId="1932" xr:uid="{00000000-0005-0000-0000-00008C070000}"/>
    <cellStyle name="Berechnung 3 3 2 10" xfId="1933" xr:uid="{00000000-0005-0000-0000-00008D070000}"/>
    <cellStyle name="Berechnung 3 3 2 11" xfId="1934" xr:uid="{00000000-0005-0000-0000-00008E070000}"/>
    <cellStyle name="Berechnung 3 3 2 2" xfId="1935" xr:uid="{00000000-0005-0000-0000-00008F070000}"/>
    <cellStyle name="Berechnung 3 3 2 3" xfId="1936" xr:uid="{00000000-0005-0000-0000-000090070000}"/>
    <cellStyle name="Berechnung 3 3 2 4" xfId="1937" xr:uid="{00000000-0005-0000-0000-000091070000}"/>
    <cellStyle name="Berechnung 3 3 2 5" xfId="1938" xr:uid="{00000000-0005-0000-0000-000092070000}"/>
    <cellStyle name="Berechnung 3 3 2 6" xfId="1939" xr:uid="{00000000-0005-0000-0000-000093070000}"/>
    <cellStyle name="Berechnung 3 3 2 7" xfId="1940" xr:uid="{00000000-0005-0000-0000-000094070000}"/>
    <cellStyle name="Berechnung 3 3 2 8" xfId="1941" xr:uid="{00000000-0005-0000-0000-000095070000}"/>
    <cellStyle name="Berechnung 3 3 2 9" xfId="1942" xr:uid="{00000000-0005-0000-0000-000096070000}"/>
    <cellStyle name="Berechnung 3 3 3" xfId="1943" xr:uid="{00000000-0005-0000-0000-000097070000}"/>
    <cellStyle name="Berechnung 3 3 4" xfId="1944" xr:uid="{00000000-0005-0000-0000-000098070000}"/>
    <cellStyle name="Berechnung 3 3 5" xfId="1945" xr:uid="{00000000-0005-0000-0000-000099070000}"/>
    <cellStyle name="Berechnung 3 3 6" xfId="1946" xr:uid="{00000000-0005-0000-0000-00009A070000}"/>
    <cellStyle name="Berechnung 3 3 7" xfId="1947" xr:uid="{00000000-0005-0000-0000-00009B070000}"/>
    <cellStyle name="Berechnung 3 3 8" xfId="1948" xr:uid="{00000000-0005-0000-0000-00009C070000}"/>
    <cellStyle name="Berechnung 3 3 9" xfId="1949" xr:uid="{00000000-0005-0000-0000-00009D070000}"/>
    <cellStyle name="Berechnung 3 4" xfId="1950" xr:uid="{00000000-0005-0000-0000-00009E070000}"/>
    <cellStyle name="Berechnung 3 4 10" xfId="1951" xr:uid="{00000000-0005-0000-0000-00009F070000}"/>
    <cellStyle name="Berechnung 3 4 11" xfId="1952" xr:uid="{00000000-0005-0000-0000-0000A0070000}"/>
    <cellStyle name="Berechnung 3 4 12" xfId="1953" xr:uid="{00000000-0005-0000-0000-0000A1070000}"/>
    <cellStyle name="Berechnung 3 4 2" xfId="1954" xr:uid="{00000000-0005-0000-0000-0000A2070000}"/>
    <cellStyle name="Berechnung 3 4 2 10" xfId="1955" xr:uid="{00000000-0005-0000-0000-0000A3070000}"/>
    <cellStyle name="Berechnung 3 4 2 11" xfId="1956" xr:uid="{00000000-0005-0000-0000-0000A4070000}"/>
    <cellStyle name="Berechnung 3 4 2 2" xfId="1957" xr:uid="{00000000-0005-0000-0000-0000A5070000}"/>
    <cellStyle name="Berechnung 3 4 2 3" xfId="1958" xr:uid="{00000000-0005-0000-0000-0000A6070000}"/>
    <cellStyle name="Berechnung 3 4 2 4" xfId="1959" xr:uid="{00000000-0005-0000-0000-0000A7070000}"/>
    <cellStyle name="Berechnung 3 4 2 5" xfId="1960" xr:uid="{00000000-0005-0000-0000-0000A8070000}"/>
    <cellStyle name="Berechnung 3 4 2 6" xfId="1961" xr:uid="{00000000-0005-0000-0000-0000A9070000}"/>
    <cellStyle name="Berechnung 3 4 2 7" xfId="1962" xr:uid="{00000000-0005-0000-0000-0000AA070000}"/>
    <cellStyle name="Berechnung 3 4 2 8" xfId="1963" xr:uid="{00000000-0005-0000-0000-0000AB070000}"/>
    <cellStyle name="Berechnung 3 4 2 9" xfId="1964" xr:uid="{00000000-0005-0000-0000-0000AC070000}"/>
    <cellStyle name="Berechnung 3 4 3" xfId="1965" xr:uid="{00000000-0005-0000-0000-0000AD070000}"/>
    <cellStyle name="Berechnung 3 4 4" xfId="1966" xr:uid="{00000000-0005-0000-0000-0000AE070000}"/>
    <cellStyle name="Berechnung 3 4 5" xfId="1967" xr:uid="{00000000-0005-0000-0000-0000AF070000}"/>
    <cellStyle name="Berechnung 3 4 6" xfId="1968" xr:uid="{00000000-0005-0000-0000-0000B0070000}"/>
    <cellStyle name="Berechnung 3 4 7" xfId="1969" xr:uid="{00000000-0005-0000-0000-0000B1070000}"/>
    <cellStyle name="Berechnung 3 4 8" xfId="1970" xr:uid="{00000000-0005-0000-0000-0000B2070000}"/>
    <cellStyle name="Berechnung 3 4 9" xfId="1971" xr:uid="{00000000-0005-0000-0000-0000B3070000}"/>
    <cellStyle name="Berechnung 3 5" xfId="1972" xr:uid="{00000000-0005-0000-0000-0000B4070000}"/>
    <cellStyle name="Berechnung 3 5 10" xfId="1973" xr:uid="{00000000-0005-0000-0000-0000B5070000}"/>
    <cellStyle name="Berechnung 3 5 11" xfId="1974" xr:uid="{00000000-0005-0000-0000-0000B6070000}"/>
    <cellStyle name="Berechnung 3 5 2" xfId="1975" xr:uid="{00000000-0005-0000-0000-0000B7070000}"/>
    <cellStyle name="Berechnung 3 5 3" xfId="1976" xr:uid="{00000000-0005-0000-0000-0000B8070000}"/>
    <cellStyle name="Berechnung 3 5 4" xfId="1977" xr:uid="{00000000-0005-0000-0000-0000B9070000}"/>
    <cellStyle name="Berechnung 3 5 5" xfId="1978" xr:uid="{00000000-0005-0000-0000-0000BA070000}"/>
    <cellStyle name="Berechnung 3 5 6" xfId="1979" xr:uid="{00000000-0005-0000-0000-0000BB070000}"/>
    <cellStyle name="Berechnung 3 5 7" xfId="1980" xr:uid="{00000000-0005-0000-0000-0000BC070000}"/>
    <cellStyle name="Berechnung 3 5 8" xfId="1981" xr:uid="{00000000-0005-0000-0000-0000BD070000}"/>
    <cellStyle name="Berechnung 3 5 9" xfId="1982" xr:uid="{00000000-0005-0000-0000-0000BE070000}"/>
    <cellStyle name="Berechnung 3 6" xfId="1983" xr:uid="{00000000-0005-0000-0000-0000BF070000}"/>
    <cellStyle name="Berechnung 3 7" xfId="1984" xr:uid="{00000000-0005-0000-0000-0000C0070000}"/>
    <cellStyle name="Berechnung 3 8" xfId="1985" xr:uid="{00000000-0005-0000-0000-0000C1070000}"/>
    <cellStyle name="Berechnung 3 9" xfId="1986" xr:uid="{00000000-0005-0000-0000-0000C2070000}"/>
    <cellStyle name="Berechnung 4" xfId="1987" xr:uid="{00000000-0005-0000-0000-0000C3070000}"/>
    <cellStyle name="Berechnung 4 10" xfId="1988" xr:uid="{00000000-0005-0000-0000-0000C4070000}"/>
    <cellStyle name="Berechnung 4 11" xfId="1989" xr:uid="{00000000-0005-0000-0000-0000C5070000}"/>
    <cellStyle name="Berechnung 4 12" xfId="1990" xr:uid="{00000000-0005-0000-0000-0000C6070000}"/>
    <cellStyle name="Berechnung 4 2" xfId="1991" xr:uid="{00000000-0005-0000-0000-0000C7070000}"/>
    <cellStyle name="Berechnung 4 2 10" xfId="1992" xr:uid="{00000000-0005-0000-0000-0000C8070000}"/>
    <cellStyle name="Berechnung 4 2 11" xfId="1993" xr:uid="{00000000-0005-0000-0000-0000C9070000}"/>
    <cellStyle name="Berechnung 4 2 2" xfId="1994" xr:uid="{00000000-0005-0000-0000-0000CA070000}"/>
    <cellStyle name="Berechnung 4 2 3" xfId="1995" xr:uid="{00000000-0005-0000-0000-0000CB070000}"/>
    <cellStyle name="Berechnung 4 2 4" xfId="1996" xr:uid="{00000000-0005-0000-0000-0000CC070000}"/>
    <cellStyle name="Berechnung 4 2 5" xfId="1997" xr:uid="{00000000-0005-0000-0000-0000CD070000}"/>
    <cellStyle name="Berechnung 4 2 6" xfId="1998" xr:uid="{00000000-0005-0000-0000-0000CE070000}"/>
    <cellStyle name="Berechnung 4 2 7" xfId="1999" xr:uid="{00000000-0005-0000-0000-0000CF070000}"/>
    <cellStyle name="Berechnung 4 2 8" xfId="2000" xr:uid="{00000000-0005-0000-0000-0000D0070000}"/>
    <cellStyle name="Berechnung 4 2 9" xfId="2001" xr:uid="{00000000-0005-0000-0000-0000D1070000}"/>
    <cellStyle name="Berechnung 4 3" xfId="2002" xr:uid="{00000000-0005-0000-0000-0000D2070000}"/>
    <cellStyle name="Berechnung 4 4" xfId="2003" xr:uid="{00000000-0005-0000-0000-0000D3070000}"/>
    <cellStyle name="Berechnung 4 5" xfId="2004" xr:uid="{00000000-0005-0000-0000-0000D4070000}"/>
    <cellStyle name="Berechnung 4 6" xfId="2005" xr:uid="{00000000-0005-0000-0000-0000D5070000}"/>
    <cellStyle name="Berechnung 4 7" xfId="2006" xr:uid="{00000000-0005-0000-0000-0000D6070000}"/>
    <cellStyle name="Berechnung 4 8" xfId="2007" xr:uid="{00000000-0005-0000-0000-0000D7070000}"/>
    <cellStyle name="Berechnung 4 9" xfId="2008" xr:uid="{00000000-0005-0000-0000-0000D8070000}"/>
    <cellStyle name="Berechnung 5" xfId="2009" xr:uid="{00000000-0005-0000-0000-0000D9070000}"/>
    <cellStyle name="Berechnung 5 10" xfId="2010" xr:uid="{00000000-0005-0000-0000-0000DA070000}"/>
    <cellStyle name="Berechnung 5 11" xfId="2011" xr:uid="{00000000-0005-0000-0000-0000DB070000}"/>
    <cellStyle name="Berechnung 5 12" xfId="2012" xr:uid="{00000000-0005-0000-0000-0000DC070000}"/>
    <cellStyle name="Berechnung 5 2" xfId="2013" xr:uid="{00000000-0005-0000-0000-0000DD070000}"/>
    <cellStyle name="Berechnung 5 2 10" xfId="2014" xr:uid="{00000000-0005-0000-0000-0000DE070000}"/>
    <cellStyle name="Berechnung 5 2 11" xfId="2015" xr:uid="{00000000-0005-0000-0000-0000DF070000}"/>
    <cellStyle name="Berechnung 5 2 2" xfId="2016" xr:uid="{00000000-0005-0000-0000-0000E0070000}"/>
    <cellStyle name="Berechnung 5 2 3" xfId="2017" xr:uid="{00000000-0005-0000-0000-0000E1070000}"/>
    <cellStyle name="Berechnung 5 2 4" xfId="2018" xr:uid="{00000000-0005-0000-0000-0000E2070000}"/>
    <cellStyle name="Berechnung 5 2 5" xfId="2019" xr:uid="{00000000-0005-0000-0000-0000E3070000}"/>
    <cellStyle name="Berechnung 5 2 6" xfId="2020" xr:uid="{00000000-0005-0000-0000-0000E4070000}"/>
    <cellStyle name="Berechnung 5 2 7" xfId="2021" xr:uid="{00000000-0005-0000-0000-0000E5070000}"/>
    <cellStyle name="Berechnung 5 2 8" xfId="2022" xr:uid="{00000000-0005-0000-0000-0000E6070000}"/>
    <cellStyle name="Berechnung 5 2 9" xfId="2023" xr:uid="{00000000-0005-0000-0000-0000E7070000}"/>
    <cellStyle name="Berechnung 5 3" xfId="2024" xr:uid="{00000000-0005-0000-0000-0000E8070000}"/>
    <cellStyle name="Berechnung 5 4" xfId="2025" xr:uid="{00000000-0005-0000-0000-0000E9070000}"/>
    <cellStyle name="Berechnung 5 5" xfId="2026" xr:uid="{00000000-0005-0000-0000-0000EA070000}"/>
    <cellStyle name="Berechnung 5 6" xfId="2027" xr:uid="{00000000-0005-0000-0000-0000EB070000}"/>
    <cellStyle name="Berechnung 5 7" xfId="2028" xr:uid="{00000000-0005-0000-0000-0000EC070000}"/>
    <cellStyle name="Berechnung 5 8" xfId="2029" xr:uid="{00000000-0005-0000-0000-0000ED070000}"/>
    <cellStyle name="Berechnung 5 9" xfId="2030" xr:uid="{00000000-0005-0000-0000-0000EE070000}"/>
    <cellStyle name="Berechnung 6" xfId="2031" xr:uid="{00000000-0005-0000-0000-0000EF070000}"/>
    <cellStyle name="Berechnung 6 10" xfId="2032" xr:uid="{00000000-0005-0000-0000-0000F0070000}"/>
    <cellStyle name="Berechnung 6 11" xfId="2033" xr:uid="{00000000-0005-0000-0000-0000F1070000}"/>
    <cellStyle name="Berechnung 6 12" xfId="2034" xr:uid="{00000000-0005-0000-0000-0000F2070000}"/>
    <cellStyle name="Berechnung 6 2" xfId="2035" xr:uid="{00000000-0005-0000-0000-0000F3070000}"/>
    <cellStyle name="Berechnung 6 2 10" xfId="2036" xr:uid="{00000000-0005-0000-0000-0000F4070000}"/>
    <cellStyle name="Berechnung 6 2 11" xfId="2037" xr:uid="{00000000-0005-0000-0000-0000F5070000}"/>
    <cellStyle name="Berechnung 6 2 2" xfId="2038" xr:uid="{00000000-0005-0000-0000-0000F6070000}"/>
    <cellStyle name="Berechnung 6 2 3" xfId="2039" xr:uid="{00000000-0005-0000-0000-0000F7070000}"/>
    <cellStyle name="Berechnung 6 2 4" xfId="2040" xr:uid="{00000000-0005-0000-0000-0000F8070000}"/>
    <cellStyle name="Berechnung 6 2 5" xfId="2041" xr:uid="{00000000-0005-0000-0000-0000F9070000}"/>
    <cellStyle name="Berechnung 6 2 6" xfId="2042" xr:uid="{00000000-0005-0000-0000-0000FA070000}"/>
    <cellStyle name="Berechnung 6 2 7" xfId="2043" xr:uid="{00000000-0005-0000-0000-0000FB070000}"/>
    <cellStyle name="Berechnung 6 2 8" xfId="2044" xr:uid="{00000000-0005-0000-0000-0000FC070000}"/>
    <cellStyle name="Berechnung 6 2 9" xfId="2045" xr:uid="{00000000-0005-0000-0000-0000FD070000}"/>
    <cellStyle name="Berechnung 6 3" xfId="2046" xr:uid="{00000000-0005-0000-0000-0000FE070000}"/>
    <cellStyle name="Berechnung 6 4" xfId="2047" xr:uid="{00000000-0005-0000-0000-0000FF070000}"/>
    <cellStyle name="Berechnung 6 5" xfId="2048" xr:uid="{00000000-0005-0000-0000-000000080000}"/>
    <cellStyle name="Berechnung 6 6" xfId="2049" xr:uid="{00000000-0005-0000-0000-000001080000}"/>
    <cellStyle name="Berechnung 6 7" xfId="2050" xr:uid="{00000000-0005-0000-0000-000002080000}"/>
    <cellStyle name="Berechnung 6 8" xfId="2051" xr:uid="{00000000-0005-0000-0000-000003080000}"/>
    <cellStyle name="Berechnung 6 9" xfId="2052" xr:uid="{00000000-0005-0000-0000-000004080000}"/>
    <cellStyle name="Berechnung 7" xfId="2053" xr:uid="{00000000-0005-0000-0000-000005080000}"/>
    <cellStyle name="Berechnung 7 10" xfId="2054" xr:uid="{00000000-0005-0000-0000-000006080000}"/>
    <cellStyle name="Berechnung 7 11" xfId="2055" xr:uid="{00000000-0005-0000-0000-000007080000}"/>
    <cellStyle name="Berechnung 7 2" xfId="2056" xr:uid="{00000000-0005-0000-0000-000008080000}"/>
    <cellStyle name="Berechnung 7 3" xfId="2057" xr:uid="{00000000-0005-0000-0000-000009080000}"/>
    <cellStyle name="Berechnung 7 4" xfId="2058" xr:uid="{00000000-0005-0000-0000-00000A080000}"/>
    <cellStyle name="Berechnung 7 5" xfId="2059" xr:uid="{00000000-0005-0000-0000-00000B080000}"/>
    <cellStyle name="Berechnung 7 6" xfId="2060" xr:uid="{00000000-0005-0000-0000-00000C080000}"/>
    <cellStyle name="Berechnung 7 7" xfId="2061" xr:uid="{00000000-0005-0000-0000-00000D080000}"/>
    <cellStyle name="Berechnung 7 8" xfId="2062" xr:uid="{00000000-0005-0000-0000-00000E080000}"/>
    <cellStyle name="Berechnung 7 9" xfId="2063" xr:uid="{00000000-0005-0000-0000-00000F080000}"/>
    <cellStyle name="Bold GHG Numbers (0.00)" xfId="2064" xr:uid="{00000000-0005-0000-0000-000010080000}"/>
    <cellStyle name="Calculation 2" xfId="2065" xr:uid="{00000000-0005-0000-0000-000011080000}"/>
    <cellStyle name="Calculation 2 10" xfId="2066" xr:uid="{00000000-0005-0000-0000-000012080000}"/>
    <cellStyle name="Calculation 2 11" xfId="2067" xr:uid="{00000000-0005-0000-0000-000013080000}"/>
    <cellStyle name="Calculation 2 12" xfId="2068" xr:uid="{00000000-0005-0000-0000-000014080000}"/>
    <cellStyle name="Calculation 2 13" xfId="2069" xr:uid="{00000000-0005-0000-0000-000015080000}"/>
    <cellStyle name="Calculation 2 2" xfId="2070" xr:uid="{00000000-0005-0000-0000-000016080000}"/>
    <cellStyle name="Calculation 2 2 10" xfId="2071" xr:uid="{00000000-0005-0000-0000-000017080000}"/>
    <cellStyle name="Calculation 2 2 11" xfId="2072" xr:uid="{00000000-0005-0000-0000-000018080000}"/>
    <cellStyle name="Calculation 2 2 12" xfId="2073" xr:uid="{00000000-0005-0000-0000-000019080000}"/>
    <cellStyle name="Calculation 2 2 2" xfId="2074" xr:uid="{00000000-0005-0000-0000-00001A080000}"/>
    <cellStyle name="Calculation 2 2 2 10" xfId="2075" xr:uid="{00000000-0005-0000-0000-00001B080000}"/>
    <cellStyle name="Calculation 2 2 2 11" xfId="2076" xr:uid="{00000000-0005-0000-0000-00001C080000}"/>
    <cellStyle name="Calculation 2 2 2 2" xfId="2077" xr:uid="{00000000-0005-0000-0000-00001D080000}"/>
    <cellStyle name="Calculation 2 2 2 3" xfId="2078" xr:uid="{00000000-0005-0000-0000-00001E080000}"/>
    <cellStyle name="Calculation 2 2 2 4" xfId="2079" xr:uid="{00000000-0005-0000-0000-00001F080000}"/>
    <cellStyle name="Calculation 2 2 2 5" xfId="2080" xr:uid="{00000000-0005-0000-0000-000020080000}"/>
    <cellStyle name="Calculation 2 2 2 6" xfId="2081" xr:uid="{00000000-0005-0000-0000-000021080000}"/>
    <cellStyle name="Calculation 2 2 2 7" xfId="2082" xr:uid="{00000000-0005-0000-0000-000022080000}"/>
    <cellStyle name="Calculation 2 2 2 8" xfId="2083" xr:uid="{00000000-0005-0000-0000-000023080000}"/>
    <cellStyle name="Calculation 2 2 2 9" xfId="2084" xr:uid="{00000000-0005-0000-0000-000024080000}"/>
    <cellStyle name="Calculation 2 2 3" xfId="2085" xr:uid="{00000000-0005-0000-0000-000025080000}"/>
    <cellStyle name="Calculation 2 2 4" xfId="2086" xr:uid="{00000000-0005-0000-0000-000026080000}"/>
    <cellStyle name="Calculation 2 2 5" xfId="2087" xr:uid="{00000000-0005-0000-0000-000027080000}"/>
    <cellStyle name="Calculation 2 2 6" xfId="2088" xr:uid="{00000000-0005-0000-0000-000028080000}"/>
    <cellStyle name="Calculation 2 2 7" xfId="2089" xr:uid="{00000000-0005-0000-0000-000029080000}"/>
    <cellStyle name="Calculation 2 2 8" xfId="2090" xr:uid="{00000000-0005-0000-0000-00002A080000}"/>
    <cellStyle name="Calculation 2 2 9" xfId="2091" xr:uid="{00000000-0005-0000-0000-00002B080000}"/>
    <cellStyle name="Calculation 2 3" xfId="2092" xr:uid="{00000000-0005-0000-0000-00002C080000}"/>
    <cellStyle name="Calculation 2 3 10" xfId="2093" xr:uid="{00000000-0005-0000-0000-00002D080000}"/>
    <cellStyle name="Calculation 2 3 11" xfId="2094" xr:uid="{00000000-0005-0000-0000-00002E080000}"/>
    <cellStyle name="Calculation 2 3 12" xfId="2095" xr:uid="{00000000-0005-0000-0000-00002F080000}"/>
    <cellStyle name="Calculation 2 3 2" xfId="2096" xr:uid="{00000000-0005-0000-0000-000030080000}"/>
    <cellStyle name="Calculation 2 3 2 10" xfId="2097" xr:uid="{00000000-0005-0000-0000-000031080000}"/>
    <cellStyle name="Calculation 2 3 2 11" xfId="2098" xr:uid="{00000000-0005-0000-0000-000032080000}"/>
    <cellStyle name="Calculation 2 3 2 2" xfId="2099" xr:uid="{00000000-0005-0000-0000-000033080000}"/>
    <cellStyle name="Calculation 2 3 2 3" xfId="2100" xr:uid="{00000000-0005-0000-0000-000034080000}"/>
    <cellStyle name="Calculation 2 3 2 4" xfId="2101" xr:uid="{00000000-0005-0000-0000-000035080000}"/>
    <cellStyle name="Calculation 2 3 2 5" xfId="2102" xr:uid="{00000000-0005-0000-0000-000036080000}"/>
    <cellStyle name="Calculation 2 3 2 6" xfId="2103" xr:uid="{00000000-0005-0000-0000-000037080000}"/>
    <cellStyle name="Calculation 2 3 2 7" xfId="2104" xr:uid="{00000000-0005-0000-0000-000038080000}"/>
    <cellStyle name="Calculation 2 3 2 8" xfId="2105" xr:uid="{00000000-0005-0000-0000-000039080000}"/>
    <cellStyle name="Calculation 2 3 2 9" xfId="2106" xr:uid="{00000000-0005-0000-0000-00003A080000}"/>
    <cellStyle name="Calculation 2 3 3" xfId="2107" xr:uid="{00000000-0005-0000-0000-00003B080000}"/>
    <cellStyle name="Calculation 2 3 4" xfId="2108" xr:uid="{00000000-0005-0000-0000-00003C080000}"/>
    <cellStyle name="Calculation 2 3 5" xfId="2109" xr:uid="{00000000-0005-0000-0000-00003D080000}"/>
    <cellStyle name="Calculation 2 3 6" xfId="2110" xr:uid="{00000000-0005-0000-0000-00003E080000}"/>
    <cellStyle name="Calculation 2 3 7" xfId="2111" xr:uid="{00000000-0005-0000-0000-00003F080000}"/>
    <cellStyle name="Calculation 2 3 8" xfId="2112" xr:uid="{00000000-0005-0000-0000-000040080000}"/>
    <cellStyle name="Calculation 2 3 9" xfId="2113" xr:uid="{00000000-0005-0000-0000-000041080000}"/>
    <cellStyle name="Calculation 2 4" xfId="2114" xr:uid="{00000000-0005-0000-0000-000042080000}"/>
    <cellStyle name="Calculation 2 4 10" xfId="2115" xr:uid="{00000000-0005-0000-0000-000043080000}"/>
    <cellStyle name="Calculation 2 4 11" xfId="2116" xr:uid="{00000000-0005-0000-0000-000044080000}"/>
    <cellStyle name="Calculation 2 4 12" xfId="2117" xr:uid="{00000000-0005-0000-0000-000045080000}"/>
    <cellStyle name="Calculation 2 4 2" xfId="2118" xr:uid="{00000000-0005-0000-0000-000046080000}"/>
    <cellStyle name="Calculation 2 4 2 10" xfId="2119" xr:uid="{00000000-0005-0000-0000-000047080000}"/>
    <cellStyle name="Calculation 2 4 2 11" xfId="2120" xr:uid="{00000000-0005-0000-0000-000048080000}"/>
    <cellStyle name="Calculation 2 4 2 2" xfId="2121" xr:uid="{00000000-0005-0000-0000-000049080000}"/>
    <cellStyle name="Calculation 2 4 2 3" xfId="2122" xr:uid="{00000000-0005-0000-0000-00004A080000}"/>
    <cellStyle name="Calculation 2 4 2 4" xfId="2123" xr:uid="{00000000-0005-0000-0000-00004B080000}"/>
    <cellStyle name="Calculation 2 4 2 5" xfId="2124" xr:uid="{00000000-0005-0000-0000-00004C080000}"/>
    <cellStyle name="Calculation 2 4 2 6" xfId="2125" xr:uid="{00000000-0005-0000-0000-00004D080000}"/>
    <cellStyle name="Calculation 2 4 2 7" xfId="2126" xr:uid="{00000000-0005-0000-0000-00004E080000}"/>
    <cellStyle name="Calculation 2 4 2 8" xfId="2127" xr:uid="{00000000-0005-0000-0000-00004F080000}"/>
    <cellStyle name="Calculation 2 4 2 9" xfId="2128" xr:uid="{00000000-0005-0000-0000-000050080000}"/>
    <cellStyle name="Calculation 2 4 3" xfId="2129" xr:uid="{00000000-0005-0000-0000-000051080000}"/>
    <cellStyle name="Calculation 2 4 4" xfId="2130" xr:uid="{00000000-0005-0000-0000-000052080000}"/>
    <cellStyle name="Calculation 2 4 5" xfId="2131" xr:uid="{00000000-0005-0000-0000-000053080000}"/>
    <cellStyle name="Calculation 2 4 6" xfId="2132" xr:uid="{00000000-0005-0000-0000-000054080000}"/>
    <cellStyle name="Calculation 2 4 7" xfId="2133" xr:uid="{00000000-0005-0000-0000-000055080000}"/>
    <cellStyle name="Calculation 2 4 8" xfId="2134" xr:uid="{00000000-0005-0000-0000-000056080000}"/>
    <cellStyle name="Calculation 2 4 9" xfId="2135" xr:uid="{00000000-0005-0000-0000-000057080000}"/>
    <cellStyle name="Calculation 2 5" xfId="2136" xr:uid="{00000000-0005-0000-0000-000058080000}"/>
    <cellStyle name="Calculation 2 5 10" xfId="2137" xr:uid="{00000000-0005-0000-0000-000059080000}"/>
    <cellStyle name="Calculation 2 5 11" xfId="2138" xr:uid="{00000000-0005-0000-0000-00005A080000}"/>
    <cellStyle name="Calculation 2 5 2" xfId="2139" xr:uid="{00000000-0005-0000-0000-00005B080000}"/>
    <cellStyle name="Calculation 2 5 3" xfId="2140" xr:uid="{00000000-0005-0000-0000-00005C080000}"/>
    <cellStyle name="Calculation 2 5 4" xfId="2141" xr:uid="{00000000-0005-0000-0000-00005D080000}"/>
    <cellStyle name="Calculation 2 5 5" xfId="2142" xr:uid="{00000000-0005-0000-0000-00005E080000}"/>
    <cellStyle name="Calculation 2 5 6" xfId="2143" xr:uid="{00000000-0005-0000-0000-00005F080000}"/>
    <cellStyle name="Calculation 2 5 7" xfId="2144" xr:uid="{00000000-0005-0000-0000-000060080000}"/>
    <cellStyle name="Calculation 2 5 8" xfId="2145" xr:uid="{00000000-0005-0000-0000-000061080000}"/>
    <cellStyle name="Calculation 2 5 9" xfId="2146" xr:uid="{00000000-0005-0000-0000-000062080000}"/>
    <cellStyle name="Calculation 2 6" xfId="2147" xr:uid="{00000000-0005-0000-0000-000063080000}"/>
    <cellStyle name="Calculation 2 7" xfId="2148" xr:uid="{00000000-0005-0000-0000-000064080000}"/>
    <cellStyle name="Calculation 2 8" xfId="2149" xr:uid="{00000000-0005-0000-0000-000065080000}"/>
    <cellStyle name="Calculation 2 9" xfId="2150" xr:uid="{00000000-0005-0000-0000-000066080000}"/>
    <cellStyle name="Calculation 3" xfId="2151" xr:uid="{00000000-0005-0000-0000-000067080000}"/>
    <cellStyle name="Calculation 3 10" xfId="2152" xr:uid="{00000000-0005-0000-0000-000068080000}"/>
    <cellStyle name="Calculation 3 11" xfId="2153" xr:uid="{00000000-0005-0000-0000-000069080000}"/>
    <cellStyle name="Calculation 3 12" xfId="2154" xr:uid="{00000000-0005-0000-0000-00006A080000}"/>
    <cellStyle name="Calculation 3 13" xfId="2155" xr:uid="{00000000-0005-0000-0000-00006B080000}"/>
    <cellStyle name="Calculation 3 2" xfId="2156" xr:uid="{00000000-0005-0000-0000-00006C080000}"/>
    <cellStyle name="Calculation 3 2 10" xfId="2157" xr:uid="{00000000-0005-0000-0000-00006D080000}"/>
    <cellStyle name="Calculation 3 2 11" xfId="2158" xr:uid="{00000000-0005-0000-0000-00006E080000}"/>
    <cellStyle name="Calculation 3 2 12" xfId="2159" xr:uid="{00000000-0005-0000-0000-00006F080000}"/>
    <cellStyle name="Calculation 3 2 2" xfId="2160" xr:uid="{00000000-0005-0000-0000-000070080000}"/>
    <cellStyle name="Calculation 3 2 2 10" xfId="2161" xr:uid="{00000000-0005-0000-0000-000071080000}"/>
    <cellStyle name="Calculation 3 2 2 11" xfId="2162" xr:uid="{00000000-0005-0000-0000-000072080000}"/>
    <cellStyle name="Calculation 3 2 2 2" xfId="2163" xr:uid="{00000000-0005-0000-0000-000073080000}"/>
    <cellStyle name="Calculation 3 2 2 3" xfId="2164" xr:uid="{00000000-0005-0000-0000-000074080000}"/>
    <cellStyle name="Calculation 3 2 2 4" xfId="2165" xr:uid="{00000000-0005-0000-0000-000075080000}"/>
    <cellStyle name="Calculation 3 2 2 5" xfId="2166" xr:uid="{00000000-0005-0000-0000-000076080000}"/>
    <cellStyle name="Calculation 3 2 2 6" xfId="2167" xr:uid="{00000000-0005-0000-0000-000077080000}"/>
    <cellStyle name="Calculation 3 2 2 7" xfId="2168" xr:uid="{00000000-0005-0000-0000-000078080000}"/>
    <cellStyle name="Calculation 3 2 2 8" xfId="2169" xr:uid="{00000000-0005-0000-0000-000079080000}"/>
    <cellStyle name="Calculation 3 2 2 9" xfId="2170" xr:uid="{00000000-0005-0000-0000-00007A080000}"/>
    <cellStyle name="Calculation 3 2 3" xfId="2171" xr:uid="{00000000-0005-0000-0000-00007B080000}"/>
    <cellStyle name="Calculation 3 2 4" xfId="2172" xr:uid="{00000000-0005-0000-0000-00007C080000}"/>
    <cellStyle name="Calculation 3 2 5" xfId="2173" xr:uid="{00000000-0005-0000-0000-00007D080000}"/>
    <cellStyle name="Calculation 3 2 6" xfId="2174" xr:uid="{00000000-0005-0000-0000-00007E080000}"/>
    <cellStyle name="Calculation 3 2 7" xfId="2175" xr:uid="{00000000-0005-0000-0000-00007F080000}"/>
    <cellStyle name="Calculation 3 2 8" xfId="2176" xr:uid="{00000000-0005-0000-0000-000080080000}"/>
    <cellStyle name="Calculation 3 2 9" xfId="2177" xr:uid="{00000000-0005-0000-0000-000081080000}"/>
    <cellStyle name="Calculation 3 3" xfId="2178" xr:uid="{00000000-0005-0000-0000-000082080000}"/>
    <cellStyle name="Calculation 3 3 10" xfId="2179" xr:uid="{00000000-0005-0000-0000-000083080000}"/>
    <cellStyle name="Calculation 3 3 11" xfId="2180" xr:uid="{00000000-0005-0000-0000-000084080000}"/>
    <cellStyle name="Calculation 3 3 12" xfId="2181" xr:uid="{00000000-0005-0000-0000-000085080000}"/>
    <cellStyle name="Calculation 3 3 2" xfId="2182" xr:uid="{00000000-0005-0000-0000-000086080000}"/>
    <cellStyle name="Calculation 3 3 2 10" xfId="2183" xr:uid="{00000000-0005-0000-0000-000087080000}"/>
    <cellStyle name="Calculation 3 3 2 11" xfId="2184" xr:uid="{00000000-0005-0000-0000-000088080000}"/>
    <cellStyle name="Calculation 3 3 2 2" xfId="2185" xr:uid="{00000000-0005-0000-0000-000089080000}"/>
    <cellStyle name="Calculation 3 3 2 3" xfId="2186" xr:uid="{00000000-0005-0000-0000-00008A080000}"/>
    <cellStyle name="Calculation 3 3 2 4" xfId="2187" xr:uid="{00000000-0005-0000-0000-00008B080000}"/>
    <cellStyle name="Calculation 3 3 2 5" xfId="2188" xr:uid="{00000000-0005-0000-0000-00008C080000}"/>
    <cellStyle name="Calculation 3 3 2 6" xfId="2189" xr:uid="{00000000-0005-0000-0000-00008D080000}"/>
    <cellStyle name="Calculation 3 3 2 7" xfId="2190" xr:uid="{00000000-0005-0000-0000-00008E080000}"/>
    <cellStyle name="Calculation 3 3 2 8" xfId="2191" xr:uid="{00000000-0005-0000-0000-00008F080000}"/>
    <cellStyle name="Calculation 3 3 2 9" xfId="2192" xr:uid="{00000000-0005-0000-0000-000090080000}"/>
    <cellStyle name="Calculation 3 3 3" xfId="2193" xr:uid="{00000000-0005-0000-0000-000091080000}"/>
    <cellStyle name="Calculation 3 3 4" xfId="2194" xr:uid="{00000000-0005-0000-0000-000092080000}"/>
    <cellStyle name="Calculation 3 3 5" xfId="2195" xr:uid="{00000000-0005-0000-0000-000093080000}"/>
    <cellStyle name="Calculation 3 3 6" xfId="2196" xr:uid="{00000000-0005-0000-0000-000094080000}"/>
    <cellStyle name="Calculation 3 3 7" xfId="2197" xr:uid="{00000000-0005-0000-0000-000095080000}"/>
    <cellStyle name="Calculation 3 3 8" xfId="2198" xr:uid="{00000000-0005-0000-0000-000096080000}"/>
    <cellStyle name="Calculation 3 3 9" xfId="2199" xr:uid="{00000000-0005-0000-0000-000097080000}"/>
    <cellStyle name="Calculation 3 4" xfId="2200" xr:uid="{00000000-0005-0000-0000-000098080000}"/>
    <cellStyle name="Calculation 3 4 10" xfId="2201" xr:uid="{00000000-0005-0000-0000-000099080000}"/>
    <cellStyle name="Calculation 3 4 11" xfId="2202" xr:uid="{00000000-0005-0000-0000-00009A080000}"/>
    <cellStyle name="Calculation 3 4 12" xfId="2203" xr:uid="{00000000-0005-0000-0000-00009B080000}"/>
    <cellStyle name="Calculation 3 4 2" xfId="2204" xr:uid="{00000000-0005-0000-0000-00009C080000}"/>
    <cellStyle name="Calculation 3 4 2 10" xfId="2205" xr:uid="{00000000-0005-0000-0000-00009D080000}"/>
    <cellStyle name="Calculation 3 4 2 11" xfId="2206" xr:uid="{00000000-0005-0000-0000-00009E080000}"/>
    <cellStyle name="Calculation 3 4 2 2" xfId="2207" xr:uid="{00000000-0005-0000-0000-00009F080000}"/>
    <cellStyle name="Calculation 3 4 2 3" xfId="2208" xr:uid="{00000000-0005-0000-0000-0000A0080000}"/>
    <cellStyle name="Calculation 3 4 2 4" xfId="2209" xr:uid="{00000000-0005-0000-0000-0000A1080000}"/>
    <cellStyle name="Calculation 3 4 2 5" xfId="2210" xr:uid="{00000000-0005-0000-0000-0000A2080000}"/>
    <cellStyle name="Calculation 3 4 2 6" xfId="2211" xr:uid="{00000000-0005-0000-0000-0000A3080000}"/>
    <cellStyle name="Calculation 3 4 2 7" xfId="2212" xr:uid="{00000000-0005-0000-0000-0000A4080000}"/>
    <cellStyle name="Calculation 3 4 2 8" xfId="2213" xr:uid="{00000000-0005-0000-0000-0000A5080000}"/>
    <cellStyle name="Calculation 3 4 2 9" xfId="2214" xr:uid="{00000000-0005-0000-0000-0000A6080000}"/>
    <cellStyle name="Calculation 3 4 3" xfId="2215" xr:uid="{00000000-0005-0000-0000-0000A7080000}"/>
    <cellStyle name="Calculation 3 4 4" xfId="2216" xr:uid="{00000000-0005-0000-0000-0000A8080000}"/>
    <cellStyle name="Calculation 3 4 5" xfId="2217" xr:uid="{00000000-0005-0000-0000-0000A9080000}"/>
    <cellStyle name="Calculation 3 4 6" xfId="2218" xr:uid="{00000000-0005-0000-0000-0000AA080000}"/>
    <cellStyle name="Calculation 3 4 7" xfId="2219" xr:uid="{00000000-0005-0000-0000-0000AB080000}"/>
    <cellStyle name="Calculation 3 4 8" xfId="2220" xr:uid="{00000000-0005-0000-0000-0000AC080000}"/>
    <cellStyle name="Calculation 3 4 9" xfId="2221" xr:uid="{00000000-0005-0000-0000-0000AD080000}"/>
    <cellStyle name="Calculation 3 5" xfId="2222" xr:uid="{00000000-0005-0000-0000-0000AE080000}"/>
    <cellStyle name="Calculation 3 5 10" xfId="2223" xr:uid="{00000000-0005-0000-0000-0000AF080000}"/>
    <cellStyle name="Calculation 3 5 11" xfId="2224" xr:uid="{00000000-0005-0000-0000-0000B0080000}"/>
    <cellStyle name="Calculation 3 5 2" xfId="2225" xr:uid="{00000000-0005-0000-0000-0000B1080000}"/>
    <cellStyle name="Calculation 3 5 3" xfId="2226" xr:uid="{00000000-0005-0000-0000-0000B2080000}"/>
    <cellStyle name="Calculation 3 5 4" xfId="2227" xr:uid="{00000000-0005-0000-0000-0000B3080000}"/>
    <cellStyle name="Calculation 3 5 5" xfId="2228" xr:uid="{00000000-0005-0000-0000-0000B4080000}"/>
    <cellStyle name="Calculation 3 5 6" xfId="2229" xr:uid="{00000000-0005-0000-0000-0000B5080000}"/>
    <cellStyle name="Calculation 3 5 7" xfId="2230" xr:uid="{00000000-0005-0000-0000-0000B6080000}"/>
    <cellStyle name="Calculation 3 5 8" xfId="2231" xr:uid="{00000000-0005-0000-0000-0000B7080000}"/>
    <cellStyle name="Calculation 3 5 9" xfId="2232" xr:uid="{00000000-0005-0000-0000-0000B8080000}"/>
    <cellStyle name="Calculation 3 6" xfId="2233" xr:uid="{00000000-0005-0000-0000-0000B9080000}"/>
    <cellStyle name="Calculation 3 7" xfId="2234" xr:uid="{00000000-0005-0000-0000-0000BA080000}"/>
    <cellStyle name="Calculation 3 8" xfId="2235" xr:uid="{00000000-0005-0000-0000-0000BB080000}"/>
    <cellStyle name="Calculation 3 9" xfId="2236" xr:uid="{00000000-0005-0000-0000-0000BC080000}"/>
    <cellStyle name="Check Cell 2" xfId="2237" xr:uid="{00000000-0005-0000-0000-0000BD080000}"/>
    <cellStyle name="Check Cell 3" xfId="2238" xr:uid="{00000000-0005-0000-0000-0000BE080000}"/>
    <cellStyle name="Check Cell 4" xfId="2239" xr:uid="{00000000-0005-0000-0000-0000BF080000}"/>
    <cellStyle name="Comma 2" xfId="2240" xr:uid="{00000000-0005-0000-0000-0000C0080000}"/>
    <cellStyle name="Comma 2 2" xfId="2241" xr:uid="{00000000-0005-0000-0000-0000C1080000}"/>
    <cellStyle name="Comma 2 2 2" xfId="2242" xr:uid="{00000000-0005-0000-0000-0000C2080000}"/>
    <cellStyle name="Comma 2 2 2 2" xfId="2243" xr:uid="{00000000-0005-0000-0000-0000C3080000}"/>
    <cellStyle name="Comma 2 2 3" xfId="2244" xr:uid="{00000000-0005-0000-0000-0000C4080000}"/>
    <cellStyle name="Comma 2 3" xfId="2245" xr:uid="{00000000-0005-0000-0000-0000C5080000}"/>
    <cellStyle name="Comma 2 4" xfId="2246" xr:uid="{00000000-0005-0000-0000-0000C6080000}"/>
    <cellStyle name="Comma 2 5" xfId="2247" xr:uid="{00000000-0005-0000-0000-0000C7080000}"/>
    <cellStyle name="Comma 2 6" xfId="2248" xr:uid="{00000000-0005-0000-0000-0000C8080000}"/>
    <cellStyle name="Comma 3" xfId="2249" xr:uid="{00000000-0005-0000-0000-0000C9080000}"/>
    <cellStyle name="Comma 3 2" xfId="2250" xr:uid="{00000000-0005-0000-0000-0000CA080000}"/>
    <cellStyle name="Comma 3 3" xfId="2251" xr:uid="{00000000-0005-0000-0000-0000CB080000}"/>
    <cellStyle name="Comma 3 4" xfId="2252" xr:uid="{00000000-0005-0000-0000-0000CC080000}"/>
    <cellStyle name="Comma 3 5" xfId="2253" xr:uid="{00000000-0005-0000-0000-0000CD080000}"/>
    <cellStyle name="Constants" xfId="2254" xr:uid="{00000000-0005-0000-0000-0000CE080000}"/>
    <cellStyle name="ContentsHyperlink" xfId="2255" xr:uid="{00000000-0005-0000-0000-0000CF080000}"/>
    <cellStyle name="CustomCellsOrange" xfId="2256" xr:uid="{00000000-0005-0000-0000-0000D0080000}"/>
    <cellStyle name="CustomCellsOrange 2" xfId="2257" xr:uid="{00000000-0005-0000-0000-0000D1080000}"/>
    <cellStyle name="CustomCellsOrange 2 2" xfId="2258" xr:uid="{00000000-0005-0000-0000-0000D2080000}"/>
    <cellStyle name="CustomCellsOrange 2 2 10" xfId="2259" xr:uid="{00000000-0005-0000-0000-0000D3080000}"/>
    <cellStyle name="CustomCellsOrange 2 2 11" xfId="2260" xr:uid="{00000000-0005-0000-0000-0000D4080000}"/>
    <cellStyle name="CustomCellsOrange 2 2 12" xfId="2261" xr:uid="{00000000-0005-0000-0000-0000D5080000}"/>
    <cellStyle name="CustomCellsOrange 2 2 13" xfId="2262" xr:uid="{00000000-0005-0000-0000-0000D6080000}"/>
    <cellStyle name="CustomCellsOrange 2 2 14" xfId="2263" xr:uid="{00000000-0005-0000-0000-0000D7080000}"/>
    <cellStyle name="CustomCellsOrange 2 2 15" xfId="2264" xr:uid="{00000000-0005-0000-0000-0000D8080000}"/>
    <cellStyle name="CustomCellsOrange 2 2 2" xfId="2265" xr:uid="{00000000-0005-0000-0000-0000D9080000}"/>
    <cellStyle name="CustomCellsOrange 2 2 2 2" xfId="2266" xr:uid="{00000000-0005-0000-0000-0000DA080000}"/>
    <cellStyle name="CustomCellsOrange 2 2 2 2 10" xfId="2267" xr:uid="{00000000-0005-0000-0000-0000DB080000}"/>
    <cellStyle name="CustomCellsOrange 2 2 2 2 11" xfId="2268" xr:uid="{00000000-0005-0000-0000-0000DC080000}"/>
    <cellStyle name="CustomCellsOrange 2 2 2 2 12" xfId="2269" xr:uid="{00000000-0005-0000-0000-0000DD080000}"/>
    <cellStyle name="CustomCellsOrange 2 2 2 2 2" xfId="2270" xr:uid="{00000000-0005-0000-0000-0000DE080000}"/>
    <cellStyle name="CustomCellsOrange 2 2 2 2 2 10" xfId="2271" xr:uid="{00000000-0005-0000-0000-0000DF080000}"/>
    <cellStyle name="CustomCellsOrange 2 2 2 2 2 11" xfId="2272" xr:uid="{00000000-0005-0000-0000-0000E0080000}"/>
    <cellStyle name="CustomCellsOrange 2 2 2 2 2 2" xfId="2273" xr:uid="{00000000-0005-0000-0000-0000E1080000}"/>
    <cellStyle name="CustomCellsOrange 2 2 2 2 2 3" xfId="2274" xr:uid="{00000000-0005-0000-0000-0000E2080000}"/>
    <cellStyle name="CustomCellsOrange 2 2 2 2 2 4" xfId="2275" xr:uid="{00000000-0005-0000-0000-0000E3080000}"/>
    <cellStyle name="CustomCellsOrange 2 2 2 2 2 5" xfId="2276" xr:uid="{00000000-0005-0000-0000-0000E4080000}"/>
    <cellStyle name="CustomCellsOrange 2 2 2 2 2 6" xfId="2277" xr:uid="{00000000-0005-0000-0000-0000E5080000}"/>
    <cellStyle name="CustomCellsOrange 2 2 2 2 2 7" xfId="2278" xr:uid="{00000000-0005-0000-0000-0000E6080000}"/>
    <cellStyle name="CustomCellsOrange 2 2 2 2 2 8" xfId="2279" xr:uid="{00000000-0005-0000-0000-0000E7080000}"/>
    <cellStyle name="CustomCellsOrange 2 2 2 2 2 9" xfId="2280" xr:uid="{00000000-0005-0000-0000-0000E8080000}"/>
    <cellStyle name="CustomCellsOrange 2 2 2 2 3" xfId="2281" xr:uid="{00000000-0005-0000-0000-0000E9080000}"/>
    <cellStyle name="CustomCellsOrange 2 2 2 2 4" xfId="2282" xr:uid="{00000000-0005-0000-0000-0000EA080000}"/>
    <cellStyle name="CustomCellsOrange 2 2 2 2 5" xfId="2283" xr:uid="{00000000-0005-0000-0000-0000EB080000}"/>
    <cellStyle name="CustomCellsOrange 2 2 2 2 6" xfId="2284" xr:uid="{00000000-0005-0000-0000-0000EC080000}"/>
    <cellStyle name="CustomCellsOrange 2 2 2 2 7" xfId="2285" xr:uid="{00000000-0005-0000-0000-0000ED080000}"/>
    <cellStyle name="CustomCellsOrange 2 2 2 2 8" xfId="2286" xr:uid="{00000000-0005-0000-0000-0000EE080000}"/>
    <cellStyle name="CustomCellsOrange 2 2 2 2 9" xfId="2287" xr:uid="{00000000-0005-0000-0000-0000EF080000}"/>
    <cellStyle name="CustomCellsOrange 2 2 3" xfId="2288" xr:uid="{00000000-0005-0000-0000-0000F0080000}"/>
    <cellStyle name="CustomCellsOrange 2 2 3 10" xfId="2289" xr:uid="{00000000-0005-0000-0000-0000F1080000}"/>
    <cellStyle name="CustomCellsOrange 2 2 3 11" xfId="2290" xr:uid="{00000000-0005-0000-0000-0000F2080000}"/>
    <cellStyle name="CustomCellsOrange 2 2 3 12" xfId="2291" xr:uid="{00000000-0005-0000-0000-0000F3080000}"/>
    <cellStyle name="CustomCellsOrange 2 2 3 2" xfId="2292" xr:uid="{00000000-0005-0000-0000-0000F4080000}"/>
    <cellStyle name="CustomCellsOrange 2 2 3 2 10" xfId="2293" xr:uid="{00000000-0005-0000-0000-0000F5080000}"/>
    <cellStyle name="CustomCellsOrange 2 2 3 2 11" xfId="2294" xr:uid="{00000000-0005-0000-0000-0000F6080000}"/>
    <cellStyle name="CustomCellsOrange 2 2 3 2 2" xfId="2295" xr:uid="{00000000-0005-0000-0000-0000F7080000}"/>
    <cellStyle name="CustomCellsOrange 2 2 3 2 3" xfId="2296" xr:uid="{00000000-0005-0000-0000-0000F8080000}"/>
    <cellStyle name="CustomCellsOrange 2 2 3 2 4" xfId="2297" xr:uid="{00000000-0005-0000-0000-0000F9080000}"/>
    <cellStyle name="CustomCellsOrange 2 2 3 2 5" xfId="2298" xr:uid="{00000000-0005-0000-0000-0000FA080000}"/>
    <cellStyle name="CustomCellsOrange 2 2 3 2 6" xfId="2299" xr:uid="{00000000-0005-0000-0000-0000FB080000}"/>
    <cellStyle name="CustomCellsOrange 2 2 3 2 7" xfId="2300" xr:uid="{00000000-0005-0000-0000-0000FC080000}"/>
    <cellStyle name="CustomCellsOrange 2 2 3 2 8" xfId="2301" xr:uid="{00000000-0005-0000-0000-0000FD080000}"/>
    <cellStyle name="CustomCellsOrange 2 2 3 2 9" xfId="2302" xr:uid="{00000000-0005-0000-0000-0000FE080000}"/>
    <cellStyle name="CustomCellsOrange 2 2 3 3" xfId="2303" xr:uid="{00000000-0005-0000-0000-0000FF080000}"/>
    <cellStyle name="CustomCellsOrange 2 2 3 4" xfId="2304" xr:uid="{00000000-0005-0000-0000-000000090000}"/>
    <cellStyle name="CustomCellsOrange 2 2 3 5" xfId="2305" xr:uid="{00000000-0005-0000-0000-000001090000}"/>
    <cellStyle name="CustomCellsOrange 2 2 3 6" xfId="2306" xr:uid="{00000000-0005-0000-0000-000002090000}"/>
    <cellStyle name="CustomCellsOrange 2 2 3 7" xfId="2307" xr:uid="{00000000-0005-0000-0000-000003090000}"/>
    <cellStyle name="CustomCellsOrange 2 2 3 8" xfId="2308" xr:uid="{00000000-0005-0000-0000-000004090000}"/>
    <cellStyle name="CustomCellsOrange 2 2 3 9" xfId="2309" xr:uid="{00000000-0005-0000-0000-000005090000}"/>
    <cellStyle name="CustomCellsOrange 2 2 4" xfId="2310" xr:uid="{00000000-0005-0000-0000-000006090000}"/>
    <cellStyle name="CustomCellsOrange 2 2 4 10" xfId="2311" xr:uid="{00000000-0005-0000-0000-000007090000}"/>
    <cellStyle name="CustomCellsOrange 2 2 4 11" xfId="2312" xr:uid="{00000000-0005-0000-0000-000008090000}"/>
    <cellStyle name="CustomCellsOrange 2 2 4 12" xfId="2313" xr:uid="{00000000-0005-0000-0000-000009090000}"/>
    <cellStyle name="CustomCellsOrange 2 2 4 2" xfId="2314" xr:uid="{00000000-0005-0000-0000-00000A090000}"/>
    <cellStyle name="CustomCellsOrange 2 2 4 2 10" xfId="2315" xr:uid="{00000000-0005-0000-0000-00000B090000}"/>
    <cellStyle name="CustomCellsOrange 2 2 4 2 11" xfId="2316" xr:uid="{00000000-0005-0000-0000-00000C090000}"/>
    <cellStyle name="CustomCellsOrange 2 2 4 2 2" xfId="2317" xr:uid="{00000000-0005-0000-0000-00000D090000}"/>
    <cellStyle name="CustomCellsOrange 2 2 4 2 3" xfId="2318" xr:uid="{00000000-0005-0000-0000-00000E090000}"/>
    <cellStyle name="CustomCellsOrange 2 2 4 2 4" xfId="2319" xr:uid="{00000000-0005-0000-0000-00000F090000}"/>
    <cellStyle name="CustomCellsOrange 2 2 4 2 5" xfId="2320" xr:uid="{00000000-0005-0000-0000-000010090000}"/>
    <cellStyle name="CustomCellsOrange 2 2 4 2 6" xfId="2321" xr:uid="{00000000-0005-0000-0000-000011090000}"/>
    <cellStyle name="CustomCellsOrange 2 2 4 2 7" xfId="2322" xr:uid="{00000000-0005-0000-0000-000012090000}"/>
    <cellStyle name="CustomCellsOrange 2 2 4 2 8" xfId="2323" xr:uid="{00000000-0005-0000-0000-000013090000}"/>
    <cellStyle name="CustomCellsOrange 2 2 4 2 9" xfId="2324" xr:uid="{00000000-0005-0000-0000-000014090000}"/>
    <cellStyle name="CustomCellsOrange 2 2 4 3" xfId="2325" xr:uid="{00000000-0005-0000-0000-000015090000}"/>
    <cellStyle name="CustomCellsOrange 2 2 4 4" xfId="2326" xr:uid="{00000000-0005-0000-0000-000016090000}"/>
    <cellStyle name="CustomCellsOrange 2 2 4 5" xfId="2327" xr:uid="{00000000-0005-0000-0000-000017090000}"/>
    <cellStyle name="CustomCellsOrange 2 2 4 6" xfId="2328" xr:uid="{00000000-0005-0000-0000-000018090000}"/>
    <cellStyle name="CustomCellsOrange 2 2 4 7" xfId="2329" xr:uid="{00000000-0005-0000-0000-000019090000}"/>
    <cellStyle name="CustomCellsOrange 2 2 4 8" xfId="2330" xr:uid="{00000000-0005-0000-0000-00001A090000}"/>
    <cellStyle name="CustomCellsOrange 2 2 4 9" xfId="2331" xr:uid="{00000000-0005-0000-0000-00001B090000}"/>
    <cellStyle name="CustomCellsOrange 2 2 5" xfId="2332" xr:uid="{00000000-0005-0000-0000-00001C090000}"/>
    <cellStyle name="CustomCellsOrange 2 2 5 10" xfId="2333" xr:uid="{00000000-0005-0000-0000-00001D090000}"/>
    <cellStyle name="CustomCellsOrange 2 2 5 11" xfId="2334" xr:uid="{00000000-0005-0000-0000-00001E090000}"/>
    <cellStyle name="CustomCellsOrange 2 2 5 12" xfId="2335" xr:uid="{00000000-0005-0000-0000-00001F090000}"/>
    <cellStyle name="CustomCellsOrange 2 2 5 2" xfId="2336" xr:uid="{00000000-0005-0000-0000-000020090000}"/>
    <cellStyle name="CustomCellsOrange 2 2 5 2 10" xfId="2337" xr:uid="{00000000-0005-0000-0000-000021090000}"/>
    <cellStyle name="CustomCellsOrange 2 2 5 2 11" xfId="2338" xr:uid="{00000000-0005-0000-0000-000022090000}"/>
    <cellStyle name="CustomCellsOrange 2 2 5 2 2" xfId="2339" xr:uid="{00000000-0005-0000-0000-000023090000}"/>
    <cellStyle name="CustomCellsOrange 2 2 5 2 3" xfId="2340" xr:uid="{00000000-0005-0000-0000-000024090000}"/>
    <cellStyle name="CustomCellsOrange 2 2 5 2 4" xfId="2341" xr:uid="{00000000-0005-0000-0000-000025090000}"/>
    <cellStyle name="CustomCellsOrange 2 2 5 2 5" xfId="2342" xr:uid="{00000000-0005-0000-0000-000026090000}"/>
    <cellStyle name="CustomCellsOrange 2 2 5 2 6" xfId="2343" xr:uid="{00000000-0005-0000-0000-000027090000}"/>
    <cellStyle name="CustomCellsOrange 2 2 5 2 7" xfId="2344" xr:uid="{00000000-0005-0000-0000-000028090000}"/>
    <cellStyle name="CustomCellsOrange 2 2 5 2 8" xfId="2345" xr:uid="{00000000-0005-0000-0000-000029090000}"/>
    <cellStyle name="CustomCellsOrange 2 2 5 2 9" xfId="2346" xr:uid="{00000000-0005-0000-0000-00002A090000}"/>
    <cellStyle name="CustomCellsOrange 2 2 5 3" xfId="2347" xr:uid="{00000000-0005-0000-0000-00002B090000}"/>
    <cellStyle name="CustomCellsOrange 2 2 5 4" xfId="2348" xr:uid="{00000000-0005-0000-0000-00002C090000}"/>
    <cellStyle name="CustomCellsOrange 2 2 5 5" xfId="2349" xr:uid="{00000000-0005-0000-0000-00002D090000}"/>
    <cellStyle name="CustomCellsOrange 2 2 5 6" xfId="2350" xr:uid="{00000000-0005-0000-0000-00002E090000}"/>
    <cellStyle name="CustomCellsOrange 2 2 5 7" xfId="2351" xr:uid="{00000000-0005-0000-0000-00002F090000}"/>
    <cellStyle name="CustomCellsOrange 2 2 5 8" xfId="2352" xr:uid="{00000000-0005-0000-0000-000030090000}"/>
    <cellStyle name="CustomCellsOrange 2 2 5 9" xfId="2353" xr:uid="{00000000-0005-0000-0000-000031090000}"/>
    <cellStyle name="CustomCellsOrange 2 2 6" xfId="2354" xr:uid="{00000000-0005-0000-0000-000032090000}"/>
    <cellStyle name="CustomCellsOrange 2 2 7" xfId="2355" xr:uid="{00000000-0005-0000-0000-000033090000}"/>
    <cellStyle name="CustomCellsOrange 2 2 8" xfId="2356" xr:uid="{00000000-0005-0000-0000-000034090000}"/>
    <cellStyle name="CustomCellsOrange 2 2 9" xfId="2357" xr:uid="{00000000-0005-0000-0000-000035090000}"/>
    <cellStyle name="CustomCellsOrange 3" xfId="2358" xr:uid="{00000000-0005-0000-0000-000036090000}"/>
    <cellStyle name="CustomCellsOrange 3 10" xfId="2359" xr:uid="{00000000-0005-0000-0000-000037090000}"/>
    <cellStyle name="CustomCellsOrange 3 11" xfId="2360" xr:uid="{00000000-0005-0000-0000-000038090000}"/>
    <cellStyle name="CustomCellsOrange 3 12" xfId="2361" xr:uid="{00000000-0005-0000-0000-000039090000}"/>
    <cellStyle name="CustomCellsOrange 3 13" xfId="2362" xr:uid="{00000000-0005-0000-0000-00003A090000}"/>
    <cellStyle name="CustomCellsOrange 3 14" xfId="2363" xr:uid="{00000000-0005-0000-0000-00003B090000}"/>
    <cellStyle name="CustomCellsOrange 3 15" xfId="2364" xr:uid="{00000000-0005-0000-0000-00003C090000}"/>
    <cellStyle name="CustomCellsOrange 3 2" xfId="2365" xr:uid="{00000000-0005-0000-0000-00003D090000}"/>
    <cellStyle name="CustomCellsOrange 3 2 10" xfId="2366" xr:uid="{00000000-0005-0000-0000-00003E090000}"/>
    <cellStyle name="CustomCellsOrange 3 2 11" xfId="2367" xr:uid="{00000000-0005-0000-0000-00003F090000}"/>
    <cellStyle name="CustomCellsOrange 3 2 12" xfId="2368" xr:uid="{00000000-0005-0000-0000-000040090000}"/>
    <cellStyle name="CustomCellsOrange 3 2 2" xfId="2369" xr:uid="{00000000-0005-0000-0000-000041090000}"/>
    <cellStyle name="CustomCellsOrange 3 2 2 10" xfId="2370" xr:uid="{00000000-0005-0000-0000-000042090000}"/>
    <cellStyle name="CustomCellsOrange 3 2 2 11" xfId="2371" xr:uid="{00000000-0005-0000-0000-000043090000}"/>
    <cellStyle name="CustomCellsOrange 3 2 2 2" xfId="2372" xr:uid="{00000000-0005-0000-0000-000044090000}"/>
    <cellStyle name="CustomCellsOrange 3 2 2 3" xfId="2373" xr:uid="{00000000-0005-0000-0000-000045090000}"/>
    <cellStyle name="CustomCellsOrange 3 2 2 4" xfId="2374" xr:uid="{00000000-0005-0000-0000-000046090000}"/>
    <cellStyle name="CustomCellsOrange 3 2 2 5" xfId="2375" xr:uid="{00000000-0005-0000-0000-000047090000}"/>
    <cellStyle name="CustomCellsOrange 3 2 2 6" xfId="2376" xr:uid="{00000000-0005-0000-0000-000048090000}"/>
    <cellStyle name="CustomCellsOrange 3 2 2 7" xfId="2377" xr:uid="{00000000-0005-0000-0000-000049090000}"/>
    <cellStyle name="CustomCellsOrange 3 2 2 8" xfId="2378" xr:uid="{00000000-0005-0000-0000-00004A090000}"/>
    <cellStyle name="CustomCellsOrange 3 2 2 9" xfId="2379" xr:uid="{00000000-0005-0000-0000-00004B090000}"/>
    <cellStyle name="CustomCellsOrange 3 2 3" xfId="2380" xr:uid="{00000000-0005-0000-0000-00004C090000}"/>
    <cellStyle name="CustomCellsOrange 3 2 4" xfId="2381" xr:uid="{00000000-0005-0000-0000-00004D090000}"/>
    <cellStyle name="CustomCellsOrange 3 2 5" xfId="2382" xr:uid="{00000000-0005-0000-0000-00004E090000}"/>
    <cellStyle name="CustomCellsOrange 3 2 6" xfId="2383" xr:uid="{00000000-0005-0000-0000-00004F090000}"/>
    <cellStyle name="CustomCellsOrange 3 2 7" xfId="2384" xr:uid="{00000000-0005-0000-0000-000050090000}"/>
    <cellStyle name="CustomCellsOrange 3 2 8" xfId="2385" xr:uid="{00000000-0005-0000-0000-000051090000}"/>
    <cellStyle name="CustomCellsOrange 3 2 9" xfId="2386" xr:uid="{00000000-0005-0000-0000-000052090000}"/>
    <cellStyle name="CustomCellsOrange 3 3" xfId="2387" xr:uid="{00000000-0005-0000-0000-000053090000}"/>
    <cellStyle name="CustomCellsOrange 3 3 10" xfId="2388" xr:uid="{00000000-0005-0000-0000-000054090000}"/>
    <cellStyle name="CustomCellsOrange 3 3 11" xfId="2389" xr:uid="{00000000-0005-0000-0000-000055090000}"/>
    <cellStyle name="CustomCellsOrange 3 3 12" xfId="2390" xr:uid="{00000000-0005-0000-0000-000056090000}"/>
    <cellStyle name="CustomCellsOrange 3 3 2" xfId="2391" xr:uid="{00000000-0005-0000-0000-000057090000}"/>
    <cellStyle name="CustomCellsOrange 3 3 2 10" xfId="2392" xr:uid="{00000000-0005-0000-0000-000058090000}"/>
    <cellStyle name="CustomCellsOrange 3 3 2 11" xfId="2393" xr:uid="{00000000-0005-0000-0000-000059090000}"/>
    <cellStyle name="CustomCellsOrange 3 3 2 2" xfId="2394" xr:uid="{00000000-0005-0000-0000-00005A090000}"/>
    <cellStyle name="CustomCellsOrange 3 3 2 3" xfId="2395" xr:uid="{00000000-0005-0000-0000-00005B090000}"/>
    <cellStyle name="CustomCellsOrange 3 3 2 4" xfId="2396" xr:uid="{00000000-0005-0000-0000-00005C090000}"/>
    <cellStyle name="CustomCellsOrange 3 3 2 5" xfId="2397" xr:uid="{00000000-0005-0000-0000-00005D090000}"/>
    <cellStyle name="CustomCellsOrange 3 3 2 6" xfId="2398" xr:uid="{00000000-0005-0000-0000-00005E090000}"/>
    <cellStyle name="CustomCellsOrange 3 3 2 7" xfId="2399" xr:uid="{00000000-0005-0000-0000-00005F090000}"/>
    <cellStyle name="CustomCellsOrange 3 3 2 8" xfId="2400" xr:uid="{00000000-0005-0000-0000-000060090000}"/>
    <cellStyle name="CustomCellsOrange 3 3 2 9" xfId="2401" xr:uid="{00000000-0005-0000-0000-000061090000}"/>
    <cellStyle name="CustomCellsOrange 3 3 3" xfId="2402" xr:uid="{00000000-0005-0000-0000-000062090000}"/>
    <cellStyle name="CustomCellsOrange 3 3 4" xfId="2403" xr:uid="{00000000-0005-0000-0000-000063090000}"/>
    <cellStyle name="CustomCellsOrange 3 3 5" xfId="2404" xr:uid="{00000000-0005-0000-0000-000064090000}"/>
    <cellStyle name="CustomCellsOrange 3 3 6" xfId="2405" xr:uid="{00000000-0005-0000-0000-000065090000}"/>
    <cellStyle name="CustomCellsOrange 3 3 7" xfId="2406" xr:uid="{00000000-0005-0000-0000-000066090000}"/>
    <cellStyle name="CustomCellsOrange 3 3 8" xfId="2407" xr:uid="{00000000-0005-0000-0000-000067090000}"/>
    <cellStyle name="CustomCellsOrange 3 3 9" xfId="2408" xr:uid="{00000000-0005-0000-0000-000068090000}"/>
    <cellStyle name="CustomCellsOrange 3 4" xfId="2409" xr:uid="{00000000-0005-0000-0000-000069090000}"/>
    <cellStyle name="CustomCellsOrange 3 4 10" xfId="2410" xr:uid="{00000000-0005-0000-0000-00006A090000}"/>
    <cellStyle name="CustomCellsOrange 3 4 11" xfId="2411" xr:uid="{00000000-0005-0000-0000-00006B090000}"/>
    <cellStyle name="CustomCellsOrange 3 4 12" xfId="2412" xr:uid="{00000000-0005-0000-0000-00006C090000}"/>
    <cellStyle name="CustomCellsOrange 3 4 2" xfId="2413" xr:uid="{00000000-0005-0000-0000-00006D090000}"/>
    <cellStyle name="CustomCellsOrange 3 4 2 10" xfId="2414" xr:uid="{00000000-0005-0000-0000-00006E090000}"/>
    <cellStyle name="CustomCellsOrange 3 4 2 11" xfId="2415" xr:uid="{00000000-0005-0000-0000-00006F090000}"/>
    <cellStyle name="CustomCellsOrange 3 4 2 2" xfId="2416" xr:uid="{00000000-0005-0000-0000-000070090000}"/>
    <cellStyle name="CustomCellsOrange 3 4 2 3" xfId="2417" xr:uid="{00000000-0005-0000-0000-000071090000}"/>
    <cellStyle name="CustomCellsOrange 3 4 2 4" xfId="2418" xr:uid="{00000000-0005-0000-0000-000072090000}"/>
    <cellStyle name="CustomCellsOrange 3 4 2 5" xfId="2419" xr:uid="{00000000-0005-0000-0000-000073090000}"/>
    <cellStyle name="CustomCellsOrange 3 4 2 6" xfId="2420" xr:uid="{00000000-0005-0000-0000-000074090000}"/>
    <cellStyle name="CustomCellsOrange 3 4 2 7" xfId="2421" xr:uid="{00000000-0005-0000-0000-000075090000}"/>
    <cellStyle name="CustomCellsOrange 3 4 2 8" xfId="2422" xr:uid="{00000000-0005-0000-0000-000076090000}"/>
    <cellStyle name="CustomCellsOrange 3 4 2 9" xfId="2423" xr:uid="{00000000-0005-0000-0000-000077090000}"/>
    <cellStyle name="CustomCellsOrange 3 4 3" xfId="2424" xr:uid="{00000000-0005-0000-0000-000078090000}"/>
    <cellStyle name="CustomCellsOrange 3 4 4" xfId="2425" xr:uid="{00000000-0005-0000-0000-000079090000}"/>
    <cellStyle name="CustomCellsOrange 3 4 5" xfId="2426" xr:uid="{00000000-0005-0000-0000-00007A090000}"/>
    <cellStyle name="CustomCellsOrange 3 4 6" xfId="2427" xr:uid="{00000000-0005-0000-0000-00007B090000}"/>
    <cellStyle name="CustomCellsOrange 3 4 7" xfId="2428" xr:uid="{00000000-0005-0000-0000-00007C090000}"/>
    <cellStyle name="CustomCellsOrange 3 4 8" xfId="2429" xr:uid="{00000000-0005-0000-0000-00007D090000}"/>
    <cellStyle name="CustomCellsOrange 3 4 9" xfId="2430" xr:uid="{00000000-0005-0000-0000-00007E090000}"/>
    <cellStyle name="CustomCellsOrange 3 5" xfId="2431" xr:uid="{00000000-0005-0000-0000-00007F090000}"/>
    <cellStyle name="CustomCellsOrange 3 5 2" xfId="2432" xr:uid="{00000000-0005-0000-0000-000080090000}"/>
    <cellStyle name="CustomCellsOrange 3 6" xfId="2433" xr:uid="{00000000-0005-0000-0000-000081090000}"/>
    <cellStyle name="CustomCellsOrange 3 7" xfId="2434" xr:uid="{00000000-0005-0000-0000-000082090000}"/>
    <cellStyle name="CustomCellsOrange 3 8" xfId="2435" xr:uid="{00000000-0005-0000-0000-000083090000}"/>
    <cellStyle name="CustomCellsOrange 3 9" xfId="2436" xr:uid="{00000000-0005-0000-0000-000084090000}"/>
    <cellStyle name="CustomizationCells" xfId="2437" xr:uid="{00000000-0005-0000-0000-000085090000}"/>
    <cellStyle name="CustomizationCells 2" xfId="2438" xr:uid="{00000000-0005-0000-0000-000086090000}"/>
    <cellStyle name="CustomizationCells 2 2" xfId="2439" xr:uid="{00000000-0005-0000-0000-000087090000}"/>
    <cellStyle name="CustomizationCells 2 2 10" xfId="2440" xr:uid="{00000000-0005-0000-0000-000088090000}"/>
    <cellStyle name="CustomizationCells 2 2 11" xfId="2441" xr:uid="{00000000-0005-0000-0000-000089090000}"/>
    <cellStyle name="CustomizationCells 2 2 12" xfId="2442" xr:uid="{00000000-0005-0000-0000-00008A090000}"/>
    <cellStyle name="CustomizationCells 2 2 13" xfId="2443" xr:uid="{00000000-0005-0000-0000-00008B090000}"/>
    <cellStyle name="CustomizationCells 2 2 14" xfId="2444" xr:uid="{00000000-0005-0000-0000-00008C090000}"/>
    <cellStyle name="CustomizationCells 2 2 15" xfId="2445" xr:uid="{00000000-0005-0000-0000-00008D090000}"/>
    <cellStyle name="CustomizationCells 2 2 2" xfId="2446" xr:uid="{00000000-0005-0000-0000-00008E090000}"/>
    <cellStyle name="CustomizationCells 2 2 2 2" xfId="2447" xr:uid="{00000000-0005-0000-0000-00008F090000}"/>
    <cellStyle name="CustomizationCells 2 2 2 2 10" xfId="2448" xr:uid="{00000000-0005-0000-0000-000090090000}"/>
    <cellStyle name="CustomizationCells 2 2 2 2 11" xfId="2449" xr:uid="{00000000-0005-0000-0000-000091090000}"/>
    <cellStyle name="CustomizationCells 2 2 2 2 12" xfId="2450" xr:uid="{00000000-0005-0000-0000-000092090000}"/>
    <cellStyle name="CustomizationCells 2 2 2 2 2" xfId="2451" xr:uid="{00000000-0005-0000-0000-000093090000}"/>
    <cellStyle name="CustomizationCells 2 2 2 2 2 10" xfId="2452" xr:uid="{00000000-0005-0000-0000-000094090000}"/>
    <cellStyle name="CustomizationCells 2 2 2 2 2 11" xfId="2453" xr:uid="{00000000-0005-0000-0000-000095090000}"/>
    <cellStyle name="CustomizationCells 2 2 2 2 2 2" xfId="2454" xr:uid="{00000000-0005-0000-0000-000096090000}"/>
    <cellStyle name="CustomizationCells 2 2 2 2 2 3" xfId="2455" xr:uid="{00000000-0005-0000-0000-000097090000}"/>
    <cellStyle name="CustomizationCells 2 2 2 2 2 4" xfId="2456" xr:uid="{00000000-0005-0000-0000-000098090000}"/>
    <cellStyle name="CustomizationCells 2 2 2 2 2 5" xfId="2457" xr:uid="{00000000-0005-0000-0000-000099090000}"/>
    <cellStyle name="CustomizationCells 2 2 2 2 2 6" xfId="2458" xr:uid="{00000000-0005-0000-0000-00009A090000}"/>
    <cellStyle name="CustomizationCells 2 2 2 2 2 7" xfId="2459" xr:uid="{00000000-0005-0000-0000-00009B090000}"/>
    <cellStyle name="CustomizationCells 2 2 2 2 2 8" xfId="2460" xr:uid="{00000000-0005-0000-0000-00009C090000}"/>
    <cellStyle name="CustomizationCells 2 2 2 2 2 9" xfId="2461" xr:uid="{00000000-0005-0000-0000-00009D090000}"/>
    <cellStyle name="CustomizationCells 2 2 2 2 3" xfId="2462" xr:uid="{00000000-0005-0000-0000-00009E090000}"/>
    <cellStyle name="CustomizationCells 2 2 2 2 4" xfId="2463" xr:uid="{00000000-0005-0000-0000-00009F090000}"/>
    <cellStyle name="CustomizationCells 2 2 2 2 5" xfId="2464" xr:uid="{00000000-0005-0000-0000-0000A0090000}"/>
    <cellStyle name="CustomizationCells 2 2 2 2 6" xfId="2465" xr:uid="{00000000-0005-0000-0000-0000A1090000}"/>
    <cellStyle name="CustomizationCells 2 2 2 2 7" xfId="2466" xr:uid="{00000000-0005-0000-0000-0000A2090000}"/>
    <cellStyle name="CustomizationCells 2 2 2 2 8" xfId="2467" xr:uid="{00000000-0005-0000-0000-0000A3090000}"/>
    <cellStyle name="CustomizationCells 2 2 2 2 9" xfId="2468" xr:uid="{00000000-0005-0000-0000-0000A4090000}"/>
    <cellStyle name="CustomizationCells 2 2 3" xfId="2469" xr:uid="{00000000-0005-0000-0000-0000A5090000}"/>
    <cellStyle name="CustomizationCells 2 2 3 10" xfId="2470" xr:uid="{00000000-0005-0000-0000-0000A6090000}"/>
    <cellStyle name="CustomizationCells 2 2 3 11" xfId="2471" xr:uid="{00000000-0005-0000-0000-0000A7090000}"/>
    <cellStyle name="CustomizationCells 2 2 3 12" xfId="2472" xr:uid="{00000000-0005-0000-0000-0000A8090000}"/>
    <cellStyle name="CustomizationCells 2 2 3 2" xfId="2473" xr:uid="{00000000-0005-0000-0000-0000A9090000}"/>
    <cellStyle name="CustomizationCells 2 2 3 2 10" xfId="2474" xr:uid="{00000000-0005-0000-0000-0000AA090000}"/>
    <cellStyle name="CustomizationCells 2 2 3 2 11" xfId="2475" xr:uid="{00000000-0005-0000-0000-0000AB090000}"/>
    <cellStyle name="CustomizationCells 2 2 3 2 2" xfId="2476" xr:uid="{00000000-0005-0000-0000-0000AC090000}"/>
    <cellStyle name="CustomizationCells 2 2 3 2 3" xfId="2477" xr:uid="{00000000-0005-0000-0000-0000AD090000}"/>
    <cellStyle name="CustomizationCells 2 2 3 2 4" xfId="2478" xr:uid="{00000000-0005-0000-0000-0000AE090000}"/>
    <cellStyle name="CustomizationCells 2 2 3 2 5" xfId="2479" xr:uid="{00000000-0005-0000-0000-0000AF090000}"/>
    <cellStyle name="CustomizationCells 2 2 3 2 6" xfId="2480" xr:uid="{00000000-0005-0000-0000-0000B0090000}"/>
    <cellStyle name="CustomizationCells 2 2 3 2 7" xfId="2481" xr:uid="{00000000-0005-0000-0000-0000B1090000}"/>
    <cellStyle name="CustomizationCells 2 2 3 2 8" xfId="2482" xr:uid="{00000000-0005-0000-0000-0000B2090000}"/>
    <cellStyle name="CustomizationCells 2 2 3 2 9" xfId="2483" xr:uid="{00000000-0005-0000-0000-0000B3090000}"/>
    <cellStyle name="CustomizationCells 2 2 3 3" xfId="2484" xr:uid="{00000000-0005-0000-0000-0000B4090000}"/>
    <cellStyle name="CustomizationCells 2 2 3 4" xfId="2485" xr:uid="{00000000-0005-0000-0000-0000B5090000}"/>
    <cellStyle name="CustomizationCells 2 2 3 5" xfId="2486" xr:uid="{00000000-0005-0000-0000-0000B6090000}"/>
    <cellStyle name="CustomizationCells 2 2 3 6" xfId="2487" xr:uid="{00000000-0005-0000-0000-0000B7090000}"/>
    <cellStyle name="CustomizationCells 2 2 3 7" xfId="2488" xr:uid="{00000000-0005-0000-0000-0000B8090000}"/>
    <cellStyle name="CustomizationCells 2 2 3 8" xfId="2489" xr:uid="{00000000-0005-0000-0000-0000B9090000}"/>
    <cellStyle name="CustomizationCells 2 2 3 9" xfId="2490" xr:uid="{00000000-0005-0000-0000-0000BA090000}"/>
    <cellStyle name="CustomizationCells 2 2 4" xfId="2491" xr:uid="{00000000-0005-0000-0000-0000BB090000}"/>
    <cellStyle name="CustomizationCells 2 2 4 10" xfId="2492" xr:uid="{00000000-0005-0000-0000-0000BC090000}"/>
    <cellStyle name="CustomizationCells 2 2 4 11" xfId="2493" xr:uid="{00000000-0005-0000-0000-0000BD090000}"/>
    <cellStyle name="CustomizationCells 2 2 4 12" xfId="2494" xr:uid="{00000000-0005-0000-0000-0000BE090000}"/>
    <cellStyle name="CustomizationCells 2 2 4 2" xfId="2495" xr:uid="{00000000-0005-0000-0000-0000BF090000}"/>
    <cellStyle name="CustomizationCells 2 2 4 2 10" xfId="2496" xr:uid="{00000000-0005-0000-0000-0000C0090000}"/>
    <cellStyle name="CustomizationCells 2 2 4 2 11" xfId="2497" xr:uid="{00000000-0005-0000-0000-0000C1090000}"/>
    <cellStyle name="CustomizationCells 2 2 4 2 2" xfId="2498" xr:uid="{00000000-0005-0000-0000-0000C2090000}"/>
    <cellStyle name="CustomizationCells 2 2 4 2 3" xfId="2499" xr:uid="{00000000-0005-0000-0000-0000C3090000}"/>
    <cellStyle name="CustomizationCells 2 2 4 2 4" xfId="2500" xr:uid="{00000000-0005-0000-0000-0000C4090000}"/>
    <cellStyle name="CustomizationCells 2 2 4 2 5" xfId="2501" xr:uid="{00000000-0005-0000-0000-0000C5090000}"/>
    <cellStyle name="CustomizationCells 2 2 4 2 6" xfId="2502" xr:uid="{00000000-0005-0000-0000-0000C6090000}"/>
    <cellStyle name="CustomizationCells 2 2 4 2 7" xfId="2503" xr:uid="{00000000-0005-0000-0000-0000C7090000}"/>
    <cellStyle name="CustomizationCells 2 2 4 2 8" xfId="2504" xr:uid="{00000000-0005-0000-0000-0000C8090000}"/>
    <cellStyle name="CustomizationCells 2 2 4 2 9" xfId="2505" xr:uid="{00000000-0005-0000-0000-0000C9090000}"/>
    <cellStyle name="CustomizationCells 2 2 4 3" xfId="2506" xr:uid="{00000000-0005-0000-0000-0000CA090000}"/>
    <cellStyle name="CustomizationCells 2 2 4 4" xfId="2507" xr:uid="{00000000-0005-0000-0000-0000CB090000}"/>
    <cellStyle name="CustomizationCells 2 2 4 5" xfId="2508" xr:uid="{00000000-0005-0000-0000-0000CC090000}"/>
    <cellStyle name="CustomizationCells 2 2 4 6" xfId="2509" xr:uid="{00000000-0005-0000-0000-0000CD090000}"/>
    <cellStyle name="CustomizationCells 2 2 4 7" xfId="2510" xr:uid="{00000000-0005-0000-0000-0000CE090000}"/>
    <cellStyle name="CustomizationCells 2 2 4 8" xfId="2511" xr:uid="{00000000-0005-0000-0000-0000CF090000}"/>
    <cellStyle name="CustomizationCells 2 2 4 9" xfId="2512" xr:uid="{00000000-0005-0000-0000-0000D0090000}"/>
    <cellStyle name="CustomizationCells 2 2 5" xfId="2513" xr:uid="{00000000-0005-0000-0000-0000D1090000}"/>
    <cellStyle name="CustomizationCells 2 2 5 10" xfId="2514" xr:uid="{00000000-0005-0000-0000-0000D2090000}"/>
    <cellStyle name="CustomizationCells 2 2 5 11" xfId="2515" xr:uid="{00000000-0005-0000-0000-0000D3090000}"/>
    <cellStyle name="CustomizationCells 2 2 5 12" xfId="2516" xr:uid="{00000000-0005-0000-0000-0000D4090000}"/>
    <cellStyle name="CustomizationCells 2 2 5 2" xfId="2517" xr:uid="{00000000-0005-0000-0000-0000D5090000}"/>
    <cellStyle name="CustomizationCells 2 2 5 2 2" xfId="2518" xr:uid="{00000000-0005-0000-0000-0000D6090000}"/>
    <cellStyle name="CustomizationCells 2 2 5 3" xfId="2519" xr:uid="{00000000-0005-0000-0000-0000D7090000}"/>
    <cellStyle name="CustomizationCells 2 2 5 4" xfId="2520" xr:uid="{00000000-0005-0000-0000-0000D8090000}"/>
    <cellStyle name="CustomizationCells 2 2 5 5" xfId="2521" xr:uid="{00000000-0005-0000-0000-0000D9090000}"/>
    <cellStyle name="CustomizationCells 2 2 5 6" xfId="2522" xr:uid="{00000000-0005-0000-0000-0000DA090000}"/>
    <cellStyle name="CustomizationCells 2 2 5 7" xfId="2523" xr:uid="{00000000-0005-0000-0000-0000DB090000}"/>
    <cellStyle name="CustomizationCells 2 2 5 8" xfId="2524" xr:uid="{00000000-0005-0000-0000-0000DC090000}"/>
    <cellStyle name="CustomizationCells 2 2 5 9" xfId="2525" xr:uid="{00000000-0005-0000-0000-0000DD090000}"/>
    <cellStyle name="CustomizationCells 2 2 6" xfId="2526" xr:uid="{00000000-0005-0000-0000-0000DE090000}"/>
    <cellStyle name="CustomizationCells 2 2 7" xfId="2527" xr:uid="{00000000-0005-0000-0000-0000DF090000}"/>
    <cellStyle name="CustomizationCells 2 2 8" xfId="2528" xr:uid="{00000000-0005-0000-0000-0000E0090000}"/>
    <cellStyle name="CustomizationCells 2 2 9" xfId="2529" xr:uid="{00000000-0005-0000-0000-0000E1090000}"/>
    <cellStyle name="CustomizationCells 3" xfId="2530" xr:uid="{00000000-0005-0000-0000-0000E2090000}"/>
    <cellStyle name="CustomizationCells 3 10" xfId="2531" xr:uid="{00000000-0005-0000-0000-0000E3090000}"/>
    <cellStyle name="CustomizationCells 3 11" xfId="2532" xr:uid="{00000000-0005-0000-0000-0000E4090000}"/>
    <cellStyle name="CustomizationCells 3 12" xfId="2533" xr:uid="{00000000-0005-0000-0000-0000E5090000}"/>
    <cellStyle name="CustomizationCells 3 13" xfId="2534" xr:uid="{00000000-0005-0000-0000-0000E6090000}"/>
    <cellStyle name="CustomizationCells 3 14" xfId="2535" xr:uid="{00000000-0005-0000-0000-0000E7090000}"/>
    <cellStyle name="CustomizationCells 3 15" xfId="2536" xr:uid="{00000000-0005-0000-0000-0000E8090000}"/>
    <cellStyle name="CustomizationCells 3 2" xfId="2537" xr:uid="{00000000-0005-0000-0000-0000E9090000}"/>
    <cellStyle name="CustomizationCells 3 2 10" xfId="2538" xr:uid="{00000000-0005-0000-0000-0000EA090000}"/>
    <cellStyle name="CustomizationCells 3 2 11" xfId="2539" xr:uid="{00000000-0005-0000-0000-0000EB090000}"/>
    <cellStyle name="CustomizationCells 3 2 12" xfId="2540" xr:uid="{00000000-0005-0000-0000-0000EC090000}"/>
    <cellStyle name="CustomizationCells 3 2 2" xfId="2541" xr:uid="{00000000-0005-0000-0000-0000ED090000}"/>
    <cellStyle name="CustomizationCells 3 2 2 10" xfId="2542" xr:uid="{00000000-0005-0000-0000-0000EE090000}"/>
    <cellStyle name="CustomizationCells 3 2 2 11" xfId="2543" xr:uid="{00000000-0005-0000-0000-0000EF090000}"/>
    <cellStyle name="CustomizationCells 3 2 2 2" xfId="2544" xr:uid="{00000000-0005-0000-0000-0000F0090000}"/>
    <cellStyle name="CustomizationCells 3 2 2 3" xfId="2545" xr:uid="{00000000-0005-0000-0000-0000F1090000}"/>
    <cellStyle name="CustomizationCells 3 2 2 4" xfId="2546" xr:uid="{00000000-0005-0000-0000-0000F2090000}"/>
    <cellStyle name="CustomizationCells 3 2 2 5" xfId="2547" xr:uid="{00000000-0005-0000-0000-0000F3090000}"/>
    <cellStyle name="CustomizationCells 3 2 2 6" xfId="2548" xr:uid="{00000000-0005-0000-0000-0000F4090000}"/>
    <cellStyle name="CustomizationCells 3 2 2 7" xfId="2549" xr:uid="{00000000-0005-0000-0000-0000F5090000}"/>
    <cellStyle name="CustomizationCells 3 2 2 8" xfId="2550" xr:uid="{00000000-0005-0000-0000-0000F6090000}"/>
    <cellStyle name="CustomizationCells 3 2 2 9" xfId="2551" xr:uid="{00000000-0005-0000-0000-0000F7090000}"/>
    <cellStyle name="CustomizationCells 3 2 3" xfId="2552" xr:uid="{00000000-0005-0000-0000-0000F8090000}"/>
    <cellStyle name="CustomizationCells 3 2 4" xfId="2553" xr:uid="{00000000-0005-0000-0000-0000F9090000}"/>
    <cellStyle name="CustomizationCells 3 2 5" xfId="2554" xr:uid="{00000000-0005-0000-0000-0000FA090000}"/>
    <cellStyle name="CustomizationCells 3 2 6" xfId="2555" xr:uid="{00000000-0005-0000-0000-0000FB090000}"/>
    <cellStyle name="CustomizationCells 3 2 7" xfId="2556" xr:uid="{00000000-0005-0000-0000-0000FC090000}"/>
    <cellStyle name="CustomizationCells 3 2 8" xfId="2557" xr:uid="{00000000-0005-0000-0000-0000FD090000}"/>
    <cellStyle name="CustomizationCells 3 2 9" xfId="2558" xr:uid="{00000000-0005-0000-0000-0000FE090000}"/>
    <cellStyle name="CustomizationCells 3 3" xfId="2559" xr:uid="{00000000-0005-0000-0000-0000FF090000}"/>
    <cellStyle name="CustomizationCells 3 3 10" xfId="2560" xr:uid="{00000000-0005-0000-0000-0000000A0000}"/>
    <cellStyle name="CustomizationCells 3 3 11" xfId="2561" xr:uid="{00000000-0005-0000-0000-0000010A0000}"/>
    <cellStyle name="CustomizationCells 3 3 12" xfId="2562" xr:uid="{00000000-0005-0000-0000-0000020A0000}"/>
    <cellStyle name="CustomizationCells 3 3 2" xfId="2563" xr:uid="{00000000-0005-0000-0000-0000030A0000}"/>
    <cellStyle name="CustomizationCells 3 3 2 10" xfId="2564" xr:uid="{00000000-0005-0000-0000-0000040A0000}"/>
    <cellStyle name="CustomizationCells 3 3 2 11" xfId="2565" xr:uid="{00000000-0005-0000-0000-0000050A0000}"/>
    <cellStyle name="CustomizationCells 3 3 2 2" xfId="2566" xr:uid="{00000000-0005-0000-0000-0000060A0000}"/>
    <cellStyle name="CustomizationCells 3 3 2 3" xfId="2567" xr:uid="{00000000-0005-0000-0000-0000070A0000}"/>
    <cellStyle name="CustomizationCells 3 3 2 4" xfId="2568" xr:uid="{00000000-0005-0000-0000-0000080A0000}"/>
    <cellStyle name="CustomizationCells 3 3 2 5" xfId="2569" xr:uid="{00000000-0005-0000-0000-0000090A0000}"/>
    <cellStyle name="CustomizationCells 3 3 2 6" xfId="2570" xr:uid="{00000000-0005-0000-0000-00000A0A0000}"/>
    <cellStyle name="CustomizationCells 3 3 2 7" xfId="2571" xr:uid="{00000000-0005-0000-0000-00000B0A0000}"/>
    <cellStyle name="CustomizationCells 3 3 2 8" xfId="2572" xr:uid="{00000000-0005-0000-0000-00000C0A0000}"/>
    <cellStyle name="CustomizationCells 3 3 2 9" xfId="2573" xr:uid="{00000000-0005-0000-0000-00000D0A0000}"/>
    <cellStyle name="CustomizationCells 3 3 3" xfId="2574" xr:uid="{00000000-0005-0000-0000-00000E0A0000}"/>
    <cellStyle name="CustomizationCells 3 3 4" xfId="2575" xr:uid="{00000000-0005-0000-0000-00000F0A0000}"/>
    <cellStyle name="CustomizationCells 3 3 5" xfId="2576" xr:uid="{00000000-0005-0000-0000-0000100A0000}"/>
    <cellStyle name="CustomizationCells 3 3 6" xfId="2577" xr:uid="{00000000-0005-0000-0000-0000110A0000}"/>
    <cellStyle name="CustomizationCells 3 3 7" xfId="2578" xr:uid="{00000000-0005-0000-0000-0000120A0000}"/>
    <cellStyle name="CustomizationCells 3 3 8" xfId="2579" xr:uid="{00000000-0005-0000-0000-0000130A0000}"/>
    <cellStyle name="CustomizationCells 3 3 9" xfId="2580" xr:uid="{00000000-0005-0000-0000-0000140A0000}"/>
    <cellStyle name="CustomizationCells 3 4" xfId="2581" xr:uid="{00000000-0005-0000-0000-0000150A0000}"/>
    <cellStyle name="CustomizationCells 3 4 10" xfId="2582" xr:uid="{00000000-0005-0000-0000-0000160A0000}"/>
    <cellStyle name="CustomizationCells 3 4 11" xfId="2583" xr:uid="{00000000-0005-0000-0000-0000170A0000}"/>
    <cellStyle name="CustomizationCells 3 4 12" xfId="2584" xr:uid="{00000000-0005-0000-0000-0000180A0000}"/>
    <cellStyle name="CustomizationCells 3 4 2" xfId="2585" xr:uid="{00000000-0005-0000-0000-0000190A0000}"/>
    <cellStyle name="CustomizationCells 3 4 2 10" xfId="2586" xr:uid="{00000000-0005-0000-0000-00001A0A0000}"/>
    <cellStyle name="CustomizationCells 3 4 2 11" xfId="2587" xr:uid="{00000000-0005-0000-0000-00001B0A0000}"/>
    <cellStyle name="CustomizationCells 3 4 2 2" xfId="2588" xr:uid="{00000000-0005-0000-0000-00001C0A0000}"/>
    <cellStyle name="CustomizationCells 3 4 2 3" xfId="2589" xr:uid="{00000000-0005-0000-0000-00001D0A0000}"/>
    <cellStyle name="CustomizationCells 3 4 2 4" xfId="2590" xr:uid="{00000000-0005-0000-0000-00001E0A0000}"/>
    <cellStyle name="CustomizationCells 3 4 2 5" xfId="2591" xr:uid="{00000000-0005-0000-0000-00001F0A0000}"/>
    <cellStyle name="CustomizationCells 3 4 2 6" xfId="2592" xr:uid="{00000000-0005-0000-0000-0000200A0000}"/>
    <cellStyle name="CustomizationCells 3 4 2 7" xfId="2593" xr:uid="{00000000-0005-0000-0000-0000210A0000}"/>
    <cellStyle name="CustomizationCells 3 4 2 8" xfId="2594" xr:uid="{00000000-0005-0000-0000-0000220A0000}"/>
    <cellStyle name="CustomizationCells 3 4 2 9" xfId="2595" xr:uid="{00000000-0005-0000-0000-0000230A0000}"/>
    <cellStyle name="CustomizationCells 3 4 3" xfId="2596" xr:uid="{00000000-0005-0000-0000-0000240A0000}"/>
    <cellStyle name="CustomizationCells 3 4 4" xfId="2597" xr:uid="{00000000-0005-0000-0000-0000250A0000}"/>
    <cellStyle name="CustomizationCells 3 4 5" xfId="2598" xr:uid="{00000000-0005-0000-0000-0000260A0000}"/>
    <cellStyle name="CustomizationCells 3 4 6" xfId="2599" xr:uid="{00000000-0005-0000-0000-0000270A0000}"/>
    <cellStyle name="CustomizationCells 3 4 7" xfId="2600" xr:uid="{00000000-0005-0000-0000-0000280A0000}"/>
    <cellStyle name="CustomizationCells 3 4 8" xfId="2601" xr:uid="{00000000-0005-0000-0000-0000290A0000}"/>
    <cellStyle name="CustomizationCells 3 4 9" xfId="2602" xr:uid="{00000000-0005-0000-0000-00002A0A0000}"/>
    <cellStyle name="CustomizationCells 3 5" xfId="2603" xr:uid="{00000000-0005-0000-0000-00002B0A0000}"/>
    <cellStyle name="CustomizationCells 3 5 2" xfId="2604" xr:uid="{00000000-0005-0000-0000-00002C0A0000}"/>
    <cellStyle name="CustomizationCells 3 6" xfId="2605" xr:uid="{00000000-0005-0000-0000-00002D0A0000}"/>
    <cellStyle name="CustomizationCells 3 7" xfId="2606" xr:uid="{00000000-0005-0000-0000-00002E0A0000}"/>
    <cellStyle name="CustomizationCells 3 8" xfId="2607" xr:uid="{00000000-0005-0000-0000-00002F0A0000}"/>
    <cellStyle name="CustomizationCells 3 9" xfId="2608" xr:uid="{00000000-0005-0000-0000-0000300A0000}"/>
    <cellStyle name="CustomizationCells 4" xfId="2609" xr:uid="{00000000-0005-0000-0000-0000310A0000}"/>
    <cellStyle name="CustomizationCells 4 2" xfId="2610" xr:uid="{00000000-0005-0000-0000-0000320A0000}"/>
    <cellStyle name="CustomizationGreenCells" xfId="2611" xr:uid="{00000000-0005-0000-0000-0000330A0000}"/>
    <cellStyle name="CustomizationGreenCells 2" xfId="2612" xr:uid="{00000000-0005-0000-0000-0000340A0000}"/>
    <cellStyle name="CustomizationGreenCells 2 2" xfId="2613" xr:uid="{00000000-0005-0000-0000-0000350A0000}"/>
    <cellStyle name="CustomizationGreenCells 3" xfId="2614" xr:uid="{00000000-0005-0000-0000-0000360A0000}"/>
    <cellStyle name="CustomizationGreenCells 3 10" xfId="2615" xr:uid="{00000000-0005-0000-0000-0000370A0000}"/>
    <cellStyle name="CustomizationGreenCells 3 11" xfId="2616" xr:uid="{00000000-0005-0000-0000-0000380A0000}"/>
    <cellStyle name="CustomizationGreenCells 3 12" xfId="2617" xr:uid="{00000000-0005-0000-0000-0000390A0000}"/>
    <cellStyle name="CustomizationGreenCells 3 13" xfId="2618" xr:uid="{00000000-0005-0000-0000-00003A0A0000}"/>
    <cellStyle name="CustomizationGreenCells 3 14" xfId="2619" xr:uid="{00000000-0005-0000-0000-00003B0A0000}"/>
    <cellStyle name="CustomizationGreenCells 3 15" xfId="2620" xr:uid="{00000000-0005-0000-0000-00003C0A0000}"/>
    <cellStyle name="CustomizationGreenCells 3 2" xfId="2621" xr:uid="{00000000-0005-0000-0000-00003D0A0000}"/>
    <cellStyle name="CustomizationGreenCells 3 2 10" xfId="2622" xr:uid="{00000000-0005-0000-0000-00003E0A0000}"/>
    <cellStyle name="CustomizationGreenCells 3 2 11" xfId="2623" xr:uid="{00000000-0005-0000-0000-00003F0A0000}"/>
    <cellStyle name="CustomizationGreenCells 3 2 12" xfId="2624" xr:uid="{00000000-0005-0000-0000-0000400A0000}"/>
    <cellStyle name="CustomizationGreenCells 3 2 2" xfId="2625" xr:uid="{00000000-0005-0000-0000-0000410A0000}"/>
    <cellStyle name="CustomizationGreenCells 3 2 2 10" xfId="2626" xr:uid="{00000000-0005-0000-0000-0000420A0000}"/>
    <cellStyle name="CustomizationGreenCells 3 2 2 11" xfId="2627" xr:uid="{00000000-0005-0000-0000-0000430A0000}"/>
    <cellStyle name="CustomizationGreenCells 3 2 2 2" xfId="2628" xr:uid="{00000000-0005-0000-0000-0000440A0000}"/>
    <cellStyle name="CustomizationGreenCells 3 2 2 3" xfId="2629" xr:uid="{00000000-0005-0000-0000-0000450A0000}"/>
    <cellStyle name="CustomizationGreenCells 3 2 2 4" xfId="2630" xr:uid="{00000000-0005-0000-0000-0000460A0000}"/>
    <cellStyle name="CustomizationGreenCells 3 2 2 5" xfId="2631" xr:uid="{00000000-0005-0000-0000-0000470A0000}"/>
    <cellStyle name="CustomizationGreenCells 3 2 2 6" xfId="2632" xr:uid="{00000000-0005-0000-0000-0000480A0000}"/>
    <cellStyle name="CustomizationGreenCells 3 2 2 7" xfId="2633" xr:uid="{00000000-0005-0000-0000-0000490A0000}"/>
    <cellStyle name="CustomizationGreenCells 3 2 2 8" xfId="2634" xr:uid="{00000000-0005-0000-0000-00004A0A0000}"/>
    <cellStyle name="CustomizationGreenCells 3 2 2 9" xfId="2635" xr:uid="{00000000-0005-0000-0000-00004B0A0000}"/>
    <cellStyle name="CustomizationGreenCells 3 2 3" xfId="2636" xr:uid="{00000000-0005-0000-0000-00004C0A0000}"/>
    <cellStyle name="CustomizationGreenCells 3 2 4" xfId="2637" xr:uid="{00000000-0005-0000-0000-00004D0A0000}"/>
    <cellStyle name="CustomizationGreenCells 3 2 5" xfId="2638" xr:uid="{00000000-0005-0000-0000-00004E0A0000}"/>
    <cellStyle name="CustomizationGreenCells 3 2 6" xfId="2639" xr:uid="{00000000-0005-0000-0000-00004F0A0000}"/>
    <cellStyle name="CustomizationGreenCells 3 2 7" xfId="2640" xr:uid="{00000000-0005-0000-0000-0000500A0000}"/>
    <cellStyle name="CustomizationGreenCells 3 2 8" xfId="2641" xr:uid="{00000000-0005-0000-0000-0000510A0000}"/>
    <cellStyle name="CustomizationGreenCells 3 2 9" xfId="2642" xr:uid="{00000000-0005-0000-0000-0000520A0000}"/>
    <cellStyle name="CustomizationGreenCells 3 3" xfId="2643" xr:uid="{00000000-0005-0000-0000-0000530A0000}"/>
    <cellStyle name="CustomizationGreenCells 3 3 10" xfId="2644" xr:uid="{00000000-0005-0000-0000-0000540A0000}"/>
    <cellStyle name="CustomizationGreenCells 3 3 11" xfId="2645" xr:uid="{00000000-0005-0000-0000-0000550A0000}"/>
    <cellStyle name="CustomizationGreenCells 3 3 12" xfId="2646" xr:uid="{00000000-0005-0000-0000-0000560A0000}"/>
    <cellStyle name="CustomizationGreenCells 3 3 2" xfId="2647" xr:uid="{00000000-0005-0000-0000-0000570A0000}"/>
    <cellStyle name="CustomizationGreenCells 3 3 2 10" xfId="2648" xr:uid="{00000000-0005-0000-0000-0000580A0000}"/>
    <cellStyle name="CustomizationGreenCells 3 3 2 11" xfId="2649" xr:uid="{00000000-0005-0000-0000-0000590A0000}"/>
    <cellStyle name="CustomizationGreenCells 3 3 2 2" xfId="2650" xr:uid="{00000000-0005-0000-0000-00005A0A0000}"/>
    <cellStyle name="CustomizationGreenCells 3 3 2 3" xfId="2651" xr:uid="{00000000-0005-0000-0000-00005B0A0000}"/>
    <cellStyle name="CustomizationGreenCells 3 3 2 4" xfId="2652" xr:uid="{00000000-0005-0000-0000-00005C0A0000}"/>
    <cellStyle name="CustomizationGreenCells 3 3 2 5" xfId="2653" xr:uid="{00000000-0005-0000-0000-00005D0A0000}"/>
    <cellStyle name="CustomizationGreenCells 3 3 2 6" xfId="2654" xr:uid="{00000000-0005-0000-0000-00005E0A0000}"/>
    <cellStyle name="CustomizationGreenCells 3 3 2 7" xfId="2655" xr:uid="{00000000-0005-0000-0000-00005F0A0000}"/>
    <cellStyle name="CustomizationGreenCells 3 3 2 8" xfId="2656" xr:uid="{00000000-0005-0000-0000-0000600A0000}"/>
    <cellStyle name="CustomizationGreenCells 3 3 2 9" xfId="2657" xr:uid="{00000000-0005-0000-0000-0000610A0000}"/>
    <cellStyle name="CustomizationGreenCells 3 3 3" xfId="2658" xr:uid="{00000000-0005-0000-0000-0000620A0000}"/>
    <cellStyle name="CustomizationGreenCells 3 3 4" xfId="2659" xr:uid="{00000000-0005-0000-0000-0000630A0000}"/>
    <cellStyle name="CustomizationGreenCells 3 3 5" xfId="2660" xr:uid="{00000000-0005-0000-0000-0000640A0000}"/>
    <cellStyle name="CustomizationGreenCells 3 3 6" xfId="2661" xr:uid="{00000000-0005-0000-0000-0000650A0000}"/>
    <cellStyle name="CustomizationGreenCells 3 3 7" xfId="2662" xr:uid="{00000000-0005-0000-0000-0000660A0000}"/>
    <cellStyle name="CustomizationGreenCells 3 3 8" xfId="2663" xr:uid="{00000000-0005-0000-0000-0000670A0000}"/>
    <cellStyle name="CustomizationGreenCells 3 3 9" xfId="2664" xr:uid="{00000000-0005-0000-0000-0000680A0000}"/>
    <cellStyle name="CustomizationGreenCells 3 4" xfId="2665" xr:uid="{00000000-0005-0000-0000-0000690A0000}"/>
    <cellStyle name="CustomizationGreenCells 3 4 10" xfId="2666" xr:uid="{00000000-0005-0000-0000-00006A0A0000}"/>
    <cellStyle name="CustomizationGreenCells 3 4 11" xfId="2667" xr:uid="{00000000-0005-0000-0000-00006B0A0000}"/>
    <cellStyle name="CustomizationGreenCells 3 4 12" xfId="2668" xr:uid="{00000000-0005-0000-0000-00006C0A0000}"/>
    <cellStyle name="CustomizationGreenCells 3 4 2" xfId="2669" xr:uid="{00000000-0005-0000-0000-00006D0A0000}"/>
    <cellStyle name="CustomizationGreenCells 3 4 2 10" xfId="2670" xr:uid="{00000000-0005-0000-0000-00006E0A0000}"/>
    <cellStyle name="CustomizationGreenCells 3 4 2 11" xfId="2671" xr:uid="{00000000-0005-0000-0000-00006F0A0000}"/>
    <cellStyle name="CustomizationGreenCells 3 4 2 2" xfId="2672" xr:uid="{00000000-0005-0000-0000-0000700A0000}"/>
    <cellStyle name="CustomizationGreenCells 3 4 2 3" xfId="2673" xr:uid="{00000000-0005-0000-0000-0000710A0000}"/>
    <cellStyle name="CustomizationGreenCells 3 4 2 4" xfId="2674" xr:uid="{00000000-0005-0000-0000-0000720A0000}"/>
    <cellStyle name="CustomizationGreenCells 3 4 2 5" xfId="2675" xr:uid="{00000000-0005-0000-0000-0000730A0000}"/>
    <cellStyle name="CustomizationGreenCells 3 4 2 6" xfId="2676" xr:uid="{00000000-0005-0000-0000-0000740A0000}"/>
    <cellStyle name="CustomizationGreenCells 3 4 2 7" xfId="2677" xr:uid="{00000000-0005-0000-0000-0000750A0000}"/>
    <cellStyle name="CustomizationGreenCells 3 4 2 8" xfId="2678" xr:uid="{00000000-0005-0000-0000-0000760A0000}"/>
    <cellStyle name="CustomizationGreenCells 3 4 2 9" xfId="2679" xr:uid="{00000000-0005-0000-0000-0000770A0000}"/>
    <cellStyle name="CustomizationGreenCells 3 4 3" xfId="2680" xr:uid="{00000000-0005-0000-0000-0000780A0000}"/>
    <cellStyle name="CustomizationGreenCells 3 4 4" xfId="2681" xr:uid="{00000000-0005-0000-0000-0000790A0000}"/>
    <cellStyle name="CustomizationGreenCells 3 4 5" xfId="2682" xr:uid="{00000000-0005-0000-0000-00007A0A0000}"/>
    <cellStyle name="CustomizationGreenCells 3 4 6" xfId="2683" xr:uid="{00000000-0005-0000-0000-00007B0A0000}"/>
    <cellStyle name="CustomizationGreenCells 3 4 7" xfId="2684" xr:uid="{00000000-0005-0000-0000-00007C0A0000}"/>
    <cellStyle name="CustomizationGreenCells 3 4 8" xfId="2685" xr:uid="{00000000-0005-0000-0000-00007D0A0000}"/>
    <cellStyle name="CustomizationGreenCells 3 4 9" xfId="2686" xr:uid="{00000000-0005-0000-0000-00007E0A0000}"/>
    <cellStyle name="CustomizationGreenCells 3 5" xfId="2687" xr:uid="{00000000-0005-0000-0000-00007F0A0000}"/>
    <cellStyle name="CustomizationGreenCells 3 5 2" xfId="2688" xr:uid="{00000000-0005-0000-0000-0000800A0000}"/>
    <cellStyle name="CustomizationGreenCells 3 6" xfId="2689" xr:uid="{00000000-0005-0000-0000-0000810A0000}"/>
    <cellStyle name="CustomizationGreenCells 3 7" xfId="2690" xr:uid="{00000000-0005-0000-0000-0000820A0000}"/>
    <cellStyle name="CustomizationGreenCells 3 8" xfId="2691" xr:uid="{00000000-0005-0000-0000-0000830A0000}"/>
    <cellStyle name="CustomizationGreenCells 3 9" xfId="2692" xr:uid="{00000000-0005-0000-0000-0000840A0000}"/>
    <cellStyle name="DocBox_EmptyRow" xfId="2693" xr:uid="{00000000-0005-0000-0000-0000850A0000}"/>
    <cellStyle name="Eingabe" xfId="2694" xr:uid="{00000000-0005-0000-0000-0000860A0000}"/>
    <cellStyle name="Eingabe 2" xfId="2695" xr:uid="{00000000-0005-0000-0000-0000870A0000}"/>
    <cellStyle name="Eingabe 3" xfId="2696" xr:uid="{00000000-0005-0000-0000-0000880A0000}"/>
    <cellStyle name="Eingabe 3 10" xfId="2697" xr:uid="{00000000-0005-0000-0000-0000890A0000}"/>
    <cellStyle name="Eingabe 3 11" xfId="2698" xr:uid="{00000000-0005-0000-0000-00008A0A0000}"/>
    <cellStyle name="Eingabe 3 12" xfId="2699" xr:uid="{00000000-0005-0000-0000-00008B0A0000}"/>
    <cellStyle name="Eingabe 3 13" xfId="2700" xr:uid="{00000000-0005-0000-0000-00008C0A0000}"/>
    <cellStyle name="Eingabe 3 2" xfId="2701" xr:uid="{00000000-0005-0000-0000-00008D0A0000}"/>
    <cellStyle name="Eingabe 3 2 10" xfId="2702" xr:uid="{00000000-0005-0000-0000-00008E0A0000}"/>
    <cellStyle name="Eingabe 3 2 11" xfId="2703" xr:uid="{00000000-0005-0000-0000-00008F0A0000}"/>
    <cellStyle name="Eingabe 3 2 12" xfId="2704" xr:uid="{00000000-0005-0000-0000-0000900A0000}"/>
    <cellStyle name="Eingabe 3 2 2" xfId="2705" xr:uid="{00000000-0005-0000-0000-0000910A0000}"/>
    <cellStyle name="Eingabe 3 2 2 10" xfId="2706" xr:uid="{00000000-0005-0000-0000-0000920A0000}"/>
    <cellStyle name="Eingabe 3 2 2 11" xfId="2707" xr:uid="{00000000-0005-0000-0000-0000930A0000}"/>
    <cellStyle name="Eingabe 3 2 2 2" xfId="2708" xr:uid="{00000000-0005-0000-0000-0000940A0000}"/>
    <cellStyle name="Eingabe 3 2 2 3" xfId="2709" xr:uid="{00000000-0005-0000-0000-0000950A0000}"/>
    <cellStyle name="Eingabe 3 2 2 4" xfId="2710" xr:uid="{00000000-0005-0000-0000-0000960A0000}"/>
    <cellStyle name="Eingabe 3 2 2 5" xfId="2711" xr:uid="{00000000-0005-0000-0000-0000970A0000}"/>
    <cellStyle name="Eingabe 3 2 2 6" xfId="2712" xr:uid="{00000000-0005-0000-0000-0000980A0000}"/>
    <cellStyle name="Eingabe 3 2 2 7" xfId="2713" xr:uid="{00000000-0005-0000-0000-0000990A0000}"/>
    <cellStyle name="Eingabe 3 2 2 8" xfId="2714" xr:uid="{00000000-0005-0000-0000-00009A0A0000}"/>
    <cellStyle name="Eingabe 3 2 2 9" xfId="2715" xr:uid="{00000000-0005-0000-0000-00009B0A0000}"/>
    <cellStyle name="Eingabe 3 2 3" xfId="2716" xr:uid="{00000000-0005-0000-0000-00009C0A0000}"/>
    <cellStyle name="Eingabe 3 2 4" xfId="2717" xr:uid="{00000000-0005-0000-0000-00009D0A0000}"/>
    <cellStyle name="Eingabe 3 2 5" xfId="2718" xr:uid="{00000000-0005-0000-0000-00009E0A0000}"/>
    <cellStyle name="Eingabe 3 2 6" xfId="2719" xr:uid="{00000000-0005-0000-0000-00009F0A0000}"/>
    <cellStyle name="Eingabe 3 2 7" xfId="2720" xr:uid="{00000000-0005-0000-0000-0000A00A0000}"/>
    <cellStyle name="Eingabe 3 2 8" xfId="2721" xr:uid="{00000000-0005-0000-0000-0000A10A0000}"/>
    <cellStyle name="Eingabe 3 2 9" xfId="2722" xr:uid="{00000000-0005-0000-0000-0000A20A0000}"/>
    <cellStyle name="Eingabe 3 3" xfId="2723" xr:uid="{00000000-0005-0000-0000-0000A30A0000}"/>
    <cellStyle name="Eingabe 3 3 10" xfId="2724" xr:uid="{00000000-0005-0000-0000-0000A40A0000}"/>
    <cellStyle name="Eingabe 3 3 11" xfId="2725" xr:uid="{00000000-0005-0000-0000-0000A50A0000}"/>
    <cellStyle name="Eingabe 3 3 12" xfId="2726" xr:uid="{00000000-0005-0000-0000-0000A60A0000}"/>
    <cellStyle name="Eingabe 3 3 2" xfId="2727" xr:uid="{00000000-0005-0000-0000-0000A70A0000}"/>
    <cellStyle name="Eingabe 3 3 2 10" xfId="2728" xr:uid="{00000000-0005-0000-0000-0000A80A0000}"/>
    <cellStyle name="Eingabe 3 3 2 11" xfId="2729" xr:uid="{00000000-0005-0000-0000-0000A90A0000}"/>
    <cellStyle name="Eingabe 3 3 2 2" xfId="2730" xr:uid="{00000000-0005-0000-0000-0000AA0A0000}"/>
    <cellStyle name="Eingabe 3 3 2 3" xfId="2731" xr:uid="{00000000-0005-0000-0000-0000AB0A0000}"/>
    <cellStyle name="Eingabe 3 3 2 4" xfId="2732" xr:uid="{00000000-0005-0000-0000-0000AC0A0000}"/>
    <cellStyle name="Eingabe 3 3 2 5" xfId="2733" xr:uid="{00000000-0005-0000-0000-0000AD0A0000}"/>
    <cellStyle name="Eingabe 3 3 2 6" xfId="2734" xr:uid="{00000000-0005-0000-0000-0000AE0A0000}"/>
    <cellStyle name="Eingabe 3 3 2 7" xfId="2735" xr:uid="{00000000-0005-0000-0000-0000AF0A0000}"/>
    <cellStyle name="Eingabe 3 3 2 8" xfId="2736" xr:uid="{00000000-0005-0000-0000-0000B00A0000}"/>
    <cellStyle name="Eingabe 3 3 2 9" xfId="2737" xr:uid="{00000000-0005-0000-0000-0000B10A0000}"/>
    <cellStyle name="Eingabe 3 3 3" xfId="2738" xr:uid="{00000000-0005-0000-0000-0000B20A0000}"/>
    <cellStyle name="Eingabe 3 3 4" xfId="2739" xr:uid="{00000000-0005-0000-0000-0000B30A0000}"/>
    <cellStyle name="Eingabe 3 3 5" xfId="2740" xr:uid="{00000000-0005-0000-0000-0000B40A0000}"/>
    <cellStyle name="Eingabe 3 3 6" xfId="2741" xr:uid="{00000000-0005-0000-0000-0000B50A0000}"/>
    <cellStyle name="Eingabe 3 3 7" xfId="2742" xr:uid="{00000000-0005-0000-0000-0000B60A0000}"/>
    <cellStyle name="Eingabe 3 3 8" xfId="2743" xr:uid="{00000000-0005-0000-0000-0000B70A0000}"/>
    <cellStyle name="Eingabe 3 3 9" xfId="2744" xr:uid="{00000000-0005-0000-0000-0000B80A0000}"/>
    <cellStyle name="Eingabe 3 4" xfId="2745" xr:uid="{00000000-0005-0000-0000-0000B90A0000}"/>
    <cellStyle name="Eingabe 3 4 10" xfId="2746" xr:uid="{00000000-0005-0000-0000-0000BA0A0000}"/>
    <cellStyle name="Eingabe 3 4 11" xfId="2747" xr:uid="{00000000-0005-0000-0000-0000BB0A0000}"/>
    <cellStyle name="Eingabe 3 4 12" xfId="2748" xr:uid="{00000000-0005-0000-0000-0000BC0A0000}"/>
    <cellStyle name="Eingabe 3 4 2" xfId="2749" xr:uid="{00000000-0005-0000-0000-0000BD0A0000}"/>
    <cellStyle name="Eingabe 3 4 2 10" xfId="2750" xr:uid="{00000000-0005-0000-0000-0000BE0A0000}"/>
    <cellStyle name="Eingabe 3 4 2 11" xfId="2751" xr:uid="{00000000-0005-0000-0000-0000BF0A0000}"/>
    <cellStyle name="Eingabe 3 4 2 2" xfId="2752" xr:uid="{00000000-0005-0000-0000-0000C00A0000}"/>
    <cellStyle name="Eingabe 3 4 2 3" xfId="2753" xr:uid="{00000000-0005-0000-0000-0000C10A0000}"/>
    <cellStyle name="Eingabe 3 4 2 4" xfId="2754" xr:uid="{00000000-0005-0000-0000-0000C20A0000}"/>
    <cellStyle name="Eingabe 3 4 2 5" xfId="2755" xr:uid="{00000000-0005-0000-0000-0000C30A0000}"/>
    <cellStyle name="Eingabe 3 4 2 6" xfId="2756" xr:uid="{00000000-0005-0000-0000-0000C40A0000}"/>
    <cellStyle name="Eingabe 3 4 2 7" xfId="2757" xr:uid="{00000000-0005-0000-0000-0000C50A0000}"/>
    <cellStyle name="Eingabe 3 4 2 8" xfId="2758" xr:uid="{00000000-0005-0000-0000-0000C60A0000}"/>
    <cellStyle name="Eingabe 3 4 2 9" xfId="2759" xr:uid="{00000000-0005-0000-0000-0000C70A0000}"/>
    <cellStyle name="Eingabe 3 4 3" xfId="2760" xr:uid="{00000000-0005-0000-0000-0000C80A0000}"/>
    <cellStyle name="Eingabe 3 4 4" xfId="2761" xr:uid="{00000000-0005-0000-0000-0000C90A0000}"/>
    <cellStyle name="Eingabe 3 4 5" xfId="2762" xr:uid="{00000000-0005-0000-0000-0000CA0A0000}"/>
    <cellStyle name="Eingabe 3 4 6" xfId="2763" xr:uid="{00000000-0005-0000-0000-0000CB0A0000}"/>
    <cellStyle name="Eingabe 3 4 7" xfId="2764" xr:uid="{00000000-0005-0000-0000-0000CC0A0000}"/>
    <cellStyle name="Eingabe 3 4 8" xfId="2765" xr:uid="{00000000-0005-0000-0000-0000CD0A0000}"/>
    <cellStyle name="Eingabe 3 4 9" xfId="2766" xr:uid="{00000000-0005-0000-0000-0000CE0A0000}"/>
    <cellStyle name="Eingabe 3 5" xfId="2767" xr:uid="{00000000-0005-0000-0000-0000CF0A0000}"/>
    <cellStyle name="Eingabe 3 5 10" xfId="2768" xr:uid="{00000000-0005-0000-0000-0000D00A0000}"/>
    <cellStyle name="Eingabe 3 5 11" xfId="2769" xr:uid="{00000000-0005-0000-0000-0000D10A0000}"/>
    <cellStyle name="Eingabe 3 5 2" xfId="2770" xr:uid="{00000000-0005-0000-0000-0000D20A0000}"/>
    <cellStyle name="Eingabe 3 5 3" xfId="2771" xr:uid="{00000000-0005-0000-0000-0000D30A0000}"/>
    <cellStyle name="Eingabe 3 5 4" xfId="2772" xr:uid="{00000000-0005-0000-0000-0000D40A0000}"/>
    <cellStyle name="Eingabe 3 5 5" xfId="2773" xr:uid="{00000000-0005-0000-0000-0000D50A0000}"/>
    <cellStyle name="Eingabe 3 5 6" xfId="2774" xr:uid="{00000000-0005-0000-0000-0000D60A0000}"/>
    <cellStyle name="Eingabe 3 5 7" xfId="2775" xr:uid="{00000000-0005-0000-0000-0000D70A0000}"/>
    <cellStyle name="Eingabe 3 5 8" xfId="2776" xr:uid="{00000000-0005-0000-0000-0000D80A0000}"/>
    <cellStyle name="Eingabe 3 5 9" xfId="2777" xr:uid="{00000000-0005-0000-0000-0000D90A0000}"/>
    <cellStyle name="Eingabe 3 6" xfId="2778" xr:uid="{00000000-0005-0000-0000-0000DA0A0000}"/>
    <cellStyle name="Eingabe 3 7" xfId="2779" xr:uid="{00000000-0005-0000-0000-0000DB0A0000}"/>
    <cellStyle name="Eingabe 3 8" xfId="2780" xr:uid="{00000000-0005-0000-0000-0000DC0A0000}"/>
    <cellStyle name="Eingabe 3 9" xfId="2781" xr:uid="{00000000-0005-0000-0000-0000DD0A0000}"/>
    <cellStyle name="Eingabe 4" xfId="2782" xr:uid="{00000000-0005-0000-0000-0000DE0A0000}"/>
    <cellStyle name="Eingabe 4 10" xfId="2783" xr:uid="{00000000-0005-0000-0000-0000DF0A0000}"/>
    <cellStyle name="Eingabe 4 11" xfId="2784" xr:uid="{00000000-0005-0000-0000-0000E00A0000}"/>
    <cellStyle name="Eingabe 4 12" xfId="2785" xr:uid="{00000000-0005-0000-0000-0000E10A0000}"/>
    <cellStyle name="Eingabe 4 13" xfId="2786" xr:uid="{00000000-0005-0000-0000-0000E20A0000}"/>
    <cellStyle name="Eingabe 4 2" xfId="2787" xr:uid="{00000000-0005-0000-0000-0000E30A0000}"/>
    <cellStyle name="Eingabe 4 2 10" xfId="2788" xr:uid="{00000000-0005-0000-0000-0000E40A0000}"/>
    <cellStyle name="Eingabe 4 2 11" xfId="2789" xr:uid="{00000000-0005-0000-0000-0000E50A0000}"/>
    <cellStyle name="Eingabe 4 2 12" xfId="2790" xr:uid="{00000000-0005-0000-0000-0000E60A0000}"/>
    <cellStyle name="Eingabe 4 2 2" xfId="2791" xr:uid="{00000000-0005-0000-0000-0000E70A0000}"/>
    <cellStyle name="Eingabe 4 2 2 10" xfId="2792" xr:uid="{00000000-0005-0000-0000-0000E80A0000}"/>
    <cellStyle name="Eingabe 4 2 2 11" xfId="2793" xr:uid="{00000000-0005-0000-0000-0000E90A0000}"/>
    <cellStyle name="Eingabe 4 2 2 2" xfId="2794" xr:uid="{00000000-0005-0000-0000-0000EA0A0000}"/>
    <cellStyle name="Eingabe 4 2 2 3" xfId="2795" xr:uid="{00000000-0005-0000-0000-0000EB0A0000}"/>
    <cellStyle name="Eingabe 4 2 2 4" xfId="2796" xr:uid="{00000000-0005-0000-0000-0000EC0A0000}"/>
    <cellStyle name="Eingabe 4 2 2 5" xfId="2797" xr:uid="{00000000-0005-0000-0000-0000ED0A0000}"/>
    <cellStyle name="Eingabe 4 2 2 6" xfId="2798" xr:uid="{00000000-0005-0000-0000-0000EE0A0000}"/>
    <cellStyle name="Eingabe 4 2 2 7" xfId="2799" xr:uid="{00000000-0005-0000-0000-0000EF0A0000}"/>
    <cellStyle name="Eingabe 4 2 2 8" xfId="2800" xr:uid="{00000000-0005-0000-0000-0000F00A0000}"/>
    <cellStyle name="Eingabe 4 2 2 9" xfId="2801" xr:uid="{00000000-0005-0000-0000-0000F10A0000}"/>
    <cellStyle name="Eingabe 4 2 3" xfId="2802" xr:uid="{00000000-0005-0000-0000-0000F20A0000}"/>
    <cellStyle name="Eingabe 4 2 4" xfId="2803" xr:uid="{00000000-0005-0000-0000-0000F30A0000}"/>
    <cellStyle name="Eingabe 4 2 5" xfId="2804" xr:uid="{00000000-0005-0000-0000-0000F40A0000}"/>
    <cellStyle name="Eingabe 4 2 6" xfId="2805" xr:uid="{00000000-0005-0000-0000-0000F50A0000}"/>
    <cellStyle name="Eingabe 4 2 7" xfId="2806" xr:uid="{00000000-0005-0000-0000-0000F60A0000}"/>
    <cellStyle name="Eingabe 4 2 8" xfId="2807" xr:uid="{00000000-0005-0000-0000-0000F70A0000}"/>
    <cellStyle name="Eingabe 4 2 9" xfId="2808" xr:uid="{00000000-0005-0000-0000-0000F80A0000}"/>
    <cellStyle name="Eingabe 4 3" xfId="2809" xr:uid="{00000000-0005-0000-0000-0000F90A0000}"/>
    <cellStyle name="Eingabe 4 3 10" xfId="2810" xr:uid="{00000000-0005-0000-0000-0000FA0A0000}"/>
    <cellStyle name="Eingabe 4 3 11" xfId="2811" xr:uid="{00000000-0005-0000-0000-0000FB0A0000}"/>
    <cellStyle name="Eingabe 4 3 12" xfId="2812" xr:uid="{00000000-0005-0000-0000-0000FC0A0000}"/>
    <cellStyle name="Eingabe 4 3 2" xfId="2813" xr:uid="{00000000-0005-0000-0000-0000FD0A0000}"/>
    <cellStyle name="Eingabe 4 3 2 10" xfId="2814" xr:uid="{00000000-0005-0000-0000-0000FE0A0000}"/>
    <cellStyle name="Eingabe 4 3 2 11" xfId="2815" xr:uid="{00000000-0005-0000-0000-0000FF0A0000}"/>
    <cellStyle name="Eingabe 4 3 2 2" xfId="2816" xr:uid="{00000000-0005-0000-0000-0000000B0000}"/>
    <cellStyle name="Eingabe 4 3 2 3" xfId="2817" xr:uid="{00000000-0005-0000-0000-0000010B0000}"/>
    <cellStyle name="Eingabe 4 3 2 4" xfId="2818" xr:uid="{00000000-0005-0000-0000-0000020B0000}"/>
    <cellStyle name="Eingabe 4 3 2 5" xfId="2819" xr:uid="{00000000-0005-0000-0000-0000030B0000}"/>
    <cellStyle name="Eingabe 4 3 2 6" xfId="2820" xr:uid="{00000000-0005-0000-0000-0000040B0000}"/>
    <cellStyle name="Eingabe 4 3 2 7" xfId="2821" xr:uid="{00000000-0005-0000-0000-0000050B0000}"/>
    <cellStyle name="Eingabe 4 3 2 8" xfId="2822" xr:uid="{00000000-0005-0000-0000-0000060B0000}"/>
    <cellStyle name="Eingabe 4 3 2 9" xfId="2823" xr:uid="{00000000-0005-0000-0000-0000070B0000}"/>
    <cellStyle name="Eingabe 4 3 3" xfId="2824" xr:uid="{00000000-0005-0000-0000-0000080B0000}"/>
    <cellStyle name="Eingabe 4 3 4" xfId="2825" xr:uid="{00000000-0005-0000-0000-0000090B0000}"/>
    <cellStyle name="Eingabe 4 3 5" xfId="2826" xr:uid="{00000000-0005-0000-0000-00000A0B0000}"/>
    <cellStyle name="Eingabe 4 3 6" xfId="2827" xr:uid="{00000000-0005-0000-0000-00000B0B0000}"/>
    <cellStyle name="Eingabe 4 3 7" xfId="2828" xr:uid="{00000000-0005-0000-0000-00000C0B0000}"/>
    <cellStyle name="Eingabe 4 3 8" xfId="2829" xr:uid="{00000000-0005-0000-0000-00000D0B0000}"/>
    <cellStyle name="Eingabe 4 3 9" xfId="2830" xr:uid="{00000000-0005-0000-0000-00000E0B0000}"/>
    <cellStyle name="Eingabe 4 4" xfId="2831" xr:uid="{00000000-0005-0000-0000-00000F0B0000}"/>
    <cellStyle name="Eingabe 4 4 10" xfId="2832" xr:uid="{00000000-0005-0000-0000-0000100B0000}"/>
    <cellStyle name="Eingabe 4 4 11" xfId="2833" xr:uid="{00000000-0005-0000-0000-0000110B0000}"/>
    <cellStyle name="Eingabe 4 4 12" xfId="2834" xr:uid="{00000000-0005-0000-0000-0000120B0000}"/>
    <cellStyle name="Eingabe 4 4 2" xfId="2835" xr:uid="{00000000-0005-0000-0000-0000130B0000}"/>
    <cellStyle name="Eingabe 4 4 2 10" xfId="2836" xr:uid="{00000000-0005-0000-0000-0000140B0000}"/>
    <cellStyle name="Eingabe 4 4 2 11" xfId="2837" xr:uid="{00000000-0005-0000-0000-0000150B0000}"/>
    <cellStyle name="Eingabe 4 4 2 2" xfId="2838" xr:uid="{00000000-0005-0000-0000-0000160B0000}"/>
    <cellStyle name="Eingabe 4 4 2 3" xfId="2839" xr:uid="{00000000-0005-0000-0000-0000170B0000}"/>
    <cellStyle name="Eingabe 4 4 2 4" xfId="2840" xr:uid="{00000000-0005-0000-0000-0000180B0000}"/>
    <cellStyle name="Eingabe 4 4 2 5" xfId="2841" xr:uid="{00000000-0005-0000-0000-0000190B0000}"/>
    <cellStyle name="Eingabe 4 4 2 6" xfId="2842" xr:uid="{00000000-0005-0000-0000-00001A0B0000}"/>
    <cellStyle name="Eingabe 4 4 2 7" xfId="2843" xr:uid="{00000000-0005-0000-0000-00001B0B0000}"/>
    <cellStyle name="Eingabe 4 4 2 8" xfId="2844" xr:uid="{00000000-0005-0000-0000-00001C0B0000}"/>
    <cellStyle name="Eingabe 4 4 2 9" xfId="2845" xr:uid="{00000000-0005-0000-0000-00001D0B0000}"/>
    <cellStyle name="Eingabe 4 4 3" xfId="2846" xr:uid="{00000000-0005-0000-0000-00001E0B0000}"/>
    <cellStyle name="Eingabe 4 4 4" xfId="2847" xr:uid="{00000000-0005-0000-0000-00001F0B0000}"/>
    <cellStyle name="Eingabe 4 4 5" xfId="2848" xr:uid="{00000000-0005-0000-0000-0000200B0000}"/>
    <cellStyle name="Eingabe 4 4 6" xfId="2849" xr:uid="{00000000-0005-0000-0000-0000210B0000}"/>
    <cellStyle name="Eingabe 4 4 7" xfId="2850" xr:uid="{00000000-0005-0000-0000-0000220B0000}"/>
    <cellStyle name="Eingabe 4 4 8" xfId="2851" xr:uid="{00000000-0005-0000-0000-0000230B0000}"/>
    <cellStyle name="Eingabe 4 4 9" xfId="2852" xr:uid="{00000000-0005-0000-0000-0000240B0000}"/>
    <cellStyle name="Eingabe 4 5" xfId="2853" xr:uid="{00000000-0005-0000-0000-0000250B0000}"/>
    <cellStyle name="Eingabe 4 5 10" xfId="2854" xr:uid="{00000000-0005-0000-0000-0000260B0000}"/>
    <cellStyle name="Eingabe 4 5 11" xfId="2855" xr:uid="{00000000-0005-0000-0000-0000270B0000}"/>
    <cellStyle name="Eingabe 4 5 2" xfId="2856" xr:uid="{00000000-0005-0000-0000-0000280B0000}"/>
    <cellStyle name="Eingabe 4 5 3" xfId="2857" xr:uid="{00000000-0005-0000-0000-0000290B0000}"/>
    <cellStyle name="Eingabe 4 5 4" xfId="2858" xr:uid="{00000000-0005-0000-0000-00002A0B0000}"/>
    <cellStyle name="Eingabe 4 5 5" xfId="2859" xr:uid="{00000000-0005-0000-0000-00002B0B0000}"/>
    <cellStyle name="Eingabe 4 5 6" xfId="2860" xr:uid="{00000000-0005-0000-0000-00002C0B0000}"/>
    <cellStyle name="Eingabe 4 5 7" xfId="2861" xr:uid="{00000000-0005-0000-0000-00002D0B0000}"/>
    <cellStyle name="Eingabe 4 5 8" xfId="2862" xr:uid="{00000000-0005-0000-0000-00002E0B0000}"/>
    <cellStyle name="Eingabe 4 5 9" xfId="2863" xr:uid="{00000000-0005-0000-0000-00002F0B0000}"/>
    <cellStyle name="Eingabe 4 6" xfId="2864" xr:uid="{00000000-0005-0000-0000-0000300B0000}"/>
    <cellStyle name="Eingabe 4 7" xfId="2865" xr:uid="{00000000-0005-0000-0000-0000310B0000}"/>
    <cellStyle name="Eingabe 4 8" xfId="2866" xr:uid="{00000000-0005-0000-0000-0000320B0000}"/>
    <cellStyle name="Eingabe 4 9" xfId="2867" xr:uid="{00000000-0005-0000-0000-0000330B0000}"/>
    <cellStyle name="Eingabe 5" xfId="2868" xr:uid="{00000000-0005-0000-0000-0000340B0000}"/>
    <cellStyle name="Eingabe 5 10" xfId="2869" xr:uid="{00000000-0005-0000-0000-0000350B0000}"/>
    <cellStyle name="Eingabe 5 11" xfId="2870" xr:uid="{00000000-0005-0000-0000-0000360B0000}"/>
    <cellStyle name="Eingabe 5 12" xfId="2871" xr:uid="{00000000-0005-0000-0000-0000370B0000}"/>
    <cellStyle name="Eingabe 5 2" xfId="2872" xr:uid="{00000000-0005-0000-0000-0000380B0000}"/>
    <cellStyle name="Eingabe 5 2 10" xfId="2873" xr:uid="{00000000-0005-0000-0000-0000390B0000}"/>
    <cellStyle name="Eingabe 5 2 11" xfId="2874" xr:uid="{00000000-0005-0000-0000-00003A0B0000}"/>
    <cellStyle name="Eingabe 5 2 2" xfId="2875" xr:uid="{00000000-0005-0000-0000-00003B0B0000}"/>
    <cellStyle name="Eingabe 5 2 3" xfId="2876" xr:uid="{00000000-0005-0000-0000-00003C0B0000}"/>
    <cellStyle name="Eingabe 5 2 4" xfId="2877" xr:uid="{00000000-0005-0000-0000-00003D0B0000}"/>
    <cellStyle name="Eingabe 5 2 5" xfId="2878" xr:uid="{00000000-0005-0000-0000-00003E0B0000}"/>
    <cellStyle name="Eingabe 5 2 6" xfId="2879" xr:uid="{00000000-0005-0000-0000-00003F0B0000}"/>
    <cellStyle name="Eingabe 5 2 7" xfId="2880" xr:uid="{00000000-0005-0000-0000-0000400B0000}"/>
    <cellStyle name="Eingabe 5 2 8" xfId="2881" xr:uid="{00000000-0005-0000-0000-0000410B0000}"/>
    <cellStyle name="Eingabe 5 2 9" xfId="2882" xr:uid="{00000000-0005-0000-0000-0000420B0000}"/>
    <cellStyle name="Eingabe 5 3" xfId="2883" xr:uid="{00000000-0005-0000-0000-0000430B0000}"/>
    <cellStyle name="Eingabe 5 4" xfId="2884" xr:uid="{00000000-0005-0000-0000-0000440B0000}"/>
    <cellStyle name="Eingabe 5 5" xfId="2885" xr:uid="{00000000-0005-0000-0000-0000450B0000}"/>
    <cellStyle name="Eingabe 5 6" xfId="2886" xr:uid="{00000000-0005-0000-0000-0000460B0000}"/>
    <cellStyle name="Eingabe 5 7" xfId="2887" xr:uid="{00000000-0005-0000-0000-0000470B0000}"/>
    <cellStyle name="Eingabe 5 8" xfId="2888" xr:uid="{00000000-0005-0000-0000-0000480B0000}"/>
    <cellStyle name="Eingabe 5 9" xfId="2889" xr:uid="{00000000-0005-0000-0000-0000490B0000}"/>
    <cellStyle name="Eingabe 6" xfId="2890" xr:uid="{00000000-0005-0000-0000-00004A0B0000}"/>
    <cellStyle name="Eingabe 6 10" xfId="2891" xr:uid="{00000000-0005-0000-0000-00004B0B0000}"/>
    <cellStyle name="Eingabe 6 11" xfId="2892" xr:uid="{00000000-0005-0000-0000-00004C0B0000}"/>
    <cellStyle name="Eingabe 6 12" xfId="2893" xr:uid="{00000000-0005-0000-0000-00004D0B0000}"/>
    <cellStyle name="Eingabe 6 2" xfId="2894" xr:uid="{00000000-0005-0000-0000-00004E0B0000}"/>
    <cellStyle name="Eingabe 6 2 10" xfId="2895" xr:uid="{00000000-0005-0000-0000-00004F0B0000}"/>
    <cellStyle name="Eingabe 6 2 11" xfId="2896" xr:uid="{00000000-0005-0000-0000-0000500B0000}"/>
    <cellStyle name="Eingabe 6 2 2" xfId="2897" xr:uid="{00000000-0005-0000-0000-0000510B0000}"/>
    <cellStyle name="Eingabe 6 2 3" xfId="2898" xr:uid="{00000000-0005-0000-0000-0000520B0000}"/>
    <cellStyle name="Eingabe 6 2 4" xfId="2899" xr:uid="{00000000-0005-0000-0000-0000530B0000}"/>
    <cellStyle name="Eingabe 6 2 5" xfId="2900" xr:uid="{00000000-0005-0000-0000-0000540B0000}"/>
    <cellStyle name="Eingabe 6 2 6" xfId="2901" xr:uid="{00000000-0005-0000-0000-0000550B0000}"/>
    <cellStyle name="Eingabe 6 2 7" xfId="2902" xr:uid="{00000000-0005-0000-0000-0000560B0000}"/>
    <cellStyle name="Eingabe 6 2 8" xfId="2903" xr:uid="{00000000-0005-0000-0000-0000570B0000}"/>
    <cellStyle name="Eingabe 6 2 9" xfId="2904" xr:uid="{00000000-0005-0000-0000-0000580B0000}"/>
    <cellStyle name="Eingabe 6 3" xfId="2905" xr:uid="{00000000-0005-0000-0000-0000590B0000}"/>
    <cellStyle name="Eingabe 6 4" xfId="2906" xr:uid="{00000000-0005-0000-0000-00005A0B0000}"/>
    <cellStyle name="Eingabe 6 5" xfId="2907" xr:uid="{00000000-0005-0000-0000-00005B0B0000}"/>
    <cellStyle name="Eingabe 6 6" xfId="2908" xr:uid="{00000000-0005-0000-0000-00005C0B0000}"/>
    <cellStyle name="Eingabe 6 7" xfId="2909" xr:uid="{00000000-0005-0000-0000-00005D0B0000}"/>
    <cellStyle name="Eingabe 6 8" xfId="2910" xr:uid="{00000000-0005-0000-0000-00005E0B0000}"/>
    <cellStyle name="Eingabe 6 9" xfId="2911" xr:uid="{00000000-0005-0000-0000-00005F0B0000}"/>
    <cellStyle name="Eingabe 7" xfId="2912" xr:uid="{00000000-0005-0000-0000-0000600B0000}"/>
    <cellStyle name="Eingabe 7 10" xfId="2913" xr:uid="{00000000-0005-0000-0000-0000610B0000}"/>
    <cellStyle name="Eingabe 7 11" xfId="2914" xr:uid="{00000000-0005-0000-0000-0000620B0000}"/>
    <cellStyle name="Eingabe 7 12" xfId="2915" xr:uid="{00000000-0005-0000-0000-0000630B0000}"/>
    <cellStyle name="Eingabe 7 2" xfId="2916" xr:uid="{00000000-0005-0000-0000-0000640B0000}"/>
    <cellStyle name="Eingabe 7 2 10" xfId="2917" xr:uid="{00000000-0005-0000-0000-0000650B0000}"/>
    <cellStyle name="Eingabe 7 2 11" xfId="2918" xr:uid="{00000000-0005-0000-0000-0000660B0000}"/>
    <cellStyle name="Eingabe 7 2 2" xfId="2919" xr:uid="{00000000-0005-0000-0000-0000670B0000}"/>
    <cellStyle name="Eingabe 7 2 3" xfId="2920" xr:uid="{00000000-0005-0000-0000-0000680B0000}"/>
    <cellStyle name="Eingabe 7 2 4" xfId="2921" xr:uid="{00000000-0005-0000-0000-0000690B0000}"/>
    <cellStyle name="Eingabe 7 2 5" xfId="2922" xr:uid="{00000000-0005-0000-0000-00006A0B0000}"/>
    <cellStyle name="Eingabe 7 2 6" xfId="2923" xr:uid="{00000000-0005-0000-0000-00006B0B0000}"/>
    <cellStyle name="Eingabe 7 2 7" xfId="2924" xr:uid="{00000000-0005-0000-0000-00006C0B0000}"/>
    <cellStyle name="Eingabe 7 2 8" xfId="2925" xr:uid="{00000000-0005-0000-0000-00006D0B0000}"/>
    <cellStyle name="Eingabe 7 2 9" xfId="2926" xr:uid="{00000000-0005-0000-0000-00006E0B0000}"/>
    <cellStyle name="Eingabe 7 3" xfId="2927" xr:uid="{00000000-0005-0000-0000-00006F0B0000}"/>
    <cellStyle name="Eingabe 7 4" xfId="2928" xr:uid="{00000000-0005-0000-0000-0000700B0000}"/>
    <cellStyle name="Eingabe 7 5" xfId="2929" xr:uid="{00000000-0005-0000-0000-0000710B0000}"/>
    <cellStyle name="Eingabe 7 6" xfId="2930" xr:uid="{00000000-0005-0000-0000-0000720B0000}"/>
    <cellStyle name="Eingabe 7 7" xfId="2931" xr:uid="{00000000-0005-0000-0000-0000730B0000}"/>
    <cellStyle name="Eingabe 7 8" xfId="2932" xr:uid="{00000000-0005-0000-0000-0000740B0000}"/>
    <cellStyle name="Eingabe 7 9" xfId="2933" xr:uid="{00000000-0005-0000-0000-0000750B0000}"/>
    <cellStyle name="Eingabe 8" xfId="2934" xr:uid="{00000000-0005-0000-0000-0000760B0000}"/>
    <cellStyle name="Eingabe 8 10" xfId="2935" xr:uid="{00000000-0005-0000-0000-0000770B0000}"/>
    <cellStyle name="Eingabe 8 11" xfId="2936" xr:uid="{00000000-0005-0000-0000-0000780B0000}"/>
    <cellStyle name="Eingabe 8 2" xfId="2937" xr:uid="{00000000-0005-0000-0000-0000790B0000}"/>
    <cellStyle name="Eingabe 8 3" xfId="2938" xr:uid="{00000000-0005-0000-0000-00007A0B0000}"/>
    <cellStyle name="Eingabe 8 4" xfId="2939" xr:uid="{00000000-0005-0000-0000-00007B0B0000}"/>
    <cellStyle name="Eingabe 8 5" xfId="2940" xr:uid="{00000000-0005-0000-0000-00007C0B0000}"/>
    <cellStyle name="Eingabe 8 6" xfId="2941" xr:uid="{00000000-0005-0000-0000-00007D0B0000}"/>
    <cellStyle name="Eingabe 8 7" xfId="2942" xr:uid="{00000000-0005-0000-0000-00007E0B0000}"/>
    <cellStyle name="Eingabe 8 8" xfId="2943" xr:uid="{00000000-0005-0000-0000-00007F0B0000}"/>
    <cellStyle name="Eingabe 8 9" xfId="2944" xr:uid="{00000000-0005-0000-0000-0000800B0000}"/>
    <cellStyle name="Empty_B_border" xfId="2945" xr:uid="{00000000-0005-0000-0000-0000810B0000}"/>
    <cellStyle name="Ergebnis" xfId="2946" xr:uid="{00000000-0005-0000-0000-0000820B0000}"/>
    <cellStyle name="Ergebnis 2" xfId="2947" xr:uid="{00000000-0005-0000-0000-0000830B0000}"/>
    <cellStyle name="Ergebnis 2 10" xfId="2948" xr:uid="{00000000-0005-0000-0000-0000840B0000}"/>
    <cellStyle name="Ergebnis 2 11" xfId="2949" xr:uid="{00000000-0005-0000-0000-0000850B0000}"/>
    <cellStyle name="Ergebnis 2 12" xfId="2950" xr:uid="{00000000-0005-0000-0000-0000860B0000}"/>
    <cellStyle name="Ergebnis 2 13" xfId="2951" xr:uid="{00000000-0005-0000-0000-0000870B0000}"/>
    <cellStyle name="Ergebnis 2 2" xfId="2952" xr:uid="{00000000-0005-0000-0000-0000880B0000}"/>
    <cellStyle name="Ergebnis 2 2 10" xfId="2953" xr:uid="{00000000-0005-0000-0000-0000890B0000}"/>
    <cellStyle name="Ergebnis 2 2 11" xfId="2954" xr:uid="{00000000-0005-0000-0000-00008A0B0000}"/>
    <cellStyle name="Ergebnis 2 2 12" xfId="2955" xr:uid="{00000000-0005-0000-0000-00008B0B0000}"/>
    <cellStyle name="Ergebnis 2 2 2" xfId="2956" xr:uid="{00000000-0005-0000-0000-00008C0B0000}"/>
    <cellStyle name="Ergebnis 2 2 2 10" xfId="2957" xr:uid="{00000000-0005-0000-0000-00008D0B0000}"/>
    <cellStyle name="Ergebnis 2 2 2 11" xfId="2958" xr:uid="{00000000-0005-0000-0000-00008E0B0000}"/>
    <cellStyle name="Ergebnis 2 2 2 2" xfId="2959" xr:uid="{00000000-0005-0000-0000-00008F0B0000}"/>
    <cellStyle name="Ergebnis 2 2 2 3" xfId="2960" xr:uid="{00000000-0005-0000-0000-0000900B0000}"/>
    <cellStyle name="Ergebnis 2 2 2 4" xfId="2961" xr:uid="{00000000-0005-0000-0000-0000910B0000}"/>
    <cellStyle name="Ergebnis 2 2 2 5" xfId="2962" xr:uid="{00000000-0005-0000-0000-0000920B0000}"/>
    <cellStyle name="Ergebnis 2 2 2 6" xfId="2963" xr:uid="{00000000-0005-0000-0000-0000930B0000}"/>
    <cellStyle name="Ergebnis 2 2 2 7" xfId="2964" xr:uid="{00000000-0005-0000-0000-0000940B0000}"/>
    <cellStyle name="Ergebnis 2 2 2 8" xfId="2965" xr:uid="{00000000-0005-0000-0000-0000950B0000}"/>
    <cellStyle name="Ergebnis 2 2 2 9" xfId="2966" xr:uid="{00000000-0005-0000-0000-0000960B0000}"/>
    <cellStyle name="Ergebnis 2 2 3" xfId="2967" xr:uid="{00000000-0005-0000-0000-0000970B0000}"/>
    <cellStyle name="Ergebnis 2 2 4" xfId="2968" xr:uid="{00000000-0005-0000-0000-0000980B0000}"/>
    <cellStyle name="Ergebnis 2 2 5" xfId="2969" xr:uid="{00000000-0005-0000-0000-0000990B0000}"/>
    <cellStyle name="Ergebnis 2 2 6" xfId="2970" xr:uid="{00000000-0005-0000-0000-00009A0B0000}"/>
    <cellStyle name="Ergebnis 2 2 7" xfId="2971" xr:uid="{00000000-0005-0000-0000-00009B0B0000}"/>
    <cellStyle name="Ergebnis 2 2 8" xfId="2972" xr:uid="{00000000-0005-0000-0000-00009C0B0000}"/>
    <cellStyle name="Ergebnis 2 2 9" xfId="2973" xr:uid="{00000000-0005-0000-0000-00009D0B0000}"/>
    <cellStyle name="Ergebnis 2 3" xfId="2974" xr:uid="{00000000-0005-0000-0000-00009E0B0000}"/>
    <cellStyle name="Ergebnis 2 3 10" xfId="2975" xr:uid="{00000000-0005-0000-0000-00009F0B0000}"/>
    <cellStyle name="Ergebnis 2 3 11" xfId="2976" xr:uid="{00000000-0005-0000-0000-0000A00B0000}"/>
    <cellStyle name="Ergebnis 2 3 12" xfId="2977" xr:uid="{00000000-0005-0000-0000-0000A10B0000}"/>
    <cellStyle name="Ergebnis 2 3 2" xfId="2978" xr:uid="{00000000-0005-0000-0000-0000A20B0000}"/>
    <cellStyle name="Ergebnis 2 3 2 10" xfId="2979" xr:uid="{00000000-0005-0000-0000-0000A30B0000}"/>
    <cellStyle name="Ergebnis 2 3 2 11" xfId="2980" xr:uid="{00000000-0005-0000-0000-0000A40B0000}"/>
    <cellStyle name="Ergebnis 2 3 2 2" xfId="2981" xr:uid="{00000000-0005-0000-0000-0000A50B0000}"/>
    <cellStyle name="Ergebnis 2 3 2 3" xfId="2982" xr:uid="{00000000-0005-0000-0000-0000A60B0000}"/>
    <cellStyle name="Ergebnis 2 3 2 4" xfId="2983" xr:uid="{00000000-0005-0000-0000-0000A70B0000}"/>
    <cellStyle name="Ergebnis 2 3 2 5" xfId="2984" xr:uid="{00000000-0005-0000-0000-0000A80B0000}"/>
    <cellStyle name="Ergebnis 2 3 2 6" xfId="2985" xr:uid="{00000000-0005-0000-0000-0000A90B0000}"/>
    <cellStyle name="Ergebnis 2 3 2 7" xfId="2986" xr:uid="{00000000-0005-0000-0000-0000AA0B0000}"/>
    <cellStyle name="Ergebnis 2 3 2 8" xfId="2987" xr:uid="{00000000-0005-0000-0000-0000AB0B0000}"/>
    <cellStyle name="Ergebnis 2 3 2 9" xfId="2988" xr:uid="{00000000-0005-0000-0000-0000AC0B0000}"/>
    <cellStyle name="Ergebnis 2 3 3" xfId="2989" xr:uid="{00000000-0005-0000-0000-0000AD0B0000}"/>
    <cellStyle name="Ergebnis 2 3 4" xfId="2990" xr:uid="{00000000-0005-0000-0000-0000AE0B0000}"/>
    <cellStyle name="Ergebnis 2 3 5" xfId="2991" xr:uid="{00000000-0005-0000-0000-0000AF0B0000}"/>
    <cellStyle name="Ergebnis 2 3 6" xfId="2992" xr:uid="{00000000-0005-0000-0000-0000B00B0000}"/>
    <cellStyle name="Ergebnis 2 3 7" xfId="2993" xr:uid="{00000000-0005-0000-0000-0000B10B0000}"/>
    <cellStyle name="Ergebnis 2 3 8" xfId="2994" xr:uid="{00000000-0005-0000-0000-0000B20B0000}"/>
    <cellStyle name="Ergebnis 2 3 9" xfId="2995" xr:uid="{00000000-0005-0000-0000-0000B30B0000}"/>
    <cellStyle name="Ergebnis 2 4" xfId="2996" xr:uid="{00000000-0005-0000-0000-0000B40B0000}"/>
    <cellStyle name="Ergebnis 2 4 10" xfId="2997" xr:uid="{00000000-0005-0000-0000-0000B50B0000}"/>
    <cellStyle name="Ergebnis 2 4 11" xfId="2998" xr:uid="{00000000-0005-0000-0000-0000B60B0000}"/>
    <cellStyle name="Ergebnis 2 4 12" xfId="2999" xr:uid="{00000000-0005-0000-0000-0000B70B0000}"/>
    <cellStyle name="Ergebnis 2 4 2" xfId="3000" xr:uid="{00000000-0005-0000-0000-0000B80B0000}"/>
    <cellStyle name="Ergebnis 2 4 2 10" xfId="3001" xr:uid="{00000000-0005-0000-0000-0000B90B0000}"/>
    <cellStyle name="Ergebnis 2 4 2 11" xfId="3002" xr:uid="{00000000-0005-0000-0000-0000BA0B0000}"/>
    <cellStyle name="Ergebnis 2 4 2 2" xfId="3003" xr:uid="{00000000-0005-0000-0000-0000BB0B0000}"/>
    <cellStyle name="Ergebnis 2 4 2 3" xfId="3004" xr:uid="{00000000-0005-0000-0000-0000BC0B0000}"/>
    <cellStyle name="Ergebnis 2 4 2 4" xfId="3005" xr:uid="{00000000-0005-0000-0000-0000BD0B0000}"/>
    <cellStyle name="Ergebnis 2 4 2 5" xfId="3006" xr:uid="{00000000-0005-0000-0000-0000BE0B0000}"/>
    <cellStyle name="Ergebnis 2 4 2 6" xfId="3007" xr:uid="{00000000-0005-0000-0000-0000BF0B0000}"/>
    <cellStyle name="Ergebnis 2 4 2 7" xfId="3008" xr:uid="{00000000-0005-0000-0000-0000C00B0000}"/>
    <cellStyle name="Ergebnis 2 4 2 8" xfId="3009" xr:uid="{00000000-0005-0000-0000-0000C10B0000}"/>
    <cellStyle name="Ergebnis 2 4 2 9" xfId="3010" xr:uid="{00000000-0005-0000-0000-0000C20B0000}"/>
    <cellStyle name="Ergebnis 2 4 3" xfId="3011" xr:uid="{00000000-0005-0000-0000-0000C30B0000}"/>
    <cellStyle name="Ergebnis 2 4 4" xfId="3012" xr:uid="{00000000-0005-0000-0000-0000C40B0000}"/>
    <cellStyle name="Ergebnis 2 4 5" xfId="3013" xr:uid="{00000000-0005-0000-0000-0000C50B0000}"/>
    <cellStyle name="Ergebnis 2 4 6" xfId="3014" xr:uid="{00000000-0005-0000-0000-0000C60B0000}"/>
    <cellStyle name="Ergebnis 2 4 7" xfId="3015" xr:uid="{00000000-0005-0000-0000-0000C70B0000}"/>
    <cellStyle name="Ergebnis 2 4 8" xfId="3016" xr:uid="{00000000-0005-0000-0000-0000C80B0000}"/>
    <cellStyle name="Ergebnis 2 4 9" xfId="3017" xr:uid="{00000000-0005-0000-0000-0000C90B0000}"/>
    <cellStyle name="Ergebnis 2 5" xfId="3018" xr:uid="{00000000-0005-0000-0000-0000CA0B0000}"/>
    <cellStyle name="Ergebnis 2 5 10" xfId="3019" xr:uid="{00000000-0005-0000-0000-0000CB0B0000}"/>
    <cellStyle name="Ergebnis 2 5 11" xfId="3020" xr:uid="{00000000-0005-0000-0000-0000CC0B0000}"/>
    <cellStyle name="Ergebnis 2 5 2" xfId="3021" xr:uid="{00000000-0005-0000-0000-0000CD0B0000}"/>
    <cellStyle name="Ergebnis 2 5 3" xfId="3022" xr:uid="{00000000-0005-0000-0000-0000CE0B0000}"/>
    <cellStyle name="Ergebnis 2 5 4" xfId="3023" xr:uid="{00000000-0005-0000-0000-0000CF0B0000}"/>
    <cellStyle name="Ergebnis 2 5 5" xfId="3024" xr:uid="{00000000-0005-0000-0000-0000D00B0000}"/>
    <cellStyle name="Ergebnis 2 5 6" xfId="3025" xr:uid="{00000000-0005-0000-0000-0000D10B0000}"/>
    <cellStyle name="Ergebnis 2 5 7" xfId="3026" xr:uid="{00000000-0005-0000-0000-0000D20B0000}"/>
    <cellStyle name="Ergebnis 2 5 8" xfId="3027" xr:uid="{00000000-0005-0000-0000-0000D30B0000}"/>
    <cellStyle name="Ergebnis 2 5 9" xfId="3028" xr:uid="{00000000-0005-0000-0000-0000D40B0000}"/>
    <cellStyle name="Ergebnis 2 6" xfId="3029" xr:uid="{00000000-0005-0000-0000-0000D50B0000}"/>
    <cellStyle name="Ergebnis 2 7" xfId="3030" xr:uid="{00000000-0005-0000-0000-0000D60B0000}"/>
    <cellStyle name="Ergebnis 2 8" xfId="3031" xr:uid="{00000000-0005-0000-0000-0000D70B0000}"/>
    <cellStyle name="Ergebnis 2 9" xfId="3032" xr:uid="{00000000-0005-0000-0000-0000D80B0000}"/>
    <cellStyle name="Ergebnis 3" xfId="3033" xr:uid="{00000000-0005-0000-0000-0000D90B0000}"/>
    <cellStyle name="Ergebnis 3 10" xfId="3034" xr:uid="{00000000-0005-0000-0000-0000DA0B0000}"/>
    <cellStyle name="Ergebnis 3 11" xfId="3035" xr:uid="{00000000-0005-0000-0000-0000DB0B0000}"/>
    <cellStyle name="Ergebnis 3 12" xfId="3036" xr:uid="{00000000-0005-0000-0000-0000DC0B0000}"/>
    <cellStyle name="Ergebnis 3 13" xfId="3037" xr:uid="{00000000-0005-0000-0000-0000DD0B0000}"/>
    <cellStyle name="Ergebnis 3 2" xfId="3038" xr:uid="{00000000-0005-0000-0000-0000DE0B0000}"/>
    <cellStyle name="Ergebnis 3 2 10" xfId="3039" xr:uid="{00000000-0005-0000-0000-0000DF0B0000}"/>
    <cellStyle name="Ergebnis 3 2 11" xfId="3040" xr:uid="{00000000-0005-0000-0000-0000E00B0000}"/>
    <cellStyle name="Ergebnis 3 2 12" xfId="3041" xr:uid="{00000000-0005-0000-0000-0000E10B0000}"/>
    <cellStyle name="Ergebnis 3 2 2" xfId="3042" xr:uid="{00000000-0005-0000-0000-0000E20B0000}"/>
    <cellStyle name="Ergebnis 3 2 2 10" xfId="3043" xr:uid="{00000000-0005-0000-0000-0000E30B0000}"/>
    <cellStyle name="Ergebnis 3 2 2 11" xfId="3044" xr:uid="{00000000-0005-0000-0000-0000E40B0000}"/>
    <cellStyle name="Ergebnis 3 2 2 2" xfId="3045" xr:uid="{00000000-0005-0000-0000-0000E50B0000}"/>
    <cellStyle name="Ergebnis 3 2 2 3" xfId="3046" xr:uid="{00000000-0005-0000-0000-0000E60B0000}"/>
    <cellStyle name="Ergebnis 3 2 2 4" xfId="3047" xr:uid="{00000000-0005-0000-0000-0000E70B0000}"/>
    <cellStyle name="Ergebnis 3 2 2 5" xfId="3048" xr:uid="{00000000-0005-0000-0000-0000E80B0000}"/>
    <cellStyle name="Ergebnis 3 2 2 6" xfId="3049" xr:uid="{00000000-0005-0000-0000-0000E90B0000}"/>
    <cellStyle name="Ergebnis 3 2 2 7" xfId="3050" xr:uid="{00000000-0005-0000-0000-0000EA0B0000}"/>
    <cellStyle name="Ergebnis 3 2 2 8" xfId="3051" xr:uid="{00000000-0005-0000-0000-0000EB0B0000}"/>
    <cellStyle name="Ergebnis 3 2 2 9" xfId="3052" xr:uid="{00000000-0005-0000-0000-0000EC0B0000}"/>
    <cellStyle name="Ergebnis 3 2 3" xfId="3053" xr:uid="{00000000-0005-0000-0000-0000ED0B0000}"/>
    <cellStyle name="Ergebnis 3 2 4" xfId="3054" xr:uid="{00000000-0005-0000-0000-0000EE0B0000}"/>
    <cellStyle name="Ergebnis 3 2 5" xfId="3055" xr:uid="{00000000-0005-0000-0000-0000EF0B0000}"/>
    <cellStyle name="Ergebnis 3 2 6" xfId="3056" xr:uid="{00000000-0005-0000-0000-0000F00B0000}"/>
    <cellStyle name="Ergebnis 3 2 7" xfId="3057" xr:uid="{00000000-0005-0000-0000-0000F10B0000}"/>
    <cellStyle name="Ergebnis 3 2 8" xfId="3058" xr:uid="{00000000-0005-0000-0000-0000F20B0000}"/>
    <cellStyle name="Ergebnis 3 2 9" xfId="3059" xr:uid="{00000000-0005-0000-0000-0000F30B0000}"/>
    <cellStyle name="Ergebnis 3 3" xfId="3060" xr:uid="{00000000-0005-0000-0000-0000F40B0000}"/>
    <cellStyle name="Ergebnis 3 3 10" xfId="3061" xr:uid="{00000000-0005-0000-0000-0000F50B0000}"/>
    <cellStyle name="Ergebnis 3 3 11" xfId="3062" xr:uid="{00000000-0005-0000-0000-0000F60B0000}"/>
    <cellStyle name="Ergebnis 3 3 12" xfId="3063" xr:uid="{00000000-0005-0000-0000-0000F70B0000}"/>
    <cellStyle name="Ergebnis 3 3 2" xfId="3064" xr:uid="{00000000-0005-0000-0000-0000F80B0000}"/>
    <cellStyle name="Ergebnis 3 3 2 10" xfId="3065" xr:uid="{00000000-0005-0000-0000-0000F90B0000}"/>
    <cellStyle name="Ergebnis 3 3 2 11" xfId="3066" xr:uid="{00000000-0005-0000-0000-0000FA0B0000}"/>
    <cellStyle name="Ergebnis 3 3 2 2" xfId="3067" xr:uid="{00000000-0005-0000-0000-0000FB0B0000}"/>
    <cellStyle name="Ergebnis 3 3 2 3" xfId="3068" xr:uid="{00000000-0005-0000-0000-0000FC0B0000}"/>
    <cellStyle name="Ergebnis 3 3 2 4" xfId="3069" xr:uid="{00000000-0005-0000-0000-0000FD0B0000}"/>
    <cellStyle name="Ergebnis 3 3 2 5" xfId="3070" xr:uid="{00000000-0005-0000-0000-0000FE0B0000}"/>
    <cellStyle name="Ergebnis 3 3 2 6" xfId="3071" xr:uid="{00000000-0005-0000-0000-0000FF0B0000}"/>
    <cellStyle name="Ergebnis 3 3 2 7" xfId="3072" xr:uid="{00000000-0005-0000-0000-0000000C0000}"/>
    <cellStyle name="Ergebnis 3 3 2 8" xfId="3073" xr:uid="{00000000-0005-0000-0000-0000010C0000}"/>
    <cellStyle name="Ergebnis 3 3 2 9" xfId="3074" xr:uid="{00000000-0005-0000-0000-0000020C0000}"/>
    <cellStyle name="Ergebnis 3 3 3" xfId="3075" xr:uid="{00000000-0005-0000-0000-0000030C0000}"/>
    <cellStyle name="Ergebnis 3 3 4" xfId="3076" xr:uid="{00000000-0005-0000-0000-0000040C0000}"/>
    <cellStyle name="Ergebnis 3 3 5" xfId="3077" xr:uid="{00000000-0005-0000-0000-0000050C0000}"/>
    <cellStyle name="Ergebnis 3 3 6" xfId="3078" xr:uid="{00000000-0005-0000-0000-0000060C0000}"/>
    <cellStyle name="Ergebnis 3 3 7" xfId="3079" xr:uid="{00000000-0005-0000-0000-0000070C0000}"/>
    <cellStyle name="Ergebnis 3 3 8" xfId="3080" xr:uid="{00000000-0005-0000-0000-0000080C0000}"/>
    <cellStyle name="Ergebnis 3 3 9" xfId="3081" xr:uid="{00000000-0005-0000-0000-0000090C0000}"/>
    <cellStyle name="Ergebnis 3 4" xfId="3082" xr:uid="{00000000-0005-0000-0000-00000A0C0000}"/>
    <cellStyle name="Ergebnis 3 4 10" xfId="3083" xr:uid="{00000000-0005-0000-0000-00000B0C0000}"/>
    <cellStyle name="Ergebnis 3 4 11" xfId="3084" xr:uid="{00000000-0005-0000-0000-00000C0C0000}"/>
    <cellStyle name="Ergebnis 3 4 12" xfId="3085" xr:uid="{00000000-0005-0000-0000-00000D0C0000}"/>
    <cellStyle name="Ergebnis 3 4 2" xfId="3086" xr:uid="{00000000-0005-0000-0000-00000E0C0000}"/>
    <cellStyle name="Ergebnis 3 4 2 10" xfId="3087" xr:uid="{00000000-0005-0000-0000-00000F0C0000}"/>
    <cellStyle name="Ergebnis 3 4 2 11" xfId="3088" xr:uid="{00000000-0005-0000-0000-0000100C0000}"/>
    <cellStyle name="Ergebnis 3 4 2 2" xfId="3089" xr:uid="{00000000-0005-0000-0000-0000110C0000}"/>
    <cellStyle name="Ergebnis 3 4 2 3" xfId="3090" xr:uid="{00000000-0005-0000-0000-0000120C0000}"/>
    <cellStyle name="Ergebnis 3 4 2 4" xfId="3091" xr:uid="{00000000-0005-0000-0000-0000130C0000}"/>
    <cellStyle name="Ergebnis 3 4 2 5" xfId="3092" xr:uid="{00000000-0005-0000-0000-0000140C0000}"/>
    <cellStyle name="Ergebnis 3 4 2 6" xfId="3093" xr:uid="{00000000-0005-0000-0000-0000150C0000}"/>
    <cellStyle name="Ergebnis 3 4 2 7" xfId="3094" xr:uid="{00000000-0005-0000-0000-0000160C0000}"/>
    <cellStyle name="Ergebnis 3 4 2 8" xfId="3095" xr:uid="{00000000-0005-0000-0000-0000170C0000}"/>
    <cellStyle name="Ergebnis 3 4 2 9" xfId="3096" xr:uid="{00000000-0005-0000-0000-0000180C0000}"/>
    <cellStyle name="Ergebnis 3 4 3" xfId="3097" xr:uid="{00000000-0005-0000-0000-0000190C0000}"/>
    <cellStyle name="Ergebnis 3 4 4" xfId="3098" xr:uid="{00000000-0005-0000-0000-00001A0C0000}"/>
    <cellStyle name="Ergebnis 3 4 5" xfId="3099" xr:uid="{00000000-0005-0000-0000-00001B0C0000}"/>
    <cellStyle name="Ergebnis 3 4 6" xfId="3100" xr:uid="{00000000-0005-0000-0000-00001C0C0000}"/>
    <cellStyle name="Ergebnis 3 4 7" xfId="3101" xr:uid="{00000000-0005-0000-0000-00001D0C0000}"/>
    <cellStyle name="Ergebnis 3 4 8" xfId="3102" xr:uid="{00000000-0005-0000-0000-00001E0C0000}"/>
    <cellStyle name="Ergebnis 3 4 9" xfId="3103" xr:uid="{00000000-0005-0000-0000-00001F0C0000}"/>
    <cellStyle name="Ergebnis 3 5" xfId="3104" xr:uid="{00000000-0005-0000-0000-0000200C0000}"/>
    <cellStyle name="Ergebnis 3 5 10" xfId="3105" xr:uid="{00000000-0005-0000-0000-0000210C0000}"/>
    <cellStyle name="Ergebnis 3 5 11" xfId="3106" xr:uid="{00000000-0005-0000-0000-0000220C0000}"/>
    <cellStyle name="Ergebnis 3 5 2" xfId="3107" xr:uid="{00000000-0005-0000-0000-0000230C0000}"/>
    <cellStyle name="Ergebnis 3 5 3" xfId="3108" xr:uid="{00000000-0005-0000-0000-0000240C0000}"/>
    <cellStyle name="Ergebnis 3 5 4" xfId="3109" xr:uid="{00000000-0005-0000-0000-0000250C0000}"/>
    <cellStyle name="Ergebnis 3 5 5" xfId="3110" xr:uid="{00000000-0005-0000-0000-0000260C0000}"/>
    <cellStyle name="Ergebnis 3 5 6" xfId="3111" xr:uid="{00000000-0005-0000-0000-0000270C0000}"/>
    <cellStyle name="Ergebnis 3 5 7" xfId="3112" xr:uid="{00000000-0005-0000-0000-0000280C0000}"/>
    <cellStyle name="Ergebnis 3 5 8" xfId="3113" xr:uid="{00000000-0005-0000-0000-0000290C0000}"/>
    <cellStyle name="Ergebnis 3 5 9" xfId="3114" xr:uid="{00000000-0005-0000-0000-00002A0C0000}"/>
    <cellStyle name="Ergebnis 3 6" xfId="3115" xr:uid="{00000000-0005-0000-0000-00002B0C0000}"/>
    <cellStyle name="Ergebnis 3 7" xfId="3116" xr:uid="{00000000-0005-0000-0000-00002C0C0000}"/>
    <cellStyle name="Ergebnis 3 8" xfId="3117" xr:uid="{00000000-0005-0000-0000-00002D0C0000}"/>
    <cellStyle name="Ergebnis 3 9" xfId="3118" xr:uid="{00000000-0005-0000-0000-00002E0C0000}"/>
    <cellStyle name="Ergebnis 4" xfId="3119" xr:uid="{00000000-0005-0000-0000-00002F0C0000}"/>
    <cellStyle name="Ergebnis 4 10" xfId="3120" xr:uid="{00000000-0005-0000-0000-0000300C0000}"/>
    <cellStyle name="Ergebnis 4 11" xfId="3121" xr:uid="{00000000-0005-0000-0000-0000310C0000}"/>
    <cellStyle name="Ergebnis 4 12" xfId="3122" xr:uid="{00000000-0005-0000-0000-0000320C0000}"/>
    <cellStyle name="Ergebnis 4 2" xfId="3123" xr:uid="{00000000-0005-0000-0000-0000330C0000}"/>
    <cellStyle name="Ergebnis 4 2 10" xfId="3124" xr:uid="{00000000-0005-0000-0000-0000340C0000}"/>
    <cellStyle name="Ergebnis 4 2 11" xfId="3125" xr:uid="{00000000-0005-0000-0000-0000350C0000}"/>
    <cellStyle name="Ergebnis 4 2 2" xfId="3126" xr:uid="{00000000-0005-0000-0000-0000360C0000}"/>
    <cellStyle name="Ergebnis 4 2 3" xfId="3127" xr:uid="{00000000-0005-0000-0000-0000370C0000}"/>
    <cellStyle name="Ergebnis 4 2 4" xfId="3128" xr:uid="{00000000-0005-0000-0000-0000380C0000}"/>
    <cellStyle name="Ergebnis 4 2 5" xfId="3129" xr:uid="{00000000-0005-0000-0000-0000390C0000}"/>
    <cellStyle name="Ergebnis 4 2 6" xfId="3130" xr:uid="{00000000-0005-0000-0000-00003A0C0000}"/>
    <cellStyle name="Ergebnis 4 2 7" xfId="3131" xr:uid="{00000000-0005-0000-0000-00003B0C0000}"/>
    <cellStyle name="Ergebnis 4 2 8" xfId="3132" xr:uid="{00000000-0005-0000-0000-00003C0C0000}"/>
    <cellStyle name="Ergebnis 4 2 9" xfId="3133" xr:uid="{00000000-0005-0000-0000-00003D0C0000}"/>
    <cellStyle name="Ergebnis 4 3" xfId="3134" xr:uid="{00000000-0005-0000-0000-00003E0C0000}"/>
    <cellStyle name="Ergebnis 4 4" xfId="3135" xr:uid="{00000000-0005-0000-0000-00003F0C0000}"/>
    <cellStyle name="Ergebnis 4 5" xfId="3136" xr:uid="{00000000-0005-0000-0000-0000400C0000}"/>
    <cellStyle name="Ergebnis 4 6" xfId="3137" xr:uid="{00000000-0005-0000-0000-0000410C0000}"/>
    <cellStyle name="Ergebnis 4 7" xfId="3138" xr:uid="{00000000-0005-0000-0000-0000420C0000}"/>
    <cellStyle name="Ergebnis 4 8" xfId="3139" xr:uid="{00000000-0005-0000-0000-0000430C0000}"/>
    <cellStyle name="Ergebnis 4 9" xfId="3140" xr:uid="{00000000-0005-0000-0000-0000440C0000}"/>
    <cellStyle name="Ergebnis 5" xfId="3141" xr:uid="{00000000-0005-0000-0000-0000450C0000}"/>
    <cellStyle name="Ergebnis 5 10" xfId="3142" xr:uid="{00000000-0005-0000-0000-0000460C0000}"/>
    <cellStyle name="Ergebnis 5 11" xfId="3143" xr:uid="{00000000-0005-0000-0000-0000470C0000}"/>
    <cellStyle name="Ergebnis 5 12" xfId="3144" xr:uid="{00000000-0005-0000-0000-0000480C0000}"/>
    <cellStyle name="Ergebnis 5 2" xfId="3145" xr:uid="{00000000-0005-0000-0000-0000490C0000}"/>
    <cellStyle name="Ergebnis 5 2 10" xfId="3146" xr:uid="{00000000-0005-0000-0000-00004A0C0000}"/>
    <cellStyle name="Ergebnis 5 2 11" xfId="3147" xr:uid="{00000000-0005-0000-0000-00004B0C0000}"/>
    <cellStyle name="Ergebnis 5 2 2" xfId="3148" xr:uid="{00000000-0005-0000-0000-00004C0C0000}"/>
    <cellStyle name="Ergebnis 5 2 3" xfId="3149" xr:uid="{00000000-0005-0000-0000-00004D0C0000}"/>
    <cellStyle name="Ergebnis 5 2 4" xfId="3150" xr:uid="{00000000-0005-0000-0000-00004E0C0000}"/>
    <cellStyle name="Ergebnis 5 2 5" xfId="3151" xr:uid="{00000000-0005-0000-0000-00004F0C0000}"/>
    <cellStyle name="Ergebnis 5 2 6" xfId="3152" xr:uid="{00000000-0005-0000-0000-0000500C0000}"/>
    <cellStyle name="Ergebnis 5 2 7" xfId="3153" xr:uid="{00000000-0005-0000-0000-0000510C0000}"/>
    <cellStyle name="Ergebnis 5 2 8" xfId="3154" xr:uid="{00000000-0005-0000-0000-0000520C0000}"/>
    <cellStyle name="Ergebnis 5 2 9" xfId="3155" xr:uid="{00000000-0005-0000-0000-0000530C0000}"/>
    <cellStyle name="Ergebnis 5 3" xfId="3156" xr:uid="{00000000-0005-0000-0000-0000540C0000}"/>
    <cellStyle name="Ergebnis 5 4" xfId="3157" xr:uid="{00000000-0005-0000-0000-0000550C0000}"/>
    <cellStyle name="Ergebnis 5 5" xfId="3158" xr:uid="{00000000-0005-0000-0000-0000560C0000}"/>
    <cellStyle name="Ergebnis 5 6" xfId="3159" xr:uid="{00000000-0005-0000-0000-0000570C0000}"/>
    <cellStyle name="Ergebnis 5 7" xfId="3160" xr:uid="{00000000-0005-0000-0000-0000580C0000}"/>
    <cellStyle name="Ergebnis 5 8" xfId="3161" xr:uid="{00000000-0005-0000-0000-0000590C0000}"/>
    <cellStyle name="Ergebnis 5 9" xfId="3162" xr:uid="{00000000-0005-0000-0000-00005A0C0000}"/>
    <cellStyle name="Ergebnis 6" xfId="3163" xr:uid="{00000000-0005-0000-0000-00005B0C0000}"/>
    <cellStyle name="Ergebnis 6 10" xfId="3164" xr:uid="{00000000-0005-0000-0000-00005C0C0000}"/>
    <cellStyle name="Ergebnis 6 11" xfId="3165" xr:uid="{00000000-0005-0000-0000-00005D0C0000}"/>
    <cellStyle name="Ergebnis 6 12" xfId="3166" xr:uid="{00000000-0005-0000-0000-00005E0C0000}"/>
    <cellStyle name="Ergebnis 6 2" xfId="3167" xr:uid="{00000000-0005-0000-0000-00005F0C0000}"/>
    <cellStyle name="Ergebnis 6 2 10" xfId="3168" xr:uid="{00000000-0005-0000-0000-0000600C0000}"/>
    <cellStyle name="Ergebnis 6 2 11" xfId="3169" xr:uid="{00000000-0005-0000-0000-0000610C0000}"/>
    <cellStyle name="Ergebnis 6 2 2" xfId="3170" xr:uid="{00000000-0005-0000-0000-0000620C0000}"/>
    <cellStyle name="Ergebnis 6 2 3" xfId="3171" xr:uid="{00000000-0005-0000-0000-0000630C0000}"/>
    <cellStyle name="Ergebnis 6 2 4" xfId="3172" xr:uid="{00000000-0005-0000-0000-0000640C0000}"/>
    <cellStyle name="Ergebnis 6 2 5" xfId="3173" xr:uid="{00000000-0005-0000-0000-0000650C0000}"/>
    <cellStyle name="Ergebnis 6 2 6" xfId="3174" xr:uid="{00000000-0005-0000-0000-0000660C0000}"/>
    <cellStyle name="Ergebnis 6 2 7" xfId="3175" xr:uid="{00000000-0005-0000-0000-0000670C0000}"/>
    <cellStyle name="Ergebnis 6 2 8" xfId="3176" xr:uid="{00000000-0005-0000-0000-0000680C0000}"/>
    <cellStyle name="Ergebnis 6 2 9" xfId="3177" xr:uid="{00000000-0005-0000-0000-0000690C0000}"/>
    <cellStyle name="Ergebnis 6 3" xfId="3178" xr:uid="{00000000-0005-0000-0000-00006A0C0000}"/>
    <cellStyle name="Ergebnis 6 4" xfId="3179" xr:uid="{00000000-0005-0000-0000-00006B0C0000}"/>
    <cellStyle name="Ergebnis 6 5" xfId="3180" xr:uid="{00000000-0005-0000-0000-00006C0C0000}"/>
    <cellStyle name="Ergebnis 6 6" xfId="3181" xr:uid="{00000000-0005-0000-0000-00006D0C0000}"/>
    <cellStyle name="Ergebnis 6 7" xfId="3182" xr:uid="{00000000-0005-0000-0000-00006E0C0000}"/>
    <cellStyle name="Ergebnis 6 8" xfId="3183" xr:uid="{00000000-0005-0000-0000-00006F0C0000}"/>
    <cellStyle name="Ergebnis 6 9" xfId="3184" xr:uid="{00000000-0005-0000-0000-0000700C0000}"/>
    <cellStyle name="Ergebnis 7" xfId="3185" xr:uid="{00000000-0005-0000-0000-0000710C0000}"/>
    <cellStyle name="Ergebnis 7 10" xfId="3186" xr:uid="{00000000-0005-0000-0000-0000720C0000}"/>
    <cellStyle name="Ergebnis 7 11" xfId="3187" xr:uid="{00000000-0005-0000-0000-0000730C0000}"/>
    <cellStyle name="Ergebnis 7 2" xfId="3188" xr:uid="{00000000-0005-0000-0000-0000740C0000}"/>
    <cellStyle name="Ergebnis 7 3" xfId="3189" xr:uid="{00000000-0005-0000-0000-0000750C0000}"/>
    <cellStyle name="Ergebnis 7 4" xfId="3190" xr:uid="{00000000-0005-0000-0000-0000760C0000}"/>
    <cellStyle name="Ergebnis 7 5" xfId="3191" xr:uid="{00000000-0005-0000-0000-0000770C0000}"/>
    <cellStyle name="Ergebnis 7 6" xfId="3192" xr:uid="{00000000-0005-0000-0000-0000780C0000}"/>
    <cellStyle name="Ergebnis 7 7" xfId="3193" xr:uid="{00000000-0005-0000-0000-0000790C0000}"/>
    <cellStyle name="Ergebnis 7 8" xfId="3194" xr:uid="{00000000-0005-0000-0000-00007A0C0000}"/>
    <cellStyle name="Ergebnis 7 9" xfId="3195" xr:uid="{00000000-0005-0000-0000-00007B0C0000}"/>
    <cellStyle name="Erklärender Text" xfId="3196" xr:uid="{00000000-0005-0000-0000-00007C0C0000}"/>
    <cellStyle name="Erklärender Text 2" xfId="3197" xr:uid="{00000000-0005-0000-0000-00007D0C0000}"/>
    <cellStyle name="Erklärender Text 3" xfId="3198" xr:uid="{00000000-0005-0000-0000-00007E0C0000}"/>
    <cellStyle name="Explanatory Text 2" xfId="3199" xr:uid="{00000000-0005-0000-0000-00007F0C0000}"/>
    <cellStyle name="Explanatory Text 3" xfId="3200" xr:uid="{00000000-0005-0000-0000-0000800C0000}"/>
    <cellStyle name="Good 2" xfId="3201" xr:uid="{00000000-0005-0000-0000-0000810C0000}"/>
    <cellStyle name="Good 3" xfId="3202" xr:uid="{00000000-0005-0000-0000-0000820C0000}"/>
    <cellStyle name="Good 4" xfId="3203" xr:uid="{00000000-0005-0000-0000-0000830C0000}"/>
    <cellStyle name="Gut" xfId="3204" xr:uid="{00000000-0005-0000-0000-0000840C0000}"/>
    <cellStyle name="Heading 1 2" xfId="3205" xr:uid="{00000000-0005-0000-0000-0000850C0000}"/>
    <cellStyle name="Heading 1 3" xfId="3206" xr:uid="{00000000-0005-0000-0000-0000860C0000}"/>
    <cellStyle name="Heading 1 4" xfId="3207" xr:uid="{00000000-0005-0000-0000-0000870C0000}"/>
    <cellStyle name="Heading 2 2" xfId="3208" xr:uid="{00000000-0005-0000-0000-0000880C0000}"/>
    <cellStyle name="Heading 2 3" xfId="3209" xr:uid="{00000000-0005-0000-0000-0000890C0000}"/>
    <cellStyle name="Heading 2 4" xfId="3210" xr:uid="{00000000-0005-0000-0000-00008A0C0000}"/>
    <cellStyle name="Heading 3 2" xfId="3211" xr:uid="{00000000-0005-0000-0000-00008B0C0000}"/>
    <cellStyle name="Heading 3 3" xfId="3212" xr:uid="{00000000-0005-0000-0000-00008C0C0000}"/>
    <cellStyle name="Heading 3 4" xfId="3213" xr:uid="{00000000-0005-0000-0000-00008D0C0000}"/>
    <cellStyle name="Heading 4 2" xfId="3214" xr:uid="{00000000-0005-0000-0000-00008E0C0000}"/>
    <cellStyle name="Heading 4 3" xfId="3215" xr:uid="{00000000-0005-0000-0000-00008F0C0000}"/>
    <cellStyle name="Heading 4 4" xfId="3216" xr:uid="{00000000-0005-0000-0000-0000900C0000}"/>
    <cellStyle name="Headline" xfId="3217" xr:uid="{00000000-0005-0000-0000-0000910C0000}"/>
    <cellStyle name="Hyperlink 1" xfId="5095" xr:uid="{00000000-0005-0000-0000-0000E7130000}"/>
    <cellStyle name="Input 2" xfId="3218" xr:uid="{00000000-0005-0000-0000-0000920C0000}"/>
    <cellStyle name="Input 2 10" xfId="3219" xr:uid="{00000000-0005-0000-0000-0000930C0000}"/>
    <cellStyle name="Input 2 11" xfId="3220" xr:uid="{00000000-0005-0000-0000-0000940C0000}"/>
    <cellStyle name="Input 2 12" xfId="3221" xr:uid="{00000000-0005-0000-0000-0000950C0000}"/>
    <cellStyle name="Input 2 13" xfId="3222" xr:uid="{00000000-0005-0000-0000-0000960C0000}"/>
    <cellStyle name="Input 2 2" xfId="3223" xr:uid="{00000000-0005-0000-0000-0000970C0000}"/>
    <cellStyle name="Input 2 2 10" xfId="3224" xr:uid="{00000000-0005-0000-0000-0000980C0000}"/>
    <cellStyle name="Input 2 2 11" xfId="3225" xr:uid="{00000000-0005-0000-0000-0000990C0000}"/>
    <cellStyle name="Input 2 2 12" xfId="3226" xr:uid="{00000000-0005-0000-0000-00009A0C0000}"/>
    <cellStyle name="Input 2 2 2" xfId="3227" xr:uid="{00000000-0005-0000-0000-00009B0C0000}"/>
    <cellStyle name="Input 2 2 2 10" xfId="3228" xr:uid="{00000000-0005-0000-0000-00009C0C0000}"/>
    <cellStyle name="Input 2 2 2 11" xfId="3229" xr:uid="{00000000-0005-0000-0000-00009D0C0000}"/>
    <cellStyle name="Input 2 2 2 2" xfId="3230" xr:uid="{00000000-0005-0000-0000-00009E0C0000}"/>
    <cellStyle name="Input 2 2 2 3" xfId="3231" xr:uid="{00000000-0005-0000-0000-00009F0C0000}"/>
    <cellStyle name="Input 2 2 2 4" xfId="3232" xr:uid="{00000000-0005-0000-0000-0000A00C0000}"/>
    <cellStyle name="Input 2 2 2 5" xfId="3233" xr:uid="{00000000-0005-0000-0000-0000A10C0000}"/>
    <cellStyle name="Input 2 2 2 6" xfId="3234" xr:uid="{00000000-0005-0000-0000-0000A20C0000}"/>
    <cellStyle name="Input 2 2 2 7" xfId="3235" xr:uid="{00000000-0005-0000-0000-0000A30C0000}"/>
    <cellStyle name="Input 2 2 2 8" xfId="3236" xr:uid="{00000000-0005-0000-0000-0000A40C0000}"/>
    <cellStyle name="Input 2 2 2 9" xfId="3237" xr:uid="{00000000-0005-0000-0000-0000A50C0000}"/>
    <cellStyle name="Input 2 2 3" xfId="3238" xr:uid="{00000000-0005-0000-0000-0000A60C0000}"/>
    <cellStyle name="Input 2 2 4" xfId="3239" xr:uid="{00000000-0005-0000-0000-0000A70C0000}"/>
    <cellStyle name="Input 2 2 5" xfId="3240" xr:uid="{00000000-0005-0000-0000-0000A80C0000}"/>
    <cellStyle name="Input 2 2 6" xfId="3241" xr:uid="{00000000-0005-0000-0000-0000A90C0000}"/>
    <cellStyle name="Input 2 2 7" xfId="3242" xr:uid="{00000000-0005-0000-0000-0000AA0C0000}"/>
    <cellStyle name="Input 2 2 8" xfId="3243" xr:uid="{00000000-0005-0000-0000-0000AB0C0000}"/>
    <cellStyle name="Input 2 2 9" xfId="3244" xr:uid="{00000000-0005-0000-0000-0000AC0C0000}"/>
    <cellStyle name="Input 2 3" xfId="3245" xr:uid="{00000000-0005-0000-0000-0000AD0C0000}"/>
    <cellStyle name="Input 2 3 10" xfId="3246" xr:uid="{00000000-0005-0000-0000-0000AE0C0000}"/>
    <cellStyle name="Input 2 3 11" xfId="3247" xr:uid="{00000000-0005-0000-0000-0000AF0C0000}"/>
    <cellStyle name="Input 2 3 12" xfId="3248" xr:uid="{00000000-0005-0000-0000-0000B00C0000}"/>
    <cellStyle name="Input 2 3 2" xfId="3249" xr:uid="{00000000-0005-0000-0000-0000B10C0000}"/>
    <cellStyle name="Input 2 3 2 10" xfId="3250" xr:uid="{00000000-0005-0000-0000-0000B20C0000}"/>
    <cellStyle name="Input 2 3 2 11" xfId="3251" xr:uid="{00000000-0005-0000-0000-0000B30C0000}"/>
    <cellStyle name="Input 2 3 2 2" xfId="3252" xr:uid="{00000000-0005-0000-0000-0000B40C0000}"/>
    <cellStyle name="Input 2 3 2 3" xfId="3253" xr:uid="{00000000-0005-0000-0000-0000B50C0000}"/>
    <cellStyle name="Input 2 3 2 4" xfId="3254" xr:uid="{00000000-0005-0000-0000-0000B60C0000}"/>
    <cellStyle name="Input 2 3 2 5" xfId="3255" xr:uid="{00000000-0005-0000-0000-0000B70C0000}"/>
    <cellStyle name="Input 2 3 2 6" xfId="3256" xr:uid="{00000000-0005-0000-0000-0000B80C0000}"/>
    <cellStyle name="Input 2 3 2 7" xfId="3257" xr:uid="{00000000-0005-0000-0000-0000B90C0000}"/>
    <cellStyle name="Input 2 3 2 8" xfId="3258" xr:uid="{00000000-0005-0000-0000-0000BA0C0000}"/>
    <cellStyle name="Input 2 3 2 9" xfId="3259" xr:uid="{00000000-0005-0000-0000-0000BB0C0000}"/>
    <cellStyle name="Input 2 3 3" xfId="3260" xr:uid="{00000000-0005-0000-0000-0000BC0C0000}"/>
    <cellStyle name="Input 2 3 4" xfId="3261" xr:uid="{00000000-0005-0000-0000-0000BD0C0000}"/>
    <cellStyle name="Input 2 3 5" xfId="3262" xr:uid="{00000000-0005-0000-0000-0000BE0C0000}"/>
    <cellStyle name="Input 2 3 6" xfId="3263" xr:uid="{00000000-0005-0000-0000-0000BF0C0000}"/>
    <cellStyle name="Input 2 3 7" xfId="3264" xr:uid="{00000000-0005-0000-0000-0000C00C0000}"/>
    <cellStyle name="Input 2 3 8" xfId="3265" xr:uid="{00000000-0005-0000-0000-0000C10C0000}"/>
    <cellStyle name="Input 2 3 9" xfId="3266" xr:uid="{00000000-0005-0000-0000-0000C20C0000}"/>
    <cellStyle name="Input 2 4" xfId="3267" xr:uid="{00000000-0005-0000-0000-0000C30C0000}"/>
    <cellStyle name="Input 2 4 10" xfId="3268" xr:uid="{00000000-0005-0000-0000-0000C40C0000}"/>
    <cellStyle name="Input 2 4 11" xfId="3269" xr:uid="{00000000-0005-0000-0000-0000C50C0000}"/>
    <cellStyle name="Input 2 4 12" xfId="3270" xr:uid="{00000000-0005-0000-0000-0000C60C0000}"/>
    <cellStyle name="Input 2 4 2" xfId="3271" xr:uid="{00000000-0005-0000-0000-0000C70C0000}"/>
    <cellStyle name="Input 2 4 2 10" xfId="3272" xr:uid="{00000000-0005-0000-0000-0000C80C0000}"/>
    <cellStyle name="Input 2 4 2 11" xfId="3273" xr:uid="{00000000-0005-0000-0000-0000C90C0000}"/>
    <cellStyle name="Input 2 4 2 2" xfId="3274" xr:uid="{00000000-0005-0000-0000-0000CA0C0000}"/>
    <cellStyle name="Input 2 4 2 3" xfId="3275" xr:uid="{00000000-0005-0000-0000-0000CB0C0000}"/>
    <cellStyle name="Input 2 4 2 4" xfId="3276" xr:uid="{00000000-0005-0000-0000-0000CC0C0000}"/>
    <cellStyle name="Input 2 4 2 5" xfId="3277" xr:uid="{00000000-0005-0000-0000-0000CD0C0000}"/>
    <cellStyle name="Input 2 4 2 6" xfId="3278" xr:uid="{00000000-0005-0000-0000-0000CE0C0000}"/>
    <cellStyle name="Input 2 4 2 7" xfId="3279" xr:uid="{00000000-0005-0000-0000-0000CF0C0000}"/>
    <cellStyle name="Input 2 4 2 8" xfId="3280" xr:uid="{00000000-0005-0000-0000-0000D00C0000}"/>
    <cellStyle name="Input 2 4 2 9" xfId="3281" xr:uid="{00000000-0005-0000-0000-0000D10C0000}"/>
    <cellStyle name="Input 2 4 3" xfId="3282" xr:uid="{00000000-0005-0000-0000-0000D20C0000}"/>
    <cellStyle name="Input 2 4 4" xfId="3283" xr:uid="{00000000-0005-0000-0000-0000D30C0000}"/>
    <cellStyle name="Input 2 4 5" xfId="3284" xr:uid="{00000000-0005-0000-0000-0000D40C0000}"/>
    <cellStyle name="Input 2 4 6" xfId="3285" xr:uid="{00000000-0005-0000-0000-0000D50C0000}"/>
    <cellStyle name="Input 2 4 7" xfId="3286" xr:uid="{00000000-0005-0000-0000-0000D60C0000}"/>
    <cellStyle name="Input 2 4 8" xfId="3287" xr:uid="{00000000-0005-0000-0000-0000D70C0000}"/>
    <cellStyle name="Input 2 4 9" xfId="3288" xr:uid="{00000000-0005-0000-0000-0000D80C0000}"/>
    <cellStyle name="Input 2 5" xfId="3289" xr:uid="{00000000-0005-0000-0000-0000D90C0000}"/>
    <cellStyle name="Input 2 5 10" xfId="3290" xr:uid="{00000000-0005-0000-0000-0000DA0C0000}"/>
    <cellStyle name="Input 2 5 11" xfId="3291" xr:uid="{00000000-0005-0000-0000-0000DB0C0000}"/>
    <cellStyle name="Input 2 5 2" xfId="3292" xr:uid="{00000000-0005-0000-0000-0000DC0C0000}"/>
    <cellStyle name="Input 2 5 3" xfId="3293" xr:uid="{00000000-0005-0000-0000-0000DD0C0000}"/>
    <cellStyle name="Input 2 5 4" xfId="3294" xr:uid="{00000000-0005-0000-0000-0000DE0C0000}"/>
    <cellStyle name="Input 2 5 5" xfId="3295" xr:uid="{00000000-0005-0000-0000-0000DF0C0000}"/>
    <cellStyle name="Input 2 5 6" xfId="3296" xr:uid="{00000000-0005-0000-0000-0000E00C0000}"/>
    <cellStyle name="Input 2 5 7" xfId="3297" xr:uid="{00000000-0005-0000-0000-0000E10C0000}"/>
    <cellStyle name="Input 2 5 8" xfId="3298" xr:uid="{00000000-0005-0000-0000-0000E20C0000}"/>
    <cellStyle name="Input 2 5 9" xfId="3299" xr:uid="{00000000-0005-0000-0000-0000E30C0000}"/>
    <cellStyle name="Input 2 6" xfId="3300" xr:uid="{00000000-0005-0000-0000-0000E40C0000}"/>
    <cellStyle name="Input 2 7" xfId="3301" xr:uid="{00000000-0005-0000-0000-0000E50C0000}"/>
    <cellStyle name="Input 2 8" xfId="3302" xr:uid="{00000000-0005-0000-0000-0000E60C0000}"/>
    <cellStyle name="Input 2 9" xfId="3303" xr:uid="{00000000-0005-0000-0000-0000E70C0000}"/>
    <cellStyle name="Input 3" xfId="3304" xr:uid="{00000000-0005-0000-0000-0000E80C0000}"/>
    <cellStyle name="Input 3 10" xfId="3305" xr:uid="{00000000-0005-0000-0000-0000E90C0000}"/>
    <cellStyle name="Input 3 11" xfId="3306" xr:uid="{00000000-0005-0000-0000-0000EA0C0000}"/>
    <cellStyle name="Input 3 12" xfId="3307" xr:uid="{00000000-0005-0000-0000-0000EB0C0000}"/>
    <cellStyle name="Input 3 13" xfId="3308" xr:uid="{00000000-0005-0000-0000-0000EC0C0000}"/>
    <cellStyle name="Input 3 2" xfId="3309" xr:uid="{00000000-0005-0000-0000-0000ED0C0000}"/>
    <cellStyle name="Input 3 2 10" xfId="3310" xr:uid="{00000000-0005-0000-0000-0000EE0C0000}"/>
    <cellStyle name="Input 3 2 11" xfId="3311" xr:uid="{00000000-0005-0000-0000-0000EF0C0000}"/>
    <cellStyle name="Input 3 2 12" xfId="3312" xr:uid="{00000000-0005-0000-0000-0000F00C0000}"/>
    <cellStyle name="Input 3 2 2" xfId="3313" xr:uid="{00000000-0005-0000-0000-0000F10C0000}"/>
    <cellStyle name="Input 3 2 2 10" xfId="3314" xr:uid="{00000000-0005-0000-0000-0000F20C0000}"/>
    <cellStyle name="Input 3 2 2 11" xfId="3315" xr:uid="{00000000-0005-0000-0000-0000F30C0000}"/>
    <cellStyle name="Input 3 2 2 2" xfId="3316" xr:uid="{00000000-0005-0000-0000-0000F40C0000}"/>
    <cellStyle name="Input 3 2 2 3" xfId="3317" xr:uid="{00000000-0005-0000-0000-0000F50C0000}"/>
    <cellStyle name="Input 3 2 2 4" xfId="3318" xr:uid="{00000000-0005-0000-0000-0000F60C0000}"/>
    <cellStyle name="Input 3 2 2 5" xfId="3319" xr:uid="{00000000-0005-0000-0000-0000F70C0000}"/>
    <cellStyle name="Input 3 2 2 6" xfId="3320" xr:uid="{00000000-0005-0000-0000-0000F80C0000}"/>
    <cellStyle name="Input 3 2 2 7" xfId="3321" xr:uid="{00000000-0005-0000-0000-0000F90C0000}"/>
    <cellStyle name="Input 3 2 2 8" xfId="3322" xr:uid="{00000000-0005-0000-0000-0000FA0C0000}"/>
    <cellStyle name="Input 3 2 2 9" xfId="3323" xr:uid="{00000000-0005-0000-0000-0000FB0C0000}"/>
    <cellStyle name="Input 3 2 3" xfId="3324" xr:uid="{00000000-0005-0000-0000-0000FC0C0000}"/>
    <cellStyle name="Input 3 2 4" xfId="3325" xr:uid="{00000000-0005-0000-0000-0000FD0C0000}"/>
    <cellStyle name="Input 3 2 5" xfId="3326" xr:uid="{00000000-0005-0000-0000-0000FE0C0000}"/>
    <cellStyle name="Input 3 2 6" xfId="3327" xr:uid="{00000000-0005-0000-0000-0000FF0C0000}"/>
    <cellStyle name="Input 3 2 7" xfId="3328" xr:uid="{00000000-0005-0000-0000-0000000D0000}"/>
    <cellStyle name="Input 3 2 8" xfId="3329" xr:uid="{00000000-0005-0000-0000-0000010D0000}"/>
    <cellStyle name="Input 3 2 9" xfId="3330" xr:uid="{00000000-0005-0000-0000-0000020D0000}"/>
    <cellStyle name="Input 3 3" xfId="3331" xr:uid="{00000000-0005-0000-0000-0000030D0000}"/>
    <cellStyle name="Input 3 3 10" xfId="3332" xr:uid="{00000000-0005-0000-0000-0000040D0000}"/>
    <cellStyle name="Input 3 3 11" xfId="3333" xr:uid="{00000000-0005-0000-0000-0000050D0000}"/>
    <cellStyle name="Input 3 3 12" xfId="3334" xr:uid="{00000000-0005-0000-0000-0000060D0000}"/>
    <cellStyle name="Input 3 3 2" xfId="3335" xr:uid="{00000000-0005-0000-0000-0000070D0000}"/>
    <cellStyle name="Input 3 3 2 10" xfId="3336" xr:uid="{00000000-0005-0000-0000-0000080D0000}"/>
    <cellStyle name="Input 3 3 2 11" xfId="3337" xr:uid="{00000000-0005-0000-0000-0000090D0000}"/>
    <cellStyle name="Input 3 3 2 2" xfId="3338" xr:uid="{00000000-0005-0000-0000-00000A0D0000}"/>
    <cellStyle name="Input 3 3 2 3" xfId="3339" xr:uid="{00000000-0005-0000-0000-00000B0D0000}"/>
    <cellStyle name="Input 3 3 2 4" xfId="3340" xr:uid="{00000000-0005-0000-0000-00000C0D0000}"/>
    <cellStyle name="Input 3 3 2 5" xfId="3341" xr:uid="{00000000-0005-0000-0000-00000D0D0000}"/>
    <cellStyle name="Input 3 3 2 6" xfId="3342" xr:uid="{00000000-0005-0000-0000-00000E0D0000}"/>
    <cellStyle name="Input 3 3 2 7" xfId="3343" xr:uid="{00000000-0005-0000-0000-00000F0D0000}"/>
    <cellStyle name="Input 3 3 2 8" xfId="3344" xr:uid="{00000000-0005-0000-0000-0000100D0000}"/>
    <cellStyle name="Input 3 3 2 9" xfId="3345" xr:uid="{00000000-0005-0000-0000-0000110D0000}"/>
    <cellStyle name="Input 3 3 3" xfId="3346" xr:uid="{00000000-0005-0000-0000-0000120D0000}"/>
    <cellStyle name="Input 3 3 4" xfId="3347" xr:uid="{00000000-0005-0000-0000-0000130D0000}"/>
    <cellStyle name="Input 3 3 5" xfId="3348" xr:uid="{00000000-0005-0000-0000-0000140D0000}"/>
    <cellStyle name="Input 3 3 6" xfId="3349" xr:uid="{00000000-0005-0000-0000-0000150D0000}"/>
    <cellStyle name="Input 3 3 7" xfId="3350" xr:uid="{00000000-0005-0000-0000-0000160D0000}"/>
    <cellStyle name="Input 3 3 8" xfId="3351" xr:uid="{00000000-0005-0000-0000-0000170D0000}"/>
    <cellStyle name="Input 3 3 9" xfId="3352" xr:uid="{00000000-0005-0000-0000-0000180D0000}"/>
    <cellStyle name="Input 3 4" xfId="3353" xr:uid="{00000000-0005-0000-0000-0000190D0000}"/>
    <cellStyle name="Input 3 4 10" xfId="3354" xr:uid="{00000000-0005-0000-0000-00001A0D0000}"/>
    <cellStyle name="Input 3 4 11" xfId="3355" xr:uid="{00000000-0005-0000-0000-00001B0D0000}"/>
    <cellStyle name="Input 3 4 12" xfId="3356" xr:uid="{00000000-0005-0000-0000-00001C0D0000}"/>
    <cellStyle name="Input 3 4 2" xfId="3357" xr:uid="{00000000-0005-0000-0000-00001D0D0000}"/>
    <cellStyle name="Input 3 4 2 10" xfId="3358" xr:uid="{00000000-0005-0000-0000-00001E0D0000}"/>
    <cellStyle name="Input 3 4 2 11" xfId="3359" xr:uid="{00000000-0005-0000-0000-00001F0D0000}"/>
    <cellStyle name="Input 3 4 2 2" xfId="3360" xr:uid="{00000000-0005-0000-0000-0000200D0000}"/>
    <cellStyle name="Input 3 4 2 3" xfId="3361" xr:uid="{00000000-0005-0000-0000-0000210D0000}"/>
    <cellStyle name="Input 3 4 2 4" xfId="3362" xr:uid="{00000000-0005-0000-0000-0000220D0000}"/>
    <cellStyle name="Input 3 4 2 5" xfId="3363" xr:uid="{00000000-0005-0000-0000-0000230D0000}"/>
    <cellStyle name="Input 3 4 2 6" xfId="3364" xr:uid="{00000000-0005-0000-0000-0000240D0000}"/>
    <cellStyle name="Input 3 4 2 7" xfId="3365" xr:uid="{00000000-0005-0000-0000-0000250D0000}"/>
    <cellStyle name="Input 3 4 2 8" xfId="3366" xr:uid="{00000000-0005-0000-0000-0000260D0000}"/>
    <cellStyle name="Input 3 4 2 9" xfId="3367" xr:uid="{00000000-0005-0000-0000-0000270D0000}"/>
    <cellStyle name="Input 3 4 3" xfId="3368" xr:uid="{00000000-0005-0000-0000-0000280D0000}"/>
    <cellStyle name="Input 3 4 4" xfId="3369" xr:uid="{00000000-0005-0000-0000-0000290D0000}"/>
    <cellStyle name="Input 3 4 5" xfId="3370" xr:uid="{00000000-0005-0000-0000-00002A0D0000}"/>
    <cellStyle name="Input 3 4 6" xfId="3371" xr:uid="{00000000-0005-0000-0000-00002B0D0000}"/>
    <cellStyle name="Input 3 4 7" xfId="3372" xr:uid="{00000000-0005-0000-0000-00002C0D0000}"/>
    <cellStyle name="Input 3 4 8" xfId="3373" xr:uid="{00000000-0005-0000-0000-00002D0D0000}"/>
    <cellStyle name="Input 3 4 9" xfId="3374" xr:uid="{00000000-0005-0000-0000-00002E0D0000}"/>
    <cellStyle name="Input 3 5" xfId="3375" xr:uid="{00000000-0005-0000-0000-00002F0D0000}"/>
    <cellStyle name="Input 3 5 10" xfId="3376" xr:uid="{00000000-0005-0000-0000-0000300D0000}"/>
    <cellStyle name="Input 3 5 11" xfId="3377" xr:uid="{00000000-0005-0000-0000-0000310D0000}"/>
    <cellStyle name="Input 3 5 2" xfId="3378" xr:uid="{00000000-0005-0000-0000-0000320D0000}"/>
    <cellStyle name="Input 3 5 3" xfId="3379" xr:uid="{00000000-0005-0000-0000-0000330D0000}"/>
    <cellStyle name="Input 3 5 4" xfId="3380" xr:uid="{00000000-0005-0000-0000-0000340D0000}"/>
    <cellStyle name="Input 3 5 5" xfId="3381" xr:uid="{00000000-0005-0000-0000-0000350D0000}"/>
    <cellStyle name="Input 3 5 6" xfId="3382" xr:uid="{00000000-0005-0000-0000-0000360D0000}"/>
    <cellStyle name="Input 3 5 7" xfId="3383" xr:uid="{00000000-0005-0000-0000-0000370D0000}"/>
    <cellStyle name="Input 3 5 8" xfId="3384" xr:uid="{00000000-0005-0000-0000-0000380D0000}"/>
    <cellStyle name="Input 3 5 9" xfId="3385" xr:uid="{00000000-0005-0000-0000-0000390D0000}"/>
    <cellStyle name="Input 3 6" xfId="3386" xr:uid="{00000000-0005-0000-0000-00003A0D0000}"/>
    <cellStyle name="Input 3 7" xfId="3387" xr:uid="{00000000-0005-0000-0000-00003B0D0000}"/>
    <cellStyle name="Input 3 8" xfId="3388" xr:uid="{00000000-0005-0000-0000-00003C0D0000}"/>
    <cellStyle name="Input 3 9" xfId="3389" xr:uid="{00000000-0005-0000-0000-00003D0D0000}"/>
    <cellStyle name="Input 4" xfId="3390" xr:uid="{00000000-0005-0000-0000-00003E0D0000}"/>
    <cellStyle name="InputCells" xfId="3391" xr:uid="{00000000-0005-0000-0000-00003F0D0000}"/>
    <cellStyle name="InputCells 2" xfId="3392" xr:uid="{00000000-0005-0000-0000-0000400D0000}"/>
    <cellStyle name="InputCells 3" xfId="3393" xr:uid="{00000000-0005-0000-0000-0000410D0000}"/>
    <cellStyle name="InputCells 4" xfId="3394" xr:uid="{00000000-0005-0000-0000-0000420D0000}"/>
    <cellStyle name="InputCells_Bborder_1" xfId="3625" xr:uid="{00000000-0005-0000-0000-0000290E0000}"/>
    <cellStyle name="InputCells12" xfId="3395" xr:uid="{00000000-0005-0000-0000-0000430D0000}"/>
    <cellStyle name="InputCells12 2" xfId="3396" xr:uid="{00000000-0005-0000-0000-0000440D0000}"/>
    <cellStyle name="InputCells12 2 2" xfId="3397" xr:uid="{00000000-0005-0000-0000-0000450D0000}"/>
    <cellStyle name="InputCells12 2 2 2" xfId="3398" xr:uid="{00000000-0005-0000-0000-0000460D0000}"/>
    <cellStyle name="InputCells12 2 2 2 10" xfId="3399" xr:uid="{00000000-0005-0000-0000-0000470D0000}"/>
    <cellStyle name="InputCells12 2 2 2 11" xfId="3400" xr:uid="{00000000-0005-0000-0000-0000480D0000}"/>
    <cellStyle name="InputCells12 2 2 2 12" xfId="3401" xr:uid="{00000000-0005-0000-0000-0000490D0000}"/>
    <cellStyle name="InputCells12 2 2 2 2" xfId="3402" xr:uid="{00000000-0005-0000-0000-00004A0D0000}"/>
    <cellStyle name="InputCells12 2 2 2 2 10" xfId="3403" xr:uid="{00000000-0005-0000-0000-00004B0D0000}"/>
    <cellStyle name="InputCells12 2 2 2 2 11" xfId="3404" xr:uid="{00000000-0005-0000-0000-00004C0D0000}"/>
    <cellStyle name="InputCells12 2 2 2 2 2" xfId="3405" xr:uid="{00000000-0005-0000-0000-00004D0D0000}"/>
    <cellStyle name="InputCells12 2 2 2 2 3" xfId="3406" xr:uid="{00000000-0005-0000-0000-00004E0D0000}"/>
    <cellStyle name="InputCells12 2 2 2 2 4" xfId="3407" xr:uid="{00000000-0005-0000-0000-00004F0D0000}"/>
    <cellStyle name="InputCells12 2 2 2 2 5" xfId="3408" xr:uid="{00000000-0005-0000-0000-0000500D0000}"/>
    <cellStyle name="InputCells12 2 2 2 2 6" xfId="3409" xr:uid="{00000000-0005-0000-0000-0000510D0000}"/>
    <cellStyle name="InputCells12 2 2 2 2 7" xfId="3410" xr:uid="{00000000-0005-0000-0000-0000520D0000}"/>
    <cellStyle name="InputCells12 2 2 2 2 8" xfId="3411" xr:uid="{00000000-0005-0000-0000-0000530D0000}"/>
    <cellStyle name="InputCells12 2 2 2 2 9" xfId="3412" xr:uid="{00000000-0005-0000-0000-0000540D0000}"/>
    <cellStyle name="InputCells12 2 2 2 3" xfId="3413" xr:uid="{00000000-0005-0000-0000-0000550D0000}"/>
    <cellStyle name="InputCells12 2 2 2 4" xfId="3414" xr:uid="{00000000-0005-0000-0000-0000560D0000}"/>
    <cellStyle name="InputCells12 2 2 2 5" xfId="3415" xr:uid="{00000000-0005-0000-0000-0000570D0000}"/>
    <cellStyle name="InputCells12 2 2 2 6" xfId="3416" xr:uid="{00000000-0005-0000-0000-0000580D0000}"/>
    <cellStyle name="InputCells12 2 2 2 7" xfId="3417" xr:uid="{00000000-0005-0000-0000-0000590D0000}"/>
    <cellStyle name="InputCells12 2 2 2 8" xfId="3418" xr:uid="{00000000-0005-0000-0000-00005A0D0000}"/>
    <cellStyle name="InputCells12 2 2 2 9" xfId="3419" xr:uid="{00000000-0005-0000-0000-00005B0D0000}"/>
    <cellStyle name="InputCells12 2 2 3" xfId="3420" xr:uid="{00000000-0005-0000-0000-00005C0D0000}"/>
    <cellStyle name="InputCells12 2 2 3 10" xfId="3421" xr:uid="{00000000-0005-0000-0000-00005D0D0000}"/>
    <cellStyle name="InputCells12 2 2 3 11" xfId="3422" xr:uid="{00000000-0005-0000-0000-00005E0D0000}"/>
    <cellStyle name="InputCells12 2 2 3 2" xfId="3423" xr:uid="{00000000-0005-0000-0000-00005F0D0000}"/>
    <cellStyle name="InputCells12 2 2 3 3" xfId="3424" xr:uid="{00000000-0005-0000-0000-0000600D0000}"/>
    <cellStyle name="InputCells12 2 2 3 4" xfId="3425" xr:uid="{00000000-0005-0000-0000-0000610D0000}"/>
    <cellStyle name="InputCells12 2 2 3 5" xfId="3426" xr:uid="{00000000-0005-0000-0000-0000620D0000}"/>
    <cellStyle name="InputCells12 2 2 3 6" xfId="3427" xr:uid="{00000000-0005-0000-0000-0000630D0000}"/>
    <cellStyle name="InputCells12 2 2 3 7" xfId="3428" xr:uid="{00000000-0005-0000-0000-0000640D0000}"/>
    <cellStyle name="InputCells12 2 2 3 8" xfId="3429" xr:uid="{00000000-0005-0000-0000-0000650D0000}"/>
    <cellStyle name="InputCells12 2 2 3 9" xfId="3430" xr:uid="{00000000-0005-0000-0000-0000660D0000}"/>
    <cellStyle name="InputCells12 2 3" xfId="3431" xr:uid="{00000000-0005-0000-0000-0000670D0000}"/>
    <cellStyle name="InputCells12 2 3 10" xfId="3432" xr:uid="{00000000-0005-0000-0000-0000680D0000}"/>
    <cellStyle name="InputCells12 2 3 11" xfId="3433" xr:uid="{00000000-0005-0000-0000-0000690D0000}"/>
    <cellStyle name="InputCells12 2 3 12" xfId="3434" xr:uid="{00000000-0005-0000-0000-00006A0D0000}"/>
    <cellStyle name="InputCells12 2 3 13" xfId="3435" xr:uid="{00000000-0005-0000-0000-00006B0D0000}"/>
    <cellStyle name="InputCells12 2 3 14" xfId="3436" xr:uid="{00000000-0005-0000-0000-00006C0D0000}"/>
    <cellStyle name="InputCells12 2 3 2" xfId="3437" xr:uid="{00000000-0005-0000-0000-00006D0D0000}"/>
    <cellStyle name="InputCells12 2 3 2 10" xfId="3438" xr:uid="{00000000-0005-0000-0000-00006E0D0000}"/>
    <cellStyle name="InputCells12 2 3 2 11" xfId="3439" xr:uid="{00000000-0005-0000-0000-00006F0D0000}"/>
    <cellStyle name="InputCells12 2 3 2 12" xfId="3440" xr:uid="{00000000-0005-0000-0000-0000700D0000}"/>
    <cellStyle name="InputCells12 2 3 2 2" xfId="3441" xr:uid="{00000000-0005-0000-0000-0000710D0000}"/>
    <cellStyle name="InputCells12 2 3 2 2 10" xfId="3442" xr:uid="{00000000-0005-0000-0000-0000720D0000}"/>
    <cellStyle name="InputCells12 2 3 2 2 11" xfId="3443" xr:uid="{00000000-0005-0000-0000-0000730D0000}"/>
    <cellStyle name="InputCells12 2 3 2 2 2" xfId="3444" xr:uid="{00000000-0005-0000-0000-0000740D0000}"/>
    <cellStyle name="InputCells12 2 3 2 2 3" xfId="3445" xr:uid="{00000000-0005-0000-0000-0000750D0000}"/>
    <cellStyle name="InputCells12 2 3 2 2 4" xfId="3446" xr:uid="{00000000-0005-0000-0000-0000760D0000}"/>
    <cellStyle name="InputCells12 2 3 2 2 5" xfId="3447" xr:uid="{00000000-0005-0000-0000-0000770D0000}"/>
    <cellStyle name="InputCells12 2 3 2 2 6" xfId="3448" xr:uid="{00000000-0005-0000-0000-0000780D0000}"/>
    <cellStyle name="InputCells12 2 3 2 2 7" xfId="3449" xr:uid="{00000000-0005-0000-0000-0000790D0000}"/>
    <cellStyle name="InputCells12 2 3 2 2 8" xfId="3450" xr:uid="{00000000-0005-0000-0000-00007A0D0000}"/>
    <cellStyle name="InputCells12 2 3 2 2 9" xfId="3451" xr:uid="{00000000-0005-0000-0000-00007B0D0000}"/>
    <cellStyle name="InputCells12 2 3 2 3" xfId="3452" xr:uid="{00000000-0005-0000-0000-00007C0D0000}"/>
    <cellStyle name="InputCells12 2 3 2 4" xfId="3453" xr:uid="{00000000-0005-0000-0000-00007D0D0000}"/>
    <cellStyle name="InputCells12 2 3 2 5" xfId="3454" xr:uid="{00000000-0005-0000-0000-00007E0D0000}"/>
    <cellStyle name="InputCells12 2 3 2 6" xfId="3455" xr:uid="{00000000-0005-0000-0000-00007F0D0000}"/>
    <cellStyle name="InputCells12 2 3 2 7" xfId="3456" xr:uid="{00000000-0005-0000-0000-0000800D0000}"/>
    <cellStyle name="InputCells12 2 3 2 8" xfId="3457" xr:uid="{00000000-0005-0000-0000-0000810D0000}"/>
    <cellStyle name="InputCells12 2 3 2 9" xfId="3458" xr:uid="{00000000-0005-0000-0000-0000820D0000}"/>
    <cellStyle name="InputCells12 2 3 3" xfId="3459" xr:uid="{00000000-0005-0000-0000-0000830D0000}"/>
    <cellStyle name="InputCells12 2 3 3 10" xfId="3460" xr:uid="{00000000-0005-0000-0000-0000840D0000}"/>
    <cellStyle name="InputCells12 2 3 3 11" xfId="3461" xr:uid="{00000000-0005-0000-0000-0000850D0000}"/>
    <cellStyle name="InputCells12 2 3 3 12" xfId="3462" xr:uid="{00000000-0005-0000-0000-0000860D0000}"/>
    <cellStyle name="InputCells12 2 3 3 2" xfId="3463" xr:uid="{00000000-0005-0000-0000-0000870D0000}"/>
    <cellStyle name="InputCells12 2 3 3 2 10" xfId="3464" xr:uid="{00000000-0005-0000-0000-0000880D0000}"/>
    <cellStyle name="InputCells12 2 3 3 2 11" xfId="3465" xr:uid="{00000000-0005-0000-0000-0000890D0000}"/>
    <cellStyle name="InputCells12 2 3 3 2 2" xfId="3466" xr:uid="{00000000-0005-0000-0000-00008A0D0000}"/>
    <cellStyle name="InputCells12 2 3 3 2 3" xfId="3467" xr:uid="{00000000-0005-0000-0000-00008B0D0000}"/>
    <cellStyle name="InputCells12 2 3 3 2 4" xfId="3468" xr:uid="{00000000-0005-0000-0000-00008C0D0000}"/>
    <cellStyle name="InputCells12 2 3 3 2 5" xfId="3469" xr:uid="{00000000-0005-0000-0000-00008D0D0000}"/>
    <cellStyle name="InputCells12 2 3 3 2 6" xfId="3470" xr:uid="{00000000-0005-0000-0000-00008E0D0000}"/>
    <cellStyle name="InputCells12 2 3 3 2 7" xfId="3471" xr:uid="{00000000-0005-0000-0000-00008F0D0000}"/>
    <cellStyle name="InputCells12 2 3 3 2 8" xfId="3472" xr:uid="{00000000-0005-0000-0000-0000900D0000}"/>
    <cellStyle name="InputCells12 2 3 3 2 9" xfId="3473" xr:uid="{00000000-0005-0000-0000-0000910D0000}"/>
    <cellStyle name="InputCells12 2 3 3 3" xfId="3474" xr:uid="{00000000-0005-0000-0000-0000920D0000}"/>
    <cellStyle name="InputCells12 2 3 3 4" xfId="3475" xr:uid="{00000000-0005-0000-0000-0000930D0000}"/>
    <cellStyle name="InputCells12 2 3 3 5" xfId="3476" xr:uid="{00000000-0005-0000-0000-0000940D0000}"/>
    <cellStyle name="InputCells12 2 3 3 6" xfId="3477" xr:uid="{00000000-0005-0000-0000-0000950D0000}"/>
    <cellStyle name="InputCells12 2 3 3 7" xfId="3478" xr:uid="{00000000-0005-0000-0000-0000960D0000}"/>
    <cellStyle name="InputCells12 2 3 3 8" xfId="3479" xr:uid="{00000000-0005-0000-0000-0000970D0000}"/>
    <cellStyle name="InputCells12 2 3 3 9" xfId="3480" xr:uid="{00000000-0005-0000-0000-0000980D0000}"/>
    <cellStyle name="InputCells12 2 3 4" xfId="3481" xr:uid="{00000000-0005-0000-0000-0000990D0000}"/>
    <cellStyle name="InputCells12 2 3 4 10" xfId="3482" xr:uid="{00000000-0005-0000-0000-00009A0D0000}"/>
    <cellStyle name="InputCells12 2 3 4 11" xfId="3483" xr:uid="{00000000-0005-0000-0000-00009B0D0000}"/>
    <cellStyle name="InputCells12 2 3 4 12" xfId="3484" xr:uid="{00000000-0005-0000-0000-00009C0D0000}"/>
    <cellStyle name="InputCells12 2 3 4 2" xfId="3485" xr:uid="{00000000-0005-0000-0000-00009D0D0000}"/>
    <cellStyle name="InputCells12 2 3 4 2 10" xfId="3486" xr:uid="{00000000-0005-0000-0000-00009E0D0000}"/>
    <cellStyle name="InputCells12 2 3 4 2 11" xfId="3487" xr:uid="{00000000-0005-0000-0000-00009F0D0000}"/>
    <cellStyle name="InputCells12 2 3 4 2 2" xfId="3488" xr:uid="{00000000-0005-0000-0000-0000A00D0000}"/>
    <cellStyle name="InputCells12 2 3 4 2 3" xfId="3489" xr:uid="{00000000-0005-0000-0000-0000A10D0000}"/>
    <cellStyle name="InputCells12 2 3 4 2 4" xfId="3490" xr:uid="{00000000-0005-0000-0000-0000A20D0000}"/>
    <cellStyle name="InputCells12 2 3 4 2 5" xfId="3491" xr:uid="{00000000-0005-0000-0000-0000A30D0000}"/>
    <cellStyle name="InputCells12 2 3 4 2 6" xfId="3492" xr:uid="{00000000-0005-0000-0000-0000A40D0000}"/>
    <cellStyle name="InputCells12 2 3 4 2 7" xfId="3493" xr:uid="{00000000-0005-0000-0000-0000A50D0000}"/>
    <cellStyle name="InputCells12 2 3 4 2 8" xfId="3494" xr:uid="{00000000-0005-0000-0000-0000A60D0000}"/>
    <cellStyle name="InputCells12 2 3 4 2 9" xfId="3495" xr:uid="{00000000-0005-0000-0000-0000A70D0000}"/>
    <cellStyle name="InputCells12 2 3 4 3" xfId="3496" xr:uid="{00000000-0005-0000-0000-0000A80D0000}"/>
    <cellStyle name="InputCells12 2 3 4 4" xfId="3497" xr:uid="{00000000-0005-0000-0000-0000A90D0000}"/>
    <cellStyle name="InputCells12 2 3 4 5" xfId="3498" xr:uid="{00000000-0005-0000-0000-0000AA0D0000}"/>
    <cellStyle name="InputCells12 2 3 4 6" xfId="3499" xr:uid="{00000000-0005-0000-0000-0000AB0D0000}"/>
    <cellStyle name="InputCells12 2 3 4 7" xfId="3500" xr:uid="{00000000-0005-0000-0000-0000AC0D0000}"/>
    <cellStyle name="InputCells12 2 3 4 8" xfId="3501" xr:uid="{00000000-0005-0000-0000-0000AD0D0000}"/>
    <cellStyle name="InputCells12 2 3 4 9" xfId="3502" xr:uid="{00000000-0005-0000-0000-0000AE0D0000}"/>
    <cellStyle name="InputCells12 2 3 5" xfId="3503" xr:uid="{00000000-0005-0000-0000-0000AF0D0000}"/>
    <cellStyle name="InputCells12 2 3 6" xfId="3504" xr:uid="{00000000-0005-0000-0000-0000B00D0000}"/>
    <cellStyle name="InputCells12 2 3 7" xfId="3505" xr:uid="{00000000-0005-0000-0000-0000B10D0000}"/>
    <cellStyle name="InputCells12 2 3 8" xfId="3506" xr:uid="{00000000-0005-0000-0000-0000B20D0000}"/>
    <cellStyle name="InputCells12 2 3 9" xfId="3507" xr:uid="{00000000-0005-0000-0000-0000B30D0000}"/>
    <cellStyle name="InputCells12 3" xfId="3508" xr:uid="{00000000-0005-0000-0000-0000B40D0000}"/>
    <cellStyle name="InputCells12 3 2" xfId="3509" xr:uid="{00000000-0005-0000-0000-0000B50D0000}"/>
    <cellStyle name="InputCells12 3 2 10" xfId="3510" xr:uid="{00000000-0005-0000-0000-0000B60D0000}"/>
    <cellStyle name="InputCells12 3 2 11" xfId="3511" xr:uid="{00000000-0005-0000-0000-0000B70D0000}"/>
    <cellStyle name="InputCells12 3 2 12" xfId="3512" xr:uid="{00000000-0005-0000-0000-0000B80D0000}"/>
    <cellStyle name="InputCells12 3 2 2" xfId="3513" xr:uid="{00000000-0005-0000-0000-0000B90D0000}"/>
    <cellStyle name="InputCells12 3 2 2 10" xfId="3514" xr:uid="{00000000-0005-0000-0000-0000BA0D0000}"/>
    <cellStyle name="InputCells12 3 2 2 11" xfId="3515" xr:uid="{00000000-0005-0000-0000-0000BB0D0000}"/>
    <cellStyle name="InputCells12 3 2 2 2" xfId="3516" xr:uid="{00000000-0005-0000-0000-0000BC0D0000}"/>
    <cellStyle name="InputCells12 3 2 2 3" xfId="3517" xr:uid="{00000000-0005-0000-0000-0000BD0D0000}"/>
    <cellStyle name="InputCells12 3 2 2 4" xfId="3518" xr:uid="{00000000-0005-0000-0000-0000BE0D0000}"/>
    <cellStyle name="InputCells12 3 2 2 5" xfId="3519" xr:uid="{00000000-0005-0000-0000-0000BF0D0000}"/>
    <cellStyle name="InputCells12 3 2 2 6" xfId="3520" xr:uid="{00000000-0005-0000-0000-0000C00D0000}"/>
    <cellStyle name="InputCells12 3 2 2 7" xfId="3521" xr:uid="{00000000-0005-0000-0000-0000C10D0000}"/>
    <cellStyle name="InputCells12 3 2 2 8" xfId="3522" xr:uid="{00000000-0005-0000-0000-0000C20D0000}"/>
    <cellStyle name="InputCells12 3 2 2 9" xfId="3523" xr:uid="{00000000-0005-0000-0000-0000C30D0000}"/>
    <cellStyle name="InputCells12 3 2 3" xfId="3524" xr:uid="{00000000-0005-0000-0000-0000C40D0000}"/>
    <cellStyle name="InputCells12 3 2 4" xfId="3525" xr:uid="{00000000-0005-0000-0000-0000C50D0000}"/>
    <cellStyle name="InputCells12 3 2 5" xfId="3526" xr:uid="{00000000-0005-0000-0000-0000C60D0000}"/>
    <cellStyle name="InputCells12 3 2 6" xfId="3527" xr:uid="{00000000-0005-0000-0000-0000C70D0000}"/>
    <cellStyle name="InputCells12 3 2 7" xfId="3528" xr:uid="{00000000-0005-0000-0000-0000C80D0000}"/>
    <cellStyle name="InputCells12 3 2 8" xfId="3529" xr:uid="{00000000-0005-0000-0000-0000C90D0000}"/>
    <cellStyle name="InputCells12 3 2 9" xfId="3530" xr:uid="{00000000-0005-0000-0000-0000CA0D0000}"/>
    <cellStyle name="InputCells12 3 3" xfId="3531" xr:uid="{00000000-0005-0000-0000-0000CB0D0000}"/>
    <cellStyle name="InputCells12 3 3 10" xfId="3532" xr:uid="{00000000-0005-0000-0000-0000CC0D0000}"/>
    <cellStyle name="InputCells12 3 3 11" xfId="3533" xr:uid="{00000000-0005-0000-0000-0000CD0D0000}"/>
    <cellStyle name="InputCells12 3 3 2" xfId="3534" xr:uid="{00000000-0005-0000-0000-0000CE0D0000}"/>
    <cellStyle name="InputCells12 3 3 3" xfId="3535" xr:uid="{00000000-0005-0000-0000-0000CF0D0000}"/>
    <cellStyle name="InputCells12 3 3 4" xfId="3536" xr:uid="{00000000-0005-0000-0000-0000D00D0000}"/>
    <cellStyle name="InputCells12 3 3 5" xfId="3537" xr:uid="{00000000-0005-0000-0000-0000D10D0000}"/>
    <cellStyle name="InputCells12 3 3 6" xfId="3538" xr:uid="{00000000-0005-0000-0000-0000D20D0000}"/>
    <cellStyle name="InputCells12 3 3 7" xfId="3539" xr:uid="{00000000-0005-0000-0000-0000D30D0000}"/>
    <cellStyle name="InputCells12 3 3 8" xfId="3540" xr:uid="{00000000-0005-0000-0000-0000D40D0000}"/>
    <cellStyle name="InputCells12 3 3 9" xfId="3541" xr:uid="{00000000-0005-0000-0000-0000D50D0000}"/>
    <cellStyle name="InputCells12 4" xfId="3542" xr:uid="{00000000-0005-0000-0000-0000D60D0000}"/>
    <cellStyle name="InputCells12 4 10" xfId="3543" xr:uid="{00000000-0005-0000-0000-0000D70D0000}"/>
    <cellStyle name="InputCells12 4 11" xfId="3544" xr:uid="{00000000-0005-0000-0000-0000D80D0000}"/>
    <cellStyle name="InputCells12 4 12" xfId="3545" xr:uid="{00000000-0005-0000-0000-0000D90D0000}"/>
    <cellStyle name="InputCells12 4 13" xfId="3546" xr:uid="{00000000-0005-0000-0000-0000DA0D0000}"/>
    <cellStyle name="InputCells12 4 14" xfId="3547" xr:uid="{00000000-0005-0000-0000-0000DB0D0000}"/>
    <cellStyle name="InputCells12 4 2" xfId="3548" xr:uid="{00000000-0005-0000-0000-0000DC0D0000}"/>
    <cellStyle name="InputCells12 4 2 10" xfId="3549" xr:uid="{00000000-0005-0000-0000-0000DD0D0000}"/>
    <cellStyle name="InputCells12 4 2 11" xfId="3550" xr:uid="{00000000-0005-0000-0000-0000DE0D0000}"/>
    <cellStyle name="InputCells12 4 2 12" xfId="3551" xr:uid="{00000000-0005-0000-0000-0000DF0D0000}"/>
    <cellStyle name="InputCells12 4 2 2" xfId="3552" xr:uid="{00000000-0005-0000-0000-0000E00D0000}"/>
    <cellStyle name="InputCells12 4 2 2 10" xfId="3553" xr:uid="{00000000-0005-0000-0000-0000E10D0000}"/>
    <cellStyle name="InputCells12 4 2 2 11" xfId="3554" xr:uid="{00000000-0005-0000-0000-0000E20D0000}"/>
    <cellStyle name="InputCells12 4 2 2 2" xfId="3555" xr:uid="{00000000-0005-0000-0000-0000E30D0000}"/>
    <cellStyle name="InputCells12 4 2 2 3" xfId="3556" xr:uid="{00000000-0005-0000-0000-0000E40D0000}"/>
    <cellStyle name="InputCells12 4 2 2 4" xfId="3557" xr:uid="{00000000-0005-0000-0000-0000E50D0000}"/>
    <cellStyle name="InputCells12 4 2 2 5" xfId="3558" xr:uid="{00000000-0005-0000-0000-0000E60D0000}"/>
    <cellStyle name="InputCells12 4 2 2 6" xfId="3559" xr:uid="{00000000-0005-0000-0000-0000E70D0000}"/>
    <cellStyle name="InputCells12 4 2 2 7" xfId="3560" xr:uid="{00000000-0005-0000-0000-0000E80D0000}"/>
    <cellStyle name="InputCells12 4 2 2 8" xfId="3561" xr:uid="{00000000-0005-0000-0000-0000E90D0000}"/>
    <cellStyle name="InputCells12 4 2 2 9" xfId="3562" xr:uid="{00000000-0005-0000-0000-0000EA0D0000}"/>
    <cellStyle name="InputCells12 4 2 3" xfId="3563" xr:uid="{00000000-0005-0000-0000-0000EB0D0000}"/>
    <cellStyle name="InputCells12 4 2 4" xfId="3564" xr:uid="{00000000-0005-0000-0000-0000EC0D0000}"/>
    <cellStyle name="InputCells12 4 2 5" xfId="3565" xr:uid="{00000000-0005-0000-0000-0000ED0D0000}"/>
    <cellStyle name="InputCells12 4 2 6" xfId="3566" xr:uid="{00000000-0005-0000-0000-0000EE0D0000}"/>
    <cellStyle name="InputCells12 4 2 7" xfId="3567" xr:uid="{00000000-0005-0000-0000-0000EF0D0000}"/>
    <cellStyle name="InputCells12 4 2 8" xfId="3568" xr:uid="{00000000-0005-0000-0000-0000F00D0000}"/>
    <cellStyle name="InputCells12 4 2 9" xfId="3569" xr:uid="{00000000-0005-0000-0000-0000F10D0000}"/>
    <cellStyle name="InputCells12 4 3" xfId="3570" xr:uid="{00000000-0005-0000-0000-0000F20D0000}"/>
    <cellStyle name="InputCells12 4 3 10" xfId="3571" xr:uid="{00000000-0005-0000-0000-0000F30D0000}"/>
    <cellStyle name="InputCells12 4 3 11" xfId="3572" xr:uid="{00000000-0005-0000-0000-0000F40D0000}"/>
    <cellStyle name="InputCells12 4 3 12" xfId="3573" xr:uid="{00000000-0005-0000-0000-0000F50D0000}"/>
    <cellStyle name="InputCells12 4 3 2" xfId="3574" xr:uid="{00000000-0005-0000-0000-0000F60D0000}"/>
    <cellStyle name="InputCells12 4 3 2 10" xfId="3575" xr:uid="{00000000-0005-0000-0000-0000F70D0000}"/>
    <cellStyle name="InputCells12 4 3 2 11" xfId="3576" xr:uid="{00000000-0005-0000-0000-0000F80D0000}"/>
    <cellStyle name="InputCells12 4 3 2 2" xfId="3577" xr:uid="{00000000-0005-0000-0000-0000F90D0000}"/>
    <cellStyle name="InputCells12 4 3 2 3" xfId="3578" xr:uid="{00000000-0005-0000-0000-0000FA0D0000}"/>
    <cellStyle name="InputCells12 4 3 2 4" xfId="3579" xr:uid="{00000000-0005-0000-0000-0000FB0D0000}"/>
    <cellStyle name="InputCells12 4 3 2 5" xfId="3580" xr:uid="{00000000-0005-0000-0000-0000FC0D0000}"/>
    <cellStyle name="InputCells12 4 3 2 6" xfId="3581" xr:uid="{00000000-0005-0000-0000-0000FD0D0000}"/>
    <cellStyle name="InputCells12 4 3 2 7" xfId="3582" xr:uid="{00000000-0005-0000-0000-0000FE0D0000}"/>
    <cellStyle name="InputCells12 4 3 2 8" xfId="3583" xr:uid="{00000000-0005-0000-0000-0000FF0D0000}"/>
    <cellStyle name="InputCells12 4 3 2 9" xfId="3584" xr:uid="{00000000-0005-0000-0000-0000000E0000}"/>
    <cellStyle name="InputCells12 4 3 3" xfId="3585" xr:uid="{00000000-0005-0000-0000-0000010E0000}"/>
    <cellStyle name="InputCells12 4 3 4" xfId="3586" xr:uid="{00000000-0005-0000-0000-0000020E0000}"/>
    <cellStyle name="InputCells12 4 3 5" xfId="3587" xr:uid="{00000000-0005-0000-0000-0000030E0000}"/>
    <cellStyle name="InputCells12 4 3 6" xfId="3588" xr:uid="{00000000-0005-0000-0000-0000040E0000}"/>
    <cellStyle name="InputCells12 4 3 7" xfId="3589" xr:uid="{00000000-0005-0000-0000-0000050E0000}"/>
    <cellStyle name="InputCells12 4 3 8" xfId="3590" xr:uid="{00000000-0005-0000-0000-0000060E0000}"/>
    <cellStyle name="InputCells12 4 3 9" xfId="3591" xr:uid="{00000000-0005-0000-0000-0000070E0000}"/>
    <cellStyle name="InputCells12 4 4" xfId="3592" xr:uid="{00000000-0005-0000-0000-0000080E0000}"/>
    <cellStyle name="InputCells12 4 4 10" xfId="3593" xr:uid="{00000000-0005-0000-0000-0000090E0000}"/>
    <cellStyle name="InputCells12 4 4 11" xfId="3594" xr:uid="{00000000-0005-0000-0000-00000A0E0000}"/>
    <cellStyle name="InputCells12 4 4 12" xfId="3595" xr:uid="{00000000-0005-0000-0000-00000B0E0000}"/>
    <cellStyle name="InputCells12 4 4 2" xfId="3596" xr:uid="{00000000-0005-0000-0000-00000C0E0000}"/>
    <cellStyle name="InputCells12 4 4 2 10" xfId="3597" xr:uid="{00000000-0005-0000-0000-00000D0E0000}"/>
    <cellStyle name="InputCells12 4 4 2 11" xfId="3598" xr:uid="{00000000-0005-0000-0000-00000E0E0000}"/>
    <cellStyle name="InputCells12 4 4 2 2" xfId="3599" xr:uid="{00000000-0005-0000-0000-00000F0E0000}"/>
    <cellStyle name="InputCells12 4 4 2 3" xfId="3600" xr:uid="{00000000-0005-0000-0000-0000100E0000}"/>
    <cellStyle name="InputCells12 4 4 2 4" xfId="3601" xr:uid="{00000000-0005-0000-0000-0000110E0000}"/>
    <cellStyle name="InputCells12 4 4 2 5" xfId="3602" xr:uid="{00000000-0005-0000-0000-0000120E0000}"/>
    <cellStyle name="InputCells12 4 4 2 6" xfId="3603" xr:uid="{00000000-0005-0000-0000-0000130E0000}"/>
    <cellStyle name="InputCells12 4 4 2 7" xfId="3604" xr:uid="{00000000-0005-0000-0000-0000140E0000}"/>
    <cellStyle name="InputCells12 4 4 2 8" xfId="3605" xr:uid="{00000000-0005-0000-0000-0000150E0000}"/>
    <cellStyle name="InputCells12 4 4 2 9" xfId="3606" xr:uid="{00000000-0005-0000-0000-0000160E0000}"/>
    <cellStyle name="InputCells12 4 4 3" xfId="3607" xr:uid="{00000000-0005-0000-0000-0000170E0000}"/>
    <cellStyle name="InputCells12 4 4 4" xfId="3608" xr:uid="{00000000-0005-0000-0000-0000180E0000}"/>
    <cellStyle name="InputCells12 4 4 5" xfId="3609" xr:uid="{00000000-0005-0000-0000-0000190E0000}"/>
    <cellStyle name="InputCells12 4 4 6" xfId="3610" xr:uid="{00000000-0005-0000-0000-00001A0E0000}"/>
    <cellStyle name="InputCells12 4 4 7" xfId="3611" xr:uid="{00000000-0005-0000-0000-00001B0E0000}"/>
    <cellStyle name="InputCells12 4 4 8" xfId="3612" xr:uid="{00000000-0005-0000-0000-00001C0E0000}"/>
    <cellStyle name="InputCells12 4 4 9" xfId="3613" xr:uid="{00000000-0005-0000-0000-00001D0E0000}"/>
    <cellStyle name="InputCells12 4 5" xfId="3614" xr:uid="{00000000-0005-0000-0000-00001E0E0000}"/>
    <cellStyle name="InputCells12 4 6" xfId="3615" xr:uid="{00000000-0005-0000-0000-00001F0E0000}"/>
    <cellStyle name="InputCells12 4 7" xfId="3616" xr:uid="{00000000-0005-0000-0000-0000200E0000}"/>
    <cellStyle name="InputCells12 4 8" xfId="3617" xr:uid="{00000000-0005-0000-0000-0000210E0000}"/>
    <cellStyle name="InputCells12 4 9" xfId="3618" xr:uid="{00000000-0005-0000-0000-0000220E0000}"/>
    <cellStyle name="InputCells12 5" xfId="3619" xr:uid="{00000000-0005-0000-0000-0000230E0000}"/>
    <cellStyle name="InputCells12 5 2" xfId="3620" xr:uid="{00000000-0005-0000-0000-0000240E0000}"/>
    <cellStyle name="InputCells12 5 3" xfId="3621" xr:uid="{00000000-0005-0000-0000-0000250E0000}"/>
    <cellStyle name="InputCells12 5 4" xfId="3622" xr:uid="{00000000-0005-0000-0000-0000260E0000}"/>
    <cellStyle name="InputCells12 5 5" xfId="3623" xr:uid="{00000000-0005-0000-0000-0000270E0000}"/>
    <cellStyle name="InputCells12_BBorder" xfId="3624" xr:uid="{00000000-0005-0000-0000-0000280E0000}"/>
    <cellStyle name="IntCells" xfId="3626" xr:uid="{00000000-0005-0000-0000-00002A0E0000}"/>
    <cellStyle name="KP_thin_border_dark_grey" xfId="3627" xr:uid="{00000000-0005-0000-0000-00002B0E0000}"/>
    <cellStyle name="Linked Cell 2" xfId="3628" xr:uid="{00000000-0005-0000-0000-00002C0E0000}"/>
    <cellStyle name="Linked Cell 3" xfId="3629" xr:uid="{00000000-0005-0000-0000-00002D0E0000}"/>
    <cellStyle name="Linked Cell 4" xfId="3630" xr:uid="{00000000-0005-0000-0000-00002E0E0000}"/>
    <cellStyle name="Neutral 2" xfId="3631" xr:uid="{00000000-0005-0000-0000-00002F0E0000}"/>
    <cellStyle name="Neutral 3" xfId="3632" xr:uid="{00000000-0005-0000-0000-0000300E0000}"/>
    <cellStyle name="Normaali 2" xfId="3633" xr:uid="{00000000-0005-0000-0000-0000310E0000}"/>
    <cellStyle name="Normaali 2 2" xfId="3634" xr:uid="{00000000-0005-0000-0000-0000320E0000}"/>
    <cellStyle name="Normal" xfId="0" builtinId="0"/>
    <cellStyle name="Normal 10" xfId="3635" xr:uid="{00000000-0005-0000-0000-0000330E0000}"/>
    <cellStyle name="Normal 10 2" xfId="3636" xr:uid="{00000000-0005-0000-0000-0000340E0000}"/>
    <cellStyle name="Normal 11" xfId="3637" xr:uid="{00000000-0005-0000-0000-0000350E0000}"/>
    <cellStyle name="Normal 11 2" xfId="3638" xr:uid="{00000000-0005-0000-0000-0000360E0000}"/>
    <cellStyle name="Normal 12" xfId="3639" xr:uid="{00000000-0005-0000-0000-0000370E0000}"/>
    <cellStyle name="Normal 12 2" xfId="3640" xr:uid="{00000000-0005-0000-0000-0000380E0000}"/>
    <cellStyle name="Normal 2" xfId="3641" xr:uid="{00000000-0005-0000-0000-0000390E0000}"/>
    <cellStyle name="Normal 2 2" xfId="3642" xr:uid="{00000000-0005-0000-0000-00003A0E0000}"/>
    <cellStyle name="Normal 2 2 2" xfId="3643" xr:uid="{00000000-0005-0000-0000-00003B0E0000}"/>
    <cellStyle name="Normal 2 3" xfId="3644" xr:uid="{00000000-0005-0000-0000-00003C0E0000}"/>
    <cellStyle name="Normal 2 3 2" xfId="3645" xr:uid="{00000000-0005-0000-0000-00003D0E0000}"/>
    <cellStyle name="Normal 2 3 2 2" xfId="3646" xr:uid="{00000000-0005-0000-0000-00003E0E0000}"/>
    <cellStyle name="Normal 2 3 3" xfId="3647" xr:uid="{00000000-0005-0000-0000-00003F0E0000}"/>
    <cellStyle name="Normal 2 4" xfId="3648" xr:uid="{00000000-0005-0000-0000-0000400E0000}"/>
    <cellStyle name="Normal 3" xfId="3649" xr:uid="{00000000-0005-0000-0000-0000410E0000}"/>
    <cellStyle name="Normal 3 2" xfId="3650" xr:uid="{00000000-0005-0000-0000-0000420E0000}"/>
    <cellStyle name="Normal 3 2 2" xfId="3651" xr:uid="{00000000-0005-0000-0000-0000430E0000}"/>
    <cellStyle name="Normal 3 3" xfId="3652" xr:uid="{00000000-0005-0000-0000-0000440E0000}"/>
    <cellStyle name="Normal 3 4" xfId="3653" xr:uid="{00000000-0005-0000-0000-0000450E0000}"/>
    <cellStyle name="Normal 3 5" xfId="3654" xr:uid="{00000000-0005-0000-0000-0000460E0000}"/>
    <cellStyle name="Normal 4" xfId="3655" xr:uid="{00000000-0005-0000-0000-0000470E0000}"/>
    <cellStyle name="Normal 4 2" xfId="3656" xr:uid="{00000000-0005-0000-0000-0000480E0000}"/>
    <cellStyle name="Normal 4 2 2" xfId="3657" xr:uid="{00000000-0005-0000-0000-0000490E0000}"/>
    <cellStyle name="Normal 4 2 3" xfId="3658" xr:uid="{00000000-0005-0000-0000-00004A0E0000}"/>
    <cellStyle name="Normal 4 3" xfId="3659" xr:uid="{00000000-0005-0000-0000-00004B0E0000}"/>
    <cellStyle name="Normal 4 3 2" xfId="3660" xr:uid="{00000000-0005-0000-0000-00004C0E0000}"/>
    <cellStyle name="Normal 5" xfId="3661" xr:uid="{00000000-0005-0000-0000-00004D0E0000}"/>
    <cellStyle name="Normal 5 2" xfId="3662" xr:uid="{00000000-0005-0000-0000-00004E0E0000}"/>
    <cellStyle name="Normal 5 2 2" xfId="3663" xr:uid="{00000000-0005-0000-0000-00004F0E0000}"/>
    <cellStyle name="Normal 5 2 2 2" xfId="3664" xr:uid="{00000000-0005-0000-0000-0000500E0000}"/>
    <cellStyle name="Normal 5 2 2 2 2" xfId="3665" xr:uid="{00000000-0005-0000-0000-0000510E0000}"/>
    <cellStyle name="Normal 5 2 2 2 2 2" xfId="3666" xr:uid="{00000000-0005-0000-0000-0000520E0000}"/>
    <cellStyle name="Normal 5 2 2 2 3" xfId="3667" xr:uid="{00000000-0005-0000-0000-0000530E0000}"/>
    <cellStyle name="Normal 5 2 2 3" xfId="3668" xr:uid="{00000000-0005-0000-0000-0000540E0000}"/>
    <cellStyle name="Normal 5 2 2 3 2" xfId="3669" xr:uid="{00000000-0005-0000-0000-0000550E0000}"/>
    <cellStyle name="Normal 5 2 2 4" xfId="3670" xr:uid="{00000000-0005-0000-0000-0000560E0000}"/>
    <cellStyle name="Normal 5 2 3" xfId="3671" xr:uid="{00000000-0005-0000-0000-0000570E0000}"/>
    <cellStyle name="Normal 5 2 3 2" xfId="3672" xr:uid="{00000000-0005-0000-0000-0000580E0000}"/>
    <cellStyle name="Normal 5 2 3 2 2" xfId="3673" xr:uid="{00000000-0005-0000-0000-0000590E0000}"/>
    <cellStyle name="Normal 5 2 3 3" xfId="3674" xr:uid="{00000000-0005-0000-0000-00005A0E0000}"/>
    <cellStyle name="Normal 5 2 4" xfId="3675" xr:uid="{00000000-0005-0000-0000-00005B0E0000}"/>
    <cellStyle name="Normal 5 2 4 2" xfId="3676" xr:uid="{00000000-0005-0000-0000-00005C0E0000}"/>
    <cellStyle name="Normal 5 2 5" xfId="3677" xr:uid="{00000000-0005-0000-0000-00005D0E0000}"/>
    <cellStyle name="Normal 5 2 5 2" xfId="3678" xr:uid="{00000000-0005-0000-0000-00005E0E0000}"/>
    <cellStyle name="Normal 5 2 6" xfId="3679" xr:uid="{00000000-0005-0000-0000-00005F0E0000}"/>
    <cellStyle name="Normal 5 3" xfId="3680" xr:uid="{00000000-0005-0000-0000-0000600E0000}"/>
    <cellStyle name="Normal 5 3 2" xfId="3681" xr:uid="{00000000-0005-0000-0000-0000610E0000}"/>
    <cellStyle name="Normal 5 3 2 2" xfId="3682" xr:uid="{00000000-0005-0000-0000-0000620E0000}"/>
    <cellStyle name="Normal 5 3 2 2 2" xfId="3683" xr:uid="{00000000-0005-0000-0000-0000630E0000}"/>
    <cellStyle name="Normal 5 3 2 3" xfId="3684" xr:uid="{00000000-0005-0000-0000-0000640E0000}"/>
    <cellStyle name="Normal 5 3 3" xfId="3685" xr:uid="{00000000-0005-0000-0000-0000650E0000}"/>
    <cellStyle name="Normal 5 3 3 2" xfId="3686" xr:uid="{00000000-0005-0000-0000-0000660E0000}"/>
    <cellStyle name="Normal 5 3 4" xfId="3687" xr:uid="{00000000-0005-0000-0000-0000670E0000}"/>
    <cellStyle name="Normal 5 4" xfId="3688" xr:uid="{00000000-0005-0000-0000-0000680E0000}"/>
    <cellStyle name="Normal 5 4 2" xfId="3689" xr:uid="{00000000-0005-0000-0000-0000690E0000}"/>
    <cellStyle name="Normal 5 4 2 2" xfId="3690" xr:uid="{00000000-0005-0000-0000-00006A0E0000}"/>
    <cellStyle name="Normal 5 4 3" xfId="3691" xr:uid="{00000000-0005-0000-0000-00006B0E0000}"/>
    <cellStyle name="Normal 5 5" xfId="3692" xr:uid="{00000000-0005-0000-0000-00006C0E0000}"/>
    <cellStyle name="Normal 5 5 2" xfId="3693" xr:uid="{00000000-0005-0000-0000-00006D0E0000}"/>
    <cellStyle name="Normal 5 6" xfId="3694" xr:uid="{00000000-0005-0000-0000-00006E0E0000}"/>
    <cellStyle name="Normal 5 7" xfId="3695" xr:uid="{00000000-0005-0000-0000-00006F0E0000}"/>
    <cellStyle name="Normal 5 8" xfId="3696" xr:uid="{00000000-0005-0000-0000-0000700E0000}"/>
    <cellStyle name="Normal 6" xfId="3697" xr:uid="{00000000-0005-0000-0000-0000710E0000}"/>
    <cellStyle name="Normal 6 10" xfId="3698" xr:uid="{00000000-0005-0000-0000-0000720E0000}"/>
    <cellStyle name="Normal 6 10 2" xfId="3699" xr:uid="{00000000-0005-0000-0000-0000730E0000}"/>
    <cellStyle name="Normal 6 11" xfId="3700" xr:uid="{00000000-0005-0000-0000-0000740E0000}"/>
    <cellStyle name="Normal 6 2" xfId="3701" xr:uid="{00000000-0005-0000-0000-0000750E0000}"/>
    <cellStyle name="Normal 6 2 2" xfId="3702" xr:uid="{00000000-0005-0000-0000-0000760E0000}"/>
    <cellStyle name="Normal 6 2 2 2" xfId="3703" xr:uid="{00000000-0005-0000-0000-0000770E0000}"/>
    <cellStyle name="Normal 6 2 2 2 2" xfId="3704" xr:uid="{00000000-0005-0000-0000-0000780E0000}"/>
    <cellStyle name="Normal 6 2 2 2 2 2" xfId="3705" xr:uid="{00000000-0005-0000-0000-0000790E0000}"/>
    <cellStyle name="Normal 6 2 2 2 3" xfId="3706" xr:uid="{00000000-0005-0000-0000-00007A0E0000}"/>
    <cellStyle name="Normal 6 2 2 3" xfId="3707" xr:uid="{00000000-0005-0000-0000-00007B0E0000}"/>
    <cellStyle name="Normal 6 2 2 3 2" xfId="3708" xr:uid="{00000000-0005-0000-0000-00007C0E0000}"/>
    <cellStyle name="Normal 6 2 2 4" xfId="3709" xr:uid="{00000000-0005-0000-0000-00007D0E0000}"/>
    <cellStyle name="Normal 6 2 3" xfId="3710" xr:uid="{00000000-0005-0000-0000-00007E0E0000}"/>
    <cellStyle name="Normal 6 2 3 2" xfId="3711" xr:uid="{00000000-0005-0000-0000-00007F0E0000}"/>
    <cellStyle name="Normal 6 2 3 2 2" xfId="3712" xr:uid="{00000000-0005-0000-0000-0000800E0000}"/>
    <cellStyle name="Normal 6 2 3 3" xfId="3713" xr:uid="{00000000-0005-0000-0000-0000810E0000}"/>
    <cellStyle name="Normal 6 2 4" xfId="3714" xr:uid="{00000000-0005-0000-0000-0000820E0000}"/>
    <cellStyle name="Normal 6 2 4 2" xfId="3715" xr:uid="{00000000-0005-0000-0000-0000830E0000}"/>
    <cellStyle name="Normal 6 2 5" xfId="3716" xr:uid="{00000000-0005-0000-0000-0000840E0000}"/>
    <cellStyle name="Normal 6 2 5 2" xfId="3717" xr:uid="{00000000-0005-0000-0000-0000850E0000}"/>
    <cellStyle name="Normal 6 2 6" xfId="3718" xr:uid="{00000000-0005-0000-0000-0000860E0000}"/>
    <cellStyle name="Normal 6 3" xfId="3719" xr:uid="{00000000-0005-0000-0000-0000870E0000}"/>
    <cellStyle name="Normal 6 3 2" xfId="3720" xr:uid="{00000000-0005-0000-0000-0000880E0000}"/>
    <cellStyle name="Normal 6 3 2 2" xfId="3721" xr:uid="{00000000-0005-0000-0000-0000890E0000}"/>
    <cellStyle name="Normal 6 3 2 2 2" xfId="3722" xr:uid="{00000000-0005-0000-0000-00008A0E0000}"/>
    <cellStyle name="Normal 6 3 2 2 2 2" xfId="3723" xr:uid="{00000000-0005-0000-0000-00008B0E0000}"/>
    <cellStyle name="Normal 6 3 2 2 3" xfId="3724" xr:uid="{00000000-0005-0000-0000-00008C0E0000}"/>
    <cellStyle name="Normal 6 3 2 3" xfId="3725" xr:uid="{00000000-0005-0000-0000-00008D0E0000}"/>
    <cellStyle name="Normal 6 3 2 3 2" xfId="3726" xr:uid="{00000000-0005-0000-0000-00008E0E0000}"/>
    <cellStyle name="Normal 6 3 2 4" xfId="3727" xr:uid="{00000000-0005-0000-0000-00008F0E0000}"/>
    <cellStyle name="Normal 6 3 3" xfId="3728" xr:uid="{00000000-0005-0000-0000-0000900E0000}"/>
    <cellStyle name="Normal 6 3 3 2" xfId="3729" xr:uid="{00000000-0005-0000-0000-0000910E0000}"/>
    <cellStyle name="Normal 6 3 3 2 2" xfId="3730" xr:uid="{00000000-0005-0000-0000-0000920E0000}"/>
    <cellStyle name="Normal 6 3 3 3" xfId="3731" xr:uid="{00000000-0005-0000-0000-0000930E0000}"/>
    <cellStyle name="Normal 6 3 4" xfId="3732" xr:uid="{00000000-0005-0000-0000-0000940E0000}"/>
    <cellStyle name="Normal 6 3 4 2" xfId="3733" xr:uid="{00000000-0005-0000-0000-0000950E0000}"/>
    <cellStyle name="Normal 6 3 5" xfId="3734" xr:uid="{00000000-0005-0000-0000-0000960E0000}"/>
    <cellStyle name="Normal 6 4" xfId="3735" xr:uid="{00000000-0005-0000-0000-0000970E0000}"/>
    <cellStyle name="Normal 6 4 2" xfId="3736" xr:uid="{00000000-0005-0000-0000-0000980E0000}"/>
    <cellStyle name="Normal 6 4 2 2" xfId="3737" xr:uid="{00000000-0005-0000-0000-0000990E0000}"/>
    <cellStyle name="Normal 6 4 2 2 2" xfId="3738" xr:uid="{00000000-0005-0000-0000-00009A0E0000}"/>
    <cellStyle name="Normal 6 4 2 3" xfId="3739" xr:uid="{00000000-0005-0000-0000-00009B0E0000}"/>
    <cellStyle name="Normal 6 4 3" xfId="3740" xr:uid="{00000000-0005-0000-0000-00009C0E0000}"/>
    <cellStyle name="Normal 6 4 3 2" xfId="3741" xr:uid="{00000000-0005-0000-0000-00009D0E0000}"/>
    <cellStyle name="Normal 6 4 4" xfId="3742" xr:uid="{00000000-0005-0000-0000-00009E0E0000}"/>
    <cellStyle name="Normal 6 5" xfId="3743" xr:uid="{00000000-0005-0000-0000-00009F0E0000}"/>
    <cellStyle name="Normal 6 5 2" xfId="3744" xr:uid="{00000000-0005-0000-0000-0000A00E0000}"/>
    <cellStyle name="Normal 6 5 2 2" xfId="3745" xr:uid="{00000000-0005-0000-0000-0000A10E0000}"/>
    <cellStyle name="Normal 6 5 3" xfId="3746" xr:uid="{00000000-0005-0000-0000-0000A20E0000}"/>
    <cellStyle name="Normal 6 6" xfId="3747" xr:uid="{00000000-0005-0000-0000-0000A30E0000}"/>
    <cellStyle name="Normal 6 6 2" xfId="3748" xr:uid="{00000000-0005-0000-0000-0000A40E0000}"/>
    <cellStyle name="Normal 6 7" xfId="3749" xr:uid="{00000000-0005-0000-0000-0000A50E0000}"/>
    <cellStyle name="Normal 6 7 2" xfId="3750" xr:uid="{00000000-0005-0000-0000-0000A60E0000}"/>
    <cellStyle name="Normal 6 8" xfId="3751" xr:uid="{00000000-0005-0000-0000-0000A70E0000}"/>
    <cellStyle name="Normal 6 8 2" xfId="3752" xr:uid="{00000000-0005-0000-0000-0000A80E0000}"/>
    <cellStyle name="Normal 6 9" xfId="3753" xr:uid="{00000000-0005-0000-0000-0000A90E0000}"/>
    <cellStyle name="Normal 6 9 2" xfId="3754" xr:uid="{00000000-0005-0000-0000-0000AA0E0000}"/>
    <cellStyle name="Normal 7" xfId="3755" xr:uid="{00000000-0005-0000-0000-0000AB0E0000}"/>
    <cellStyle name="Normal 7 2" xfId="3756" xr:uid="{00000000-0005-0000-0000-0000AC0E0000}"/>
    <cellStyle name="Normal 7 2 2" xfId="3757" xr:uid="{00000000-0005-0000-0000-0000AD0E0000}"/>
    <cellStyle name="Normal 7 2 2 2" xfId="3758" xr:uid="{00000000-0005-0000-0000-0000AE0E0000}"/>
    <cellStyle name="Normal 7 2 2 2 2" xfId="3759" xr:uid="{00000000-0005-0000-0000-0000AF0E0000}"/>
    <cellStyle name="Normal 7 2 2 2 2 2" xfId="3760" xr:uid="{00000000-0005-0000-0000-0000B00E0000}"/>
    <cellStyle name="Normal 7 2 2 2 3" xfId="3761" xr:uid="{00000000-0005-0000-0000-0000B10E0000}"/>
    <cellStyle name="Normal 7 2 2 3" xfId="3762" xr:uid="{00000000-0005-0000-0000-0000B20E0000}"/>
    <cellStyle name="Normal 7 2 2 3 2" xfId="3763" xr:uid="{00000000-0005-0000-0000-0000B30E0000}"/>
    <cellStyle name="Normal 7 2 2 4" xfId="3764" xr:uid="{00000000-0005-0000-0000-0000B40E0000}"/>
    <cellStyle name="Normal 7 2 3" xfId="3765" xr:uid="{00000000-0005-0000-0000-0000B50E0000}"/>
    <cellStyle name="Normal 7 2 3 2" xfId="3766" xr:uid="{00000000-0005-0000-0000-0000B60E0000}"/>
    <cellStyle name="Normal 7 2 3 2 2" xfId="3767" xr:uid="{00000000-0005-0000-0000-0000B70E0000}"/>
    <cellStyle name="Normal 7 2 3 3" xfId="3768" xr:uid="{00000000-0005-0000-0000-0000B80E0000}"/>
    <cellStyle name="Normal 7 2 4" xfId="3769" xr:uid="{00000000-0005-0000-0000-0000B90E0000}"/>
    <cellStyle name="Normal 7 2 4 2" xfId="3770" xr:uid="{00000000-0005-0000-0000-0000BA0E0000}"/>
    <cellStyle name="Normal 7 2 5" xfId="3771" xr:uid="{00000000-0005-0000-0000-0000BB0E0000}"/>
    <cellStyle name="Normal 7 2 5 2" xfId="3772" xr:uid="{00000000-0005-0000-0000-0000BC0E0000}"/>
    <cellStyle name="Normal 7 2 6" xfId="3773" xr:uid="{00000000-0005-0000-0000-0000BD0E0000}"/>
    <cellStyle name="Normal 7 3" xfId="3774" xr:uid="{00000000-0005-0000-0000-0000BE0E0000}"/>
    <cellStyle name="Normal 7 3 2" xfId="3775" xr:uid="{00000000-0005-0000-0000-0000BF0E0000}"/>
    <cellStyle name="Normal 7 3 2 2" xfId="3776" xr:uid="{00000000-0005-0000-0000-0000C00E0000}"/>
    <cellStyle name="Normal 7 3 2 2 2" xfId="3777" xr:uid="{00000000-0005-0000-0000-0000C10E0000}"/>
    <cellStyle name="Normal 7 3 2 3" xfId="3778" xr:uid="{00000000-0005-0000-0000-0000C20E0000}"/>
    <cellStyle name="Normal 7 3 3" xfId="3779" xr:uid="{00000000-0005-0000-0000-0000C30E0000}"/>
    <cellStyle name="Normal 7 3 3 2" xfId="3780" xr:uid="{00000000-0005-0000-0000-0000C40E0000}"/>
    <cellStyle name="Normal 7 3 4" xfId="3781" xr:uid="{00000000-0005-0000-0000-0000C50E0000}"/>
    <cellStyle name="Normal 7 4" xfId="3782" xr:uid="{00000000-0005-0000-0000-0000C60E0000}"/>
    <cellStyle name="Normal 7 4 2" xfId="3783" xr:uid="{00000000-0005-0000-0000-0000C70E0000}"/>
    <cellStyle name="Normal 7 4 2 2" xfId="3784" xr:uid="{00000000-0005-0000-0000-0000C80E0000}"/>
    <cellStyle name="Normal 7 4 3" xfId="3785" xr:uid="{00000000-0005-0000-0000-0000C90E0000}"/>
    <cellStyle name="Normal 7 5" xfId="3786" xr:uid="{00000000-0005-0000-0000-0000CA0E0000}"/>
    <cellStyle name="Normal 7 5 2" xfId="3787" xr:uid="{00000000-0005-0000-0000-0000CB0E0000}"/>
    <cellStyle name="Normal 7 6" xfId="3788" xr:uid="{00000000-0005-0000-0000-0000CC0E0000}"/>
    <cellStyle name="Normal 7 7" xfId="3789" xr:uid="{00000000-0005-0000-0000-0000CD0E0000}"/>
    <cellStyle name="Normal 7 8" xfId="3790" xr:uid="{00000000-0005-0000-0000-0000CE0E0000}"/>
    <cellStyle name="Normal 8" xfId="3791" xr:uid="{00000000-0005-0000-0000-0000CF0E0000}"/>
    <cellStyle name="Normal 8 2" xfId="3792" xr:uid="{00000000-0005-0000-0000-0000D00E0000}"/>
    <cellStyle name="Normal 8 3" xfId="3793" xr:uid="{00000000-0005-0000-0000-0000D10E0000}"/>
    <cellStyle name="Normal 9" xfId="3794" xr:uid="{00000000-0005-0000-0000-0000D20E0000}"/>
    <cellStyle name="Normal 9 2" xfId="3795" xr:uid="{00000000-0005-0000-0000-0000D30E0000}"/>
    <cellStyle name="Normal GHG Numbers (0.00)" xfId="3796" xr:uid="{00000000-0005-0000-0000-0000D40E0000}"/>
    <cellStyle name="Normal GHG Numbers (0.00) 2" xfId="3797" xr:uid="{00000000-0005-0000-0000-0000D50E0000}"/>
    <cellStyle name="Normal GHG Numbers (0.00) 3" xfId="3798" xr:uid="{00000000-0005-0000-0000-0000D60E0000}"/>
    <cellStyle name="Normal GHG Numbers (0.00) 3 2" xfId="3799" xr:uid="{00000000-0005-0000-0000-0000D70E0000}"/>
    <cellStyle name="Normal GHG Numbers (0.00) 3 2 2" xfId="3800" xr:uid="{00000000-0005-0000-0000-0000D80E0000}"/>
    <cellStyle name="Normal GHG Numbers (0.00) 3 2 2 10" xfId="3801" xr:uid="{00000000-0005-0000-0000-0000D90E0000}"/>
    <cellStyle name="Normal GHG Numbers (0.00) 3 2 2 11" xfId="3802" xr:uid="{00000000-0005-0000-0000-0000DA0E0000}"/>
    <cellStyle name="Normal GHG Numbers (0.00) 3 2 2 12" xfId="3803" xr:uid="{00000000-0005-0000-0000-0000DB0E0000}"/>
    <cellStyle name="Normal GHG Numbers (0.00) 3 2 2 2" xfId="3804" xr:uid="{00000000-0005-0000-0000-0000DC0E0000}"/>
    <cellStyle name="Normal GHG Numbers (0.00) 3 2 2 2 10" xfId="3805" xr:uid="{00000000-0005-0000-0000-0000DD0E0000}"/>
    <cellStyle name="Normal GHG Numbers (0.00) 3 2 2 2 11" xfId="3806" xr:uid="{00000000-0005-0000-0000-0000DE0E0000}"/>
    <cellStyle name="Normal GHG Numbers (0.00) 3 2 2 2 2" xfId="3807" xr:uid="{00000000-0005-0000-0000-0000DF0E0000}"/>
    <cellStyle name="Normal GHG Numbers (0.00) 3 2 2 2 3" xfId="3808" xr:uid="{00000000-0005-0000-0000-0000E00E0000}"/>
    <cellStyle name="Normal GHG Numbers (0.00) 3 2 2 2 4" xfId="3809" xr:uid="{00000000-0005-0000-0000-0000E10E0000}"/>
    <cellStyle name="Normal GHG Numbers (0.00) 3 2 2 2 5" xfId="3810" xr:uid="{00000000-0005-0000-0000-0000E20E0000}"/>
    <cellStyle name="Normal GHG Numbers (0.00) 3 2 2 2 6" xfId="3811" xr:uid="{00000000-0005-0000-0000-0000E30E0000}"/>
    <cellStyle name="Normal GHG Numbers (0.00) 3 2 2 2 7" xfId="3812" xr:uid="{00000000-0005-0000-0000-0000E40E0000}"/>
    <cellStyle name="Normal GHG Numbers (0.00) 3 2 2 2 8" xfId="3813" xr:uid="{00000000-0005-0000-0000-0000E50E0000}"/>
    <cellStyle name="Normal GHG Numbers (0.00) 3 2 2 2 9" xfId="3814" xr:uid="{00000000-0005-0000-0000-0000E60E0000}"/>
    <cellStyle name="Normal GHG Numbers (0.00) 3 2 2 3" xfId="3815" xr:uid="{00000000-0005-0000-0000-0000E70E0000}"/>
    <cellStyle name="Normal GHG Numbers (0.00) 3 2 2 4" xfId="3816" xr:uid="{00000000-0005-0000-0000-0000E80E0000}"/>
    <cellStyle name="Normal GHG Numbers (0.00) 3 2 2 5" xfId="3817" xr:uid="{00000000-0005-0000-0000-0000E90E0000}"/>
    <cellStyle name="Normal GHG Numbers (0.00) 3 2 2 6" xfId="3818" xr:uid="{00000000-0005-0000-0000-0000EA0E0000}"/>
    <cellStyle name="Normal GHG Numbers (0.00) 3 2 2 7" xfId="3819" xr:uid="{00000000-0005-0000-0000-0000EB0E0000}"/>
    <cellStyle name="Normal GHG Numbers (0.00) 3 2 2 8" xfId="3820" xr:uid="{00000000-0005-0000-0000-0000EC0E0000}"/>
    <cellStyle name="Normal GHG Numbers (0.00) 3 2 2 9" xfId="3821" xr:uid="{00000000-0005-0000-0000-0000ED0E0000}"/>
    <cellStyle name="Normal GHG Numbers (0.00) 3 2 3" xfId="3822" xr:uid="{00000000-0005-0000-0000-0000EE0E0000}"/>
    <cellStyle name="Normal GHG Numbers (0.00) 3 2 3 10" xfId="3823" xr:uid="{00000000-0005-0000-0000-0000EF0E0000}"/>
    <cellStyle name="Normal GHG Numbers (0.00) 3 2 3 11" xfId="3824" xr:uid="{00000000-0005-0000-0000-0000F00E0000}"/>
    <cellStyle name="Normal GHG Numbers (0.00) 3 2 3 2" xfId="3825" xr:uid="{00000000-0005-0000-0000-0000F10E0000}"/>
    <cellStyle name="Normal GHG Numbers (0.00) 3 2 3 3" xfId="3826" xr:uid="{00000000-0005-0000-0000-0000F20E0000}"/>
    <cellStyle name="Normal GHG Numbers (0.00) 3 2 3 4" xfId="3827" xr:uid="{00000000-0005-0000-0000-0000F30E0000}"/>
    <cellStyle name="Normal GHG Numbers (0.00) 3 2 3 5" xfId="3828" xr:uid="{00000000-0005-0000-0000-0000F40E0000}"/>
    <cellStyle name="Normal GHG Numbers (0.00) 3 2 3 6" xfId="3829" xr:uid="{00000000-0005-0000-0000-0000F50E0000}"/>
    <cellStyle name="Normal GHG Numbers (0.00) 3 2 3 7" xfId="3830" xr:uid="{00000000-0005-0000-0000-0000F60E0000}"/>
    <cellStyle name="Normal GHG Numbers (0.00) 3 2 3 8" xfId="3831" xr:uid="{00000000-0005-0000-0000-0000F70E0000}"/>
    <cellStyle name="Normal GHG Numbers (0.00) 3 2 3 9" xfId="3832" xr:uid="{00000000-0005-0000-0000-0000F80E0000}"/>
    <cellStyle name="Normal GHG Numbers (0.00) 3 3" xfId="3833" xr:uid="{00000000-0005-0000-0000-0000F90E0000}"/>
    <cellStyle name="Normal GHG Numbers (0.00) 3 3 10" xfId="3834" xr:uid="{00000000-0005-0000-0000-0000FA0E0000}"/>
    <cellStyle name="Normal GHG Numbers (0.00) 3 3 11" xfId="3835" xr:uid="{00000000-0005-0000-0000-0000FB0E0000}"/>
    <cellStyle name="Normal GHG Numbers (0.00) 3 3 12" xfId="3836" xr:uid="{00000000-0005-0000-0000-0000FC0E0000}"/>
    <cellStyle name="Normal GHG Numbers (0.00) 3 3 13" xfId="3837" xr:uid="{00000000-0005-0000-0000-0000FD0E0000}"/>
    <cellStyle name="Normal GHG Numbers (0.00) 3 3 14" xfId="3838" xr:uid="{00000000-0005-0000-0000-0000FE0E0000}"/>
    <cellStyle name="Normal GHG Numbers (0.00) 3 3 2" xfId="3839" xr:uid="{00000000-0005-0000-0000-0000FF0E0000}"/>
    <cellStyle name="Normal GHG Numbers (0.00) 3 3 2 10" xfId="3840" xr:uid="{00000000-0005-0000-0000-0000000F0000}"/>
    <cellStyle name="Normal GHG Numbers (0.00) 3 3 2 11" xfId="3841" xr:uid="{00000000-0005-0000-0000-0000010F0000}"/>
    <cellStyle name="Normal GHG Numbers (0.00) 3 3 2 12" xfId="3842" xr:uid="{00000000-0005-0000-0000-0000020F0000}"/>
    <cellStyle name="Normal GHG Numbers (0.00) 3 3 2 2" xfId="3843" xr:uid="{00000000-0005-0000-0000-0000030F0000}"/>
    <cellStyle name="Normal GHG Numbers (0.00) 3 3 2 2 10" xfId="3844" xr:uid="{00000000-0005-0000-0000-0000040F0000}"/>
    <cellStyle name="Normal GHG Numbers (0.00) 3 3 2 2 11" xfId="3845" xr:uid="{00000000-0005-0000-0000-0000050F0000}"/>
    <cellStyle name="Normal GHG Numbers (0.00) 3 3 2 2 2" xfId="3846" xr:uid="{00000000-0005-0000-0000-0000060F0000}"/>
    <cellStyle name="Normal GHG Numbers (0.00) 3 3 2 2 3" xfId="3847" xr:uid="{00000000-0005-0000-0000-0000070F0000}"/>
    <cellStyle name="Normal GHG Numbers (0.00) 3 3 2 2 4" xfId="3848" xr:uid="{00000000-0005-0000-0000-0000080F0000}"/>
    <cellStyle name="Normal GHG Numbers (0.00) 3 3 2 2 5" xfId="3849" xr:uid="{00000000-0005-0000-0000-0000090F0000}"/>
    <cellStyle name="Normal GHG Numbers (0.00) 3 3 2 2 6" xfId="3850" xr:uid="{00000000-0005-0000-0000-00000A0F0000}"/>
    <cellStyle name="Normal GHG Numbers (0.00) 3 3 2 2 7" xfId="3851" xr:uid="{00000000-0005-0000-0000-00000B0F0000}"/>
    <cellStyle name="Normal GHG Numbers (0.00) 3 3 2 2 8" xfId="3852" xr:uid="{00000000-0005-0000-0000-00000C0F0000}"/>
    <cellStyle name="Normal GHG Numbers (0.00) 3 3 2 2 9" xfId="3853" xr:uid="{00000000-0005-0000-0000-00000D0F0000}"/>
    <cellStyle name="Normal GHG Numbers (0.00) 3 3 2 3" xfId="3854" xr:uid="{00000000-0005-0000-0000-00000E0F0000}"/>
    <cellStyle name="Normal GHG Numbers (0.00) 3 3 2 4" xfId="3855" xr:uid="{00000000-0005-0000-0000-00000F0F0000}"/>
    <cellStyle name="Normal GHG Numbers (0.00) 3 3 2 5" xfId="3856" xr:uid="{00000000-0005-0000-0000-0000100F0000}"/>
    <cellStyle name="Normal GHG Numbers (0.00) 3 3 2 6" xfId="3857" xr:uid="{00000000-0005-0000-0000-0000110F0000}"/>
    <cellStyle name="Normal GHG Numbers (0.00) 3 3 2 7" xfId="3858" xr:uid="{00000000-0005-0000-0000-0000120F0000}"/>
    <cellStyle name="Normal GHG Numbers (0.00) 3 3 2 8" xfId="3859" xr:uid="{00000000-0005-0000-0000-0000130F0000}"/>
    <cellStyle name="Normal GHG Numbers (0.00) 3 3 2 9" xfId="3860" xr:uid="{00000000-0005-0000-0000-0000140F0000}"/>
    <cellStyle name="Normal GHG Numbers (0.00) 3 3 3" xfId="3861" xr:uid="{00000000-0005-0000-0000-0000150F0000}"/>
    <cellStyle name="Normal GHG Numbers (0.00) 3 3 3 10" xfId="3862" xr:uid="{00000000-0005-0000-0000-0000160F0000}"/>
    <cellStyle name="Normal GHG Numbers (0.00) 3 3 3 11" xfId="3863" xr:uid="{00000000-0005-0000-0000-0000170F0000}"/>
    <cellStyle name="Normal GHG Numbers (0.00) 3 3 3 12" xfId="3864" xr:uid="{00000000-0005-0000-0000-0000180F0000}"/>
    <cellStyle name="Normal GHG Numbers (0.00) 3 3 3 2" xfId="3865" xr:uid="{00000000-0005-0000-0000-0000190F0000}"/>
    <cellStyle name="Normal GHG Numbers (0.00) 3 3 3 2 10" xfId="3866" xr:uid="{00000000-0005-0000-0000-00001A0F0000}"/>
    <cellStyle name="Normal GHG Numbers (0.00) 3 3 3 2 11" xfId="3867" xr:uid="{00000000-0005-0000-0000-00001B0F0000}"/>
    <cellStyle name="Normal GHG Numbers (0.00) 3 3 3 2 2" xfId="3868" xr:uid="{00000000-0005-0000-0000-00001C0F0000}"/>
    <cellStyle name="Normal GHG Numbers (0.00) 3 3 3 2 3" xfId="3869" xr:uid="{00000000-0005-0000-0000-00001D0F0000}"/>
    <cellStyle name="Normal GHG Numbers (0.00) 3 3 3 2 4" xfId="3870" xr:uid="{00000000-0005-0000-0000-00001E0F0000}"/>
    <cellStyle name="Normal GHG Numbers (0.00) 3 3 3 2 5" xfId="3871" xr:uid="{00000000-0005-0000-0000-00001F0F0000}"/>
    <cellStyle name="Normal GHG Numbers (0.00) 3 3 3 2 6" xfId="3872" xr:uid="{00000000-0005-0000-0000-0000200F0000}"/>
    <cellStyle name="Normal GHG Numbers (0.00) 3 3 3 2 7" xfId="3873" xr:uid="{00000000-0005-0000-0000-0000210F0000}"/>
    <cellStyle name="Normal GHG Numbers (0.00) 3 3 3 2 8" xfId="3874" xr:uid="{00000000-0005-0000-0000-0000220F0000}"/>
    <cellStyle name="Normal GHG Numbers (0.00) 3 3 3 2 9" xfId="3875" xr:uid="{00000000-0005-0000-0000-0000230F0000}"/>
    <cellStyle name="Normal GHG Numbers (0.00) 3 3 3 3" xfId="3876" xr:uid="{00000000-0005-0000-0000-0000240F0000}"/>
    <cellStyle name="Normal GHG Numbers (0.00) 3 3 3 4" xfId="3877" xr:uid="{00000000-0005-0000-0000-0000250F0000}"/>
    <cellStyle name="Normal GHG Numbers (0.00) 3 3 3 5" xfId="3878" xr:uid="{00000000-0005-0000-0000-0000260F0000}"/>
    <cellStyle name="Normal GHG Numbers (0.00) 3 3 3 6" xfId="3879" xr:uid="{00000000-0005-0000-0000-0000270F0000}"/>
    <cellStyle name="Normal GHG Numbers (0.00) 3 3 3 7" xfId="3880" xr:uid="{00000000-0005-0000-0000-0000280F0000}"/>
    <cellStyle name="Normal GHG Numbers (0.00) 3 3 3 8" xfId="3881" xr:uid="{00000000-0005-0000-0000-0000290F0000}"/>
    <cellStyle name="Normal GHG Numbers (0.00) 3 3 3 9" xfId="3882" xr:uid="{00000000-0005-0000-0000-00002A0F0000}"/>
    <cellStyle name="Normal GHG Numbers (0.00) 3 3 4" xfId="3883" xr:uid="{00000000-0005-0000-0000-00002B0F0000}"/>
    <cellStyle name="Normal GHG Numbers (0.00) 3 3 4 10" xfId="3884" xr:uid="{00000000-0005-0000-0000-00002C0F0000}"/>
    <cellStyle name="Normal GHG Numbers (0.00) 3 3 4 11" xfId="3885" xr:uid="{00000000-0005-0000-0000-00002D0F0000}"/>
    <cellStyle name="Normal GHG Numbers (0.00) 3 3 4 12" xfId="3886" xr:uid="{00000000-0005-0000-0000-00002E0F0000}"/>
    <cellStyle name="Normal GHG Numbers (0.00) 3 3 4 2" xfId="3887" xr:uid="{00000000-0005-0000-0000-00002F0F0000}"/>
    <cellStyle name="Normal GHG Numbers (0.00) 3 3 4 2 10" xfId="3888" xr:uid="{00000000-0005-0000-0000-0000300F0000}"/>
    <cellStyle name="Normal GHG Numbers (0.00) 3 3 4 2 11" xfId="3889" xr:uid="{00000000-0005-0000-0000-0000310F0000}"/>
    <cellStyle name="Normal GHG Numbers (0.00) 3 3 4 2 2" xfId="3890" xr:uid="{00000000-0005-0000-0000-0000320F0000}"/>
    <cellStyle name="Normal GHG Numbers (0.00) 3 3 4 2 3" xfId="3891" xr:uid="{00000000-0005-0000-0000-0000330F0000}"/>
    <cellStyle name="Normal GHG Numbers (0.00) 3 3 4 2 4" xfId="3892" xr:uid="{00000000-0005-0000-0000-0000340F0000}"/>
    <cellStyle name="Normal GHG Numbers (0.00) 3 3 4 2 5" xfId="3893" xr:uid="{00000000-0005-0000-0000-0000350F0000}"/>
    <cellStyle name="Normal GHG Numbers (0.00) 3 3 4 2 6" xfId="3894" xr:uid="{00000000-0005-0000-0000-0000360F0000}"/>
    <cellStyle name="Normal GHG Numbers (0.00) 3 3 4 2 7" xfId="3895" xr:uid="{00000000-0005-0000-0000-0000370F0000}"/>
    <cellStyle name="Normal GHG Numbers (0.00) 3 3 4 2 8" xfId="3896" xr:uid="{00000000-0005-0000-0000-0000380F0000}"/>
    <cellStyle name="Normal GHG Numbers (0.00) 3 3 4 2 9" xfId="3897" xr:uid="{00000000-0005-0000-0000-0000390F0000}"/>
    <cellStyle name="Normal GHG Numbers (0.00) 3 3 4 3" xfId="3898" xr:uid="{00000000-0005-0000-0000-00003A0F0000}"/>
    <cellStyle name="Normal GHG Numbers (0.00) 3 3 4 4" xfId="3899" xr:uid="{00000000-0005-0000-0000-00003B0F0000}"/>
    <cellStyle name="Normal GHG Numbers (0.00) 3 3 4 5" xfId="3900" xr:uid="{00000000-0005-0000-0000-00003C0F0000}"/>
    <cellStyle name="Normal GHG Numbers (0.00) 3 3 4 6" xfId="3901" xr:uid="{00000000-0005-0000-0000-00003D0F0000}"/>
    <cellStyle name="Normal GHG Numbers (0.00) 3 3 4 7" xfId="3902" xr:uid="{00000000-0005-0000-0000-00003E0F0000}"/>
    <cellStyle name="Normal GHG Numbers (0.00) 3 3 4 8" xfId="3903" xr:uid="{00000000-0005-0000-0000-00003F0F0000}"/>
    <cellStyle name="Normal GHG Numbers (0.00) 3 3 4 9" xfId="3904" xr:uid="{00000000-0005-0000-0000-0000400F0000}"/>
    <cellStyle name="Normal GHG Numbers (0.00) 3 3 5" xfId="3905" xr:uid="{00000000-0005-0000-0000-0000410F0000}"/>
    <cellStyle name="Normal GHG Numbers (0.00) 3 3 6" xfId="3906" xr:uid="{00000000-0005-0000-0000-0000420F0000}"/>
    <cellStyle name="Normal GHG Numbers (0.00) 3 3 7" xfId="3907" xr:uid="{00000000-0005-0000-0000-0000430F0000}"/>
    <cellStyle name="Normal GHG Numbers (0.00) 3 3 8" xfId="3908" xr:uid="{00000000-0005-0000-0000-0000440F0000}"/>
    <cellStyle name="Normal GHG Numbers (0.00) 3 3 9" xfId="3909" xr:uid="{00000000-0005-0000-0000-0000450F0000}"/>
    <cellStyle name="Normal GHG Numbers (0.00) 3 4" xfId="3910" xr:uid="{00000000-0005-0000-0000-0000460F0000}"/>
    <cellStyle name="Normal GHG Numbers (0.00) 3 4 2" xfId="3911" xr:uid="{00000000-0005-0000-0000-0000470F0000}"/>
    <cellStyle name="Normal GHG Numbers (0.00) 3 4 3" xfId="3912" xr:uid="{00000000-0005-0000-0000-0000480F0000}"/>
    <cellStyle name="Normal GHG Numbers (0.00) 3 4 4" xfId="3913" xr:uid="{00000000-0005-0000-0000-0000490F0000}"/>
    <cellStyle name="Normal GHG Numbers (0.00) 3 4 5" xfId="3914" xr:uid="{00000000-0005-0000-0000-00004A0F0000}"/>
    <cellStyle name="Normal GHG Textfiels Bold" xfId="3915" xr:uid="{00000000-0005-0000-0000-00004B0F0000}"/>
    <cellStyle name="Normal GHG Textfiels Bold 2" xfId="3916" xr:uid="{00000000-0005-0000-0000-00004C0F0000}"/>
    <cellStyle name="Normal GHG Textfiels Bold 3" xfId="3917" xr:uid="{00000000-0005-0000-0000-00004D0F0000}"/>
    <cellStyle name="Normal GHG Textfiels Bold 3 2" xfId="3918" xr:uid="{00000000-0005-0000-0000-00004E0F0000}"/>
    <cellStyle name="Normal GHG Textfiels Bold 3 2 2" xfId="3919" xr:uid="{00000000-0005-0000-0000-00004F0F0000}"/>
    <cellStyle name="Normal GHG Textfiels Bold 3 2 2 10" xfId="3920" xr:uid="{00000000-0005-0000-0000-0000500F0000}"/>
    <cellStyle name="Normal GHG Textfiels Bold 3 2 2 11" xfId="3921" xr:uid="{00000000-0005-0000-0000-0000510F0000}"/>
    <cellStyle name="Normal GHG Textfiels Bold 3 2 2 12" xfId="3922" xr:uid="{00000000-0005-0000-0000-0000520F0000}"/>
    <cellStyle name="Normal GHG Textfiels Bold 3 2 2 2" xfId="3923" xr:uid="{00000000-0005-0000-0000-0000530F0000}"/>
    <cellStyle name="Normal GHG Textfiels Bold 3 2 2 2 10" xfId="3924" xr:uid="{00000000-0005-0000-0000-0000540F0000}"/>
    <cellStyle name="Normal GHG Textfiels Bold 3 2 2 2 11" xfId="3925" xr:uid="{00000000-0005-0000-0000-0000550F0000}"/>
    <cellStyle name="Normal GHG Textfiels Bold 3 2 2 2 2" xfId="3926" xr:uid="{00000000-0005-0000-0000-0000560F0000}"/>
    <cellStyle name="Normal GHG Textfiels Bold 3 2 2 2 3" xfId="3927" xr:uid="{00000000-0005-0000-0000-0000570F0000}"/>
    <cellStyle name="Normal GHG Textfiels Bold 3 2 2 2 4" xfId="3928" xr:uid="{00000000-0005-0000-0000-0000580F0000}"/>
    <cellStyle name="Normal GHG Textfiels Bold 3 2 2 2 5" xfId="3929" xr:uid="{00000000-0005-0000-0000-0000590F0000}"/>
    <cellStyle name="Normal GHG Textfiels Bold 3 2 2 2 6" xfId="3930" xr:uid="{00000000-0005-0000-0000-00005A0F0000}"/>
    <cellStyle name="Normal GHG Textfiels Bold 3 2 2 2 7" xfId="3931" xr:uid="{00000000-0005-0000-0000-00005B0F0000}"/>
    <cellStyle name="Normal GHG Textfiels Bold 3 2 2 2 8" xfId="3932" xr:uid="{00000000-0005-0000-0000-00005C0F0000}"/>
    <cellStyle name="Normal GHG Textfiels Bold 3 2 2 2 9" xfId="3933" xr:uid="{00000000-0005-0000-0000-00005D0F0000}"/>
    <cellStyle name="Normal GHG Textfiels Bold 3 2 2 3" xfId="3934" xr:uid="{00000000-0005-0000-0000-00005E0F0000}"/>
    <cellStyle name="Normal GHG Textfiels Bold 3 2 2 4" xfId="3935" xr:uid="{00000000-0005-0000-0000-00005F0F0000}"/>
    <cellStyle name="Normal GHG Textfiels Bold 3 2 2 5" xfId="3936" xr:uid="{00000000-0005-0000-0000-0000600F0000}"/>
    <cellStyle name="Normal GHG Textfiels Bold 3 2 2 6" xfId="3937" xr:uid="{00000000-0005-0000-0000-0000610F0000}"/>
    <cellStyle name="Normal GHG Textfiels Bold 3 2 2 7" xfId="3938" xr:uid="{00000000-0005-0000-0000-0000620F0000}"/>
    <cellStyle name="Normal GHG Textfiels Bold 3 2 2 8" xfId="3939" xr:uid="{00000000-0005-0000-0000-0000630F0000}"/>
    <cellStyle name="Normal GHG Textfiels Bold 3 2 2 9" xfId="3940" xr:uid="{00000000-0005-0000-0000-0000640F0000}"/>
    <cellStyle name="Normal GHG Textfiels Bold 3 2 3" xfId="3941" xr:uid="{00000000-0005-0000-0000-0000650F0000}"/>
    <cellStyle name="Normal GHG Textfiels Bold 3 2 3 10" xfId="3942" xr:uid="{00000000-0005-0000-0000-0000660F0000}"/>
    <cellStyle name="Normal GHG Textfiels Bold 3 2 3 11" xfId="3943" xr:uid="{00000000-0005-0000-0000-0000670F0000}"/>
    <cellStyle name="Normal GHG Textfiels Bold 3 2 3 2" xfId="3944" xr:uid="{00000000-0005-0000-0000-0000680F0000}"/>
    <cellStyle name="Normal GHG Textfiels Bold 3 2 3 3" xfId="3945" xr:uid="{00000000-0005-0000-0000-0000690F0000}"/>
    <cellStyle name="Normal GHG Textfiels Bold 3 2 3 4" xfId="3946" xr:uid="{00000000-0005-0000-0000-00006A0F0000}"/>
    <cellStyle name="Normal GHG Textfiels Bold 3 2 3 5" xfId="3947" xr:uid="{00000000-0005-0000-0000-00006B0F0000}"/>
    <cellStyle name="Normal GHG Textfiels Bold 3 2 3 6" xfId="3948" xr:uid="{00000000-0005-0000-0000-00006C0F0000}"/>
    <cellStyle name="Normal GHG Textfiels Bold 3 2 3 7" xfId="3949" xr:uid="{00000000-0005-0000-0000-00006D0F0000}"/>
    <cellStyle name="Normal GHG Textfiels Bold 3 2 3 8" xfId="3950" xr:uid="{00000000-0005-0000-0000-00006E0F0000}"/>
    <cellStyle name="Normal GHG Textfiels Bold 3 2 3 9" xfId="3951" xr:uid="{00000000-0005-0000-0000-00006F0F0000}"/>
    <cellStyle name="Normal GHG Textfiels Bold 3 3" xfId="3952" xr:uid="{00000000-0005-0000-0000-0000700F0000}"/>
    <cellStyle name="Normal GHG Textfiels Bold 3 3 10" xfId="3953" xr:uid="{00000000-0005-0000-0000-0000710F0000}"/>
    <cellStyle name="Normal GHG Textfiels Bold 3 3 11" xfId="3954" xr:uid="{00000000-0005-0000-0000-0000720F0000}"/>
    <cellStyle name="Normal GHG Textfiels Bold 3 3 12" xfId="3955" xr:uid="{00000000-0005-0000-0000-0000730F0000}"/>
    <cellStyle name="Normal GHG Textfiels Bold 3 3 13" xfId="3956" xr:uid="{00000000-0005-0000-0000-0000740F0000}"/>
    <cellStyle name="Normal GHG Textfiels Bold 3 3 14" xfId="3957" xr:uid="{00000000-0005-0000-0000-0000750F0000}"/>
    <cellStyle name="Normal GHG Textfiels Bold 3 3 2" xfId="3958" xr:uid="{00000000-0005-0000-0000-0000760F0000}"/>
    <cellStyle name="Normal GHG Textfiels Bold 3 3 2 10" xfId="3959" xr:uid="{00000000-0005-0000-0000-0000770F0000}"/>
    <cellStyle name="Normal GHG Textfiels Bold 3 3 2 11" xfId="3960" xr:uid="{00000000-0005-0000-0000-0000780F0000}"/>
    <cellStyle name="Normal GHG Textfiels Bold 3 3 2 12" xfId="3961" xr:uid="{00000000-0005-0000-0000-0000790F0000}"/>
    <cellStyle name="Normal GHG Textfiels Bold 3 3 2 2" xfId="3962" xr:uid="{00000000-0005-0000-0000-00007A0F0000}"/>
    <cellStyle name="Normal GHG Textfiels Bold 3 3 2 2 10" xfId="3963" xr:uid="{00000000-0005-0000-0000-00007B0F0000}"/>
    <cellStyle name="Normal GHG Textfiels Bold 3 3 2 2 11" xfId="3964" xr:uid="{00000000-0005-0000-0000-00007C0F0000}"/>
    <cellStyle name="Normal GHG Textfiels Bold 3 3 2 2 2" xfId="3965" xr:uid="{00000000-0005-0000-0000-00007D0F0000}"/>
    <cellStyle name="Normal GHG Textfiels Bold 3 3 2 2 3" xfId="3966" xr:uid="{00000000-0005-0000-0000-00007E0F0000}"/>
    <cellStyle name="Normal GHG Textfiels Bold 3 3 2 2 4" xfId="3967" xr:uid="{00000000-0005-0000-0000-00007F0F0000}"/>
    <cellStyle name="Normal GHG Textfiels Bold 3 3 2 2 5" xfId="3968" xr:uid="{00000000-0005-0000-0000-0000800F0000}"/>
    <cellStyle name="Normal GHG Textfiels Bold 3 3 2 2 6" xfId="3969" xr:uid="{00000000-0005-0000-0000-0000810F0000}"/>
    <cellStyle name="Normal GHG Textfiels Bold 3 3 2 2 7" xfId="3970" xr:uid="{00000000-0005-0000-0000-0000820F0000}"/>
    <cellStyle name="Normal GHG Textfiels Bold 3 3 2 2 8" xfId="3971" xr:uid="{00000000-0005-0000-0000-0000830F0000}"/>
    <cellStyle name="Normal GHG Textfiels Bold 3 3 2 2 9" xfId="3972" xr:uid="{00000000-0005-0000-0000-0000840F0000}"/>
    <cellStyle name="Normal GHG Textfiels Bold 3 3 2 3" xfId="3973" xr:uid="{00000000-0005-0000-0000-0000850F0000}"/>
    <cellStyle name="Normal GHG Textfiels Bold 3 3 2 4" xfId="3974" xr:uid="{00000000-0005-0000-0000-0000860F0000}"/>
    <cellStyle name="Normal GHG Textfiels Bold 3 3 2 5" xfId="3975" xr:uid="{00000000-0005-0000-0000-0000870F0000}"/>
    <cellStyle name="Normal GHG Textfiels Bold 3 3 2 6" xfId="3976" xr:uid="{00000000-0005-0000-0000-0000880F0000}"/>
    <cellStyle name="Normal GHG Textfiels Bold 3 3 2 7" xfId="3977" xr:uid="{00000000-0005-0000-0000-0000890F0000}"/>
    <cellStyle name="Normal GHG Textfiels Bold 3 3 2 8" xfId="3978" xr:uid="{00000000-0005-0000-0000-00008A0F0000}"/>
    <cellStyle name="Normal GHG Textfiels Bold 3 3 2 9" xfId="3979" xr:uid="{00000000-0005-0000-0000-00008B0F0000}"/>
    <cellStyle name="Normal GHG Textfiels Bold 3 3 3" xfId="3980" xr:uid="{00000000-0005-0000-0000-00008C0F0000}"/>
    <cellStyle name="Normal GHG Textfiels Bold 3 3 3 10" xfId="3981" xr:uid="{00000000-0005-0000-0000-00008D0F0000}"/>
    <cellStyle name="Normal GHG Textfiels Bold 3 3 3 11" xfId="3982" xr:uid="{00000000-0005-0000-0000-00008E0F0000}"/>
    <cellStyle name="Normal GHG Textfiels Bold 3 3 3 12" xfId="3983" xr:uid="{00000000-0005-0000-0000-00008F0F0000}"/>
    <cellStyle name="Normal GHG Textfiels Bold 3 3 3 2" xfId="3984" xr:uid="{00000000-0005-0000-0000-0000900F0000}"/>
    <cellStyle name="Normal GHG Textfiels Bold 3 3 3 2 10" xfId="3985" xr:uid="{00000000-0005-0000-0000-0000910F0000}"/>
    <cellStyle name="Normal GHG Textfiels Bold 3 3 3 2 11" xfId="3986" xr:uid="{00000000-0005-0000-0000-0000920F0000}"/>
    <cellStyle name="Normal GHG Textfiels Bold 3 3 3 2 2" xfId="3987" xr:uid="{00000000-0005-0000-0000-0000930F0000}"/>
    <cellStyle name="Normal GHG Textfiels Bold 3 3 3 2 3" xfId="3988" xr:uid="{00000000-0005-0000-0000-0000940F0000}"/>
    <cellStyle name="Normal GHG Textfiels Bold 3 3 3 2 4" xfId="3989" xr:uid="{00000000-0005-0000-0000-0000950F0000}"/>
    <cellStyle name="Normal GHG Textfiels Bold 3 3 3 2 5" xfId="3990" xr:uid="{00000000-0005-0000-0000-0000960F0000}"/>
    <cellStyle name="Normal GHG Textfiels Bold 3 3 3 2 6" xfId="3991" xr:uid="{00000000-0005-0000-0000-0000970F0000}"/>
    <cellStyle name="Normal GHG Textfiels Bold 3 3 3 2 7" xfId="3992" xr:uid="{00000000-0005-0000-0000-0000980F0000}"/>
    <cellStyle name="Normal GHG Textfiels Bold 3 3 3 2 8" xfId="3993" xr:uid="{00000000-0005-0000-0000-0000990F0000}"/>
    <cellStyle name="Normal GHG Textfiels Bold 3 3 3 2 9" xfId="3994" xr:uid="{00000000-0005-0000-0000-00009A0F0000}"/>
    <cellStyle name="Normal GHG Textfiels Bold 3 3 3 3" xfId="3995" xr:uid="{00000000-0005-0000-0000-00009B0F0000}"/>
    <cellStyle name="Normal GHG Textfiels Bold 3 3 3 4" xfId="3996" xr:uid="{00000000-0005-0000-0000-00009C0F0000}"/>
    <cellStyle name="Normal GHG Textfiels Bold 3 3 3 5" xfId="3997" xr:uid="{00000000-0005-0000-0000-00009D0F0000}"/>
    <cellStyle name="Normal GHG Textfiels Bold 3 3 3 6" xfId="3998" xr:uid="{00000000-0005-0000-0000-00009E0F0000}"/>
    <cellStyle name="Normal GHG Textfiels Bold 3 3 3 7" xfId="3999" xr:uid="{00000000-0005-0000-0000-00009F0F0000}"/>
    <cellStyle name="Normal GHG Textfiels Bold 3 3 3 8" xfId="4000" xr:uid="{00000000-0005-0000-0000-0000A00F0000}"/>
    <cellStyle name="Normal GHG Textfiels Bold 3 3 3 9" xfId="4001" xr:uid="{00000000-0005-0000-0000-0000A10F0000}"/>
    <cellStyle name="Normal GHG Textfiels Bold 3 3 4" xfId="4002" xr:uid="{00000000-0005-0000-0000-0000A20F0000}"/>
    <cellStyle name="Normal GHG Textfiels Bold 3 3 4 10" xfId="4003" xr:uid="{00000000-0005-0000-0000-0000A30F0000}"/>
    <cellStyle name="Normal GHG Textfiels Bold 3 3 4 11" xfId="4004" xr:uid="{00000000-0005-0000-0000-0000A40F0000}"/>
    <cellStyle name="Normal GHG Textfiels Bold 3 3 4 12" xfId="4005" xr:uid="{00000000-0005-0000-0000-0000A50F0000}"/>
    <cellStyle name="Normal GHG Textfiels Bold 3 3 4 2" xfId="4006" xr:uid="{00000000-0005-0000-0000-0000A60F0000}"/>
    <cellStyle name="Normal GHG Textfiels Bold 3 3 4 2 10" xfId="4007" xr:uid="{00000000-0005-0000-0000-0000A70F0000}"/>
    <cellStyle name="Normal GHG Textfiels Bold 3 3 4 2 11" xfId="4008" xr:uid="{00000000-0005-0000-0000-0000A80F0000}"/>
    <cellStyle name="Normal GHG Textfiels Bold 3 3 4 2 2" xfId="4009" xr:uid="{00000000-0005-0000-0000-0000A90F0000}"/>
    <cellStyle name="Normal GHG Textfiels Bold 3 3 4 2 3" xfId="4010" xr:uid="{00000000-0005-0000-0000-0000AA0F0000}"/>
    <cellStyle name="Normal GHG Textfiels Bold 3 3 4 2 4" xfId="4011" xr:uid="{00000000-0005-0000-0000-0000AB0F0000}"/>
    <cellStyle name="Normal GHG Textfiels Bold 3 3 4 2 5" xfId="4012" xr:uid="{00000000-0005-0000-0000-0000AC0F0000}"/>
    <cellStyle name="Normal GHG Textfiels Bold 3 3 4 2 6" xfId="4013" xr:uid="{00000000-0005-0000-0000-0000AD0F0000}"/>
    <cellStyle name="Normal GHG Textfiels Bold 3 3 4 2 7" xfId="4014" xr:uid="{00000000-0005-0000-0000-0000AE0F0000}"/>
    <cellStyle name="Normal GHG Textfiels Bold 3 3 4 2 8" xfId="4015" xr:uid="{00000000-0005-0000-0000-0000AF0F0000}"/>
    <cellStyle name="Normal GHG Textfiels Bold 3 3 4 2 9" xfId="4016" xr:uid="{00000000-0005-0000-0000-0000B00F0000}"/>
    <cellStyle name="Normal GHG Textfiels Bold 3 3 4 3" xfId="4017" xr:uid="{00000000-0005-0000-0000-0000B10F0000}"/>
    <cellStyle name="Normal GHG Textfiels Bold 3 3 4 4" xfId="4018" xr:uid="{00000000-0005-0000-0000-0000B20F0000}"/>
    <cellStyle name="Normal GHG Textfiels Bold 3 3 4 5" xfId="4019" xr:uid="{00000000-0005-0000-0000-0000B30F0000}"/>
    <cellStyle name="Normal GHG Textfiels Bold 3 3 4 6" xfId="4020" xr:uid="{00000000-0005-0000-0000-0000B40F0000}"/>
    <cellStyle name="Normal GHG Textfiels Bold 3 3 4 7" xfId="4021" xr:uid="{00000000-0005-0000-0000-0000B50F0000}"/>
    <cellStyle name="Normal GHG Textfiels Bold 3 3 4 8" xfId="4022" xr:uid="{00000000-0005-0000-0000-0000B60F0000}"/>
    <cellStyle name="Normal GHG Textfiels Bold 3 3 4 9" xfId="4023" xr:uid="{00000000-0005-0000-0000-0000B70F0000}"/>
    <cellStyle name="Normal GHG Textfiels Bold 3 3 5" xfId="4024" xr:uid="{00000000-0005-0000-0000-0000B80F0000}"/>
    <cellStyle name="Normal GHG Textfiels Bold 3 3 6" xfId="4025" xr:uid="{00000000-0005-0000-0000-0000B90F0000}"/>
    <cellStyle name="Normal GHG Textfiels Bold 3 3 7" xfId="4026" xr:uid="{00000000-0005-0000-0000-0000BA0F0000}"/>
    <cellStyle name="Normal GHG Textfiels Bold 3 3 8" xfId="4027" xr:uid="{00000000-0005-0000-0000-0000BB0F0000}"/>
    <cellStyle name="Normal GHG Textfiels Bold 3 3 9" xfId="4028" xr:uid="{00000000-0005-0000-0000-0000BC0F0000}"/>
    <cellStyle name="Normal GHG whole table" xfId="4029" xr:uid="{00000000-0005-0000-0000-0000BD0F0000}"/>
    <cellStyle name="Normal GHG whole table 2" xfId="4030" xr:uid="{00000000-0005-0000-0000-0000BE0F0000}"/>
    <cellStyle name="Normal GHG whole table 2 2" xfId="4031" xr:uid="{00000000-0005-0000-0000-0000BF0F0000}"/>
    <cellStyle name="Normal GHG whole table 2 2 10" xfId="4032" xr:uid="{00000000-0005-0000-0000-0000C00F0000}"/>
    <cellStyle name="Normal GHG whole table 2 2 11" xfId="4033" xr:uid="{00000000-0005-0000-0000-0000C10F0000}"/>
    <cellStyle name="Normal GHG whole table 2 2 12" xfId="4034" xr:uid="{00000000-0005-0000-0000-0000C20F0000}"/>
    <cellStyle name="Normal GHG whole table 2 2 2" xfId="4035" xr:uid="{00000000-0005-0000-0000-0000C30F0000}"/>
    <cellStyle name="Normal GHG whole table 2 2 2 10" xfId="4036" xr:uid="{00000000-0005-0000-0000-0000C40F0000}"/>
    <cellStyle name="Normal GHG whole table 2 2 2 11" xfId="4037" xr:uid="{00000000-0005-0000-0000-0000C50F0000}"/>
    <cellStyle name="Normal GHG whole table 2 2 2 2" xfId="4038" xr:uid="{00000000-0005-0000-0000-0000C60F0000}"/>
    <cellStyle name="Normal GHG whole table 2 2 2 3" xfId="4039" xr:uid="{00000000-0005-0000-0000-0000C70F0000}"/>
    <cellStyle name="Normal GHG whole table 2 2 2 4" xfId="4040" xr:uid="{00000000-0005-0000-0000-0000C80F0000}"/>
    <cellStyle name="Normal GHG whole table 2 2 2 5" xfId="4041" xr:uid="{00000000-0005-0000-0000-0000C90F0000}"/>
    <cellStyle name="Normal GHG whole table 2 2 2 6" xfId="4042" xr:uid="{00000000-0005-0000-0000-0000CA0F0000}"/>
    <cellStyle name="Normal GHG whole table 2 2 2 7" xfId="4043" xr:uid="{00000000-0005-0000-0000-0000CB0F0000}"/>
    <cellStyle name="Normal GHG whole table 2 2 2 8" xfId="4044" xr:uid="{00000000-0005-0000-0000-0000CC0F0000}"/>
    <cellStyle name="Normal GHG whole table 2 2 2 9" xfId="4045" xr:uid="{00000000-0005-0000-0000-0000CD0F0000}"/>
    <cellStyle name="Normal GHG whole table 2 2 3" xfId="4046" xr:uid="{00000000-0005-0000-0000-0000CE0F0000}"/>
    <cellStyle name="Normal GHG whole table 2 2 4" xfId="4047" xr:uid="{00000000-0005-0000-0000-0000CF0F0000}"/>
    <cellStyle name="Normal GHG whole table 2 2 5" xfId="4048" xr:uid="{00000000-0005-0000-0000-0000D00F0000}"/>
    <cellStyle name="Normal GHG whole table 2 2 6" xfId="4049" xr:uid="{00000000-0005-0000-0000-0000D10F0000}"/>
    <cellStyle name="Normal GHG whole table 2 2 7" xfId="4050" xr:uid="{00000000-0005-0000-0000-0000D20F0000}"/>
    <cellStyle name="Normal GHG whole table 2 2 8" xfId="4051" xr:uid="{00000000-0005-0000-0000-0000D30F0000}"/>
    <cellStyle name="Normal GHG whole table 2 2 9" xfId="4052" xr:uid="{00000000-0005-0000-0000-0000D40F0000}"/>
    <cellStyle name="Normal GHG whole table 2 3" xfId="4053" xr:uid="{00000000-0005-0000-0000-0000D50F0000}"/>
    <cellStyle name="Normal GHG whole table 2 3 10" xfId="4054" xr:uid="{00000000-0005-0000-0000-0000D60F0000}"/>
    <cellStyle name="Normal GHG whole table 2 3 11" xfId="4055" xr:uid="{00000000-0005-0000-0000-0000D70F0000}"/>
    <cellStyle name="Normal GHG whole table 2 3 2" xfId="4056" xr:uid="{00000000-0005-0000-0000-0000D80F0000}"/>
    <cellStyle name="Normal GHG whole table 2 3 3" xfId="4057" xr:uid="{00000000-0005-0000-0000-0000D90F0000}"/>
    <cellStyle name="Normal GHG whole table 2 3 4" xfId="4058" xr:uid="{00000000-0005-0000-0000-0000DA0F0000}"/>
    <cellStyle name="Normal GHG whole table 2 3 5" xfId="4059" xr:uid="{00000000-0005-0000-0000-0000DB0F0000}"/>
    <cellStyle name="Normal GHG whole table 2 3 6" xfId="4060" xr:uid="{00000000-0005-0000-0000-0000DC0F0000}"/>
    <cellStyle name="Normal GHG whole table 2 3 7" xfId="4061" xr:uid="{00000000-0005-0000-0000-0000DD0F0000}"/>
    <cellStyle name="Normal GHG whole table 2 3 8" xfId="4062" xr:uid="{00000000-0005-0000-0000-0000DE0F0000}"/>
    <cellStyle name="Normal GHG whole table 2 3 9" xfId="4063" xr:uid="{00000000-0005-0000-0000-0000DF0F0000}"/>
    <cellStyle name="Normal GHG whole table 3" xfId="4064" xr:uid="{00000000-0005-0000-0000-0000E00F0000}"/>
    <cellStyle name="Normal GHG whole table 3 10" xfId="4065" xr:uid="{00000000-0005-0000-0000-0000E10F0000}"/>
    <cellStyle name="Normal GHG whole table 3 11" xfId="4066" xr:uid="{00000000-0005-0000-0000-0000E20F0000}"/>
    <cellStyle name="Normal GHG whole table 3 12" xfId="4067" xr:uid="{00000000-0005-0000-0000-0000E30F0000}"/>
    <cellStyle name="Normal GHG whole table 3 13" xfId="4068" xr:uid="{00000000-0005-0000-0000-0000E40F0000}"/>
    <cellStyle name="Normal GHG whole table 3 14" xfId="4069" xr:uid="{00000000-0005-0000-0000-0000E50F0000}"/>
    <cellStyle name="Normal GHG whole table 3 2" xfId="4070" xr:uid="{00000000-0005-0000-0000-0000E60F0000}"/>
    <cellStyle name="Normal GHG whole table 3 2 10" xfId="4071" xr:uid="{00000000-0005-0000-0000-0000E70F0000}"/>
    <cellStyle name="Normal GHG whole table 3 2 11" xfId="4072" xr:uid="{00000000-0005-0000-0000-0000E80F0000}"/>
    <cellStyle name="Normal GHG whole table 3 2 12" xfId="4073" xr:uid="{00000000-0005-0000-0000-0000E90F0000}"/>
    <cellStyle name="Normal GHG whole table 3 2 2" xfId="4074" xr:uid="{00000000-0005-0000-0000-0000EA0F0000}"/>
    <cellStyle name="Normal GHG whole table 3 2 2 10" xfId="4075" xr:uid="{00000000-0005-0000-0000-0000EB0F0000}"/>
    <cellStyle name="Normal GHG whole table 3 2 2 11" xfId="4076" xr:uid="{00000000-0005-0000-0000-0000EC0F0000}"/>
    <cellStyle name="Normal GHG whole table 3 2 2 2" xfId="4077" xr:uid="{00000000-0005-0000-0000-0000ED0F0000}"/>
    <cellStyle name="Normal GHG whole table 3 2 2 3" xfId="4078" xr:uid="{00000000-0005-0000-0000-0000EE0F0000}"/>
    <cellStyle name="Normal GHG whole table 3 2 2 4" xfId="4079" xr:uid="{00000000-0005-0000-0000-0000EF0F0000}"/>
    <cellStyle name="Normal GHG whole table 3 2 2 5" xfId="4080" xr:uid="{00000000-0005-0000-0000-0000F00F0000}"/>
    <cellStyle name="Normal GHG whole table 3 2 2 6" xfId="4081" xr:uid="{00000000-0005-0000-0000-0000F10F0000}"/>
    <cellStyle name="Normal GHG whole table 3 2 2 7" xfId="4082" xr:uid="{00000000-0005-0000-0000-0000F20F0000}"/>
    <cellStyle name="Normal GHG whole table 3 2 2 8" xfId="4083" xr:uid="{00000000-0005-0000-0000-0000F30F0000}"/>
    <cellStyle name="Normal GHG whole table 3 2 2 9" xfId="4084" xr:uid="{00000000-0005-0000-0000-0000F40F0000}"/>
    <cellStyle name="Normal GHG whole table 3 2 3" xfId="4085" xr:uid="{00000000-0005-0000-0000-0000F50F0000}"/>
    <cellStyle name="Normal GHG whole table 3 2 4" xfId="4086" xr:uid="{00000000-0005-0000-0000-0000F60F0000}"/>
    <cellStyle name="Normal GHG whole table 3 2 5" xfId="4087" xr:uid="{00000000-0005-0000-0000-0000F70F0000}"/>
    <cellStyle name="Normal GHG whole table 3 2 6" xfId="4088" xr:uid="{00000000-0005-0000-0000-0000F80F0000}"/>
    <cellStyle name="Normal GHG whole table 3 2 7" xfId="4089" xr:uid="{00000000-0005-0000-0000-0000F90F0000}"/>
    <cellStyle name="Normal GHG whole table 3 2 8" xfId="4090" xr:uid="{00000000-0005-0000-0000-0000FA0F0000}"/>
    <cellStyle name="Normal GHG whole table 3 2 9" xfId="4091" xr:uid="{00000000-0005-0000-0000-0000FB0F0000}"/>
    <cellStyle name="Normal GHG whole table 3 3" xfId="4092" xr:uid="{00000000-0005-0000-0000-0000FC0F0000}"/>
    <cellStyle name="Normal GHG whole table 3 3 10" xfId="4093" xr:uid="{00000000-0005-0000-0000-0000FD0F0000}"/>
    <cellStyle name="Normal GHG whole table 3 3 11" xfId="4094" xr:uid="{00000000-0005-0000-0000-0000FE0F0000}"/>
    <cellStyle name="Normal GHG whole table 3 3 12" xfId="4095" xr:uid="{00000000-0005-0000-0000-0000FF0F0000}"/>
    <cellStyle name="Normal GHG whole table 3 3 2" xfId="4096" xr:uid="{00000000-0005-0000-0000-000000100000}"/>
    <cellStyle name="Normal GHG whole table 3 3 2 10" xfId="4097" xr:uid="{00000000-0005-0000-0000-000001100000}"/>
    <cellStyle name="Normal GHG whole table 3 3 2 11" xfId="4098" xr:uid="{00000000-0005-0000-0000-000002100000}"/>
    <cellStyle name="Normal GHG whole table 3 3 2 2" xfId="4099" xr:uid="{00000000-0005-0000-0000-000003100000}"/>
    <cellStyle name="Normal GHG whole table 3 3 2 3" xfId="4100" xr:uid="{00000000-0005-0000-0000-000004100000}"/>
    <cellStyle name="Normal GHG whole table 3 3 2 4" xfId="4101" xr:uid="{00000000-0005-0000-0000-000005100000}"/>
    <cellStyle name="Normal GHG whole table 3 3 2 5" xfId="4102" xr:uid="{00000000-0005-0000-0000-000006100000}"/>
    <cellStyle name="Normal GHG whole table 3 3 2 6" xfId="4103" xr:uid="{00000000-0005-0000-0000-000007100000}"/>
    <cellStyle name="Normal GHG whole table 3 3 2 7" xfId="4104" xr:uid="{00000000-0005-0000-0000-000008100000}"/>
    <cellStyle name="Normal GHG whole table 3 3 2 8" xfId="4105" xr:uid="{00000000-0005-0000-0000-000009100000}"/>
    <cellStyle name="Normal GHG whole table 3 3 2 9" xfId="4106" xr:uid="{00000000-0005-0000-0000-00000A100000}"/>
    <cellStyle name="Normal GHG whole table 3 3 3" xfId="4107" xr:uid="{00000000-0005-0000-0000-00000B100000}"/>
    <cellStyle name="Normal GHG whole table 3 3 4" xfId="4108" xr:uid="{00000000-0005-0000-0000-00000C100000}"/>
    <cellStyle name="Normal GHG whole table 3 3 5" xfId="4109" xr:uid="{00000000-0005-0000-0000-00000D100000}"/>
    <cellStyle name="Normal GHG whole table 3 3 6" xfId="4110" xr:uid="{00000000-0005-0000-0000-00000E100000}"/>
    <cellStyle name="Normal GHG whole table 3 3 7" xfId="4111" xr:uid="{00000000-0005-0000-0000-00000F100000}"/>
    <cellStyle name="Normal GHG whole table 3 3 8" xfId="4112" xr:uid="{00000000-0005-0000-0000-000010100000}"/>
    <cellStyle name="Normal GHG whole table 3 3 9" xfId="4113" xr:uid="{00000000-0005-0000-0000-000011100000}"/>
    <cellStyle name="Normal GHG whole table 3 4" xfId="4114" xr:uid="{00000000-0005-0000-0000-000012100000}"/>
    <cellStyle name="Normal GHG whole table 3 4 10" xfId="4115" xr:uid="{00000000-0005-0000-0000-000013100000}"/>
    <cellStyle name="Normal GHG whole table 3 4 11" xfId="4116" xr:uid="{00000000-0005-0000-0000-000014100000}"/>
    <cellStyle name="Normal GHG whole table 3 4 12" xfId="4117" xr:uid="{00000000-0005-0000-0000-000015100000}"/>
    <cellStyle name="Normal GHG whole table 3 4 2" xfId="4118" xr:uid="{00000000-0005-0000-0000-000016100000}"/>
    <cellStyle name="Normal GHG whole table 3 4 2 10" xfId="4119" xr:uid="{00000000-0005-0000-0000-000017100000}"/>
    <cellStyle name="Normal GHG whole table 3 4 2 11" xfId="4120" xr:uid="{00000000-0005-0000-0000-000018100000}"/>
    <cellStyle name="Normal GHG whole table 3 4 2 2" xfId="4121" xr:uid="{00000000-0005-0000-0000-000019100000}"/>
    <cellStyle name="Normal GHG whole table 3 4 2 3" xfId="4122" xr:uid="{00000000-0005-0000-0000-00001A100000}"/>
    <cellStyle name="Normal GHG whole table 3 4 2 4" xfId="4123" xr:uid="{00000000-0005-0000-0000-00001B100000}"/>
    <cellStyle name="Normal GHG whole table 3 4 2 5" xfId="4124" xr:uid="{00000000-0005-0000-0000-00001C100000}"/>
    <cellStyle name="Normal GHG whole table 3 4 2 6" xfId="4125" xr:uid="{00000000-0005-0000-0000-00001D100000}"/>
    <cellStyle name="Normal GHG whole table 3 4 2 7" xfId="4126" xr:uid="{00000000-0005-0000-0000-00001E100000}"/>
    <cellStyle name="Normal GHG whole table 3 4 2 8" xfId="4127" xr:uid="{00000000-0005-0000-0000-00001F100000}"/>
    <cellStyle name="Normal GHG whole table 3 4 2 9" xfId="4128" xr:uid="{00000000-0005-0000-0000-000020100000}"/>
    <cellStyle name="Normal GHG whole table 3 4 3" xfId="4129" xr:uid="{00000000-0005-0000-0000-000021100000}"/>
    <cellStyle name="Normal GHG whole table 3 4 4" xfId="4130" xr:uid="{00000000-0005-0000-0000-000022100000}"/>
    <cellStyle name="Normal GHG whole table 3 4 5" xfId="4131" xr:uid="{00000000-0005-0000-0000-000023100000}"/>
    <cellStyle name="Normal GHG whole table 3 4 6" xfId="4132" xr:uid="{00000000-0005-0000-0000-000024100000}"/>
    <cellStyle name="Normal GHG whole table 3 4 7" xfId="4133" xr:uid="{00000000-0005-0000-0000-000025100000}"/>
    <cellStyle name="Normal GHG whole table 3 4 8" xfId="4134" xr:uid="{00000000-0005-0000-0000-000026100000}"/>
    <cellStyle name="Normal GHG whole table 3 4 9" xfId="4135" xr:uid="{00000000-0005-0000-0000-000027100000}"/>
    <cellStyle name="Normal GHG whole table 3 5" xfId="4136" xr:uid="{00000000-0005-0000-0000-000028100000}"/>
    <cellStyle name="Normal GHG whole table 3 6" xfId="4137" xr:uid="{00000000-0005-0000-0000-000029100000}"/>
    <cellStyle name="Normal GHG whole table 3 7" xfId="4138" xr:uid="{00000000-0005-0000-0000-00002A100000}"/>
    <cellStyle name="Normal GHG whole table 3 8" xfId="4139" xr:uid="{00000000-0005-0000-0000-00002B100000}"/>
    <cellStyle name="Normal GHG whole table 3 9" xfId="4140" xr:uid="{00000000-0005-0000-0000-00002C100000}"/>
    <cellStyle name="Normal GHG whole table 4" xfId="4141" xr:uid="{00000000-0005-0000-0000-00002D100000}"/>
    <cellStyle name="Normal GHG whole table 4 2" xfId="4142" xr:uid="{00000000-0005-0000-0000-00002E100000}"/>
    <cellStyle name="Normal GHG whole table 4 3" xfId="4143" xr:uid="{00000000-0005-0000-0000-00002F100000}"/>
    <cellStyle name="Normal GHG whole table 4 4" xfId="4144" xr:uid="{00000000-0005-0000-0000-000030100000}"/>
    <cellStyle name="Normal GHG whole table 4 5" xfId="4145" xr:uid="{00000000-0005-0000-0000-000031100000}"/>
    <cellStyle name="Normal GHG-Shade" xfId="4146" xr:uid="{00000000-0005-0000-0000-000032100000}"/>
    <cellStyle name="Normal GHG-Shade 2" xfId="4147" xr:uid="{00000000-0005-0000-0000-000033100000}"/>
    <cellStyle name="Normal GHG-Shade 2 2" xfId="4148" xr:uid="{00000000-0005-0000-0000-000034100000}"/>
    <cellStyle name="Normal GHG-Shade 2 3" xfId="4149" xr:uid="{00000000-0005-0000-0000-000035100000}"/>
    <cellStyle name="Normal GHG-Shade 2 4" xfId="4150" xr:uid="{00000000-0005-0000-0000-000036100000}"/>
    <cellStyle name="Normal GHG-Shade 2 5" xfId="4151" xr:uid="{00000000-0005-0000-0000-000037100000}"/>
    <cellStyle name="Normal GHG-Shade 3" xfId="4152" xr:uid="{00000000-0005-0000-0000-000038100000}"/>
    <cellStyle name="Normal GHG-Shade 3 2" xfId="4153" xr:uid="{00000000-0005-0000-0000-000039100000}"/>
    <cellStyle name="Normal GHG-Shade 4" xfId="4154" xr:uid="{00000000-0005-0000-0000-00003A100000}"/>
    <cellStyle name="Normal GHG-Shade 4 2" xfId="4155" xr:uid="{00000000-0005-0000-0000-00003B100000}"/>
    <cellStyle name="Normal GHG-Shade 4 2 2" xfId="4156" xr:uid="{00000000-0005-0000-0000-00003C100000}"/>
    <cellStyle name="Normal GHG-Shade 4 3" xfId="4157" xr:uid="{00000000-0005-0000-0000-00003D100000}"/>
    <cellStyle name="Normál_Munka1" xfId="4158" xr:uid="{00000000-0005-0000-0000-00003E100000}"/>
    <cellStyle name="Note 2" xfId="4159" xr:uid="{00000000-0005-0000-0000-00003F100000}"/>
    <cellStyle name="Note 2 10" xfId="4160" xr:uid="{00000000-0005-0000-0000-000040100000}"/>
    <cellStyle name="Note 2 11" xfId="4161" xr:uid="{00000000-0005-0000-0000-000041100000}"/>
    <cellStyle name="Note 2 12" xfId="4162" xr:uid="{00000000-0005-0000-0000-000042100000}"/>
    <cellStyle name="Note 2 13" xfId="4163" xr:uid="{00000000-0005-0000-0000-000043100000}"/>
    <cellStyle name="Note 2 14" xfId="4164" xr:uid="{00000000-0005-0000-0000-000044100000}"/>
    <cellStyle name="Note 2 15" xfId="4165" xr:uid="{00000000-0005-0000-0000-000045100000}"/>
    <cellStyle name="Note 2 2" xfId="4166" xr:uid="{00000000-0005-0000-0000-000046100000}"/>
    <cellStyle name="Note 2 2 10" xfId="4167" xr:uid="{00000000-0005-0000-0000-000047100000}"/>
    <cellStyle name="Note 2 2 11" xfId="4168" xr:uid="{00000000-0005-0000-0000-000048100000}"/>
    <cellStyle name="Note 2 2 12" xfId="4169" xr:uid="{00000000-0005-0000-0000-000049100000}"/>
    <cellStyle name="Note 2 2 2" xfId="4170" xr:uid="{00000000-0005-0000-0000-00004A100000}"/>
    <cellStyle name="Note 2 2 2 10" xfId="4171" xr:uid="{00000000-0005-0000-0000-00004B100000}"/>
    <cellStyle name="Note 2 2 2 11" xfId="4172" xr:uid="{00000000-0005-0000-0000-00004C100000}"/>
    <cellStyle name="Note 2 2 2 2" xfId="4173" xr:uid="{00000000-0005-0000-0000-00004D100000}"/>
    <cellStyle name="Note 2 2 2 3" xfId="4174" xr:uid="{00000000-0005-0000-0000-00004E100000}"/>
    <cellStyle name="Note 2 2 2 4" xfId="4175" xr:uid="{00000000-0005-0000-0000-00004F100000}"/>
    <cellStyle name="Note 2 2 2 5" xfId="4176" xr:uid="{00000000-0005-0000-0000-000050100000}"/>
    <cellStyle name="Note 2 2 2 6" xfId="4177" xr:uid="{00000000-0005-0000-0000-000051100000}"/>
    <cellStyle name="Note 2 2 2 7" xfId="4178" xr:uid="{00000000-0005-0000-0000-000052100000}"/>
    <cellStyle name="Note 2 2 2 8" xfId="4179" xr:uid="{00000000-0005-0000-0000-000053100000}"/>
    <cellStyle name="Note 2 2 2 9" xfId="4180" xr:uid="{00000000-0005-0000-0000-000054100000}"/>
    <cellStyle name="Note 2 2 3" xfId="4181" xr:uid="{00000000-0005-0000-0000-000055100000}"/>
    <cellStyle name="Note 2 2 4" xfId="4182" xr:uid="{00000000-0005-0000-0000-000056100000}"/>
    <cellStyle name="Note 2 2 5" xfId="4183" xr:uid="{00000000-0005-0000-0000-000057100000}"/>
    <cellStyle name="Note 2 2 6" xfId="4184" xr:uid="{00000000-0005-0000-0000-000058100000}"/>
    <cellStyle name="Note 2 2 7" xfId="4185" xr:uid="{00000000-0005-0000-0000-000059100000}"/>
    <cellStyle name="Note 2 2 8" xfId="4186" xr:uid="{00000000-0005-0000-0000-00005A100000}"/>
    <cellStyle name="Note 2 2 9" xfId="4187" xr:uid="{00000000-0005-0000-0000-00005B100000}"/>
    <cellStyle name="Note 2 3" xfId="4188" xr:uid="{00000000-0005-0000-0000-00005C100000}"/>
    <cellStyle name="Note 2 3 10" xfId="4189" xr:uid="{00000000-0005-0000-0000-00005D100000}"/>
    <cellStyle name="Note 2 3 11" xfId="4190" xr:uid="{00000000-0005-0000-0000-00005E100000}"/>
    <cellStyle name="Note 2 3 12" xfId="4191" xr:uid="{00000000-0005-0000-0000-00005F100000}"/>
    <cellStyle name="Note 2 3 2" xfId="4192" xr:uid="{00000000-0005-0000-0000-000060100000}"/>
    <cellStyle name="Note 2 3 2 10" xfId="4193" xr:uid="{00000000-0005-0000-0000-000061100000}"/>
    <cellStyle name="Note 2 3 2 11" xfId="4194" xr:uid="{00000000-0005-0000-0000-000062100000}"/>
    <cellStyle name="Note 2 3 2 2" xfId="4195" xr:uid="{00000000-0005-0000-0000-000063100000}"/>
    <cellStyle name="Note 2 3 2 3" xfId="4196" xr:uid="{00000000-0005-0000-0000-000064100000}"/>
    <cellStyle name="Note 2 3 2 4" xfId="4197" xr:uid="{00000000-0005-0000-0000-000065100000}"/>
    <cellStyle name="Note 2 3 2 5" xfId="4198" xr:uid="{00000000-0005-0000-0000-000066100000}"/>
    <cellStyle name="Note 2 3 2 6" xfId="4199" xr:uid="{00000000-0005-0000-0000-000067100000}"/>
    <cellStyle name="Note 2 3 2 7" xfId="4200" xr:uid="{00000000-0005-0000-0000-000068100000}"/>
    <cellStyle name="Note 2 3 2 8" xfId="4201" xr:uid="{00000000-0005-0000-0000-000069100000}"/>
    <cellStyle name="Note 2 3 2 9" xfId="4202" xr:uid="{00000000-0005-0000-0000-00006A100000}"/>
    <cellStyle name="Note 2 3 3" xfId="4203" xr:uid="{00000000-0005-0000-0000-00006B100000}"/>
    <cellStyle name="Note 2 3 4" xfId="4204" xr:uid="{00000000-0005-0000-0000-00006C100000}"/>
    <cellStyle name="Note 2 3 5" xfId="4205" xr:uid="{00000000-0005-0000-0000-00006D100000}"/>
    <cellStyle name="Note 2 3 6" xfId="4206" xr:uid="{00000000-0005-0000-0000-00006E100000}"/>
    <cellStyle name="Note 2 3 7" xfId="4207" xr:uid="{00000000-0005-0000-0000-00006F100000}"/>
    <cellStyle name="Note 2 3 8" xfId="4208" xr:uid="{00000000-0005-0000-0000-000070100000}"/>
    <cellStyle name="Note 2 3 9" xfId="4209" xr:uid="{00000000-0005-0000-0000-000071100000}"/>
    <cellStyle name="Note 2 4" xfId="4210" xr:uid="{00000000-0005-0000-0000-000072100000}"/>
    <cellStyle name="Note 2 4 10" xfId="4211" xr:uid="{00000000-0005-0000-0000-000073100000}"/>
    <cellStyle name="Note 2 4 11" xfId="4212" xr:uid="{00000000-0005-0000-0000-000074100000}"/>
    <cellStyle name="Note 2 4 12" xfId="4213" xr:uid="{00000000-0005-0000-0000-000075100000}"/>
    <cellStyle name="Note 2 4 2" xfId="4214" xr:uid="{00000000-0005-0000-0000-000076100000}"/>
    <cellStyle name="Note 2 4 2 10" xfId="4215" xr:uid="{00000000-0005-0000-0000-000077100000}"/>
    <cellStyle name="Note 2 4 2 11" xfId="4216" xr:uid="{00000000-0005-0000-0000-000078100000}"/>
    <cellStyle name="Note 2 4 2 2" xfId="4217" xr:uid="{00000000-0005-0000-0000-000079100000}"/>
    <cellStyle name="Note 2 4 2 3" xfId="4218" xr:uid="{00000000-0005-0000-0000-00007A100000}"/>
    <cellStyle name="Note 2 4 2 4" xfId="4219" xr:uid="{00000000-0005-0000-0000-00007B100000}"/>
    <cellStyle name="Note 2 4 2 5" xfId="4220" xr:uid="{00000000-0005-0000-0000-00007C100000}"/>
    <cellStyle name="Note 2 4 2 6" xfId="4221" xr:uid="{00000000-0005-0000-0000-00007D100000}"/>
    <cellStyle name="Note 2 4 2 7" xfId="4222" xr:uid="{00000000-0005-0000-0000-00007E100000}"/>
    <cellStyle name="Note 2 4 2 8" xfId="4223" xr:uid="{00000000-0005-0000-0000-00007F100000}"/>
    <cellStyle name="Note 2 4 2 9" xfId="4224" xr:uid="{00000000-0005-0000-0000-000080100000}"/>
    <cellStyle name="Note 2 4 3" xfId="4225" xr:uid="{00000000-0005-0000-0000-000081100000}"/>
    <cellStyle name="Note 2 4 4" xfId="4226" xr:uid="{00000000-0005-0000-0000-000082100000}"/>
    <cellStyle name="Note 2 4 5" xfId="4227" xr:uid="{00000000-0005-0000-0000-000083100000}"/>
    <cellStyle name="Note 2 4 6" xfId="4228" xr:uid="{00000000-0005-0000-0000-000084100000}"/>
    <cellStyle name="Note 2 4 7" xfId="4229" xr:uid="{00000000-0005-0000-0000-000085100000}"/>
    <cellStyle name="Note 2 4 8" xfId="4230" xr:uid="{00000000-0005-0000-0000-000086100000}"/>
    <cellStyle name="Note 2 4 9" xfId="4231" xr:uid="{00000000-0005-0000-0000-000087100000}"/>
    <cellStyle name="Note 2 5" xfId="4232" xr:uid="{00000000-0005-0000-0000-000088100000}"/>
    <cellStyle name="Note 2 5 10" xfId="4233" xr:uid="{00000000-0005-0000-0000-000089100000}"/>
    <cellStyle name="Note 2 5 11" xfId="4234" xr:uid="{00000000-0005-0000-0000-00008A100000}"/>
    <cellStyle name="Note 2 5 2" xfId="4235" xr:uid="{00000000-0005-0000-0000-00008B100000}"/>
    <cellStyle name="Note 2 5 3" xfId="4236" xr:uid="{00000000-0005-0000-0000-00008C100000}"/>
    <cellStyle name="Note 2 5 4" xfId="4237" xr:uid="{00000000-0005-0000-0000-00008D100000}"/>
    <cellStyle name="Note 2 5 5" xfId="4238" xr:uid="{00000000-0005-0000-0000-00008E100000}"/>
    <cellStyle name="Note 2 5 6" xfId="4239" xr:uid="{00000000-0005-0000-0000-00008F100000}"/>
    <cellStyle name="Note 2 5 7" xfId="4240" xr:uid="{00000000-0005-0000-0000-000090100000}"/>
    <cellStyle name="Note 2 5 8" xfId="4241" xr:uid="{00000000-0005-0000-0000-000091100000}"/>
    <cellStyle name="Note 2 5 9" xfId="4242" xr:uid="{00000000-0005-0000-0000-000092100000}"/>
    <cellStyle name="Note 2 6" xfId="4243" xr:uid="{00000000-0005-0000-0000-000093100000}"/>
    <cellStyle name="Note 2 7" xfId="4244" xr:uid="{00000000-0005-0000-0000-000094100000}"/>
    <cellStyle name="Note 2 8" xfId="4245" xr:uid="{00000000-0005-0000-0000-000095100000}"/>
    <cellStyle name="Note 2 9" xfId="4246" xr:uid="{00000000-0005-0000-0000-000096100000}"/>
    <cellStyle name="Note 3" xfId="4247" xr:uid="{00000000-0005-0000-0000-000097100000}"/>
    <cellStyle name="Note 3 10" xfId="4248" xr:uid="{00000000-0005-0000-0000-000098100000}"/>
    <cellStyle name="Note 3 11" xfId="4249" xr:uid="{00000000-0005-0000-0000-000099100000}"/>
    <cellStyle name="Note 3 12" xfId="4250" xr:uid="{00000000-0005-0000-0000-00009A100000}"/>
    <cellStyle name="Note 3 13" xfId="4251" xr:uid="{00000000-0005-0000-0000-00009B100000}"/>
    <cellStyle name="Note 3 14" xfId="4252" xr:uid="{00000000-0005-0000-0000-00009C100000}"/>
    <cellStyle name="Note 3 15" xfId="4253" xr:uid="{00000000-0005-0000-0000-00009D100000}"/>
    <cellStyle name="Note 3 2" xfId="4254" xr:uid="{00000000-0005-0000-0000-00009E100000}"/>
    <cellStyle name="Note 3 2 10" xfId="4255" xr:uid="{00000000-0005-0000-0000-00009F100000}"/>
    <cellStyle name="Note 3 2 11" xfId="4256" xr:uid="{00000000-0005-0000-0000-0000A0100000}"/>
    <cellStyle name="Note 3 2 12" xfId="4257" xr:uid="{00000000-0005-0000-0000-0000A1100000}"/>
    <cellStyle name="Note 3 2 2" xfId="4258" xr:uid="{00000000-0005-0000-0000-0000A2100000}"/>
    <cellStyle name="Note 3 2 2 10" xfId="4259" xr:uid="{00000000-0005-0000-0000-0000A3100000}"/>
    <cellStyle name="Note 3 2 2 11" xfId="4260" xr:uid="{00000000-0005-0000-0000-0000A4100000}"/>
    <cellStyle name="Note 3 2 2 2" xfId="4261" xr:uid="{00000000-0005-0000-0000-0000A5100000}"/>
    <cellStyle name="Note 3 2 2 3" xfId="4262" xr:uid="{00000000-0005-0000-0000-0000A6100000}"/>
    <cellStyle name="Note 3 2 2 4" xfId="4263" xr:uid="{00000000-0005-0000-0000-0000A7100000}"/>
    <cellStyle name="Note 3 2 2 5" xfId="4264" xr:uid="{00000000-0005-0000-0000-0000A8100000}"/>
    <cellStyle name="Note 3 2 2 6" xfId="4265" xr:uid="{00000000-0005-0000-0000-0000A9100000}"/>
    <cellStyle name="Note 3 2 2 7" xfId="4266" xr:uid="{00000000-0005-0000-0000-0000AA100000}"/>
    <cellStyle name="Note 3 2 2 8" xfId="4267" xr:uid="{00000000-0005-0000-0000-0000AB100000}"/>
    <cellStyle name="Note 3 2 2 9" xfId="4268" xr:uid="{00000000-0005-0000-0000-0000AC100000}"/>
    <cellStyle name="Note 3 2 3" xfId="4269" xr:uid="{00000000-0005-0000-0000-0000AD100000}"/>
    <cellStyle name="Note 3 2 4" xfId="4270" xr:uid="{00000000-0005-0000-0000-0000AE100000}"/>
    <cellStyle name="Note 3 2 5" xfId="4271" xr:uid="{00000000-0005-0000-0000-0000AF100000}"/>
    <cellStyle name="Note 3 2 6" xfId="4272" xr:uid="{00000000-0005-0000-0000-0000B0100000}"/>
    <cellStyle name="Note 3 2 7" xfId="4273" xr:uid="{00000000-0005-0000-0000-0000B1100000}"/>
    <cellStyle name="Note 3 2 8" xfId="4274" xr:uid="{00000000-0005-0000-0000-0000B2100000}"/>
    <cellStyle name="Note 3 2 9" xfId="4275" xr:uid="{00000000-0005-0000-0000-0000B3100000}"/>
    <cellStyle name="Note 3 3" xfId="4276" xr:uid="{00000000-0005-0000-0000-0000B4100000}"/>
    <cellStyle name="Note 3 3 10" xfId="4277" xr:uid="{00000000-0005-0000-0000-0000B5100000}"/>
    <cellStyle name="Note 3 3 11" xfId="4278" xr:uid="{00000000-0005-0000-0000-0000B6100000}"/>
    <cellStyle name="Note 3 3 12" xfId="4279" xr:uid="{00000000-0005-0000-0000-0000B7100000}"/>
    <cellStyle name="Note 3 3 2" xfId="4280" xr:uid="{00000000-0005-0000-0000-0000B8100000}"/>
    <cellStyle name="Note 3 3 2 10" xfId="4281" xr:uid="{00000000-0005-0000-0000-0000B9100000}"/>
    <cellStyle name="Note 3 3 2 11" xfId="4282" xr:uid="{00000000-0005-0000-0000-0000BA100000}"/>
    <cellStyle name="Note 3 3 2 2" xfId="4283" xr:uid="{00000000-0005-0000-0000-0000BB100000}"/>
    <cellStyle name="Note 3 3 2 3" xfId="4284" xr:uid="{00000000-0005-0000-0000-0000BC100000}"/>
    <cellStyle name="Note 3 3 2 4" xfId="4285" xr:uid="{00000000-0005-0000-0000-0000BD100000}"/>
    <cellStyle name="Note 3 3 2 5" xfId="4286" xr:uid="{00000000-0005-0000-0000-0000BE100000}"/>
    <cellStyle name="Note 3 3 2 6" xfId="4287" xr:uid="{00000000-0005-0000-0000-0000BF100000}"/>
    <cellStyle name="Note 3 3 2 7" xfId="4288" xr:uid="{00000000-0005-0000-0000-0000C0100000}"/>
    <cellStyle name="Note 3 3 2 8" xfId="4289" xr:uid="{00000000-0005-0000-0000-0000C1100000}"/>
    <cellStyle name="Note 3 3 2 9" xfId="4290" xr:uid="{00000000-0005-0000-0000-0000C2100000}"/>
    <cellStyle name="Note 3 3 3" xfId="4291" xr:uid="{00000000-0005-0000-0000-0000C3100000}"/>
    <cellStyle name="Note 3 3 4" xfId="4292" xr:uid="{00000000-0005-0000-0000-0000C4100000}"/>
    <cellStyle name="Note 3 3 5" xfId="4293" xr:uid="{00000000-0005-0000-0000-0000C5100000}"/>
    <cellStyle name="Note 3 3 6" xfId="4294" xr:uid="{00000000-0005-0000-0000-0000C6100000}"/>
    <cellStyle name="Note 3 3 7" xfId="4295" xr:uid="{00000000-0005-0000-0000-0000C7100000}"/>
    <cellStyle name="Note 3 3 8" xfId="4296" xr:uid="{00000000-0005-0000-0000-0000C8100000}"/>
    <cellStyle name="Note 3 3 9" xfId="4297" xr:uid="{00000000-0005-0000-0000-0000C9100000}"/>
    <cellStyle name="Note 3 4" xfId="4298" xr:uid="{00000000-0005-0000-0000-0000CA100000}"/>
    <cellStyle name="Note 3 4 10" xfId="4299" xr:uid="{00000000-0005-0000-0000-0000CB100000}"/>
    <cellStyle name="Note 3 4 11" xfId="4300" xr:uid="{00000000-0005-0000-0000-0000CC100000}"/>
    <cellStyle name="Note 3 4 12" xfId="4301" xr:uid="{00000000-0005-0000-0000-0000CD100000}"/>
    <cellStyle name="Note 3 4 2" xfId="4302" xr:uid="{00000000-0005-0000-0000-0000CE100000}"/>
    <cellStyle name="Note 3 4 2 10" xfId="4303" xr:uid="{00000000-0005-0000-0000-0000CF100000}"/>
    <cellStyle name="Note 3 4 2 11" xfId="4304" xr:uid="{00000000-0005-0000-0000-0000D0100000}"/>
    <cellStyle name="Note 3 4 2 2" xfId="4305" xr:uid="{00000000-0005-0000-0000-0000D1100000}"/>
    <cellStyle name="Note 3 4 2 3" xfId="4306" xr:uid="{00000000-0005-0000-0000-0000D2100000}"/>
    <cellStyle name="Note 3 4 2 4" xfId="4307" xr:uid="{00000000-0005-0000-0000-0000D3100000}"/>
    <cellStyle name="Note 3 4 2 5" xfId="4308" xr:uid="{00000000-0005-0000-0000-0000D4100000}"/>
    <cellStyle name="Note 3 4 2 6" xfId="4309" xr:uid="{00000000-0005-0000-0000-0000D5100000}"/>
    <cellStyle name="Note 3 4 2 7" xfId="4310" xr:uid="{00000000-0005-0000-0000-0000D6100000}"/>
    <cellStyle name="Note 3 4 2 8" xfId="4311" xr:uid="{00000000-0005-0000-0000-0000D7100000}"/>
    <cellStyle name="Note 3 4 2 9" xfId="4312" xr:uid="{00000000-0005-0000-0000-0000D8100000}"/>
    <cellStyle name="Note 3 4 3" xfId="4313" xr:uid="{00000000-0005-0000-0000-0000D9100000}"/>
    <cellStyle name="Note 3 4 4" xfId="4314" xr:uid="{00000000-0005-0000-0000-0000DA100000}"/>
    <cellStyle name="Note 3 4 5" xfId="4315" xr:uid="{00000000-0005-0000-0000-0000DB100000}"/>
    <cellStyle name="Note 3 4 6" xfId="4316" xr:uid="{00000000-0005-0000-0000-0000DC100000}"/>
    <cellStyle name="Note 3 4 7" xfId="4317" xr:uid="{00000000-0005-0000-0000-0000DD100000}"/>
    <cellStyle name="Note 3 4 8" xfId="4318" xr:uid="{00000000-0005-0000-0000-0000DE100000}"/>
    <cellStyle name="Note 3 4 9" xfId="4319" xr:uid="{00000000-0005-0000-0000-0000DF100000}"/>
    <cellStyle name="Note 3 5" xfId="4320" xr:uid="{00000000-0005-0000-0000-0000E0100000}"/>
    <cellStyle name="Note 3 5 10" xfId="4321" xr:uid="{00000000-0005-0000-0000-0000E1100000}"/>
    <cellStyle name="Note 3 5 11" xfId="4322" xr:uid="{00000000-0005-0000-0000-0000E2100000}"/>
    <cellStyle name="Note 3 5 2" xfId="4323" xr:uid="{00000000-0005-0000-0000-0000E3100000}"/>
    <cellStyle name="Note 3 5 3" xfId="4324" xr:uid="{00000000-0005-0000-0000-0000E4100000}"/>
    <cellStyle name="Note 3 5 4" xfId="4325" xr:uid="{00000000-0005-0000-0000-0000E5100000}"/>
    <cellStyle name="Note 3 5 5" xfId="4326" xr:uid="{00000000-0005-0000-0000-0000E6100000}"/>
    <cellStyle name="Note 3 5 6" xfId="4327" xr:uid="{00000000-0005-0000-0000-0000E7100000}"/>
    <cellStyle name="Note 3 5 7" xfId="4328" xr:uid="{00000000-0005-0000-0000-0000E8100000}"/>
    <cellStyle name="Note 3 5 8" xfId="4329" xr:uid="{00000000-0005-0000-0000-0000E9100000}"/>
    <cellStyle name="Note 3 5 9" xfId="4330" xr:uid="{00000000-0005-0000-0000-0000EA100000}"/>
    <cellStyle name="Note 3 6" xfId="4331" xr:uid="{00000000-0005-0000-0000-0000EB100000}"/>
    <cellStyle name="Note 3 7" xfId="4332" xr:uid="{00000000-0005-0000-0000-0000EC100000}"/>
    <cellStyle name="Note 3 8" xfId="4333" xr:uid="{00000000-0005-0000-0000-0000ED100000}"/>
    <cellStyle name="Note 3 9" xfId="4334" xr:uid="{00000000-0005-0000-0000-0000EE100000}"/>
    <cellStyle name="Notiz" xfId="4335" xr:uid="{00000000-0005-0000-0000-0000EF100000}"/>
    <cellStyle name="Notiz 10" xfId="4336" xr:uid="{00000000-0005-0000-0000-0000F0100000}"/>
    <cellStyle name="Notiz 11" xfId="4337" xr:uid="{00000000-0005-0000-0000-0000F1100000}"/>
    <cellStyle name="Notiz 12" xfId="4338" xr:uid="{00000000-0005-0000-0000-0000F2100000}"/>
    <cellStyle name="Notiz 13" xfId="4339" xr:uid="{00000000-0005-0000-0000-0000F3100000}"/>
    <cellStyle name="Notiz 14" xfId="4340" xr:uid="{00000000-0005-0000-0000-0000F4100000}"/>
    <cellStyle name="Notiz 15" xfId="4341" xr:uid="{00000000-0005-0000-0000-0000F5100000}"/>
    <cellStyle name="Notiz 2" xfId="4342" xr:uid="{00000000-0005-0000-0000-0000F6100000}"/>
    <cellStyle name="Notiz 2 10" xfId="4343" xr:uid="{00000000-0005-0000-0000-0000F7100000}"/>
    <cellStyle name="Notiz 2 11" xfId="4344" xr:uid="{00000000-0005-0000-0000-0000F8100000}"/>
    <cellStyle name="Notiz 2 12" xfId="4345" xr:uid="{00000000-0005-0000-0000-0000F9100000}"/>
    <cellStyle name="Notiz 2 2" xfId="4346" xr:uid="{00000000-0005-0000-0000-0000FA100000}"/>
    <cellStyle name="Notiz 2 2 10" xfId="4347" xr:uid="{00000000-0005-0000-0000-0000FB100000}"/>
    <cellStyle name="Notiz 2 2 11" xfId="4348" xr:uid="{00000000-0005-0000-0000-0000FC100000}"/>
    <cellStyle name="Notiz 2 2 2" xfId="4349" xr:uid="{00000000-0005-0000-0000-0000FD100000}"/>
    <cellStyle name="Notiz 2 2 3" xfId="4350" xr:uid="{00000000-0005-0000-0000-0000FE100000}"/>
    <cellStyle name="Notiz 2 2 4" xfId="4351" xr:uid="{00000000-0005-0000-0000-0000FF100000}"/>
    <cellStyle name="Notiz 2 2 5" xfId="4352" xr:uid="{00000000-0005-0000-0000-000000110000}"/>
    <cellStyle name="Notiz 2 2 6" xfId="4353" xr:uid="{00000000-0005-0000-0000-000001110000}"/>
    <cellStyle name="Notiz 2 2 7" xfId="4354" xr:uid="{00000000-0005-0000-0000-000002110000}"/>
    <cellStyle name="Notiz 2 2 8" xfId="4355" xr:uid="{00000000-0005-0000-0000-000003110000}"/>
    <cellStyle name="Notiz 2 2 9" xfId="4356" xr:uid="{00000000-0005-0000-0000-000004110000}"/>
    <cellStyle name="Notiz 2 3" xfId="4357" xr:uid="{00000000-0005-0000-0000-000005110000}"/>
    <cellStyle name="Notiz 2 4" xfId="4358" xr:uid="{00000000-0005-0000-0000-000006110000}"/>
    <cellStyle name="Notiz 2 5" xfId="4359" xr:uid="{00000000-0005-0000-0000-000007110000}"/>
    <cellStyle name="Notiz 2 6" xfId="4360" xr:uid="{00000000-0005-0000-0000-000008110000}"/>
    <cellStyle name="Notiz 2 7" xfId="4361" xr:uid="{00000000-0005-0000-0000-000009110000}"/>
    <cellStyle name="Notiz 2 8" xfId="4362" xr:uid="{00000000-0005-0000-0000-00000A110000}"/>
    <cellStyle name="Notiz 2 9" xfId="4363" xr:uid="{00000000-0005-0000-0000-00000B110000}"/>
    <cellStyle name="Notiz 3" xfId="4364" xr:uid="{00000000-0005-0000-0000-00000C110000}"/>
    <cellStyle name="Notiz 3 10" xfId="4365" xr:uid="{00000000-0005-0000-0000-00000D110000}"/>
    <cellStyle name="Notiz 3 11" xfId="4366" xr:uid="{00000000-0005-0000-0000-00000E110000}"/>
    <cellStyle name="Notiz 3 12" xfId="4367" xr:uid="{00000000-0005-0000-0000-00000F110000}"/>
    <cellStyle name="Notiz 3 2" xfId="4368" xr:uid="{00000000-0005-0000-0000-000010110000}"/>
    <cellStyle name="Notiz 3 2 10" xfId="4369" xr:uid="{00000000-0005-0000-0000-000011110000}"/>
    <cellStyle name="Notiz 3 2 11" xfId="4370" xr:uid="{00000000-0005-0000-0000-000012110000}"/>
    <cellStyle name="Notiz 3 2 2" xfId="4371" xr:uid="{00000000-0005-0000-0000-000013110000}"/>
    <cellStyle name="Notiz 3 2 3" xfId="4372" xr:uid="{00000000-0005-0000-0000-000014110000}"/>
    <cellStyle name="Notiz 3 2 4" xfId="4373" xr:uid="{00000000-0005-0000-0000-000015110000}"/>
    <cellStyle name="Notiz 3 2 5" xfId="4374" xr:uid="{00000000-0005-0000-0000-000016110000}"/>
    <cellStyle name="Notiz 3 2 6" xfId="4375" xr:uid="{00000000-0005-0000-0000-000017110000}"/>
    <cellStyle name="Notiz 3 2 7" xfId="4376" xr:uid="{00000000-0005-0000-0000-000018110000}"/>
    <cellStyle name="Notiz 3 2 8" xfId="4377" xr:uid="{00000000-0005-0000-0000-000019110000}"/>
    <cellStyle name="Notiz 3 2 9" xfId="4378" xr:uid="{00000000-0005-0000-0000-00001A110000}"/>
    <cellStyle name="Notiz 3 3" xfId="4379" xr:uid="{00000000-0005-0000-0000-00001B110000}"/>
    <cellStyle name="Notiz 3 4" xfId="4380" xr:uid="{00000000-0005-0000-0000-00001C110000}"/>
    <cellStyle name="Notiz 3 5" xfId="4381" xr:uid="{00000000-0005-0000-0000-00001D110000}"/>
    <cellStyle name="Notiz 3 6" xfId="4382" xr:uid="{00000000-0005-0000-0000-00001E110000}"/>
    <cellStyle name="Notiz 3 7" xfId="4383" xr:uid="{00000000-0005-0000-0000-00001F110000}"/>
    <cellStyle name="Notiz 3 8" xfId="4384" xr:uid="{00000000-0005-0000-0000-000020110000}"/>
    <cellStyle name="Notiz 3 9" xfId="4385" xr:uid="{00000000-0005-0000-0000-000021110000}"/>
    <cellStyle name="Notiz 4" xfId="4386" xr:uid="{00000000-0005-0000-0000-000022110000}"/>
    <cellStyle name="Notiz 4 10" xfId="4387" xr:uid="{00000000-0005-0000-0000-000023110000}"/>
    <cellStyle name="Notiz 4 11" xfId="4388" xr:uid="{00000000-0005-0000-0000-000024110000}"/>
    <cellStyle name="Notiz 4 12" xfId="4389" xr:uid="{00000000-0005-0000-0000-000025110000}"/>
    <cellStyle name="Notiz 4 2" xfId="4390" xr:uid="{00000000-0005-0000-0000-000026110000}"/>
    <cellStyle name="Notiz 4 2 10" xfId="4391" xr:uid="{00000000-0005-0000-0000-000027110000}"/>
    <cellStyle name="Notiz 4 2 11" xfId="4392" xr:uid="{00000000-0005-0000-0000-000028110000}"/>
    <cellStyle name="Notiz 4 2 2" xfId="4393" xr:uid="{00000000-0005-0000-0000-000029110000}"/>
    <cellStyle name="Notiz 4 2 3" xfId="4394" xr:uid="{00000000-0005-0000-0000-00002A110000}"/>
    <cellStyle name="Notiz 4 2 4" xfId="4395" xr:uid="{00000000-0005-0000-0000-00002B110000}"/>
    <cellStyle name="Notiz 4 2 5" xfId="4396" xr:uid="{00000000-0005-0000-0000-00002C110000}"/>
    <cellStyle name="Notiz 4 2 6" xfId="4397" xr:uid="{00000000-0005-0000-0000-00002D110000}"/>
    <cellStyle name="Notiz 4 2 7" xfId="4398" xr:uid="{00000000-0005-0000-0000-00002E110000}"/>
    <cellStyle name="Notiz 4 2 8" xfId="4399" xr:uid="{00000000-0005-0000-0000-00002F110000}"/>
    <cellStyle name="Notiz 4 2 9" xfId="4400" xr:uid="{00000000-0005-0000-0000-000030110000}"/>
    <cellStyle name="Notiz 4 3" xfId="4401" xr:uid="{00000000-0005-0000-0000-000031110000}"/>
    <cellStyle name="Notiz 4 4" xfId="4402" xr:uid="{00000000-0005-0000-0000-000032110000}"/>
    <cellStyle name="Notiz 4 5" xfId="4403" xr:uid="{00000000-0005-0000-0000-000033110000}"/>
    <cellStyle name="Notiz 4 6" xfId="4404" xr:uid="{00000000-0005-0000-0000-000034110000}"/>
    <cellStyle name="Notiz 4 7" xfId="4405" xr:uid="{00000000-0005-0000-0000-000035110000}"/>
    <cellStyle name="Notiz 4 8" xfId="4406" xr:uid="{00000000-0005-0000-0000-000036110000}"/>
    <cellStyle name="Notiz 4 9" xfId="4407" xr:uid="{00000000-0005-0000-0000-000037110000}"/>
    <cellStyle name="Notiz 5" xfId="4408" xr:uid="{00000000-0005-0000-0000-000038110000}"/>
    <cellStyle name="Notiz 5 10" xfId="4409" xr:uid="{00000000-0005-0000-0000-000039110000}"/>
    <cellStyle name="Notiz 5 11" xfId="4410" xr:uid="{00000000-0005-0000-0000-00003A110000}"/>
    <cellStyle name="Notiz 5 2" xfId="4411" xr:uid="{00000000-0005-0000-0000-00003B110000}"/>
    <cellStyle name="Notiz 5 3" xfId="4412" xr:uid="{00000000-0005-0000-0000-00003C110000}"/>
    <cellStyle name="Notiz 5 4" xfId="4413" xr:uid="{00000000-0005-0000-0000-00003D110000}"/>
    <cellStyle name="Notiz 5 5" xfId="4414" xr:uid="{00000000-0005-0000-0000-00003E110000}"/>
    <cellStyle name="Notiz 5 6" xfId="4415" xr:uid="{00000000-0005-0000-0000-00003F110000}"/>
    <cellStyle name="Notiz 5 7" xfId="4416" xr:uid="{00000000-0005-0000-0000-000040110000}"/>
    <cellStyle name="Notiz 5 8" xfId="4417" xr:uid="{00000000-0005-0000-0000-000041110000}"/>
    <cellStyle name="Notiz 5 9" xfId="4418" xr:uid="{00000000-0005-0000-0000-000042110000}"/>
    <cellStyle name="Notiz 6" xfId="4419" xr:uid="{00000000-0005-0000-0000-000043110000}"/>
    <cellStyle name="Notiz 7" xfId="4420" xr:uid="{00000000-0005-0000-0000-000044110000}"/>
    <cellStyle name="Notiz 8" xfId="4421" xr:uid="{00000000-0005-0000-0000-000045110000}"/>
    <cellStyle name="Notiz 9" xfId="4422" xr:uid="{00000000-0005-0000-0000-000046110000}"/>
    <cellStyle name="Output 2" xfId="4423" xr:uid="{00000000-0005-0000-0000-000047110000}"/>
    <cellStyle name="Output 2 10" xfId="4424" xr:uid="{00000000-0005-0000-0000-000048110000}"/>
    <cellStyle name="Output 2 11" xfId="4425" xr:uid="{00000000-0005-0000-0000-000049110000}"/>
    <cellStyle name="Output 2 12" xfId="4426" xr:uid="{00000000-0005-0000-0000-00004A110000}"/>
    <cellStyle name="Output 2 2" xfId="4427" xr:uid="{00000000-0005-0000-0000-00004B110000}"/>
    <cellStyle name="Output 2 2 10" xfId="4428" xr:uid="{00000000-0005-0000-0000-00004C110000}"/>
    <cellStyle name="Output 2 2 11" xfId="4429" xr:uid="{00000000-0005-0000-0000-00004D110000}"/>
    <cellStyle name="Output 2 2 12" xfId="4430" xr:uid="{00000000-0005-0000-0000-00004E110000}"/>
    <cellStyle name="Output 2 2 2" xfId="4431" xr:uid="{00000000-0005-0000-0000-00004F110000}"/>
    <cellStyle name="Output 2 2 2 10" xfId="4432" xr:uid="{00000000-0005-0000-0000-000050110000}"/>
    <cellStyle name="Output 2 2 2 11" xfId="4433" xr:uid="{00000000-0005-0000-0000-000051110000}"/>
    <cellStyle name="Output 2 2 2 2" xfId="4434" xr:uid="{00000000-0005-0000-0000-000052110000}"/>
    <cellStyle name="Output 2 2 2 3" xfId="4435" xr:uid="{00000000-0005-0000-0000-000053110000}"/>
    <cellStyle name="Output 2 2 2 4" xfId="4436" xr:uid="{00000000-0005-0000-0000-000054110000}"/>
    <cellStyle name="Output 2 2 2 5" xfId="4437" xr:uid="{00000000-0005-0000-0000-000055110000}"/>
    <cellStyle name="Output 2 2 2 6" xfId="4438" xr:uid="{00000000-0005-0000-0000-000056110000}"/>
    <cellStyle name="Output 2 2 2 7" xfId="4439" xr:uid="{00000000-0005-0000-0000-000057110000}"/>
    <cellStyle name="Output 2 2 2 8" xfId="4440" xr:uid="{00000000-0005-0000-0000-000058110000}"/>
    <cellStyle name="Output 2 2 2 9" xfId="4441" xr:uid="{00000000-0005-0000-0000-000059110000}"/>
    <cellStyle name="Output 2 2 3" xfId="4442" xr:uid="{00000000-0005-0000-0000-00005A110000}"/>
    <cellStyle name="Output 2 2 4" xfId="4443" xr:uid="{00000000-0005-0000-0000-00005B110000}"/>
    <cellStyle name="Output 2 2 5" xfId="4444" xr:uid="{00000000-0005-0000-0000-00005C110000}"/>
    <cellStyle name="Output 2 2 6" xfId="4445" xr:uid="{00000000-0005-0000-0000-00005D110000}"/>
    <cellStyle name="Output 2 2 7" xfId="4446" xr:uid="{00000000-0005-0000-0000-00005E110000}"/>
    <cellStyle name="Output 2 2 8" xfId="4447" xr:uid="{00000000-0005-0000-0000-00005F110000}"/>
    <cellStyle name="Output 2 2 9" xfId="4448" xr:uid="{00000000-0005-0000-0000-000060110000}"/>
    <cellStyle name="Output 2 3" xfId="4449" xr:uid="{00000000-0005-0000-0000-000061110000}"/>
    <cellStyle name="Output 2 3 10" xfId="4450" xr:uid="{00000000-0005-0000-0000-000062110000}"/>
    <cellStyle name="Output 2 3 11" xfId="4451" xr:uid="{00000000-0005-0000-0000-000063110000}"/>
    <cellStyle name="Output 2 3 12" xfId="4452" xr:uid="{00000000-0005-0000-0000-000064110000}"/>
    <cellStyle name="Output 2 3 2" xfId="4453" xr:uid="{00000000-0005-0000-0000-000065110000}"/>
    <cellStyle name="Output 2 3 2 10" xfId="4454" xr:uid="{00000000-0005-0000-0000-000066110000}"/>
    <cellStyle name="Output 2 3 2 11" xfId="4455" xr:uid="{00000000-0005-0000-0000-000067110000}"/>
    <cellStyle name="Output 2 3 2 2" xfId="4456" xr:uid="{00000000-0005-0000-0000-000068110000}"/>
    <cellStyle name="Output 2 3 2 3" xfId="4457" xr:uid="{00000000-0005-0000-0000-000069110000}"/>
    <cellStyle name="Output 2 3 2 4" xfId="4458" xr:uid="{00000000-0005-0000-0000-00006A110000}"/>
    <cellStyle name="Output 2 3 2 5" xfId="4459" xr:uid="{00000000-0005-0000-0000-00006B110000}"/>
    <cellStyle name="Output 2 3 2 6" xfId="4460" xr:uid="{00000000-0005-0000-0000-00006C110000}"/>
    <cellStyle name="Output 2 3 2 7" xfId="4461" xr:uid="{00000000-0005-0000-0000-00006D110000}"/>
    <cellStyle name="Output 2 3 2 8" xfId="4462" xr:uid="{00000000-0005-0000-0000-00006E110000}"/>
    <cellStyle name="Output 2 3 2 9" xfId="4463" xr:uid="{00000000-0005-0000-0000-00006F110000}"/>
    <cellStyle name="Output 2 3 3" xfId="4464" xr:uid="{00000000-0005-0000-0000-000070110000}"/>
    <cellStyle name="Output 2 3 4" xfId="4465" xr:uid="{00000000-0005-0000-0000-000071110000}"/>
    <cellStyle name="Output 2 3 5" xfId="4466" xr:uid="{00000000-0005-0000-0000-000072110000}"/>
    <cellStyle name="Output 2 3 6" xfId="4467" xr:uid="{00000000-0005-0000-0000-000073110000}"/>
    <cellStyle name="Output 2 3 7" xfId="4468" xr:uid="{00000000-0005-0000-0000-000074110000}"/>
    <cellStyle name="Output 2 3 8" xfId="4469" xr:uid="{00000000-0005-0000-0000-000075110000}"/>
    <cellStyle name="Output 2 3 9" xfId="4470" xr:uid="{00000000-0005-0000-0000-000076110000}"/>
    <cellStyle name="Output 2 4" xfId="4471" xr:uid="{00000000-0005-0000-0000-000077110000}"/>
    <cellStyle name="Output 2 4 10" xfId="4472" xr:uid="{00000000-0005-0000-0000-000078110000}"/>
    <cellStyle name="Output 2 4 11" xfId="4473" xr:uid="{00000000-0005-0000-0000-000079110000}"/>
    <cellStyle name="Output 2 4 2" xfId="4474" xr:uid="{00000000-0005-0000-0000-00007A110000}"/>
    <cellStyle name="Output 2 4 3" xfId="4475" xr:uid="{00000000-0005-0000-0000-00007B110000}"/>
    <cellStyle name="Output 2 4 4" xfId="4476" xr:uid="{00000000-0005-0000-0000-00007C110000}"/>
    <cellStyle name="Output 2 4 5" xfId="4477" xr:uid="{00000000-0005-0000-0000-00007D110000}"/>
    <cellStyle name="Output 2 4 6" xfId="4478" xr:uid="{00000000-0005-0000-0000-00007E110000}"/>
    <cellStyle name="Output 2 4 7" xfId="4479" xr:uid="{00000000-0005-0000-0000-00007F110000}"/>
    <cellStyle name="Output 2 4 8" xfId="4480" xr:uid="{00000000-0005-0000-0000-000080110000}"/>
    <cellStyle name="Output 2 4 9" xfId="4481" xr:uid="{00000000-0005-0000-0000-000081110000}"/>
    <cellStyle name="Output 2 5" xfId="4482" xr:uid="{00000000-0005-0000-0000-000082110000}"/>
    <cellStyle name="Output 2 6" xfId="4483" xr:uid="{00000000-0005-0000-0000-000083110000}"/>
    <cellStyle name="Output 2 7" xfId="4484" xr:uid="{00000000-0005-0000-0000-000084110000}"/>
    <cellStyle name="Output 2 8" xfId="4485" xr:uid="{00000000-0005-0000-0000-000085110000}"/>
    <cellStyle name="Output 2 9" xfId="4486" xr:uid="{00000000-0005-0000-0000-000086110000}"/>
    <cellStyle name="Output 3" xfId="4487" xr:uid="{00000000-0005-0000-0000-000087110000}"/>
    <cellStyle name="Output 3 10" xfId="4488" xr:uid="{00000000-0005-0000-0000-000088110000}"/>
    <cellStyle name="Output 3 11" xfId="4489" xr:uid="{00000000-0005-0000-0000-000089110000}"/>
    <cellStyle name="Output 3 12" xfId="4490" xr:uid="{00000000-0005-0000-0000-00008A110000}"/>
    <cellStyle name="Output 3 2" xfId="4491" xr:uid="{00000000-0005-0000-0000-00008B110000}"/>
    <cellStyle name="Output 3 2 10" xfId="4492" xr:uid="{00000000-0005-0000-0000-00008C110000}"/>
    <cellStyle name="Output 3 2 11" xfId="4493" xr:uid="{00000000-0005-0000-0000-00008D110000}"/>
    <cellStyle name="Output 3 2 12" xfId="4494" xr:uid="{00000000-0005-0000-0000-00008E110000}"/>
    <cellStyle name="Output 3 2 2" xfId="4495" xr:uid="{00000000-0005-0000-0000-00008F110000}"/>
    <cellStyle name="Output 3 2 2 10" xfId="4496" xr:uid="{00000000-0005-0000-0000-000090110000}"/>
    <cellStyle name="Output 3 2 2 11" xfId="4497" xr:uid="{00000000-0005-0000-0000-000091110000}"/>
    <cellStyle name="Output 3 2 2 2" xfId="4498" xr:uid="{00000000-0005-0000-0000-000092110000}"/>
    <cellStyle name="Output 3 2 2 3" xfId="4499" xr:uid="{00000000-0005-0000-0000-000093110000}"/>
    <cellStyle name="Output 3 2 2 4" xfId="4500" xr:uid="{00000000-0005-0000-0000-000094110000}"/>
    <cellStyle name="Output 3 2 2 5" xfId="4501" xr:uid="{00000000-0005-0000-0000-000095110000}"/>
    <cellStyle name="Output 3 2 2 6" xfId="4502" xr:uid="{00000000-0005-0000-0000-000096110000}"/>
    <cellStyle name="Output 3 2 2 7" xfId="4503" xr:uid="{00000000-0005-0000-0000-000097110000}"/>
    <cellStyle name="Output 3 2 2 8" xfId="4504" xr:uid="{00000000-0005-0000-0000-000098110000}"/>
    <cellStyle name="Output 3 2 2 9" xfId="4505" xr:uid="{00000000-0005-0000-0000-000099110000}"/>
    <cellStyle name="Output 3 2 3" xfId="4506" xr:uid="{00000000-0005-0000-0000-00009A110000}"/>
    <cellStyle name="Output 3 2 4" xfId="4507" xr:uid="{00000000-0005-0000-0000-00009B110000}"/>
    <cellStyle name="Output 3 2 5" xfId="4508" xr:uid="{00000000-0005-0000-0000-00009C110000}"/>
    <cellStyle name="Output 3 2 6" xfId="4509" xr:uid="{00000000-0005-0000-0000-00009D110000}"/>
    <cellStyle name="Output 3 2 7" xfId="4510" xr:uid="{00000000-0005-0000-0000-00009E110000}"/>
    <cellStyle name="Output 3 2 8" xfId="4511" xr:uid="{00000000-0005-0000-0000-00009F110000}"/>
    <cellStyle name="Output 3 2 9" xfId="4512" xr:uid="{00000000-0005-0000-0000-0000A0110000}"/>
    <cellStyle name="Output 3 3" xfId="4513" xr:uid="{00000000-0005-0000-0000-0000A1110000}"/>
    <cellStyle name="Output 3 3 10" xfId="4514" xr:uid="{00000000-0005-0000-0000-0000A2110000}"/>
    <cellStyle name="Output 3 3 11" xfId="4515" xr:uid="{00000000-0005-0000-0000-0000A3110000}"/>
    <cellStyle name="Output 3 3 12" xfId="4516" xr:uid="{00000000-0005-0000-0000-0000A4110000}"/>
    <cellStyle name="Output 3 3 2" xfId="4517" xr:uid="{00000000-0005-0000-0000-0000A5110000}"/>
    <cellStyle name="Output 3 3 2 10" xfId="4518" xr:uid="{00000000-0005-0000-0000-0000A6110000}"/>
    <cellStyle name="Output 3 3 2 11" xfId="4519" xr:uid="{00000000-0005-0000-0000-0000A7110000}"/>
    <cellStyle name="Output 3 3 2 2" xfId="4520" xr:uid="{00000000-0005-0000-0000-0000A8110000}"/>
    <cellStyle name="Output 3 3 2 3" xfId="4521" xr:uid="{00000000-0005-0000-0000-0000A9110000}"/>
    <cellStyle name="Output 3 3 2 4" xfId="4522" xr:uid="{00000000-0005-0000-0000-0000AA110000}"/>
    <cellStyle name="Output 3 3 2 5" xfId="4523" xr:uid="{00000000-0005-0000-0000-0000AB110000}"/>
    <cellStyle name="Output 3 3 2 6" xfId="4524" xr:uid="{00000000-0005-0000-0000-0000AC110000}"/>
    <cellStyle name="Output 3 3 2 7" xfId="4525" xr:uid="{00000000-0005-0000-0000-0000AD110000}"/>
    <cellStyle name="Output 3 3 2 8" xfId="4526" xr:uid="{00000000-0005-0000-0000-0000AE110000}"/>
    <cellStyle name="Output 3 3 2 9" xfId="4527" xr:uid="{00000000-0005-0000-0000-0000AF110000}"/>
    <cellStyle name="Output 3 3 3" xfId="4528" xr:uid="{00000000-0005-0000-0000-0000B0110000}"/>
    <cellStyle name="Output 3 3 4" xfId="4529" xr:uid="{00000000-0005-0000-0000-0000B1110000}"/>
    <cellStyle name="Output 3 3 5" xfId="4530" xr:uid="{00000000-0005-0000-0000-0000B2110000}"/>
    <cellStyle name="Output 3 3 6" xfId="4531" xr:uid="{00000000-0005-0000-0000-0000B3110000}"/>
    <cellStyle name="Output 3 3 7" xfId="4532" xr:uid="{00000000-0005-0000-0000-0000B4110000}"/>
    <cellStyle name="Output 3 3 8" xfId="4533" xr:uid="{00000000-0005-0000-0000-0000B5110000}"/>
    <cellStyle name="Output 3 3 9" xfId="4534" xr:uid="{00000000-0005-0000-0000-0000B6110000}"/>
    <cellStyle name="Output 3 4" xfId="4535" xr:uid="{00000000-0005-0000-0000-0000B7110000}"/>
    <cellStyle name="Output 3 4 10" xfId="4536" xr:uid="{00000000-0005-0000-0000-0000B8110000}"/>
    <cellStyle name="Output 3 4 11" xfId="4537" xr:uid="{00000000-0005-0000-0000-0000B9110000}"/>
    <cellStyle name="Output 3 4 2" xfId="4538" xr:uid="{00000000-0005-0000-0000-0000BA110000}"/>
    <cellStyle name="Output 3 4 3" xfId="4539" xr:uid="{00000000-0005-0000-0000-0000BB110000}"/>
    <cellStyle name="Output 3 4 4" xfId="4540" xr:uid="{00000000-0005-0000-0000-0000BC110000}"/>
    <cellStyle name="Output 3 4 5" xfId="4541" xr:uid="{00000000-0005-0000-0000-0000BD110000}"/>
    <cellStyle name="Output 3 4 6" xfId="4542" xr:uid="{00000000-0005-0000-0000-0000BE110000}"/>
    <cellStyle name="Output 3 4 7" xfId="4543" xr:uid="{00000000-0005-0000-0000-0000BF110000}"/>
    <cellStyle name="Output 3 4 8" xfId="4544" xr:uid="{00000000-0005-0000-0000-0000C0110000}"/>
    <cellStyle name="Output 3 4 9" xfId="4545" xr:uid="{00000000-0005-0000-0000-0000C1110000}"/>
    <cellStyle name="Output 3 5" xfId="4546" xr:uid="{00000000-0005-0000-0000-0000C2110000}"/>
    <cellStyle name="Output 3 6" xfId="4547" xr:uid="{00000000-0005-0000-0000-0000C3110000}"/>
    <cellStyle name="Output 3 7" xfId="4548" xr:uid="{00000000-0005-0000-0000-0000C4110000}"/>
    <cellStyle name="Output 3 8" xfId="4549" xr:uid="{00000000-0005-0000-0000-0000C5110000}"/>
    <cellStyle name="Output 3 9" xfId="4550" xr:uid="{00000000-0005-0000-0000-0000C6110000}"/>
    <cellStyle name="Pattern" xfId="4551" xr:uid="{00000000-0005-0000-0000-0000C7110000}"/>
    <cellStyle name="Pattern 2" xfId="4552" xr:uid="{00000000-0005-0000-0000-0000C8110000}"/>
    <cellStyle name="Pattern 2 2" xfId="4553" xr:uid="{00000000-0005-0000-0000-0000C9110000}"/>
    <cellStyle name="Pattern 2 2 10" xfId="4554" xr:uid="{00000000-0005-0000-0000-0000CA110000}"/>
    <cellStyle name="Pattern 2 2 11" xfId="4555" xr:uid="{00000000-0005-0000-0000-0000CB110000}"/>
    <cellStyle name="Pattern 2 2 12" xfId="4556" xr:uid="{00000000-0005-0000-0000-0000CC110000}"/>
    <cellStyle name="Pattern 2 2 2" xfId="4557" xr:uid="{00000000-0005-0000-0000-0000CD110000}"/>
    <cellStyle name="Pattern 2 2 2 10" xfId="4558" xr:uid="{00000000-0005-0000-0000-0000CE110000}"/>
    <cellStyle name="Pattern 2 2 2 11" xfId="4559" xr:uid="{00000000-0005-0000-0000-0000CF110000}"/>
    <cellStyle name="Pattern 2 2 2 2" xfId="4560" xr:uid="{00000000-0005-0000-0000-0000D0110000}"/>
    <cellStyle name="Pattern 2 2 2 3" xfId="4561" xr:uid="{00000000-0005-0000-0000-0000D1110000}"/>
    <cellStyle name="Pattern 2 2 2 4" xfId="4562" xr:uid="{00000000-0005-0000-0000-0000D2110000}"/>
    <cellStyle name="Pattern 2 2 2 5" xfId="4563" xr:uid="{00000000-0005-0000-0000-0000D3110000}"/>
    <cellStyle name="Pattern 2 2 2 6" xfId="4564" xr:uid="{00000000-0005-0000-0000-0000D4110000}"/>
    <cellStyle name="Pattern 2 2 2 7" xfId="4565" xr:uid="{00000000-0005-0000-0000-0000D5110000}"/>
    <cellStyle name="Pattern 2 2 2 8" xfId="4566" xr:uid="{00000000-0005-0000-0000-0000D6110000}"/>
    <cellStyle name="Pattern 2 2 2 9" xfId="4567" xr:uid="{00000000-0005-0000-0000-0000D7110000}"/>
    <cellStyle name="Pattern 2 2 3" xfId="4568" xr:uid="{00000000-0005-0000-0000-0000D8110000}"/>
    <cellStyle name="Pattern 2 2 4" xfId="4569" xr:uid="{00000000-0005-0000-0000-0000D9110000}"/>
    <cellStyle name="Pattern 2 2 5" xfId="4570" xr:uid="{00000000-0005-0000-0000-0000DA110000}"/>
    <cellStyle name="Pattern 2 2 6" xfId="4571" xr:uid="{00000000-0005-0000-0000-0000DB110000}"/>
    <cellStyle name="Pattern 2 2 7" xfId="4572" xr:uid="{00000000-0005-0000-0000-0000DC110000}"/>
    <cellStyle name="Pattern 2 2 8" xfId="4573" xr:uid="{00000000-0005-0000-0000-0000DD110000}"/>
    <cellStyle name="Pattern 2 2 9" xfId="4574" xr:uid="{00000000-0005-0000-0000-0000DE110000}"/>
    <cellStyle name="Pattern 2 3" xfId="4575" xr:uid="{00000000-0005-0000-0000-0000DF110000}"/>
    <cellStyle name="Pattern 2 3 10" xfId="4576" xr:uid="{00000000-0005-0000-0000-0000E0110000}"/>
    <cellStyle name="Pattern 2 3 11" xfId="4577" xr:uid="{00000000-0005-0000-0000-0000E1110000}"/>
    <cellStyle name="Pattern 2 3 2" xfId="4578" xr:uid="{00000000-0005-0000-0000-0000E2110000}"/>
    <cellStyle name="Pattern 2 3 3" xfId="4579" xr:uid="{00000000-0005-0000-0000-0000E3110000}"/>
    <cellStyle name="Pattern 2 3 4" xfId="4580" xr:uid="{00000000-0005-0000-0000-0000E4110000}"/>
    <cellStyle name="Pattern 2 3 5" xfId="4581" xr:uid="{00000000-0005-0000-0000-0000E5110000}"/>
    <cellStyle name="Pattern 2 3 6" xfId="4582" xr:uid="{00000000-0005-0000-0000-0000E6110000}"/>
    <cellStyle name="Pattern 2 3 7" xfId="4583" xr:uid="{00000000-0005-0000-0000-0000E7110000}"/>
    <cellStyle name="Pattern 2 3 8" xfId="4584" xr:uid="{00000000-0005-0000-0000-0000E8110000}"/>
    <cellStyle name="Pattern 2 3 9" xfId="4585" xr:uid="{00000000-0005-0000-0000-0000E9110000}"/>
    <cellStyle name="Pattern 3" xfId="4586" xr:uid="{00000000-0005-0000-0000-0000EA110000}"/>
    <cellStyle name="Pattern 3 10" xfId="4587" xr:uid="{00000000-0005-0000-0000-0000EB110000}"/>
    <cellStyle name="Pattern 3 11" xfId="4588" xr:uid="{00000000-0005-0000-0000-0000EC110000}"/>
    <cellStyle name="Pattern 3 12" xfId="4589" xr:uid="{00000000-0005-0000-0000-0000ED110000}"/>
    <cellStyle name="Pattern 3 13" xfId="4590" xr:uid="{00000000-0005-0000-0000-0000EE110000}"/>
    <cellStyle name="Pattern 3 14" xfId="4591" xr:uid="{00000000-0005-0000-0000-0000EF110000}"/>
    <cellStyle name="Pattern 3 2" xfId="4592" xr:uid="{00000000-0005-0000-0000-0000F0110000}"/>
    <cellStyle name="Pattern 3 2 10" xfId="4593" xr:uid="{00000000-0005-0000-0000-0000F1110000}"/>
    <cellStyle name="Pattern 3 2 11" xfId="4594" xr:uid="{00000000-0005-0000-0000-0000F2110000}"/>
    <cellStyle name="Pattern 3 2 12" xfId="4595" xr:uid="{00000000-0005-0000-0000-0000F3110000}"/>
    <cellStyle name="Pattern 3 2 2" xfId="4596" xr:uid="{00000000-0005-0000-0000-0000F4110000}"/>
    <cellStyle name="Pattern 3 2 2 10" xfId="4597" xr:uid="{00000000-0005-0000-0000-0000F5110000}"/>
    <cellStyle name="Pattern 3 2 2 11" xfId="4598" xr:uid="{00000000-0005-0000-0000-0000F6110000}"/>
    <cellStyle name="Pattern 3 2 2 2" xfId="4599" xr:uid="{00000000-0005-0000-0000-0000F7110000}"/>
    <cellStyle name="Pattern 3 2 2 3" xfId="4600" xr:uid="{00000000-0005-0000-0000-0000F8110000}"/>
    <cellStyle name="Pattern 3 2 2 4" xfId="4601" xr:uid="{00000000-0005-0000-0000-0000F9110000}"/>
    <cellStyle name="Pattern 3 2 2 5" xfId="4602" xr:uid="{00000000-0005-0000-0000-0000FA110000}"/>
    <cellStyle name="Pattern 3 2 2 6" xfId="4603" xr:uid="{00000000-0005-0000-0000-0000FB110000}"/>
    <cellStyle name="Pattern 3 2 2 7" xfId="4604" xr:uid="{00000000-0005-0000-0000-0000FC110000}"/>
    <cellStyle name="Pattern 3 2 2 8" xfId="4605" xr:uid="{00000000-0005-0000-0000-0000FD110000}"/>
    <cellStyle name="Pattern 3 2 2 9" xfId="4606" xr:uid="{00000000-0005-0000-0000-0000FE110000}"/>
    <cellStyle name="Pattern 3 2 3" xfId="4607" xr:uid="{00000000-0005-0000-0000-0000FF110000}"/>
    <cellStyle name="Pattern 3 2 4" xfId="4608" xr:uid="{00000000-0005-0000-0000-000000120000}"/>
    <cellStyle name="Pattern 3 2 5" xfId="4609" xr:uid="{00000000-0005-0000-0000-000001120000}"/>
    <cellStyle name="Pattern 3 2 6" xfId="4610" xr:uid="{00000000-0005-0000-0000-000002120000}"/>
    <cellStyle name="Pattern 3 2 7" xfId="4611" xr:uid="{00000000-0005-0000-0000-000003120000}"/>
    <cellStyle name="Pattern 3 2 8" xfId="4612" xr:uid="{00000000-0005-0000-0000-000004120000}"/>
    <cellStyle name="Pattern 3 2 9" xfId="4613" xr:uid="{00000000-0005-0000-0000-000005120000}"/>
    <cellStyle name="Pattern 3 3" xfId="4614" xr:uid="{00000000-0005-0000-0000-000006120000}"/>
    <cellStyle name="Pattern 3 3 10" xfId="4615" xr:uid="{00000000-0005-0000-0000-000007120000}"/>
    <cellStyle name="Pattern 3 3 11" xfId="4616" xr:uid="{00000000-0005-0000-0000-000008120000}"/>
    <cellStyle name="Pattern 3 3 12" xfId="4617" xr:uid="{00000000-0005-0000-0000-000009120000}"/>
    <cellStyle name="Pattern 3 3 2" xfId="4618" xr:uid="{00000000-0005-0000-0000-00000A120000}"/>
    <cellStyle name="Pattern 3 3 2 10" xfId="4619" xr:uid="{00000000-0005-0000-0000-00000B120000}"/>
    <cellStyle name="Pattern 3 3 2 11" xfId="4620" xr:uid="{00000000-0005-0000-0000-00000C120000}"/>
    <cellStyle name="Pattern 3 3 2 2" xfId="4621" xr:uid="{00000000-0005-0000-0000-00000D120000}"/>
    <cellStyle name="Pattern 3 3 2 3" xfId="4622" xr:uid="{00000000-0005-0000-0000-00000E120000}"/>
    <cellStyle name="Pattern 3 3 2 4" xfId="4623" xr:uid="{00000000-0005-0000-0000-00000F120000}"/>
    <cellStyle name="Pattern 3 3 2 5" xfId="4624" xr:uid="{00000000-0005-0000-0000-000010120000}"/>
    <cellStyle name="Pattern 3 3 2 6" xfId="4625" xr:uid="{00000000-0005-0000-0000-000011120000}"/>
    <cellStyle name="Pattern 3 3 2 7" xfId="4626" xr:uid="{00000000-0005-0000-0000-000012120000}"/>
    <cellStyle name="Pattern 3 3 2 8" xfId="4627" xr:uid="{00000000-0005-0000-0000-000013120000}"/>
    <cellStyle name="Pattern 3 3 2 9" xfId="4628" xr:uid="{00000000-0005-0000-0000-000014120000}"/>
    <cellStyle name="Pattern 3 3 3" xfId="4629" xr:uid="{00000000-0005-0000-0000-000015120000}"/>
    <cellStyle name="Pattern 3 3 4" xfId="4630" xr:uid="{00000000-0005-0000-0000-000016120000}"/>
    <cellStyle name="Pattern 3 3 5" xfId="4631" xr:uid="{00000000-0005-0000-0000-000017120000}"/>
    <cellStyle name="Pattern 3 3 6" xfId="4632" xr:uid="{00000000-0005-0000-0000-000018120000}"/>
    <cellStyle name="Pattern 3 3 7" xfId="4633" xr:uid="{00000000-0005-0000-0000-000019120000}"/>
    <cellStyle name="Pattern 3 3 8" xfId="4634" xr:uid="{00000000-0005-0000-0000-00001A120000}"/>
    <cellStyle name="Pattern 3 3 9" xfId="4635" xr:uid="{00000000-0005-0000-0000-00001B120000}"/>
    <cellStyle name="Pattern 3 4" xfId="4636" xr:uid="{00000000-0005-0000-0000-00001C120000}"/>
    <cellStyle name="Pattern 3 4 10" xfId="4637" xr:uid="{00000000-0005-0000-0000-00001D120000}"/>
    <cellStyle name="Pattern 3 4 11" xfId="4638" xr:uid="{00000000-0005-0000-0000-00001E120000}"/>
    <cellStyle name="Pattern 3 4 12" xfId="4639" xr:uid="{00000000-0005-0000-0000-00001F120000}"/>
    <cellStyle name="Pattern 3 4 2" xfId="4640" xr:uid="{00000000-0005-0000-0000-000020120000}"/>
    <cellStyle name="Pattern 3 4 2 10" xfId="4641" xr:uid="{00000000-0005-0000-0000-000021120000}"/>
    <cellStyle name="Pattern 3 4 2 11" xfId="4642" xr:uid="{00000000-0005-0000-0000-000022120000}"/>
    <cellStyle name="Pattern 3 4 2 2" xfId="4643" xr:uid="{00000000-0005-0000-0000-000023120000}"/>
    <cellStyle name="Pattern 3 4 2 3" xfId="4644" xr:uid="{00000000-0005-0000-0000-000024120000}"/>
    <cellStyle name="Pattern 3 4 2 4" xfId="4645" xr:uid="{00000000-0005-0000-0000-000025120000}"/>
    <cellStyle name="Pattern 3 4 2 5" xfId="4646" xr:uid="{00000000-0005-0000-0000-000026120000}"/>
    <cellStyle name="Pattern 3 4 2 6" xfId="4647" xr:uid="{00000000-0005-0000-0000-000027120000}"/>
    <cellStyle name="Pattern 3 4 2 7" xfId="4648" xr:uid="{00000000-0005-0000-0000-000028120000}"/>
    <cellStyle name="Pattern 3 4 2 8" xfId="4649" xr:uid="{00000000-0005-0000-0000-000029120000}"/>
    <cellStyle name="Pattern 3 4 2 9" xfId="4650" xr:uid="{00000000-0005-0000-0000-00002A120000}"/>
    <cellStyle name="Pattern 3 4 3" xfId="4651" xr:uid="{00000000-0005-0000-0000-00002B120000}"/>
    <cellStyle name="Pattern 3 4 4" xfId="4652" xr:uid="{00000000-0005-0000-0000-00002C120000}"/>
    <cellStyle name="Pattern 3 4 5" xfId="4653" xr:uid="{00000000-0005-0000-0000-00002D120000}"/>
    <cellStyle name="Pattern 3 4 6" xfId="4654" xr:uid="{00000000-0005-0000-0000-00002E120000}"/>
    <cellStyle name="Pattern 3 4 7" xfId="4655" xr:uid="{00000000-0005-0000-0000-00002F120000}"/>
    <cellStyle name="Pattern 3 4 8" xfId="4656" xr:uid="{00000000-0005-0000-0000-000030120000}"/>
    <cellStyle name="Pattern 3 4 9" xfId="4657" xr:uid="{00000000-0005-0000-0000-000031120000}"/>
    <cellStyle name="Pattern 3 5" xfId="4658" xr:uid="{00000000-0005-0000-0000-000032120000}"/>
    <cellStyle name="Pattern 3 6" xfId="4659" xr:uid="{00000000-0005-0000-0000-000033120000}"/>
    <cellStyle name="Pattern 3 7" xfId="4660" xr:uid="{00000000-0005-0000-0000-000034120000}"/>
    <cellStyle name="Pattern 3 8" xfId="4661" xr:uid="{00000000-0005-0000-0000-000035120000}"/>
    <cellStyle name="Pattern 3 9" xfId="4662" xr:uid="{00000000-0005-0000-0000-000036120000}"/>
    <cellStyle name="Percent 2" xfId="4663" xr:uid="{00000000-0005-0000-0000-000037120000}"/>
    <cellStyle name="Percent 2 2" xfId="4664" xr:uid="{00000000-0005-0000-0000-000038120000}"/>
    <cellStyle name="Percent 2 2 2" xfId="4665" xr:uid="{00000000-0005-0000-0000-000039120000}"/>
    <cellStyle name="Percent 2 3" xfId="4666" xr:uid="{00000000-0005-0000-0000-00003A120000}"/>
    <cellStyle name="RowLevel_1 2" xfId="4667" xr:uid="{00000000-0005-0000-0000-00003B120000}"/>
    <cellStyle name="Schlecht" xfId="4668" xr:uid="{00000000-0005-0000-0000-00003C120000}"/>
    <cellStyle name="Shade" xfId="4669" xr:uid="{00000000-0005-0000-0000-00003D120000}"/>
    <cellStyle name="Shade 2" xfId="4670" xr:uid="{00000000-0005-0000-0000-00003E120000}"/>
    <cellStyle name="Shade 2 2" xfId="4671" xr:uid="{00000000-0005-0000-0000-00003F120000}"/>
    <cellStyle name="Shade 2 2 2" xfId="4672" xr:uid="{00000000-0005-0000-0000-000040120000}"/>
    <cellStyle name="Shade 2 2 2 10" xfId="4673" xr:uid="{00000000-0005-0000-0000-000041120000}"/>
    <cellStyle name="Shade 2 2 2 11" xfId="4674" xr:uid="{00000000-0005-0000-0000-000042120000}"/>
    <cellStyle name="Shade 2 2 2 12" xfId="4675" xr:uid="{00000000-0005-0000-0000-000043120000}"/>
    <cellStyle name="Shade 2 2 2 2" xfId="4676" xr:uid="{00000000-0005-0000-0000-000044120000}"/>
    <cellStyle name="Shade 2 2 2 2 10" xfId="4677" xr:uid="{00000000-0005-0000-0000-000045120000}"/>
    <cellStyle name="Shade 2 2 2 2 11" xfId="4678" xr:uid="{00000000-0005-0000-0000-000046120000}"/>
    <cellStyle name="Shade 2 2 2 2 2" xfId="4679" xr:uid="{00000000-0005-0000-0000-000047120000}"/>
    <cellStyle name="Shade 2 2 2 2 3" xfId="4680" xr:uid="{00000000-0005-0000-0000-000048120000}"/>
    <cellStyle name="Shade 2 2 2 2 4" xfId="4681" xr:uid="{00000000-0005-0000-0000-000049120000}"/>
    <cellStyle name="Shade 2 2 2 2 5" xfId="4682" xr:uid="{00000000-0005-0000-0000-00004A120000}"/>
    <cellStyle name="Shade 2 2 2 2 6" xfId="4683" xr:uid="{00000000-0005-0000-0000-00004B120000}"/>
    <cellStyle name="Shade 2 2 2 2 7" xfId="4684" xr:uid="{00000000-0005-0000-0000-00004C120000}"/>
    <cellStyle name="Shade 2 2 2 2 8" xfId="4685" xr:uid="{00000000-0005-0000-0000-00004D120000}"/>
    <cellStyle name="Shade 2 2 2 2 9" xfId="4686" xr:uid="{00000000-0005-0000-0000-00004E120000}"/>
    <cellStyle name="Shade 2 2 2 3" xfId="4687" xr:uid="{00000000-0005-0000-0000-00004F120000}"/>
    <cellStyle name="Shade 2 2 2 4" xfId="4688" xr:uid="{00000000-0005-0000-0000-000050120000}"/>
    <cellStyle name="Shade 2 2 2 5" xfId="4689" xr:uid="{00000000-0005-0000-0000-000051120000}"/>
    <cellStyle name="Shade 2 2 2 6" xfId="4690" xr:uid="{00000000-0005-0000-0000-000052120000}"/>
    <cellStyle name="Shade 2 2 2 7" xfId="4691" xr:uid="{00000000-0005-0000-0000-000053120000}"/>
    <cellStyle name="Shade 2 2 2 8" xfId="4692" xr:uid="{00000000-0005-0000-0000-000054120000}"/>
    <cellStyle name="Shade 2 2 2 9" xfId="4693" xr:uid="{00000000-0005-0000-0000-000055120000}"/>
    <cellStyle name="Shade 2 2 3" xfId="4694" xr:uid="{00000000-0005-0000-0000-000056120000}"/>
    <cellStyle name="Shade 2 2 3 10" xfId="4695" xr:uid="{00000000-0005-0000-0000-000057120000}"/>
    <cellStyle name="Shade 2 2 3 11" xfId="4696" xr:uid="{00000000-0005-0000-0000-000058120000}"/>
    <cellStyle name="Shade 2 2 3 2" xfId="4697" xr:uid="{00000000-0005-0000-0000-000059120000}"/>
    <cellStyle name="Shade 2 2 3 3" xfId="4698" xr:uid="{00000000-0005-0000-0000-00005A120000}"/>
    <cellStyle name="Shade 2 2 3 4" xfId="4699" xr:uid="{00000000-0005-0000-0000-00005B120000}"/>
    <cellStyle name="Shade 2 2 3 5" xfId="4700" xr:uid="{00000000-0005-0000-0000-00005C120000}"/>
    <cellStyle name="Shade 2 2 3 6" xfId="4701" xr:uid="{00000000-0005-0000-0000-00005D120000}"/>
    <cellStyle name="Shade 2 2 3 7" xfId="4702" xr:uid="{00000000-0005-0000-0000-00005E120000}"/>
    <cellStyle name="Shade 2 2 3 8" xfId="4703" xr:uid="{00000000-0005-0000-0000-00005F120000}"/>
    <cellStyle name="Shade 2 2 3 9" xfId="4704" xr:uid="{00000000-0005-0000-0000-000060120000}"/>
    <cellStyle name="Shade 2 3" xfId="4705" xr:uid="{00000000-0005-0000-0000-000061120000}"/>
    <cellStyle name="Shade 2 3 10" xfId="4706" xr:uid="{00000000-0005-0000-0000-000062120000}"/>
    <cellStyle name="Shade 2 3 11" xfId="4707" xr:uid="{00000000-0005-0000-0000-000063120000}"/>
    <cellStyle name="Shade 2 3 12" xfId="4708" xr:uid="{00000000-0005-0000-0000-000064120000}"/>
    <cellStyle name="Shade 2 3 13" xfId="4709" xr:uid="{00000000-0005-0000-0000-000065120000}"/>
    <cellStyle name="Shade 2 3 14" xfId="4710" xr:uid="{00000000-0005-0000-0000-000066120000}"/>
    <cellStyle name="Shade 2 3 2" xfId="4711" xr:uid="{00000000-0005-0000-0000-000067120000}"/>
    <cellStyle name="Shade 2 3 2 10" xfId="4712" xr:uid="{00000000-0005-0000-0000-000068120000}"/>
    <cellStyle name="Shade 2 3 2 11" xfId="4713" xr:uid="{00000000-0005-0000-0000-000069120000}"/>
    <cellStyle name="Shade 2 3 2 12" xfId="4714" xr:uid="{00000000-0005-0000-0000-00006A120000}"/>
    <cellStyle name="Shade 2 3 2 2" xfId="4715" xr:uid="{00000000-0005-0000-0000-00006B120000}"/>
    <cellStyle name="Shade 2 3 2 2 10" xfId="4716" xr:uid="{00000000-0005-0000-0000-00006C120000}"/>
    <cellStyle name="Shade 2 3 2 2 11" xfId="4717" xr:uid="{00000000-0005-0000-0000-00006D120000}"/>
    <cellStyle name="Shade 2 3 2 2 2" xfId="4718" xr:uid="{00000000-0005-0000-0000-00006E120000}"/>
    <cellStyle name="Shade 2 3 2 2 3" xfId="4719" xr:uid="{00000000-0005-0000-0000-00006F120000}"/>
    <cellStyle name="Shade 2 3 2 2 4" xfId="4720" xr:uid="{00000000-0005-0000-0000-000070120000}"/>
    <cellStyle name="Shade 2 3 2 2 5" xfId="4721" xr:uid="{00000000-0005-0000-0000-000071120000}"/>
    <cellStyle name="Shade 2 3 2 2 6" xfId="4722" xr:uid="{00000000-0005-0000-0000-000072120000}"/>
    <cellStyle name="Shade 2 3 2 2 7" xfId="4723" xr:uid="{00000000-0005-0000-0000-000073120000}"/>
    <cellStyle name="Shade 2 3 2 2 8" xfId="4724" xr:uid="{00000000-0005-0000-0000-000074120000}"/>
    <cellStyle name="Shade 2 3 2 2 9" xfId="4725" xr:uid="{00000000-0005-0000-0000-000075120000}"/>
    <cellStyle name="Shade 2 3 2 3" xfId="4726" xr:uid="{00000000-0005-0000-0000-000076120000}"/>
    <cellStyle name="Shade 2 3 2 4" xfId="4727" xr:uid="{00000000-0005-0000-0000-000077120000}"/>
    <cellStyle name="Shade 2 3 2 5" xfId="4728" xr:uid="{00000000-0005-0000-0000-000078120000}"/>
    <cellStyle name="Shade 2 3 2 6" xfId="4729" xr:uid="{00000000-0005-0000-0000-000079120000}"/>
    <cellStyle name="Shade 2 3 2 7" xfId="4730" xr:uid="{00000000-0005-0000-0000-00007A120000}"/>
    <cellStyle name="Shade 2 3 2 8" xfId="4731" xr:uid="{00000000-0005-0000-0000-00007B120000}"/>
    <cellStyle name="Shade 2 3 2 9" xfId="4732" xr:uid="{00000000-0005-0000-0000-00007C120000}"/>
    <cellStyle name="Shade 2 3 3" xfId="4733" xr:uid="{00000000-0005-0000-0000-00007D120000}"/>
    <cellStyle name="Shade 2 3 3 10" xfId="4734" xr:uid="{00000000-0005-0000-0000-00007E120000}"/>
    <cellStyle name="Shade 2 3 3 11" xfId="4735" xr:uid="{00000000-0005-0000-0000-00007F120000}"/>
    <cellStyle name="Shade 2 3 3 12" xfId="4736" xr:uid="{00000000-0005-0000-0000-000080120000}"/>
    <cellStyle name="Shade 2 3 3 2" xfId="4737" xr:uid="{00000000-0005-0000-0000-000081120000}"/>
    <cellStyle name="Shade 2 3 3 2 10" xfId="4738" xr:uid="{00000000-0005-0000-0000-000082120000}"/>
    <cellStyle name="Shade 2 3 3 2 11" xfId="4739" xr:uid="{00000000-0005-0000-0000-000083120000}"/>
    <cellStyle name="Shade 2 3 3 2 2" xfId="4740" xr:uid="{00000000-0005-0000-0000-000084120000}"/>
    <cellStyle name="Shade 2 3 3 2 3" xfId="4741" xr:uid="{00000000-0005-0000-0000-000085120000}"/>
    <cellStyle name="Shade 2 3 3 2 4" xfId="4742" xr:uid="{00000000-0005-0000-0000-000086120000}"/>
    <cellStyle name="Shade 2 3 3 2 5" xfId="4743" xr:uid="{00000000-0005-0000-0000-000087120000}"/>
    <cellStyle name="Shade 2 3 3 2 6" xfId="4744" xr:uid="{00000000-0005-0000-0000-000088120000}"/>
    <cellStyle name="Shade 2 3 3 2 7" xfId="4745" xr:uid="{00000000-0005-0000-0000-000089120000}"/>
    <cellStyle name="Shade 2 3 3 2 8" xfId="4746" xr:uid="{00000000-0005-0000-0000-00008A120000}"/>
    <cellStyle name="Shade 2 3 3 2 9" xfId="4747" xr:uid="{00000000-0005-0000-0000-00008B120000}"/>
    <cellStyle name="Shade 2 3 3 3" xfId="4748" xr:uid="{00000000-0005-0000-0000-00008C120000}"/>
    <cellStyle name="Shade 2 3 3 4" xfId="4749" xr:uid="{00000000-0005-0000-0000-00008D120000}"/>
    <cellStyle name="Shade 2 3 3 5" xfId="4750" xr:uid="{00000000-0005-0000-0000-00008E120000}"/>
    <cellStyle name="Shade 2 3 3 6" xfId="4751" xr:uid="{00000000-0005-0000-0000-00008F120000}"/>
    <cellStyle name="Shade 2 3 3 7" xfId="4752" xr:uid="{00000000-0005-0000-0000-000090120000}"/>
    <cellStyle name="Shade 2 3 3 8" xfId="4753" xr:uid="{00000000-0005-0000-0000-000091120000}"/>
    <cellStyle name="Shade 2 3 3 9" xfId="4754" xr:uid="{00000000-0005-0000-0000-000092120000}"/>
    <cellStyle name="Shade 2 3 4" xfId="4755" xr:uid="{00000000-0005-0000-0000-000093120000}"/>
    <cellStyle name="Shade 2 3 4 10" xfId="4756" xr:uid="{00000000-0005-0000-0000-000094120000}"/>
    <cellStyle name="Shade 2 3 4 11" xfId="4757" xr:uid="{00000000-0005-0000-0000-000095120000}"/>
    <cellStyle name="Shade 2 3 4 12" xfId="4758" xr:uid="{00000000-0005-0000-0000-000096120000}"/>
    <cellStyle name="Shade 2 3 4 2" xfId="4759" xr:uid="{00000000-0005-0000-0000-000097120000}"/>
    <cellStyle name="Shade 2 3 4 2 10" xfId="4760" xr:uid="{00000000-0005-0000-0000-000098120000}"/>
    <cellStyle name="Shade 2 3 4 2 11" xfId="4761" xr:uid="{00000000-0005-0000-0000-000099120000}"/>
    <cellStyle name="Shade 2 3 4 2 2" xfId="4762" xr:uid="{00000000-0005-0000-0000-00009A120000}"/>
    <cellStyle name="Shade 2 3 4 2 3" xfId="4763" xr:uid="{00000000-0005-0000-0000-00009B120000}"/>
    <cellStyle name="Shade 2 3 4 2 4" xfId="4764" xr:uid="{00000000-0005-0000-0000-00009C120000}"/>
    <cellStyle name="Shade 2 3 4 2 5" xfId="4765" xr:uid="{00000000-0005-0000-0000-00009D120000}"/>
    <cellStyle name="Shade 2 3 4 2 6" xfId="4766" xr:uid="{00000000-0005-0000-0000-00009E120000}"/>
    <cellStyle name="Shade 2 3 4 2 7" xfId="4767" xr:uid="{00000000-0005-0000-0000-00009F120000}"/>
    <cellStyle name="Shade 2 3 4 2 8" xfId="4768" xr:uid="{00000000-0005-0000-0000-0000A0120000}"/>
    <cellStyle name="Shade 2 3 4 2 9" xfId="4769" xr:uid="{00000000-0005-0000-0000-0000A1120000}"/>
    <cellStyle name="Shade 2 3 4 3" xfId="4770" xr:uid="{00000000-0005-0000-0000-0000A2120000}"/>
    <cellStyle name="Shade 2 3 4 4" xfId="4771" xr:uid="{00000000-0005-0000-0000-0000A3120000}"/>
    <cellStyle name="Shade 2 3 4 5" xfId="4772" xr:uid="{00000000-0005-0000-0000-0000A4120000}"/>
    <cellStyle name="Shade 2 3 4 6" xfId="4773" xr:uid="{00000000-0005-0000-0000-0000A5120000}"/>
    <cellStyle name="Shade 2 3 4 7" xfId="4774" xr:uid="{00000000-0005-0000-0000-0000A6120000}"/>
    <cellStyle name="Shade 2 3 4 8" xfId="4775" xr:uid="{00000000-0005-0000-0000-0000A7120000}"/>
    <cellStyle name="Shade 2 3 4 9" xfId="4776" xr:uid="{00000000-0005-0000-0000-0000A8120000}"/>
    <cellStyle name="Shade 2 3 5" xfId="4777" xr:uid="{00000000-0005-0000-0000-0000A9120000}"/>
    <cellStyle name="Shade 2 3 6" xfId="4778" xr:uid="{00000000-0005-0000-0000-0000AA120000}"/>
    <cellStyle name="Shade 2 3 7" xfId="4779" xr:uid="{00000000-0005-0000-0000-0000AB120000}"/>
    <cellStyle name="Shade 2 3 8" xfId="4780" xr:uid="{00000000-0005-0000-0000-0000AC120000}"/>
    <cellStyle name="Shade 2 3 9" xfId="4781" xr:uid="{00000000-0005-0000-0000-0000AD120000}"/>
    <cellStyle name="Shade 3" xfId="4782" xr:uid="{00000000-0005-0000-0000-0000AE120000}"/>
    <cellStyle name="Shade 3 2" xfId="4783" xr:uid="{00000000-0005-0000-0000-0000AF120000}"/>
    <cellStyle name="Shade 3 2 10" xfId="4784" xr:uid="{00000000-0005-0000-0000-0000B0120000}"/>
    <cellStyle name="Shade 3 2 11" xfId="4785" xr:uid="{00000000-0005-0000-0000-0000B1120000}"/>
    <cellStyle name="Shade 3 2 12" xfId="4786" xr:uid="{00000000-0005-0000-0000-0000B2120000}"/>
    <cellStyle name="Shade 3 2 2" xfId="4787" xr:uid="{00000000-0005-0000-0000-0000B3120000}"/>
    <cellStyle name="Shade 3 2 2 10" xfId="4788" xr:uid="{00000000-0005-0000-0000-0000B4120000}"/>
    <cellStyle name="Shade 3 2 2 11" xfId="4789" xr:uid="{00000000-0005-0000-0000-0000B5120000}"/>
    <cellStyle name="Shade 3 2 2 2" xfId="4790" xr:uid="{00000000-0005-0000-0000-0000B6120000}"/>
    <cellStyle name="Shade 3 2 2 3" xfId="4791" xr:uid="{00000000-0005-0000-0000-0000B7120000}"/>
    <cellStyle name="Shade 3 2 2 4" xfId="4792" xr:uid="{00000000-0005-0000-0000-0000B8120000}"/>
    <cellStyle name="Shade 3 2 2 5" xfId="4793" xr:uid="{00000000-0005-0000-0000-0000B9120000}"/>
    <cellStyle name="Shade 3 2 2 6" xfId="4794" xr:uid="{00000000-0005-0000-0000-0000BA120000}"/>
    <cellStyle name="Shade 3 2 2 7" xfId="4795" xr:uid="{00000000-0005-0000-0000-0000BB120000}"/>
    <cellStyle name="Shade 3 2 2 8" xfId="4796" xr:uid="{00000000-0005-0000-0000-0000BC120000}"/>
    <cellStyle name="Shade 3 2 2 9" xfId="4797" xr:uid="{00000000-0005-0000-0000-0000BD120000}"/>
    <cellStyle name="Shade 3 2 3" xfId="4798" xr:uid="{00000000-0005-0000-0000-0000BE120000}"/>
    <cellStyle name="Shade 3 2 4" xfId="4799" xr:uid="{00000000-0005-0000-0000-0000BF120000}"/>
    <cellStyle name="Shade 3 2 5" xfId="4800" xr:uid="{00000000-0005-0000-0000-0000C0120000}"/>
    <cellStyle name="Shade 3 2 6" xfId="4801" xr:uid="{00000000-0005-0000-0000-0000C1120000}"/>
    <cellStyle name="Shade 3 2 7" xfId="4802" xr:uid="{00000000-0005-0000-0000-0000C2120000}"/>
    <cellStyle name="Shade 3 2 8" xfId="4803" xr:uid="{00000000-0005-0000-0000-0000C3120000}"/>
    <cellStyle name="Shade 3 2 9" xfId="4804" xr:uid="{00000000-0005-0000-0000-0000C4120000}"/>
    <cellStyle name="Shade 3 3" xfId="4805" xr:uid="{00000000-0005-0000-0000-0000C5120000}"/>
    <cellStyle name="Shade 3 3 10" xfId="4806" xr:uid="{00000000-0005-0000-0000-0000C6120000}"/>
    <cellStyle name="Shade 3 3 11" xfId="4807" xr:uid="{00000000-0005-0000-0000-0000C7120000}"/>
    <cellStyle name="Shade 3 3 2" xfId="4808" xr:uid="{00000000-0005-0000-0000-0000C8120000}"/>
    <cellStyle name="Shade 3 3 3" xfId="4809" xr:uid="{00000000-0005-0000-0000-0000C9120000}"/>
    <cellStyle name="Shade 3 3 4" xfId="4810" xr:uid="{00000000-0005-0000-0000-0000CA120000}"/>
    <cellStyle name="Shade 3 3 5" xfId="4811" xr:uid="{00000000-0005-0000-0000-0000CB120000}"/>
    <cellStyle name="Shade 3 3 6" xfId="4812" xr:uid="{00000000-0005-0000-0000-0000CC120000}"/>
    <cellStyle name="Shade 3 3 7" xfId="4813" xr:uid="{00000000-0005-0000-0000-0000CD120000}"/>
    <cellStyle name="Shade 3 3 8" xfId="4814" xr:uid="{00000000-0005-0000-0000-0000CE120000}"/>
    <cellStyle name="Shade 3 3 9" xfId="4815" xr:uid="{00000000-0005-0000-0000-0000CF120000}"/>
    <cellStyle name="Shade 4" xfId="4816" xr:uid="{00000000-0005-0000-0000-0000D0120000}"/>
    <cellStyle name="Shade 4 10" xfId="4817" xr:uid="{00000000-0005-0000-0000-0000D1120000}"/>
    <cellStyle name="Shade 4 11" xfId="4818" xr:uid="{00000000-0005-0000-0000-0000D2120000}"/>
    <cellStyle name="Shade 4 12" xfId="4819" xr:uid="{00000000-0005-0000-0000-0000D3120000}"/>
    <cellStyle name="Shade 4 13" xfId="4820" xr:uid="{00000000-0005-0000-0000-0000D4120000}"/>
    <cellStyle name="Shade 4 14" xfId="4821" xr:uid="{00000000-0005-0000-0000-0000D5120000}"/>
    <cellStyle name="Shade 4 2" xfId="4822" xr:uid="{00000000-0005-0000-0000-0000D6120000}"/>
    <cellStyle name="Shade 4 2 2" xfId="4823" xr:uid="{00000000-0005-0000-0000-0000D7120000}"/>
    <cellStyle name="Shade 4 2 2 10" xfId="4824" xr:uid="{00000000-0005-0000-0000-0000D8120000}"/>
    <cellStyle name="Shade 4 2 2 11" xfId="4825" xr:uid="{00000000-0005-0000-0000-0000D9120000}"/>
    <cellStyle name="Shade 4 2 2 2" xfId="4826" xr:uid="{00000000-0005-0000-0000-0000DA120000}"/>
    <cellStyle name="Shade 4 2 2 3" xfId="4827" xr:uid="{00000000-0005-0000-0000-0000DB120000}"/>
    <cellStyle name="Shade 4 2 2 4" xfId="4828" xr:uid="{00000000-0005-0000-0000-0000DC120000}"/>
    <cellStyle name="Shade 4 2 2 5" xfId="4829" xr:uid="{00000000-0005-0000-0000-0000DD120000}"/>
    <cellStyle name="Shade 4 2 2 6" xfId="4830" xr:uid="{00000000-0005-0000-0000-0000DE120000}"/>
    <cellStyle name="Shade 4 2 2 7" xfId="4831" xr:uid="{00000000-0005-0000-0000-0000DF120000}"/>
    <cellStyle name="Shade 4 2 2 8" xfId="4832" xr:uid="{00000000-0005-0000-0000-0000E0120000}"/>
    <cellStyle name="Shade 4 2 2 9" xfId="4833" xr:uid="{00000000-0005-0000-0000-0000E1120000}"/>
    <cellStyle name="Shade 4 2 3" xfId="4834" xr:uid="{00000000-0005-0000-0000-0000E2120000}"/>
    <cellStyle name="Shade 4 2 3 10" xfId="4835" xr:uid="{00000000-0005-0000-0000-0000E3120000}"/>
    <cellStyle name="Shade 4 2 3 11" xfId="4836" xr:uid="{00000000-0005-0000-0000-0000E4120000}"/>
    <cellStyle name="Shade 4 2 3 2" xfId="4837" xr:uid="{00000000-0005-0000-0000-0000E5120000}"/>
    <cellStyle name="Shade 4 2 3 3" xfId="4838" xr:uid="{00000000-0005-0000-0000-0000E6120000}"/>
    <cellStyle name="Shade 4 2 3 4" xfId="4839" xr:uid="{00000000-0005-0000-0000-0000E7120000}"/>
    <cellStyle name="Shade 4 2 3 5" xfId="4840" xr:uid="{00000000-0005-0000-0000-0000E8120000}"/>
    <cellStyle name="Shade 4 2 3 6" xfId="4841" xr:uid="{00000000-0005-0000-0000-0000E9120000}"/>
    <cellStyle name="Shade 4 2 3 7" xfId="4842" xr:uid="{00000000-0005-0000-0000-0000EA120000}"/>
    <cellStyle name="Shade 4 2 3 8" xfId="4843" xr:uid="{00000000-0005-0000-0000-0000EB120000}"/>
    <cellStyle name="Shade 4 2 3 9" xfId="4844" xr:uid="{00000000-0005-0000-0000-0000EC120000}"/>
    <cellStyle name="Shade 4 3" xfId="4845" xr:uid="{00000000-0005-0000-0000-0000ED120000}"/>
    <cellStyle name="Shade 4 3 10" xfId="4846" xr:uid="{00000000-0005-0000-0000-0000EE120000}"/>
    <cellStyle name="Shade 4 3 11" xfId="4847" xr:uid="{00000000-0005-0000-0000-0000EF120000}"/>
    <cellStyle name="Shade 4 3 12" xfId="4848" xr:uid="{00000000-0005-0000-0000-0000F0120000}"/>
    <cellStyle name="Shade 4 3 2" xfId="4849" xr:uid="{00000000-0005-0000-0000-0000F1120000}"/>
    <cellStyle name="Shade 4 3 2 10" xfId="4850" xr:uid="{00000000-0005-0000-0000-0000F2120000}"/>
    <cellStyle name="Shade 4 3 2 11" xfId="4851" xr:uid="{00000000-0005-0000-0000-0000F3120000}"/>
    <cellStyle name="Shade 4 3 2 2" xfId="4852" xr:uid="{00000000-0005-0000-0000-0000F4120000}"/>
    <cellStyle name="Shade 4 3 2 3" xfId="4853" xr:uid="{00000000-0005-0000-0000-0000F5120000}"/>
    <cellStyle name="Shade 4 3 2 4" xfId="4854" xr:uid="{00000000-0005-0000-0000-0000F6120000}"/>
    <cellStyle name="Shade 4 3 2 5" xfId="4855" xr:uid="{00000000-0005-0000-0000-0000F7120000}"/>
    <cellStyle name="Shade 4 3 2 6" xfId="4856" xr:uid="{00000000-0005-0000-0000-0000F8120000}"/>
    <cellStyle name="Shade 4 3 2 7" xfId="4857" xr:uid="{00000000-0005-0000-0000-0000F9120000}"/>
    <cellStyle name="Shade 4 3 2 8" xfId="4858" xr:uid="{00000000-0005-0000-0000-0000FA120000}"/>
    <cellStyle name="Shade 4 3 2 9" xfId="4859" xr:uid="{00000000-0005-0000-0000-0000FB120000}"/>
    <cellStyle name="Shade 4 3 3" xfId="4860" xr:uid="{00000000-0005-0000-0000-0000FC120000}"/>
    <cellStyle name="Shade 4 3 4" xfId="4861" xr:uid="{00000000-0005-0000-0000-0000FD120000}"/>
    <cellStyle name="Shade 4 3 5" xfId="4862" xr:uid="{00000000-0005-0000-0000-0000FE120000}"/>
    <cellStyle name="Shade 4 3 6" xfId="4863" xr:uid="{00000000-0005-0000-0000-0000FF120000}"/>
    <cellStyle name="Shade 4 3 7" xfId="4864" xr:uid="{00000000-0005-0000-0000-000000130000}"/>
    <cellStyle name="Shade 4 3 8" xfId="4865" xr:uid="{00000000-0005-0000-0000-000001130000}"/>
    <cellStyle name="Shade 4 3 9" xfId="4866" xr:uid="{00000000-0005-0000-0000-000002130000}"/>
    <cellStyle name="Shade 4 4" xfId="4867" xr:uid="{00000000-0005-0000-0000-000003130000}"/>
    <cellStyle name="Shade 4 4 10" xfId="4868" xr:uid="{00000000-0005-0000-0000-000004130000}"/>
    <cellStyle name="Shade 4 4 11" xfId="4869" xr:uid="{00000000-0005-0000-0000-000005130000}"/>
    <cellStyle name="Shade 4 4 12" xfId="4870" xr:uid="{00000000-0005-0000-0000-000006130000}"/>
    <cellStyle name="Shade 4 4 2" xfId="4871" xr:uid="{00000000-0005-0000-0000-000007130000}"/>
    <cellStyle name="Shade 4 4 2 10" xfId="4872" xr:uid="{00000000-0005-0000-0000-000008130000}"/>
    <cellStyle name="Shade 4 4 2 11" xfId="4873" xr:uid="{00000000-0005-0000-0000-000009130000}"/>
    <cellStyle name="Shade 4 4 2 2" xfId="4874" xr:uid="{00000000-0005-0000-0000-00000A130000}"/>
    <cellStyle name="Shade 4 4 2 3" xfId="4875" xr:uid="{00000000-0005-0000-0000-00000B130000}"/>
    <cellStyle name="Shade 4 4 2 4" xfId="4876" xr:uid="{00000000-0005-0000-0000-00000C130000}"/>
    <cellStyle name="Shade 4 4 2 5" xfId="4877" xr:uid="{00000000-0005-0000-0000-00000D130000}"/>
    <cellStyle name="Shade 4 4 2 6" xfId="4878" xr:uid="{00000000-0005-0000-0000-00000E130000}"/>
    <cellStyle name="Shade 4 4 2 7" xfId="4879" xr:uid="{00000000-0005-0000-0000-00000F130000}"/>
    <cellStyle name="Shade 4 4 2 8" xfId="4880" xr:uid="{00000000-0005-0000-0000-000010130000}"/>
    <cellStyle name="Shade 4 4 2 9" xfId="4881" xr:uid="{00000000-0005-0000-0000-000011130000}"/>
    <cellStyle name="Shade 4 4 3" xfId="4882" xr:uid="{00000000-0005-0000-0000-000012130000}"/>
    <cellStyle name="Shade 4 4 4" xfId="4883" xr:uid="{00000000-0005-0000-0000-000013130000}"/>
    <cellStyle name="Shade 4 4 5" xfId="4884" xr:uid="{00000000-0005-0000-0000-000014130000}"/>
    <cellStyle name="Shade 4 4 6" xfId="4885" xr:uid="{00000000-0005-0000-0000-000015130000}"/>
    <cellStyle name="Shade 4 4 7" xfId="4886" xr:uid="{00000000-0005-0000-0000-000016130000}"/>
    <cellStyle name="Shade 4 4 8" xfId="4887" xr:uid="{00000000-0005-0000-0000-000017130000}"/>
    <cellStyle name="Shade 4 4 9" xfId="4888" xr:uid="{00000000-0005-0000-0000-000018130000}"/>
    <cellStyle name="Shade 4 5" xfId="4889" xr:uid="{00000000-0005-0000-0000-000019130000}"/>
    <cellStyle name="Shade 4 6" xfId="4890" xr:uid="{00000000-0005-0000-0000-00001A130000}"/>
    <cellStyle name="Shade 4 7" xfId="4891" xr:uid="{00000000-0005-0000-0000-00001B130000}"/>
    <cellStyle name="Shade 4 8" xfId="4892" xr:uid="{00000000-0005-0000-0000-00001C130000}"/>
    <cellStyle name="Shade 4 9" xfId="4893" xr:uid="{00000000-0005-0000-0000-00001D130000}"/>
    <cellStyle name="Shade 5" xfId="4894" xr:uid="{00000000-0005-0000-0000-00001E130000}"/>
    <cellStyle name="Shade 5 2" xfId="4895" xr:uid="{00000000-0005-0000-0000-00001F130000}"/>
    <cellStyle name="Shade 5 3" xfId="4896" xr:uid="{00000000-0005-0000-0000-000020130000}"/>
    <cellStyle name="Shade 5 4" xfId="4897" xr:uid="{00000000-0005-0000-0000-000021130000}"/>
    <cellStyle name="Shade 5 5" xfId="4898" xr:uid="{00000000-0005-0000-0000-000022130000}"/>
    <cellStyle name="Shade_B_border2" xfId="4899" xr:uid="{00000000-0005-0000-0000-000023130000}"/>
    <cellStyle name="Standard 2" xfId="4900" xr:uid="{00000000-0005-0000-0000-000024130000}"/>
    <cellStyle name="Standard 2 2" xfId="4901" xr:uid="{00000000-0005-0000-0000-000025130000}"/>
    <cellStyle name="Standard 2 2 2" xfId="4902" xr:uid="{00000000-0005-0000-0000-000026130000}"/>
    <cellStyle name="Standard 2 3" xfId="4903" xr:uid="{00000000-0005-0000-0000-000027130000}"/>
    <cellStyle name="Title 2" xfId="4904" xr:uid="{00000000-0005-0000-0000-000028130000}"/>
    <cellStyle name="Title 3" xfId="4905" xr:uid="{00000000-0005-0000-0000-000029130000}"/>
    <cellStyle name="Total 2" xfId="4906" xr:uid="{00000000-0005-0000-0000-00002A130000}"/>
    <cellStyle name="Total 2 10" xfId="4907" xr:uid="{00000000-0005-0000-0000-00002B130000}"/>
    <cellStyle name="Total 2 11" xfId="4908" xr:uid="{00000000-0005-0000-0000-00002C130000}"/>
    <cellStyle name="Total 2 12" xfId="4909" xr:uid="{00000000-0005-0000-0000-00002D130000}"/>
    <cellStyle name="Total 2 13" xfId="4910" xr:uid="{00000000-0005-0000-0000-00002E130000}"/>
    <cellStyle name="Total 2 2" xfId="4911" xr:uid="{00000000-0005-0000-0000-00002F130000}"/>
    <cellStyle name="Total 2 2 10" xfId="4912" xr:uid="{00000000-0005-0000-0000-000030130000}"/>
    <cellStyle name="Total 2 2 11" xfId="4913" xr:uid="{00000000-0005-0000-0000-000031130000}"/>
    <cellStyle name="Total 2 2 12" xfId="4914" xr:uid="{00000000-0005-0000-0000-000032130000}"/>
    <cellStyle name="Total 2 2 2" xfId="4915" xr:uid="{00000000-0005-0000-0000-000033130000}"/>
    <cellStyle name="Total 2 2 2 10" xfId="4916" xr:uid="{00000000-0005-0000-0000-000034130000}"/>
    <cellStyle name="Total 2 2 2 11" xfId="4917" xr:uid="{00000000-0005-0000-0000-000035130000}"/>
    <cellStyle name="Total 2 2 2 2" xfId="4918" xr:uid="{00000000-0005-0000-0000-000036130000}"/>
    <cellStyle name="Total 2 2 2 3" xfId="4919" xr:uid="{00000000-0005-0000-0000-000037130000}"/>
    <cellStyle name="Total 2 2 2 4" xfId="4920" xr:uid="{00000000-0005-0000-0000-000038130000}"/>
    <cellStyle name="Total 2 2 2 5" xfId="4921" xr:uid="{00000000-0005-0000-0000-000039130000}"/>
    <cellStyle name="Total 2 2 2 6" xfId="4922" xr:uid="{00000000-0005-0000-0000-00003A130000}"/>
    <cellStyle name="Total 2 2 2 7" xfId="4923" xr:uid="{00000000-0005-0000-0000-00003B130000}"/>
    <cellStyle name="Total 2 2 2 8" xfId="4924" xr:uid="{00000000-0005-0000-0000-00003C130000}"/>
    <cellStyle name="Total 2 2 2 9" xfId="4925" xr:uid="{00000000-0005-0000-0000-00003D130000}"/>
    <cellStyle name="Total 2 2 3" xfId="4926" xr:uid="{00000000-0005-0000-0000-00003E130000}"/>
    <cellStyle name="Total 2 2 4" xfId="4927" xr:uid="{00000000-0005-0000-0000-00003F130000}"/>
    <cellStyle name="Total 2 2 5" xfId="4928" xr:uid="{00000000-0005-0000-0000-000040130000}"/>
    <cellStyle name="Total 2 2 6" xfId="4929" xr:uid="{00000000-0005-0000-0000-000041130000}"/>
    <cellStyle name="Total 2 2 7" xfId="4930" xr:uid="{00000000-0005-0000-0000-000042130000}"/>
    <cellStyle name="Total 2 2 8" xfId="4931" xr:uid="{00000000-0005-0000-0000-000043130000}"/>
    <cellStyle name="Total 2 2 9" xfId="4932" xr:uid="{00000000-0005-0000-0000-000044130000}"/>
    <cellStyle name="Total 2 3" xfId="4933" xr:uid="{00000000-0005-0000-0000-000045130000}"/>
    <cellStyle name="Total 2 3 10" xfId="4934" xr:uid="{00000000-0005-0000-0000-000046130000}"/>
    <cellStyle name="Total 2 3 11" xfId="4935" xr:uid="{00000000-0005-0000-0000-000047130000}"/>
    <cellStyle name="Total 2 3 12" xfId="4936" xr:uid="{00000000-0005-0000-0000-000048130000}"/>
    <cellStyle name="Total 2 3 2" xfId="4937" xr:uid="{00000000-0005-0000-0000-000049130000}"/>
    <cellStyle name="Total 2 3 2 10" xfId="4938" xr:uid="{00000000-0005-0000-0000-00004A130000}"/>
    <cellStyle name="Total 2 3 2 11" xfId="4939" xr:uid="{00000000-0005-0000-0000-00004B130000}"/>
    <cellStyle name="Total 2 3 2 2" xfId="4940" xr:uid="{00000000-0005-0000-0000-00004C130000}"/>
    <cellStyle name="Total 2 3 2 3" xfId="4941" xr:uid="{00000000-0005-0000-0000-00004D130000}"/>
    <cellStyle name="Total 2 3 2 4" xfId="4942" xr:uid="{00000000-0005-0000-0000-00004E130000}"/>
    <cellStyle name="Total 2 3 2 5" xfId="4943" xr:uid="{00000000-0005-0000-0000-00004F130000}"/>
    <cellStyle name="Total 2 3 2 6" xfId="4944" xr:uid="{00000000-0005-0000-0000-000050130000}"/>
    <cellStyle name="Total 2 3 2 7" xfId="4945" xr:uid="{00000000-0005-0000-0000-000051130000}"/>
    <cellStyle name="Total 2 3 2 8" xfId="4946" xr:uid="{00000000-0005-0000-0000-000052130000}"/>
    <cellStyle name="Total 2 3 2 9" xfId="4947" xr:uid="{00000000-0005-0000-0000-000053130000}"/>
    <cellStyle name="Total 2 3 3" xfId="4948" xr:uid="{00000000-0005-0000-0000-000054130000}"/>
    <cellStyle name="Total 2 3 4" xfId="4949" xr:uid="{00000000-0005-0000-0000-000055130000}"/>
    <cellStyle name="Total 2 3 5" xfId="4950" xr:uid="{00000000-0005-0000-0000-000056130000}"/>
    <cellStyle name="Total 2 3 6" xfId="4951" xr:uid="{00000000-0005-0000-0000-000057130000}"/>
    <cellStyle name="Total 2 3 7" xfId="4952" xr:uid="{00000000-0005-0000-0000-000058130000}"/>
    <cellStyle name="Total 2 3 8" xfId="4953" xr:uid="{00000000-0005-0000-0000-000059130000}"/>
    <cellStyle name="Total 2 3 9" xfId="4954" xr:uid="{00000000-0005-0000-0000-00005A130000}"/>
    <cellStyle name="Total 2 4" xfId="4955" xr:uid="{00000000-0005-0000-0000-00005B130000}"/>
    <cellStyle name="Total 2 4 10" xfId="4956" xr:uid="{00000000-0005-0000-0000-00005C130000}"/>
    <cellStyle name="Total 2 4 11" xfId="4957" xr:uid="{00000000-0005-0000-0000-00005D130000}"/>
    <cellStyle name="Total 2 4 12" xfId="4958" xr:uid="{00000000-0005-0000-0000-00005E130000}"/>
    <cellStyle name="Total 2 4 2" xfId="4959" xr:uid="{00000000-0005-0000-0000-00005F130000}"/>
    <cellStyle name="Total 2 4 2 10" xfId="4960" xr:uid="{00000000-0005-0000-0000-000060130000}"/>
    <cellStyle name="Total 2 4 2 11" xfId="4961" xr:uid="{00000000-0005-0000-0000-000061130000}"/>
    <cellStyle name="Total 2 4 2 2" xfId="4962" xr:uid="{00000000-0005-0000-0000-000062130000}"/>
    <cellStyle name="Total 2 4 2 3" xfId="4963" xr:uid="{00000000-0005-0000-0000-000063130000}"/>
    <cellStyle name="Total 2 4 2 4" xfId="4964" xr:uid="{00000000-0005-0000-0000-000064130000}"/>
    <cellStyle name="Total 2 4 2 5" xfId="4965" xr:uid="{00000000-0005-0000-0000-000065130000}"/>
    <cellStyle name="Total 2 4 2 6" xfId="4966" xr:uid="{00000000-0005-0000-0000-000066130000}"/>
    <cellStyle name="Total 2 4 2 7" xfId="4967" xr:uid="{00000000-0005-0000-0000-000067130000}"/>
    <cellStyle name="Total 2 4 2 8" xfId="4968" xr:uid="{00000000-0005-0000-0000-000068130000}"/>
    <cellStyle name="Total 2 4 2 9" xfId="4969" xr:uid="{00000000-0005-0000-0000-000069130000}"/>
    <cellStyle name="Total 2 4 3" xfId="4970" xr:uid="{00000000-0005-0000-0000-00006A130000}"/>
    <cellStyle name="Total 2 4 4" xfId="4971" xr:uid="{00000000-0005-0000-0000-00006B130000}"/>
    <cellStyle name="Total 2 4 5" xfId="4972" xr:uid="{00000000-0005-0000-0000-00006C130000}"/>
    <cellStyle name="Total 2 4 6" xfId="4973" xr:uid="{00000000-0005-0000-0000-00006D130000}"/>
    <cellStyle name="Total 2 4 7" xfId="4974" xr:uid="{00000000-0005-0000-0000-00006E130000}"/>
    <cellStyle name="Total 2 4 8" xfId="4975" xr:uid="{00000000-0005-0000-0000-00006F130000}"/>
    <cellStyle name="Total 2 4 9" xfId="4976" xr:uid="{00000000-0005-0000-0000-000070130000}"/>
    <cellStyle name="Total 2 5" xfId="4977" xr:uid="{00000000-0005-0000-0000-000071130000}"/>
    <cellStyle name="Total 2 5 10" xfId="4978" xr:uid="{00000000-0005-0000-0000-000072130000}"/>
    <cellStyle name="Total 2 5 11" xfId="4979" xr:uid="{00000000-0005-0000-0000-000073130000}"/>
    <cellStyle name="Total 2 5 2" xfId="4980" xr:uid="{00000000-0005-0000-0000-000074130000}"/>
    <cellStyle name="Total 2 5 3" xfId="4981" xr:uid="{00000000-0005-0000-0000-000075130000}"/>
    <cellStyle name="Total 2 5 4" xfId="4982" xr:uid="{00000000-0005-0000-0000-000076130000}"/>
    <cellStyle name="Total 2 5 5" xfId="4983" xr:uid="{00000000-0005-0000-0000-000077130000}"/>
    <cellStyle name="Total 2 5 6" xfId="4984" xr:uid="{00000000-0005-0000-0000-000078130000}"/>
    <cellStyle name="Total 2 5 7" xfId="4985" xr:uid="{00000000-0005-0000-0000-000079130000}"/>
    <cellStyle name="Total 2 5 8" xfId="4986" xr:uid="{00000000-0005-0000-0000-00007A130000}"/>
    <cellStyle name="Total 2 5 9" xfId="4987" xr:uid="{00000000-0005-0000-0000-00007B130000}"/>
    <cellStyle name="Total 2 6" xfId="4988" xr:uid="{00000000-0005-0000-0000-00007C130000}"/>
    <cellStyle name="Total 2 7" xfId="4989" xr:uid="{00000000-0005-0000-0000-00007D130000}"/>
    <cellStyle name="Total 2 8" xfId="4990" xr:uid="{00000000-0005-0000-0000-00007E130000}"/>
    <cellStyle name="Total 2 9" xfId="4991" xr:uid="{00000000-0005-0000-0000-00007F130000}"/>
    <cellStyle name="Total 3" xfId="4992" xr:uid="{00000000-0005-0000-0000-000080130000}"/>
    <cellStyle name="Total 3 10" xfId="4993" xr:uid="{00000000-0005-0000-0000-000081130000}"/>
    <cellStyle name="Total 3 11" xfId="4994" xr:uid="{00000000-0005-0000-0000-000082130000}"/>
    <cellStyle name="Total 3 12" xfId="4995" xr:uid="{00000000-0005-0000-0000-000083130000}"/>
    <cellStyle name="Total 3 13" xfId="4996" xr:uid="{00000000-0005-0000-0000-000084130000}"/>
    <cellStyle name="Total 3 2" xfId="4997" xr:uid="{00000000-0005-0000-0000-000085130000}"/>
    <cellStyle name="Total 3 2 10" xfId="4998" xr:uid="{00000000-0005-0000-0000-000086130000}"/>
    <cellStyle name="Total 3 2 11" xfId="4999" xr:uid="{00000000-0005-0000-0000-000087130000}"/>
    <cellStyle name="Total 3 2 12" xfId="5000" xr:uid="{00000000-0005-0000-0000-000088130000}"/>
    <cellStyle name="Total 3 2 2" xfId="5001" xr:uid="{00000000-0005-0000-0000-000089130000}"/>
    <cellStyle name="Total 3 2 2 10" xfId="5002" xr:uid="{00000000-0005-0000-0000-00008A130000}"/>
    <cellStyle name="Total 3 2 2 11" xfId="5003" xr:uid="{00000000-0005-0000-0000-00008B130000}"/>
    <cellStyle name="Total 3 2 2 2" xfId="5004" xr:uid="{00000000-0005-0000-0000-00008C130000}"/>
    <cellStyle name="Total 3 2 2 3" xfId="5005" xr:uid="{00000000-0005-0000-0000-00008D130000}"/>
    <cellStyle name="Total 3 2 2 4" xfId="5006" xr:uid="{00000000-0005-0000-0000-00008E130000}"/>
    <cellStyle name="Total 3 2 2 5" xfId="5007" xr:uid="{00000000-0005-0000-0000-00008F130000}"/>
    <cellStyle name="Total 3 2 2 6" xfId="5008" xr:uid="{00000000-0005-0000-0000-000090130000}"/>
    <cellStyle name="Total 3 2 2 7" xfId="5009" xr:uid="{00000000-0005-0000-0000-000091130000}"/>
    <cellStyle name="Total 3 2 2 8" xfId="5010" xr:uid="{00000000-0005-0000-0000-000092130000}"/>
    <cellStyle name="Total 3 2 2 9" xfId="5011" xr:uid="{00000000-0005-0000-0000-000093130000}"/>
    <cellStyle name="Total 3 2 3" xfId="5012" xr:uid="{00000000-0005-0000-0000-000094130000}"/>
    <cellStyle name="Total 3 2 4" xfId="5013" xr:uid="{00000000-0005-0000-0000-000095130000}"/>
    <cellStyle name="Total 3 2 5" xfId="5014" xr:uid="{00000000-0005-0000-0000-000096130000}"/>
    <cellStyle name="Total 3 2 6" xfId="5015" xr:uid="{00000000-0005-0000-0000-000097130000}"/>
    <cellStyle name="Total 3 2 7" xfId="5016" xr:uid="{00000000-0005-0000-0000-000098130000}"/>
    <cellStyle name="Total 3 2 8" xfId="5017" xr:uid="{00000000-0005-0000-0000-000099130000}"/>
    <cellStyle name="Total 3 2 9" xfId="5018" xr:uid="{00000000-0005-0000-0000-00009A130000}"/>
    <cellStyle name="Total 3 3" xfId="5019" xr:uid="{00000000-0005-0000-0000-00009B130000}"/>
    <cellStyle name="Total 3 3 10" xfId="5020" xr:uid="{00000000-0005-0000-0000-00009C130000}"/>
    <cellStyle name="Total 3 3 11" xfId="5021" xr:uid="{00000000-0005-0000-0000-00009D130000}"/>
    <cellStyle name="Total 3 3 12" xfId="5022" xr:uid="{00000000-0005-0000-0000-00009E130000}"/>
    <cellStyle name="Total 3 3 2" xfId="5023" xr:uid="{00000000-0005-0000-0000-00009F130000}"/>
    <cellStyle name="Total 3 3 2 10" xfId="5024" xr:uid="{00000000-0005-0000-0000-0000A0130000}"/>
    <cellStyle name="Total 3 3 2 11" xfId="5025" xr:uid="{00000000-0005-0000-0000-0000A1130000}"/>
    <cellStyle name="Total 3 3 2 2" xfId="5026" xr:uid="{00000000-0005-0000-0000-0000A2130000}"/>
    <cellStyle name="Total 3 3 2 3" xfId="5027" xr:uid="{00000000-0005-0000-0000-0000A3130000}"/>
    <cellStyle name="Total 3 3 2 4" xfId="5028" xr:uid="{00000000-0005-0000-0000-0000A4130000}"/>
    <cellStyle name="Total 3 3 2 5" xfId="5029" xr:uid="{00000000-0005-0000-0000-0000A5130000}"/>
    <cellStyle name="Total 3 3 2 6" xfId="5030" xr:uid="{00000000-0005-0000-0000-0000A6130000}"/>
    <cellStyle name="Total 3 3 2 7" xfId="5031" xr:uid="{00000000-0005-0000-0000-0000A7130000}"/>
    <cellStyle name="Total 3 3 2 8" xfId="5032" xr:uid="{00000000-0005-0000-0000-0000A8130000}"/>
    <cellStyle name="Total 3 3 2 9" xfId="5033" xr:uid="{00000000-0005-0000-0000-0000A9130000}"/>
    <cellStyle name="Total 3 3 3" xfId="5034" xr:uid="{00000000-0005-0000-0000-0000AA130000}"/>
    <cellStyle name="Total 3 3 4" xfId="5035" xr:uid="{00000000-0005-0000-0000-0000AB130000}"/>
    <cellStyle name="Total 3 3 5" xfId="5036" xr:uid="{00000000-0005-0000-0000-0000AC130000}"/>
    <cellStyle name="Total 3 3 6" xfId="5037" xr:uid="{00000000-0005-0000-0000-0000AD130000}"/>
    <cellStyle name="Total 3 3 7" xfId="5038" xr:uid="{00000000-0005-0000-0000-0000AE130000}"/>
    <cellStyle name="Total 3 3 8" xfId="5039" xr:uid="{00000000-0005-0000-0000-0000AF130000}"/>
    <cellStyle name="Total 3 3 9" xfId="5040" xr:uid="{00000000-0005-0000-0000-0000B0130000}"/>
    <cellStyle name="Total 3 4" xfId="5041" xr:uid="{00000000-0005-0000-0000-0000B1130000}"/>
    <cellStyle name="Total 3 4 10" xfId="5042" xr:uid="{00000000-0005-0000-0000-0000B2130000}"/>
    <cellStyle name="Total 3 4 11" xfId="5043" xr:uid="{00000000-0005-0000-0000-0000B3130000}"/>
    <cellStyle name="Total 3 4 12" xfId="5044" xr:uid="{00000000-0005-0000-0000-0000B4130000}"/>
    <cellStyle name="Total 3 4 2" xfId="5045" xr:uid="{00000000-0005-0000-0000-0000B5130000}"/>
    <cellStyle name="Total 3 4 2 10" xfId="5046" xr:uid="{00000000-0005-0000-0000-0000B6130000}"/>
    <cellStyle name="Total 3 4 2 11" xfId="5047" xr:uid="{00000000-0005-0000-0000-0000B7130000}"/>
    <cellStyle name="Total 3 4 2 2" xfId="5048" xr:uid="{00000000-0005-0000-0000-0000B8130000}"/>
    <cellStyle name="Total 3 4 2 3" xfId="5049" xr:uid="{00000000-0005-0000-0000-0000B9130000}"/>
    <cellStyle name="Total 3 4 2 4" xfId="5050" xr:uid="{00000000-0005-0000-0000-0000BA130000}"/>
    <cellStyle name="Total 3 4 2 5" xfId="5051" xr:uid="{00000000-0005-0000-0000-0000BB130000}"/>
    <cellStyle name="Total 3 4 2 6" xfId="5052" xr:uid="{00000000-0005-0000-0000-0000BC130000}"/>
    <cellStyle name="Total 3 4 2 7" xfId="5053" xr:uid="{00000000-0005-0000-0000-0000BD130000}"/>
    <cellStyle name="Total 3 4 2 8" xfId="5054" xr:uid="{00000000-0005-0000-0000-0000BE130000}"/>
    <cellStyle name="Total 3 4 2 9" xfId="5055" xr:uid="{00000000-0005-0000-0000-0000BF130000}"/>
    <cellStyle name="Total 3 4 3" xfId="5056" xr:uid="{00000000-0005-0000-0000-0000C0130000}"/>
    <cellStyle name="Total 3 4 4" xfId="5057" xr:uid="{00000000-0005-0000-0000-0000C1130000}"/>
    <cellStyle name="Total 3 4 5" xfId="5058" xr:uid="{00000000-0005-0000-0000-0000C2130000}"/>
    <cellStyle name="Total 3 4 6" xfId="5059" xr:uid="{00000000-0005-0000-0000-0000C3130000}"/>
    <cellStyle name="Total 3 4 7" xfId="5060" xr:uid="{00000000-0005-0000-0000-0000C4130000}"/>
    <cellStyle name="Total 3 4 8" xfId="5061" xr:uid="{00000000-0005-0000-0000-0000C5130000}"/>
    <cellStyle name="Total 3 4 9" xfId="5062" xr:uid="{00000000-0005-0000-0000-0000C6130000}"/>
    <cellStyle name="Total 3 5" xfId="5063" xr:uid="{00000000-0005-0000-0000-0000C7130000}"/>
    <cellStyle name="Total 3 5 10" xfId="5064" xr:uid="{00000000-0005-0000-0000-0000C8130000}"/>
    <cellStyle name="Total 3 5 11" xfId="5065" xr:uid="{00000000-0005-0000-0000-0000C9130000}"/>
    <cellStyle name="Total 3 5 2" xfId="5066" xr:uid="{00000000-0005-0000-0000-0000CA130000}"/>
    <cellStyle name="Total 3 5 3" xfId="5067" xr:uid="{00000000-0005-0000-0000-0000CB130000}"/>
    <cellStyle name="Total 3 5 4" xfId="5068" xr:uid="{00000000-0005-0000-0000-0000CC130000}"/>
    <cellStyle name="Total 3 5 5" xfId="5069" xr:uid="{00000000-0005-0000-0000-0000CD130000}"/>
    <cellStyle name="Total 3 5 6" xfId="5070" xr:uid="{00000000-0005-0000-0000-0000CE130000}"/>
    <cellStyle name="Total 3 5 7" xfId="5071" xr:uid="{00000000-0005-0000-0000-0000CF130000}"/>
    <cellStyle name="Total 3 5 8" xfId="5072" xr:uid="{00000000-0005-0000-0000-0000D0130000}"/>
    <cellStyle name="Total 3 5 9" xfId="5073" xr:uid="{00000000-0005-0000-0000-0000D1130000}"/>
    <cellStyle name="Total 3 6" xfId="5074" xr:uid="{00000000-0005-0000-0000-0000D2130000}"/>
    <cellStyle name="Total 3 7" xfId="5075" xr:uid="{00000000-0005-0000-0000-0000D3130000}"/>
    <cellStyle name="Total 3 8" xfId="5076" xr:uid="{00000000-0005-0000-0000-0000D4130000}"/>
    <cellStyle name="Total 3 9" xfId="5077" xr:uid="{00000000-0005-0000-0000-0000D5130000}"/>
    <cellStyle name="Verknüpfte Zelle" xfId="5078" xr:uid="{00000000-0005-0000-0000-0000D6130000}"/>
    <cellStyle name="Warnender Text" xfId="5079" xr:uid="{00000000-0005-0000-0000-0000D7130000}"/>
    <cellStyle name="Warnender Text 2" xfId="5080" xr:uid="{00000000-0005-0000-0000-0000D8130000}"/>
    <cellStyle name="Warnender Text 3" xfId="5081" xr:uid="{00000000-0005-0000-0000-0000D9130000}"/>
    <cellStyle name="Warning Text 2" xfId="5082" xr:uid="{00000000-0005-0000-0000-0000DA130000}"/>
    <cellStyle name="Warning Text 3" xfId="5083" xr:uid="{00000000-0005-0000-0000-0000DB130000}"/>
    <cellStyle name="Überschrift" xfId="5085" xr:uid="{00000000-0005-0000-0000-0000DD130000}"/>
    <cellStyle name="Überschrift 1" xfId="5086" xr:uid="{00000000-0005-0000-0000-0000DE130000}"/>
    <cellStyle name="Überschrift 2" xfId="5087" xr:uid="{00000000-0005-0000-0000-0000DF130000}"/>
    <cellStyle name="Überschrift 3" xfId="5088" xr:uid="{00000000-0005-0000-0000-0000E0130000}"/>
    <cellStyle name="Überschrift 4" xfId="5089" xr:uid="{00000000-0005-0000-0000-0000E1130000}"/>
    <cellStyle name="Zelle überprüfen" xfId="5084" xr:uid="{00000000-0005-0000-0000-0000DC130000}"/>
    <cellStyle name="Гиперссылка" xfId="5090" xr:uid="{00000000-0005-0000-0000-0000E2130000}"/>
    <cellStyle name="Гиперссылка 2" xfId="5091" xr:uid="{00000000-0005-0000-0000-0000E3130000}"/>
    <cellStyle name="Гиперссылка 3" xfId="5092" xr:uid="{00000000-0005-0000-0000-0000E4130000}"/>
    <cellStyle name="Гиперссылка 4" xfId="5093" xr:uid="{00000000-0005-0000-0000-0000E5130000}"/>
    <cellStyle name="Обычный_2++" xfId="5094" xr:uid="{00000000-0005-0000-0000-0000E613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D966"/>
      <rgbColor rgb="FFF4B183"/>
      <rgbColor rgb="FFA9D18E"/>
      <rgbColor rgb="FFE7E6E6"/>
      <rgbColor rgb="FFC5E0B4"/>
      <rgbColor rgb="FFF2F2F2"/>
      <rgbColor rgb="FF548235"/>
      <rgbColor rgb="FF800080"/>
      <rgbColor rgb="FFADAAAA"/>
      <rgbColor rgb="FFC0C0C0"/>
      <rgbColor rgb="FF808080"/>
      <rgbColor rgb="FF75A3DA"/>
      <rgbColor rgb="FF7F7F7F"/>
      <rgbColor rgb="FFFFFFCC"/>
      <rgbColor rgb="FFCCFFFF"/>
      <rgbColor rgb="FFDBDBDB"/>
      <rgbColor rgb="FFFF8080"/>
      <rgbColor rgb="FF0066CB"/>
      <rgbColor rgb="FFCCCCFF"/>
      <rgbColor rgb="FFFFF2CC"/>
      <rgbColor rgb="FFF8CBAD"/>
      <rgbColor rgb="FFFFE699"/>
      <rgbColor rgb="FFBDD7EE"/>
      <rgbColor rgb="FFD9D9D9"/>
      <rgbColor rgb="FFFBE5D6"/>
      <rgbColor rgb="FFCFCDCD"/>
      <rgbColor rgb="FFEDEDED"/>
      <rgbColor rgb="FF9EC3E6"/>
      <rgbColor rgb="FFDEEBF7"/>
      <rgbColor rgb="FFCCFFCC"/>
      <rgbColor rgb="FFFFFF99"/>
      <rgbColor rgb="FF99CCFF"/>
      <rgbColor rgb="FFFF99CC"/>
      <rgbColor rgb="FFCC99FF"/>
      <rgbColor rgb="FFFFCC99"/>
      <rgbColor rgb="FF3773C0"/>
      <rgbColor rgb="FF33CCCC"/>
      <rgbColor rgb="FF70AD47"/>
      <rgbColor rgb="FFFFCC00"/>
      <rgbColor rgb="FFFF9900"/>
      <rgbColor rgb="FFFF6600"/>
      <rgbColor rgb="FF5B5B5B"/>
      <rgbColor rgb="FF969696"/>
      <rgbColor rgb="FF003366"/>
      <rgbColor rgb="FF1A9433"/>
      <rgbColor rgb="FFE2F0D9"/>
      <rgbColor rgb="FF404040"/>
      <rgbColor rgb="FFBE4F07"/>
      <rgbColor rgb="FFF37D1A"/>
      <rgbColor rgb="FF32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1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Figures!$B$6</c:f>
              <c:strCache>
                <c:ptCount val="1"/>
                <c:pt idx="0">
                  <c:v>Production of mineral fertilizer</c:v>
                </c:pt>
              </c:strCache>
            </c:strRef>
          </c:tx>
          <c:spPr>
            <a:solidFill>
              <a:srgbClr val="5B9BD5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sv-SE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Figures!$A$7:$A$17</c:f>
              <c:strCache>
                <c:ptCount val="11"/>
                <c:pt idx="0">
                  <c:v>Greece</c:v>
                </c:pt>
                <c:pt idx="1">
                  <c:v>Spain</c:v>
                </c:pt>
                <c:pt idx="2">
                  <c:v>Netherlands</c:v>
                </c:pt>
                <c:pt idx="3">
                  <c:v>Italy</c:v>
                </c:pt>
                <c:pt idx="4">
                  <c:v>Hungary </c:v>
                </c:pt>
                <c:pt idx="5">
                  <c:v>France</c:v>
                </c:pt>
                <c:pt idx="6">
                  <c:v>Germany</c:v>
                </c:pt>
                <c:pt idx="7">
                  <c:v>Poland</c:v>
                </c:pt>
                <c:pt idx="8">
                  <c:v>Denmark </c:v>
                </c:pt>
                <c:pt idx="9">
                  <c:v>Ireland</c:v>
                </c:pt>
                <c:pt idx="10">
                  <c:v>Sweden</c:v>
                </c:pt>
              </c:strCache>
            </c:strRef>
          </c:cat>
          <c:val>
            <c:numRef>
              <c:f>Figures!$B$7:$B$17</c:f>
              <c:numCache>
                <c:formatCode>0.000</c:formatCode>
                <c:ptCount val="11"/>
                <c:pt idx="0">
                  <c:v>0.26403225405900987</c:v>
                </c:pt>
                <c:pt idx="1">
                  <c:v>0.48695011280034495</c:v>
                </c:pt>
                <c:pt idx="2">
                  <c:v>0.29944069514254362</c:v>
                </c:pt>
                <c:pt idx="3">
                  <c:v>0.18825362808366303</c:v>
                </c:pt>
                <c:pt idx="4">
                  <c:v>0.32625744993878858</c:v>
                </c:pt>
                <c:pt idx="5">
                  <c:v>0.28782488546745827</c:v>
                </c:pt>
                <c:pt idx="6">
                  <c:v>0.29050923105693693</c:v>
                </c:pt>
                <c:pt idx="7">
                  <c:v>0.36093529017521653</c:v>
                </c:pt>
                <c:pt idx="8">
                  <c:v>0.43427161140217208</c:v>
                </c:pt>
                <c:pt idx="9">
                  <c:v>0.22899818030755145</c:v>
                </c:pt>
                <c:pt idx="10">
                  <c:v>0.31979966707973867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E7-43C2-AB40-08114B95AC37}"/>
            </c:ext>
          </c:extLst>
        </c:ser>
        <c:ser>
          <c:idx val="1"/>
          <c:order val="1"/>
          <c:tx>
            <c:strRef>
              <c:f>Figures!$C$6</c:f>
              <c:strCache>
                <c:ptCount val="1"/>
                <c:pt idx="0">
                  <c:v>Production of capital goods </c:v>
                </c:pt>
              </c:strCache>
            </c:strRef>
          </c:tx>
          <c:spPr>
            <a:solidFill>
              <a:srgbClr val="ED7D31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sv-SE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Figures!$A$7:$A$17</c:f>
              <c:strCache>
                <c:ptCount val="11"/>
                <c:pt idx="0">
                  <c:v>Greece</c:v>
                </c:pt>
                <c:pt idx="1">
                  <c:v>Spain</c:v>
                </c:pt>
                <c:pt idx="2">
                  <c:v>Netherlands</c:v>
                </c:pt>
                <c:pt idx="3">
                  <c:v>Italy</c:v>
                </c:pt>
                <c:pt idx="4">
                  <c:v>Hungary </c:v>
                </c:pt>
                <c:pt idx="5">
                  <c:v>France</c:v>
                </c:pt>
                <c:pt idx="6">
                  <c:v>Germany</c:v>
                </c:pt>
                <c:pt idx="7">
                  <c:v>Poland</c:v>
                </c:pt>
                <c:pt idx="8">
                  <c:v>Denmark </c:v>
                </c:pt>
                <c:pt idx="9">
                  <c:v>Ireland</c:v>
                </c:pt>
                <c:pt idx="10">
                  <c:v>Sweden</c:v>
                </c:pt>
              </c:strCache>
            </c:strRef>
          </c:cat>
          <c:val>
            <c:numRef>
              <c:f>Figures!$C$7:$C$17</c:f>
              <c:numCache>
                <c:formatCode>0.000</c:formatCode>
                <c:ptCount val="11"/>
                <c:pt idx="0">
                  <c:v>0.14884189445231183</c:v>
                </c:pt>
                <c:pt idx="1">
                  <c:v>0.19640662233356057</c:v>
                </c:pt>
                <c:pt idx="2">
                  <c:v>0.15849920395401348</c:v>
                </c:pt>
                <c:pt idx="3">
                  <c:v>0.15095399646996174</c:v>
                </c:pt>
                <c:pt idx="4">
                  <c:v>0.17888643001238932</c:v>
                </c:pt>
                <c:pt idx="5">
                  <c:v>0.15657272394716876</c:v>
                </c:pt>
                <c:pt idx="6">
                  <c:v>0.16228760934671818</c:v>
                </c:pt>
                <c:pt idx="7">
                  <c:v>0.16906965161189427</c:v>
                </c:pt>
                <c:pt idx="8">
                  <c:v>0.16537335282703572</c:v>
                </c:pt>
                <c:pt idx="9">
                  <c:v>0.16221981756370574</c:v>
                </c:pt>
                <c:pt idx="10">
                  <c:v>0.1642793078252674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E7-43C2-AB40-08114B95AC37}"/>
            </c:ext>
          </c:extLst>
        </c:ser>
        <c:ser>
          <c:idx val="2"/>
          <c:order val="2"/>
          <c:tx>
            <c:strRef>
              <c:f>Figures!$D$6</c:f>
              <c:strCache>
                <c:ptCount val="1"/>
                <c:pt idx="0">
                  <c:v>Emissions from soil </c:v>
                </c:pt>
              </c:strCache>
            </c:strRef>
          </c:tx>
          <c:spPr>
            <a:solidFill>
              <a:srgbClr val="A5A5A5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sv-SE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Figures!$A$7:$A$17</c:f>
              <c:strCache>
                <c:ptCount val="11"/>
                <c:pt idx="0">
                  <c:v>Greece</c:v>
                </c:pt>
                <c:pt idx="1">
                  <c:v>Spain</c:v>
                </c:pt>
                <c:pt idx="2">
                  <c:v>Netherlands</c:v>
                </c:pt>
                <c:pt idx="3">
                  <c:v>Italy</c:v>
                </c:pt>
                <c:pt idx="4">
                  <c:v>Hungary </c:v>
                </c:pt>
                <c:pt idx="5">
                  <c:v>France</c:v>
                </c:pt>
                <c:pt idx="6">
                  <c:v>Germany</c:v>
                </c:pt>
                <c:pt idx="7">
                  <c:v>Poland</c:v>
                </c:pt>
                <c:pt idx="8">
                  <c:v>Denmark </c:v>
                </c:pt>
                <c:pt idx="9">
                  <c:v>Ireland</c:v>
                </c:pt>
                <c:pt idx="10">
                  <c:v>Sweden</c:v>
                </c:pt>
              </c:strCache>
            </c:strRef>
          </c:cat>
          <c:val>
            <c:numRef>
              <c:f>Figures!$D$7:$D$17</c:f>
              <c:numCache>
                <c:formatCode>General</c:formatCode>
                <c:ptCount val="11"/>
                <c:pt idx="0">
                  <c:v>0.72761349943470088</c:v>
                </c:pt>
                <c:pt idx="1">
                  <c:v>1.0342953428570674</c:v>
                </c:pt>
                <c:pt idx="2">
                  <c:v>0.70851011003043129</c:v>
                </c:pt>
                <c:pt idx="3">
                  <c:v>0.65040983252202456</c:v>
                </c:pt>
                <c:pt idx="4">
                  <c:v>0.94565531472946773</c:v>
                </c:pt>
                <c:pt idx="5">
                  <c:v>0.77835376433635328</c:v>
                </c:pt>
                <c:pt idx="6">
                  <c:v>0.75439311391065056</c:v>
                </c:pt>
                <c:pt idx="7">
                  <c:v>1.0128186992602064</c:v>
                </c:pt>
                <c:pt idx="8">
                  <c:v>1.1886997533777748</c:v>
                </c:pt>
                <c:pt idx="9">
                  <c:v>0.63502626651271588</c:v>
                </c:pt>
                <c:pt idx="10">
                  <c:v>0.91063587292372472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E7-43C2-AB40-08114B95AC37}"/>
            </c:ext>
          </c:extLst>
        </c:ser>
        <c:ser>
          <c:idx val="3"/>
          <c:order val="3"/>
          <c:tx>
            <c:strRef>
              <c:f>Figures!$E$6</c:f>
              <c:strCache>
                <c:ptCount val="1"/>
                <c:pt idx="0">
                  <c:v>Diesel use field machinary</c:v>
                </c:pt>
              </c:strCache>
            </c:strRef>
          </c:tx>
          <c:spPr>
            <a:solidFill>
              <a:srgbClr val="FFC000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sv-SE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Figures!$A$7:$A$17</c:f>
              <c:strCache>
                <c:ptCount val="11"/>
                <c:pt idx="0">
                  <c:v>Greece</c:v>
                </c:pt>
                <c:pt idx="1">
                  <c:v>Spain</c:v>
                </c:pt>
                <c:pt idx="2">
                  <c:v>Netherlands</c:v>
                </c:pt>
                <c:pt idx="3">
                  <c:v>Italy</c:v>
                </c:pt>
                <c:pt idx="4">
                  <c:v>Hungary </c:v>
                </c:pt>
                <c:pt idx="5">
                  <c:v>France</c:v>
                </c:pt>
                <c:pt idx="6">
                  <c:v>Germany</c:v>
                </c:pt>
                <c:pt idx="7">
                  <c:v>Poland</c:v>
                </c:pt>
                <c:pt idx="8">
                  <c:v>Denmark </c:v>
                </c:pt>
                <c:pt idx="9">
                  <c:v>Ireland</c:v>
                </c:pt>
                <c:pt idx="10">
                  <c:v>Sweden</c:v>
                </c:pt>
              </c:strCache>
            </c:strRef>
          </c:cat>
          <c:val>
            <c:numRef>
              <c:f>Figures!$E$7:$E$17</c:f>
              <c:numCache>
                <c:formatCode>0.000</c:formatCode>
                <c:ptCount val="11"/>
                <c:pt idx="0">
                  <c:v>0.25704381359774925</c:v>
                </c:pt>
                <c:pt idx="1">
                  <c:v>0.30921964112302652</c:v>
                </c:pt>
                <c:pt idx="2">
                  <c:v>0.15278681419462142</c:v>
                </c:pt>
                <c:pt idx="3">
                  <c:v>0.1633812494571108</c:v>
                </c:pt>
                <c:pt idx="4">
                  <c:v>0.21755927235408043</c:v>
                </c:pt>
                <c:pt idx="5">
                  <c:v>0.16263327084793605</c:v>
                </c:pt>
                <c:pt idx="6">
                  <c:v>0.15966523784067771</c:v>
                </c:pt>
                <c:pt idx="7">
                  <c:v>0.22903581248505392</c:v>
                </c:pt>
                <c:pt idx="8">
                  <c:v>0.1793154482215262</c:v>
                </c:pt>
                <c:pt idx="9">
                  <c:v>0.1623170274509747</c:v>
                </c:pt>
                <c:pt idx="10">
                  <c:v>0.22111286618545489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E7-43C2-AB40-08114B95AC37}"/>
            </c:ext>
          </c:extLst>
        </c:ser>
        <c:ser>
          <c:idx val="4"/>
          <c:order val="4"/>
          <c:tx>
            <c:strRef>
              <c:f>Figures!$F$6</c:f>
              <c:strCache>
                <c:ptCount val="1"/>
                <c:pt idx="0">
                  <c:v>Energy use for feed processing</c:v>
                </c:pt>
              </c:strCache>
            </c:strRef>
          </c:tx>
          <c:spPr>
            <a:solidFill>
              <a:srgbClr val="4472C4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sv-SE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Figures!$A$7:$A$17</c:f>
              <c:strCache>
                <c:ptCount val="11"/>
                <c:pt idx="0">
                  <c:v>Greece</c:v>
                </c:pt>
                <c:pt idx="1">
                  <c:v>Spain</c:v>
                </c:pt>
                <c:pt idx="2">
                  <c:v>Netherlands</c:v>
                </c:pt>
                <c:pt idx="3">
                  <c:v>Italy</c:v>
                </c:pt>
                <c:pt idx="4">
                  <c:v>Hungary </c:v>
                </c:pt>
                <c:pt idx="5">
                  <c:v>France</c:v>
                </c:pt>
                <c:pt idx="6">
                  <c:v>Germany</c:v>
                </c:pt>
                <c:pt idx="7">
                  <c:v>Poland</c:v>
                </c:pt>
                <c:pt idx="8">
                  <c:v>Denmark </c:v>
                </c:pt>
                <c:pt idx="9">
                  <c:v>Ireland</c:v>
                </c:pt>
                <c:pt idx="10">
                  <c:v>Sweden</c:v>
                </c:pt>
              </c:strCache>
            </c:strRef>
          </c:cat>
          <c:val>
            <c:numRef>
              <c:f>Figures!$F$7:$F$17</c:f>
              <c:numCache>
                <c:formatCode>0.000</c:formatCode>
                <c:ptCount val="11"/>
                <c:pt idx="0">
                  <c:v>0.23106044555802335</c:v>
                </c:pt>
                <c:pt idx="1">
                  <c:v>0.26092487838117118</c:v>
                </c:pt>
                <c:pt idx="2">
                  <c:v>0.24018795548291511</c:v>
                </c:pt>
                <c:pt idx="3">
                  <c:v>0.21231361975979182</c:v>
                </c:pt>
                <c:pt idx="4">
                  <c:v>0.25566802027050778</c:v>
                </c:pt>
                <c:pt idx="5">
                  <c:v>0.19659117716403043</c:v>
                </c:pt>
                <c:pt idx="6">
                  <c:v>0.24404753426180281</c:v>
                </c:pt>
                <c:pt idx="7">
                  <c:v>0.30134981134021271</c:v>
                </c:pt>
                <c:pt idx="8">
                  <c:v>0.23037197682301994</c:v>
                </c:pt>
                <c:pt idx="9">
                  <c:v>0.22796651374739263</c:v>
                </c:pt>
                <c:pt idx="10">
                  <c:v>0.20024962621839085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E7-43C2-AB40-08114B95AC37}"/>
            </c:ext>
          </c:extLst>
        </c:ser>
        <c:ser>
          <c:idx val="5"/>
          <c:order val="5"/>
          <c:tx>
            <c:strRef>
              <c:f>Figures!$G$6</c:f>
              <c:strCache>
                <c:ptCount val="1"/>
                <c:pt idx="0">
                  <c:v>Land use change emissions</c:v>
                </c:pt>
              </c:strCache>
            </c:strRef>
          </c:tx>
          <c:spPr>
            <a:solidFill>
              <a:srgbClr val="70AD47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sv-SE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Figures!$A$7:$A$17</c:f>
              <c:strCache>
                <c:ptCount val="11"/>
                <c:pt idx="0">
                  <c:v>Greece</c:v>
                </c:pt>
                <c:pt idx="1">
                  <c:v>Spain</c:v>
                </c:pt>
                <c:pt idx="2">
                  <c:v>Netherlands</c:v>
                </c:pt>
                <c:pt idx="3">
                  <c:v>Italy</c:v>
                </c:pt>
                <c:pt idx="4">
                  <c:v>Hungary </c:v>
                </c:pt>
                <c:pt idx="5">
                  <c:v>France</c:v>
                </c:pt>
                <c:pt idx="6">
                  <c:v>Germany</c:v>
                </c:pt>
                <c:pt idx="7">
                  <c:v>Poland</c:v>
                </c:pt>
                <c:pt idx="8">
                  <c:v>Denmark </c:v>
                </c:pt>
                <c:pt idx="9">
                  <c:v>Ireland</c:v>
                </c:pt>
                <c:pt idx="10">
                  <c:v>Sweden</c:v>
                </c:pt>
              </c:strCache>
            </c:strRef>
          </c:cat>
          <c:val>
            <c:numRef>
              <c:f>Figures!$G$7:$G$17</c:f>
              <c:numCache>
                <c:formatCode>0.000</c:formatCode>
                <c:ptCount val="11"/>
                <c:pt idx="0">
                  <c:v>0.26289894707677608</c:v>
                </c:pt>
                <c:pt idx="1">
                  <c:v>0.31235343971826457</c:v>
                </c:pt>
                <c:pt idx="2">
                  <c:v>0.2388444443373417</c:v>
                </c:pt>
                <c:pt idx="3">
                  <c:v>0.21659937219817302</c:v>
                </c:pt>
                <c:pt idx="4">
                  <c:v>0.26275643626119827</c:v>
                </c:pt>
                <c:pt idx="5">
                  <c:v>0.13474615042091317</c:v>
                </c:pt>
                <c:pt idx="6">
                  <c:v>0.21041098438363776</c:v>
                </c:pt>
                <c:pt idx="7">
                  <c:v>0.25009243304569884</c:v>
                </c:pt>
                <c:pt idx="8">
                  <c:v>0.12684281172121623</c:v>
                </c:pt>
                <c:pt idx="9">
                  <c:v>0.2706490564857098</c:v>
                </c:pt>
                <c:pt idx="10">
                  <c:v>0.20670845488859574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EE7-43C2-AB40-08114B95AC37}"/>
            </c:ext>
          </c:extLst>
        </c:ser>
        <c:ser>
          <c:idx val="6"/>
          <c:order val="6"/>
          <c:tx>
            <c:strRef>
              <c:f>Figures!$H$6</c:f>
              <c:strCache>
                <c:ptCount val="1"/>
                <c:pt idx="0">
                  <c:v>Feed transports</c:v>
                </c:pt>
              </c:strCache>
            </c:strRef>
          </c:tx>
          <c:spPr>
            <a:solidFill>
              <a:srgbClr val="255E91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sv-SE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Figures!$A$7:$A$17</c:f>
              <c:strCache>
                <c:ptCount val="11"/>
                <c:pt idx="0">
                  <c:v>Greece</c:v>
                </c:pt>
                <c:pt idx="1">
                  <c:v>Spain</c:v>
                </c:pt>
                <c:pt idx="2">
                  <c:v>Netherlands</c:v>
                </c:pt>
                <c:pt idx="3">
                  <c:v>Italy</c:v>
                </c:pt>
                <c:pt idx="4">
                  <c:v>Hungary </c:v>
                </c:pt>
                <c:pt idx="5">
                  <c:v>France</c:v>
                </c:pt>
                <c:pt idx="6">
                  <c:v>Germany</c:v>
                </c:pt>
                <c:pt idx="7">
                  <c:v>Poland</c:v>
                </c:pt>
                <c:pt idx="8">
                  <c:v>Denmark </c:v>
                </c:pt>
                <c:pt idx="9">
                  <c:v>Ireland</c:v>
                </c:pt>
                <c:pt idx="10">
                  <c:v>Sweden</c:v>
                </c:pt>
              </c:strCache>
            </c:strRef>
          </c:cat>
          <c:val>
            <c:numRef>
              <c:f>Figures!$H$7:$H$17</c:f>
              <c:numCache>
                <c:formatCode>0.000</c:formatCode>
                <c:ptCount val="11"/>
                <c:pt idx="0">
                  <c:v>0.23780349189833383</c:v>
                </c:pt>
                <c:pt idx="1">
                  <c:v>0.2671790663278279</c:v>
                </c:pt>
                <c:pt idx="2">
                  <c:v>0.23496083260263442</c:v>
                </c:pt>
                <c:pt idx="3">
                  <c:v>0.1907974713633617</c:v>
                </c:pt>
                <c:pt idx="4">
                  <c:v>0.18221524361676397</c:v>
                </c:pt>
                <c:pt idx="5">
                  <c:v>0.13103508393034971</c:v>
                </c:pt>
                <c:pt idx="6">
                  <c:v>0.20817156248353816</c:v>
                </c:pt>
                <c:pt idx="7">
                  <c:v>0.13959535031041617</c:v>
                </c:pt>
                <c:pt idx="8">
                  <c:v>8.9671000320094174E-2</c:v>
                </c:pt>
                <c:pt idx="9">
                  <c:v>0.24950995688522579</c:v>
                </c:pt>
                <c:pt idx="10">
                  <c:v>8.9409779780126486E-2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EE7-43C2-AB40-08114B95AC37}"/>
            </c:ext>
          </c:extLst>
        </c:ser>
        <c:ser>
          <c:idx val="7"/>
          <c:order val="7"/>
          <c:tx>
            <c:strRef>
              <c:f>Figures!$I$6</c:f>
              <c:strCache>
                <c:ptCount val="1"/>
                <c:pt idx="0">
                  <c:v>Enteric fermentation</c:v>
                </c:pt>
              </c:strCache>
            </c:strRef>
          </c:tx>
          <c:spPr>
            <a:solidFill>
              <a:srgbClr val="9E480E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sv-SE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Figures!$A$7:$A$17</c:f>
              <c:strCache>
                <c:ptCount val="11"/>
                <c:pt idx="0">
                  <c:v>Greece</c:v>
                </c:pt>
                <c:pt idx="1">
                  <c:v>Spain</c:v>
                </c:pt>
                <c:pt idx="2">
                  <c:v>Netherlands</c:v>
                </c:pt>
                <c:pt idx="3">
                  <c:v>Italy</c:v>
                </c:pt>
                <c:pt idx="4">
                  <c:v>Hungary </c:v>
                </c:pt>
                <c:pt idx="5">
                  <c:v>France</c:v>
                </c:pt>
                <c:pt idx="6">
                  <c:v>Germany</c:v>
                </c:pt>
                <c:pt idx="7">
                  <c:v>Poland</c:v>
                </c:pt>
                <c:pt idx="8">
                  <c:v>Denmark </c:v>
                </c:pt>
                <c:pt idx="9">
                  <c:v>Ireland</c:v>
                </c:pt>
                <c:pt idx="10">
                  <c:v>Sweden</c:v>
                </c:pt>
              </c:strCache>
            </c:strRef>
          </c:cat>
          <c:val>
            <c:numRef>
              <c:f>Figures!$I$7:$I$17</c:f>
              <c:numCache>
                <c:formatCode>0.000</c:formatCode>
                <c:ptCount val="11"/>
                <c:pt idx="0">
                  <c:v>0.25045059226301886</c:v>
                </c:pt>
                <c:pt idx="1">
                  <c:v>0.26801741205335333</c:v>
                </c:pt>
                <c:pt idx="2">
                  <c:v>0.23365465903364924</c:v>
                </c:pt>
                <c:pt idx="3">
                  <c:v>0.16859733858933262</c:v>
                </c:pt>
                <c:pt idx="4">
                  <c:v>0.26501290611804224</c:v>
                </c:pt>
                <c:pt idx="5">
                  <c:v>0.25084052015722796</c:v>
                </c:pt>
                <c:pt idx="6">
                  <c:v>0.23949945980847603</c:v>
                </c:pt>
                <c:pt idx="7">
                  <c:v>0.25045059226301886</c:v>
                </c:pt>
                <c:pt idx="8">
                  <c:v>0.26528310443887937</c:v>
                </c:pt>
                <c:pt idx="9">
                  <c:v>0.25164592451300122</c:v>
                </c:pt>
                <c:pt idx="10">
                  <c:v>0.24820308156550955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EE7-43C2-AB40-08114B95AC37}"/>
            </c:ext>
          </c:extLst>
        </c:ser>
        <c:ser>
          <c:idx val="8"/>
          <c:order val="8"/>
          <c:tx>
            <c:strRef>
              <c:f>Figures!$J$6</c:f>
              <c:strCache>
                <c:ptCount val="1"/>
                <c:pt idx="0">
                  <c:v>Manure management</c:v>
                </c:pt>
              </c:strCache>
            </c:strRef>
          </c:tx>
          <c:spPr>
            <a:solidFill>
              <a:srgbClr val="636363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sv-SE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Figures!$A$7:$A$17</c:f>
              <c:strCache>
                <c:ptCount val="11"/>
                <c:pt idx="0">
                  <c:v>Greece</c:v>
                </c:pt>
                <c:pt idx="1">
                  <c:v>Spain</c:v>
                </c:pt>
                <c:pt idx="2">
                  <c:v>Netherlands</c:v>
                </c:pt>
                <c:pt idx="3">
                  <c:v>Italy</c:v>
                </c:pt>
                <c:pt idx="4">
                  <c:v>Hungary </c:v>
                </c:pt>
                <c:pt idx="5">
                  <c:v>France</c:v>
                </c:pt>
                <c:pt idx="6">
                  <c:v>Germany</c:v>
                </c:pt>
                <c:pt idx="7">
                  <c:v>Poland</c:v>
                </c:pt>
                <c:pt idx="8">
                  <c:v>Denmark </c:v>
                </c:pt>
                <c:pt idx="9">
                  <c:v>Ireland</c:v>
                </c:pt>
                <c:pt idx="10">
                  <c:v>Sweden</c:v>
                </c:pt>
              </c:strCache>
            </c:strRef>
          </c:cat>
          <c:val>
            <c:numRef>
              <c:f>Figures!$J$7:$J$17</c:f>
              <c:numCache>
                <c:formatCode>0.000</c:formatCode>
                <c:ptCount val="11"/>
                <c:pt idx="0">
                  <c:v>4.6239266626924742</c:v>
                </c:pt>
                <c:pt idx="1">
                  <c:v>2.2857223296963669</c:v>
                </c:pt>
                <c:pt idx="2">
                  <c:v>2.5704535209359514</c:v>
                </c:pt>
                <c:pt idx="3">
                  <c:v>2.614965843636444</c:v>
                </c:pt>
                <c:pt idx="4">
                  <c:v>1.4994277332077484</c:v>
                </c:pt>
                <c:pt idx="5">
                  <c:v>2.3172073361937073</c:v>
                </c:pt>
                <c:pt idx="6">
                  <c:v>1.8346236183408819</c:v>
                </c:pt>
                <c:pt idx="7">
                  <c:v>0.76988479092925</c:v>
                </c:pt>
                <c:pt idx="8">
                  <c:v>0.68350905223689873</c:v>
                </c:pt>
                <c:pt idx="9">
                  <c:v>0.60150291507981013</c:v>
                </c:pt>
                <c:pt idx="10">
                  <c:v>0.67187738770938832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EE7-43C2-AB40-08114B95AC37}"/>
            </c:ext>
          </c:extLst>
        </c:ser>
        <c:ser>
          <c:idx val="9"/>
          <c:order val="9"/>
          <c:tx>
            <c:strRef>
              <c:f>Figures!$K$6</c:f>
              <c:strCache>
                <c:ptCount val="1"/>
                <c:pt idx="0">
                  <c:v>Energy use in stables</c:v>
                </c:pt>
              </c:strCache>
            </c:strRef>
          </c:tx>
          <c:spPr>
            <a:solidFill>
              <a:srgbClr val="997300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sv-SE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Figures!$A$7:$A$17</c:f>
              <c:strCache>
                <c:ptCount val="11"/>
                <c:pt idx="0">
                  <c:v>Greece</c:v>
                </c:pt>
                <c:pt idx="1">
                  <c:v>Spain</c:v>
                </c:pt>
                <c:pt idx="2">
                  <c:v>Netherlands</c:v>
                </c:pt>
                <c:pt idx="3">
                  <c:v>Italy</c:v>
                </c:pt>
                <c:pt idx="4">
                  <c:v>Hungary </c:v>
                </c:pt>
                <c:pt idx="5">
                  <c:v>France</c:v>
                </c:pt>
                <c:pt idx="6">
                  <c:v>Germany</c:v>
                </c:pt>
                <c:pt idx="7">
                  <c:v>Poland</c:v>
                </c:pt>
                <c:pt idx="8">
                  <c:v>Denmark </c:v>
                </c:pt>
                <c:pt idx="9">
                  <c:v>Ireland</c:v>
                </c:pt>
                <c:pt idx="10">
                  <c:v>Sweden</c:v>
                </c:pt>
              </c:strCache>
            </c:strRef>
          </c:cat>
          <c:val>
            <c:numRef>
              <c:f>Figures!$K$7:$K$17</c:f>
              <c:numCache>
                <c:formatCode>0.000</c:formatCode>
                <c:ptCount val="11"/>
                <c:pt idx="0">
                  <c:v>0.53247711368394268</c:v>
                </c:pt>
                <c:pt idx="1">
                  <c:v>0.34626109013583917</c:v>
                </c:pt>
                <c:pt idx="2">
                  <c:v>0.41704320093414959</c:v>
                </c:pt>
                <c:pt idx="3">
                  <c:v>0.25080030870102826</c:v>
                </c:pt>
                <c:pt idx="4">
                  <c:v>0.44809450797131306</c:v>
                </c:pt>
                <c:pt idx="5">
                  <c:v>0.21438718076605331</c:v>
                </c:pt>
                <c:pt idx="6">
                  <c:v>0.40906584583411865</c:v>
                </c:pt>
                <c:pt idx="7">
                  <c:v>0.72376427818922162</c:v>
                </c:pt>
                <c:pt idx="8">
                  <c:v>0.44090826056000615</c:v>
                </c:pt>
                <c:pt idx="9">
                  <c:v>0.38534626021895663</c:v>
                </c:pt>
                <c:pt idx="10">
                  <c:v>0.12373069788073357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EE7-43C2-AB40-08114B95AC37}"/>
            </c:ext>
          </c:extLst>
        </c:ser>
        <c:ser>
          <c:idx val="10"/>
          <c:order val="10"/>
          <c:tx>
            <c:strRef>
              <c:f>Figures!$L$6</c:f>
              <c:strCache>
                <c:ptCount val="1"/>
                <c:pt idx="0">
                  <c:v>Energy use for slaughter</c:v>
                </c:pt>
              </c:strCache>
            </c:strRef>
          </c:tx>
          <c:spPr>
            <a:solidFill>
              <a:srgbClr val="264478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sv-SE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Figures!$A$7:$A$17</c:f>
              <c:strCache>
                <c:ptCount val="11"/>
                <c:pt idx="0">
                  <c:v>Greece</c:v>
                </c:pt>
                <c:pt idx="1">
                  <c:v>Spain</c:v>
                </c:pt>
                <c:pt idx="2">
                  <c:v>Netherlands</c:v>
                </c:pt>
                <c:pt idx="3">
                  <c:v>Italy</c:v>
                </c:pt>
                <c:pt idx="4">
                  <c:v>Hungary </c:v>
                </c:pt>
                <c:pt idx="5">
                  <c:v>France</c:v>
                </c:pt>
                <c:pt idx="6">
                  <c:v>Germany</c:v>
                </c:pt>
                <c:pt idx="7">
                  <c:v>Poland</c:v>
                </c:pt>
                <c:pt idx="8">
                  <c:v>Denmark </c:v>
                </c:pt>
                <c:pt idx="9">
                  <c:v>Ireland</c:v>
                </c:pt>
                <c:pt idx="10">
                  <c:v>Sweden</c:v>
                </c:pt>
              </c:strCache>
            </c:strRef>
          </c:cat>
          <c:val>
            <c:numRef>
              <c:f>Figures!$L$7:$L$17</c:f>
              <c:numCache>
                <c:formatCode>0.000</c:formatCode>
                <c:ptCount val="11"/>
                <c:pt idx="0">
                  <c:v>0.22809149939481205</c:v>
                </c:pt>
                <c:pt idx="1">
                  <c:v>0.15521478927554463</c:v>
                </c:pt>
                <c:pt idx="2">
                  <c:v>0.19720038043506913</c:v>
                </c:pt>
                <c:pt idx="3">
                  <c:v>0.17064176158895716</c:v>
                </c:pt>
                <c:pt idx="4">
                  <c:v>0.18982700395387897</c:v>
                </c:pt>
                <c:pt idx="5">
                  <c:v>0.11598067758352727</c:v>
                </c:pt>
                <c:pt idx="6">
                  <c:v>0.19091242509362347</c:v>
                </c:pt>
                <c:pt idx="7">
                  <c:v>0.29540279930703411</c:v>
                </c:pt>
                <c:pt idx="8">
                  <c:v>0.18384878530394308</c:v>
                </c:pt>
                <c:pt idx="9">
                  <c:v>0.17576442528478409</c:v>
                </c:pt>
                <c:pt idx="10">
                  <c:v>0.11536067787676316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EE7-43C2-AB40-08114B95A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139588"/>
        <c:axId val="55726340"/>
      </c:barChart>
      <c:catAx>
        <c:axId val="411395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sv-SE"/>
          </a:p>
        </c:txPr>
        <c:crossAx val="55726340"/>
        <c:crosses val="autoZero"/>
        <c:auto val="1"/>
        <c:lblAlgn val="ctr"/>
        <c:lblOffset val="100"/>
        <c:noMultiLvlLbl val="0"/>
      </c:catAx>
      <c:valAx>
        <c:axId val="5572634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sv-SE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sv-SE" sz="1000" b="0" strike="noStrike" spc="-1">
                    <a:solidFill>
                      <a:srgbClr val="595959"/>
                    </a:solidFill>
                    <a:latin typeface="Calibri"/>
                  </a:rPr>
                  <a:t>kg CO2e per kg of bonefree pigmeat and offal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  <a:prstDash val="solid"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sv-SE"/>
          </a:p>
        </c:txPr>
        <c:crossAx val="41139588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sv-SE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1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5B9BD5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sv-SE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Figures!$A$33:$A$43</c:f>
              <c:strCache>
                <c:ptCount val="11"/>
                <c:pt idx="0">
                  <c:v>Denmark 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 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f>Figures!$B$33:$B$43</c:f>
              <c:numCache>
                <c:formatCode>General</c:formatCode>
                <c:ptCount val="11"/>
                <c:pt idx="0">
                  <c:v>0.34945446776871297</c:v>
                </c:pt>
                <c:pt idx="1">
                  <c:v>0.47801158608011002</c:v>
                </c:pt>
                <c:pt idx="2">
                  <c:v>0.354898327989495</c:v>
                </c:pt>
                <c:pt idx="3">
                  <c:v>0.38101451541952902</c:v>
                </c:pt>
                <c:pt idx="4">
                  <c:v>0.34634087786915302</c:v>
                </c:pt>
                <c:pt idx="5">
                  <c:v>0.33400348040348798</c:v>
                </c:pt>
                <c:pt idx="6">
                  <c:v>0.68514742122479899</c:v>
                </c:pt>
                <c:pt idx="7">
                  <c:v>0.47153216234734402</c:v>
                </c:pt>
                <c:pt idx="8">
                  <c:v>0.34621615899915598</c:v>
                </c:pt>
                <c:pt idx="9">
                  <c:v>1.26377859267891</c:v>
                </c:pt>
                <c:pt idx="10">
                  <c:v>0.33340768901182799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19-4EBE-A97B-80C217034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3448724"/>
        <c:axId val="13950746"/>
      </c:barChart>
      <c:catAx>
        <c:axId val="334487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sv-SE"/>
          </a:p>
        </c:txPr>
        <c:crossAx val="13950746"/>
        <c:crosses val="autoZero"/>
        <c:auto val="1"/>
        <c:lblAlgn val="ctr"/>
        <c:lblOffset val="100"/>
        <c:noMultiLvlLbl val="0"/>
      </c:catAx>
      <c:valAx>
        <c:axId val="1395074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sv-SE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sv-SE" sz="1000" b="0" strike="noStrike" spc="-1">
                    <a:solidFill>
                      <a:srgbClr val="595959"/>
                    </a:solidFill>
                    <a:latin typeface="Calibri"/>
                  </a:rPr>
                  <a:t>Blue water use, m3 per kg bonefree meat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  <a:prstDash val="solid"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sv-SE"/>
          </a:p>
        </c:txPr>
        <c:crossAx val="33448724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1"/>
  <c:style val="2"/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'Parameters, country spec'!$A$54</c:f>
              <c:strCache>
                <c:ptCount val="1"/>
                <c:pt idx="0">
                  <c:v>Barley, average</c:v>
                </c:pt>
              </c:strCache>
            </c:strRef>
          </c:tx>
          <c:spPr>
            <a:solidFill>
              <a:srgbClr val="5B9BD5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sv-SE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'Parameters, country spec'!$B$53:$L$53</c:f>
              <c:strCache>
                <c:ptCount val="11"/>
                <c:pt idx="0">
                  <c:v>Denmark 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 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f>'Parameters, country spec'!$B$54:$L$54</c:f>
              <c:numCache>
                <c:formatCode>0.000</c:formatCode>
                <c:ptCount val="11"/>
                <c:pt idx="0">
                  <c:v>0.32616215478819699</c:v>
                </c:pt>
                <c:pt idx="1">
                  <c:v>0.12622280592168414</c:v>
                </c:pt>
                <c:pt idx="2">
                  <c:v>0.11936785974964652</c:v>
                </c:pt>
                <c:pt idx="3">
                  <c:v>0.10548579258005962</c:v>
                </c:pt>
                <c:pt idx="4">
                  <c:v>8.1251536473470068E-2</c:v>
                </c:pt>
                <c:pt idx="5">
                  <c:v>0.32325200471026871</c:v>
                </c:pt>
                <c:pt idx="6">
                  <c:v>7.5639149668143751E-2</c:v>
                </c:pt>
                <c:pt idx="7">
                  <c:v>9.2949044996403496E-2</c:v>
                </c:pt>
                <c:pt idx="8">
                  <c:v>0.15537879618298778</c:v>
                </c:pt>
                <c:pt idx="9">
                  <c:v>0.23308111745751758</c:v>
                </c:pt>
                <c:pt idx="10">
                  <c:v>0.26218798715146902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CD-42E8-B7CA-26CE15D2BE82}"/>
            </c:ext>
          </c:extLst>
        </c:ser>
        <c:ser>
          <c:idx val="1"/>
          <c:order val="1"/>
          <c:tx>
            <c:strRef>
              <c:f>'Parameters, country spec'!$A$55</c:f>
              <c:strCache>
                <c:ptCount val="1"/>
                <c:pt idx="0">
                  <c:v>Maize (corn)</c:v>
                </c:pt>
              </c:strCache>
            </c:strRef>
          </c:tx>
          <c:spPr>
            <a:solidFill>
              <a:srgbClr val="ED7D31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sv-SE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'Parameters, country spec'!$B$53:$L$53</c:f>
              <c:strCache>
                <c:ptCount val="11"/>
                <c:pt idx="0">
                  <c:v>Denmark 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 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f>'Parameters, country spec'!$B$55:$L$55</c:f>
              <c:numCache>
                <c:formatCode>0.000</c:formatCode>
                <c:ptCount val="11"/>
                <c:pt idx="0">
                  <c:v>0</c:v>
                </c:pt>
                <c:pt idx="1">
                  <c:v>0.20760674280157457</c:v>
                </c:pt>
                <c:pt idx="2">
                  <c:v>0.17771722156372172</c:v>
                </c:pt>
                <c:pt idx="3">
                  <c:v>0.31549865616441614</c:v>
                </c:pt>
                <c:pt idx="4">
                  <c:v>0.48193637626933306</c:v>
                </c:pt>
                <c:pt idx="5">
                  <c:v>8.9094558301539284E-2</c:v>
                </c:pt>
                <c:pt idx="6">
                  <c:v>0.4945946495860658</c:v>
                </c:pt>
                <c:pt idx="7">
                  <c:v>0.27914438878544884</c:v>
                </c:pt>
                <c:pt idx="8">
                  <c:v>0.21285188977616532</c:v>
                </c:pt>
                <c:pt idx="9">
                  <c:v>0.30741311484903272</c:v>
                </c:pt>
                <c:pt idx="10">
                  <c:v>2.7145227912969199E-3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CD-42E8-B7CA-26CE15D2BE82}"/>
            </c:ext>
          </c:extLst>
        </c:ser>
        <c:ser>
          <c:idx val="2"/>
          <c:order val="2"/>
          <c:tx>
            <c:strRef>
              <c:f>'Parameters, country spec'!$A$56</c:f>
              <c:strCache>
                <c:ptCount val="1"/>
                <c:pt idx="0">
                  <c:v>Oats</c:v>
                </c:pt>
              </c:strCache>
            </c:strRef>
          </c:tx>
          <c:spPr>
            <a:solidFill>
              <a:srgbClr val="A5A5A5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sv-SE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'Parameters, country spec'!$B$53:$L$53</c:f>
              <c:strCache>
                <c:ptCount val="11"/>
                <c:pt idx="0">
                  <c:v>Denmark 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 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f>'Parameters, country spec'!$B$56:$L$56</c:f>
              <c:numCache>
                <c:formatCode>0.000</c:formatCode>
                <c:ptCount val="11"/>
                <c:pt idx="0">
                  <c:v>0</c:v>
                </c:pt>
                <c:pt idx="1">
                  <c:v>1.430319903702894E-2</c:v>
                </c:pt>
                <c:pt idx="2">
                  <c:v>2.3760624502985962E-5</c:v>
                </c:pt>
                <c:pt idx="3">
                  <c:v>2.8667693691623947E-2</c:v>
                </c:pt>
                <c:pt idx="4">
                  <c:v>4.3518886440683656E-2</c:v>
                </c:pt>
                <c:pt idx="5">
                  <c:v>1.8632243854911967E-2</c:v>
                </c:pt>
                <c:pt idx="6">
                  <c:v>1.5708249677942241E-2</c:v>
                </c:pt>
                <c:pt idx="7">
                  <c:v>3.0531645384754033E-3</c:v>
                </c:pt>
                <c:pt idx="8">
                  <c:v>4.6535021524768639E-3</c:v>
                </c:pt>
                <c:pt idx="9">
                  <c:v>3.6341430093052865E-2</c:v>
                </c:pt>
                <c:pt idx="10">
                  <c:v>4.4514084693111099E-2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CD-42E8-B7CA-26CE15D2BE82}"/>
            </c:ext>
          </c:extLst>
        </c:ser>
        <c:ser>
          <c:idx val="3"/>
          <c:order val="3"/>
          <c:tx>
            <c:strRef>
              <c:f>'Parameters, country spec'!$A$57</c:f>
              <c:strCache>
                <c:ptCount val="1"/>
                <c:pt idx="0">
                  <c:v>Rye</c:v>
                </c:pt>
              </c:strCache>
            </c:strRef>
          </c:tx>
          <c:spPr>
            <a:solidFill>
              <a:srgbClr val="FFC000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sv-SE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'Parameters, country spec'!$B$53:$L$53</c:f>
              <c:strCache>
                <c:ptCount val="11"/>
                <c:pt idx="0">
                  <c:v>Denmark 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 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f>'Parameters, country spec'!$B$57:$L$57</c:f>
              <c:numCache>
                <c:formatCode>0.000</c:formatCode>
                <c:ptCount val="11"/>
                <c:pt idx="0">
                  <c:v>0</c:v>
                </c:pt>
                <c:pt idx="1">
                  <c:v>2.1965459245194179E-3</c:v>
                </c:pt>
                <c:pt idx="2">
                  <c:v>1.9498589966513394E-2</c:v>
                </c:pt>
                <c:pt idx="3">
                  <c:v>6.3230823420726045E-3</c:v>
                </c:pt>
                <c:pt idx="4">
                  <c:v>1.6914287828800331E-2</c:v>
                </c:pt>
                <c:pt idx="5">
                  <c:v>0</c:v>
                </c:pt>
                <c:pt idx="6">
                  <c:v>1.2515759679726465E-3</c:v>
                </c:pt>
                <c:pt idx="7">
                  <c:v>1.1489015097402086E-2</c:v>
                </c:pt>
                <c:pt idx="8">
                  <c:v>6.0757670649699391E-2</c:v>
                </c:pt>
                <c:pt idx="9">
                  <c:v>9.5925750911748202E-3</c:v>
                </c:pt>
                <c:pt idx="10">
                  <c:v>2.7912717555004501E-2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CD-42E8-B7CA-26CE15D2BE82}"/>
            </c:ext>
          </c:extLst>
        </c:ser>
        <c:ser>
          <c:idx val="4"/>
          <c:order val="4"/>
          <c:tx>
            <c:strRef>
              <c:f>'Parameters, country spec'!$A$58</c:f>
              <c:strCache>
                <c:ptCount val="1"/>
                <c:pt idx="0">
                  <c:v>Wheat, average</c:v>
                </c:pt>
              </c:strCache>
            </c:strRef>
          </c:tx>
          <c:spPr>
            <a:solidFill>
              <a:srgbClr val="4472C4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sv-SE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'Parameters, country spec'!$B$53:$L$53</c:f>
              <c:strCache>
                <c:ptCount val="11"/>
                <c:pt idx="0">
                  <c:v>Denmark 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 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f>'Parameters, country spec'!$B$58:$L$58</c:f>
              <c:numCache>
                <c:formatCode>0.000</c:formatCode>
                <c:ptCount val="11"/>
                <c:pt idx="0">
                  <c:v>0.37907027616944244</c:v>
                </c:pt>
                <c:pt idx="1">
                  <c:v>0.30750391777337582</c:v>
                </c:pt>
                <c:pt idx="2">
                  <c:v>0.39870895550051916</c:v>
                </c:pt>
                <c:pt idx="3">
                  <c:v>4.5344513724963568E-3</c:v>
                </c:pt>
                <c:pt idx="4">
                  <c:v>7.6091634538062169E-2</c:v>
                </c:pt>
                <c:pt idx="5">
                  <c:v>0.13883686885903021</c:v>
                </c:pt>
                <c:pt idx="6">
                  <c:v>7.1646219701035879E-2</c:v>
                </c:pt>
                <c:pt idx="7">
                  <c:v>0.31451111490386796</c:v>
                </c:pt>
                <c:pt idx="8">
                  <c:v>0.24429473309456204</c:v>
                </c:pt>
                <c:pt idx="9">
                  <c:v>0.19744357688386704</c:v>
                </c:pt>
                <c:pt idx="10">
                  <c:v>0.32729029603711102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CD-42E8-B7CA-26CE15D2BE82}"/>
            </c:ext>
          </c:extLst>
        </c:ser>
        <c:ser>
          <c:idx val="5"/>
          <c:order val="5"/>
          <c:tx>
            <c:strRef>
              <c:f>'Parameters, country spec'!$A$59</c:f>
              <c:strCache>
                <c:ptCount val="1"/>
                <c:pt idx="0">
                  <c:v>Peas, dry</c:v>
                </c:pt>
              </c:strCache>
            </c:strRef>
          </c:tx>
          <c:spPr>
            <a:solidFill>
              <a:srgbClr val="70AD47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sv-SE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'Parameters, country spec'!$B$53:$L$53</c:f>
              <c:strCache>
                <c:ptCount val="11"/>
                <c:pt idx="0">
                  <c:v>Denmark 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 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f>'Parameters, country spec'!$B$59:$L$59</c:f>
              <c:numCache>
                <c:formatCode>0.000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1.0321755831089459E-3</c:v>
                </c:pt>
                <c:pt idx="3">
                  <c:v>5.9748390404603421E-4</c:v>
                </c:pt>
                <c:pt idx="4">
                  <c:v>1.2507448813783284E-3</c:v>
                </c:pt>
                <c:pt idx="5">
                  <c:v>1.1573790749521788E-3</c:v>
                </c:pt>
                <c:pt idx="6">
                  <c:v>2.6243338101171946E-3</c:v>
                </c:pt>
                <c:pt idx="7">
                  <c:v>0</c:v>
                </c:pt>
                <c:pt idx="8">
                  <c:v>3.0603451734342534E-3</c:v>
                </c:pt>
                <c:pt idx="9">
                  <c:v>5.4797743342333812E-3</c:v>
                </c:pt>
                <c:pt idx="10">
                  <c:v>4.8974646420038301E-3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CD-42E8-B7CA-26CE15D2BE82}"/>
            </c:ext>
          </c:extLst>
        </c:ser>
        <c:ser>
          <c:idx val="6"/>
          <c:order val="6"/>
          <c:tx>
            <c:strRef>
              <c:f>'Parameters, country spec'!$A$60</c:f>
              <c:strCache>
                <c:ptCount val="1"/>
                <c:pt idx="0">
                  <c:v>Broad beans and horse beans, dry</c:v>
                </c:pt>
              </c:strCache>
            </c:strRef>
          </c:tx>
          <c:spPr>
            <a:solidFill>
              <a:srgbClr val="255E91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sv-SE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'Parameters, country spec'!$B$53:$L$53</c:f>
              <c:strCache>
                <c:ptCount val="11"/>
                <c:pt idx="0">
                  <c:v>Denmark 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 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f>'Parameters, country spec'!$B$60:$L$60</c:f>
              <c:numCache>
                <c:formatCode>0.000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1.0139365657568411E-3</c:v>
                </c:pt>
                <c:pt idx="3">
                  <c:v>5.8692609068954191E-4</c:v>
                </c:pt>
                <c:pt idx="4">
                  <c:v>1.2286436428647813E-3</c:v>
                </c:pt>
                <c:pt idx="5">
                  <c:v>1.1369276536260728E-3</c:v>
                </c:pt>
                <c:pt idx="6">
                  <c:v>2.5779606221648438E-3</c:v>
                </c:pt>
                <c:pt idx="7">
                  <c:v>0</c:v>
                </c:pt>
                <c:pt idx="8">
                  <c:v>3.0062674660528534E-3</c:v>
                </c:pt>
                <c:pt idx="9">
                  <c:v>5.382944196147911E-3</c:v>
                </c:pt>
                <c:pt idx="10">
                  <c:v>5.63859541846429E-2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CD-42E8-B7CA-26CE15D2BE82}"/>
            </c:ext>
          </c:extLst>
        </c:ser>
        <c:ser>
          <c:idx val="7"/>
          <c:order val="7"/>
          <c:tx>
            <c:strRef>
              <c:f>'Parameters, country spec'!$A$61</c:f>
              <c:strCache>
                <c:ptCount val="1"/>
                <c:pt idx="0">
                  <c:v>Rape seed cake</c:v>
                </c:pt>
              </c:strCache>
            </c:strRef>
          </c:tx>
          <c:spPr>
            <a:solidFill>
              <a:srgbClr val="9E480E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sv-SE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'Parameters, country spec'!$B$53:$L$53</c:f>
              <c:strCache>
                <c:ptCount val="11"/>
                <c:pt idx="0">
                  <c:v>Denmark 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 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f>'Parameters, country spec'!$B$61:$L$61</c:f>
              <c:numCache>
                <c:formatCode>0.000</c:formatCode>
                <c:ptCount val="11"/>
                <c:pt idx="0">
                  <c:v>4.4767569042360608E-2</c:v>
                </c:pt>
                <c:pt idx="1">
                  <c:v>6.6952456561795479E-2</c:v>
                </c:pt>
                <c:pt idx="2">
                  <c:v>0.10437666551754406</c:v>
                </c:pt>
                <c:pt idx="3">
                  <c:v>6.5204011883002286E-4</c:v>
                </c:pt>
                <c:pt idx="4">
                  <c:v>5.3981077846432604E-4</c:v>
                </c:pt>
                <c:pt idx="5">
                  <c:v>6.196353147498361E-2</c:v>
                </c:pt>
                <c:pt idx="6">
                  <c:v>4.4205096143040447E-3</c:v>
                </c:pt>
                <c:pt idx="7">
                  <c:v>0.10008651776935426</c:v>
                </c:pt>
                <c:pt idx="8">
                  <c:v>2.2057566041319011E-2</c:v>
                </c:pt>
                <c:pt idx="9">
                  <c:v>1.5869945984621978E-2</c:v>
                </c:pt>
                <c:pt idx="10">
                  <c:v>2.9607485666187296E-2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6CD-42E8-B7CA-26CE15D2BE82}"/>
            </c:ext>
          </c:extLst>
        </c:ser>
        <c:ser>
          <c:idx val="8"/>
          <c:order val="8"/>
          <c:tx>
            <c:strRef>
              <c:f>'Parameters, country spec'!$A$62</c:f>
              <c:strCache>
                <c:ptCount val="1"/>
                <c:pt idx="0">
                  <c:v>Soy cake</c:v>
                </c:pt>
              </c:strCache>
            </c:strRef>
          </c:tx>
          <c:spPr>
            <a:solidFill>
              <a:srgbClr val="636363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sv-SE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'Parameters, country spec'!$B$53:$L$53</c:f>
              <c:strCache>
                <c:ptCount val="11"/>
                <c:pt idx="0">
                  <c:v>Denmark 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 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f>'Parameters, country spec'!$B$62:$L$62</c:f>
              <c:numCache>
                <c:formatCode>0.000</c:formatCode>
                <c:ptCount val="11"/>
                <c:pt idx="0">
                  <c:v>0.10953513808472121</c:v>
                </c:pt>
                <c:pt idx="1">
                  <c:v>6.0321391027524533E-2</c:v>
                </c:pt>
                <c:pt idx="2">
                  <c:v>0.10029152187678458</c:v>
                </c:pt>
                <c:pt idx="3">
                  <c:v>0.11489366774251643</c:v>
                </c:pt>
                <c:pt idx="4">
                  <c:v>0.10293137633845451</c:v>
                </c:pt>
                <c:pt idx="5">
                  <c:v>0.11791110099805442</c:v>
                </c:pt>
                <c:pt idx="6">
                  <c:v>0.10913728039586229</c:v>
                </c:pt>
                <c:pt idx="7">
                  <c:v>0.12925684634820819</c:v>
                </c:pt>
                <c:pt idx="8">
                  <c:v>7.6936029566743946E-2</c:v>
                </c:pt>
                <c:pt idx="9">
                  <c:v>0.13566182798477194</c:v>
                </c:pt>
                <c:pt idx="10">
                  <c:v>3.8707899733140101E-2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CD-42E8-B7CA-26CE15D2BE82}"/>
            </c:ext>
          </c:extLst>
        </c:ser>
        <c:ser>
          <c:idx val="9"/>
          <c:order val="9"/>
          <c:tx>
            <c:strRef>
              <c:f>'Parameters, country spec'!$A$63</c:f>
              <c:strCache>
                <c:ptCount val="1"/>
                <c:pt idx="0">
                  <c:v>By-products</c:v>
                </c:pt>
              </c:strCache>
            </c:strRef>
          </c:tx>
          <c:spPr>
            <a:solidFill>
              <a:srgbClr val="997300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sv-SE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'Parameters, country spec'!$B$53:$L$53</c:f>
              <c:strCache>
                <c:ptCount val="11"/>
                <c:pt idx="0">
                  <c:v>Denmark 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 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f>'Parameters, country spec'!$B$63:$L$63</c:f>
              <c:numCache>
                <c:formatCode>0.000</c:formatCode>
                <c:ptCount val="11"/>
                <c:pt idx="0">
                  <c:v>4.78486464364591E-2</c:v>
                </c:pt>
                <c:pt idx="1">
                  <c:v>0.13292166735094296</c:v>
                </c:pt>
                <c:pt idx="2">
                  <c:v>5.7362554731062478E-2</c:v>
                </c:pt>
                <c:pt idx="3">
                  <c:v>0.20323754818805212</c:v>
                </c:pt>
                <c:pt idx="4">
                  <c:v>9.5470428327137938E-2</c:v>
                </c:pt>
                <c:pt idx="5">
                  <c:v>0.11645641995705991</c:v>
                </c:pt>
                <c:pt idx="6">
                  <c:v>0.11521206449276877</c:v>
                </c:pt>
                <c:pt idx="7">
                  <c:v>1.4083067834104707E-2</c:v>
                </c:pt>
                <c:pt idx="8">
                  <c:v>9.266442137782821E-2</c:v>
                </c:pt>
                <c:pt idx="9">
                  <c:v>2.2394846703331771E-2</c:v>
                </c:pt>
                <c:pt idx="10">
                  <c:v>0.11190565161757898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6CD-42E8-B7CA-26CE15D2BE82}"/>
            </c:ext>
          </c:extLst>
        </c:ser>
        <c:ser>
          <c:idx val="10"/>
          <c:order val="10"/>
          <c:tx>
            <c:strRef>
              <c:f>'Parameters, country spec'!$A$64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264478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sv-SE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'Parameters, country spec'!$B$53:$L$53</c:f>
              <c:strCache>
                <c:ptCount val="11"/>
                <c:pt idx="0">
                  <c:v>Denmark </c:v>
                </c:pt>
                <c:pt idx="1">
                  <c:v>France</c:v>
                </c:pt>
                <c:pt idx="2">
                  <c:v>Germany</c:v>
                </c:pt>
                <c:pt idx="3">
                  <c:v>Greece</c:v>
                </c:pt>
                <c:pt idx="4">
                  <c:v>Hungary </c:v>
                </c:pt>
                <c:pt idx="5">
                  <c:v>Ireland</c:v>
                </c:pt>
                <c:pt idx="6">
                  <c:v>Italy</c:v>
                </c:pt>
                <c:pt idx="7">
                  <c:v>Netherlands</c:v>
                </c:pt>
                <c:pt idx="8">
                  <c:v>Poland</c:v>
                </c:pt>
                <c:pt idx="9">
                  <c:v>Spain</c:v>
                </c:pt>
                <c:pt idx="10">
                  <c:v>Sweden</c:v>
                </c:pt>
              </c:strCache>
            </c:strRef>
          </c:cat>
          <c:val>
            <c:numRef>
              <c:f>'Parameters, country spec'!$B$64:$L$64</c:f>
              <c:numCache>
                <c:formatCode>0.000</c:formatCode>
                <c:ptCount val="11"/>
                <c:pt idx="0">
                  <c:v>9.2616215478819708E-2</c:v>
                </c:pt>
                <c:pt idx="1">
                  <c:v>8.1971273601554581E-2</c:v>
                </c:pt>
                <c:pt idx="2">
                  <c:v>2.0606758320839205E-2</c:v>
                </c:pt>
                <c:pt idx="3">
                  <c:v>0.21952265780519725</c:v>
                </c:pt>
                <c:pt idx="4">
                  <c:v>9.8866274481350727E-2</c:v>
                </c:pt>
                <c:pt idx="5">
                  <c:v>0.13155896511557413</c:v>
                </c:pt>
                <c:pt idx="6">
                  <c:v>0.10718800646362231</c:v>
                </c:pt>
                <c:pt idx="7">
                  <c:v>5.5426839726735837E-2</c:v>
                </c:pt>
                <c:pt idx="8">
                  <c:v>0.12433877851873028</c:v>
                </c:pt>
                <c:pt idx="9">
                  <c:v>3.1338846422248039E-2</c:v>
                </c:pt>
                <c:pt idx="10">
                  <c:v>9.3875935928455001E-2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6CD-42E8-B7CA-26CE15D2B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224726"/>
        <c:axId val="45228633"/>
      </c:barChart>
      <c:catAx>
        <c:axId val="3122472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sv-SE"/>
          </a:p>
        </c:txPr>
        <c:crossAx val="45228633"/>
        <c:crosses val="autoZero"/>
        <c:auto val="1"/>
        <c:lblAlgn val="ctr"/>
        <c:lblOffset val="100"/>
        <c:noMultiLvlLbl val="0"/>
      </c:catAx>
      <c:valAx>
        <c:axId val="4522863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6480">
            <a:noFill/>
            <a:prstDash val="solid"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sv-SE"/>
          </a:p>
        </c:txPr>
        <c:crossAx val="31224726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sv-S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145800</xdr:colOff>
      <xdr:row>7</xdr:row>
      <xdr:rowOff>30240</xdr:rowOff>
    </xdr:from>
    <xdr:to>
      <xdr:col>13</xdr:col>
      <xdr:colOff>273240</xdr:colOff>
      <xdr:row>33</xdr:row>
      <xdr:rowOff>76680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33480</xdr:colOff>
      <xdr:row>30</xdr:row>
      <xdr:rowOff>175680</xdr:rowOff>
    </xdr:from>
    <xdr:to>
      <xdr:col>6</xdr:col>
      <xdr:colOff>585000</xdr:colOff>
      <xdr:row>48</xdr:row>
      <xdr:rowOff>94320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19</xdr:col>
      <xdr:colOff>285840</xdr:colOff>
      <xdr:row>5</xdr:row>
      <xdr:rowOff>8640</xdr:rowOff>
    </xdr:from>
    <xdr:to>
      <xdr:col>26</xdr:col>
      <xdr:colOff>473760</xdr:colOff>
      <xdr:row>17</xdr:row>
      <xdr:rowOff>170640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6440" y="1046880"/>
          <a:ext cx="4446360" cy="317196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409680</xdr:colOff>
      <xdr:row>50</xdr:row>
      <xdr:rowOff>19080</xdr:rowOff>
    </xdr:from>
    <xdr:to>
      <xdr:col>19</xdr:col>
      <xdr:colOff>361800</xdr:colOff>
      <xdr:row>66</xdr:row>
      <xdr:rowOff>66240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24</xdr:col>
      <xdr:colOff>553680</xdr:colOff>
      <xdr:row>9</xdr:row>
      <xdr:rowOff>177120</xdr:rowOff>
    </xdr:from>
    <xdr:to>
      <xdr:col>39</xdr:col>
      <xdr:colOff>579240</xdr:colOff>
      <xdr:row>73</xdr:row>
      <xdr:rowOff>177120</xdr:rowOff>
    </xdr:to>
    <xdr:pic>
      <xdr:nvPicPr>
        <xdr:cNvPr id="4" name="Bildobjekt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523400" y="1853640"/>
          <a:ext cx="9150480" cy="1158228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42</xdr:col>
      <xdr:colOff>0</xdr:colOff>
      <xdr:row>10</xdr:row>
      <xdr:rowOff>0</xdr:rowOff>
    </xdr:from>
    <xdr:to>
      <xdr:col>59</xdr:col>
      <xdr:colOff>480960</xdr:colOff>
      <xdr:row>39</xdr:row>
      <xdr:rowOff>38520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919840" y="1857240"/>
          <a:ext cx="10822320" cy="528696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106</xdr:row>
      <xdr:rowOff>27000</xdr:rowOff>
    </xdr:from>
    <xdr:to>
      <xdr:col>9</xdr:col>
      <xdr:colOff>817560</xdr:colOff>
      <xdr:row>133</xdr:row>
      <xdr:rowOff>111600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115440"/>
          <a:ext cx="9182880" cy="497088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70920</xdr:rowOff>
    </xdr:from>
    <xdr:to>
      <xdr:col>8</xdr:col>
      <xdr:colOff>9000</xdr:colOff>
      <xdr:row>46</xdr:row>
      <xdr:rowOff>19440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66840"/>
          <a:ext cx="5971680" cy="266328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0</xdr:col>
      <xdr:colOff>66600</xdr:colOff>
      <xdr:row>5</xdr:row>
      <xdr:rowOff>135360</xdr:rowOff>
    </xdr:from>
    <xdr:to>
      <xdr:col>7</xdr:col>
      <xdr:colOff>580680</xdr:colOff>
      <xdr:row>28</xdr:row>
      <xdr:rowOff>27360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00" y="1126080"/>
          <a:ext cx="5868360" cy="405432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fao.org/3/I8686EN/i8686en.pdf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</sheetPr>
  <dimension ref="A2:B26"/>
  <sheetViews>
    <sheetView zoomScale="80" zoomScaleNormal="80" workbookViewId="0">
      <selection activeCell="C23" sqref="C23"/>
    </sheetView>
  </sheetViews>
  <sheetFormatPr defaultColWidth="8.6328125" defaultRowHeight="14.5" x14ac:dyDescent="0.35"/>
  <cols>
    <col min="1" max="1" width="8.54296875" style="1" customWidth="1"/>
    <col min="2" max="2" width="18.453125" customWidth="1"/>
    <col min="3" max="3" width="31.453125" customWidth="1"/>
    <col min="4" max="4" width="24.54296875" customWidth="1"/>
  </cols>
  <sheetData>
    <row r="2" spans="1:2" ht="21" customHeight="1" x14ac:dyDescent="0.5">
      <c r="A2" s="2" t="s">
        <v>60</v>
      </c>
    </row>
    <row r="4" spans="1:2" x14ac:dyDescent="0.35">
      <c r="A4" s="1" t="s">
        <v>61</v>
      </c>
    </row>
    <row r="6" spans="1:2" x14ac:dyDescent="0.35">
      <c r="A6" s="1" t="s">
        <v>62</v>
      </c>
    </row>
    <row r="8" spans="1:2" x14ac:dyDescent="0.35">
      <c r="A8" s="3"/>
      <c r="B8" t="s">
        <v>63</v>
      </c>
    </row>
    <row r="9" spans="1:2" x14ac:dyDescent="0.35">
      <c r="A9" s="4"/>
      <c r="B9" t="s">
        <v>64</v>
      </c>
    </row>
    <row r="10" spans="1:2" x14ac:dyDescent="0.35">
      <c r="A10" s="5"/>
      <c r="B10" t="s">
        <v>65</v>
      </c>
    </row>
    <row r="11" spans="1:2" x14ac:dyDescent="0.35">
      <c r="A11" s="6"/>
      <c r="B11" t="s">
        <v>66</v>
      </c>
    </row>
    <row r="26" spans="1:1" x14ac:dyDescent="0.35">
      <c r="A26" s="7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F7F7F"/>
  </sheetPr>
  <dimension ref="A2:R53"/>
  <sheetViews>
    <sheetView topLeftCell="A10" zoomScale="87" zoomScaleNormal="87" workbookViewId="0">
      <selection activeCell="B7" sqref="B7"/>
    </sheetView>
  </sheetViews>
  <sheetFormatPr defaultColWidth="8.6328125" defaultRowHeight="14.5" x14ac:dyDescent="0.35"/>
  <cols>
    <col min="1" max="1" width="13.6328125" customWidth="1"/>
  </cols>
  <sheetData>
    <row r="2" spans="1:18" ht="21" customHeight="1" x14ac:dyDescent="0.5">
      <c r="A2" s="8" t="s">
        <v>66</v>
      </c>
    </row>
    <row r="4" spans="1:18" ht="18" customHeight="1" x14ac:dyDescent="0.45">
      <c r="A4" s="9" t="s">
        <v>67</v>
      </c>
    </row>
    <row r="6" spans="1:18" ht="72" customHeight="1" x14ac:dyDescent="0.35">
      <c r="B6" s="10" t="s">
        <v>68</v>
      </c>
      <c r="C6" s="10" t="s">
        <v>69</v>
      </c>
      <c r="D6" s="10" t="s">
        <v>70</v>
      </c>
      <c r="E6" s="10" t="s">
        <v>71</v>
      </c>
      <c r="F6" s="10" t="s">
        <v>72</v>
      </c>
      <c r="G6" s="10" t="s">
        <v>73</v>
      </c>
      <c r="H6" s="10" t="s">
        <v>74</v>
      </c>
      <c r="I6" s="11" t="s">
        <v>75</v>
      </c>
      <c r="J6" s="11" t="s">
        <v>76</v>
      </c>
      <c r="K6" s="10" t="s">
        <v>77</v>
      </c>
      <c r="L6" s="10" t="s">
        <v>78</v>
      </c>
      <c r="M6" s="10" t="s">
        <v>79</v>
      </c>
      <c r="P6" t="s">
        <v>80</v>
      </c>
      <c r="R6" t="s">
        <v>81</v>
      </c>
    </row>
    <row r="7" spans="1:18" ht="15" customHeight="1" x14ac:dyDescent="0.35">
      <c r="A7" s="12" t="s">
        <v>44</v>
      </c>
      <c r="B7" s="13">
        <f>'GHG det, per kg meat'!H26</f>
        <v>0.26403225405900987</v>
      </c>
      <c r="C7" s="13">
        <f>'GHG det, per kg meat'!I26</f>
        <v>0.14884189445231183</v>
      </c>
      <c r="D7">
        <f>'GHG det, per kg meat'!J26+'GHG det, per kg meat'!K26</f>
        <v>0.72761349943470088</v>
      </c>
      <c r="E7" s="13">
        <f>'GHG det, per kg meat'!L26</f>
        <v>0.25704381359774925</v>
      </c>
      <c r="F7" s="13">
        <f>'GHG det, per kg meat'!O26</f>
        <v>0.23106044555802335</v>
      </c>
      <c r="G7" s="13">
        <f>'GHG det, per kg meat'!P26</f>
        <v>0.26289894707677608</v>
      </c>
      <c r="H7" s="13">
        <f>'GHG det, per kg meat'!R26</f>
        <v>0.23780349189833383</v>
      </c>
      <c r="I7" s="13">
        <f>'GHG det, per kg meat'!S26</f>
        <v>0.25045059226301886</v>
      </c>
      <c r="J7" s="13">
        <f>'GHG det, per kg meat'!T26</f>
        <v>4.6239266626924742</v>
      </c>
      <c r="K7" s="13">
        <f>'GHG det, per kg meat'!W26</f>
        <v>0.53247711368394268</v>
      </c>
      <c r="L7" s="13">
        <f>'GHG det, per kg meat'!X26</f>
        <v>0.22809149939481205</v>
      </c>
      <c r="M7">
        <f t="shared" ref="M7:M17" si="0">SUM(B7:L7)</f>
        <v>7.7642402141111528</v>
      </c>
      <c r="P7" t="s">
        <v>44</v>
      </c>
      <c r="R7" t="s">
        <v>44</v>
      </c>
    </row>
    <row r="8" spans="1:18" ht="15" customHeight="1" x14ac:dyDescent="0.35">
      <c r="A8" s="12" t="s">
        <v>56</v>
      </c>
      <c r="B8" s="13">
        <f>'GHG det, per kg meat'!H56</f>
        <v>0.48695011280034495</v>
      </c>
      <c r="C8" s="13">
        <f>'GHG det, per kg meat'!I56</f>
        <v>0.19640662233356057</v>
      </c>
      <c r="D8">
        <f>'GHG det, per kg meat'!J56+'GHG det, per kg meat'!K56</f>
        <v>1.0342953428570674</v>
      </c>
      <c r="E8" s="13">
        <f>'GHG det, per kg meat'!L56</f>
        <v>0.30921964112302652</v>
      </c>
      <c r="F8" s="13">
        <f>'GHG det, per kg meat'!O56</f>
        <v>0.26092487838117118</v>
      </c>
      <c r="G8" s="13">
        <f>'GHG det, per kg meat'!P56</f>
        <v>0.31235343971826457</v>
      </c>
      <c r="H8" s="13">
        <f>'GHG det, per kg meat'!R56</f>
        <v>0.2671790663278279</v>
      </c>
      <c r="I8" s="13">
        <f>'GHG det, per kg meat'!S56</f>
        <v>0.26801741205335333</v>
      </c>
      <c r="J8" s="13">
        <f>'GHG det, per kg meat'!T56</f>
        <v>2.2857223296963669</v>
      </c>
      <c r="K8" s="13">
        <f>'GHG det, per kg meat'!W56</f>
        <v>0.34626109013583917</v>
      </c>
      <c r="L8" s="13">
        <f>'GHG det, per kg meat'!X56</f>
        <v>0.15521478927554463</v>
      </c>
      <c r="M8">
        <f t="shared" si="0"/>
        <v>5.9225447247023668</v>
      </c>
      <c r="P8" t="s">
        <v>52</v>
      </c>
      <c r="R8" t="s">
        <v>52</v>
      </c>
    </row>
    <row r="9" spans="1:18" ht="15" customHeight="1" x14ac:dyDescent="0.35">
      <c r="A9" s="12" t="s">
        <v>52</v>
      </c>
      <c r="B9" s="13">
        <f>'GHG det, per kg meat'!H46</f>
        <v>0.29944069514254362</v>
      </c>
      <c r="C9" s="13">
        <f>'GHG det, per kg meat'!I46</f>
        <v>0.15849920395401348</v>
      </c>
      <c r="D9">
        <f>'GHG det, per kg meat'!J46+'GHG det, per kg meat'!K46</f>
        <v>0.70851011003043129</v>
      </c>
      <c r="E9" s="13">
        <f>'GHG det, per kg meat'!L46</f>
        <v>0.15278681419462142</v>
      </c>
      <c r="F9" s="13">
        <f>'GHG det, per kg meat'!O46</f>
        <v>0.24018795548291511</v>
      </c>
      <c r="G9" s="13">
        <f>'GHG det, per kg meat'!P46</f>
        <v>0.2388444443373417</v>
      </c>
      <c r="H9" s="13">
        <f>'GHG det, per kg meat'!R46</f>
        <v>0.23496083260263442</v>
      </c>
      <c r="I9" s="13">
        <f>'GHG det, per kg meat'!S46</f>
        <v>0.23365465903364924</v>
      </c>
      <c r="J9" s="13">
        <f>'GHG det, per kg meat'!T46</f>
        <v>2.5704535209359514</v>
      </c>
      <c r="K9" s="13">
        <f>'GHG det, per kg meat'!W46</f>
        <v>0.41704320093414959</v>
      </c>
      <c r="L9" s="13">
        <f>'GHG det, per kg meat'!X46</f>
        <v>0.19720038043506913</v>
      </c>
      <c r="M9">
        <f t="shared" si="0"/>
        <v>5.4515818170833201</v>
      </c>
      <c r="P9" s="14" t="s">
        <v>56</v>
      </c>
      <c r="R9" t="s">
        <v>82</v>
      </c>
    </row>
    <row r="10" spans="1:18" ht="15" customHeight="1" x14ac:dyDescent="0.35">
      <c r="A10" s="12" t="s">
        <v>50</v>
      </c>
      <c r="B10" s="13">
        <f>'GHG det, per kg meat'!H41</f>
        <v>0.18825362808366303</v>
      </c>
      <c r="C10" s="13">
        <f>'GHG det, per kg meat'!I41</f>
        <v>0.15095399646996174</v>
      </c>
      <c r="D10">
        <f>'GHG det, per kg meat'!J41+'GHG det, per kg meat'!K41</f>
        <v>0.65040983252202456</v>
      </c>
      <c r="E10" s="13">
        <f>'GHG det, per kg meat'!L41</f>
        <v>0.1633812494571108</v>
      </c>
      <c r="F10" s="13">
        <f>'GHG det, per kg meat'!O41</f>
        <v>0.21231361975979182</v>
      </c>
      <c r="G10" s="13">
        <f>'GHG det, per kg meat'!P41</f>
        <v>0.21659937219817302</v>
      </c>
      <c r="H10" s="13">
        <f>'GHG det, per kg meat'!R41</f>
        <v>0.1907974713633617</v>
      </c>
      <c r="I10" s="13">
        <f>'GHG det, per kg meat'!S41</f>
        <v>0.16859733858933262</v>
      </c>
      <c r="J10" s="13">
        <f>'GHG det, per kg meat'!T41</f>
        <v>2.614965843636444</v>
      </c>
      <c r="K10" s="13">
        <f>'GHG det, per kg meat'!W41</f>
        <v>0.25080030870102826</v>
      </c>
      <c r="L10" s="13">
        <f>'GHG det, per kg meat'!X41</f>
        <v>0.17064176158895716</v>
      </c>
      <c r="M10">
        <f t="shared" si="0"/>
        <v>4.9777144223698491</v>
      </c>
      <c r="P10" t="s">
        <v>50</v>
      </c>
      <c r="R10" t="s">
        <v>42</v>
      </c>
    </row>
    <row r="11" spans="1:18" ht="15" customHeight="1" x14ac:dyDescent="0.35">
      <c r="A11" s="12" t="s">
        <v>46</v>
      </c>
      <c r="B11" s="13">
        <f>'GHG det, per kg meat'!H31</f>
        <v>0.32625744993878858</v>
      </c>
      <c r="C11" s="13">
        <f>'GHG det, per kg meat'!I31</f>
        <v>0.17888643001238932</v>
      </c>
      <c r="D11">
        <f>'GHG det, per kg meat'!J31+'GHG det, per kg meat'!K31</f>
        <v>0.94565531472946773</v>
      </c>
      <c r="E11" s="13">
        <f>'GHG det, per kg meat'!L31</f>
        <v>0.21755927235408043</v>
      </c>
      <c r="F11" s="13">
        <f>'GHG det, per kg meat'!O31</f>
        <v>0.25566802027050778</v>
      </c>
      <c r="G11" s="13">
        <f>'GHG det, per kg meat'!P31</f>
        <v>0.26275643626119827</v>
      </c>
      <c r="H11" s="13">
        <f>'GHG det, per kg meat'!R31</f>
        <v>0.18221524361676397</v>
      </c>
      <c r="I11" s="13">
        <f>'GHG det, per kg meat'!S31</f>
        <v>0.26501290611804224</v>
      </c>
      <c r="J11" s="13">
        <f>'GHG det, per kg meat'!T31</f>
        <v>1.4994277332077484</v>
      </c>
      <c r="K11" s="13">
        <f>'GHG det, per kg meat'!W31</f>
        <v>0.44809450797131306</v>
      </c>
      <c r="L11" s="13">
        <f>'GHG det, per kg meat'!X31</f>
        <v>0.18982700395387897</v>
      </c>
      <c r="M11">
        <f t="shared" si="0"/>
        <v>4.7713603184341791</v>
      </c>
      <c r="P11" t="s">
        <v>40</v>
      </c>
      <c r="R11" t="s">
        <v>50</v>
      </c>
    </row>
    <row r="12" spans="1:18" ht="15" customHeight="1" x14ac:dyDescent="0.35">
      <c r="A12" s="12" t="s">
        <v>40</v>
      </c>
      <c r="B12" s="13">
        <f>'GHG det, per kg meat'!H16</f>
        <v>0.28782488546745827</v>
      </c>
      <c r="C12" s="13">
        <f>'GHG det, per kg meat'!I16</f>
        <v>0.15657272394716876</v>
      </c>
      <c r="D12">
        <f>'GHG det, per kg meat'!J16+'GHG det, per kg meat'!K16</f>
        <v>0.77835376433635328</v>
      </c>
      <c r="E12" s="13">
        <f>'GHG det, per kg meat'!L16</f>
        <v>0.16263327084793605</v>
      </c>
      <c r="F12" s="13">
        <f>'GHG det, per kg meat'!O16</f>
        <v>0.19659117716403043</v>
      </c>
      <c r="G12" s="13">
        <f>'GHG det, per kg meat'!P16</f>
        <v>0.13474615042091317</v>
      </c>
      <c r="H12" s="13">
        <f>'GHG det, per kg meat'!R16</f>
        <v>0.13103508393034971</v>
      </c>
      <c r="I12" s="13">
        <f>'GHG det, per kg meat'!S16</f>
        <v>0.25084052015722796</v>
      </c>
      <c r="J12" s="13">
        <f>'GHG det, per kg meat'!T16</f>
        <v>2.3172073361937073</v>
      </c>
      <c r="K12" s="13">
        <f>'GHG det, per kg meat'!W16</f>
        <v>0.21438718076605331</v>
      </c>
      <c r="L12" s="13">
        <f>'GHG det, per kg meat'!X16</f>
        <v>0.11598067758352727</v>
      </c>
      <c r="M12">
        <f t="shared" si="0"/>
        <v>4.7461727708147254</v>
      </c>
      <c r="P12" s="14" t="s">
        <v>42</v>
      </c>
      <c r="R12" t="s">
        <v>48</v>
      </c>
    </row>
    <row r="13" spans="1:18" ht="15" customHeight="1" x14ac:dyDescent="0.35">
      <c r="A13" s="12" t="s">
        <v>42</v>
      </c>
      <c r="B13" s="13">
        <f>'GHG det, per kg meat'!H21</f>
        <v>0.29050923105693693</v>
      </c>
      <c r="C13" s="13">
        <f>'GHG det, per kg meat'!I21</f>
        <v>0.16228760934671818</v>
      </c>
      <c r="D13">
        <f>'GHG det, per kg meat'!J21+'GHG det, per kg meat'!K21</f>
        <v>0.75439311391065056</v>
      </c>
      <c r="E13" s="13">
        <f>'GHG det, per kg meat'!L21</f>
        <v>0.15966523784067771</v>
      </c>
      <c r="F13" s="13">
        <f>'GHG det, per kg meat'!O21</f>
        <v>0.24404753426180281</v>
      </c>
      <c r="G13" s="13">
        <f>'GHG det, per kg meat'!P21</f>
        <v>0.21041098438363776</v>
      </c>
      <c r="H13" s="13">
        <f>'GHG det, per kg meat'!R21</f>
        <v>0.20817156248353816</v>
      </c>
      <c r="I13" s="13">
        <f>'GHG det, per kg meat'!S21</f>
        <v>0.23949945980847603</v>
      </c>
      <c r="J13" s="13">
        <f>'GHG det, per kg meat'!T21</f>
        <v>1.8346236183408819</v>
      </c>
      <c r="K13" s="13">
        <f>'GHG det, per kg meat'!W21</f>
        <v>0.40906584583411865</v>
      </c>
      <c r="L13" s="13">
        <f>'GHG det, per kg meat'!X21</f>
        <v>0.19091242509362347</v>
      </c>
      <c r="M13">
        <f t="shared" si="0"/>
        <v>4.7035866223610618</v>
      </c>
      <c r="P13" t="s">
        <v>54</v>
      </c>
      <c r="R13" t="s">
        <v>40</v>
      </c>
    </row>
    <row r="14" spans="1:18" ht="15" customHeight="1" x14ac:dyDescent="0.35">
      <c r="A14" s="12" t="s">
        <v>54</v>
      </c>
      <c r="B14" s="13">
        <f>'GHG det, per kg meat'!H51</f>
        <v>0.36093529017521653</v>
      </c>
      <c r="C14" s="13">
        <f>'GHG det, per kg meat'!I51</f>
        <v>0.16906965161189427</v>
      </c>
      <c r="D14">
        <f>'GHG det, per kg meat'!J51+'GHG det, per kg meat'!K51</f>
        <v>1.0128186992602064</v>
      </c>
      <c r="E14" s="13">
        <f>'GHG det, per kg meat'!L51</f>
        <v>0.22903581248505392</v>
      </c>
      <c r="F14" s="13">
        <f>'GHG det, per kg meat'!O51</f>
        <v>0.30134981134021271</v>
      </c>
      <c r="G14" s="13">
        <f>'GHG det, per kg meat'!P51</f>
        <v>0.25009243304569884</v>
      </c>
      <c r="H14" s="13">
        <f>'GHG det, per kg meat'!R51</f>
        <v>0.13959535031041617</v>
      </c>
      <c r="I14" s="13">
        <f>'GHG det, per kg meat'!S51</f>
        <v>0.25045059226301886</v>
      </c>
      <c r="J14" s="13">
        <f>'GHG det, per kg meat'!T51</f>
        <v>0.76988479092925</v>
      </c>
      <c r="K14" s="13">
        <f>'GHG det, per kg meat'!W51</f>
        <v>0.72376427818922162</v>
      </c>
      <c r="L14" s="13">
        <f>'GHG det, per kg meat'!X51</f>
        <v>0.29540279930703411</v>
      </c>
      <c r="M14">
        <f t="shared" si="0"/>
        <v>4.5023995089172235</v>
      </c>
      <c r="P14" s="15" t="s">
        <v>82</v>
      </c>
      <c r="R14" t="s">
        <v>56</v>
      </c>
    </row>
    <row r="15" spans="1:18" ht="15" customHeight="1" x14ac:dyDescent="0.35">
      <c r="A15" s="12" t="s">
        <v>38</v>
      </c>
      <c r="B15" s="13">
        <f>'GHG det, per kg meat'!H11</f>
        <v>0.43427161140217208</v>
      </c>
      <c r="C15" s="13">
        <f>'GHG det, per kg meat'!I11</f>
        <v>0.16537335282703572</v>
      </c>
      <c r="D15">
        <f>'GHG det, per kg meat'!J11+'GHG det, per kg meat'!K11</f>
        <v>1.1886997533777748</v>
      </c>
      <c r="E15" s="13">
        <f>'GHG det, per kg meat'!L11</f>
        <v>0.1793154482215262</v>
      </c>
      <c r="F15" s="13">
        <f>'GHG det, per kg meat'!O11</f>
        <v>0.23037197682301994</v>
      </c>
      <c r="G15" s="13">
        <f>'GHG det, per kg meat'!P11</f>
        <v>0.12684281172121623</v>
      </c>
      <c r="H15" s="13">
        <f>'GHG det, per kg meat'!R11</f>
        <v>8.9671000320094174E-2</v>
      </c>
      <c r="I15" s="13">
        <f>'GHG det, per kg meat'!S11</f>
        <v>0.26528310443887937</v>
      </c>
      <c r="J15" s="13">
        <f>'GHG det, per kg meat'!T11</f>
        <v>0.68350905223689873</v>
      </c>
      <c r="K15" s="13">
        <f>'GHG det, per kg meat'!W11</f>
        <v>0.44090826056000615</v>
      </c>
      <c r="L15" s="13">
        <f>'GHG det, per kg meat'!X11</f>
        <v>0.18384878530394308</v>
      </c>
      <c r="M15">
        <f t="shared" si="0"/>
        <v>3.9880951572325669</v>
      </c>
      <c r="P15" t="s">
        <v>48</v>
      </c>
      <c r="R15" t="s">
        <v>54</v>
      </c>
    </row>
    <row r="16" spans="1:18" ht="15" customHeight="1" x14ac:dyDescent="0.35">
      <c r="A16" s="12" t="s">
        <v>48</v>
      </c>
      <c r="B16" s="13">
        <f>'GHG det, per kg meat'!H36</f>
        <v>0.22899818030755145</v>
      </c>
      <c r="C16" s="13">
        <f>'GHG det, per kg meat'!I36</f>
        <v>0.16221981756370574</v>
      </c>
      <c r="D16">
        <f>'GHG det, per kg meat'!J36+'GHG det, per kg meat'!K36</f>
        <v>0.63502626651271588</v>
      </c>
      <c r="E16" s="13">
        <f>'GHG det, per kg meat'!L36</f>
        <v>0.1623170274509747</v>
      </c>
      <c r="F16" s="13">
        <f>'GHG det, per kg meat'!O36</f>
        <v>0.22796651374739263</v>
      </c>
      <c r="G16" s="13">
        <f>'GHG det, per kg meat'!P36</f>
        <v>0.2706490564857098</v>
      </c>
      <c r="H16" s="13">
        <f>'GHG det, per kg meat'!R36</f>
        <v>0.24950995688522579</v>
      </c>
      <c r="I16" s="13">
        <f>'GHG det, per kg meat'!S36</f>
        <v>0.25164592451300122</v>
      </c>
      <c r="J16" s="13">
        <f>'GHG det, per kg meat'!T36</f>
        <v>0.60150291507981013</v>
      </c>
      <c r="K16" s="13">
        <f>'GHG det, per kg meat'!W36</f>
        <v>0.38534626021895663</v>
      </c>
      <c r="L16" s="13">
        <f>'GHG det, per kg meat'!X36</f>
        <v>0.17576442528478409</v>
      </c>
      <c r="M16">
        <f t="shared" si="0"/>
        <v>3.3509463440498282</v>
      </c>
      <c r="P16" s="16" t="s">
        <v>83</v>
      </c>
      <c r="R16" t="s">
        <v>83</v>
      </c>
    </row>
    <row r="17" spans="1:18" ht="15" customHeight="1" x14ac:dyDescent="0.35">
      <c r="A17" s="17" t="s">
        <v>58</v>
      </c>
      <c r="B17" s="13">
        <f>'GHG det, per kg meat'!H61</f>
        <v>0.31979966707973867</v>
      </c>
      <c r="C17" s="13">
        <f>'GHG det, per kg meat'!I61</f>
        <v>0.1642793078252674</v>
      </c>
      <c r="D17">
        <f>'GHG det, per kg meat'!J61+'GHG det, per kg meat'!K61</f>
        <v>0.91063587292372472</v>
      </c>
      <c r="E17" s="13">
        <f>'GHG det, per kg meat'!L61</f>
        <v>0.22111286618545489</v>
      </c>
      <c r="F17" s="13">
        <f>'GHG det, per kg meat'!O61</f>
        <v>0.20024962621839085</v>
      </c>
      <c r="G17" s="13">
        <f>'GHG det, per kg meat'!P61</f>
        <v>0.20670845488859574</v>
      </c>
      <c r="H17" s="13">
        <f>'GHG det, per kg meat'!R61</f>
        <v>8.9409779780126486E-2</v>
      </c>
      <c r="I17" s="13">
        <f>'GHG det, per kg meat'!S61</f>
        <v>0.24820308156550955</v>
      </c>
      <c r="J17" s="13">
        <f>'GHG det, per kg meat'!T61</f>
        <v>0.67187738770938832</v>
      </c>
      <c r="K17" s="13">
        <f>'GHG det, per kg meat'!W61</f>
        <v>0.12373069788073357</v>
      </c>
      <c r="L17" s="13">
        <f>'GHG det, per kg meat'!X61</f>
        <v>0.11536067787676316</v>
      </c>
      <c r="M17">
        <f t="shared" si="0"/>
        <v>3.2713674199336937</v>
      </c>
      <c r="P17" t="s">
        <v>58</v>
      </c>
      <c r="R17" t="s">
        <v>58</v>
      </c>
    </row>
    <row r="18" spans="1:18" ht="15" customHeight="1" x14ac:dyDescent="0.35">
      <c r="A18" s="11"/>
    </row>
    <row r="19" spans="1:18" ht="15" customHeight="1" x14ac:dyDescent="0.35">
      <c r="A19" s="10"/>
    </row>
    <row r="20" spans="1:18" ht="15" customHeight="1" x14ac:dyDescent="0.35">
      <c r="A20" s="10"/>
      <c r="P20" t="s">
        <v>84</v>
      </c>
    </row>
    <row r="21" spans="1:18" x14ac:dyDescent="0.35">
      <c r="P21" t="s">
        <v>85</v>
      </c>
    </row>
    <row r="22" spans="1:18" x14ac:dyDescent="0.35">
      <c r="P22" t="s">
        <v>86</v>
      </c>
    </row>
    <row r="23" spans="1:18" x14ac:dyDescent="0.35">
      <c r="P23" t="s">
        <v>87</v>
      </c>
    </row>
    <row r="24" spans="1:18" x14ac:dyDescent="0.35">
      <c r="P24" t="s">
        <v>88</v>
      </c>
    </row>
    <row r="25" spans="1:18" x14ac:dyDescent="0.35">
      <c r="P25" t="s">
        <v>89</v>
      </c>
    </row>
    <row r="30" spans="1:18" ht="18" customHeight="1" x14ac:dyDescent="0.45">
      <c r="A30" s="9" t="s">
        <v>90</v>
      </c>
    </row>
    <row r="33" spans="1:2" x14ac:dyDescent="0.35">
      <c r="A33" t="s">
        <v>38</v>
      </c>
      <c r="B33">
        <v>0.34945446776871297</v>
      </c>
    </row>
    <row r="34" spans="1:2" x14ac:dyDescent="0.35">
      <c r="A34" t="s">
        <v>40</v>
      </c>
      <c r="B34">
        <v>0.47801158608011002</v>
      </c>
    </row>
    <row r="35" spans="1:2" x14ac:dyDescent="0.35">
      <c r="A35" t="s">
        <v>42</v>
      </c>
      <c r="B35">
        <v>0.354898327989495</v>
      </c>
    </row>
    <row r="36" spans="1:2" x14ac:dyDescent="0.35">
      <c r="A36" t="s">
        <v>44</v>
      </c>
      <c r="B36">
        <v>0.38101451541952902</v>
      </c>
    </row>
    <row r="37" spans="1:2" x14ac:dyDescent="0.35">
      <c r="A37" t="s">
        <v>46</v>
      </c>
      <c r="B37">
        <v>0.34634087786915302</v>
      </c>
    </row>
    <row r="38" spans="1:2" x14ac:dyDescent="0.35">
      <c r="A38" t="s">
        <v>48</v>
      </c>
      <c r="B38">
        <v>0.33400348040348798</v>
      </c>
    </row>
    <row r="39" spans="1:2" x14ac:dyDescent="0.35">
      <c r="A39" t="s">
        <v>50</v>
      </c>
      <c r="B39">
        <v>0.68514742122479899</v>
      </c>
    </row>
    <row r="40" spans="1:2" x14ac:dyDescent="0.35">
      <c r="A40" t="s">
        <v>52</v>
      </c>
      <c r="B40">
        <v>0.47153216234734402</v>
      </c>
    </row>
    <row r="41" spans="1:2" x14ac:dyDescent="0.35">
      <c r="A41" t="s">
        <v>54</v>
      </c>
      <c r="B41">
        <v>0.34621615899915598</v>
      </c>
    </row>
    <row r="42" spans="1:2" x14ac:dyDescent="0.35">
      <c r="A42" t="s">
        <v>56</v>
      </c>
      <c r="B42">
        <v>1.26377859267891</v>
      </c>
    </row>
    <row r="43" spans="1:2" x14ac:dyDescent="0.35">
      <c r="A43" s="18" t="s">
        <v>58</v>
      </c>
      <c r="B43">
        <v>0.33340768901182799</v>
      </c>
    </row>
    <row r="52" spans="1:1" x14ac:dyDescent="0.35">
      <c r="A52" t="s">
        <v>91</v>
      </c>
    </row>
    <row r="53" spans="1:1" x14ac:dyDescent="0.35">
      <c r="A53" s="19" t="s">
        <v>92</v>
      </c>
    </row>
  </sheetData>
  <autoFilter ref="A6:M6" xr:uid="{00000000-0009-0000-0000-000001000000}">
    <sortState xmlns:xlrd2="http://schemas.microsoft.com/office/spreadsheetml/2017/richdata2" ref="A6:M7">
      <sortCondition descending="1" ref="F6:F7"/>
    </sortState>
  </autoFilter>
  <hyperlinks>
    <hyperlink ref="A53" r:id="rId1" xr:uid="{00000000-0004-0000-0100-000000000000}"/>
  </hyperlinks>
  <pageMargins left="0.7" right="0.7" top="0.75" bottom="0.75" header="0.511811023622047" footer="0.511811023622047"/>
  <pageSetup paperSize="9" orientation="portrait" horizontalDpi="300" verticalDpi="30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5E0B4"/>
  </sheetPr>
  <dimension ref="A2:AA21"/>
  <sheetViews>
    <sheetView zoomScale="60" zoomScaleNormal="60" workbookViewId="0">
      <selection activeCell="A6" sqref="A6:C7"/>
    </sheetView>
  </sheetViews>
  <sheetFormatPr defaultColWidth="8.6328125" defaultRowHeight="14.5" x14ac:dyDescent="0.35"/>
  <cols>
    <col min="1" max="1" width="8.54296875" style="1" customWidth="1"/>
    <col min="2" max="2" width="22.54296875" customWidth="1"/>
    <col min="3" max="3" width="25.453125" customWidth="1"/>
    <col min="4" max="4" width="16.453125" customWidth="1"/>
    <col min="5" max="11" width="10.453125" customWidth="1"/>
    <col min="12" max="13" width="14.54296875" customWidth="1"/>
    <col min="14" max="14" width="14.54296875" style="20" customWidth="1"/>
    <col min="15" max="20" width="14.54296875" customWidth="1"/>
    <col min="21" max="21" width="15.54296875" customWidth="1"/>
  </cols>
  <sheetData>
    <row r="2" spans="1:21" ht="21" customHeight="1" x14ac:dyDescent="0.5">
      <c r="A2" s="2" t="s">
        <v>93</v>
      </c>
      <c r="M2" s="21" t="s">
        <v>1</v>
      </c>
    </row>
    <row r="3" spans="1:21" x14ac:dyDescent="0.35">
      <c r="P3" s="22"/>
      <c r="R3" s="22"/>
      <c r="S3" s="23"/>
      <c r="T3" s="23"/>
      <c r="U3" s="23"/>
    </row>
    <row r="4" spans="1:21" x14ac:dyDescent="0.35">
      <c r="A4" s="24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6"/>
      <c r="O4" s="25"/>
      <c r="P4" s="27"/>
      <c r="Q4" s="25"/>
      <c r="R4" s="27"/>
      <c r="S4" s="28"/>
      <c r="T4" s="28"/>
      <c r="U4" s="28"/>
    </row>
    <row r="5" spans="1:21" x14ac:dyDescent="0.35">
      <c r="A5" s="29" t="s">
        <v>2</v>
      </c>
      <c r="B5" s="30"/>
      <c r="C5" s="30"/>
      <c r="D5" s="31"/>
      <c r="E5" s="31"/>
      <c r="F5" s="32" t="s">
        <v>3</v>
      </c>
      <c r="G5" s="31"/>
      <c r="H5" s="31"/>
      <c r="I5" s="31"/>
      <c r="J5" s="31"/>
      <c r="K5" s="31"/>
      <c r="L5" s="33" t="s">
        <v>4</v>
      </c>
      <c r="M5" s="33" t="s">
        <v>5</v>
      </c>
      <c r="N5" s="33" t="s">
        <v>6</v>
      </c>
      <c r="O5" s="33" t="s">
        <v>7</v>
      </c>
      <c r="P5" s="34" t="s">
        <v>8</v>
      </c>
      <c r="Q5" s="34" t="s">
        <v>9</v>
      </c>
      <c r="R5" s="34" t="s">
        <v>10</v>
      </c>
      <c r="S5" s="34" t="s">
        <v>11</v>
      </c>
      <c r="T5" s="35" t="s">
        <v>12</v>
      </c>
      <c r="U5" s="35" t="s">
        <v>13</v>
      </c>
    </row>
    <row r="6" spans="1:21" s="47" customFormat="1" ht="43.5" customHeight="1" x14ac:dyDescent="0.35">
      <c r="A6" s="36" t="s">
        <v>14</v>
      </c>
      <c r="B6" s="37" t="s">
        <v>15</v>
      </c>
      <c r="C6" s="37" t="s">
        <v>16</v>
      </c>
      <c r="D6" s="38" t="s">
        <v>17</v>
      </c>
      <c r="E6" s="39" t="s">
        <v>18</v>
      </c>
      <c r="F6" s="40" t="s">
        <v>19</v>
      </c>
      <c r="G6" s="41" t="s">
        <v>20</v>
      </c>
      <c r="H6" s="40" t="s">
        <v>21</v>
      </c>
      <c r="I6" s="40" t="s">
        <v>22</v>
      </c>
      <c r="J6" s="40" t="s">
        <v>23</v>
      </c>
      <c r="K6" s="41" t="s">
        <v>24</v>
      </c>
      <c r="L6" s="42" t="s">
        <v>25</v>
      </c>
      <c r="M6" s="42" t="s">
        <v>26</v>
      </c>
      <c r="N6" s="42" t="s">
        <v>27</v>
      </c>
      <c r="O6" s="43" t="s">
        <v>28</v>
      </c>
      <c r="P6" s="44" t="s">
        <v>29</v>
      </c>
      <c r="Q6" s="45" t="s">
        <v>30</v>
      </c>
      <c r="R6" s="45" t="s">
        <v>31</v>
      </c>
      <c r="S6" s="45" t="s">
        <v>32</v>
      </c>
      <c r="T6" s="46" t="s">
        <v>33</v>
      </c>
      <c r="U6" s="46" t="s">
        <v>34</v>
      </c>
    </row>
    <row r="7" spans="1:21" x14ac:dyDescent="0.35">
      <c r="A7" s="48" t="s">
        <v>94</v>
      </c>
      <c r="B7" s="20" t="s">
        <v>95</v>
      </c>
      <c r="C7" s="16" t="s">
        <v>96</v>
      </c>
      <c r="D7" t="s">
        <v>38</v>
      </c>
      <c r="E7" t="s">
        <v>39</v>
      </c>
      <c r="F7" s="49">
        <f>'Footprints, absolute'!F7/Production!$B$25*AF_meat</f>
        <v>4.4026765044112581</v>
      </c>
      <c r="G7" s="49">
        <f>'Footprints, absolute'!G7/Production!$B$25*AF_meat</f>
        <v>2.1119130675784259</v>
      </c>
      <c r="H7" s="50">
        <f>'Footprints, absolute'!H7/Production!$B$25*AF_meat</f>
        <v>2.2862653738515782E-3</v>
      </c>
      <c r="I7" s="51">
        <f>'Footprints, absolute'!I7/Production!$B$25*AF_meat</f>
        <v>2.4527673199834201E-2</v>
      </c>
      <c r="J7" s="51">
        <f>'Footprints, absolute'!J7/Production!$B$25*AF_meat</f>
        <v>5.7156979937601909E-3</v>
      </c>
      <c r="L7" s="52">
        <f>'Footprints, absolute'!L7/Production!$B$25*AF_meat</f>
        <v>10.230202422751576</v>
      </c>
      <c r="M7" s="53">
        <f>'Footprints, absolute'!M7/Production!$B$25*AF_meat</f>
        <v>0.15865471270096354</v>
      </c>
      <c r="N7" s="53">
        <f>'Footprints, absolute'!N7/Production!$B$25*AF_meat</f>
        <v>1.7887548056947845E-2</v>
      </c>
      <c r="O7" s="52">
        <f>'Footprints, absolute'!O7/Production!$B$25*AF_meat</f>
        <v>0.19098402952020432</v>
      </c>
      <c r="P7" s="54">
        <f>'Footprints, absolute'!P7/Production!$B$25*AF_meat</f>
        <v>0.89451190122598612</v>
      </c>
      <c r="Q7" s="54">
        <f>'Footprints, absolute'!Q7/Production!$B$25*AF_meat</f>
        <v>1.4349119718848448E-10</v>
      </c>
      <c r="R7" s="52">
        <f>'Footprints, absolute'!R7/Production!$B$25*AF_meat</f>
        <v>4.6355609853376049E-2</v>
      </c>
      <c r="S7" s="55"/>
      <c r="T7" s="348">
        <f>'Footprints, absolute'!T7*AF_meat</f>
        <v>3.1611270650436158</v>
      </c>
      <c r="U7" s="56">
        <f>'Footprints, absolute'!U7*AF_meat</f>
        <v>37.866225373253151</v>
      </c>
    </row>
    <row r="8" spans="1:21" x14ac:dyDescent="0.35">
      <c r="A8" s="48" t="s">
        <v>94</v>
      </c>
      <c r="B8" s="20" t="s">
        <v>95</v>
      </c>
      <c r="C8" s="16" t="s">
        <v>96</v>
      </c>
      <c r="D8" t="s">
        <v>40</v>
      </c>
      <c r="E8" t="s">
        <v>41</v>
      </c>
      <c r="F8" s="49">
        <f>'Footprints, absolute'!F8/Production!$C$25*AF_meat</f>
        <v>4.8737277434395399</v>
      </c>
      <c r="G8" s="49">
        <f>'Footprints, absolute'!G8/Production!$C$25*AF_meat</f>
        <v>1.4148029970090026</v>
      </c>
      <c r="H8" s="50">
        <f>'Footprints, absolute'!H8/Production!$C$25*AF_meat</f>
        <v>1.8825312446405173E-3</v>
      </c>
      <c r="I8" s="51">
        <f>'Footprints, absolute'!I8/Production!$C$25*AF_meat</f>
        <v>8.1686695311599583E-2</v>
      </c>
      <c r="J8" s="51">
        <f>'Footprints, absolute'!J8/Production!$C$25*AF_meat</f>
        <v>4.3856576627364849E-3</v>
      </c>
      <c r="L8" s="52">
        <f>'Footprints, absolute'!L8/Production!$C$25*AF_meat</f>
        <v>8.8513876646289198</v>
      </c>
      <c r="M8" s="53">
        <f>'Footprints, absolute'!M8/Production!$C$25*AF_meat</f>
        <v>9.3263408095311903E-2</v>
      </c>
      <c r="N8" s="53">
        <f>'Footprints, absolute'!N8/Production!$C$25*AF_meat</f>
        <v>1.4469558270912159E-2</v>
      </c>
      <c r="O8" s="52">
        <f>'Footprints, absolute'!O8/Production!$C$25*AF_meat</f>
        <v>0.21413111178190145</v>
      </c>
      <c r="P8" s="54">
        <f>'Footprints, absolute'!P8/Production!$C$25*AF_meat</f>
        <v>1.7978050810037878</v>
      </c>
      <c r="Q8" s="54">
        <f>'Footprints, absolute'!Q8/Production!$C$25*AF_meat</f>
        <v>1.5377837952363946E-10</v>
      </c>
      <c r="R8" s="52">
        <f>'Footprints, absolute'!R8/Production!$C$25*AF_meat</f>
        <v>5.6795539495513275E-2</v>
      </c>
      <c r="S8" s="55"/>
      <c r="T8" s="348">
        <f>'Footprints, absolute'!T8*AF_meat</f>
        <v>3.0741054131747667</v>
      </c>
      <c r="U8" s="56">
        <f>'Footprints, absolute'!U8*AF_meat</f>
        <v>55.375688207675438</v>
      </c>
    </row>
    <row r="9" spans="1:21" x14ac:dyDescent="0.35">
      <c r="A9" s="48" t="s">
        <v>94</v>
      </c>
      <c r="B9" s="20" t="s">
        <v>95</v>
      </c>
      <c r="C9" s="16" t="s">
        <v>96</v>
      </c>
      <c r="D9" t="s">
        <v>42</v>
      </c>
      <c r="E9" t="s">
        <v>43</v>
      </c>
      <c r="F9" s="49">
        <f>'Footprints, absolute'!F9/Production!$D$25*AF_meat</f>
        <v>4.9455009635120417</v>
      </c>
      <c r="G9" s="49">
        <f>'Footprints, absolute'!G9/Production!$D$25*AF_meat</f>
        <v>1.9655390525221879</v>
      </c>
      <c r="H9" s="50">
        <f>'Footprints, absolute'!H9/Production!$D$25*AF_meat</f>
        <v>2.614782597893231E-3</v>
      </c>
      <c r="I9" s="51">
        <f>'Footprints, absolute'!I9/Production!$D$25*AF_meat</f>
        <v>5.9801559091349911E-2</v>
      </c>
      <c r="J9" s="51">
        <f>'Footprints, absolute'!J9/Production!$D$25*AF_meat</f>
        <v>4.7157483300592981E-3</v>
      </c>
      <c r="L9" s="52">
        <f>'Footprints, absolute'!L9/Production!$D$25*AF_meat</f>
        <v>8.7029379431521185</v>
      </c>
      <c r="M9" s="53">
        <f>'Footprints, absolute'!M9/Production!$D$25*AF_meat</f>
        <v>9.2355304208388528E-2</v>
      </c>
      <c r="N9" s="53">
        <f>'Footprints, absolute'!N9/Production!$D$25*AF_meat</f>
        <v>1.3803769947799175E-2</v>
      </c>
      <c r="O9" s="52">
        <f>'Footprints, absolute'!O9/Production!$D$25*AF_meat</f>
        <v>0.15217429074149408</v>
      </c>
      <c r="P9" s="54">
        <f>'Footprints, absolute'!P9/Production!$D$25*AF_meat</f>
        <v>1.5023837443260362</v>
      </c>
      <c r="Q9" s="54">
        <f>'Footprints, absolute'!Q9/Production!$D$25*AF_meat</f>
        <v>1.5624588731654337E-10</v>
      </c>
      <c r="R9" s="52">
        <f>'Footprints, absolute'!R9/Production!$D$25*AF_meat</f>
        <v>6.8042425932997239E-2</v>
      </c>
      <c r="S9" s="55"/>
      <c r="T9" s="348">
        <f>'Footprints, absolute'!T9*AF_meat</f>
        <v>2.8364476343107548</v>
      </c>
      <c r="U9" s="56">
        <f>'Footprints, absolute'!U9*AF_meat</f>
        <v>92.777141777078569</v>
      </c>
    </row>
    <row r="10" spans="1:21" x14ac:dyDescent="0.35">
      <c r="A10" s="48" t="s">
        <v>94</v>
      </c>
      <c r="B10" s="20" t="s">
        <v>95</v>
      </c>
      <c r="C10" s="16" t="s">
        <v>96</v>
      </c>
      <c r="D10" t="s">
        <v>44</v>
      </c>
      <c r="E10" t="s">
        <v>45</v>
      </c>
      <c r="F10" s="49">
        <f>'Footprints, absolute'!F10/Production!$E$25*AF_meat</f>
        <v>8.1801524514261548</v>
      </c>
      <c r="G10" s="49">
        <f>'Footprints, absolute'!G10/Production!$E$25*AF_meat</f>
        <v>2.39702930568893</v>
      </c>
      <c r="H10" s="50">
        <f>'Footprints, absolute'!H10/Production!$E$25*AF_meat</f>
        <v>4.4690959592958452E-3</v>
      </c>
      <c r="I10" s="51">
        <f>'Footprints, absolute'!I10/Production!$E$25*AF_meat</f>
        <v>0.16142936174082884</v>
      </c>
      <c r="J10" s="51">
        <f>'Footprints, absolute'!J10/Production!$E$25*AF_meat</f>
        <v>4.7302246122631177E-3</v>
      </c>
      <c r="L10" s="52">
        <f>'Footprints, absolute'!L10/Production!$E$25*AF_meat</f>
        <v>22.418147337566655</v>
      </c>
      <c r="M10" s="53">
        <f>'Footprints, absolute'!M10/Production!$E$25*AF_meat</f>
        <v>0.17494486151478061</v>
      </c>
      <c r="N10" s="53">
        <f>'Footprints, absolute'!N10/Production!$E$25*AF_meat</f>
        <v>1.5692703136296681E-2</v>
      </c>
      <c r="O10" s="52">
        <f>'Footprints, absolute'!O10/Production!$E$25*AF_meat</f>
        <v>0.1472908446760012</v>
      </c>
      <c r="P10" s="54">
        <f>'Footprints, absolute'!P10/Production!$E$25*AF_meat</f>
        <v>2.3686924804283604</v>
      </c>
      <c r="Q10" s="54">
        <f>'Footprints, absolute'!Q10/Production!$E$25*AF_meat</f>
        <v>1.0554739384203928E-9</v>
      </c>
      <c r="R10" s="52">
        <f>'Footprints, absolute'!R10/Production!$E$25*AF_meat</f>
        <v>8.1572039906436147E-2</v>
      </c>
      <c r="S10" s="55"/>
      <c r="T10" s="348">
        <f>'Footprints, absolute'!T10*AF_meat</f>
        <v>3.0310894435177702</v>
      </c>
      <c r="U10" s="56">
        <f>'Footprints, absolute'!U10*AF_meat</f>
        <v>181.0221799237394</v>
      </c>
    </row>
    <row r="11" spans="1:21" x14ac:dyDescent="0.35">
      <c r="A11" s="48" t="s">
        <v>94</v>
      </c>
      <c r="B11" s="20" t="s">
        <v>95</v>
      </c>
      <c r="C11" s="16" t="s">
        <v>96</v>
      </c>
      <c r="D11" t="s">
        <v>46</v>
      </c>
      <c r="E11" t="s">
        <v>47</v>
      </c>
      <c r="F11" s="49">
        <f>'Footprints, absolute'!F11/Production!$F$25*AF_meat</f>
        <v>5.0387379826254195</v>
      </c>
      <c r="G11" s="49">
        <f>'Footprints, absolute'!G11/Production!$F$25*AF_meat</f>
        <v>2.172518101199393</v>
      </c>
      <c r="H11" s="50">
        <f>'Footprints, absolute'!H11/Production!$F$25*AF_meat</f>
        <v>3.2673695104166287E-3</v>
      </c>
      <c r="I11" s="51">
        <f>'Footprints, absolute'!I11/Production!$F$25*AF_meat</f>
        <v>5.1437970021425951E-2</v>
      </c>
      <c r="J11" s="51">
        <f>'Footprints, absolute'!J11/Production!$F$25*AF_meat</f>
        <v>5.0550442470223781E-3</v>
      </c>
      <c r="L11" s="52">
        <f>'Footprints, absolute'!L11/Production!$F$25*AF_meat</f>
        <v>12.334915734615372</v>
      </c>
      <c r="M11" s="53">
        <f>'Footprints, absolute'!M11/Production!$F$25*AF_meat</f>
        <v>0.127602378793886</v>
      </c>
      <c r="N11" s="53">
        <f>'Footprints, absolute'!N11/Production!$F$25*AF_meat</f>
        <v>2.7001996977953722E-2</v>
      </c>
      <c r="O11" s="52">
        <f>'Footprints, absolute'!O11/Production!$F$25*AF_meat</f>
        <v>0.2210231248459445</v>
      </c>
      <c r="P11" s="54">
        <f>'Footprints, absolute'!P11/Production!$F$25*AF_meat</f>
        <v>1.4254949984158967</v>
      </c>
      <c r="Q11" s="54">
        <f>'Footprints, absolute'!Q11/Production!$F$25*AF_meat</f>
        <v>2.412574346239792E-10</v>
      </c>
      <c r="R11" s="52">
        <f>'Footprints, absolute'!R11/Production!$F$25*AF_meat</f>
        <v>5.7342604023680827E-2</v>
      </c>
      <c r="S11" s="55"/>
      <c r="T11" s="348">
        <f>'Footprints, absolute'!T11*AF_meat</f>
        <v>3.0847650048134372</v>
      </c>
      <c r="U11" s="56">
        <f>'Footprints, absolute'!U11*AF_meat</f>
        <v>141.08873402709557</v>
      </c>
    </row>
    <row r="12" spans="1:21" x14ac:dyDescent="0.35">
      <c r="A12" s="48" t="s">
        <v>94</v>
      </c>
      <c r="B12" s="20" t="s">
        <v>95</v>
      </c>
      <c r="C12" s="16" t="s">
        <v>96</v>
      </c>
      <c r="D12" t="s">
        <v>48</v>
      </c>
      <c r="E12" t="s">
        <v>49</v>
      </c>
      <c r="F12" s="49">
        <f>'Footprints, absolute'!F12/Production!$G$25*AF_meat</f>
        <v>3.5780268243476958</v>
      </c>
      <c r="G12" s="49">
        <f>'Footprints, absolute'!G12/Production!$G$25*AF_meat</f>
        <v>1.9578823443967044</v>
      </c>
      <c r="H12" s="50">
        <f>'Footprints, absolute'!H12/Production!$G$25*AF_meat</f>
        <v>2.2856584804402873E-3</v>
      </c>
      <c r="I12" s="51">
        <f>'Footprints, absolute'!I12/Production!$G$25*AF_meat</f>
        <v>2.0046371570298174E-2</v>
      </c>
      <c r="J12" s="51">
        <f>'Footprints, absolute'!J12/Production!$G$25*AF_meat</f>
        <v>3.7024902008638118E-3</v>
      </c>
      <c r="L12" s="52">
        <f>'Footprints, absolute'!L12/Production!$G$25*AF_meat</f>
        <v>8.8395850711258106</v>
      </c>
      <c r="M12" s="53">
        <f>'Footprints, absolute'!M12/Production!$G$25*AF_meat</f>
        <v>9.4126956370624099E-2</v>
      </c>
      <c r="N12" s="53">
        <f>'Footprints, absolute'!N12/Production!$G$25*AF_meat</f>
        <v>1.1423844873225938E-2</v>
      </c>
      <c r="O12" s="52">
        <f>'Footprints, absolute'!O12/Production!$G$25*AF_meat</f>
        <v>0.17793919868409924</v>
      </c>
      <c r="P12" s="54">
        <f>'Footprints, absolute'!P12/Production!$G$25*AF_meat</f>
        <v>2.5044359770778257</v>
      </c>
      <c r="Q12" s="54">
        <f>'Footprints, absolute'!Q12/Production!$G$25*AF_meat</f>
        <v>1.6523698488785566E-10</v>
      </c>
      <c r="R12" s="52">
        <f>'Footprints, absolute'!R12/Production!$G$25*AF_meat</f>
        <v>4.7048234429607393E-2</v>
      </c>
      <c r="S12" s="55"/>
      <c r="T12" s="348">
        <f>'Footprints, absolute'!T12*AF_meat</f>
        <v>2.9473275349468628</v>
      </c>
      <c r="U12" s="56">
        <f>'Footprints, absolute'!U12*AF_meat</f>
        <v>61.421195210096592</v>
      </c>
    </row>
    <row r="13" spans="1:21" x14ac:dyDescent="0.35">
      <c r="A13" s="48" t="s">
        <v>94</v>
      </c>
      <c r="B13" s="20" t="s">
        <v>95</v>
      </c>
      <c r="C13" s="16" t="s">
        <v>96</v>
      </c>
      <c r="D13" t="s">
        <v>50</v>
      </c>
      <c r="E13" t="s">
        <v>51</v>
      </c>
      <c r="F13" s="49">
        <f>'Footprints, absolute'!F13/Production!$H$25*AF_meat</f>
        <v>5.2090411610551008</v>
      </c>
      <c r="G13" s="49">
        <f>'Footprints, absolute'!G13/Production!$H$25*AF_meat</f>
        <v>1.6397727866810126</v>
      </c>
      <c r="H13" s="50">
        <f>'Footprints, absolute'!H13/Production!$H$25*AF_meat</f>
        <v>3.5773467415294411E-3</v>
      </c>
      <c r="I13" s="51">
        <f>'Footprints, absolute'!I13/Production!$H$25*AF_meat</f>
        <v>8.6171059488348287E-2</v>
      </c>
      <c r="J13" s="51">
        <f>'Footprints, absolute'!J13/Production!$H$25*AF_meat</f>
        <v>4.1613363930077208E-3</v>
      </c>
      <c r="L13" s="52">
        <f>'Footprints, absolute'!L13/Production!$H$25*AF_meat</f>
        <v>9.1419229114664038</v>
      </c>
      <c r="M13" s="53">
        <f>'Footprints, absolute'!M13/Production!$H$25*AF_meat</f>
        <v>8.5126775052255077E-2</v>
      </c>
      <c r="N13" s="53">
        <f>'Footprints, absolute'!N13/Production!$H$25*AF_meat</f>
        <v>1.7674391848100889E-2</v>
      </c>
      <c r="O13" s="52">
        <f>'Footprints, absolute'!O13/Production!$H$25*AF_meat</f>
        <v>0.2113462750375929</v>
      </c>
      <c r="P13" s="54">
        <f>'Footprints, absolute'!P13/Production!$H$25*AF_meat</f>
        <v>1.0837798137387953</v>
      </c>
      <c r="Q13" s="54">
        <f>'Footprints, absolute'!Q13/Production!$H$25*AF_meat</f>
        <v>4.9109897785195846E-10</v>
      </c>
      <c r="R13" s="52">
        <f>'Footprints, absolute'!R13/Production!$H$25*AF_meat</f>
        <v>7.2656868691476445E-2</v>
      </c>
      <c r="S13" s="55"/>
      <c r="T13" s="348">
        <f>'Footprints, absolute'!T13*AF_meat</f>
        <v>2.1180346806658812</v>
      </c>
      <c r="U13" s="56">
        <f>'Footprints, absolute'!U13*AF_meat</f>
        <v>228.24390589426022</v>
      </c>
    </row>
    <row r="14" spans="1:21" x14ac:dyDescent="0.35">
      <c r="A14" s="48" t="s">
        <v>94</v>
      </c>
      <c r="B14" s="20" t="s">
        <v>95</v>
      </c>
      <c r="C14" s="16" t="s">
        <v>96</v>
      </c>
      <c r="D14" t="s">
        <v>52</v>
      </c>
      <c r="E14" t="s">
        <v>53</v>
      </c>
      <c r="F14" s="49">
        <f>'Footprints, absolute'!F14/Production!$I$25*AF_meat</f>
        <v>5.6722385371404274</v>
      </c>
      <c r="G14" s="49">
        <f>'Footprints, absolute'!G14/Production!$I$25*AF_meat</f>
        <v>2.0136303456604763</v>
      </c>
      <c r="H14" s="50">
        <f>'Footprints, absolute'!H14/Production!$I$25*AF_meat</f>
        <v>2.4147729788546036E-3</v>
      </c>
      <c r="I14" s="51">
        <f>'Footprints, absolute'!I14/Production!$I$25*AF_meat</f>
        <v>9.4394919513297745E-2</v>
      </c>
      <c r="J14" s="51">
        <f>'Footprints, absolute'!J14/Production!$I$25*AF_meat</f>
        <v>3.802143332787708E-3</v>
      </c>
      <c r="L14" s="52">
        <f>'Footprints, absolute'!L14/Production!$I$25*AF_meat</f>
        <v>8.5095426882007299</v>
      </c>
      <c r="M14" s="53">
        <f>'Footprints, absolute'!M14/Production!$I$25*AF_meat</f>
        <v>0.10311409434545325</v>
      </c>
      <c r="N14" s="53">
        <f>'Footprints, absolute'!N14/Production!$I$25*AF_meat</f>
        <v>1.5039529771841179E-2</v>
      </c>
      <c r="O14" s="52">
        <f>'Footprints, absolute'!O14/Production!$I$25*AF_meat</f>
        <v>0.15730436857278907</v>
      </c>
      <c r="P14" s="54">
        <f>'Footprints, absolute'!P14/Production!$I$25*AF_meat</f>
        <v>1.1312008016202832</v>
      </c>
      <c r="Q14" s="54">
        <f>'Footprints, absolute'!Q14/Production!$I$25*AF_meat</f>
        <v>1.6783268349610349E-10</v>
      </c>
      <c r="R14" s="52">
        <f>'Footprints, absolute'!R14/Production!$I$25*AF_meat</f>
        <v>3.8727787767407131E-2</v>
      </c>
      <c r="S14" s="55"/>
      <c r="T14" s="348">
        <f>'Footprints, absolute'!T14*AF_meat</f>
        <v>2.6843761382530027</v>
      </c>
      <c r="U14" s="56">
        <f>'Footprints, absolute'!U14*AF_meat</f>
        <v>46.817322964389128</v>
      </c>
    </row>
    <row r="15" spans="1:21" x14ac:dyDescent="0.35">
      <c r="A15" s="48" t="s">
        <v>94</v>
      </c>
      <c r="B15" s="20" t="s">
        <v>95</v>
      </c>
      <c r="C15" s="16" t="s">
        <v>96</v>
      </c>
      <c r="D15" t="s">
        <v>54</v>
      </c>
      <c r="E15" t="s">
        <v>55</v>
      </c>
      <c r="F15" s="49">
        <f>'Footprints, absolute'!F15/Production!$J$25*AF_meat</f>
        <v>4.9872978383640101</v>
      </c>
      <c r="G15" s="49">
        <f>'Footprints, absolute'!G15/Production!$J$25*AF_meat</f>
        <v>2.7612646529487366</v>
      </c>
      <c r="H15" s="50">
        <f>'Footprints, absolute'!H15/Production!$J$25*AF_meat</f>
        <v>4.2390042191188821E-3</v>
      </c>
      <c r="I15" s="51">
        <f>'Footprints, absolute'!I15/Production!$J$25*AF_meat</f>
        <v>2.2289001327209138E-2</v>
      </c>
      <c r="J15" s="51">
        <f>'Footprints, absolute'!J15/Production!$J$25*AF_meat</f>
        <v>5.4868418456076309E-3</v>
      </c>
      <c r="L15" s="52">
        <f>'Footprints, absolute'!L15/Production!$J$25*AF_meat</f>
        <v>12.334222565879937</v>
      </c>
      <c r="M15" s="53">
        <f>'Footprints, absolute'!M15/Production!$J$25*AF_meat</f>
        <v>0.13078710372111019</v>
      </c>
      <c r="N15" s="53">
        <f>'Footprints, absolute'!N15/Production!$J$25*AF_meat</f>
        <v>1.8289690105388091E-2</v>
      </c>
      <c r="O15" s="52">
        <f>'Footprints, absolute'!O15/Production!$J$25*AF_meat</f>
        <v>0.15033469081329182</v>
      </c>
      <c r="P15" s="54">
        <f>'Footprints, absolute'!P15/Production!$J$25*AF_meat</f>
        <v>1.214003183057988</v>
      </c>
      <c r="Q15" s="54">
        <f>'Footprints, absolute'!Q15/Production!$J$25*AF_meat</f>
        <v>1.2909467230781787E-10</v>
      </c>
      <c r="R15" s="52">
        <f>'Footprints, absolute'!R15/Production!$J$25*AF_meat</f>
        <v>6.2476997337576473E-2</v>
      </c>
      <c r="S15" s="55"/>
      <c r="T15" s="348">
        <f>'Footprints, absolute'!T15*AF_meat</f>
        <v>3.0310894435177702</v>
      </c>
      <c r="U15" s="56">
        <f>'Footprints, absolute'!U15*AF_meat</f>
        <v>293.27896546348052</v>
      </c>
    </row>
    <row r="16" spans="1:21" x14ac:dyDescent="0.35">
      <c r="A16" s="48" t="s">
        <v>94</v>
      </c>
      <c r="B16" s="20" t="s">
        <v>95</v>
      </c>
      <c r="C16" s="16" t="s">
        <v>96</v>
      </c>
      <c r="D16" t="s">
        <v>56</v>
      </c>
      <c r="E16" t="s">
        <v>57</v>
      </c>
      <c r="F16" s="49">
        <f>'Footprints, absolute'!F16/Production!$K$25*AF_meat</f>
        <v>6.1566484258556038</v>
      </c>
      <c r="G16" s="49">
        <f>'Footprints, absolute'!G16/Production!$K$25*AF_meat</f>
        <v>2.4329266702611849</v>
      </c>
      <c r="H16" s="50">
        <f>'Footprints, absolute'!H16/Production!$K$25*AF_meat</f>
        <v>2.7574215177501122E-3</v>
      </c>
      <c r="I16" s="51">
        <f>'Footprints, absolute'!I16/Production!$K$25*AF_meat</f>
        <v>8.1742645455383761E-2</v>
      </c>
      <c r="J16" s="51">
        <f>'Footprints, absolute'!J16/Production!$K$25*AF_meat</f>
        <v>5.2545757035534968E-3</v>
      </c>
      <c r="L16" s="52">
        <f>'Footprints, absolute'!L16/Production!$K$25*AF_meat</f>
        <v>16.523225882253559</v>
      </c>
      <c r="M16" s="53">
        <f>'Footprints, absolute'!M16/Production!$K$25*AF_meat</f>
        <v>0.17845513613920339</v>
      </c>
      <c r="N16" s="53">
        <f>'Footprints, absolute'!N16/Production!$K$25*AF_meat</f>
        <v>2.228681847861514E-2</v>
      </c>
      <c r="O16" s="52">
        <f>'Footprints, absolute'!O16/Production!$K$25*AF_meat</f>
        <v>0.85615811852332657</v>
      </c>
      <c r="P16" s="54">
        <f>'Footprints, absolute'!P16/Production!$K$25*AF_meat</f>
        <v>1.209996265137504</v>
      </c>
      <c r="Q16" s="54">
        <f>'Footprints, absolute'!Q16/Production!$K$25*AF_meat</f>
        <v>1.0888406509866426E-9</v>
      </c>
      <c r="R16" s="52">
        <f>'Footprints, absolute'!R16/Production!$K$25*AF_meat</f>
        <v>6.1464197962866382E-2</v>
      </c>
      <c r="S16" s="55"/>
      <c r="T16" s="348">
        <f>'Footprints, absolute'!T16*AF_meat</f>
        <v>3.3369941629194093</v>
      </c>
      <c r="U16" s="56">
        <f>'Footprints, absolute'!U16*AF_meat</f>
        <v>151.68935635084273</v>
      </c>
    </row>
    <row r="17" spans="1:27" x14ac:dyDescent="0.35">
      <c r="A17" s="48" t="s">
        <v>94</v>
      </c>
      <c r="B17" s="20" t="s">
        <v>95</v>
      </c>
      <c r="C17" s="16" t="s">
        <v>96</v>
      </c>
      <c r="D17" s="18" t="s">
        <v>58</v>
      </c>
      <c r="E17" s="18" t="s">
        <v>59</v>
      </c>
      <c r="F17" s="55">
        <f>'Footprints, absolute'!F17/Production!$L$25*AF_meat</f>
        <v>3.3526786459839717</v>
      </c>
      <c r="G17" s="49">
        <f>'Footprints, absolute'!G17/Production!$L$25*AF_meat</f>
        <v>1.4164056429195904</v>
      </c>
      <c r="H17" s="50">
        <f>'Footprints, absolute'!H17/Production!$L$25*AF_meat</f>
        <v>1.4331784024732186E-3</v>
      </c>
      <c r="I17" s="51">
        <f>'Footprints, absolute'!I17/Production!$L$25*AF_meat</f>
        <v>2.1743007588249385E-2</v>
      </c>
      <c r="J17" s="51">
        <f>'Footprints, absolute'!J17/Production!$L$25*AF_meat</f>
        <v>4.7857255743148181E-3</v>
      </c>
      <c r="K17" s="18"/>
      <c r="L17" s="52">
        <f>'Footprints, absolute'!L17/Production!$L$25*AF_meat</f>
        <v>11.631695077221989</v>
      </c>
      <c r="M17" s="53">
        <f>'Footprints, absolute'!M17/Production!$L$25*AF_meat</f>
        <v>0.11670893009568269</v>
      </c>
      <c r="N17" s="53">
        <f>'Footprints, absolute'!N17/Production!$L$25*AF_meat</f>
        <v>1.1882517955385738E-2</v>
      </c>
      <c r="O17" s="52">
        <f>'Footprints, absolute'!O17/Production!$L$25*AF_meat</f>
        <v>0.16153738180879543</v>
      </c>
      <c r="P17" s="54">
        <f>'Footprints, absolute'!P17/Production!$L$25*AF_meat</f>
        <v>0.71671577644968187</v>
      </c>
      <c r="Q17" s="54">
        <f>'Footprints, absolute'!Q17/Production!$L$25*AF_meat</f>
        <v>6.9517136565420119E-11</v>
      </c>
      <c r="R17" s="52">
        <f>'Footprints, absolute'!R17/Production!$L$25*AF_meat</f>
        <v>4.9169186011370485E-2</v>
      </c>
      <c r="S17" s="55"/>
      <c r="T17" s="348">
        <f>'Footprints, absolute'!T17*AF_meat</f>
        <v>2.3198264888520406</v>
      </c>
      <c r="U17" s="56">
        <f>'Footprints, absolute'!U17*AF_meat</f>
        <v>18.348894768898344</v>
      </c>
    </row>
    <row r="18" spans="1:27" x14ac:dyDescent="0.35">
      <c r="A18" s="20"/>
      <c r="B18" s="20"/>
      <c r="C18" s="16"/>
      <c r="T18" s="56"/>
    </row>
    <row r="19" spans="1:27" x14ac:dyDescent="0.35">
      <c r="J19" s="51"/>
      <c r="M19" s="51"/>
      <c r="Q19" s="58"/>
    </row>
    <row r="21" spans="1:27" x14ac:dyDescent="0.35">
      <c r="M21" s="50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5E0B4"/>
  </sheetPr>
  <dimension ref="A1:AA61"/>
  <sheetViews>
    <sheetView zoomScale="69" zoomScaleNormal="69" workbookViewId="0">
      <selection activeCell="A7" sqref="A7:B7"/>
    </sheetView>
  </sheetViews>
  <sheetFormatPr defaultColWidth="8.6328125" defaultRowHeight="14.5" x14ac:dyDescent="0.35"/>
  <cols>
    <col min="1" max="1" width="8.453125" style="1" customWidth="1"/>
    <col min="2" max="2" width="22.453125" customWidth="1"/>
    <col min="3" max="3" width="27.453125" customWidth="1"/>
    <col min="4" max="5" width="10.453125" customWidth="1"/>
    <col min="6" max="6" width="7.54296875" customWidth="1"/>
    <col min="7" max="7" width="9.453125" style="20" customWidth="1"/>
    <col min="8" max="20" width="14.54296875" customWidth="1"/>
    <col min="21" max="22" width="14.54296875" style="23" customWidth="1"/>
    <col min="23" max="24" width="14.54296875" customWidth="1"/>
    <col min="26" max="26" width="16" customWidth="1"/>
    <col min="27" max="27" width="19.453125" customWidth="1"/>
  </cols>
  <sheetData>
    <row r="1" spans="1:27" x14ac:dyDescent="0.35">
      <c r="H1" s="21" t="s">
        <v>97</v>
      </c>
      <c r="S1" s="1" t="s">
        <v>98</v>
      </c>
    </row>
    <row r="2" spans="1:27" ht="21" customHeight="1" x14ac:dyDescent="0.5">
      <c r="A2" s="2" t="s">
        <v>99</v>
      </c>
      <c r="H2" s="21" t="s">
        <v>100</v>
      </c>
      <c r="T2" s="51"/>
      <c r="U2" s="59"/>
    </row>
    <row r="3" spans="1:27" x14ac:dyDescent="0.35">
      <c r="H3" s="21" t="s">
        <v>101</v>
      </c>
      <c r="J3" s="22"/>
      <c r="K3" s="23"/>
      <c r="L3" s="23"/>
      <c r="M3" s="23"/>
      <c r="N3" s="23"/>
      <c r="O3" s="23"/>
      <c r="P3" s="23"/>
      <c r="Q3" s="23"/>
      <c r="R3" s="23"/>
      <c r="S3" s="23"/>
      <c r="T3" s="23"/>
    </row>
    <row r="4" spans="1:27" x14ac:dyDescent="0.35">
      <c r="A4" s="60"/>
      <c r="B4" s="61"/>
      <c r="C4" s="61"/>
      <c r="D4" s="61"/>
      <c r="E4" s="61"/>
      <c r="F4" s="61"/>
      <c r="G4" s="61"/>
      <c r="H4" s="62"/>
      <c r="I4" s="62"/>
      <c r="J4" s="63"/>
      <c r="K4" s="63"/>
      <c r="L4" s="63"/>
      <c r="M4" s="63"/>
      <c r="N4" s="63"/>
      <c r="O4" s="63"/>
      <c r="P4" s="63"/>
      <c r="Q4" s="63"/>
      <c r="R4" s="63"/>
      <c r="S4" s="62" t="s">
        <v>102</v>
      </c>
      <c r="T4" s="62"/>
      <c r="U4" s="64"/>
      <c r="V4" s="64"/>
      <c r="W4" s="63" t="s">
        <v>103</v>
      </c>
      <c r="X4" s="63" t="s">
        <v>104</v>
      </c>
      <c r="Z4" s="62" t="s">
        <v>105</v>
      </c>
      <c r="AA4" s="62"/>
    </row>
    <row r="5" spans="1:27" x14ac:dyDescent="0.35">
      <c r="A5" s="29" t="s">
        <v>2</v>
      </c>
      <c r="B5" s="30"/>
      <c r="C5" s="30"/>
      <c r="D5" s="31"/>
      <c r="E5" s="31"/>
      <c r="F5" s="65"/>
      <c r="G5" s="66" t="s">
        <v>106</v>
      </c>
      <c r="H5" s="66" t="s">
        <v>107</v>
      </c>
      <c r="I5" s="67"/>
      <c r="J5" s="66" t="s">
        <v>108</v>
      </c>
      <c r="K5" s="68"/>
      <c r="L5" s="35" t="s">
        <v>109</v>
      </c>
      <c r="M5" s="68"/>
      <c r="N5" s="68"/>
      <c r="O5" s="68"/>
      <c r="P5" s="35" t="s">
        <v>110</v>
      </c>
      <c r="Q5" s="35" t="s">
        <v>111</v>
      </c>
      <c r="R5" s="35" t="s">
        <v>112</v>
      </c>
      <c r="S5" s="69"/>
      <c r="T5" s="69"/>
      <c r="U5" s="70"/>
      <c r="V5" s="70"/>
      <c r="W5" s="71"/>
      <c r="X5" s="71"/>
      <c r="Z5" s="66"/>
      <c r="AA5" s="66"/>
    </row>
    <row r="6" spans="1:27" ht="60.75" customHeight="1" x14ac:dyDescent="0.35">
      <c r="A6" s="36" t="s">
        <v>14</v>
      </c>
      <c r="B6" s="37" t="s">
        <v>15</v>
      </c>
      <c r="C6" s="37" t="s">
        <v>16</v>
      </c>
      <c r="D6" s="38" t="s">
        <v>17</v>
      </c>
      <c r="E6" s="39" t="s">
        <v>18</v>
      </c>
      <c r="F6" s="38" t="s">
        <v>113</v>
      </c>
      <c r="G6" s="39" t="s">
        <v>114</v>
      </c>
      <c r="H6" s="46" t="s">
        <v>115</v>
      </c>
      <c r="I6" s="46" t="s">
        <v>69</v>
      </c>
      <c r="J6" s="46" t="s">
        <v>116</v>
      </c>
      <c r="K6" s="46" t="s">
        <v>117</v>
      </c>
      <c r="L6" s="46" t="s">
        <v>118</v>
      </c>
      <c r="M6" s="46" t="s">
        <v>119</v>
      </c>
      <c r="N6" s="46" t="s">
        <v>120</v>
      </c>
      <c r="O6" s="46" t="s">
        <v>121</v>
      </c>
      <c r="P6" s="46" t="s">
        <v>122</v>
      </c>
      <c r="Q6" s="46" t="s">
        <v>111</v>
      </c>
      <c r="R6" s="46" t="s">
        <v>74</v>
      </c>
      <c r="S6" s="39" t="s">
        <v>123</v>
      </c>
      <c r="T6" s="39" t="s">
        <v>124</v>
      </c>
      <c r="U6" s="72" t="s">
        <v>125</v>
      </c>
      <c r="V6" s="72" t="s">
        <v>126</v>
      </c>
      <c r="W6" s="46" t="s">
        <v>77</v>
      </c>
      <c r="X6" s="46" t="s">
        <v>78</v>
      </c>
      <c r="Z6" s="39" t="s">
        <v>127</v>
      </c>
      <c r="AA6" s="39" t="s">
        <v>128</v>
      </c>
    </row>
    <row r="7" spans="1:27" x14ac:dyDescent="0.35">
      <c r="A7" s="350" t="s">
        <v>94</v>
      </c>
      <c r="B7" s="73" t="s">
        <v>95</v>
      </c>
      <c r="C7" s="74" t="s">
        <v>96</v>
      </c>
      <c r="D7" s="75" t="s">
        <v>83</v>
      </c>
      <c r="E7" s="75" t="s">
        <v>39</v>
      </c>
      <c r="F7" s="76" t="s">
        <v>129</v>
      </c>
      <c r="G7" s="77">
        <f>'GHG detailed, absolute'!G7/Production!$B$25*AF_meat</f>
        <v>2.1119130675784259</v>
      </c>
      <c r="H7" s="77">
        <f>'GHG detailed, absolute'!H7/Production!$B$25*AF_meat</f>
        <v>0.36655680456636153</v>
      </c>
      <c r="I7" s="77">
        <f>'GHG detailed, absolute'!I7/Production!$B$25*AF_meat</f>
        <v>0.14729377596491572</v>
      </c>
      <c r="J7" s="77">
        <f>'GHG detailed, absolute'!J7/Production!$B$25*AF_meat</f>
        <v>0</v>
      </c>
      <c r="K7" s="77"/>
      <c r="L7" s="77">
        <f>'GHG detailed, absolute'!L7/Production!$B$25*AF_meat</f>
        <v>0.17542397690032235</v>
      </c>
      <c r="M7" s="77"/>
      <c r="N7" s="77">
        <f>'GHG detailed, absolute'!N7/Production!$B$25*AF_meat</f>
        <v>8.6170320074608966E-3</v>
      </c>
      <c r="O7" s="77">
        <f>'GHG detailed, absolute'!O7/Production!$B$25*AF_meat</f>
        <v>0.22375284093691378</v>
      </c>
      <c r="P7" s="77">
        <f>'GHG detailed, absolute'!P7/Production!$B$25*AF_meat</f>
        <v>0.12684281172121623</v>
      </c>
      <c r="Q7" s="77">
        <f>'GHG detailed, absolute'!Q7/Production!$B$25*AF_meat</f>
        <v>0.38866493850793965</v>
      </c>
      <c r="R7" s="77">
        <f>'GHG detailed, absolute'!R7/Production!$B$25*AF_meat</f>
        <v>8.2497384755210471E-2</v>
      </c>
      <c r="S7" s="78"/>
      <c r="T7" s="79"/>
      <c r="U7" s="80"/>
      <c r="V7" s="80"/>
      <c r="W7" s="78">
        <f>'GHG detailed, absolute'!W7/Production!$B$25*AF_meat</f>
        <v>0.42383698613605281</v>
      </c>
      <c r="X7" s="81">
        <f>'GHG detailed, absolute'!X7/Production!$B$25*AF_meat</f>
        <v>0.16842651608203227</v>
      </c>
      <c r="Z7" s="53"/>
      <c r="AA7" s="53"/>
    </row>
    <row r="8" spans="1:27" x14ac:dyDescent="0.35">
      <c r="A8" s="20" t="s">
        <v>94</v>
      </c>
      <c r="B8" s="20" t="s">
        <v>95</v>
      </c>
      <c r="C8" s="16" t="s">
        <v>96</v>
      </c>
      <c r="D8" s="18" t="s">
        <v>83</v>
      </c>
      <c r="E8" s="18" t="s">
        <v>39</v>
      </c>
      <c r="F8" s="20" t="s">
        <v>130</v>
      </c>
      <c r="G8" s="53">
        <f>'GHG detailed, absolute'!G8/Production!$B$25*AF_meat</f>
        <v>2.2862653738515782E-3</v>
      </c>
      <c r="H8" s="58">
        <f>'GHG detailed, absolute'!H8/Production!$B$25*AF_meat</f>
        <v>7.1255807790861675E-5</v>
      </c>
      <c r="I8" s="58">
        <f>'GHG detailed, absolute'!I8/Production!$B$25*AF_meat</f>
        <v>5.4851333372765276E-4</v>
      </c>
      <c r="J8" s="58"/>
      <c r="K8" s="58"/>
      <c r="L8" s="58">
        <f>'GHG detailed, absolute'!L8/Production!$B$25*AF_meat</f>
        <v>8.3939891072690417E-5</v>
      </c>
      <c r="M8" s="58"/>
      <c r="N8" s="58">
        <f>'GHG detailed, absolute'!N8/Production!$B$25*AF_meat</f>
        <v>8.3595317606303282E-6</v>
      </c>
      <c r="O8" s="58">
        <f>'GHG detailed, absolute'!O8/Production!$B$25*AF_meat</f>
        <v>1.3914844819705005E-4</v>
      </c>
      <c r="P8" s="58">
        <f>'GHG detailed, absolute'!P8/Production!$B$25*AF_meat</f>
        <v>0</v>
      </c>
      <c r="Q8" s="58">
        <f>'GHG detailed, absolute'!Q8/Production!$B$25*AF_meat</f>
        <v>4.0882702390696404E-4</v>
      </c>
      <c r="R8" s="58">
        <f>'GHG detailed, absolute'!R8/Production!$B$25*AF_meat</f>
        <v>1.7565540544500164E-4</v>
      </c>
      <c r="W8" s="13">
        <f>'GHG detailed, absolute'!W8/Production!$B$25*AF_meat</f>
        <v>4.0020353081694326E-4</v>
      </c>
      <c r="X8" s="49">
        <f>'GHG detailed, absolute'!X8/Production!$B$25*AF_meat</f>
        <v>4.5036240113378395E-4</v>
      </c>
      <c r="Z8" s="54"/>
      <c r="AA8" s="54"/>
    </row>
    <row r="9" spans="1:27" x14ac:dyDescent="0.35">
      <c r="A9" s="20" t="s">
        <v>94</v>
      </c>
      <c r="B9" s="20" t="s">
        <v>95</v>
      </c>
      <c r="C9" s="16" t="s">
        <v>96</v>
      </c>
      <c r="D9" s="18" t="s">
        <v>83</v>
      </c>
      <c r="E9" s="18" t="s">
        <v>39</v>
      </c>
      <c r="F9" s="20" t="s">
        <v>131</v>
      </c>
      <c r="G9" s="53">
        <f>'GHG detailed, absolute'!G9/Production!$B$25*AF_meat</f>
        <v>2.4527673199834201E-2</v>
      </c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13">
        <f>'GHG detailed, absolute'!S9/Production!$B$25*AF_meat</f>
        <v>9.8253001644029413E-3</v>
      </c>
      <c r="T9" s="51">
        <f>'GHG detailed, absolute'!T9/Production!$B$25*AF_meat</f>
        <v>1.4702373035431262E-2</v>
      </c>
      <c r="U9" s="59">
        <f>'GHG detailed, absolute'!U9/Production!$B$25*AF_meat</f>
        <v>1.4702373035431262E-2</v>
      </c>
      <c r="W9" s="13"/>
      <c r="X9" s="49"/>
      <c r="Z9" s="54"/>
      <c r="AA9" s="54"/>
    </row>
    <row r="10" spans="1:27" ht="15" customHeight="1" x14ac:dyDescent="0.35">
      <c r="A10" s="20" t="s">
        <v>94</v>
      </c>
      <c r="B10" s="20" t="s">
        <v>95</v>
      </c>
      <c r="C10" s="16" t="s">
        <v>96</v>
      </c>
      <c r="D10" s="18" t="s">
        <v>83</v>
      </c>
      <c r="E10" s="18" t="s">
        <v>39</v>
      </c>
      <c r="F10" s="82" t="s">
        <v>132</v>
      </c>
      <c r="G10" s="53">
        <f>'GHG detailed, absolute'!G10/Production!$B$25*AF_meat</f>
        <v>5.7156979937601909E-3</v>
      </c>
      <c r="H10" s="58">
        <f>'GHG detailed, absolute'!H10/Production!$B$25*AF_meat</f>
        <v>2.4026147898770266E-4</v>
      </c>
      <c r="I10" s="54">
        <f>'GHG detailed, absolute'!I10/Production!$B$25*AF_meat</f>
        <v>6.3512070221096625E-6</v>
      </c>
      <c r="J10" s="54">
        <f>'GHG detailed, absolute'!J10/Production!$B$25*AF_meat</f>
        <v>3.9583741371221268E-3</v>
      </c>
      <c r="K10" s="54">
        <f>'GHG detailed, absolute'!K10/Production!$B$25*AF_meat</f>
        <v>3.9583741371221272E-4</v>
      </c>
      <c r="L10" s="54">
        <f>'GHG detailed, absolute'!L10/Production!$B$25*AF_meat</f>
        <v>5.0918042755958534E-6</v>
      </c>
      <c r="M10" s="54"/>
      <c r="N10" s="54">
        <f>'GHG detailed, absolute'!N10/Production!$B$25*AF_meat</f>
        <v>1.2009365063677628E-7</v>
      </c>
      <c r="O10" s="54">
        <f>'GHG detailed, absolute'!O10/Production!$B$25*AF_meat</f>
        <v>9.0568209884030129E-6</v>
      </c>
      <c r="P10" s="54">
        <f>'GHG detailed, absolute'!P10/Production!$B$25*AF_meat</f>
        <v>0</v>
      </c>
      <c r="Q10" s="54">
        <f>'GHG detailed, absolute'!Q10/Production!$B$25*AF_meat</f>
        <v>1.7708541164004275E-5</v>
      </c>
      <c r="R10" s="54">
        <f>'GHG detailed, absolute'!R10/Production!$B$25*AF_meat</f>
        <v>7.1028735627203742E-6</v>
      </c>
      <c r="S10" s="13"/>
      <c r="T10" s="51">
        <f>'GHG detailed, absolute'!T10/Production!$B$25*AF_meat</f>
        <v>1.049615312381885E-3</v>
      </c>
      <c r="U10" s="83">
        <f>'GHG detailed, absolute'!U10/Production!$B$25*AF_meat</f>
        <v>5.8923913132252661E-4</v>
      </c>
      <c r="V10" s="83">
        <f>'GHG detailed, absolute'!V10/Production!$B$25*AF_meat</f>
        <v>4.6037618105935829E-4</v>
      </c>
      <c r="W10" s="13">
        <f>'GHG detailed, absolute'!W10/Production!$B$25*AF_meat</f>
        <v>1.8846920167063827E-5</v>
      </c>
      <c r="X10" s="49">
        <f>'GHG detailed, absolute'!X10/Production!$B$25*AF_meat</f>
        <v>7.3313907257290387E-6</v>
      </c>
      <c r="Z10" s="54"/>
      <c r="AA10" s="54"/>
    </row>
    <row r="11" spans="1:27" ht="15" customHeight="1" x14ac:dyDescent="0.35">
      <c r="A11" s="84" t="s">
        <v>94</v>
      </c>
      <c r="B11" s="84" t="s">
        <v>95</v>
      </c>
      <c r="C11" s="85" t="s">
        <v>96</v>
      </c>
      <c r="D11" s="86" t="s">
        <v>83</v>
      </c>
      <c r="E11" s="86" t="s">
        <v>39</v>
      </c>
      <c r="F11" s="87" t="s">
        <v>133</v>
      </c>
      <c r="G11" s="88">
        <f>'GHG detailed, absolute'!G11/Production!$B$25*AF_meat</f>
        <v>4.4026765044112581</v>
      </c>
      <c r="H11" s="89">
        <f>'GHG detailed, absolute'!H11/Production!$B$25*AF_meat</f>
        <v>0.43427161140217208</v>
      </c>
      <c r="I11" s="89">
        <f>'GHG detailed, absolute'!I11/Production!$B$25*AF_meat</f>
        <v>0.16537335282703572</v>
      </c>
      <c r="J11" s="89">
        <f>'GHG detailed, absolute'!J11/Production!$B$25*AF_meat</f>
        <v>1.0806361394343407</v>
      </c>
      <c r="K11" s="89">
        <f>'GHG detailed, absolute'!K11/Production!$B$25*AF_meat</f>
        <v>0.10806361394343407</v>
      </c>
      <c r="L11" s="89">
        <f>'GHG detailed, absolute'!L11/Production!$B$25*AF_meat</f>
        <v>0.1793154482215262</v>
      </c>
      <c r="M11" s="89">
        <f>'GHG detailed, absolute'!M11/Production!$B$25*AF_meat</f>
        <v>0</v>
      </c>
      <c r="N11" s="89">
        <f>'GHG detailed, absolute'!N11/Production!$B$25*AF_meat</f>
        <v>8.8989316205515187E-3</v>
      </c>
      <c r="O11" s="89">
        <f>'GHG detailed, absolute'!O11/Production!$B$25*AF_meat</f>
        <v>0.23037197682301994</v>
      </c>
      <c r="P11" s="89">
        <f>'GHG detailed, absolute'!P11/Production!$B$25*AF_meat</f>
        <v>0.12684281172121623</v>
      </c>
      <c r="Q11" s="89">
        <f>'GHG detailed, absolute'!Q11/Production!$B$25*AF_meat</f>
        <v>0.40568241555814039</v>
      </c>
      <c r="R11" s="89">
        <f>'GHG detailed, absolute'!R11/Production!$B$25*AF_meat</f>
        <v>8.9671000320094174E-2</v>
      </c>
      <c r="S11" s="89">
        <f>'GHG detailed, absolute'!S11/Production!$B$25*AF_meat</f>
        <v>0.26528310443887937</v>
      </c>
      <c r="T11" s="89">
        <f>'GHG detailed, absolute'!T11/Production!$B$25*AF_meat</f>
        <v>0.68350905223689873</v>
      </c>
      <c r="U11" s="89"/>
      <c r="V11" s="89"/>
      <c r="W11" s="89">
        <f>'GHG detailed, absolute'!W11/Production!$B$25*AF_meat</f>
        <v>0.44090826056000615</v>
      </c>
      <c r="X11" s="89">
        <f>'GHG detailed, absolute'!X11/Production!$B$25*AF_meat</f>
        <v>0.18384878530394308</v>
      </c>
      <c r="Z11" s="90">
        <f>'GHG detailed, absolute'!Z11/Production!$B$25*AF_meat</f>
        <v>2.8291273018715311</v>
      </c>
      <c r="AA11" s="91">
        <f>'GHG detailed, absolute'!AA11/Production!$B$25*AF_meat</f>
        <v>1.6744729261852822E-4</v>
      </c>
    </row>
    <row r="12" spans="1:27" ht="15" customHeight="1" x14ac:dyDescent="0.35">
      <c r="A12" s="20" t="s">
        <v>94</v>
      </c>
      <c r="B12" s="20" t="s">
        <v>95</v>
      </c>
      <c r="C12" s="16" t="s">
        <v>96</v>
      </c>
      <c r="D12" s="18" t="s">
        <v>40</v>
      </c>
      <c r="E12" s="18" t="s">
        <v>41</v>
      </c>
      <c r="F12" s="92" t="s">
        <v>129</v>
      </c>
      <c r="G12" s="77">
        <f>'GHG detailed, absolute'!G12/Production!$C$25*AF_meat</f>
        <v>1.4148029970090026</v>
      </c>
      <c r="H12" s="77">
        <f>'GHG detailed, absolute'!H12/Production!$C$25*AF_meat</f>
        <v>0.24574493148552518</v>
      </c>
      <c r="I12" s="77">
        <f>'GHG detailed, absolute'!I12/Production!$C$25*AF_meat</f>
        <v>0.14030139909574285</v>
      </c>
      <c r="J12" s="77">
        <f>'GHG detailed, absolute'!J12/Production!$C$25*AF_meat</f>
        <v>0</v>
      </c>
      <c r="K12" s="77"/>
      <c r="L12" s="77">
        <f>'GHG detailed, absolute'!L12/Production!$C$25*AF_meat</f>
        <v>0.1593606389199041</v>
      </c>
      <c r="M12" s="77"/>
      <c r="N12" s="77">
        <f>'GHG detailed, absolute'!N12/Production!$C$25*AF_meat</f>
        <v>5.3322388718998566E-3</v>
      </c>
      <c r="O12" s="77">
        <f>'GHG detailed, absolute'!O12/Production!$C$25*AF_meat</f>
        <v>0.19152652831595898</v>
      </c>
      <c r="P12" s="77">
        <f>'GHG detailed, absolute'!P12/Production!$C$25*AF_meat</f>
        <v>0.13474615042091317</v>
      </c>
      <c r="Q12" s="77">
        <f>'GHG detailed, absolute'!Q12/Production!$C$25*AF_meat</f>
        <v>0.10806059857898502</v>
      </c>
      <c r="R12" s="77">
        <f>'GHG detailed, absolute'!R12/Production!$C$25*AF_meat</f>
        <v>0.12620713195347458</v>
      </c>
      <c r="S12" s="78"/>
      <c r="T12" s="79"/>
      <c r="U12" s="80"/>
      <c r="V12" s="80"/>
      <c r="W12" s="78">
        <f>'GHG detailed, absolute'!W12/Production!$C$25*AF_meat</f>
        <v>0.20171787889468032</v>
      </c>
      <c r="X12" s="81">
        <f>'GHG detailed, absolute'!X12/Production!$C$25*AF_meat</f>
        <v>0.10180550047191866</v>
      </c>
      <c r="Z12" s="53"/>
      <c r="AA12" s="53"/>
    </row>
    <row r="13" spans="1:27" x14ac:dyDescent="0.35">
      <c r="A13" s="20" t="s">
        <v>94</v>
      </c>
      <c r="B13" s="20" t="s">
        <v>95</v>
      </c>
      <c r="C13" s="16" t="s">
        <v>96</v>
      </c>
      <c r="D13" s="18" t="s">
        <v>40</v>
      </c>
      <c r="E13" s="18" t="s">
        <v>41</v>
      </c>
      <c r="F13" s="20" t="s">
        <v>130</v>
      </c>
      <c r="G13" s="53">
        <f>'GHG detailed, absolute'!G13/Production!$C$25*AF_meat</f>
        <v>1.8825312446405173E-3</v>
      </c>
      <c r="H13" s="58">
        <f>'GHG detailed, absolute'!H13/Production!$C$25*AF_meat</f>
        <v>8.750430755557257E-5</v>
      </c>
      <c r="I13" s="58">
        <f>'GHG detailed, absolute'!I13/Production!$C$25*AF_meat</f>
        <v>4.9365307089242858E-4</v>
      </c>
      <c r="J13" s="58"/>
      <c r="K13" s="58"/>
      <c r="L13" s="58">
        <f>'GHG detailed, absolute'!L13/Production!$C$25*AF_meat</f>
        <v>7.059138944779197E-5</v>
      </c>
      <c r="M13" s="58"/>
      <c r="N13" s="58">
        <f>'GHG detailed, absolute'!N13/Production!$C$25*AF_meat</f>
        <v>1.5820106535150403E-5</v>
      </c>
      <c r="O13" s="58">
        <f>'GHG detailed, absolute'!O13/Production!$C$25*AF_meat</f>
        <v>1.0346485880240497E-4</v>
      </c>
      <c r="P13" s="58">
        <f>'GHG detailed, absolute'!P13/Production!$C$25*AF_meat</f>
        <v>0</v>
      </c>
      <c r="Q13" s="58">
        <f>'GHG detailed, absolute'!Q13/Production!$C$25*AF_meat</f>
        <v>3.2385182518998828E-4</v>
      </c>
      <c r="R13" s="58">
        <f>'GHG detailed, absolute'!R13/Production!$C$25*AF_meat</f>
        <v>1.2093338752849016E-4</v>
      </c>
      <c r="W13" s="13">
        <f>'GHG detailed, absolute'!W13/Production!$C$25*AF_meat</f>
        <v>2.3048063068767662E-4</v>
      </c>
      <c r="X13" s="49">
        <f>'GHG detailed, absolute'!X13/Production!$C$25*AF_meat</f>
        <v>4.3623166800101342E-4</v>
      </c>
      <c r="Z13" s="54"/>
      <c r="AA13" s="54"/>
    </row>
    <row r="14" spans="1:27" x14ac:dyDescent="0.35">
      <c r="A14" s="20" t="s">
        <v>94</v>
      </c>
      <c r="B14" s="20" t="s">
        <v>95</v>
      </c>
      <c r="C14" s="16" t="s">
        <v>96</v>
      </c>
      <c r="D14" s="18" t="s">
        <v>40</v>
      </c>
      <c r="E14" s="18" t="s">
        <v>41</v>
      </c>
      <c r="F14" s="20" t="s">
        <v>131</v>
      </c>
      <c r="G14" s="53">
        <f>'GHG detailed, absolute'!G14/Production!$C$25*AF_meat</f>
        <v>8.1686695311599583E-2</v>
      </c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13">
        <f>'GHG detailed, absolute'!S14/Production!$C$25*AF_meat</f>
        <v>9.2903896354528878E-3</v>
      </c>
      <c r="T14" s="51">
        <f>'GHG detailed, absolute'!T14/Production!$C$25*AF_meat</f>
        <v>7.2396305676146716E-2</v>
      </c>
      <c r="U14" s="59">
        <f>'GHG detailed, absolute'!U14/Production!$C$25*AF_meat</f>
        <v>7.2396305676146716E-2</v>
      </c>
      <c r="W14" s="13"/>
      <c r="X14" s="49"/>
      <c r="Z14" s="54"/>
      <c r="AA14" s="54"/>
    </row>
    <row r="15" spans="1:27" ht="15" customHeight="1" x14ac:dyDescent="0.35">
      <c r="A15" s="20" t="s">
        <v>94</v>
      </c>
      <c r="B15" s="20" t="s">
        <v>95</v>
      </c>
      <c r="C15" s="16" t="s">
        <v>96</v>
      </c>
      <c r="D15" s="18" t="s">
        <v>40</v>
      </c>
      <c r="E15" s="18" t="s">
        <v>41</v>
      </c>
      <c r="F15" s="82" t="s">
        <v>132</v>
      </c>
      <c r="G15" s="53">
        <f>'GHG detailed, absolute'!G15/Production!$C$25*AF_meat</f>
        <v>4.3856576627364849E-3</v>
      </c>
      <c r="H15" s="58">
        <f>'GHG detailed, absolute'!H15/Production!$C$25*AF_meat</f>
        <v>1.4458727332152766E-4</v>
      </c>
      <c r="I15" s="54">
        <f>'GHG detailed, absolute'!I15/Production!$C$25*AF_meat</f>
        <v>5.7159829261228571E-6</v>
      </c>
      <c r="J15" s="54">
        <f>'GHG detailed, absolute'!J15/Production!$C$25*AF_meat</f>
        <v>2.5919206271606834E-3</v>
      </c>
      <c r="K15" s="54">
        <f>'GHG detailed, absolute'!K15/Production!$C$25*AF_meat</f>
        <v>2.5919206271606834E-4</v>
      </c>
      <c r="L15" s="54">
        <f>'GHG detailed, absolute'!L15/Production!$C$25*AF_meat</f>
        <v>4.2820824999552721E-6</v>
      </c>
      <c r="M15" s="54"/>
      <c r="N15" s="54">
        <f>'GHG detailed, absolute'!N15/Production!$C$25*AF_meat</f>
        <v>2.2889932423143296E-7</v>
      </c>
      <c r="O15" s="54">
        <f>'GHG detailed, absolute'!O15/Production!$C$25*AF_meat</f>
        <v>7.257861010109071E-6</v>
      </c>
      <c r="P15" s="54">
        <f>'GHG detailed, absolute'!P15/Production!$C$25*AF_meat</f>
        <v>0</v>
      </c>
      <c r="Q15" s="54">
        <f>'GHG detailed, absolute'!Q15/Production!$C$25*AF_meat</f>
        <v>1.4569311695989153E-5</v>
      </c>
      <c r="R15" s="54">
        <f>'GHG detailed, absolute'!R15/Production!$C$25*AF_meat</f>
        <v>4.4840184195097162E-6</v>
      </c>
      <c r="S15" s="13"/>
      <c r="T15" s="51">
        <f>'GHG detailed, absolute'!T15/Production!$C$25*AF_meat</f>
        <v>1.3278647726657372E-3</v>
      </c>
      <c r="U15" s="83">
        <f>'GHG detailed, absolute'!U15/Production!$C$25*AF_meat</f>
        <v>7.4597413625619128E-4</v>
      </c>
      <c r="V15" s="83">
        <f>'GHG detailed, absolute'!V15/Production!$C$25*AF_meat</f>
        <v>5.8189063640954589E-4</v>
      </c>
      <c r="W15" s="13">
        <f>'GHG detailed, absolute'!W15/Production!$C$25*AF_meat</f>
        <v>2.1249007607619927E-5</v>
      </c>
      <c r="X15" s="49">
        <f>'GHG detailed, absolute'!X15/Production!$C$25*AF_meat</f>
        <v>4.305763388931882E-6</v>
      </c>
      <c r="Z15" s="54"/>
      <c r="AA15" s="54"/>
    </row>
    <row r="16" spans="1:27" ht="15" customHeight="1" x14ac:dyDescent="0.35">
      <c r="A16" s="84" t="s">
        <v>94</v>
      </c>
      <c r="B16" s="84" t="s">
        <v>95</v>
      </c>
      <c r="C16" s="85" t="s">
        <v>96</v>
      </c>
      <c r="D16" s="93" t="s">
        <v>40</v>
      </c>
      <c r="E16" s="93" t="s">
        <v>41</v>
      </c>
      <c r="F16" s="94" t="s">
        <v>133</v>
      </c>
      <c r="G16" s="88">
        <f>'GHG detailed, absolute'!G16/Production!$C$25*AF_meat</f>
        <v>4.8737277434395399</v>
      </c>
      <c r="H16" s="89">
        <f>'GHG detailed, absolute'!H16/Production!$C$25*AF_meat</f>
        <v>0.28782488546745827</v>
      </c>
      <c r="I16" s="89">
        <f>'GHG detailed, absolute'!I16/Production!$C$25*AF_meat</f>
        <v>0.15657272394716876</v>
      </c>
      <c r="J16" s="89">
        <f>'GHG detailed, absolute'!J16/Production!$C$25*AF_meat</f>
        <v>0.70759433121486659</v>
      </c>
      <c r="K16" s="89">
        <f>'GHG detailed, absolute'!K16/Production!$C$25*AF_meat</f>
        <v>7.0759433121486665E-2</v>
      </c>
      <c r="L16" s="89">
        <f>'GHG detailed, absolute'!L16/Production!$C$25*AF_meat</f>
        <v>0.16263327084793605</v>
      </c>
      <c r="M16" s="89">
        <f>'GHG detailed, absolute'!M16/Production!$C$25*AF_meat</f>
        <v>0</v>
      </c>
      <c r="N16" s="89">
        <f>'GHG detailed, absolute'!N16/Production!$C$25*AF_meat</f>
        <v>5.866167562162519E-3</v>
      </c>
      <c r="O16" s="89">
        <f>'GHG detailed, absolute'!O16/Production!$C$25*AF_meat</f>
        <v>0.19659117716403043</v>
      </c>
      <c r="P16" s="89">
        <f>'GHG detailed, absolute'!P16/Production!$C$25*AF_meat</f>
        <v>0.13474615042091317</v>
      </c>
      <c r="Q16" s="89">
        <f>'GHG detailed, absolute'!Q16/Production!$C$25*AF_meat</f>
        <v>0.12168880506265171</v>
      </c>
      <c r="R16" s="89">
        <f>'GHG detailed, absolute'!R16/Production!$C$25*AF_meat</f>
        <v>0.13103508393034971</v>
      </c>
      <c r="S16" s="89">
        <f>'GHG detailed, absolute'!S16/Production!$C$25*AF_meat</f>
        <v>0.25084052015722796</v>
      </c>
      <c r="T16" s="89">
        <f>'GHG detailed, absolute'!T16/Production!$C$25*AF_meat</f>
        <v>2.3172073361937073</v>
      </c>
      <c r="U16" s="89"/>
      <c r="V16" s="89"/>
      <c r="W16" s="89">
        <f>'GHG detailed, absolute'!W16/Production!$C$25*AF_meat</f>
        <v>0.21438718076605331</v>
      </c>
      <c r="X16" s="89">
        <f>'GHG detailed, absolute'!X16/Production!$C$25*AF_meat</f>
        <v>0.11598067758352727</v>
      </c>
      <c r="Z16" s="90">
        <f>'GHG detailed, absolute'!Z16/Production!$C$25*AF_meat</f>
        <v>1.9753120287390242</v>
      </c>
      <c r="AA16" s="91">
        <f>'GHG detailed, absolute'!AA16/Production!$C$25*AF_meat</f>
        <v>1.2846983240261337E-4</v>
      </c>
    </row>
    <row r="17" spans="1:27" ht="15" customHeight="1" x14ac:dyDescent="0.35">
      <c r="A17" s="73" t="s">
        <v>94</v>
      </c>
      <c r="B17" s="73" t="s">
        <v>95</v>
      </c>
      <c r="C17" s="74" t="s">
        <v>96</v>
      </c>
      <c r="D17" s="75" t="s">
        <v>42</v>
      </c>
      <c r="E17" s="75" t="s">
        <v>43</v>
      </c>
      <c r="F17" s="76" t="s">
        <v>129</v>
      </c>
      <c r="G17" s="77">
        <f>'GHG detailed, absolute'!G17/Production!$D$25*AF_meat</f>
        <v>1.9655390525221879</v>
      </c>
      <c r="H17" s="77">
        <f>'GHG detailed, absolute'!H17/Production!$D$25*AF_meat</f>
        <v>0.23482506314900684</v>
      </c>
      <c r="I17" s="77">
        <f>'GHG detailed, absolute'!I17/Production!$D$25*AF_meat</f>
        <v>0.1454223831152785</v>
      </c>
      <c r="J17" s="77">
        <f>'GHG detailed, absolute'!J17/Production!$D$25*AF_meat</f>
        <v>0</v>
      </c>
      <c r="K17" s="77"/>
      <c r="L17" s="77">
        <f>'GHG detailed, absolute'!L17/Production!$D$25*AF_meat</f>
        <v>0.15645233095864869</v>
      </c>
      <c r="M17" s="77"/>
      <c r="N17" s="77">
        <f>'GHG detailed, absolute'!N17/Production!$D$25*AF_meat</f>
        <v>9.8801319445856778E-4</v>
      </c>
      <c r="O17" s="77">
        <f>'GHG detailed, absolute'!O17/Production!$D$25*AF_meat</f>
        <v>0.23666323029560557</v>
      </c>
      <c r="P17" s="77">
        <f>'GHG detailed, absolute'!P17/Production!$D$25*AF_meat</f>
        <v>0.21041098438363776</v>
      </c>
      <c r="Q17" s="77">
        <f>'GHG detailed, absolute'!Q17/Production!$D$25*AF_meat</f>
        <v>0.22177412670558147</v>
      </c>
      <c r="R17" s="77">
        <f>'GHG detailed, absolute'!R17/Production!$D$25*AF_meat</f>
        <v>0.20054759790899576</v>
      </c>
      <c r="S17" s="78"/>
      <c r="T17" s="79"/>
      <c r="U17" s="80"/>
      <c r="V17" s="80"/>
      <c r="W17" s="78">
        <f>'GHG detailed, absolute'!W17/Production!$D$25*AF_meat</f>
        <v>0.38577954957603094</v>
      </c>
      <c r="X17" s="81">
        <f>'GHG detailed, absolute'!X17/Production!$D$25*AF_meat</f>
        <v>0.17267577323494374</v>
      </c>
      <c r="Z17" s="53"/>
      <c r="AA17" s="53"/>
    </row>
    <row r="18" spans="1:27" x14ac:dyDescent="0.35">
      <c r="A18" s="20" t="s">
        <v>94</v>
      </c>
      <c r="B18" s="20" t="s">
        <v>95</v>
      </c>
      <c r="C18" s="16" t="s">
        <v>96</v>
      </c>
      <c r="D18" s="18" t="s">
        <v>42</v>
      </c>
      <c r="E18" s="18" t="s">
        <v>43</v>
      </c>
      <c r="F18" s="20" t="s">
        <v>130</v>
      </c>
      <c r="G18" s="53">
        <f>'GHG detailed, absolute'!G18/Production!$D$25*AF_meat</f>
        <v>2.614782597893231E-3</v>
      </c>
      <c r="H18" s="58">
        <f>'GHG detailed, absolute'!H18/Production!$D$25*AF_meat</f>
        <v>1.2097437999225339E-4</v>
      </c>
      <c r="I18" s="58">
        <f>'GHG detailed, absolute'!I18/Production!$D$25*AF_meat</f>
        <v>5.116713479982022E-4</v>
      </c>
      <c r="J18" s="58"/>
      <c r="K18" s="58"/>
      <c r="L18" s="58">
        <f>'GHG detailed, absolute'!L18/Production!$D$25*AF_meat</f>
        <v>6.9303107088242405E-5</v>
      </c>
      <c r="M18" s="58"/>
      <c r="N18" s="58">
        <f>'GHG detailed, absolute'!N18/Production!$D$25*AF_meat</f>
        <v>3.0127991541632676E-6</v>
      </c>
      <c r="O18" s="58">
        <f>'GHG detailed, absolute'!O18/Production!$D$25*AF_meat</f>
        <v>1.6729120466553744E-4</v>
      </c>
      <c r="P18" s="58">
        <f>'GHG detailed, absolute'!P18/Production!$D$25*AF_meat</f>
        <v>0</v>
      </c>
      <c r="Q18" s="58">
        <f>'GHG detailed, absolute'!Q18/Production!$D$25*AF_meat</f>
        <v>4.6353969804459588E-4</v>
      </c>
      <c r="R18" s="58">
        <f>'GHG detailed, absolute'!R18/Production!$D$25*AF_meat</f>
        <v>1.911321649833399E-4</v>
      </c>
      <c r="W18" s="13">
        <f>'GHG detailed, absolute'!W18/Production!$D$25*AF_meat</f>
        <v>5.3701473418508506E-4</v>
      </c>
      <c r="X18" s="49">
        <f>'GHG detailed, absolute'!X18/Production!$D$25*AF_meat</f>
        <v>5.5084316178181101E-4</v>
      </c>
      <c r="Z18" s="54"/>
      <c r="AA18" s="54"/>
    </row>
    <row r="19" spans="1:27" x14ac:dyDescent="0.35">
      <c r="A19" s="20" t="s">
        <v>94</v>
      </c>
      <c r="B19" s="20" t="s">
        <v>95</v>
      </c>
      <c r="C19" s="16" t="s">
        <v>96</v>
      </c>
      <c r="D19" s="18" t="s">
        <v>42</v>
      </c>
      <c r="E19" s="18" t="s">
        <v>43</v>
      </c>
      <c r="F19" s="20" t="s">
        <v>131</v>
      </c>
      <c r="G19" s="53">
        <f>'GHG detailed, absolute'!G19/Production!$D$25*AF_meat</f>
        <v>5.9801559091349911E-2</v>
      </c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13">
        <f>'GHG detailed, absolute'!S19/Production!$D$25*AF_meat</f>
        <v>8.8703503632768903E-3</v>
      </c>
      <c r="T19" s="51">
        <f>'GHG detailed, absolute'!T19/Production!$D$25*AF_meat</f>
        <v>5.0931208728073024E-2</v>
      </c>
      <c r="U19" s="59">
        <f>'GHG detailed, absolute'!U19/Production!$D$25*AF_meat</f>
        <v>5.0931208728073024E-2</v>
      </c>
      <c r="W19" s="13"/>
      <c r="X19" s="49"/>
      <c r="Z19" s="54"/>
      <c r="AA19" s="54"/>
    </row>
    <row r="20" spans="1:27" ht="15" customHeight="1" x14ac:dyDescent="0.35">
      <c r="A20" s="20" t="s">
        <v>94</v>
      </c>
      <c r="B20" s="20" t="s">
        <v>95</v>
      </c>
      <c r="C20" s="16" t="s">
        <v>96</v>
      </c>
      <c r="D20" s="18" t="s">
        <v>42</v>
      </c>
      <c r="E20" s="18" t="s">
        <v>43</v>
      </c>
      <c r="F20" s="82" t="s">
        <v>132</v>
      </c>
      <c r="G20" s="53">
        <f>'GHG detailed, absolute'!G20/Production!$D$25*AF_meat</f>
        <v>4.7157483300592981E-3</v>
      </c>
      <c r="H20" s="58">
        <f>'GHG detailed, absolute'!H20/Production!$D$25*AF_meat</f>
        <v>1.9076604902623057E-4</v>
      </c>
      <c r="I20" s="54">
        <f>'GHG detailed, absolute'!I20/Production!$D$25*AF_meat</f>
        <v>5.9246156084002348E-6</v>
      </c>
      <c r="J20" s="54">
        <f>'GHG detailed, absolute'!J20/Production!$D$25*AF_meat</f>
        <v>2.512131581454048E-3</v>
      </c>
      <c r="K20" s="54">
        <f>'GHG detailed, absolute'!K20/Production!$D$25*AF_meat</f>
        <v>2.5121315814540478E-4</v>
      </c>
      <c r="L20" s="54">
        <f>'GHG detailed, absolute'!L20/Production!$D$25*AF_meat</f>
        <v>4.2039351311333443E-6</v>
      </c>
      <c r="M20" s="54"/>
      <c r="N20" s="54">
        <f>'GHG detailed, absolute'!N20/Production!$D$25*AF_meat</f>
        <v>4.2031435709044759E-8</v>
      </c>
      <c r="O20" s="54">
        <f>'GHG detailed, absolute'!O20/Production!$D$25*AF_meat</f>
        <v>8.7876412716639754E-6</v>
      </c>
      <c r="P20" s="54">
        <f>'GHG detailed, absolute'!P20/Production!$D$25*AF_meat</f>
        <v>0</v>
      </c>
      <c r="Q20" s="54">
        <f>'GHG detailed, absolute'!Q20/Production!$D$25*AF_meat</f>
        <v>1.9184843415634816E-5</v>
      </c>
      <c r="R20" s="54">
        <f>'GHG detailed, absolute'!R20/Production!$D$25*AF_meat</f>
        <v>7.0630991136955545E-6</v>
      </c>
      <c r="S20" s="13"/>
      <c r="T20" s="51">
        <f>'GHG detailed, absolute'!T20/Production!$D$25*AF_meat</f>
        <v>1.6830805226480234E-3</v>
      </c>
      <c r="U20" s="83">
        <f>'GHG detailed, absolute'!U20/Production!$D$25*AF_meat</f>
        <v>9.4908678557265773E-4</v>
      </c>
      <c r="V20" s="83">
        <f>'GHG detailed, absolute'!V20/Production!$D$25*AF_meat</f>
        <v>7.3399373707536543E-4</v>
      </c>
      <c r="W20" s="13">
        <f>'GHG detailed, absolute'!W20/Production!$D$25*AF_meat</f>
        <v>2.6678597726637928E-5</v>
      </c>
      <c r="X20" s="49">
        <f>'GHG detailed, absolute'!X20/Production!$D$25*AF_meat</f>
        <v>6.6722550827171311E-6</v>
      </c>
      <c r="Z20" s="54"/>
      <c r="AA20" s="54"/>
    </row>
    <row r="21" spans="1:27" ht="15" customHeight="1" x14ac:dyDescent="0.35">
      <c r="A21" s="84" t="s">
        <v>94</v>
      </c>
      <c r="B21" s="84" t="s">
        <v>95</v>
      </c>
      <c r="C21" s="85" t="s">
        <v>96</v>
      </c>
      <c r="D21" s="86" t="s">
        <v>42</v>
      </c>
      <c r="E21" s="86" t="s">
        <v>43</v>
      </c>
      <c r="F21" s="87" t="s">
        <v>133</v>
      </c>
      <c r="G21" s="88">
        <f>'GHG detailed, absolute'!G21/Production!$D$25*AF_meat</f>
        <v>4.9455009635120417</v>
      </c>
      <c r="H21" s="89">
        <f>'GHG detailed, absolute'!H21/Production!$D$25*AF_meat</f>
        <v>0.29050923105693693</v>
      </c>
      <c r="I21" s="89">
        <f>'GHG detailed, absolute'!I21/Production!$D$25*AF_meat</f>
        <v>0.16228760934671818</v>
      </c>
      <c r="J21" s="89">
        <f>'GHG detailed, absolute'!J21/Production!$D$25*AF_meat</f>
        <v>0.68581192173695504</v>
      </c>
      <c r="K21" s="89">
        <f>'GHG detailed, absolute'!K21/Production!$D$25*AF_meat</f>
        <v>6.8581192173695502E-2</v>
      </c>
      <c r="L21" s="89">
        <f>'GHG detailed, absolute'!L21/Production!$D$25*AF_meat</f>
        <v>0.15966523784067771</v>
      </c>
      <c r="M21" s="89">
        <f>'GHG detailed, absolute'!M21/Production!$D$25*AF_meat</f>
        <v>0</v>
      </c>
      <c r="N21" s="89">
        <f>'GHG detailed, absolute'!N21/Production!$D$25*AF_meat</f>
        <v>1.0892691912012024E-3</v>
      </c>
      <c r="O21" s="89">
        <f>'GHG detailed, absolute'!O21/Production!$D$25*AF_meat</f>
        <v>0.24404753426180281</v>
      </c>
      <c r="P21" s="89">
        <f>'GHG detailed, absolute'!P21/Production!$D$25*AF_meat</f>
        <v>0.21041098438363776</v>
      </c>
      <c r="Q21" s="89">
        <f>'GHG detailed, absolute'!Q21/Production!$D$25*AF_meat</f>
        <v>0.2408250719597787</v>
      </c>
      <c r="R21" s="89">
        <f>'GHG detailed, absolute'!R21/Production!$D$25*AF_meat</f>
        <v>0.20817156248353816</v>
      </c>
      <c r="S21" s="89">
        <f>'GHG detailed, absolute'!S21/Production!$D$25*AF_meat</f>
        <v>0.23949945980847603</v>
      </c>
      <c r="T21" s="89">
        <f>'GHG detailed, absolute'!T21/Production!$D$25*AF_meat</f>
        <v>1.8346236183408819</v>
      </c>
      <c r="U21" s="89"/>
      <c r="V21" s="89"/>
      <c r="W21" s="89">
        <f>'GHG detailed, absolute'!W21/Production!$D$25*AF_meat</f>
        <v>0.40906584583411865</v>
      </c>
      <c r="X21" s="89">
        <f>'GHG detailed, absolute'!X21/Production!$D$25*AF_meat</f>
        <v>0.19091242509362347</v>
      </c>
      <c r="Z21" s="90">
        <f>'GHG detailed, absolute'!Z21/Production!$D$25*AF_meat</f>
        <v>2.2713996144349422</v>
      </c>
      <c r="AA21" s="91">
        <f>'GHG detailed, absolute'!AA21/Production!$D$25*AF_meat</f>
        <v>1.5533628836590335E-4</v>
      </c>
    </row>
    <row r="22" spans="1:27" ht="15" customHeight="1" x14ac:dyDescent="0.35">
      <c r="A22" s="20" t="s">
        <v>94</v>
      </c>
      <c r="B22" s="20" t="s">
        <v>95</v>
      </c>
      <c r="C22" s="16" t="s">
        <v>96</v>
      </c>
      <c r="D22" s="18" t="s">
        <v>44</v>
      </c>
      <c r="E22" s="18" t="s">
        <v>45</v>
      </c>
      <c r="F22" s="92" t="s">
        <v>129</v>
      </c>
      <c r="G22" s="77">
        <f>'GHG detailed, absolute'!G22/Production!$E$25*AF_meat</f>
        <v>2.39702930568893</v>
      </c>
      <c r="H22" s="77">
        <f>'GHG detailed, absolute'!H22/Production!$E$25*AF_meat</f>
        <v>0.24467766120281598</v>
      </c>
      <c r="I22" s="77">
        <f>'GHG detailed, absolute'!I22/Production!$E$25*AF_meat</f>
        <v>0.13337397159141554</v>
      </c>
      <c r="J22" s="77">
        <f>'GHG detailed, absolute'!J22/Production!$E$25*AF_meat</f>
        <v>0</v>
      </c>
      <c r="K22" s="77"/>
      <c r="L22" s="77">
        <f>'GHG detailed, absolute'!L22/Production!$E$25*AF_meat</f>
        <v>0.25187138001821657</v>
      </c>
      <c r="M22" s="77"/>
      <c r="N22" s="77">
        <f>'GHG detailed, absolute'!N22/Production!$E$25*AF_meat</f>
        <v>4.0334552737430564E-2</v>
      </c>
      <c r="O22" s="77">
        <f>'GHG detailed, absolute'!O22/Production!$E$25*AF_meat</f>
        <v>0.22348698637497794</v>
      </c>
      <c r="P22" s="77">
        <f>'GHG detailed, absolute'!P22/Production!$E$25*AF_meat</f>
        <v>0.26289894707677608</v>
      </c>
      <c r="Q22" s="77">
        <f>'GHG detailed, absolute'!Q22/Production!$E$25*AF_meat</f>
        <v>0.30188956926427268</v>
      </c>
      <c r="R22" s="77">
        <f>'GHG detailed, absolute'!R22/Production!$E$25*AF_meat</f>
        <v>0.22942183419729184</v>
      </c>
      <c r="S22" s="78"/>
      <c r="T22" s="79"/>
      <c r="U22" s="80"/>
      <c r="V22" s="80"/>
      <c r="W22" s="78">
        <f>'GHG detailed, absolute'!W22/Production!$E$25*AF_meat</f>
        <v>0.50158693889907935</v>
      </c>
      <c r="X22" s="81">
        <f>'GHG detailed, absolute'!X22/Production!$E$25*AF_meat</f>
        <v>0.20748746432665371</v>
      </c>
      <c r="Z22" s="53"/>
      <c r="AA22" s="53"/>
    </row>
    <row r="23" spans="1:27" x14ac:dyDescent="0.35">
      <c r="A23" s="20" t="s">
        <v>94</v>
      </c>
      <c r="B23" s="20" t="s">
        <v>95</v>
      </c>
      <c r="C23" s="16" t="s">
        <v>96</v>
      </c>
      <c r="D23" s="18" t="s">
        <v>44</v>
      </c>
      <c r="E23" s="18" t="s">
        <v>45</v>
      </c>
      <c r="F23" s="20" t="s">
        <v>130</v>
      </c>
      <c r="G23" s="53">
        <f>'GHG detailed, absolute'!G23/Production!$E$25*AF_meat</f>
        <v>4.4690959592958452E-3</v>
      </c>
      <c r="H23" s="58">
        <f>'GHG detailed, absolute'!H23/Production!$E$25*AF_meat</f>
        <v>4.0839367271747418E-5</v>
      </c>
      <c r="I23" s="58">
        <f>'GHG detailed, absolute'!I23/Production!$E$25*AF_meat</f>
        <v>4.6927878893275837E-4</v>
      </c>
      <c r="J23" s="58"/>
      <c r="K23" s="58"/>
      <c r="L23" s="58">
        <f>'GHG detailed, absolute'!L23/Production!$E$25*AF_meat</f>
        <v>1.1157052831944977E-4</v>
      </c>
      <c r="M23" s="58"/>
      <c r="N23" s="58">
        <f>'GHG detailed, absolute'!N23/Production!$E$25*AF_meat</f>
        <v>1.1923863181330591E-4</v>
      </c>
      <c r="O23" s="58">
        <f>'GHG detailed, absolute'!O23/Production!$E$25*AF_meat</f>
        <v>1.8182566180267328E-4</v>
      </c>
      <c r="P23" s="58">
        <f>'GHG detailed, absolute'!P23/Production!$E$25*AF_meat</f>
        <v>0</v>
      </c>
      <c r="Q23" s="58">
        <f>'GHG detailed, absolute'!Q23/Production!$E$25*AF_meat</f>
        <v>1.9509194169669986E-3</v>
      </c>
      <c r="R23" s="58">
        <f>'GHG detailed, absolute'!R23/Production!$E$25*AF_meat</f>
        <v>1.9453739378898552E-4</v>
      </c>
      <c r="W23" s="13">
        <f>'GHG detailed, absolute'!W23/Production!$E$25*AF_meat</f>
        <v>7.7320446369544174E-4</v>
      </c>
      <c r="X23" s="49">
        <f>'GHG detailed, absolute'!X23/Production!$E$25*AF_meat</f>
        <v>6.2768170670448448E-4</v>
      </c>
      <c r="Z23" s="54"/>
      <c r="AA23" s="54"/>
    </row>
    <row r="24" spans="1:27" x14ac:dyDescent="0.35">
      <c r="A24" s="20" t="s">
        <v>94</v>
      </c>
      <c r="B24" s="20" t="s">
        <v>95</v>
      </c>
      <c r="C24" s="16" t="s">
        <v>96</v>
      </c>
      <c r="D24" s="18" t="s">
        <v>44</v>
      </c>
      <c r="E24" s="18" t="s">
        <v>45</v>
      </c>
      <c r="F24" s="20" t="s">
        <v>131</v>
      </c>
      <c r="G24" s="53">
        <f>'GHG detailed, absolute'!G24/Production!$E$25*AF_meat</f>
        <v>0.16142936174082884</v>
      </c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13">
        <f>'GHG detailed, absolute'!S24/Production!$E$25*AF_meat</f>
        <v>9.2759478615932912E-3</v>
      </c>
      <c r="T24" s="51">
        <f>'GHG detailed, absolute'!T24/Production!$E$25*AF_meat</f>
        <v>0.15215341387923553</v>
      </c>
      <c r="U24" s="59">
        <f>'GHG detailed, absolute'!U24/Production!$E$25*AF_meat</f>
        <v>0.15215341387923553</v>
      </c>
      <c r="W24" s="13"/>
      <c r="X24" s="49"/>
      <c r="Z24" s="54"/>
      <c r="AA24" s="54"/>
    </row>
    <row r="25" spans="1:27" ht="15" customHeight="1" x14ac:dyDescent="0.35">
      <c r="A25" s="20" t="s">
        <v>94</v>
      </c>
      <c r="B25" s="20" t="s">
        <v>95</v>
      </c>
      <c r="C25" s="16" t="s">
        <v>96</v>
      </c>
      <c r="D25" s="18" t="s">
        <v>44</v>
      </c>
      <c r="E25" s="18" t="s">
        <v>45</v>
      </c>
      <c r="F25" s="82" t="s">
        <v>132</v>
      </c>
      <c r="G25" s="53">
        <f>'GHG detailed, absolute'!G25/Production!$E$25*AF_meat</f>
        <v>4.7302246122631177E-3</v>
      </c>
      <c r="H25" s="58">
        <f>'GHG detailed, absolute'!H25/Production!$E$25*AF_meat</f>
        <v>6.6438020921230124E-5</v>
      </c>
      <c r="I25" s="54">
        <f>'GHG detailed, absolute'!I25/Production!$E$25*AF_meat</f>
        <v>5.433754398168781E-6</v>
      </c>
      <c r="J25" s="54">
        <f>'GHG detailed, absolute'!J25/Production!$E$25*AF_meat</f>
        <v>2.4229553760729298E-3</v>
      </c>
      <c r="K25" s="54">
        <f>'GHG detailed, absolute'!K25/Production!$E$25*AF_meat</f>
        <v>2.42295537607293E-4</v>
      </c>
      <c r="L25" s="54">
        <f>'GHG detailed, absolute'!L25/Production!$E$25*AF_meat</f>
        <v>6.7678821817329042E-6</v>
      </c>
      <c r="M25" s="54"/>
      <c r="N25" s="54">
        <f>'GHG detailed, absolute'!N25/Production!$E$25*AF_meat</f>
        <v>1.7334674436692722E-6</v>
      </c>
      <c r="O25" s="54">
        <f>'GHG detailed, absolute'!O25/Production!$E$25*AF_meat</f>
        <v>7.8939723858086143E-6</v>
      </c>
      <c r="P25" s="54">
        <f>'GHG detailed, absolute'!P25/Production!$E$25*AF_meat</f>
        <v>0</v>
      </c>
      <c r="Q25" s="54">
        <f>'GHG detailed, absolute'!Q25/Production!$E$25*AF_meat</f>
        <v>4.2213072701551082E-5</v>
      </c>
      <c r="R25" s="54">
        <f>'GHG detailed, absolute'!R25/Production!$E$25*AF_meat</f>
        <v>9.4668255169605459E-6</v>
      </c>
      <c r="S25" s="13"/>
      <c r="T25" s="51">
        <f>'GHG detailed, absolute'!T25/Production!$E$25*AF_meat</f>
        <v>1.8893204686927349E-3</v>
      </c>
      <c r="U25" s="83">
        <f>'GHG detailed, absolute'!U25/Production!$E$25*AF_meat</f>
        <v>1.0627528272090915E-3</v>
      </c>
      <c r="V25" s="83">
        <f>'GHG detailed, absolute'!V25/Production!$E$25*AF_meat</f>
        <v>8.2656764148364328E-4</v>
      </c>
      <c r="W25" s="13">
        <f>'GHG detailed, absolute'!W25/Production!$E$25*AF_meat</f>
        <v>2.874975006131556E-5</v>
      </c>
      <c r="X25" s="49">
        <f>'GHG detailed, absolute'!X25/Production!$E$25*AF_meat</f>
        <v>6.9564842797242043E-6</v>
      </c>
      <c r="Z25" s="54"/>
      <c r="AA25" s="54"/>
    </row>
    <row r="26" spans="1:27" ht="15" customHeight="1" x14ac:dyDescent="0.35">
      <c r="A26" s="84" t="s">
        <v>94</v>
      </c>
      <c r="B26" s="84" t="s">
        <v>95</v>
      </c>
      <c r="C26" s="85" t="s">
        <v>96</v>
      </c>
      <c r="D26" s="93" t="s">
        <v>44</v>
      </c>
      <c r="E26" s="93" t="s">
        <v>45</v>
      </c>
      <c r="F26" s="87" t="s">
        <v>133</v>
      </c>
      <c r="G26" s="88">
        <f>'GHG detailed, absolute'!G26/Production!$E$25*AF_meat</f>
        <v>8.1801524514261548</v>
      </c>
      <c r="H26" s="89">
        <f>'GHG detailed, absolute'!H26/Production!$E$25*AF_meat</f>
        <v>0.26403225405900987</v>
      </c>
      <c r="I26" s="89">
        <f>'GHG detailed, absolute'!I26/Production!$E$25*AF_meat</f>
        <v>0.14884189445231183</v>
      </c>
      <c r="J26" s="89">
        <f>'GHG detailed, absolute'!J26/Production!$E$25*AF_meat</f>
        <v>0.66146681766790993</v>
      </c>
      <c r="K26" s="89">
        <f>'GHG detailed, absolute'!K26/Production!$E$25*AF_meat</f>
        <v>6.6146681766790991E-2</v>
      </c>
      <c r="L26" s="89">
        <f>'GHG detailed, absolute'!L26/Production!$E$25*AF_meat</f>
        <v>0.25704381359774925</v>
      </c>
      <c r="M26" s="89">
        <f>'GHG detailed, absolute'!M26/Production!$E$25*AF_meat</f>
        <v>0</v>
      </c>
      <c r="N26" s="89">
        <f>'GHG detailed, absolute'!N26/Production!$E$25*AF_meat</f>
        <v>4.436110057758879E-2</v>
      </c>
      <c r="O26" s="89">
        <f>'GHG detailed, absolute'!O26/Production!$E$25*AF_meat</f>
        <v>0.23106044555802335</v>
      </c>
      <c r="P26" s="89">
        <f>'GHG detailed, absolute'!P26/Production!$E$25*AF_meat</f>
        <v>0.26289894707677608</v>
      </c>
      <c r="Q26" s="89">
        <f>'GHG detailed, absolute'!Q26/Production!$E$25*AF_meat</f>
        <v>0.37155113673741269</v>
      </c>
      <c r="R26" s="89">
        <f>'GHG detailed, absolute'!R26/Production!$E$25*AF_meat</f>
        <v>0.23780349189833383</v>
      </c>
      <c r="S26" s="89">
        <f>'GHG detailed, absolute'!S26/Production!$E$25*AF_meat</f>
        <v>0.25045059226301886</v>
      </c>
      <c r="T26" s="89">
        <f>'GHG detailed, absolute'!T26/Production!$E$25*AF_meat</f>
        <v>4.6239266626924742</v>
      </c>
      <c r="U26" s="89"/>
      <c r="V26" s="89"/>
      <c r="W26" s="89">
        <f>'GHG detailed, absolute'!W26/Production!$E$25*AF_meat</f>
        <v>0.53247711368394268</v>
      </c>
      <c r="X26" s="89">
        <f>'GHG detailed, absolute'!X26/Production!$E$25*AF_meat</f>
        <v>0.22809149939481205</v>
      </c>
      <c r="Z26" s="90">
        <f>'GHG detailed, absolute'!Z26/Production!$E$25*AF_meat</f>
        <v>2.5452065833919066</v>
      </c>
      <c r="AA26" s="91">
        <f>'GHG detailed, absolute'!AA26/Production!$E$25*AF_meat</f>
        <v>2.5659227496177301E-4</v>
      </c>
    </row>
    <row r="27" spans="1:27" ht="15" customHeight="1" x14ac:dyDescent="0.35">
      <c r="A27" s="73" t="s">
        <v>94</v>
      </c>
      <c r="B27" s="73" t="s">
        <v>95</v>
      </c>
      <c r="C27" s="74" t="s">
        <v>96</v>
      </c>
      <c r="D27" s="75" t="s">
        <v>82</v>
      </c>
      <c r="E27" s="75" t="s">
        <v>47</v>
      </c>
      <c r="F27" s="76" t="s">
        <v>129</v>
      </c>
      <c r="G27" s="77">
        <f>'GHG detailed, absolute'!G27/Production!$F$25*AF_meat</f>
        <v>2.172518101199393</v>
      </c>
      <c r="H27" s="77">
        <f>'GHG detailed, absolute'!H27/Production!$F$25*AF_meat</f>
        <v>0.2887932674042582</v>
      </c>
      <c r="I27" s="77">
        <f>'GHG detailed, absolute'!I27/Production!$F$25*AF_meat</f>
        <v>0.16029622387134018</v>
      </c>
      <c r="J27" s="77">
        <f>'GHG detailed, absolute'!J27/Production!$F$25*AF_meat</f>
        <v>0</v>
      </c>
      <c r="K27" s="77"/>
      <c r="L27" s="77">
        <f>'GHG detailed, absolute'!L27/Production!$F$25*AF_meat</f>
        <v>0.21318137712247626</v>
      </c>
      <c r="M27" s="77"/>
      <c r="N27" s="77">
        <f>'GHG detailed, absolute'!N27/Production!$F$25*AF_meat</f>
        <v>5.1949282367795167E-3</v>
      </c>
      <c r="O27" s="77">
        <f>'GHG detailed, absolute'!O27/Production!$F$25*AF_meat</f>
        <v>0.24723686189625452</v>
      </c>
      <c r="P27" s="77">
        <f>'GHG detailed, absolute'!P27/Production!$F$25*AF_meat</f>
        <v>0.26275643626119827</v>
      </c>
      <c r="Q27" s="77">
        <f>'GHG detailed, absolute'!Q27/Production!$F$25*AF_meat</f>
        <v>0.22967162474400626</v>
      </c>
      <c r="R27" s="77">
        <f>'GHG detailed, absolute'!R27/Production!$F$25*AF_meat</f>
        <v>0.17606296571828831</v>
      </c>
      <c r="S27" s="78"/>
      <c r="T27" s="79"/>
      <c r="U27" s="80"/>
      <c r="V27" s="80"/>
      <c r="W27" s="78">
        <f>'GHG detailed, absolute'!W27/Production!$F$25*AF_meat</f>
        <v>0.41898479201007138</v>
      </c>
      <c r="X27" s="81">
        <f>'GHG detailed, absolute'!X27/Production!$F$25*AF_meat</f>
        <v>0.17033962393472027</v>
      </c>
      <c r="Z27" s="53"/>
      <c r="AA27" s="53"/>
    </row>
    <row r="28" spans="1:27" x14ac:dyDescent="0.35">
      <c r="A28" s="20" t="s">
        <v>94</v>
      </c>
      <c r="B28" s="20" t="s">
        <v>95</v>
      </c>
      <c r="C28" s="16" t="s">
        <v>96</v>
      </c>
      <c r="D28" s="18" t="s">
        <v>82</v>
      </c>
      <c r="E28" s="18" t="s">
        <v>47</v>
      </c>
      <c r="F28" s="20" t="s">
        <v>130</v>
      </c>
      <c r="G28" s="53">
        <f>'GHG detailed, absolute'!G28/Production!$F$25*AF_meat</f>
        <v>3.2673695104166287E-3</v>
      </c>
      <c r="H28" s="58">
        <f>'GHG detailed, absolute'!H28/Production!$F$25*AF_meat</f>
        <v>2.499079843111387E-5</v>
      </c>
      <c r="I28" s="58">
        <f>'GHG detailed, absolute'!I28/Production!$F$25*AF_meat</f>
        <v>5.6400523213990053E-4</v>
      </c>
      <c r="J28" s="58"/>
      <c r="K28" s="58"/>
      <c r="L28" s="58">
        <f>'GHG detailed, absolute'!L28/Production!$F$25*AF_meat</f>
        <v>9.4432161652119038E-5</v>
      </c>
      <c r="M28" s="58"/>
      <c r="N28" s="58">
        <f>'GHG detailed, absolute'!N28/Production!$F$25*AF_meat</f>
        <v>1.5407033868459866E-5</v>
      </c>
      <c r="O28" s="58">
        <f>'GHG detailed, absolute'!O28/Production!$F$25*AF_meat</f>
        <v>2.0260501422459778E-4</v>
      </c>
      <c r="P28" s="58">
        <f>'GHG detailed, absolute'!P28/Production!$F$25*AF_meat</f>
        <v>0</v>
      </c>
      <c r="Q28" s="58">
        <f>'GHG detailed, absolute'!Q28/Production!$F$25*AF_meat</f>
        <v>8.8625404728258752E-4</v>
      </c>
      <c r="R28" s="58">
        <f>'GHG detailed, absolute'!R28/Production!$F$25*AF_meat</f>
        <v>1.475592152618455E-4</v>
      </c>
      <c r="W28" s="13">
        <f>'GHG detailed, absolute'!W28/Production!$F$25*AF_meat</f>
        <v>7.3066059644491066E-4</v>
      </c>
      <c r="X28" s="49">
        <f>'GHG detailed, absolute'!X28/Production!$F$25*AF_meat</f>
        <v>6.0145541111109382E-4</v>
      </c>
      <c r="Z28" s="54"/>
      <c r="AA28" s="54"/>
    </row>
    <row r="29" spans="1:27" x14ac:dyDescent="0.35">
      <c r="A29" s="20" t="s">
        <v>94</v>
      </c>
      <c r="B29" s="20" t="s">
        <v>95</v>
      </c>
      <c r="C29" s="16" t="s">
        <v>96</v>
      </c>
      <c r="D29" s="18" t="s">
        <v>82</v>
      </c>
      <c r="E29" s="18" t="s">
        <v>47</v>
      </c>
      <c r="F29" s="20" t="s">
        <v>131</v>
      </c>
      <c r="G29" s="53">
        <f>'GHG detailed, absolute'!G29/Production!$F$25*AF_meat</f>
        <v>5.1437970021425951E-2</v>
      </c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13">
        <f>'GHG detailed, absolute'!S29/Production!$F$25*AF_meat</f>
        <v>9.8152928191867495E-3</v>
      </c>
      <c r="T29" s="51">
        <f>'GHG detailed, absolute'!T29/Production!$F$25*AF_meat</f>
        <v>4.1622677202239208E-2</v>
      </c>
      <c r="U29" s="59">
        <f>'GHG detailed, absolute'!U29/Production!$F$25*AF_meat</f>
        <v>4.1622677202239208E-2</v>
      </c>
      <c r="W29" s="13"/>
      <c r="X29" s="49"/>
      <c r="Z29" s="54"/>
      <c r="AA29" s="54"/>
    </row>
    <row r="30" spans="1:27" ht="15" customHeight="1" x14ac:dyDescent="0.35">
      <c r="A30" s="20" t="s">
        <v>94</v>
      </c>
      <c r="B30" s="20" t="s">
        <v>95</v>
      </c>
      <c r="C30" s="16" t="s">
        <v>96</v>
      </c>
      <c r="D30" s="18" t="s">
        <v>82</v>
      </c>
      <c r="E30" s="18" t="s">
        <v>47</v>
      </c>
      <c r="F30" s="82" t="s">
        <v>132</v>
      </c>
      <c r="G30" s="53">
        <f>'GHG detailed, absolute'!G30/Production!$F$25*AF_meat</f>
        <v>5.0550442470223781E-3</v>
      </c>
      <c r="H30" s="58">
        <f>'GHG detailed, absolute'!H30/Production!$F$25*AF_meat</f>
        <v>1.3450350454682474E-4</v>
      </c>
      <c r="I30" s="54">
        <f>'GHG detailed, absolute'!I30/Production!$F$25*AF_meat</f>
        <v>6.530586898462006E-6</v>
      </c>
      <c r="J30" s="54">
        <f>'GHG detailed, absolute'!J30/Production!$F$25*AF_meat</f>
        <v>3.1490353470844746E-3</v>
      </c>
      <c r="K30" s="54">
        <f>'GHG detailed, absolute'!K30/Production!$F$25*AF_meat</f>
        <v>3.149035347084475E-4</v>
      </c>
      <c r="L30" s="54">
        <f>'GHG detailed, absolute'!L30/Production!$F$25*AF_meat</f>
        <v>5.7282667193078456E-6</v>
      </c>
      <c r="M30" s="54"/>
      <c r="N30" s="54">
        <f>'GHG detailed, absolute'!N30/Production!$F$25*AF_meat</f>
        <v>2.2303156039504531E-7</v>
      </c>
      <c r="O30" s="54">
        <f>'GHG detailed, absolute'!O30/Production!$F$25*AF_meat</f>
        <v>8.7675053126751167E-6</v>
      </c>
      <c r="P30" s="54">
        <f>'GHG detailed, absolute'!P30/Production!$F$25*AF_meat</f>
        <v>0</v>
      </c>
      <c r="Q30" s="54">
        <f>'GHG detailed, absolute'!Q30/Production!$F$25*AF_meat</f>
        <v>2.0442210169102548E-5</v>
      </c>
      <c r="R30" s="54">
        <f>'GHG detailed, absolute'!R30/Production!$F$25*AF_meat</f>
        <v>6.4286200867130442E-6</v>
      </c>
      <c r="S30" s="13"/>
      <c r="T30" s="51">
        <f>'GHG detailed, absolute'!T30/Production!$F$25*AF_meat</f>
        <v>1.375880764642087E-3</v>
      </c>
      <c r="U30" s="83">
        <f>'GHG detailed, absolute'!U30/Production!$F$25*AF_meat</f>
        <v>7.7958739452613365E-4</v>
      </c>
      <c r="V30" s="83">
        <f>'GHG detailed, absolute'!V30/Production!$F$25*AF_meat</f>
        <v>5.962933701159532E-4</v>
      </c>
      <c r="W30" s="13">
        <f>'GHG detailed, absolute'!W30/Production!$F$25*AF_meat</f>
        <v>2.6871905447557948E-5</v>
      </c>
      <c r="X30" s="49">
        <f>'GHG detailed, absolute'!X30/Production!$F$25*AF_meat</f>
        <v>5.7289698463301317E-6</v>
      </c>
      <c r="Z30" s="54"/>
      <c r="AA30" s="54"/>
    </row>
    <row r="31" spans="1:27" ht="15" customHeight="1" x14ac:dyDescent="0.35">
      <c r="A31" s="84" t="s">
        <v>94</v>
      </c>
      <c r="B31" s="84" t="s">
        <v>95</v>
      </c>
      <c r="C31" s="85" t="s">
        <v>96</v>
      </c>
      <c r="D31" s="86" t="s">
        <v>82</v>
      </c>
      <c r="E31" s="86" t="s">
        <v>47</v>
      </c>
      <c r="F31" s="87" t="s">
        <v>133</v>
      </c>
      <c r="G31" s="88">
        <f>'GHG detailed, absolute'!G31/Production!$F$25*AF_meat</f>
        <v>5.0387379826254195</v>
      </c>
      <c r="H31" s="89">
        <f>'GHG detailed, absolute'!H31/Production!$F$25*AF_meat</f>
        <v>0.32625744993878858</v>
      </c>
      <c r="I31" s="89">
        <f>'GHG detailed, absolute'!I31/Production!$F$25*AF_meat</f>
        <v>0.17888643001238932</v>
      </c>
      <c r="J31" s="89">
        <f>'GHG detailed, absolute'!J31/Production!$F$25*AF_meat</f>
        <v>0.85968664975406162</v>
      </c>
      <c r="K31" s="89">
        <f>'GHG detailed, absolute'!K31/Production!$F$25*AF_meat</f>
        <v>8.5968664975406159E-2</v>
      </c>
      <c r="L31" s="89">
        <f>'GHG detailed, absolute'!L31/Production!$F$25*AF_meat</f>
        <v>0.21755927235408043</v>
      </c>
      <c r="M31" s="89">
        <f>'GHG detailed, absolute'!M31/Production!$F$25*AF_meat</f>
        <v>0</v>
      </c>
      <c r="N31" s="89">
        <f>'GHG detailed, absolute'!N31/Production!$F$25*AF_meat</f>
        <v>5.7149454620474679E-3</v>
      </c>
      <c r="O31" s="89">
        <f>'GHG detailed, absolute'!O31/Production!$F$25*AF_meat</f>
        <v>0.25566802027050778</v>
      </c>
      <c r="P31" s="89">
        <f>'GHG detailed, absolute'!P31/Production!$F$25*AF_meat</f>
        <v>0.26275643626119827</v>
      </c>
      <c r="Q31" s="89">
        <f>'GHG detailed, absolute'!Q31/Production!$F$25*AF_meat</f>
        <v>0.26166271872919239</v>
      </c>
      <c r="R31" s="89">
        <f>'GHG detailed, absolute'!R31/Production!$F$25*AF_meat</f>
        <v>0.18221524361676397</v>
      </c>
      <c r="S31" s="89">
        <f>'GHG detailed, absolute'!S31/Production!$F$25*AF_meat</f>
        <v>0.26501290611804224</v>
      </c>
      <c r="T31" s="89">
        <f>'GHG detailed, absolute'!T31/Production!$F$25*AF_meat</f>
        <v>1.4994277332077484</v>
      </c>
      <c r="U31" s="89"/>
      <c r="V31" s="89"/>
      <c r="W31" s="89">
        <f>'GHG detailed, absolute'!W31/Production!$F$25*AF_meat</f>
        <v>0.44809450797131306</v>
      </c>
      <c r="X31" s="89">
        <f>'GHG detailed, absolute'!X31/Production!$F$25*AF_meat</f>
        <v>0.18982700395387897</v>
      </c>
      <c r="Z31" s="90">
        <f>'GHG detailed, absolute'!Z31/Production!$F$25*AF_meat</f>
        <v>2.636375831374437</v>
      </c>
      <c r="AA31" s="91">
        <f>'GHG detailed, absolute'!AA31/Production!$F$25*AF_meat</f>
        <v>1.8060317103109412E-4</v>
      </c>
    </row>
    <row r="32" spans="1:27" ht="15" customHeight="1" x14ac:dyDescent="0.35">
      <c r="A32" s="73" t="s">
        <v>94</v>
      </c>
      <c r="B32" s="73" t="s">
        <v>95</v>
      </c>
      <c r="C32" s="74" t="s">
        <v>96</v>
      </c>
      <c r="D32" s="75" t="s">
        <v>134</v>
      </c>
      <c r="E32" s="75" t="s">
        <v>49</v>
      </c>
      <c r="F32" s="76" t="s">
        <v>129</v>
      </c>
      <c r="G32" s="77">
        <f>'GHG detailed, absolute'!G32/Production!$G$25*AF_meat</f>
        <v>1.9578823443967044</v>
      </c>
      <c r="H32" s="77">
        <f>'GHG detailed, absolute'!H32/Production!$G$25*AF_meat</f>
        <v>0.18458653058469862</v>
      </c>
      <c r="I32" s="77">
        <f>'GHG detailed, absolute'!I32/Production!$G$25*AF_meat</f>
        <v>0.14536163637878402</v>
      </c>
      <c r="J32" s="77">
        <f>'GHG detailed, absolute'!J32/Production!$G$25*AF_meat</f>
        <v>0</v>
      </c>
      <c r="K32" s="77"/>
      <c r="L32" s="77">
        <f>'GHG detailed, absolute'!L32/Production!$G$25*AF_meat</f>
        <v>0.15905075921613127</v>
      </c>
      <c r="M32" s="77"/>
      <c r="N32" s="77">
        <f>'GHG detailed, absolute'!N32/Production!$G$25*AF_meat</f>
        <v>2.416636839559224E-3</v>
      </c>
      <c r="O32" s="77">
        <f>'GHG detailed, absolute'!O32/Production!$G$25*AF_meat</f>
        <v>0.2221423799659509</v>
      </c>
      <c r="P32" s="77">
        <f>'GHG detailed, absolute'!P32/Production!$G$25*AF_meat</f>
        <v>0.2706490564857098</v>
      </c>
      <c r="Q32" s="77">
        <f>'GHG detailed, absolute'!Q32/Production!$G$25*AF_meat</f>
        <v>0.2035258770177279</v>
      </c>
      <c r="R32" s="77">
        <f>'GHG detailed, absolute'!R32/Production!$G$25*AF_meat</f>
        <v>0.24058459395968079</v>
      </c>
      <c r="S32" s="78"/>
      <c r="T32" s="79"/>
      <c r="U32" s="80"/>
      <c r="V32" s="80"/>
      <c r="W32" s="78">
        <f>'GHG detailed, absolute'!W32/Production!$G$25*AF_meat</f>
        <v>0.36920441874663762</v>
      </c>
      <c r="X32" s="81">
        <f>'GHG detailed, absolute'!X32/Production!$G$25*AF_meat</f>
        <v>0.1603604552018241</v>
      </c>
      <c r="Z32" s="53"/>
      <c r="AA32" s="53"/>
    </row>
    <row r="33" spans="1:27" x14ac:dyDescent="0.35">
      <c r="A33" s="20" t="s">
        <v>94</v>
      </c>
      <c r="B33" s="20" t="s">
        <v>95</v>
      </c>
      <c r="C33" s="16" t="s">
        <v>96</v>
      </c>
      <c r="D33" s="18" t="s">
        <v>134</v>
      </c>
      <c r="E33" s="18" t="s">
        <v>49</v>
      </c>
      <c r="F33" s="20" t="s">
        <v>130</v>
      </c>
      <c r="G33" s="53">
        <f>'GHG detailed, absolute'!G33/Production!$G$25*AF_meat</f>
        <v>2.2856584804402873E-3</v>
      </c>
      <c r="H33" s="58">
        <f>'GHG detailed, absolute'!H33/Production!$G$25*AF_meat</f>
        <v>9.7462666112856601E-5</v>
      </c>
      <c r="I33" s="58">
        <f>'GHG detailed, absolute'!I33/Production!$G$25*AF_meat</f>
        <v>5.114576094809066E-4</v>
      </c>
      <c r="J33" s="58"/>
      <c r="K33" s="58"/>
      <c r="L33" s="58">
        <f>'GHG detailed, absolute'!L33/Production!$G$25*AF_meat</f>
        <v>7.0454123188072942E-5</v>
      </c>
      <c r="M33" s="58"/>
      <c r="N33" s="58">
        <f>'GHG detailed, absolute'!N33/Production!$G$25*AF_meat</f>
        <v>7.2373419799381738E-6</v>
      </c>
      <c r="O33" s="58">
        <f>'GHG detailed, absolute'!O33/Production!$G$25*AF_meat</f>
        <v>1.2209054809680844E-4</v>
      </c>
      <c r="P33" s="58">
        <f>'GHG detailed, absolute'!P33/Production!$G$25*AF_meat</f>
        <v>0</v>
      </c>
      <c r="Q33" s="58">
        <f>'GHG detailed, absolute'!Q33/Production!$G$25*AF_meat</f>
        <v>4.7873575937675418E-4</v>
      </c>
      <c r="R33" s="58">
        <f>'GHG detailed, absolute'!R33/Production!$G$25*AF_meat</f>
        <v>2.1695402750872937E-4</v>
      </c>
      <c r="W33" s="13">
        <f>'GHG detailed, absolute'!W33/Production!$G$25*AF_meat</f>
        <v>3.14819779024894E-4</v>
      </c>
      <c r="X33" s="49">
        <f>'GHG detailed, absolute'!X33/Production!$G$25*AF_meat</f>
        <v>4.6644662567132689E-4</v>
      </c>
      <c r="Z33" s="54"/>
      <c r="AA33" s="54"/>
    </row>
    <row r="34" spans="1:27" x14ac:dyDescent="0.35">
      <c r="A34" s="20" t="s">
        <v>94</v>
      </c>
      <c r="B34" s="20" t="s">
        <v>95</v>
      </c>
      <c r="C34" s="16" t="s">
        <v>96</v>
      </c>
      <c r="D34" s="18" t="s">
        <v>134</v>
      </c>
      <c r="E34" s="18" t="s">
        <v>49</v>
      </c>
      <c r="F34" s="20" t="s">
        <v>131</v>
      </c>
      <c r="G34" s="53">
        <f>'GHG detailed, absolute'!G34/Production!$G$25*AF_meat</f>
        <v>2.0046371570298174E-2</v>
      </c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13">
        <f>'GHG detailed, absolute'!S34/Production!$G$25*AF_meat</f>
        <v>9.3202194264074504E-3</v>
      </c>
      <c r="T34" s="51">
        <f>'GHG detailed, absolute'!T34/Production!$G$25*AF_meat</f>
        <v>1.0726152143890725E-2</v>
      </c>
      <c r="U34" s="59">
        <f>'GHG detailed, absolute'!U34/Production!$G$25*AF_meat</f>
        <v>1.0726152143890725E-2</v>
      </c>
      <c r="W34" s="13"/>
      <c r="X34" s="49"/>
      <c r="Z34" s="54"/>
      <c r="AA34" s="54"/>
    </row>
    <row r="35" spans="1:27" ht="15" customHeight="1" x14ac:dyDescent="0.35">
      <c r="A35" s="20" t="s">
        <v>94</v>
      </c>
      <c r="B35" s="20" t="s">
        <v>95</v>
      </c>
      <c r="C35" s="16" t="s">
        <v>96</v>
      </c>
      <c r="D35" s="18" t="s">
        <v>134</v>
      </c>
      <c r="E35" s="18" t="s">
        <v>49</v>
      </c>
      <c r="F35" s="82" t="s">
        <v>132</v>
      </c>
      <c r="G35" s="53">
        <f>'GHG detailed, absolute'!G35/Production!$G$25*AF_meat</f>
        <v>3.7024902008638118E-3</v>
      </c>
      <c r="H35" s="58">
        <f>'GHG detailed, absolute'!H35/Production!$G$25*AF_meat</f>
        <v>1.5204125374611611E-4</v>
      </c>
      <c r="I35" s="54">
        <f>'GHG detailed, absolute'!I35/Production!$G$25*AF_meat</f>
        <v>5.9221407413578671E-6</v>
      </c>
      <c r="J35" s="54">
        <f>'GHG detailed, absolute'!J35/Production!$G$25*AF_meat</f>
        <v>2.1146395821269258E-3</v>
      </c>
      <c r="K35" s="54">
        <f>'GHG detailed, absolute'!K35/Production!$G$25*AF_meat</f>
        <v>2.1146395821269265E-4</v>
      </c>
      <c r="L35" s="54">
        <f>'GHG detailed, absolute'!L35/Production!$G$25*AF_meat</f>
        <v>4.2737559114977296E-6</v>
      </c>
      <c r="M35" s="54"/>
      <c r="N35" s="54">
        <f>'GHG detailed, absolute'!N35/Production!$G$25*AF_meat</f>
        <v>1.0342416495493543E-7</v>
      </c>
      <c r="O35" s="54">
        <f>'GHG detailed, absolute'!O35/Production!$G$25*AF_meat</f>
        <v>8.0067232533217221E-6</v>
      </c>
      <c r="P35" s="54">
        <f>'GHG detailed, absolute'!P35/Production!$G$25*AF_meat</f>
        <v>0</v>
      </c>
      <c r="Q35" s="54">
        <f>'GHG detailed, absolute'!Q35/Production!$G$25*AF_meat</f>
        <v>2.4277411073695247E-5</v>
      </c>
      <c r="R35" s="54">
        <f>'GHG detailed, absolute'!R35/Production!$G$25*AF_meat</f>
        <v>9.0114758453657052E-6</v>
      </c>
      <c r="S35" s="13"/>
      <c r="T35" s="51">
        <f>'GHG detailed, absolute'!T35/Production!$G$25*AF_meat</f>
        <v>1.1424791472335555E-3</v>
      </c>
      <c r="U35" s="83">
        <f>'GHG detailed, absolute'!U35/Production!$G$25*AF_meat</f>
        <v>6.4189648479114037E-4</v>
      </c>
      <c r="V35" s="83">
        <f>'GHG detailed, absolute'!V35/Production!$G$25*AF_meat</f>
        <v>5.005826624424149E-4</v>
      </c>
      <c r="W35" s="13">
        <f>'GHG detailed, absolute'!W35/Production!$G$25*AF_meat</f>
        <v>2.4762681528854173E-5</v>
      </c>
      <c r="X35" s="49">
        <f>'GHG detailed, absolute'!X35/Production!$G$25*AF_meat</f>
        <v>5.5086470254740105E-6</v>
      </c>
      <c r="Z35" s="54"/>
      <c r="AA35" s="54"/>
    </row>
    <row r="36" spans="1:27" ht="15" customHeight="1" x14ac:dyDescent="0.35">
      <c r="A36" s="84" t="s">
        <v>94</v>
      </c>
      <c r="B36" s="84" t="s">
        <v>95</v>
      </c>
      <c r="C36" s="85" t="s">
        <v>96</v>
      </c>
      <c r="D36" s="93" t="s">
        <v>134</v>
      </c>
      <c r="E36" s="93" t="s">
        <v>49</v>
      </c>
      <c r="F36" s="87" t="s">
        <v>133</v>
      </c>
      <c r="G36" s="88">
        <f>'GHG detailed, absolute'!G36/Production!$G$25*AF_meat</f>
        <v>3.5780268243476958</v>
      </c>
      <c r="H36" s="89">
        <f>'GHG detailed, absolute'!H36/Production!$G$25*AF_meat</f>
        <v>0.22899818030755145</v>
      </c>
      <c r="I36" s="89">
        <f>'GHG detailed, absolute'!I36/Production!$G$25*AF_meat</f>
        <v>0.16221981756370574</v>
      </c>
      <c r="J36" s="89">
        <f>'GHG detailed, absolute'!J36/Production!$G$25*AF_meat</f>
        <v>0.5772966059206508</v>
      </c>
      <c r="K36" s="89">
        <f>'GHG detailed, absolute'!K36/Production!$G$25*AF_meat</f>
        <v>5.7729660592065087E-2</v>
      </c>
      <c r="L36" s="89">
        <f>'GHG detailed, absolute'!L36/Production!$G$25*AF_meat</f>
        <v>0.1623170274509747</v>
      </c>
      <c r="M36" s="89">
        <f>'GHG detailed, absolute'!M36/Production!$G$25*AF_meat</f>
        <v>0</v>
      </c>
      <c r="N36" s="89">
        <f>'GHG detailed, absolute'!N36/Production!$G$25*AF_meat</f>
        <v>2.6605444275940781E-3</v>
      </c>
      <c r="O36" s="89">
        <f>'GHG detailed, absolute'!O36/Production!$G$25*AF_meat</f>
        <v>0.22796651374739263</v>
      </c>
      <c r="P36" s="89">
        <f>'GHG detailed, absolute'!P36/Production!$G$25*AF_meat</f>
        <v>0.2706490564857098</v>
      </c>
      <c r="Q36" s="89">
        <f>'GHG detailed, absolute'!Q36/Production!$G$25*AF_meat</f>
        <v>0.22441993587027395</v>
      </c>
      <c r="R36" s="89">
        <f>'GHG detailed, absolute'!R36/Production!$G$25*AF_meat</f>
        <v>0.24950995688522579</v>
      </c>
      <c r="S36" s="89">
        <f>'GHG detailed, absolute'!S36/Production!$G$25*AF_meat</f>
        <v>0.25164592451300122</v>
      </c>
      <c r="T36" s="89">
        <f>'GHG detailed, absolute'!T36/Production!$G$25*AF_meat</f>
        <v>0.60150291507981013</v>
      </c>
      <c r="U36" s="89"/>
      <c r="V36" s="89"/>
      <c r="W36" s="89">
        <f>'GHG detailed, absolute'!W36/Production!$G$25*AF_meat</f>
        <v>0.38534626021895663</v>
      </c>
      <c r="X36" s="89">
        <f>'GHG detailed, absolute'!X36/Production!$G$25*AF_meat</f>
        <v>0.17576442528478409</v>
      </c>
      <c r="Z36" s="90">
        <f>'GHG detailed, absolute'!Z36/Production!$G$25*AF_meat</f>
        <v>2.1637672992511443</v>
      </c>
      <c r="AA36" s="91">
        <f>'GHG detailed, absolute'!AA36/Production!$G$25*AF_meat</f>
        <v>1.7169946334897069E-4</v>
      </c>
    </row>
    <row r="37" spans="1:27" ht="15" customHeight="1" x14ac:dyDescent="0.35">
      <c r="A37" s="73" t="s">
        <v>94</v>
      </c>
      <c r="B37" s="73" t="s">
        <v>95</v>
      </c>
      <c r="C37" s="74" t="s">
        <v>96</v>
      </c>
      <c r="D37" s="75" t="s">
        <v>50</v>
      </c>
      <c r="E37" s="75" t="s">
        <v>51</v>
      </c>
      <c r="F37" s="76" t="s">
        <v>129</v>
      </c>
      <c r="G37" s="77">
        <f>'GHG detailed, absolute'!G37/Production!$H$25*AF_meat</f>
        <v>1.6397727866810126</v>
      </c>
      <c r="H37" s="77">
        <f>'GHG detailed, absolute'!H37/Production!$H$25*AF_meat</f>
        <v>0.17730490478391164</v>
      </c>
      <c r="I37" s="77">
        <f>'GHG detailed, absolute'!I37/Production!$H$25*AF_meat</f>
        <v>0.13526658009076833</v>
      </c>
      <c r="J37" s="77">
        <f>'GHG detailed, absolute'!J37/Production!$H$25*AF_meat</f>
        <v>0</v>
      </c>
      <c r="K37" s="77"/>
      <c r="L37" s="77">
        <f>'GHG detailed, absolute'!L37/Production!$H$25*AF_meat</f>
        <v>0.16009356612744918</v>
      </c>
      <c r="M37" s="77"/>
      <c r="N37" s="77">
        <f>'GHG detailed, absolute'!N37/Production!$H$25*AF_meat</f>
        <v>8.7543777301901573E-3</v>
      </c>
      <c r="O37" s="77">
        <f>'GHG detailed, absolute'!O37/Production!$H$25*AF_meat</f>
        <v>0.20375440797065356</v>
      </c>
      <c r="P37" s="77">
        <f>'GHG detailed, absolute'!P37/Production!$H$25*AF_meat</f>
        <v>0.21659937219817302</v>
      </c>
      <c r="Q37" s="77">
        <f>'GHG detailed, absolute'!Q37/Production!$H$25*AF_meat</f>
        <v>0.17656042564428565</v>
      </c>
      <c r="R37" s="77">
        <f>'GHG detailed, absolute'!R37/Production!$H$25*AF_meat</f>
        <v>0.18416798806424742</v>
      </c>
      <c r="S37" s="78"/>
      <c r="T37" s="79"/>
      <c r="U37" s="80"/>
      <c r="V37" s="80"/>
      <c r="W37" s="78">
        <f>'GHG detailed, absolute'!W37/Production!$H$25*AF_meat</f>
        <v>0.22791145882289995</v>
      </c>
      <c r="X37" s="81">
        <f>'GHG detailed, absolute'!X37/Production!$H$25*AF_meat</f>
        <v>0.14935970524843362</v>
      </c>
      <c r="Z37" s="53"/>
      <c r="AA37" s="53"/>
    </row>
    <row r="38" spans="1:27" x14ac:dyDescent="0.35">
      <c r="A38" s="20" t="s">
        <v>94</v>
      </c>
      <c r="B38" s="20" t="s">
        <v>95</v>
      </c>
      <c r="C38" s="16" t="s">
        <v>96</v>
      </c>
      <c r="D38" s="18" t="s">
        <v>50</v>
      </c>
      <c r="E38" s="18" t="s">
        <v>51</v>
      </c>
      <c r="F38" s="20" t="s">
        <v>130</v>
      </c>
      <c r="G38" s="53">
        <f>'GHG detailed, absolute'!G38/Production!$H$25*AF_meat</f>
        <v>3.5773467415294411E-3</v>
      </c>
      <c r="H38" s="58">
        <f>'GHG detailed, absolute'!H38/Production!$H$25*AF_meat</f>
        <v>2.6979607812979632E-5</v>
      </c>
      <c r="I38" s="58">
        <f>'GHG detailed, absolute'!I38/Production!$H$25*AF_meat</f>
        <v>4.7593796698603672E-4</v>
      </c>
      <c r="J38" s="58"/>
      <c r="K38" s="58"/>
      <c r="L38" s="58">
        <f>'GHG detailed, absolute'!L38/Production!$H$25*AF_meat</f>
        <v>7.0916051486645388E-5</v>
      </c>
      <c r="M38" s="58"/>
      <c r="N38" s="58">
        <f>'GHG detailed, absolute'!N38/Production!$H$25*AF_meat</f>
        <v>2.592012420797438E-5</v>
      </c>
      <c r="O38" s="58">
        <f>'GHG detailed, absolute'!O38/Production!$H$25*AF_meat</f>
        <v>2.1840279213715633E-4</v>
      </c>
      <c r="P38" s="58">
        <f>'GHG detailed, absolute'!P38/Production!$H$25*AF_meat</f>
        <v>0</v>
      </c>
      <c r="Q38" s="58">
        <f>'GHG detailed, absolute'!Q38/Production!$H$25*AF_meat</f>
        <v>1.3212769486905872E-3</v>
      </c>
      <c r="R38" s="58">
        <f>'GHG detailed, absolute'!R38/Production!$H$25*AF_meat</f>
        <v>1.5631774751720309E-4</v>
      </c>
      <c r="W38" s="13">
        <f>'GHG detailed, absolute'!W38/Production!$H$25*AF_meat</f>
        <v>6.1863453486994788E-4</v>
      </c>
      <c r="X38" s="49">
        <f>'GHG detailed, absolute'!X38/Production!$H$25*AF_meat</f>
        <v>6.6296096782091053E-4</v>
      </c>
      <c r="Z38" s="54"/>
      <c r="AA38" s="54"/>
    </row>
    <row r="39" spans="1:27" x14ac:dyDescent="0.35">
      <c r="A39" s="20" t="s">
        <v>94</v>
      </c>
      <c r="B39" s="20" t="s">
        <v>95</v>
      </c>
      <c r="C39" s="16" t="s">
        <v>96</v>
      </c>
      <c r="D39" s="18" t="s">
        <v>50</v>
      </c>
      <c r="E39" s="18" t="s">
        <v>51</v>
      </c>
      <c r="F39" s="20" t="s">
        <v>131</v>
      </c>
      <c r="G39" s="53">
        <f>'GHG detailed, absolute'!G39/Production!$H$25*AF_meat</f>
        <v>8.6171059488348287E-2</v>
      </c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13">
        <f>'GHG detailed, absolute'!S39/Production!$H$25*AF_meat</f>
        <v>6.2443458736789852E-3</v>
      </c>
      <c r="T39" s="51">
        <f>'GHG detailed, absolute'!T39/Production!$H$25*AF_meat</f>
        <v>7.9926713614669298E-2</v>
      </c>
      <c r="U39" s="59">
        <f>'GHG detailed, absolute'!U39/Production!$H$25*AF_meat</f>
        <v>7.9926713614669298E-2</v>
      </c>
      <c r="W39" s="13"/>
      <c r="X39" s="49"/>
      <c r="Z39" s="54"/>
      <c r="AA39" s="54"/>
    </row>
    <row r="40" spans="1:27" ht="15" customHeight="1" x14ac:dyDescent="0.35">
      <c r="A40" s="20" t="s">
        <v>94</v>
      </c>
      <c r="B40" s="20" t="s">
        <v>95</v>
      </c>
      <c r="C40" s="16" t="s">
        <v>96</v>
      </c>
      <c r="D40" s="18" t="s">
        <v>50</v>
      </c>
      <c r="E40" s="18" t="s">
        <v>51</v>
      </c>
      <c r="F40" s="82" t="s">
        <v>132</v>
      </c>
      <c r="G40" s="53">
        <f>'GHG detailed, absolute'!G40/Production!$H$25*AF_meat</f>
        <v>4.1613363930077208E-3</v>
      </c>
      <c r="H40" s="58">
        <f>'GHG detailed, absolute'!H40/Production!$H$25*AF_meat</f>
        <v>3.716018676529161E-5</v>
      </c>
      <c r="I40" s="54">
        <f>'GHG detailed, absolute'!I40/Production!$H$25*AF_meat</f>
        <v>5.5108606703646349E-6</v>
      </c>
      <c r="J40" s="54">
        <f>'GHG detailed, absolute'!J40/Production!$H$25*AF_meat</f>
        <v>2.1658669081652498E-3</v>
      </c>
      <c r="K40" s="54">
        <f>'GHG detailed, absolute'!K40/Production!$H$25*AF_meat</f>
        <v>2.1658669081652503E-4</v>
      </c>
      <c r="L40" s="54">
        <f>'GHG detailed, absolute'!L40/Production!$H$25*AF_meat</f>
        <v>4.3017765397786661E-6</v>
      </c>
      <c r="M40" s="54"/>
      <c r="N40" s="54">
        <f>'GHG detailed, absolute'!N40/Production!$H$25*AF_meat</f>
        <v>3.7605130858086842E-7</v>
      </c>
      <c r="O40" s="54">
        <f>'GHG detailed, absolute'!O40/Production!$H$25*AF_meat</f>
        <v>7.51211935330045E-6</v>
      </c>
      <c r="P40" s="54">
        <f>'GHG detailed, absolute'!P40/Production!$H$25*AF_meat</f>
        <v>0</v>
      </c>
      <c r="Q40" s="54">
        <f>'GHG detailed, absolute'!Q40/Production!$H$25*AF_meat</f>
        <v>2.1109159454788163E-5</v>
      </c>
      <c r="R40" s="54">
        <f>'GHG detailed, absolute'!R40/Production!$H$25*AF_meat</f>
        <v>7.2205656523869563E-6</v>
      </c>
      <c r="S40" s="13"/>
      <c r="T40" s="51">
        <f>'GHG detailed, absolute'!T40/Production!$H$25*AF_meat</f>
        <v>1.6737896558255418E-3</v>
      </c>
      <c r="U40" s="83">
        <f>'GHG detailed, absolute'!U40/Production!$H$25*AF_meat</f>
        <v>9.42016276409771E-4</v>
      </c>
      <c r="V40" s="83">
        <f>'GHG detailed, absolute'!V40/Production!$H$25*AF_meat</f>
        <v>7.3177337941577084E-4</v>
      </c>
      <c r="W40" s="13">
        <f>'GHG detailed, absolute'!W40/Production!$H$25*AF_meat</f>
        <v>1.6313336040307195E-5</v>
      </c>
      <c r="X40" s="49">
        <f>'GHG detailed, absolute'!X40/Production!$H$25*AF_meat</f>
        <v>5.5890824156059138E-6</v>
      </c>
      <c r="Z40" s="54"/>
      <c r="AA40" s="54"/>
    </row>
    <row r="41" spans="1:27" ht="15" customHeight="1" x14ac:dyDescent="0.35">
      <c r="A41" s="84" t="s">
        <v>94</v>
      </c>
      <c r="B41" s="84" t="s">
        <v>95</v>
      </c>
      <c r="C41" s="85" t="s">
        <v>96</v>
      </c>
      <c r="D41" s="86" t="s">
        <v>50</v>
      </c>
      <c r="E41" s="86" t="s">
        <v>51</v>
      </c>
      <c r="F41" s="87" t="s">
        <v>133</v>
      </c>
      <c r="G41" s="88">
        <f>'GHG detailed, absolute'!G41/Production!$H$25*AF_meat</f>
        <v>5.2090411610551008</v>
      </c>
      <c r="H41" s="89">
        <f>'GHG detailed, absolute'!H41/Production!$H$25*AF_meat</f>
        <v>0.18825362808366303</v>
      </c>
      <c r="I41" s="89">
        <f>'GHG detailed, absolute'!I41/Production!$H$25*AF_meat</f>
        <v>0.15095399646996174</v>
      </c>
      <c r="J41" s="89">
        <f>'GHG detailed, absolute'!J41/Production!$H$25*AF_meat</f>
        <v>0.59128166592911324</v>
      </c>
      <c r="K41" s="89">
        <f>'GHG detailed, absolute'!K41/Production!$H$25*AF_meat</f>
        <v>5.9128166592911334E-2</v>
      </c>
      <c r="L41" s="89">
        <f>'GHG detailed, absolute'!L41/Production!$H$25*AF_meat</f>
        <v>0.1633812494571108</v>
      </c>
      <c r="M41" s="89">
        <f>'GHG detailed, absolute'!M41/Production!$H$25*AF_meat</f>
        <v>0</v>
      </c>
      <c r="N41" s="89">
        <f>'GHG detailed, absolute'!N41/Production!$H$25*AF_meat</f>
        <v>9.6294594388303713E-3</v>
      </c>
      <c r="O41" s="89">
        <f>'GHG detailed, absolute'!O41/Production!$H$25*AF_meat</f>
        <v>0.21231361975979182</v>
      </c>
      <c r="P41" s="89">
        <f>'GHG detailed, absolute'!P41/Production!$H$25*AF_meat</f>
        <v>0.21659937219817302</v>
      </c>
      <c r="Q41" s="89">
        <f>'GHG detailed, absolute'!Q41/Production!$H$25*AF_meat</f>
        <v>0.2216972792464223</v>
      </c>
      <c r="R41" s="89">
        <f>'GHG detailed, absolute'!R41/Production!$H$25*AF_meat</f>
        <v>0.1907974713633617</v>
      </c>
      <c r="S41" s="89">
        <f>'GHG detailed, absolute'!S41/Production!$H$25*AF_meat</f>
        <v>0.16859733858933262</v>
      </c>
      <c r="T41" s="89">
        <f>'GHG detailed, absolute'!T41/Production!$H$25*AF_meat</f>
        <v>2.614965843636444</v>
      </c>
      <c r="U41" s="89"/>
      <c r="V41" s="89"/>
      <c r="W41" s="89">
        <f>'GHG detailed, absolute'!W41/Production!$H$25*AF_meat</f>
        <v>0.25080030870102826</v>
      </c>
      <c r="X41" s="89">
        <f>'GHG detailed, absolute'!X41/Production!$H$25*AF_meat</f>
        <v>0.17064176158895716</v>
      </c>
      <c r="Z41" s="90">
        <f>'GHG detailed, absolute'!Z41/Production!$H$25*AF_meat</f>
        <v>2.0040359085393393</v>
      </c>
      <c r="AA41" s="91">
        <f>'GHG detailed, absolute'!AA41/Production!$H$25*AF_meat</f>
        <v>1.3830668668067753E-4</v>
      </c>
    </row>
    <row r="42" spans="1:27" ht="15" customHeight="1" x14ac:dyDescent="0.35">
      <c r="A42" s="73" t="s">
        <v>94</v>
      </c>
      <c r="B42" s="73" t="s">
        <v>95</v>
      </c>
      <c r="C42" s="74" t="s">
        <v>96</v>
      </c>
      <c r="D42" t="s">
        <v>135</v>
      </c>
      <c r="E42" s="18" t="s">
        <v>53</v>
      </c>
      <c r="F42" s="76" t="s">
        <v>129</v>
      </c>
      <c r="G42" s="77">
        <f>'GHG detailed, absolute'!G42/Production!$I$25*AF_meat</f>
        <v>2.0136303456604763</v>
      </c>
      <c r="H42" s="77">
        <f>'GHG detailed, absolute'!H42/Production!$I$25*AF_meat</f>
        <v>0.24179402430338914</v>
      </c>
      <c r="I42" s="77">
        <f>'GHG detailed, absolute'!I42/Production!$I$25*AF_meat</f>
        <v>0.14202767576435016</v>
      </c>
      <c r="J42" s="77">
        <f>'GHG detailed, absolute'!J42/Production!$I$25*AF_meat</f>
        <v>0</v>
      </c>
      <c r="K42" s="77"/>
      <c r="L42" s="77">
        <f>'GHG detailed, absolute'!L42/Production!$I$25*AF_meat</f>
        <v>0.14971232025061701</v>
      </c>
      <c r="M42" s="77"/>
      <c r="N42" s="77">
        <f>'GHG detailed, absolute'!N42/Production!$I$25*AF_meat</f>
        <v>1.7115625791866123E-3</v>
      </c>
      <c r="O42" s="77">
        <f>'GHG detailed, absolute'!O42/Production!$I$25*AF_meat</f>
        <v>0.23278266881058576</v>
      </c>
      <c r="P42" s="77">
        <f>'GHG detailed, absolute'!P42/Production!$I$25*AF_meat</f>
        <v>0.2388444443373417</v>
      </c>
      <c r="Q42" s="77">
        <f>'GHG detailed, absolute'!Q42/Production!$I$25*AF_meat</f>
        <v>0.20874077411342029</v>
      </c>
      <c r="R42" s="77">
        <f>'GHG detailed, absolute'!R42/Production!$I$25*AF_meat</f>
        <v>0.22651803615453198</v>
      </c>
      <c r="S42" s="78"/>
      <c r="T42" s="79"/>
      <c r="U42" s="80"/>
      <c r="V42" s="80"/>
      <c r="W42" s="78">
        <f>'GHG detailed, absolute'!W42/Production!$I$25*AF_meat</f>
        <v>0.39299086587059634</v>
      </c>
      <c r="X42" s="81">
        <f>'GHG detailed, absolute'!X42/Production!$I$25*AF_meat</f>
        <v>0.17850797347645761</v>
      </c>
      <c r="Z42" s="53"/>
      <c r="AA42" s="53"/>
    </row>
    <row r="43" spans="1:27" x14ac:dyDescent="0.35">
      <c r="A43" s="20" t="s">
        <v>94</v>
      </c>
      <c r="B43" s="20" t="s">
        <v>95</v>
      </c>
      <c r="C43" s="16" t="s">
        <v>96</v>
      </c>
      <c r="D43" t="s">
        <v>135</v>
      </c>
      <c r="E43" s="18" t="s">
        <v>53</v>
      </c>
      <c r="F43" s="20" t="s">
        <v>130</v>
      </c>
      <c r="G43" s="53">
        <f>'GHG detailed, absolute'!G43/Production!$I$25*AF_meat</f>
        <v>2.4147729788546036E-3</v>
      </c>
      <c r="H43" s="58">
        <f>'GHG detailed, absolute'!H43/Production!$I$25*AF_meat</f>
        <v>1.1643266148079174E-4</v>
      </c>
      <c r="I43" s="58">
        <f>'GHG detailed, absolute'!I43/Production!$I$25*AF_meat</f>
        <v>4.9972700731901003E-4</v>
      </c>
      <c r="J43" s="58"/>
      <c r="K43" s="58"/>
      <c r="L43" s="58">
        <f>'GHG detailed, absolute'!L43/Production!$I$25*AF_meat</f>
        <v>6.6317509615756775E-5</v>
      </c>
      <c r="M43" s="58"/>
      <c r="N43" s="58">
        <f>'GHG detailed, absolute'!N43/Production!$I$25*AF_meat</f>
        <v>5.1580545980657717E-6</v>
      </c>
      <c r="O43" s="58">
        <f>'GHG detailed, absolute'!O43/Production!$I$25*AF_meat</f>
        <v>1.7093339799860224E-4</v>
      </c>
      <c r="P43" s="58">
        <f>'GHG detailed, absolute'!P43/Production!$I$25*AF_meat</f>
        <v>0</v>
      </c>
      <c r="Q43" s="58">
        <f>'GHG detailed, absolute'!Q43/Production!$I$25*AF_meat</f>
        <v>2.0555030672467049E-4</v>
      </c>
      <c r="R43" s="58">
        <f>'GHG detailed, absolute'!R43/Production!$I$25*AF_meat</f>
        <v>2.1042838189390121E-4</v>
      </c>
      <c r="W43" s="13">
        <f>'GHG detailed, absolute'!W43/Production!$I$25*AF_meat</f>
        <v>5.7251105540289608E-4</v>
      </c>
      <c r="X43" s="49">
        <f>'GHG detailed, absolute'!X43/Production!$I$25*AF_meat</f>
        <v>5.6771460382090959E-4</v>
      </c>
      <c r="Z43" s="54"/>
      <c r="AA43" s="54"/>
    </row>
    <row r="44" spans="1:27" x14ac:dyDescent="0.35">
      <c r="A44" s="20" t="s">
        <v>94</v>
      </c>
      <c r="B44" s="20" t="s">
        <v>95</v>
      </c>
      <c r="C44" s="16" t="s">
        <v>96</v>
      </c>
      <c r="D44" t="s">
        <v>135</v>
      </c>
      <c r="E44" s="18" t="s">
        <v>53</v>
      </c>
      <c r="F44" s="20" t="s">
        <v>131</v>
      </c>
      <c r="G44" s="53">
        <f>'GHG detailed, absolute'!G44/Production!$I$25*AF_meat</f>
        <v>9.4394919513297745E-2</v>
      </c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13">
        <f>'GHG detailed, absolute'!S44/Production!$I$25*AF_meat</f>
        <v>8.6538762605055265E-3</v>
      </c>
      <c r="T44" s="51">
        <f>'GHG detailed, absolute'!T44/Production!$I$25*AF_meat</f>
        <v>8.5741043252792207E-2</v>
      </c>
      <c r="U44" s="59">
        <f>'GHG detailed, absolute'!U44/Production!$I$25*AF_meat</f>
        <v>8.5741043252792207E-2</v>
      </c>
      <c r="W44" s="13"/>
      <c r="X44" s="49"/>
      <c r="Z44" s="54"/>
      <c r="AA44" s="54"/>
    </row>
    <row r="45" spans="1:27" ht="15" customHeight="1" x14ac:dyDescent="0.35">
      <c r="A45" s="20" t="s">
        <v>94</v>
      </c>
      <c r="B45" s="20" t="s">
        <v>95</v>
      </c>
      <c r="C45" s="16" t="s">
        <v>96</v>
      </c>
      <c r="D45" t="s">
        <v>135</v>
      </c>
      <c r="E45" s="18" t="s">
        <v>53</v>
      </c>
      <c r="F45" s="82" t="s">
        <v>132</v>
      </c>
      <c r="G45" s="53">
        <f>'GHG detailed, absolute'!G45/Production!$I$25*AF_meat</f>
        <v>3.802143332787708E-3</v>
      </c>
      <c r="H45" s="58">
        <f>'GHG detailed, absolute'!H45/Production!$I$25*AF_meat</f>
        <v>1.9845046713196676E-4</v>
      </c>
      <c r="I45" s="54">
        <f>'GHG detailed, absolute'!I45/Production!$I$25*AF_meat</f>
        <v>5.7863127163253783E-6</v>
      </c>
      <c r="J45" s="54">
        <f>'GHG detailed, absolute'!J45/Production!$I$25*AF_meat</f>
        <v>2.3593410257423618E-3</v>
      </c>
      <c r="K45" s="54">
        <f>'GHG detailed, absolute'!K45/Production!$I$25*AF_meat</f>
        <v>2.3593410257423622E-4</v>
      </c>
      <c r="L45" s="54">
        <f>'GHG detailed, absolute'!L45/Production!$I$25*AF_meat</f>
        <v>4.0228284155856014E-6</v>
      </c>
      <c r="M45" s="54"/>
      <c r="N45" s="54">
        <f>'GHG detailed, absolute'!N45/Production!$I$25*AF_meat</f>
        <v>7.3098237211575221E-8</v>
      </c>
      <c r="O45" s="54">
        <f>'GHG detailed, absolute'!O45/Production!$I$25*AF_meat</f>
        <v>8.4669282489780979E-6</v>
      </c>
      <c r="P45" s="54">
        <f>'GHG detailed, absolute'!P45/Production!$I$25*AF_meat</f>
        <v>0</v>
      </c>
      <c r="Q45" s="54">
        <f>'GHG detailed, absolute'!Q45/Production!$I$25*AF_meat</f>
        <v>1.4305195524993195E-5</v>
      </c>
      <c r="R45" s="54">
        <f>'GHG detailed, absolute'!R45/Production!$I$25*AF_meat</f>
        <v>7.9561562918102549E-6</v>
      </c>
      <c r="S45" s="13"/>
      <c r="T45" s="51">
        <f>'GHG detailed, absolute'!T45/Production!$I$25*AF_meat</f>
        <v>9.3569726414125139E-4</v>
      </c>
      <c r="U45" s="83">
        <f>'GHG detailed, absolute'!U45/Production!$I$25*AF_meat</f>
        <v>5.2892186498594779E-4</v>
      </c>
      <c r="V45" s="83">
        <f>'GHG detailed, absolute'!V45/Production!$I$25*AF_meat</f>
        <v>4.0677539915530344E-4</v>
      </c>
      <c r="W45" s="13">
        <f>'GHG detailed, absolute'!W45/Production!$I$25*AF_meat</f>
        <v>2.5609910668670168E-5</v>
      </c>
      <c r="X45" s="49">
        <f>'GHG detailed, absolute'!X45/Production!$I$25*AF_meat</f>
        <v>6.5000430943165433E-6</v>
      </c>
      <c r="Z45" s="54"/>
      <c r="AA45" s="54"/>
    </row>
    <row r="46" spans="1:27" ht="15" customHeight="1" x14ac:dyDescent="0.35">
      <c r="A46" s="84" t="s">
        <v>94</v>
      </c>
      <c r="B46" s="84" t="s">
        <v>95</v>
      </c>
      <c r="C46" s="85" t="s">
        <v>96</v>
      </c>
      <c r="D46" s="95" t="s">
        <v>135</v>
      </c>
      <c r="E46" s="86" t="s">
        <v>53</v>
      </c>
      <c r="F46" s="87" t="s">
        <v>133</v>
      </c>
      <c r="G46" s="88">
        <f>'GHG detailed, absolute'!G46/Production!$I$25*AF_meat</f>
        <v>5.6722385371404274</v>
      </c>
      <c r="H46" s="89">
        <f>'GHG detailed, absolute'!H46/Production!$I$25*AF_meat</f>
        <v>0.29944069514254362</v>
      </c>
      <c r="I46" s="89">
        <f>'GHG detailed, absolute'!I46/Production!$I$25*AF_meat</f>
        <v>0.15849920395401348</v>
      </c>
      <c r="J46" s="89">
        <f>'GHG detailed, absolute'!J46/Production!$I$25*AF_meat</f>
        <v>0.64410010002766482</v>
      </c>
      <c r="K46" s="89">
        <f>'GHG detailed, absolute'!K46/Production!$I$25*AF_meat</f>
        <v>6.4410010002766499E-2</v>
      </c>
      <c r="L46" s="89">
        <f>'GHG detailed, absolute'!L46/Production!$I$25*AF_meat</f>
        <v>0.15278681419462142</v>
      </c>
      <c r="M46" s="89">
        <f>'GHG detailed, absolute'!M46/Production!$I$25*AF_meat</f>
        <v>0</v>
      </c>
      <c r="N46" s="89">
        <f>'GHG detailed, absolute'!N46/Production!$I$25*AF_meat</f>
        <v>1.8852284249677319E-3</v>
      </c>
      <c r="O46" s="89">
        <f>'GHG detailed, absolute'!O46/Production!$I$25*AF_meat</f>
        <v>0.24018795548291511</v>
      </c>
      <c r="P46" s="89">
        <f>'GHG detailed, absolute'!P46/Production!$I$25*AF_meat</f>
        <v>0.2388444443373417</v>
      </c>
      <c r="Q46" s="89">
        <f>'GHG detailed, absolute'!Q46/Production!$I$25*AF_meat</f>
        <v>0.21877149163213863</v>
      </c>
      <c r="R46" s="89">
        <f>'GHG detailed, absolute'!R46/Production!$I$25*AF_meat</f>
        <v>0.23496083260263442</v>
      </c>
      <c r="S46" s="89">
        <f>'GHG detailed, absolute'!S46/Production!$I$25*AF_meat</f>
        <v>0.23365465903364924</v>
      </c>
      <c r="T46" s="89">
        <f>'GHG detailed, absolute'!T46/Production!$I$25*AF_meat</f>
        <v>2.5704535209359514</v>
      </c>
      <c r="U46" s="89"/>
      <c r="V46" s="89"/>
      <c r="W46" s="89">
        <f>'GHG detailed, absolute'!W46/Production!$I$25*AF_meat</f>
        <v>0.41704320093414959</v>
      </c>
      <c r="X46" s="89">
        <f>'GHG detailed, absolute'!X46/Production!$I$25*AF_meat</f>
        <v>0.19720038043506913</v>
      </c>
      <c r="Z46" s="90">
        <f>'GHG detailed, absolute'!Z46/Production!$I$25*AF_meat</f>
        <v>2.2538867758016079</v>
      </c>
      <c r="AA46" s="91">
        <f>'GHG detailed, absolute'!AA46/Production!$I$25*AF_meat</f>
        <v>1.3715920154428295E-4</v>
      </c>
    </row>
    <row r="47" spans="1:27" ht="15" customHeight="1" x14ac:dyDescent="0.35">
      <c r="A47" s="73" t="s">
        <v>94</v>
      </c>
      <c r="B47" s="73" t="s">
        <v>95</v>
      </c>
      <c r="C47" s="74" t="s">
        <v>96</v>
      </c>
      <c r="D47" t="s">
        <v>54</v>
      </c>
      <c r="E47" s="18" t="s">
        <v>55</v>
      </c>
      <c r="F47" s="76" t="s">
        <v>129</v>
      </c>
      <c r="G47" s="77">
        <f>'GHG detailed, absolute'!G47/Production!$J$25*AF_meat</f>
        <v>2.7612646529487366</v>
      </c>
      <c r="H47" s="77">
        <f>'GHG detailed, absolute'!H47/Production!$J$25*AF_meat</f>
        <v>0.3140127336617739</v>
      </c>
      <c r="I47" s="77">
        <f>'GHG detailed, absolute'!I47/Production!$J$25*AF_meat</f>
        <v>0.15149962310026935</v>
      </c>
      <c r="J47" s="77">
        <f>'GHG detailed, absolute'!J47/Production!$J$25*AF_meat</f>
        <v>0</v>
      </c>
      <c r="K47" s="77"/>
      <c r="L47" s="77">
        <f>'GHG detailed, absolute'!L47/Production!$J$25*AF_meat</f>
        <v>0.22442697747427576</v>
      </c>
      <c r="M47" s="77"/>
      <c r="N47" s="77">
        <f>'GHG detailed, absolute'!N47/Production!$J$25*AF_meat</f>
        <v>2.6192533596120751E-4</v>
      </c>
      <c r="O47" s="77">
        <f>'GHG detailed, absolute'!O47/Production!$J$25*AF_meat</f>
        <v>0.29091931768338786</v>
      </c>
      <c r="P47" s="77">
        <f>'GHG detailed, absolute'!P47/Production!$J$25*AF_meat</f>
        <v>0.25009243304569884</v>
      </c>
      <c r="Q47" s="77">
        <f>'GHG detailed, absolute'!Q47/Production!$J$25*AF_meat</f>
        <v>0.44005935567278731</v>
      </c>
      <c r="R47" s="77">
        <f>'GHG detailed, absolute'!R47/Production!$J$25*AF_meat</f>
        <v>0.13474967579352581</v>
      </c>
      <c r="S47" s="78"/>
      <c r="T47" s="79"/>
      <c r="U47" s="80"/>
      <c r="V47" s="80"/>
      <c r="W47" s="78">
        <f>'GHG detailed, absolute'!W47/Production!$J$25*AF_meat</f>
        <v>0.6836793523137854</v>
      </c>
      <c r="X47" s="81">
        <f>'GHG detailed, absolute'!X47/Production!$J$25*AF_meat</f>
        <v>0.27156325886727145</v>
      </c>
      <c r="Z47" s="53"/>
      <c r="AA47" s="53"/>
    </row>
    <row r="48" spans="1:27" x14ac:dyDescent="0.35">
      <c r="A48" s="20" t="s">
        <v>94</v>
      </c>
      <c r="B48" s="20" t="s">
        <v>95</v>
      </c>
      <c r="C48" s="16" t="s">
        <v>96</v>
      </c>
      <c r="D48" t="s">
        <v>54</v>
      </c>
      <c r="E48" s="18" t="s">
        <v>55</v>
      </c>
      <c r="F48" s="20" t="s">
        <v>130</v>
      </c>
      <c r="G48" s="53">
        <f>'GHG detailed, absolute'!G48/Production!$J$25*AF_meat</f>
        <v>4.2390042191188821E-3</v>
      </c>
      <c r="H48" s="58">
        <f>'GHG detailed, absolute'!H48/Production!$J$25*AF_meat</f>
        <v>4.7657466144438466E-5</v>
      </c>
      <c r="I48" s="58">
        <f>'GHG detailed, absolute'!I48/Production!$J$25*AF_meat</f>
        <v>5.3305422942687369E-4</v>
      </c>
      <c r="J48" s="58"/>
      <c r="K48" s="58"/>
      <c r="L48" s="58">
        <f>'GHG detailed, absolute'!L48/Production!$J$25*AF_meat</f>
        <v>9.9413583409640332E-5</v>
      </c>
      <c r="M48" s="58"/>
      <c r="N48" s="58">
        <f>'GHG detailed, absolute'!N48/Production!$J$25*AF_meat</f>
        <v>8.3145063282451305E-7</v>
      </c>
      <c r="O48" s="58">
        <f>'GHG detailed, absolute'!O48/Production!$J$25*AF_meat</f>
        <v>2.7111893114393527E-4</v>
      </c>
      <c r="P48" s="58">
        <f>'GHG detailed, absolute'!P48/Production!$J$25*AF_meat</f>
        <v>0</v>
      </c>
      <c r="Q48" s="58">
        <f>'GHG detailed, absolute'!Q48/Production!$J$25*AF_meat</f>
        <v>1.3212866622767246E-3</v>
      </c>
      <c r="R48" s="58">
        <f>'GHG detailed, absolute'!R48/Production!$J$25*AF_meat</f>
        <v>1.1790633063198134E-4</v>
      </c>
      <c r="W48" s="13">
        <f>'GHG detailed, absolute'!W48/Production!$J$25*AF_meat</f>
        <v>1.1037422104412979E-3</v>
      </c>
      <c r="X48" s="49">
        <f>'GHG detailed, absolute'!X48/Production!$J$25*AF_meat</f>
        <v>7.4399335501116649E-4</v>
      </c>
      <c r="Z48" s="54"/>
      <c r="AA48" s="54"/>
    </row>
    <row r="49" spans="1:27" x14ac:dyDescent="0.35">
      <c r="A49" s="20" t="s">
        <v>94</v>
      </c>
      <c r="B49" s="20" t="s">
        <v>95</v>
      </c>
      <c r="C49" s="16" t="s">
        <v>96</v>
      </c>
      <c r="D49" t="s">
        <v>54</v>
      </c>
      <c r="E49" s="18" t="s">
        <v>55</v>
      </c>
      <c r="F49" s="20" t="s">
        <v>131</v>
      </c>
      <c r="G49" s="53">
        <f>'GHG detailed, absolute'!G49/Production!$J$25*AF_meat</f>
        <v>2.2289001327209138E-2</v>
      </c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13">
        <f>'GHG detailed, absolute'!S49/Production!$J$25*AF_meat</f>
        <v>9.2759478615932929E-3</v>
      </c>
      <c r="T49" s="51">
        <f>'GHG detailed, absolute'!T49/Production!$J$25*AF_meat</f>
        <v>1.3013053465615843E-2</v>
      </c>
      <c r="U49" s="59">
        <f>'GHG detailed, absolute'!U49/Production!$J$25*AF_meat</f>
        <v>1.3013053465615843E-2</v>
      </c>
      <c r="W49" s="13"/>
      <c r="X49" s="49"/>
      <c r="Z49" s="54"/>
      <c r="AA49" s="54"/>
    </row>
    <row r="50" spans="1:27" ht="15" customHeight="1" x14ac:dyDescent="0.35">
      <c r="A50" s="20" t="s">
        <v>94</v>
      </c>
      <c r="B50" s="20" t="s">
        <v>95</v>
      </c>
      <c r="C50" s="16" t="s">
        <v>96</v>
      </c>
      <c r="D50" t="s">
        <v>54</v>
      </c>
      <c r="E50" s="18" t="s">
        <v>55</v>
      </c>
      <c r="F50" s="82" t="s">
        <v>132</v>
      </c>
      <c r="G50" s="53">
        <f>'GHG detailed, absolute'!G50/Production!$J$25*AF_meat</f>
        <v>5.4868418456076309E-3</v>
      </c>
      <c r="H50" s="58">
        <f>'GHG detailed, absolute'!H50/Production!$J$25*AF_meat</f>
        <v>1.6667532608915139E-4</v>
      </c>
      <c r="I50" s="54">
        <f>'GHG detailed, absolute'!I50/Production!$J$25*AF_meat</f>
        <v>6.1722068670480119E-6</v>
      </c>
      <c r="J50" s="54">
        <f>'GHG detailed, absolute'!J50/Production!$J$25*AF_meat</f>
        <v>3.3726896412261289E-3</v>
      </c>
      <c r="K50" s="54">
        <f>'GHG detailed, absolute'!K50/Production!$J$25*AF_meat</f>
        <v>3.3726896412261291E-4</v>
      </c>
      <c r="L50" s="54">
        <f>'GHG detailed, absolute'!L50/Production!$J$25*AF_meat</f>
        <v>6.0304403852413436E-6</v>
      </c>
      <c r="M50" s="54"/>
      <c r="N50" s="54">
        <f>'GHG detailed, absolute'!N50/Production!$J$25*AF_meat</f>
        <v>1.0989364538145231E-8</v>
      </c>
      <c r="O50" s="54">
        <f>'GHG detailed, absolute'!O50/Production!$J$25*AF_meat</f>
        <v>8.6122692627678135E-6</v>
      </c>
      <c r="P50" s="54">
        <f>'GHG detailed, absolute'!P50/Production!$J$25*AF_meat</f>
        <v>0</v>
      </c>
      <c r="Q50" s="54">
        <f>'GHG detailed, absolute'!Q50/Production!$J$25*AF_meat</f>
        <v>1.8955782332651932E-5</v>
      </c>
      <c r="R50" s="54">
        <f>'GHG detailed, absolute'!R50/Production!$J$25*AF_meat</f>
        <v>4.8793621394040248E-6</v>
      </c>
      <c r="S50" s="13"/>
      <c r="T50" s="51">
        <f>'GHG detailed, absolute'!T50/Production!$J$25*AF_meat</f>
        <v>1.5330855214564917E-3</v>
      </c>
      <c r="U50" s="83">
        <f>'GHG detailed, absolute'!U50/Production!$J$25*AF_meat</f>
        <v>8.8191173040096788E-4</v>
      </c>
      <c r="V50" s="83">
        <f>'GHG detailed, absolute'!V50/Production!$J$25*AF_meat</f>
        <v>6.5117379105552394E-4</v>
      </c>
      <c r="W50" s="13">
        <f>'GHG detailed, absolute'!W50/Production!$J$25*AF_meat</f>
        <v>2.6349479869177809E-5</v>
      </c>
      <c r="X50" s="49">
        <f>'GHG detailed, absolute'!X50/Production!$J$25*AF_meat</f>
        <v>6.1118624924171288E-6</v>
      </c>
      <c r="Z50" s="54"/>
      <c r="AA50" s="54"/>
    </row>
    <row r="51" spans="1:27" ht="15" customHeight="1" x14ac:dyDescent="0.35">
      <c r="A51" s="84" t="s">
        <v>94</v>
      </c>
      <c r="B51" s="84" t="s">
        <v>95</v>
      </c>
      <c r="C51" s="85" t="s">
        <v>96</v>
      </c>
      <c r="D51" s="95" t="s">
        <v>54</v>
      </c>
      <c r="E51" s="93" t="s">
        <v>55</v>
      </c>
      <c r="F51" s="87" t="s">
        <v>133</v>
      </c>
      <c r="G51" s="88">
        <f>'GHG detailed, absolute'!G51/Production!$J$25*AF_meat</f>
        <v>4.9872978383640101</v>
      </c>
      <c r="H51" s="89">
        <f>'GHG detailed, absolute'!H51/Production!$J$25*AF_meat</f>
        <v>0.36093529017521653</v>
      </c>
      <c r="I51" s="89">
        <f>'GHG detailed, absolute'!I51/Production!$J$25*AF_meat</f>
        <v>0.16906965161189427</v>
      </c>
      <c r="J51" s="89">
        <f>'GHG detailed, absolute'!J51/Production!$J$25*AF_meat</f>
        <v>0.92074427205473308</v>
      </c>
      <c r="K51" s="89">
        <f>'GHG detailed, absolute'!K51/Production!$J$25*AF_meat</f>
        <v>9.2074427205473305E-2</v>
      </c>
      <c r="L51" s="89">
        <f>'GHG detailed, absolute'!L51/Production!$J$25*AF_meat</f>
        <v>0.22903581248505392</v>
      </c>
      <c r="M51" s="89">
        <f>'GHG detailed, absolute'!M51/Production!$J$25*AF_meat</f>
        <v>0</v>
      </c>
      <c r="N51" s="89">
        <f>'GHG detailed, absolute'!N51/Production!$J$25*AF_meat</f>
        <v>2.8970266133829161E-4</v>
      </c>
      <c r="O51" s="89">
        <f>'GHG detailed, absolute'!O51/Production!$J$25*AF_meat</f>
        <v>0.30134981134021271</v>
      </c>
      <c r="P51" s="89">
        <f>'GHG detailed, absolute'!P51/Production!$J$25*AF_meat</f>
        <v>0.25009243304569884</v>
      </c>
      <c r="Q51" s="89">
        <f>'GHG detailed, absolute'!Q51/Production!$J$25*AF_meat</f>
        <v>0.48460862678544764</v>
      </c>
      <c r="R51" s="89">
        <f>'GHG detailed, absolute'!R51/Production!$J$25*AF_meat</f>
        <v>0.13959535031041617</v>
      </c>
      <c r="S51" s="89">
        <f>'GHG detailed, absolute'!S51/Production!$J$25*AF_meat</f>
        <v>0.25045059226301886</v>
      </c>
      <c r="T51" s="89">
        <f>'GHG detailed, absolute'!T51/Production!$J$25*AF_meat</f>
        <v>0.76988479092925</v>
      </c>
      <c r="U51" s="89"/>
      <c r="V51" s="89"/>
      <c r="W51" s="89">
        <f>'GHG detailed, absolute'!W51/Production!$J$25*AF_meat</f>
        <v>0.72376427818922162</v>
      </c>
      <c r="X51" s="89">
        <f>'GHG detailed, absolute'!X51/Production!$J$25*AF_meat</f>
        <v>0.29540279930703411</v>
      </c>
      <c r="Z51" s="90">
        <f>'GHG detailed, absolute'!Z51/Production!$J$25*AF_meat</f>
        <v>2.9477953776754848</v>
      </c>
      <c r="AA51" s="91">
        <f>'GHG detailed, absolute'!AA51/Production!$J$25*AF_meat</f>
        <v>2.2309162097630314E-4</v>
      </c>
    </row>
    <row r="52" spans="1:27" ht="15" customHeight="1" x14ac:dyDescent="0.35">
      <c r="A52" s="73" t="s">
        <v>94</v>
      </c>
      <c r="B52" s="73" t="s">
        <v>95</v>
      </c>
      <c r="C52" s="74" t="s">
        <v>96</v>
      </c>
      <c r="D52" t="s">
        <v>56</v>
      </c>
      <c r="E52" s="75" t="s">
        <v>57</v>
      </c>
      <c r="F52" s="76" t="s">
        <v>129</v>
      </c>
      <c r="G52" s="77">
        <f>'GHG detailed, absolute'!G52/Production!$K$25*AF_meat</f>
        <v>2.4329266702611849</v>
      </c>
      <c r="H52" s="77">
        <f>'GHG detailed, absolute'!H52/Production!$K$25*AF_meat</f>
        <v>0.45472238969028023</v>
      </c>
      <c r="I52" s="77">
        <f>'GHG detailed, absolute'!I52/Production!$K$25*AF_meat</f>
        <v>0.1759956856493459</v>
      </c>
      <c r="J52" s="77">
        <f>'GHG detailed, absolute'!J52/Production!$K$25*AF_meat</f>
        <v>0</v>
      </c>
      <c r="K52" s="77"/>
      <c r="L52" s="77">
        <f>'GHG detailed, absolute'!L52/Production!$K$25*AF_meat</f>
        <v>0.30299728535881149</v>
      </c>
      <c r="M52" s="77"/>
      <c r="N52" s="77">
        <f>'GHG detailed, absolute'!N52/Production!$K$25*AF_meat</f>
        <v>5.505903877994521E-2</v>
      </c>
      <c r="O52" s="77">
        <f>'GHG detailed, absolute'!O52/Production!$K$25*AF_meat</f>
        <v>0.25270168921464448</v>
      </c>
      <c r="P52" s="77">
        <f>'GHG detailed, absolute'!P52/Production!$K$25*AF_meat</f>
        <v>0.31235343971826457</v>
      </c>
      <c r="Q52" s="77">
        <f>'GHG detailed, absolute'!Q52/Production!$K$25*AF_meat</f>
        <v>0.16132373638554501</v>
      </c>
      <c r="R52" s="77">
        <f>'GHG detailed, absolute'!R52/Production!$K$25*AF_meat</f>
        <v>0.25796443930804613</v>
      </c>
      <c r="S52" s="78"/>
      <c r="T52" s="79"/>
      <c r="U52" s="80"/>
      <c r="V52" s="80"/>
      <c r="W52" s="78">
        <f>'GHG detailed, absolute'!W52/Production!$K$25*AF_meat</f>
        <v>0.32230300899368369</v>
      </c>
      <c r="X52" s="81">
        <f>'GHG detailed, absolute'!X52/Production!$K$25*AF_meat</f>
        <v>0.13750595716261765</v>
      </c>
      <c r="Z52" s="53"/>
      <c r="AA52" s="53"/>
    </row>
    <row r="53" spans="1:27" x14ac:dyDescent="0.35">
      <c r="A53" s="20" t="s">
        <v>94</v>
      </c>
      <c r="B53" s="20" t="s">
        <v>95</v>
      </c>
      <c r="C53" s="16" t="s">
        <v>96</v>
      </c>
      <c r="D53" t="s">
        <v>56</v>
      </c>
      <c r="E53" s="18" t="s">
        <v>57</v>
      </c>
      <c r="F53" s="20" t="s">
        <v>130</v>
      </c>
      <c r="G53" s="53">
        <f>'GHG detailed, absolute'!G53/Production!$K$25*AF_meat</f>
        <v>2.7574215177501122E-3</v>
      </c>
      <c r="H53" s="58">
        <f>'GHG detailed, absolute'!H53/Production!$K$25*AF_meat</f>
        <v>3.7633853386366324E-5</v>
      </c>
      <c r="I53" s="58">
        <f>'GHG detailed, absolute'!I53/Production!$K$25*AF_meat</f>
        <v>6.1924407913658728E-4</v>
      </c>
      <c r="J53" s="58"/>
      <c r="K53" s="58"/>
      <c r="L53" s="58">
        <f>'GHG detailed, absolute'!L53/Production!$K$25*AF_meat</f>
        <v>1.3421758043488972E-4</v>
      </c>
      <c r="M53" s="58"/>
      <c r="N53" s="58">
        <f>'GHG detailed, absolute'!N53/Production!$K$25*AF_meat</f>
        <v>1.6274396046608085E-4</v>
      </c>
      <c r="O53" s="58">
        <f>'GHG detailed, absolute'!O53/Production!$K$25*AF_meat</f>
        <v>1.9087502514716795E-4</v>
      </c>
      <c r="P53" s="58">
        <f>'GHG detailed, absolute'!P53/Production!$K$25*AF_meat</f>
        <v>0</v>
      </c>
      <c r="Q53" s="58">
        <f>'GHG detailed, absolute'!Q53/Production!$K$25*AF_meat</f>
        <v>2.7110221357326981E-4</v>
      </c>
      <c r="R53" s="58">
        <f>'GHG detailed, absolute'!R53/Production!$K$25*AF_meat</f>
        <v>2.2051302826627073E-4</v>
      </c>
      <c r="W53" s="13">
        <f>'GHG detailed, absolute'!W53/Production!$K$25*AF_meat</f>
        <v>5.7362277291895473E-4</v>
      </c>
      <c r="X53" s="49">
        <f>'GHG detailed, absolute'!X53/Production!$K$25*AF_meat</f>
        <v>5.4746900442052468E-4</v>
      </c>
      <c r="Z53" s="54"/>
      <c r="AA53" s="54"/>
    </row>
    <row r="54" spans="1:27" x14ac:dyDescent="0.35">
      <c r="A54" s="20" t="s">
        <v>94</v>
      </c>
      <c r="B54" s="20" t="s">
        <v>95</v>
      </c>
      <c r="C54" s="16" t="s">
        <v>96</v>
      </c>
      <c r="D54" t="s">
        <v>56</v>
      </c>
      <c r="E54" s="18" t="s">
        <v>57</v>
      </c>
      <c r="F54" s="20" t="s">
        <v>131</v>
      </c>
      <c r="G54" s="53">
        <f>'GHG detailed, absolute'!G54/Production!$K$25*AF_meat</f>
        <v>8.1742645455383761E-2</v>
      </c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13">
        <f>'GHG detailed, absolute'!S54/Production!$K$25*AF_meat</f>
        <v>9.9265708167908633E-3</v>
      </c>
      <c r="T54" s="51">
        <f>'GHG detailed, absolute'!T54/Production!$K$25*AF_meat</f>
        <v>7.1816074638592881E-2</v>
      </c>
      <c r="U54" s="59">
        <f>'GHG detailed, absolute'!U54/Production!$K$25*AF_meat</f>
        <v>7.1816074638592881E-2</v>
      </c>
      <c r="W54" s="13"/>
      <c r="X54" s="49"/>
      <c r="Z54" s="54"/>
      <c r="AA54" s="54"/>
    </row>
    <row r="55" spans="1:27" ht="15" customHeight="1" x14ac:dyDescent="0.35">
      <c r="A55" s="20" t="s">
        <v>94</v>
      </c>
      <c r="B55" s="20" t="s">
        <v>95</v>
      </c>
      <c r="C55" s="16" t="s">
        <v>96</v>
      </c>
      <c r="D55" t="s">
        <v>56</v>
      </c>
      <c r="E55" s="18" t="s">
        <v>57</v>
      </c>
      <c r="F55" s="82" t="s">
        <v>132</v>
      </c>
      <c r="G55" s="53">
        <f>'GHG detailed, absolute'!G55/Production!$K$25*AF_meat</f>
        <v>5.2545757035534968E-3</v>
      </c>
      <c r="H55" s="58">
        <f>'GHG detailed, absolute'!H55/Production!$K$25*AF_meat</f>
        <v>1.1394225010678034E-4</v>
      </c>
      <c r="I55" s="54">
        <f>'GHG detailed, absolute'!I55/Production!$K$25*AF_meat</f>
        <v>7.1701946005289071E-6</v>
      </c>
      <c r="J55" s="54">
        <f>'GHG detailed, absolute'!J55/Production!$K$25*AF_meat</f>
        <v>3.4442069359209701E-3</v>
      </c>
      <c r="K55" s="54">
        <f>'GHG detailed, absolute'!K55/Production!$K$25*AF_meat</f>
        <v>3.4442069359209702E-4</v>
      </c>
      <c r="L55" s="54">
        <f>'GHG detailed, absolute'!L55/Production!$K$25*AF_meat</f>
        <v>8.1416551914116895E-6</v>
      </c>
      <c r="M55" s="54"/>
      <c r="N55" s="54">
        <f>'GHG detailed, absolute'!N55/Production!$K$25*AF_meat</f>
        <v>2.366396469074467E-6</v>
      </c>
      <c r="O55" s="54">
        <f>'GHG detailed, absolute'!O55/Production!$K$25*AF_meat</f>
        <v>9.2861297331176665E-6</v>
      </c>
      <c r="P55" s="54">
        <f>'GHG detailed, absolute'!P55/Production!$K$25*AF_meat</f>
        <v>0</v>
      </c>
      <c r="Q55" s="54">
        <f>'GHG detailed, absolute'!Q55/Production!$K$25*AF_meat</f>
        <v>1.5187852620206995E-5</v>
      </c>
      <c r="R55" s="54">
        <f>'GHG detailed, absolute'!R55/Production!$K$25*AF_meat</f>
        <v>9.6825596243476133E-6</v>
      </c>
      <c r="T55" s="51">
        <f>'GHG detailed, absolute'!T55/Production!$K$25*AF_meat</f>
        <v>1.2699205657668829E-3</v>
      </c>
      <c r="U55" s="83">
        <f>'GHG detailed, absolute'!U55/Production!$K$25*AF_meat</f>
        <v>7.3060783216770061E-4</v>
      </c>
      <c r="V55" s="83">
        <f>'GHG detailed, absolute'!V55/Production!$K$25*AF_meat</f>
        <v>5.3931273359918229E-4</v>
      </c>
      <c r="W55" s="13">
        <f>'GHG detailed, absolute'!W55/Production!$K$25*AF_meat</f>
        <v>2.514330589439777E-5</v>
      </c>
      <c r="X55" s="49">
        <f>'GHG detailed, absolute'!X55/Production!$K$25*AF_meat</f>
        <v>5.1071640336825377E-6</v>
      </c>
      <c r="Z55" s="54"/>
      <c r="AA55" s="54"/>
    </row>
    <row r="56" spans="1:27" ht="15" customHeight="1" x14ac:dyDescent="0.35">
      <c r="A56" s="84" t="s">
        <v>94</v>
      </c>
      <c r="B56" s="84" t="s">
        <v>95</v>
      </c>
      <c r="C56" s="85" t="s">
        <v>96</v>
      </c>
      <c r="D56" s="95" t="s">
        <v>56</v>
      </c>
      <c r="E56" s="86" t="s">
        <v>57</v>
      </c>
      <c r="F56" s="87" t="s">
        <v>133</v>
      </c>
      <c r="G56" s="88">
        <f>'GHG detailed, absolute'!G56/Production!$K$25*AF_meat</f>
        <v>6.1566484258556038</v>
      </c>
      <c r="H56" s="89">
        <f>'GHG detailed, absolute'!H56/Production!$K$25*AF_meat</f>
        <v>0.48695011280034495</v>
      </c>
      <c r="I56" s="89">
        <f>'GHG detailed, absolute'!I56/Production!$K$25*AF_meat</f>
        <v>0.19640662233356057</v>
      </c>
      <c r="J56" s="89">
        <f>'GHG detailed, absolute'!J56/Production!$K$25*AF_meat</f>
        <v>0.94026849350642483</v>
      </c>
      <c r="K56" s="89">
        <f>'GHG detailed, absolute'!K56/Production!$K$25*AF_meat</f>
        <v>9.4026849350642469E-2</v>
      </c>
      <c r="L56" s="89">
        <f>'GHG detailed, absolute'!L56/Production!$K$25*AF_meat</f>
        <v>0.30921964112302652</v>
      </c>
      <c r="M56" s="89">
        <f>'GHG detailed, absolute'!M56/Production!$K$25*AF_meat</f>
        <v>0</v>
      </c>
      <c r="N56" s="89">
        <f>'GHG detailed, absolute'!N56/Production!$K$25*AF_meat</f>
        <v>6.0554835037891747E-2</v>
      </c>
      <c r="O56" s="89">
        <f>'GHG detailed, absolute'!O56/Production!$K$25*AF_meat</f>
        <v>0.26092487838117118</v>
      </c>
      <c r="P56" s="89">
        <f>'GHG detailed, absolute'!P56/Production!$K$25*AF_meat</f>
        <v>0.31235343971826457</v>
      </c>
      <c r="Q56" s="89">
        <f>'GHG detailed, absolute'!Q56/Production!$K$25*AF_meat</f>
        <v>0.17354886611534495</v>
      </c>
      <c r="R56" s="89">
        <f>'GHG detailed, absolute'!R56/Production!$K$25*AF_meat</f>
        <v>0.2671790663278279</v>
      </c>
      <c r="S56" s="89">
        <f>'GHG detailed, absolute'!S56/Production!$K$25*AF_meat</f>
        <v>0.26801741205335333</v>
      </c>
      <c r="T56" s="89">
        <f>'GHG detailed, absolute'!T56/Production!$K$25*AF_meat</f>
        <v>2.2857223296963669</v>
      </c>
      <c r="U56" s="89"/>
      <c r="V56" s="89"/>
      <c r="W56" s="89">
        <f>'GHG detailed, absolute'!W56/Production!$K$25*AF_meat</f>
        <v>0.34626109013583917</v>
      </c>
      <c r="X56" s="89">
        <f>'GHG detailed, absolute'!X56/Production!$K$25*AF_meat</f>
        <v>0.15521478927554463</v>
      </c>
      <c r="Z56" s="90">
        <f>'GHG detailed, absolute'!Z56/Production!$K$25*AF_meat</f>
        <v>3.1014328046944994</v>
      </c>
      <c r="AA56" s="91">
        <f>'GHG detailed, absolute'!AA56/Production!$K$25*AF_meat</f>
        <v>2.2254195062886752E-4</v>
      </c>
    </row>
    <row r="57" spans="1:27" ht="15" customHeight="1" x14ac:dyDescent="0.35">
      <c r="A57" s="20" t="s">
        <v>94</v>
      </c>
      <c r="B57" s="20" t="s">
        <v>95</v>
      </c>
      <c r="C57" s="16" t="s">
        <v>96</v>
      </c>
      <c r="D57" s="18" t="s">
        <v>58</v>
      </c>
      <c r="E57" s="18" t="s">
        <v>59</v>
      </c>
      <c r="F57" s="92" t="s">
        <v>129</v>
      </c>
      <c r="G57" s="77">
        <f>'GHG detailed, absolute'!G57/Production!$L$25*AF_meat</f>
        <v>1.4164056429195904</v>
      </c>
      <c r="H57" s="53">
        <f>'GHG detailed, absolute'!H57/Production!$L$25*AF_meat</f>
        <v>0.26918457070943358</v>
      </c>
      <c r="I57" s="53">
        <f>'GHG detailed, absolute'!I57/Production!$L$25*AF_meat</f>
        <v>0.14720710063230658</v>
      </c>
      <c r="J57" s="53">
        <f>'GHG detailed, absolute'!J57/Production!$L$25*AF_meat</f>
        <v>0</v>
      </c>
      <c r="K57" s="53"/>
      <c r="L57" s="53">
        <f>'GHG detailed, absolute'!L57/Production!$L$25*AF_meat</f>
        <v>0.21666346280197513</v>
      </c>
      <c r="M57" s="53"/>
      <c r="N57" s="53">
        <f>'GHG detailed, absolute'!N57/Production!$L$25*AF_meat</f>
        <v>1.2039553582510146E-3</v>
      </c>
      <c r="O57" s="53">
        <f>'GHG detailed, absolute'!O57/Production!$L$25*AF_meat</f>
        <v>0.19564061129826116</v>
      </c>
      <c r="P57" s="53">
        <f>'GHG detailed, absolute'!P57/Production!$L$25*AF_meat</f>
        <v>0.20670845488859574</v>
      </c>
      <c r="Q57" s="53">
        <f>'GHG detailed, absolute'!Q57/Production!$L$25*AF_meat</f>
        <v>7.3557068489135541E-2</v>
      </c>
      <c r="R57" s="53">
        <f>'GHG detailed, absolute'!R57/Production!$L$25*AF_meat</f>
        <v>8.6121799694581988E-2</v>
      </c>
      <c r="W57" s="13">
        <f>'GHG detailed, absolute'!W57/Production!$L$25*AF_meat</f>
        <v>0.11796820807298584</v>
      </c>
      <c r="X57" s="49">
        <f>'GHG detailed, absolute'!X57/Production!$L$25*AF_meat</f>
        <v>0.10215041097406388</v>
      </c>
    </row>
    <row r="58" spans="1:27" x14ac:dyDescent="0.35">
      <c r="A58" s="20" t="s">
        <v>94</v>
      </c>
      <c r="B58" s="20" t="s">
        <v>95</v>
      </c>
      <c r="C58" s="16" t="s">
        <v>96</v>
      </c>
      <c r="D58" s="18" t="s">
        <v>58</v>
      </c>
      <c r="E58" s="18" t="s">
        <v>59</v>
      </c>
      <c r="F58" s="20" t="s">
        <v>130</v>
      </c>
      <c r="G58" s="53">
        <f>'GHG detailed, absolute'!G58/Production!$L$25*AF_meat</f>
        <v>1.4331784024732186E-3</v>
      </c>
      <c r="H58" s="58">
        <f>'GHG detailed, absolute'!H58/Production!$L$25*AF_meat</f>
        <v>4.7226055853855014E-5</v>
      </c>
      <c r="I58" s="58">
        <f>'GHG detailed, absolute'!I58/Production!$L$25*AF_meat</f>
        <v>5.1795090963218976E-4</v>
      </c>
      <c r="J58" s="58"/>
      <c r="K58" s="58"/>
      <c r="L58" s="58">
        <f>'GHG detailed, absolute'!L58/Production!$L$25*AF_meat</f>
        <v>9.5974608193235411E-5</v>
      </c>
      <c r="M58" s="58"/>
      <c r="N58" s="58">
        <f>'GHG detailed, absolute'!N58/Production!$L$25*AF_meat</f>
        <v>3.5974369966443765E-6</v>
      </c>
      <c r="O58" s="58">
        <f>'GHG detailed, absolute'!O58/Production!$L$25*AF_meat</f>
        <v>8.6441415585411172E-5</v>
      </c>
      <c r="P58" s="58">
        <f>'GHG detailed, absolute'!P58/Production!$L$25*AF_meat</f>
        <v>0</v>
      </c>
      <c r="Q58" s="58">
        <f>'GHG detailed, absolute'!Q58/Production!$L$25*AF_meat</f>
        <v>1.1887494493628203E-4</v>
      </c>
      <c r="R58" s="58">
        <f>'GHG detailed, absolute'!R58/Production!$L$25*AF_meat</f>
        <v>7.9394774473442808E-5</v>
      </c>
      <c r="W58" s="13">
        <f>'GHG detailed, absolute'!W58/Production!$L$25*AF_meat</f>
        <v>7.9914787651329082E-5</v>
      </c>
      <c r="X58" s="49">
        <f>'GHG detailed, absolute'!X58/Production!$L$25*AF_meat</f>
        <v>4.0380346915082897E-4</v>
      </c>
    </row>
    <row r="59" spans="1:27" x14ac:dyDescent="0.35">
      <c r="A59" s="20" t="s">
        <v>94</v>
      </c>
      <c r="B59" s="20" t="s">
        <v>95</v>
      </c>
      <c r="C59" s="16" t="s">
        <v>96</v>
      </c>
      <c r="D59" s="18" t="s">
        <v>58</v>
      </c>
      <c r="E59" s="18" t="s">
        <v>59</v>
      </c>
      <c r="F59" s="20" t="s">
        <v>131</v>
      </c>
      <c r="G59" s="53">
        <f>'GHG detailed, absolute'!G59/Production!$L$25*AF_meat</f>
        <v>2.1743007588249385E-2</v>
      </c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13">
        <f>'GHG detailed, absolute'!S59/Production!$L$25*AF_meat</f>
        <v>9.1927067246484993E-3</v>
      </c>
      <c r="T59" s="50">
        <f>'GHG detailed, absolute'!T59/Production!$L$25*AF_meat</f>
        <v>1.2550300863600886E-2</v>
      </c>
      <c r="U59" s="96">
        <f>'GHG detailed, absolute'!U59/Production!$L$25*AF_meat</f>
        <v>1.2550300863600886E-2</v>
      </c>
      <c r="W59" s="13"/>
      <c r="X59" s="49"/>
      <c r="Z59" s="54"/>
      <c r="AA59" s="54"/>
    </row>
    <row r="60" spans="1:27" ht="15" customHeight="1" x14ac:dyDescent="0.35">
      <c r="A60" s="20" t="s">
        <v>94</v>
      </c>
      <c r="B60" s="20" t="s">
        <v>95</v>
      </c>
      <c r="C60" s="16" t="s">
        <v>96</v>
      </c>
      <c r="D60" s="18" t="s">
        <v>58</v>
      </c>
      <c r="E60" s="18" t="s">
        <v>59</v>
      </c>
      <c r="F60" s="82" t="s">
        <v>132</v>
      </c>
      <c r="G60" s="53">
        <f>'GHG detailed, absolute'!G60/Production!$L$25*AF_meat</f>
        <v>4.7857255743148181E-3</v>
      </c>
      <c r="H60" s="58">
        <f>'GHG detailed, absolute'!H60/Production!$L$25*AF_meat</f>
        <v>1.8024820478337091E-4</v>
      </c>
      <c r="I60" s="54">
        <f>'GHG detailed, absolute'!I60/Production!$L$25*AF_meat</f>
        <v>5.9973263220569347E-6</v>
      </c>
      <c r="J60" s="54">
        <f>'GHG detailed, absolute'!J60/Production!$L$25*AF_meat</f>
        <v>3.032420489256493E-3</v>
      </c>
      <c r="K60" s="54">
        <f>'GHG detailed, absolute'!K60/Production!$L$25*AF_meat</f>
        <v>3.0324204892564929E-4</v>
      </c>
      <c r="L60" s="54">
        <f>'GHG detailed, absolute'!L60/Production!$L$25*AF_meat</f>
        <v>5.8218317191257779E-6</v>
      </c>
      <c r="M60" s="54"/>
      <c r="N60" s="54">
        <f>'GHG detailed, absolute'!N60/Production!$L$25*AF_meat</f>
        <v>5.1563590624377168E-8</v>
      </c>
      <c r="O60" s="54">
        <f>'GHG detailed, absolute'!O60/Production!$L$25*AF_meat</f>
        <v>7.4471089219208628E-6</v>
      </c>
      <c r="P60" s="54">
        <f>'GHG detailed, absolute'!P60/Production!$L$25*AF_meat</f>
        <v>0</v>
      </c>
      <c r="Q60" s="54">
        <f>'GHG detailed, absolute'!Q60/Production!$L$25*AF_meat</f>
        <v>1.0573070919596341E-5</v>
      </c>
      <c r="R60" s="54">
        <f>'GHG detailed, absolute'!R60/Production!$L$25*AF_meat</f>
        <v>3.3773472755893887E-6</v>
      </c>
      <c r="T60" s="51">
        <f>'GHG detailed, absolute'!T60/Production!$L$25*AF_meat</f>
        <v>1.2198507853192833E-3</v>
      </c>
      <c r="U60" s="83">
        <f>'GHG detailed, absolute'!U60/Production!$L$25*AF_meat</f>
        <v>6.9024394182250562E-4</v>
      </c>
      <c r="V60" s="83">
        <f>'GHG detailed, absolute'!V60/Production!$L$25*AF_meat</f>
        <v>5.296068434967777E-4</v>
      </c>
      <c r="W60" s="13">
        <f>'GHG detailed, absolute'!W60/Production!$L$25*AF_meat</f>
        <v>1.2384722108930897E-5</v>
      </c>
      <c r="X60" s="49">
        <f>'GHG detailed, absolute'!X60/Production!$L$25*AF_meat</f>
        <v>4.3110751721779314E-6</v>
      </c>
    </row>
    <row r="61" spans="1:27" ht="15" customHeight="1" x14ac:dyDescent="0.35">
      <c r="A61" s="84" t="s">
        <v>94</v>
      </c>
      <c r="B61" s="84" t="s">
        <v>95</v>
      </c>
      <c r="C61" s="85" t="s">
        <v>96</v>
      </c>
      <c r="D61" s="86" t="s">
        <v>58</v>
      </c>
      <c r="E61" s="86" t="s">
        <v>59</v>
      </c>
      <c r="F61" s="87" t="s">
        <v>133</v>
      </c>
      <c r="G61" s="97">
        <f>'GHG detailed, absolute'!G61/Production!$L$25*AF_meat</f>
        <v>3.3526786459839717</v>
      </c>
      <c r="H61" s="98">
        <f>'GHG detailed, absolute'!H61/Production!$L$25*AF_meat</f>
        <v>0.31979966707973867</v>
      </c>
      <c r="I61" s="89">
        <f>'GHG detailed, absolute'!I61/Production!$L$25*AF_meat</f>
        <v>0.1642793078252674</v>
      </c>
      <c r="J61" s="89">
        <f>'GHG detailed, absolute'!J61/Production!$L$25*AF_meat</f>
        <v>0.82785079356702251</v>
      </c>
      <c r="K61" s="89">
        <f>'GHG detailed, absolute'!K61/Production!$L$25*AF_meat</f>
        <v>8.2785079356702262E-2</v>
      </c>
      <c r="L61" s="89">
        <f>'GHG detailed, absolute'!L61/Production!$L$25*AF_meat</f>
        <v>0.22111286618545489</v>
      </c>
      <c r="M61" s="89">
        <f>'GHG detailed, absolute'!M61/Production!$L$25*AF_meat</f>
        <v>0</v>
      </c>
      <c r="N61" s="89">
        <f>'GHG detailed, absolute'!N61/Production!$L$25*AF_meat</f>
        <v>1.3252358409914719E-3</v>
      </c>
      <c r="O61" s="89">
        <f>'GHG detailed, absolute'!O61/Production!$L$25*AF_meat</f>
        <v>0.20024962621839085</v>
      </c>
      <c r="P61" s="89">
        <f>'GHG detailed, absolute'!P61/Production!$L$25*AF_meat</f>
        <v>0.20670845488859574</v>
      </c>
      <c r="Q61" s="89">
        <f>'GHG detailed, absolute'!Q61/Production!$L$25*AF_meat</f>
        <v>7.9985990209286553E-2</v>
      </c>
      <c r="R61" s="89">
        <f>'GHG detailed, absolute'!R61/Production!$L$25*AF_meat</f>
        <v>8.9409779780126486E-2</v>
      </c>
      <c r="S61" s="89">
        <f>'GHG detailed, absolute'!S61/Production!$L$25*AF_meat</f>
        <v>0.24820308156550955</v>
      </c>
      <c r="T61" s="89">
        <f>'GHG detailed, absolute'!T61/Production!$L$25*AF_meat</f>
        <v>0.67187738770938832</v>
      </c>
      <c r="U61" s="89"/>
      <c r="V61" s="89"/>
      <c r="W61" s="89">
        <f>'GHG detailed, absolute'!W61/Production!$L$25*AF_meat</f>
        <v>0.12373069788073357</v>
      </c>
      <c r="X61" s="89">
        <f>'GHG detailed, absolute'!X61/Production!$L$25*AF_meat</f>
        <v>0.11536067787676316</v>
      </c>
      <c r="Z61" s="90">
        <f>'GHG detailed, absolute'!Z61/Production!$L$25*AF_meat</f>
        <v>2.1935068009515768</v>
      </c>
      <c r="AA61" s="91">
        <f>'GHG detailed, absolute'!AA61/Production!$L$25*AF_meat</f>
        <v>1.4559588013771162E-4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DD7EE"/>
  </sheetPr>
  <dimension ref="A2:AA21"/>
  <sheetViews>
    <sheetView zoomScale="65" zoomScaleNormal="100" workbookViewId="0">
      <selection activeCell="A10" sqref="A10"/>
    </sheetView>
  </sheetViews>
  <sheetFormatPr defaultColWidth="8.6328125" defaultRowHeight="14.5" x14ac:dyDescent="0.35"/>
  <cols>
    <col min="1" max="1" width="8.54296875" style="1" customWidth="1"/>
    <col min="2" max="2" width="22.54296875" customWidth="1"/>
    <col min="3" max="3" width="25.453125" customWidth="1"/>
    <col min="4" max="4" width="16.453125" customWidth="1"/>
    <col min="5" max="11" width="10.453125" customWidth="1"/>
    <col min="12" max="13" width="14.54296875" customWidth="1"/>
    <col min="14" max="14" width="14.54296875" style="20" customWidth="1"/>
    <col min="15" max="20" width="14.54296875" customWidth="1"/>
    <col min="21" max="21" width="15.54296875" customWidth="1"/>
  </cols>
  <sheetData>
    <row r="2" spans="1:21" ht="21" customHeight="1" x14ac:dyDescent="0.5">
      <c r="A2" s="2" t="s">
        <v>0</v>
      </c>
      <c r="M2" s="21" t="s">
        <v>1</v>
      </c>
    </row>
    <row r="3" spans="1:21" x14ac:dyDescent="0.35">
      <c r="P3" s="22"/>
      <c r="R3" s="22"/>
      <c r="S3" s="23"/>
      <c r="T3" s="23"/>
      <c r="U3" s="23"/>
    </row>
    <row r="4" spans="1:21" x14ac:dyDescent="0.35">
      <c r="A4" s="24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6"/>
      <c r="O4" s="25"/>
      <c r="P4" s="27"/>
      <c r="Q4" s="25"/>
      <c r="R4" s="27"/>
      <c r="S4" s="28"/>
      <c r="T4" s="28"/>
      <c r="U4" s="28"/>
    </row>
    <row r="5" spans="1:21" x14ac:dyDescent="0.35">
      <c r="A5" s="29" t="s">
        <v>2</v>
      </c>
      <c r="B5" s="30"/>
      <c r="C5" s="30"/>
      <c r="D5" s="31"/>
      <c r="E5" s="31"/>
      <c r="F5" s="32" t="s">
        <v>3</v>
      </c>
      <c r="G5" s="31"/>
      <c r="H5" s="31"/>
      <c r="I5" s="31"/>
      <c r="J5" s="31"/>
      <c r="K5" s="31"/>
      <c r="L5" s="33" t="s">
        <v>4</v>
      </c>
      <c r="M5" s="33" t="s">
        <v>5</v>
      </c>
      <c r="N5" s="33" t="s">
        <v>6</v>
      </c>
      <c r="O5" s="33" t="s">
        <v>7</v>
      </c>
      <c r="P5" s="34" t="s">
        <v>8</v>
      </c>
      <c r="Q5" s="34" t="s">
        <v>9</v>
      </c>
      <c r="R5" s="34" t="s">
        <v>10</v>
      </c>
      <c r="S5" s="34" t="s">
        <v>11</v>
      </c>
      <c r="T5" s="35" t="s">
        <v>12</v>
      </c>
      <c r="U5" s="35" t="s">
        <v>13</v>
      </c>
    </row>
    <row r="6" spans="1:21" s="47" customFormat="1" ht="43.5" customHeight="1" x14ac:dyDescent="0.35">
      <c r="A6" s="36" t="s">
        <v>14</v>
      </c>
      <c r="B6" s="37" t="s">
        <v>15</v>
      </c>
      <c r="C6" s="37" t="s">
        <v>16</v>
      </c>
      <c r="D6" s="38" t="s">
        <v>17</v>
      </c>
      <c r="E6" s="39" t="s">
        <v>18</v>
      </c>
      <c r="F6" s="40" t="s">
        <v>19</v>
      </c>
      <c r="G6" s="41" t="s">
        <v>20</v>
      </c>
      <c r="H6" s="40" t="s">
        <v>21</v>
      </c>
      <c r="I6" s="40" t="s">
        <v>22</v>
      </c>
      <c r="J6" s="40" t="s">
        <v>23</v>
      </c>
      <c r="K6" s="41" t="s">
        <v>24</v>
      </c>
      <c r="L6" s="42" t="s">
        <v>25</v>
      </c>
      <c r="M6" s="42" t="s">
        <v>26</v>
      </c>
      <c r="N6" s="42" t="s">
        <v>27</v>
      </c>
      <c r="O6" s="43" t="s">
        <v>28</v>
      </c>
      <c r="P6" s="44" t="s">
        <v>29</v>
      </c>
      <c r="Q6" s="45" t="s">
        <v>30</v>
      </c>
      <c r="R6" s="45" t="s">
        <v>31</v>
      </c>
      <c r="S6" s="45" t="s">
        <v>32</v>
      </c>
      <c r="T6" s="46" t="s">
        <v>33</v>
      </c>
      <c r="U6" s="46" t="s">
        <v>34</v>
      </c>
    </row>
    <row r="7" spans="1:21" x14ac:dyDescent="0.35">
      <c r="A7" s="48" t="s">
        <v>35</v>
      </c>
      <c r="B7" t="s">
        <v>36</v>
      </c>
      <c r="C7" s="16" t="s">
        <v>37</v>
      </c>
      <c r="D7" t="s">
        <v>38</v>
      </c>
      <c r="E7" t="s">
        <v>39</v>
      </c>
      <c r="F7" s="49">
        <f>'Footprints, absolute'!F7/Production!$B$30*AF_offal</f>
        <v>0.59931677390695937</v>
      </c>
      <c r="G7" s="49">
        <f>'Footprints, absolute'!G7/Production!$B$30*AF_offal</f>
        <v>0.28748533424267725</v>
      </c>
      <c r="H7" s="50">
        <f>'Footprints, absolute'!H7/Production!$B$30*AF_offal</f>
        <v>3.1121913835346481E-4</v>
      </c>
      <c r="I7" s="51">
        <f>'Footprints, absolute'!I7/Production!$B$30*AF_offal</f>
        <v>3.3388430784865347E-3</v>
      </c>
      <c r="J7" s="51">
        <f>'Footprints, absolute'!J7/Production!$B$30*AF_offal</f>
        <v>7.7805255026451451E-4</v>
      </c>
      <c r="L7" s="52">
        <f>'Footprints, absolute'!L7/Production!$B$30*AF_offal</f>
        <v>1.3925919622474081</v>
      </c>
      <c r="M7" s="53">
        <f>'Footprints, absolute'!M7/Production!$B$30*AF_offal</f>
        <v>2.15969605047764E-2</v>
      </c>
      <c r="N7" s="53">
        <f>'Footprints, absolute'!N7/Production!$B$30*AF_offal</f>
        <v>2.4349523713255968E-3</v>
      </c>
      <c r="O7" s="52">
        <f>'Footprints, absolute'!O7/Production!$B$30*AF_offal</f>
        <v>2.5997806635376756E-2</v>
      </c>
      <c r="P7" s="54">
        <f>'Footprints, absolute'!P7/Production!$B$30*AF_offal</f>
        <v>0.12176592723244548</v>
      </c>
      <c r="Q7" s="54">
        <f>'Footprints, absolute'!Q7/Production!$B$30*AF_offal</f>
        <v>1.9532818569996128E-11</v>
      </c>
      <c r="R7" s="52">
        <f>'Footprints, absolute'!R7/Production!$B$30*AF_offal</f>
        <v>6.3101830266155479E-3</v>
      </c>
      <c r="S7" s="55"/>
      <c r="T7" s="13">
        <f>'Footprints, absolute'!T7*AF_offal</f>
        <v>7.3696723516390075E-2</v>
      </c>
      <c r="U7" s="56">
        <f>'Footprints, absolute'!U7*AF_offal</f>
        <v>0.88279170198539558</v>
      </c>
    </row>
    <row r="8" spans="1:21" x14ac:dyDescent="0.35">
      <c r="A8" s="48" t="s">
        <v>35</v>
      </c>
      <c r="B8" s="20" t="s">
        <v>36</v>
      </c>
      <c r="C8" s="16" t="s">
        <v>37</v>
      </c>
      <c r="D8" t="s">
        <v>40</v>
      </c>
      <c r="E8" t="s">
        <v>41</v>
      </c>
      <c r="F8" s="49">
        <f>'Footprints, absolute'!F8/Production!$C$30*AF_offal</f>
        <v>0.70603451186233179</v>
      </c>
      <c r="G8" s="49">
        <f>'Footprints, absolute'!G8/Production!$C$30*AF_offal</f>
        <v>0.20495599999799352</v>
      </c>
      <c r="H8" s="50">
        <f>'Footprints, absolute'!H8/Production!$C$30*AF_offal</f>
        <v>2.7271363899316746E-4</v>
      </c>
      <c r="I8" s="51">
        <f>'Footprints, absolute'!I8/Production!$C$30*AF_offal</f>
        <v>1.1833575670615977E-2</v>
      </c>
      <c r="J8" s="51">
        <f>'Footprints, absolute'!J8/Production!$C$30*AF_offal</f>
        <v>6.3533004511249255E-4</v>
      </c>
      <c r="L8" s="52">
        <f>'Footprints, absolute'!L8/Production!$C$30*AF_offal</f>
        <v>1.2822598015477493</v>
      </c>
      <c r="M8" s="53">
        <f>'Footprints, absolute'!M8/Production!$C$30*AF_offal</f>
        <v>1.3510640781653633E-2</v>
      </c>
      <c r="N8" s="53">
        <f>'Footprints, absolute'!N8/Production!$C$30*AF_offal</f>
        <v>2.0961383254160357E-3</v>
      </c>
      <c r="O8" s="52">
        <f>'Footprints, absolute'!O8/Production!$C$30*AF_offal</f>
        <v>3.1020188845177068E-2</v>
      </c>
      <c r="P8" s="54">
        <f>'Footprints, absolute'!P8/Production!$C$30*AF_offal</f>
        <v>0.26043974953232335</v>
      </c>
      <c r="Q8" s="54">
        <f>'Footprints, absolute'!Q8/Production!$C$30*AF_offal</f>
        <v>2.2277166234429414E-11</v>
      </c>
      <c r="R8" s="52">
        <f>'Footprints, absolute'!R8/Production!$C$30*AF_offal</f>
        <v>8.2277084635369816E-3</v>
      </c>
      <c r="S8" s="55"/>
      <c r="T8" s="13">
        <f>'Footprints, absolute'!T8*AF_offal</f>
        <v>7.1667950080283468E-2</v>
      </c>
      <c r="U8" s="56">
        <f>'Footprints, absolute'!U8*AF_offal</f>
        <v>1.2909973877670025</v>
      </c>
    </row>
    <row r="9" spans="1:21" x14ac:dyDescent="0.35">
      <c r="A9" s="48" t="s">
        <v>35</v>
      </c>
      <c r="B9" s="20" t="s">
        <v>36</v>
      </c>
      <c r="C9" s="16" t="s">
        <v>37</v>
      </c>
      <c r="D9" t="s">
        <v>42</v>
      </c>
      <c r="E9" t="s">
        <v>43</v>
      </c>
      <c r="F9" s="49">
        <f>'Footprints, absolute'!F9/Production!$D$30*AF_offal</f>
        <v>0.74249382368327066</v>
      </c>
      <c r="G9" s="49">
        <f>'Footprints, absolute'!G9/Production!$D$30*AF_offal</f>
        <v>0.29509661760728906</v>
      </c>
      <c r="H9" s="50">
        <f>'Footprints, absolute'!H9/Production!$D$30*AF_offal</f>
        <v>3.9257093336637341E-4</v>
      </c>
      <c r="I9" s="51">
        <f>'Footprints, absolute'!I9/Production!$D$30*AF_offal</f>
        <v>8.9783196079746049E-3</v>
      </c>
      <c r="J9" s="51">
        <f>'Footprints, absolute'!J9/Production!$D$30*AF_offal</f>
        <v>7.0799986390604247E-4</v>
      </c>
      <c r="L9" s="52">
        <f>'Footprints, absolute'!L9/Production!$D$30*AF_offal</f>
        <v>1.3066174121418714</v>
      </c>
      <c r="M9" s="53">
        <f>'Footprints, absolute'!M9/Production!$D$30*AF_offal</f>
        <v>1.3865782954053022E-2</v>
      </c>
      <c r="N9" s="53">
        <f>'Footprints, absolute'!N9/Production!$D$30*AF_offal</f>
        <v>2.0724318942417445E-3</v>
      </c>
      <c r="O9" s="52">
        <f>'Footprints, absolute'!O9/Production!$D$30*AF_offal</f>
        <v>2.284671903464822E-2</v>
      </c>
      <c r="P9" s="54">
        <f>'Footprints, absolute'!P9/Production!$D$30*AF_offal</f>
        <v>0.22556069833864709</v>
      </c>
      <c r="Q9" s="54">
        <f>'Footprints, absolute'!Q9/Production!$D$30*AF_offal</f>
        <v>2.3458009039808219E-11</v>
      </c>
      <c r="R9" s="52">
        <f>'Footprints, absolute'!R9/Production!$D$30*AF_offal</f>
        <v>1.0215563878446679E-2</v>
      </c>
      <c r="S9" s="55"/>
      <c r="T9" s="13">
        <f>'Footprints, absolute'!T9*AF_offal</f>
        <v>6.6127331414826948E-2</v>
      </c>
      <c r="U9" s="56">
        <f>'Footprints, absolute'!U9*AF_offal</f>
        <v>2.1629536635193576</v>
      </c>
    </row>
    <row r="10" spans="1:21" x14ac:dyDescent="0.35">
      <c r="A10" s="48" t="s">
        <v>35</v>
      </c>
      <c r="B10" s="20" t="s">
        <v>36</v>
      </c>
      <c r="C10" s="16" t="s">
        <v>37</v>
      </c>
      <c r="D10" t="s">
        <v>44</v>
      </c>
      <c r="E10" t="s">
        <v>45</v>
      </c>
      <c r="F10" s="49">
        <f>'Footprints, absolute'!F10/Production!$E$30*AF_offal</f>
        <v>1.1782445242252302</v>
      </c>
      <c r="G10" s="49">
        <f>'Footprints, absolute'!G10/Production!$E$30*AF_offal</f>
        <v>0.34526088243538688</v>
      </c>
      <c r="H10" s="50">
        <f>'Footprints, absolute'!H10/Production!$E$30*AF_offal</f>
        <v>6.4371512310377468E-4</v>
      </c>
      <c r="I10" s="51">
        <f>'Footprints, absolute'!I10/Production!$E$30*AF_offal</f>
        <v>2.3251799113737148E-2</v>
      </c>
      <c r="J10" s="51">
        <f>'Footprints, absolute'!J10/Production!$E$30*AF_offal</f>
        <v>6.8132730787709872E-4</v>
      </c>
      <c r="L10" s="52">
        <f>'Footprints, absolute'!L10/Production!$E$30*AF_offal</f>
        <v>3.2290424292957063</v>
      </c>
      <c r="M10" s="53">
        <f>'Footprints, absolute'!M10/Production!$E$30*AF_offal</f>
        <v>2.5198530998672829E-2</v>
      </c>
      <c r="N10" s="53">
        <f>'Footprints, absolute'!N10/Production!$E$30*AF_offal</f>
        <v>2.2603297005069972E-3</v>
      </c>
      <c r="O10" s="52">
        <f>'Footprints, absolute'!O10/Production!$E$30*AF_offal</f>
        <v>2.1215329694466878E-2</v>
      </c>
      <c r="P10" s="54">
        <f>'Footprints, absolute'!P10/Production!$E$30*AF_offal</f>
        <v>0.34117933146241292</v>
      </c>
      <c r="Q10" s="54">
        <f>'Footprints, absolute'!Q10/Production!$E$30*AF_offal</f>
        <v>1.520272874852658E-10</v>
      </c>
      <c r="R10" s="52">
        <f>'Footprints, absolute'!R10/Production!$E$30*AF_offal</f>
        <v>1.1749390970443821E-2</v>
      </c>
      <c r="S10" s="55"/>
      <c r="T10" s="13">
        <f>'Footprints, absolute'!T10*AF_offal</f>
        <v>7.0665100160817382E-2</v>
      </c>
      <c r="U10" s="56">
        <f>'Footprints, absolute'!U10*AF_offal</f>
        <v>4.22024843344599</v>
      </c>
    </row>
    <row r="11" spans="1:21" x14ac:dyDescent="0.35">
      <c r="A11" s="48" t="s">
        <v>35</v>
      </c>
      <c r="B11" s="20" t="s">
        <v>36</v>
      </c>
      <c r="C11" s="16" t="s">
        <v>37</v>
      </c>
      <c r="D11" t="s">
        <v>46</v>
      </c>
      <c r="E11" t="s">
        <v>47</v>
      </c>
      <c r="F11" s="49">
        <f>'Footprints, absolute'!F11/Production!$F$30*AF_offal</f>
        <v>0.68476624561278254</v>
      </c>
      <c r="G11" s="49">
        <f>'Footprints, absolute'!G11/Production!$F$30*AF_offal</f>
        <v>0.29524596611570086</v>
      </c>
      <c r="H11" s="50">
        <f>'Footprints, absolute'!H11/Production!$F$30*AF_offal</f>
        <v>4.4403665370031559E-4</v>
      </c>
      <c r="I11" s="51">
        <f>'Footprints, absolute'!I11/Production!$F$30*AF_offal</f>
        <v>6.9904380293181823E-3</v>
      </c>
      <c r="J11" s="51">
        <f>'Footprints, absolute'!J11/Production!$F$30*AF_offal</f>
        <v>6.8698227261985794E-4</v>
      </c>
      <c r="L11" s="52">
        <f>'Footprints, absolute'!L11/Production!$F$30*AF_offal</f>
        <v>1.6763193416025901</v>
      </c>
      <c r="M11" s="53">
        <f>'Footprints, absolute'!M11/Production!$F$30*AF_offal</f>
        <v>1.7341207691141246E-2</v>
      </c>
      <c r="N11" s="53">
        <f>'Footprints, absolute'!N11/Production!$F$30*AF_offal</f>
        <v>3.6695807875699229E-3</v>
      </c>
      <c r="O11" s="52">
        <f>'Footprints, absolute'!O11/Production!$F$30*AF_offal</f>
        <v>3.0037119595471146E-2</v>
      </c>
      <c r="P11" s="54">
        <f>'Footprints, absolute'!P11/Production!$F$30*AF_offal</f>
        <v>0.19372526643991975</v>
      </c>
      <c r="Q11" s="54">
        <f>'Footprints, absolute'!Q11/Production!$F$30*AF_offal</f>
        <v>3.2786969337023166E-11</v>
      </c>
      <c r="R11" s="52">
        <f>'Footprints, absolute'!R11/Production!$F$30*AF_offal</f>
        <v>7.7928798453808026E-3</v>
      </c>
      <c r="S11" s="55"/>
      <c r="T11" s="13">
        <f>'Footprints, absolute'!T11*AF_offal</f>
        <v>7.1916461754008898E-2</v>
      </c>
      <c r="U11" s="56">
        <f>'Footprints, absolute'!U11*AF_offal</f>
        <v>3.2892627246316959</v>
      </c>
    </row>
    <row r="12" spans="1:21" x14ac:dyDescent="0.35">
      <c r="A12" s="48" t="s">
        <v>35</v>
      </c>
      <c r="B12" s="20" t="s">
        <v>36</v>
      </c>
      <c r="C12" s="16" t="s">
        <v>37</v>
      </c>
      <c r="D12" t="s">
        <v>48</v>
      </c>
      <c r="E12" t="s">
        <v>49</v>
      </c>
      <c r="F12" s="49">
        <f>'Footprints, absolute'!F12/Production!$G$30*AF_offal</f>
        <v>0.51016534218324316</v>
      </c>
      <c r="G12" s="49">
        <f>'Footprints, absolute'!G12/Production!$G$30*AF_offal</f>
        <v>0.27916048850913028</v>
      </c>
      <c r="H12" s="50">
        <f>'Footprints, absolute'!H12/Production!$G$30*AF_offal</f>
        <v>3.2589575149438233E-4</v>
      </c>
      <c r="I12" s="51">
        <f>'Footprints, absolute'!I12/Production!$G$30*AF_offal</f>
        <v>2.8582692399345181E-3</v>
      </c>
      <c r="J12" s="51">
        <f>'Footprints, absolute'!J12/Production!$G$30*AF_offal</f>
        <v>5.2791168791702667E-4</v>
      </c>
      <c r="L12" s="52">
        <f>'Footprints, absolute'!L12/Production!$G$30*AF_offal</f>
        <v>1.2603734303727399</v>
      </c>
      <c r="M12" s="53">
        <f>'Footprints, absolute'!M12/Production!$G$30*AF_offal</f>
        <v>1.3420891810737372E-2</v>
      </c>
      <c r="N12" s="53">
        <f>'Footprints, absolute'!N12/Production!$G$30*AF_offal</f>
        <v>1.6288446160154489E-3</v>
      </c>
      <c r="O12" s="52">
        <f>'Footprints, absolute'!O12/Production!$G$30*AF_offal</f>
        <v>2.5371082063096396E-2</v>
      </c>
      <c r="P12" s="54">
        <f>'Footprints, absolute'!P12/Production!$G$30*AF_offal</f>
        <v>0.35708967538410358</v>
      </c>
      <c r="Q12" s="54">
        <f>'Footprints, absolute'!Q12/Production!$G$30*AF_offal</f>
        <v>2.3559963934034652E-11</v>
      </c>
      <c r="R12" s="52">
        <f>'Footprints, absolute'!R12/Production!$G$30*AF_offal</f>
        <v>6.7082724068939677E-3</v>
      </c>
      <c r="S12" s="55"/>
      <c r="T12" s="13">
        <f>'Footprints, absolute'!T12*AF_offal</f>
        <v>6.8712322531149353E-2</v>
      </c>
      <c r="U12" s="56">
        <f>'Footprints, absolute'!U12*AF_offal</f>
        <v>1.4319389092264332</v>
      </c>
    </row>
    <row r="13" spans="1:21" x14ac:dyDescent="0.35">
      <c r="A13" s="48" t="s">
        <v>35</v>
      </c>
      <c r="B13" s="20" t="s">
        <v>36</v>
      </c>
      <c r="C13" s="16" t="s">
        <v>37</v>
      </c>
      <c r="D13" t="s">
        <v>50</v>
      </c>
      <c r="E13" t="s">
        <v>51</v>
      </c>
      <c r="F13" s="49">
        <f>'Footprints, absolute'!F13/Production!$H$30*AF_offal</f>
        <v>1.114847100621885</v>
      </c>
      <c r="G13" s="49">
        <f>'Footprints, absolute'!G13/Production!$H$30*AF_offal</f>
        <v>0.35094672520109471</v>
      </c>
      <c r="H13" s="50">
        <f>'Footprints, absolute'!H13/Production!$H$30*AF_offal</f>
        <v>7.6562932013872378E-4</v>
      </c>
      <c r="I13" s="51">
        <f>'Footprints, absolute'!I13/Production!$H$30*AF_offal</f>
        <v>1.8442464334192821E-2</v>
      </c>
      <c r="J13" s="51">
        <f>'Footprints, absolute'!J13/Production!$H$30*AF_offal</f>
        <v>8.9061569471593526E-4</v>
      </c>
      <c r="L13" s="52">
        <f>'Footprints, absolute'!L13/Production!$H$30*AF_offal</f>
        <v>1.9565685769879237</v>
      </c>
      <c r="M13" s="53">
        <f>'Footprints, absolute'!M13/Production!$H$30*AF_offal</f>
        <v>1.8218964953057724E-2</v>
      </c>
      <c r="N13" s="53">
        <f>'Footprints, absolute'!N13/Production!$H$30*AF_offal</f>
        <v>3.7827008652623561E-3</v>
      </c>
      <c r="O13" s="52">
        <f>'Footprints, absolute'!O13/Production!$H$30*AF_offal</f>
        <v>4.523265888441759E-2</v>
      </c>
      <c r="P13" s="54">
        <f>'Footprints, absolute'!P13/Production!$H$30*AF_offal</f>
        <v>0.2319522433595993</v>
      </c>
      <c r="Q13" s="54">
        <f>'Footprints, absolute'!Q13/Production!$H$30*AF_offal</f>
        <v>1.0510576796166649E-10</v>
      </c>
      <c r="R13" s="52">
        <f>'Footprints, absolute'!R13/Production!$H$30*AF_offal</f>
        <v>1.5550136176031014E-2</v>
      </c>
      <c r="S13" s="55"/>
      <c r="T13" s="13">
        <f>'Footprints, absolute'!T13*AF_offal</f>
        <v>4.9378659271643449E-2</v>
      </c>
      <c r="U13" s="56">
        <f>'Footprints, absolute'!U13*AF_offal</f>
        <v>5.3211489702512687</v>
      </c>
    </row>
    <row r="14" spans="1:21" x14ac:dyDescent="0.35">
      <c r="A14" s="48" t="s">
        <v>35</v>
      </c>
      <c r="B14" s="20" t="s">
        <v>36</v>
      </c>
      <c r="C14" s="16" t="s">
        <v>37</v>
      </c>
      <c r="D14" t="s">
        <v>52</v>
      </c>
      <c r="E14" t="s">
        <v>53</v>
      </c>
      <c r="F14" s="49">
        <f>'Footprints, absolute'!F14/Production!$I$30*AF_offal</f>
        <v>0.8667218292210509</v>
      </c>
      <c r="G14" s="49">
        <f>'Footprints, absolute'!G14/Production!$I$30*AF_offal</f>
        <v>0.3076840589721937</v>
      </c>
      <c r="H14" s="50">
        <f>'Footprints, absolute'!H14/Production!$I$30*AF_offal</f>
        <v>3.6897892069989534E-4</v>
      </c>
      <c r="I14" s="51">
        <f>'Footprints, absolute'!I14/Production!$I$30*AF_offal</f>
        <v>1.4423606619157564E-2</v>
      </c>
      <c r="J14" s="51">
        <f>'Footprints, absolute'!J14/Production!$I$30*AF_offal</f>
        <v>5.8097003551188997E-4</v>
      </c>
      <c r="L14" s="52">
        <f>'Footprints, absolute'!L14/Production!$I$30*AF_offal</f>
        <v>1.300263794665828</v>
      </c>
      <c r="M14" s="53">
        <f>'Footprints, absolute'!M14/Production!$I$30*AF_offal</f>
        <v>1.5755902345146861E-2</v>
      </c>
      <c r="N14" s="53">
        <f>'Footprints, absolute'!N14/Production!$I$30*AF_offal</f>
        <v>2.2980501735115821E-3</v>
      </c>
      <c r="O14" s="52">
        <f>'Footprints, absolute'!O14/Production!$I$30*AF_offal</f>
        <v>2.4036212366802791E-2</v>
      </c>
      <c r="P14" s="54">
        <f>'Footprints, absolute'!P14/Production!$I$30*AF_offal</f>
        <v>0.17284823647260136</v>
      </c>
      <c r="Q14" s="54">
        <f>'Footprints, absolute'!Q14/Production!$I$30*AF_offal</f>
        <v>2.5644945904576516E-11</v>
      </c>
      <c r="R14" s="52">
        <f>'Footprints, absolute'!R14/Production!$I$30*AF_offal</f>
        <v>5.9176317842891089E-3</v>
      </c>
      <c r="S14" s="55"/>
      <c r="T14" s="13">
        <f>'Footprints, absolute'!T14*AF_offal</f>
        <v>6.2582022805241749E-2</v>
      </c>
      <c r="U14" s="56">
        <f>'Footprints, absolute'!U14*AF_offal</f>
        <v>1.0914725144832227</v>
      </c>
    </row>
    <row r="15" spans="1:21" x14ac:dyDescent="0.35">
      <c r="A15" s="48" t="s">
        <v>35</v>
      </c>
      <c r="B15" s="20" t="s">
        <v>36</v>
      </c>
      <c r="C15" s="16" t="s">
        <v>37</v>
      </c>
      <c r="D15" t="s">
        <v>54</v>
      </c>
      <c r="E15" t="s">
        <v>55</v>
      </c>
      <c r="F15" s="49">
        <f>'Footprints, absolute'!F15/Production!$J$30*AF_offal</f>
        <v>0.71835536117768028</v>
      </c>
      <c r="G15" s="49">
        <f>'Footprints, absolute'!G15/Production!$J$30*AF_offal</f>
        <v>0.39772424494439756</v>
      </c>
      <c r="H15" s="50">
        <f>'Footprints, absolute'!H15/Production!$J$30*AF_offal</f>
        <v>6.1057340177977969E-4</v>
      </c>
      <c r="I15" s="51">
        <f>'Footprints, absolute'!I15/Production!$J$30*AF_offal</f>
        <v>3.2104406268925302E-3</v>
      </c>
      <c r="J15" s="51">
        <f>'Footprints, absolute'!J15/Production!$J$30*AF_offal</f>
        <v>7.9030817558295571E-4</v>
      </c>
      <c r="L15" s="52">
        <f>'Footprints, absolute'!L15/Production!$J$30*AF_offal</f>
        <v>1.7765842733517296</v>
      </c>
      <c r="M15" s="53">
        <f>'Footprints, absolute'!M15/Production!$J$30*AF_offal</f>
        <v>1.8838180549044552E-2</v>
      </c>
      <c r="N15" s="53">
        <f>'Footprints, absolute'!N15/Production!$J$30*AF_offal</f>
        <v>2.634391882597841E-3</v>
      </c>
      <c r="O15" s="52">
        <f>'Footprints, absolute'!O15/Production!$J$30*AF_offal</f>
        <v>2.1653756125409675E-2</v>
      </c>
      <c r="P15" s="54">
        <f>'Footprints, absolute'!P15/Production!$J$30*AF_offal</f>
        <v>0.17486136246527956</v>
      </c>
      <c r="Q15" s="54">
        <f>'Footprints, absolute'!Q15/Production!$J$30*AF_offal</f>
        <v>1.8594407825103354E-11</v>
      </c>
      <c r="R15" s="52">
        <f>'Footprints, absolute'!R15/Production!$J$30*AF_offal</f>
        <v>8.998998544360844E-3</v>
      </c>
      <c r="S15" s="55"/>
      <c r="T15" s="13">
        <f>'Footprints, absolute'!T15*AF_offal</f>
        <v>7.0665100160817382E-2</v>
      </c>
      <c r="U15" s="56">
        <f>'Footprints, absolute'!U15*AF_offal</f>
        <v>6.8373394634918991</v>
      </c>
    </row>
    <row r="16" spans="1:21" x14ac:dyDescent="0.35">
      <c r="A16" s="48" t="s">
        <v>35</v>
      </c>
      <c r="B16" s="20" t="s">
        <v>36</v>
      </c>
      <c r="C16" s="16" t="s">
        <v>37</v>
      </c>
      <c r="D16" t="s">
        <v>56</v>
      </c>
      <c r="E16" t="s">
        <v>57</v>
      </c>
      <c r="F16" s="49">
        <f>'Footprints, absolute'!F16/Production!$K$30*AF_offal</f>
        <v>0.84581333788277369</v>
      </c>
      <c r="G16" s="49">
        <f>'Footprints, absolute'!G16/Production!$K$30*AF_offal</f>
        <v>0.33424059414463925</v>
      </c>
      <c r="H16" s="50">
        <f>'Footprints, absolute'!H16/Production!$K$30*AF_offal</f>
        <v>3.7882038027108657E-4</v>
      </c>
      <c r="I16" s="51">
        <f>'Footprints, absolute'!I16/Production!$K$30*AF_offal</f>
        <v>1.1229976931869043E-2</v>
      </c>
      <c r="J16" s="51">
        <f>'Footprints, absolute'!J16/Production!$K$30*AF_offal</f>
        <v>7.2188468588128948E-4</v>
      </c>
      <c r="L16" s="52">
        <f>'Footprints, absolute'!L16/Production!$K$30*AF_offal</f>
        <v>2.2699955997759784</v>
      </c>
      <c r="M16" s="53">
        <f>'Footprints, absolute'!M16/Production!$K$30*AF_offal</f>
        <v>2.4516542755037694E-2</v>
      </c>
      <c r="N16" s="53">
        <f>'Footprints, absolute'!N16/Production!$K$30*AF_offal</f>
        <v>3.0618100993098783E-3</v>
      </c>
      <c r="O16" s="52">
        <f>'Footprints, absolute'!O16/Production!$K$30*AF_offal</f>
        <v>0.11762080695439638</v>
      </c>
      <c r="P16" s="54">
        <f>'Footprints, absolute'!P16/Production!$K$30*AF_offal</f>
        <v>0.16623183736521602</v>
      </c>
      <c r="Q16" s="54">
        <f>'Footprints, absolute'!Q16/Production!$K$30*AF_offal</f>
        <v>1.4958722371831344E-10</v>
      </c>
      <c r="R16" s="52">
        <f>'Footprints, absolute'!R16/Production!$K$30*AF_offal</f>
        <v>8.4440810719242608E-3</v>
      </c>
      <c r="S16" s="55"/>
      <c r="T16" s="13">
        <f>'Footprints, absolute'!T16*AF_offal</f>
        <v>7.7796789290748139E-2</v>
      </c>
      <c r="U16" s="56">
        <f>'Footprints, absolute'!U16*AF_offal</f>
        <v>3.536399621194279</v>
      </c>
    </row>
    <row r="17" spans="1:27" x14ac:dyDescent="0.35">
      <c r="A17" s="48" t="s">
        <v>35</v>
      </c>
      <c r="B17" s="20" t="s">
        <v>36</v>
      </c>
      <c r="C17" s="16" t="s">
        <v>37</v>
      </c>
      <c r="D17" s="18" t="s">
        <v>58</v>
      </c>
      <c r="E17" s="18" t="s">
        <v>59</v>
      </c>
      <c r="F17" s="55">
        <f>'Footprints, absolute'!F17/Production!$L$30*AF_offal</f>
        <v>0.4829738778012565</v>
      </c>
      <c r="G17" s="49">
        <f>'Footprints, absolute'!G17/Production!$L$30*AF_offal</f>
        <v>0.2040419014568827</v>
      </c>
      <c r="H17" s="50">
        <f>'Footprints, absolute'!H17/Production!$L$30*AF_offal</f>
        <v>2.0645812012214234E-4</v>
      </c>
      <c r="I17" s="51">
        <f>'Footprints, absolute'!I17/Production!$L$30*AF_offal</f>
        <v>3.1322133132377626E-3</v>
      </c>
      <c r="J17" s="51">
        <f>'Footprints, absolute'!J17/Production!$L$30*AF_offal</f>
        <v>6.8941305826855062E-4</v>
      </c>
      <c r="K17" s="18"/>
      <c r="L17" s="52">
        <f>'Footprints, absolute'!L17/Production!$L$30*AF_offal</f>
        <v>1.6756168634226292</v>
      </c>
      <c r="M17" s="53">
        <f>'Footprints, absolute'!M17/Production!$L$30*AF_offal</f>
        <v>1.6812635654737642E-2</v>
      </c>
      <c r="N17" s="53">
        <f>'Footprints, absolute'!N17/Production!$L$30*AF_offal</f>
        <v>1.7117494340920928E-3</v>
      </c>
      <c r="O17" s="52">
        <f>'Footprints, absolute'!O17/Production!$L$30*AF_offal</f>
        <v>2.3270448480205777E-2</v>
      </c>
      <c r="P17" s="54">
        <f>'Footprints, absolute'!P17/Production!$L$30*AF_offal</f>
        <v>0.10324729399517173</v>
      </c>
      <c r="Q17" s="54">
        <f>'Footprints, absolute'!Q17/Production!$L$30*AF_offal</f>
        <v>1.0014368976537154E-11</v>
      </c>
      <c r="R17" s="52">
        <f>'Footprints, absolute'!R17/Production!$L$30*AF_offal</f>
        <v>7.0831221670138054E-3</v>
      </c>
      <c r="S17" s="55"/>
      <c r="T17" s="13">
        <f>'Footprints, absolute'!T17*AF_offal</f>
        <v>5.4083119038610336E-2</v>
      </c>
      <c r="U17" s="56">
        <f>'Footprints, absolute'!U17*AF_offal</f>
        <v>0.42777572580625756</v>
      </c>
    </row>
    <row r="18" spans="1:27" x14ac:dyDescent="0.35">
      <c r="A18" s="20"/>
      <c r="B18" s="20"/>
      <c r="C18" s="16"/>
      <c r="T18" s="56"/>
    </row>
    <row r="19" spans="1:27" x14ac:dyDescent="0.35">
      <c r="J19" s="51"/>
      <c r="M19" s="51"/>
      <c r="Q19" s="58"/>
    </row>
    <row r="21" spans="1:27" x14ac:dyDescent="0.35">
      <c r="M21" s="50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DD7EE"/>
  </sheetPr>
  <dimension ref="A1:AA61"/>
  <sheetViews>
    <sheetView zoomScale="79" zoomScaleNormal="100" workbookViewId="0">
      <selection activeCell="A7" sqref="A7"/>
    </sheetView>
  </sheetViews>
  <sheetFormatPr defaultColWidth="8.6328125" defaultRowHeight="14.5" x14ac:dyDescent="0.35"/>
  <cols>
    <col min="1" max="1" width="8.453125" style="1" customWidth="1"/>
    <col min="2" max="2" width="22.453125" customWidth="1"/>
    <col min="3" max="3" width="27.453125" customWidth="1"/>
    <col min="4" max="5" width="10.453125" customWidth="1"/>
    <col min="6" max="6" width="7.54296875" customWidth="1"/>
    <col min="7" max="7" width="9.453125" style="20" customWidth="1"/>
    <col min="8" max="20" width="14.54296875" customWidth="1"/>
    <col min="21" max="22" width="14.54296875" style="23" customWidth="1"/>
    <col min="23" max="24" width="14.54296875" customWidth="1"/>
    <col min="26" max="26" width="16" customWidth="1"/>
    <col min="27" max="27" width="19.453125" customWidth="1"/>
  </cols>
  <sheetData>
    <row r="1" spans="1:27" x14ac:dyDescent="0.35">
      <c r="H1" s="21" t="s">
        <v>97</v>
      </c>
      <c r="S1" s="1" t="s">
        <v>98</v>
      </c>
    </row>
    <row r="2" spans="1:27" ht="21" customHeight="1" x14ac:dyDescent="0.5">
      <c r="A2" s="2" t="s">
        <v>136</v>
      </c>
      <c r="H2" s="21" t="s">
        <v>100</v>
      </c>
      <c r="T2" s="51"/>
      <c r="U2" s="59"/>
    </row>
    <row r="3" spans="1:27" x14ac:dyDescent="0.35">
      <c r="H3" s="21" t="s">
        <v>101</v>
      </c>
      <c r="J3" s="22"/>
      <c r="K3" s="23"/>
      <c r="L3" s="23"/>
      <c r="M3" s="23"/>
      <c r="N3" s="23"/>
      <c r="O3" s="23"/>
      <c r="P3" s="23"/>
      <c r="Q3" s="23"/>
      <c r="R3" s="23"/>
      <c r="S3" s="23"/>
      <c r="T3" s="23"/>
    </row>
    <row r="4" spans="1:27" x14ac:dyDescent="0.35">
      <c r="A4" s="60"/>
      <c r="B4" s="61"/>
      <c r="C4" s="61"/>
      <c r="D4" s="61"/>
      <c r="E4" s="61"/>
      <c r="F4" s="61"/>
      <c r="G4" s="61"/>
      <c r="H4" s="62"/>
      <c r="I4" s="62"/>
      <c r="J4" s="63"/>
      <c r="K4" s="63"/>
      <c r="L4" s="63"/>
      <c r="M4" s="63"/>
      <c r="N4" s="63"/>
      <c r="O4" s="63"/>
      <c r="P4" s="63"/>
      <c r="Q4" s="63"/>
      <c r="R4" s="63"/>
      <c r="S4" s="62" t="s">
        <v>102</v>
      </c>
      <c r="T4" s="62"/>
      <c r="U4" s="64"/>
      <c r="V4" s="64"/>
      <c r="W4" s="63" t="s">
        <v>103</v>
      </c>
      <c r="X4" s="63" t="s">
        <v>104</v>
      </c>
      <c r="Z4" s="62" t="s">
        <v>105</v>
      </c>
      <c r="AA4" s="62"/>
    </row>
    <row r="5" spans="1:27" x14ac:dyDescent="0.35">
      <c r="A5" s="29" t="s">
        <v>2</v>
      </c>
      <c r="B5" s="30"/>
      <c r="C5" s="30"/>
      <c r="D5" s="31"/>
      <c r="E5" s="31"/>
      <c r="F5" s="65"/>
      <c r="G5" s="66" t="s">
        <v>106</v>
      </c>
      <c r="H5" s="66" t="s">
        <v>107</v>
      </c>
      <c r="I5" s="67"/>
      <c r="J5" s="66" t="s">
        <v>108</v>
      </c>
      <c r="K5" s="68"/>
      <c r="L5" s="35" t="s">
        <v>109</v>
      </c>
      <c r="M5" s="68"/>
      <c r="N5" s="68"/>
      <c r="O5" s="68"/>
      <c r="P5" s="35" t="s">
        <v>110</v>
      </c>
      <c r="Q5" s="35" t="s">
        <v>111</v>
      </c>
      <c r="R5" s="35" t="s">
        <v>112</v>
      </c>
      <c r="S5" s="69"/>
      <c r="T5" s="69"/>
      <c r="U5" s="70"/>
      <c r="V5" s="70"/>
      <c r="W5" s="71"/>
      <c r="X5" s="71"/>
      <c r="Z5" s="66"/>
      <c r="AA5" s="66"/>
    </row>
    <row r="6" spans="1:27" ht="60.75" customHeight="1" x14ac:dyDescent="0.35">
      <c r="A6" s="36" t="s">
        <v>14</v>
      </c>
      <c r="B6" s="37" t="s">
        <v>15</v>
      </c>
      <c r="C6" s="37" t="s">
        <v>16</v>
      </c>
      <c r="D6" s="38" t="s">
        <v>17</v>
      </c>
      <c r="E6" s="39" t="s">
        <v>18</v>
      </c>
      <c r="F6" s="38" t="s">
        <v>113</v>
      </c>
      <c r="G6" s="39" t="s">
        <v>114</v>
      </c>
      <c r="H6" s="46" t="s">
        <v>115</v>
      </c>
      <c r="I6" s="46" t="s">
        <v>69</v>
      </c>
      <c r="J6" s="46" t="s">
        <v>116</v>
      </c>
      <c r="K6" s="46" t="s">
        <v>117</v>
      </c>
      <c r="L6" s="46" t="s">
        <v>118</v>
      </c>
      <c r="M6" s="46" t="s">
        <v>119</v>
      </c>
      <c r="N6" s="46" t="s">
        <v>120</v>
      </c>
      <c r="O6" s="46" t="s">
        <v>121</v>
      </c>
      <c r="P6" s="46" t="s">
        <v>122</v>
      </c>
      <c r="Q6" s="46" t="s">
        <v>111</v>
      </c>
      <c r="R6" s="46" t="s">
        <v>74</v>
      </c>
      <c r="S6" s="39" t="s">
        <v>123</v>
      </c>
      <c r="T6" s="39" t="s">
        <v>124</v>
      </c>
      <c r="U6" s="72" t="s">
        <v>125</v>
      </c>
      <c r="V6" s="72" t="s">
        <v>126</v>
      </c>
      <c r="W6" s="46" t="s">
        <v>77</v>
      </c>
      <c r="X6" s="46" t="s">
        <v>78</v>
      </c>
      <c r="Z6" s="39" t="s">
        <v>127</v>
      </c>
      <c r="AA6" s="39" t="s">
        <v>128</v>
      </c>
    </row>
    <row r="7" spans="1:27" x14ac:dyDescent="0.35">
      <c r="A7" s="73" t="s">
        <v>35</v>
      </c>
      <c r="B7" s="351" t="s">
        <v>36</v>
      </c>
      <c r="C7" s="74" t="s">
        <v>37</v>
      </c>
      <c r="D7" s="75" t="s">
        <v>83</v>
      </c>
      <c r="E7" s="75" t="s">
        <v>39</v>
      </c>
      <c r="F7" s="76" t="s">
        <v>129</v>
      </c>
      <c r="G7" s="77">
        <f>'GHG detailed, absolute'!G7/Production!$B$30*AF_offal</f>
        <v>0.28748533424267725</v>
      </c>
      <c r="H7" s="77">
        <f>'GHG detailed, absolute'!H7/Production!$B$30*AF_offal</f>
        <v>4.9897747732826549E-2</v>
      </c>
      <c r="I7" s="77">
        <f>'GHG detailed, absolute'!I7/Production!$B$30*AF_offal</f>
        <v>2.0050446708819062E-2</v>
      </c>
      <c r="J7" s="77">
        <f>'GHG detailed, absolute'!J7/Production!$B$30*AF_offal</f>
        <v>0</v>
      </c>
      <c r="K7" s="77"/>
      <c r="L7" s="77">
        <f>'GHG detailed, absolute'!L7/Production!$B$30*AF_offal</f>
        <v>2.387968586756049E-2</v>
      </c>
      <c r="M7" s="77"/>
      <c r="N7" s="77">
        <f>'GHG detailed, absolute'!N7/Production!$B$30*AF_offal</f>
        <v>1.1729982473593224E-3</v>
      </c>
      <c r="O7" s="77">
        <f>'GHG detailed, absolute'!O7/Production!$B$30*AF_offal</f>
        <v>3.0458479211104426E-2</v>
      </c>
      <c r="P7" s="77">
        <f>'GHG detailed, absolute'!P7/Production!$B$30*AF_offal</f>
        <v>1.7266547891465558E-2</v>
      </c>
      <c r="Q7" s="77">
        <f>'GHG detailed, absolute'!Q7/Production!$B$30*AF_offal</f>
        <v>5.2907229691742663E-2</v>
      </c>
      <c r="R7" s="77">
        <f>'GHG detailed, absolute'!R7/Production!$B$30*AF_offal</f>
        <v>1.1230002122053589E-2</v>
      </c>
      <c r="S7" s="78"/>
      <c r="T7" s="79"/>
      <c r="U7" s="80"/>
      <c r="V7" s="80"/>
      <c r="W7" s="78">
        <f>'GHG detailed, absolute'!W7/Production!$B$30*AF_offal</f>
        <v>5.7695044125772151E-2</v>
      </c>
      <c r="X7" s="81">
        <f>'GHG detailed, absolute'!X7/Production!$B$30*AF_offal</f>
        <v>2.2927152643973409E-2</v>
      </c>
      <c r="Z7" s="53"/>
      <c r="AA7" s="53"/>
    </row>
    <row r="8" spans="1:27" x14ac:dyDescent="0.35">
      <c r="A8" s="20" t="s">
        <v>35</v>
      </c>
      <c r="B8" s="20" t="s">
        <v>36</v>
      </c>
      <c r="C8" s="16" t="s">
        <v>37</v>
      </c>
      <c r="D8" s="18" t="s">
        <v>83</v>
      </c>
      <c r="E8" s="18" t="s">
        <v>39</v>
      </c>
      <c r="F8" s="20" t="s">
        <v>130</v>
      </c>
      <c r="G8" s="53">
        <f>'GHG detailed, absolute'!G8/Production!$B$30*AF_offal</f>
        <v>3.1121913835346481E-4</v>
      </c>
      <c r="H8" s="58">
        <f>'GHG detailed, absolute'!H8/Production!$B$30*AF_offal</f>
        <v>9.6997362410264657E-6</v>
      </c>
      <c r="I8" s="58">
        <f>'GHG detailed, absolute'!I8/Production!$B$30*AF_offal</f>
        <v>7.4666680889507584E-5</v>
      </c>
      <c r="J8" s="58"/>
      <c r="K8" s="58"/>
      <c r="L8" s="58">
        <f>'GHG detailed, absolute'!L8/Production!$B$30*AF_offal</f>
        <v>1.1426364092247466E-5</v>
      </c>
      <c r="M8" s="58"/>
      <c r="N8" s="58">
        <f>'GHG detailed, absolute'!N8/Production!$B$30*AF_offal</f>
        <v>1.1379458838581395E-6</v>
      </c>
      <c r="O8" s="58">
        <f>'GHG detailed, absolute'!O8/Production!$B$30*AF_offal</f>
        <v>1.8941659461933924E-5</v>
      </c>
      <c r="P8" s="58">
        <f>'GHG detailed, absolute'!P8/Production!$B$30*AF_offal</f>
        <v>0</v>
      </c>
      <c r="Q8" s="58">
        <f>'GHG detailed, absolute'!Q8/Production!$B$30*AF_offal</f>
        <v>5.5651804716610574E-5</v>
      </c>
      <c r="R8" s="58">
        <f>'GHG detailed, absolute'!R8/Production!$B$30*AF_offal</f>
        <v>2.3911189206188303E-5</v>
      </c>
      <c r="W8" s="13">
        <f>'GHG detailed, absolute'!W8/Production!$B$30*AF_offal</f>
        <v>5.4477926950814717E-5</v>
      </c>
      <c r="X8" s="49">
        <f>'GHG detailed, absolute'!X8/Production!$B$30*AF_offal</f>
        <v>6.1305830911277605E-5</v>
      </c>
      <c r="Z8" s="54"/>
      <c r="AA8" s="54"/>
    </row>
    <row r="9" spans="1:27" x14ac:dyDescent="0.35">
      <c r="A9" s="20" t="s">
        <v>35</v>
      </c>
      <c r="B9" s="20" t="s">
        <v>36</v>
      </c>
      <c r="C9" s="16" t="s">
        <v>37</v>
      </c>
      <c r="D9" s="18" t="s">
        <v>83</v>
      </c>
      <c r="E9" s="18" t="s">
        <v>39</v>
      </c>
      <c r="F9" s="20" t="s">
        <v>131</v>
      </c>
      <c r="G9" s="53">
        <f>'GHG detailed, absolute'!G9/Production!$B$30*AF_offal</f>
        <v>3.3388430784865347E-3</v>
      </c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13">
        <f>'GHG detailed, absolute'!S9/Production!$B$30*AF_offal</f>
        <v>1.3374744184128772E-3</v>
      </c>
      <c r="T9" s="51">
        <f>'GHG detailed, absolute'!T9/Production!$B$30*AF_offal</f>
        <v>2.0013686600736575E-3</v>
      </c>
      <c r="U9" s="59">
        <f>'GHG detailed, absolute'!U9/Production!$B$30*AF_offal</f>
        <v>2.0013686600736575E-3</v>
      </c>
      <c r="W9" s="13"/>
      <c r="X9" s="49"/>
      <c r="Z9" s="54"/>
      <c r="AA9" s="54"/>
    </row>
    <row r="10" spans="1:27" ht="15" customHeight="1" x14ac:dyDescent="0.35">
      <c r="A10" s="20" t="s">
        <v>35</v>
      </c>
      <c r="B10" s="20" t="s">
        <v>36</v>
      </c>
      <c r="C10" s="16" t="s">
        <v>37</v>
      </c>
      <c r="D10" s="18" t="s">
        <v>83</v>
      </c>
      <c r="E10" s="18" t="s">
        <v>39</v>
      </c>
      <c r="F10" s="82" t="s">
        <v>132</v>
      </c>
      <c r="G10" s="53">
        <f>'GHG detailed, absolute'!G10/Production!$B$30*AF_offal</f>
        <v>7.7805255026451451E-4</v>
      </c>
      <c r="H10" s="58">
        <f>'GHG detailed, absolute'!H10/Production!$B$30*AF_offal</f>
        <v>3.2705726695284398E-5</v>
      </c>
      <c r="I10" s="54">
        <f>'GHG detailed, absolute'!I10/Production!$B$30*AF_offal</f>
        <v>8.6456156819429832E-7</v>
      </c>
      <c r="J10" s="54">
        <f>'GHG detailed, absolute'!J10/Production!$B$30*AF_offal</f>
        <v>5.3883586845407166E-4</v>
      </c>
      <c r="K10" s="54">
        <f>'GHG detailed, absolute'!K10/Production!$B$30*AF_offal</f>
        <v>5.3883586845407181E-5</v>
      </c>
      <c r="L10" s="54">
        <f>'GHG detailed, absolute'!L10/Production!$B$30*AF_offal</f>
        <v>6.9312467285711699E-7</v>
      </c>
      <c r="M10" s="54"/>
      <c r="N10" s="54">
        <f>'GHG detailed, absolute'!N10/Production!$B$30*AF_offal</f>
        <v>1.6347814606462182E-8</v>
      </c>
      <c r="O10" s="54">
        <f>'GHG detailed, absolute'!O10/Production!$B$30*AF_offal</f>
        <v>1.2328647655997545E-6</v>
      </c>
      <c r="P10" s="54">
        <f>'GHG detailed, absolute'!P10/Production!$B$30*AF_offal</f>
        <v>0</v>
      </c>
      <c r="Q10" s="54">
        <f>'GHG detailed, absolute'!Q10/Production!$B$30*AF_offal</f>
        <v>2.4105849590302442E-6</v>
      </c>
      <c r="R10" s="54">
        <f>'GHG detailed, absolute'!R10/Production!$B$30*AF_offal</f>
        <v>9.6688259171743295E-7</v>
      </c>
      <c r="S10" s="13"/>
      <c r="T10" s="51">
        <f>'GHG detailed, absolute'!T10/Production!$B$30*AF_offal</f>
        <v>1.4287946485047867E-4</v>
      </c>
      <c r="U10" s="83">
        <f>'GHG detailed, absolute'!U10/Production!$B$30*AF_offal</f>
        <v>8.021050260906669E-5</v>
      </c>
      <c r="V10" s="83">
        <f>'GHG detailed, absolute'!V10/Production!$B$30*AF_offal</f>
        <v>6.2668962241411975E-5</v>
      </c>
      <c r="W10" s="13">
        <f>'GHG detailed, absolute'!W10/Production!$B$30*AF_offal</f>
        <v>2.5655474303618293E-6</v>
      </c>
      <c r="X10" s="49">
        <f>'GHG detailed, absolute'!X10/Production!$B$30*AF_offal</f>
        <v>9.9798961690529361E-7</v>
      </c>
      <c r="Z10" s="54"/>
      <c r="AA10" s="54"/>
    </row>
    <row r="11" spans="1:27" ht="15" customHeight="1" x14ac:dyDescent="0.35">
      <c r="A11" s="84" t="s">
        <v>35</v>
      </c>
      <c r="B11" s="84" t="s">
        <v>36</v>
      </c>
      <c r="C11" s="85" t="s">
        <v>37</v>
      </c>
      <c r="D11" s="86" t="s">
        <v>83</v>
      </c>
      <c r="E11" s="86" t="s">
        <v>39</v>
      </c>
      <c r="F11" s="87" t="s">
        <v>133</v>
      </c>
      <c r="G11" s="88">
        <f>'GHG detailed, absolute'!G11/Production!$B$30*AF_offal</f>
        <v>0.59931677390695937</v>
      </c>
      <c r="H11" s="89">
        <f>'GHG detailed, absolute'!H11/Production!$B$30*AF_offal</f>
        <v>5.9115463260621774E-2</v>
      </c>
      <c r="I11" s="89">
        <f>'GHG detailed, absolute'!I11/Production!$B$30*AF_offal</f>
        <v>2.2511539107443433E-2</v>
      </c>
      <c r="J11" s="89">
        <f>'GHG detailed, absolute'!J11/Production!$B$30*AF_offal</f>
        <v>0.14710219208796158</v>
      </c>
      <c r="K11" s="89">
        <f>'GHG detailed, absolute'!K11/Production!$B$30*AF_offal</f>
        <v>1.4710219208796159E-2</v>
      </c>
      <c r="L11" s="89">
        <f>'GHG detailed, absolute'!L11/Production!$B$30*AF_offal</f>
        <v>2.4409414553199459E-2</v>
      </c>
      <c r="M11" s="89">
        <f>'GHG detailed, absolute'!M11/Production!$B$30*AF_offal</f>
        <v>0</v>
      </c>
      <c r="N11" s="89">
        <f>'GHG detailed, absolute'!N11/Production!$B$30*AF_offal</f>
        <v>1.2113719880858589E-3</v>
      </c>
      <c r="O11" s="89">
        <f>'GHG detailed, absolute'!O11/Production!$B$30*AF_offal</f>
        <v>3.1359512744078791E-2</v>
      </c>
      <c r="P11" s="89">
        <f>'GHG detailed, absolute'!P11/Production!$B$30*AF_offal</f>
        <v>1.7266547891465558E-2</v>
      </c>
      <c r="Q11" s="89">
        <f>'GHG detailed, absolute'!Q11/Production!$B$30*AF_offal</f>
        <v>5.5223743166112914E-2</v>
      </c>
      <c r="R11" s="89">
        <f>'GHG detailed, absolute'!R11/Production!$B$30*AF_offal</f>
        <v>1.2206514507936859E-2</v>
      </c>
      <c r="S11" s="89">
        <f>'GHG detailed, absolute'!S11/Production!$B$30*AF_offal</f>
        <v>3.611180929714769E-2</v>
      </c>
      <c r="T11" s="89">
        <f>'GHG detailed, absolute'!T11/Production!$B$30*AF_offal</f>
        <v>9.304304772616942E-2</v>
      </c>
      <c r="U11" s="89"/>
      <c r="V11" s="89"/>
      <c r="W11" s="89">
        <f>'GHG detailed, absolute'!W11/Production!$B$30*AF_offal</f>
        <v>6.0018880797395209E-2</v>
      </c>
      <c r="X11" s="89">
        <f>'GHG detailed, absolute'!X11/Production!$B$30*AF_offal</f>
        <v>2.502651757054463E-2</v>
      </c>
      <c r="Z11" s="90">
        <f>'GHG detailed, absolute'!Z11/Production!$B$30*AF_offal</f>
        <v>0.38511651851570244</v>
      </c>
      <c r="AA11" s="91">
        <f>'GHG detailed, absolute'!AA11/Production!$B$30*AF_offal</f>
        <v>2.2793855308479142E-5</v>
      </c>
    </row>
    <row r="12" spans="1:27" ht="15" customHeight="1" x14ac:dyDescent="0.35">
      <c r="A12" s="20" t="s">
        <v>35</v>
      </c>
      <c r="B12" s="20" t="s">
        <v>36</v>
      </c>
      <c r="C12" s="16" t="s">
        <v>37</v>
      </c>
      <c r="D12" s="18" t="s">
        <v>40</v>
      </c>
      <c r="E12" s="18" t="s">
        <v>41</v>
      </c>
      <c r="F12" s="92" t="s">
        <v>129</v>
      </c>
      <c r="G12" s="77">
        <f>'GHG detailed, absolute'!G12/Production!$C$30*AF_offal</f>
        <v>0.20495599999799352</v>
      </c>
      <c r="H12" s="77">
        <f>'GHG detailed, absolute'!H12/Production!$C$30*AF_offal</f>
        <v>3.5599937435482912E-2</v>
      </c>
      <c r="I12" s="77">
        <f>'GHG detailed, absolute'!I12/Production!$C$30*AF_offal</f>
        <v>2.032481809381026E-2</v>
      </c>
      <c r="J12" s="77">
        <f>'GHG detailed, absolute'!J12/Production!$C$30*AF_offal</f>
        <v>0</v>
      </c>
      <c r="K12" s="77"/>
      <c r="L12" s="77">
        <f>'GHG detailed, absolute'!L12/Production!$C$30*AF_offal</f>
        <v>2.308584246654679E-2</v>
      </c>
      <c r="M12" s="77"/>
      <c r="N12" s="77">
        <f>'GHG detailed, absolute'!N12/Production!$C$30*AF_offal</f>
        <v>7.7245690921550522E-4</v>
      </c>
      <c r="O12" s="77">
        <f>'GHG detailed, absolute'!O12/Production!$C$30*AF_offal</f>
        <v>2.7745566852861007E-2</v>
      </c>
      <c r="P12" s="77">
        <f>'GHG detailed, absolute'!P12/Production!$C$30*AF_offal</f>
        <v>1.9520054780618044E-2</v>
      </c>
      <c r="Q12" s="77">
        <f>'GHG detailed, absolute'!Q12/Production!$C$30*AF_offal</f>
        <v>1.5654241678141358E-2</v>
      </c>
      <c r="R12" s="77">
        <f>'GHG detailed, absolute'!R12/Production!$C$30*AF_offal</f>
        <v>1.8283046467308623E-2</v>
      </c>
      <c r="S12" s="78"/>
      <c r="T12" s="79"/>
      <c r="U12" s="80"/>
      <c r="V12" s="80"/>
      <c r="W12" s="78">
        <f>'GHG detailed, absolute'!W12/Production!$C$30*AF_offal</f>
        <v>2.9221940915969292E-2</v>
      </c>
      <c r="X12" s="81">
        <f>'GHG detailed, absolute'!X12/Production!$C$30*AF_offal</f>
        <v>1.4748094398039728E-2</v>
      </c>
      <c r="Z12" s="53"/>
      <c r="AA12" s="53"/>
    </row>
    <row r="13" spans="1:27" x14ac:dyDescent="0.35">
      <c r="A13" s="20" t="s">
        <v>35</v>
      </c>
      <c r="B13" s="20" t="s">
        <v>36</v>
      </c>
      <c r="C13" s="16" t="s">
        <v>37</v>
      </c>
      <c r="D13" s="18" t="s">
        <v>40</v>
      </c>
      <c r="E13" s="18" t="s">
        <v>41</v>
      </c>
      <c r="F13" s="20" t="s">
        <v>130</v>
      </c>
      <c r="G13" s="53">
        <f>'GHG detailed, absolute'!G13/Production!$C$30*AF_offal</f>
        <v>2.7271363899316746E-4</v>
      </c>
      <c r="H13" s="58">
        <f>'GHG detailed, absolute'!H13/Production!$C$30*AF_offal</f>
        <v>1.2676346386810936E-5</v>
      </c>
      <c r="I13" s="58">
        <f>'GHG detailed, absolute'!I13/Production!$C$30*AF_offal</f>
        <v>7.1513248848591654E-5</v>
      </c>
      <c r="J13" s="58"/>
      <c r="K13" s="58"/>
      <c r="L13" s="58">
        <f>'GHG detailed, absolute'!L13/Production!$C$30*AF_offal</f>
        <v>1.022624976488366E-5</v>
      </c>
      <c r="M13" s="58"/>
      <c r="N13" s="58">
        <f>'GHG detailed, absolute'!N13/Production!$C$30*AF_offal</f>
        <v>2.2917860379439884E-6</v>
      </c>
      <c r="O13" s="58">
        <f>'GHG detailed, absolute'!O13/Production!$C$30*AF_offal</f>
        <v>1.4988478003883657E-5</v>
      </c>
      <c r="P13" s="58">
        <f>'GHG detailed, absolute'!P13/Production!$C$30*AF_offal</f>
        <v>0</v>
      </c>
      <c r="Q13" s="58">
        <f>'GHG detailed, absolute'!Q13/Production!$C$30*AF_offal</f>
        <v>4.6914923719635773E-5</v>
      </c>
      <c r="R13" s="58">
        <f>'GHG detailed, absolute'!R13/Production!$C$30*AF_offal</f>
        <v>1.7519063379457105E-5</v>
      </c>
      <c r="W13" s="13">
        <f>'GHG detailed, absolute'!W13/Production!$C$30*AF_offal</f>
        <v>3.3388668417176392E-5</v>
      </c>
      <c r="X13" s="49">
        <f>'GHG detailed, absolute'!X13/Production!$C$30*AF_offal</f>
        <v>6.3194874434784298E-5</v>
      </c>
      <c r="Z13" s="54"/>
      <c r="AA13" s="54"/>
    </row>
    <row r="14" spans="1:27" x14ac:dyDescent="0.35">
      <c r="A14" s="20" t="s">
        <v>35</v>
      </c>
      <c r="B14" s="20" t="s">
        <v>36</v>
      </c>
      <c r="C14" s="16" t="s">
        <v>37</v>
      </c>
      <c r="D14" s="18" t="s">
        <v>40</v>
      </c>
      <c r="E14" s="18" t="s">
        <v>41</v>
      </c>
      <c r="F14" s="20" t="s">
        <v>131</v>
      </c>
      <c r="G14" s="53">
        <f>'GHG detailed, absolute'!G14/Production!$C$30*AF_offal</f>
        <v>1.1833575670615977E-2</v>
      </c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13">
        <f>'GHG detailed, absolute'!S14/Production!$C$30*AF_offal</f>
        <v>1.3458559970050195E-3</v>
      </c>
      <c r="T14" s="51">
        <f>'GHG detailed, absolute'!T14/Production!$C$30*AF_offal</f>
        <v>1.0487719673610956E-2</v>
      </c>
      <c r="U14" s="59">
        <f>'GHG detailed, absolute'!U14/Production!$C$30*AF_offal</f>
        <v>1.0487719673610956E-2</v>
      </c>
      <c r="W14" s="13"/>
      <c r="X14" s="49"/>
      <c r="Z14" s="54"/>
      <c r="AA14" s="54"/>
    </row>
    <row r="15" spans="1:27" ht="15" customHeight="1" x14ac:dyDescent="0.35">
      <c r="A15" s="20" t="s">
        <v>35</v>
      </c>
      <c r="B15" s="20" t="s">
        <v>36</v>
      </c>
      <c r="C15" s="16" t="s">
        <v>37</v>
      </c>
      <c r="D15" s="18" t="s">
        <v>40</v>
      </c>
      <c r="E15" s="18" t="s">
        <v>41</v>
      </c>
      <c r="F15" s="82" t="s">
        <v>132</v>
      </c>
      <c r="G15" s="53">
        <f>'GHG detailed, absolute'!G15/Production!$C$30*AF_offal</f>
        <v>6.3533004511249255E-4</v>
      </c>
      <c r="H15" s="58">
        <f>'GHG detailed, absolute'!H15/Production!$C$30*AF_offal</f>
        <v>2.0945692971562416E-5</v>
      </c>
      <c r="I15" s="54">
        <f>'GHG detailed, absolute'!I15/Production!$C$30*AF_offal</f>
        <v>8.2804814456264015E-7</v>
      </c>
      <c r="J15" s="54">
        <f>'GHG detailed, absolute'!J15/Production!$C$30*AF_offal</f>
        <v>3.7547961460231768E-4</v>
      </c>
      <c r="K15" s="54">
        <f>'GHG detailed, absolute'!K15/Production!$C$30*AF_offal</f>
        <v>3.7547961460231774E-5</v>
      </c>
      <c r="L15" s="54">
        <f>'GHG detailed, absolute'!L15/Production!$C$30*AF_offal</f>
        <v>6.2032558787875981E-7</v>
      </c>
      <c r="M15" s="54"/>
      <c r="N15" s="54">
        <f>'GHG detailed, absolute'!N15/Production!$C$30*AF_offal</f>
        <v>3.3159591827200352E-8</v>
      </c>
      <c r="O15" s="54">
        <f>'GHG detailed, absolute'!O15/Production!$C$30*AF_offal</f>
        <v>1.0514129276783588E-6</v>
      </c>
      <c r="P15" s="54">
        <f>'GHG detailed, absolute'!P15/Production!$C$30*AF_offal</f>
        <v>0</v>
      </c>
      <c r="Q15" s="54">
        <f>'GHG detailed, absolute'!Q15/Production!$C$30*AF_offal</f>
        <v>2.1105891450941838E-6</v>
      </c>
      <c r="R15" s="54">
        <f>'GHG detailed, absolute'!R15/Production!$C$30*AF_offal</f>
        <v>6.4957911534180071E-7</v>
      </c>
      <c r="S15" s="13"/>
      <c r="T15" s="51">
        <f>'GHG detailed, absolute'!T15/Production!$C$30*AF_offal</f>
        <v>1.923616594813325E-4</v>
      </c>
      <c r="U15" s="83">
        <f>'GHG detailed, absolute'!U15/Production!$C$30*AF_offal</f>
        <v>1.0806584053910811E-4</v>
      </c>
      <c r="V15" s="83">
        <f>'GHG detailed, absolute'!V15/Production!$C$30*AF_offal</f>
        <v>8.4295818942224396E-5</v>
      </c>
      <c r="W15" s="13">
        <f>'GHG detailed, absolute'!W15/Production!$C$30*AF_offal</f>
        <v>3.078245955367453E-6</v>
      </c>
      <c r="X15" s="49">
        <f>'GHG detailed, absolute'!X15/Production!$C$30*AF_offal</f>
        <v>6.2375612929781473E-7</v>
      </c>
      <c r="Z15" s="54"/>
      <c r="AA15" s="54"/>
    </row>
    <row r="16" spans="1:27" ht="15" customHeight="1" x14ac:dyDescent="0.35">
      <c r="A16" s="84" t="s">
        <v>35</v>
      </c>
      <c r="B16" s="84" t="s">
        <v>36</v>
      </c>
      <c r="C16" s="85" t="s">
        <v>37</v>
      </c>
      <c r="D16" s="93" t="s">
        <v>40</v>
      </c>
      <c r="E16" s="93" t="s">
        <v>41</v>
      </c>
      <c r="F16" s="94" t="s">
        <v>133</v>
      </c>
      <c r="G16" s="88">
        <f>'GHG detailed, absolute'!G16/Production!$C$30*AF_offal</f>
        <v>0.70603451186233179</v>
      </c>
      <c r="H16" s="89">
        <f>'GHG detailed, absolute'!H16/Production!$C$30*AF_offal</f>
        <v>4.1695866739046419E-2</v>
      </c>
      <c r="I16" s="89">
        <f>'GHG detailed, absolute'!I16/Production!$C$30*AF_offal</f>
        <v>2.2681970052963889E-2</v>
      </c>
      <c r="J16" s="89">
        <f>'GHG detailed, absolute'!J16/Production!$C$30*AF_offal</f>
        <v>0.10250593478643275</v>
      </c>
      <c r="K16" s="89">
        <f>'GHG detailed, absolute'!K16/Production!$C$30*AF_offal</f>
        <v>1.0250593478643275E-2</v>
      </c>
      <c r="L16" s="89">
        <f>'GHG detailed, absolute'!L16/Production!$C$30*AF_offal</f>
        <v>2.355993359503122E-2</v>
      </c>
      <c r="M16" s="89">
        <f>'GHG detailed, absolute'!M16/Production!$C$30*AF_offal</f>
        <v>0</v>
      </c>
      <c r="N16" s="89">
        <f>'GHG detailed, absolute'!N16/Production!$C$30*AF_offal</f>
        <v>8.4980470171506183E-4</v>
      </c>
      <c r="O16" s="89">
        <f>'GHG detailed, absolute'!O16/Production!$C$30*AF_offal</f>
        <v>2.8479259226632934E-2</v>
      </c>
      <c r="P16" s="89">
        <f>'GHG detailed, absolute'!P16/Production!$C$30*AF_offal</f>
        <v>1.9520054780618044E-2</v>
      </c>
      <c r="Q16" s="89">
        <f>'GHG detailed, absolute'!Q16/Production!$C$30*AF_offal</f>
        <v>1.7628497241597218E-2</v>
      </c>
      <c r="R16" s="89">
        <f>'GHG detailed, absolute'!R16/Production!$C$30*AF_offal</f>
        <v>1.8982449654504754E-2</v>
      </c>
      <c r="S16" s="89">
        <f>'GHG detailed, absolute'!S16/Production!$C$30*AF_offal</f>
        <v>3.6338111919135531E-2</v>
      </c>
      <c r="T16" s="89">
        <f>'GHG detailed, absolute'!T16/Production!$C$30*AF_offal</f>
        <v>0.33568316422589967</v>
      </c>
      <c r="U16" s="89"/>
      <c r="V16" s="89"/>
      <c r="W16" s="89">
        <f>'GHG detailed, absolute'!W16/Production!$C$30*AF_offal</f>
        <v>3.1057284380616459E-2</v>
      </c>
      <c r="X16" s="89">
        <f>'GHG detailed, absolute'!X16/Production!$C$30*AF_offal</f>
        <v>1.6801587079494605E-2</v>
      </c>
      <c r="Z16" s="90">
        <f>'GHG detailed, absolute'!Z16/Production!$C$30*AF_offal</f>
        <v>0.28615436425718555</v>
      </c>
      <c r="AA16" s="91">
        <f>'GHG detailed, absolute'!AA16/Production!$C$30*AF_offal</f>
        <v>1.8610833469618883E-5</v>
      </c>
    </row>
    <row r="17" spans="1:27" ht="15" customHeight="1" x14ac:dyDescent="0.35">
      <c r="A17" s="73" t="s">
        <v>35</v>
      </c>
      <c r="B17" s="73" t="s">
        <v>36</v>
      </c>
      <c r="C17" s="74" t="s">
        <v>37</v>
      </c>
      <c r="D17" s="75" t="s">
        <v>42</v>
      </c>
      <c r="E17" s="75" t="s">
        <v>43</v>
      </c>
      <c r="F17" s="76" t="s">
        <v>129</v>
      </c>
      <c r="G17" s="77">
        <f>'GHG detailed, absolute'!G17/Production!$D$30*AF_offal</f>
        <v>0.29509661760728906</v>
      </c>
      <c r="H17" s="77">
        <f>'GHG detailed, absolute'!H17/Production!$D$30*AF_offal</f>
        <v>3.5255510072806209E-2</v>
      </c>
      <c r="I17" s="77">
        <f>'GHG detailed, absolute'!I17/Production!$D$30*AF_offal</f>
        <v>2.1833019968055607E-2</v>
      </c>
      <c r="J17" s="77">
        <f>'GHG detailed, absolute'!J17/Production!$D$30*AF_offal</f>
        <v>0</v>
      </c>
      <c r="K17" s="77"/>
      <c r="L17" s="77">
        <f>'GHG detailed, absolute'!L17/Production!$D$30*AF_offal</f>
        <v>2.3489003499284181E-2</v>
      </c>
      <c r="M17" s="77"/>
      <c r="N17" s="77">
        <f>'GHG detailed, absolute'!N17/Production!$D$30*AF_offal</f>
        <v>1.4833556802749145E-4</v>
      </c>
      <c r="O17" s="77">
        <f>'GHG detailed, absolute'!O17/Production!$D$30*AF_offal</f>
        <v>3.553148368262183E-2</v>
      </c>
      <c r="P17" s="77">
        <f>'GHG detailed, absolute'!P17/Production!$D$30*AF_offal</f>
        <v>3.1590097240426468E-2</v>
      </c>
      <c r="Q17" s="77">
        <f>'GHG detailed, absolute'!Q17/Production!$D$30*AF_offal</f>
        <v>3.3296104994529827E-2</v>
      </c>
      <c r="R17" s="77">
        <f>'GHG detailed, absolute'!R17/Production!$D$30*AF_offal</f>
        <v>3.0109255644791225E-2</v>
      </c>
      <c r="S17" s="78"/>
      <c r="T17" s="79"/>
      <c r="U17" s="80"/>
      <c r="V17" s="80"/>
      <c r="W17" s="78">
        <f>'GHG detailed, absolute'!W17/Production!$D$30*AF_offal</f>
        <v>5.7919093531042985E-2</v>
      </c>
      <c r="X17" s="81">
        <f>'GHG detailed, absolute'!X17/Production!$D$30*AF_offal</f>
        <v>2.5924713405703209E-2</v>
      </c>
      <c r="Z17" s="53"/>
      <c r="AA17" s="53"/>
    </row>
    <row r="18" spans="1:27" x14ac:dyDescent="0.35">
      <c r="A18" s="20" t="s">
        <v>35</v>
      </c>
      <c r="B18" s="20" t="s">
        <v>36</v>
      </c>
      <c r="C18" s="16" t="s">
        <v>37</v>
      </c>
      <c r="D18" s="18" t="s">
        <v>42</v>
      </c>
      <c r="E18" s="18" t="s">
        <v>43</v>
      </c>
      <c r="F18" s="20" t="s">
        <v>130</v>
      </c>
      <c r="G18" s="53">
        <f>'GHG detailed, absolute'!G18/Production!$D$30*AF_offal</f>
        <v>3.9257093336637341E-4</v>
      </c>
      <c r="H18" s="58">
        <f>'GHG detailed, absolute'!H18/Production!$D$30*AF_offal</f>
        <v>1.8162513895128975E-5</v>
      </c>
      <c r="I18" s="58">
        <f>'GHG detailed, absolute'!I18/Production!$D$30*AF_offal</f>
        <v>7.681988507278825E-5</v>
      </c>
      <c r="J18" s="58"/>
      <c r="K18" s="58"/>
      <c r="L18" s="58">
        <f>'GHG detailed, absolute'!L18/Production!$D$30*AF_offal</f>
        <v>1.0404836507915283E-5</v>
      </c>
      <c r="M18" s="58"/>
      <c r="N18" s="58">
        <f>'GHG detailed, absolute'!N18/Production!$D$30*AF_offal</f>
        <v>4.5232723246217235E-7</v>
      </c>
      <c r="O18" s="58">
        <f>'GHG detailed, absolute'!O18/Production!$D$30*AF_offal</f>
        <v>2.5116300074984929E-5</v>
      </c>
      <c r="P18" s="58">
        <f>'GHG detailed, absolute'!P18/Production!$D$30*AF_offal</f>
        <v>0</v>
      </c>
      <c r="Q18" s="58">
        <f>'GHG detailed, absolute'!Q18/Production!$D$30*AF_offal</f>
        <v>6.9593629719102325E-5</v>
      </c>
      <c r="R18" s="58">
        <f>'GHG detailed, absolute'!R18/Production!$D$30*AF_offal</f>
        <v>2.8695667649119498E-5</v>
      </c>
      <c r="W18" s="13">
        <f>'GHG detailed, absolute'!W18/Production!$D$30*AF_offal</f>
        <v>8.0624819669670306E-5</v>
      </c>
      <c r="X18" s="49">
        <f>'GHG detailed, absolute'!X18/Production!$D$30*AF_offal</f>
        <v>8.2700953545201665E-5</v>
      </c>
      <c r="Z18" s="54"/>
      <c r="AA18" s="54"/>
    </row>
    <row r="19" spans="1:27" x14ac:dyDescent="0.35">
      <c r="A19" s="20" t="s">
        <v>35</v>
      </c>
      <c r="B19" s="20" t="s">
        <v>36</v>
      </c>
      <c r="C19" s="16" t="s">
        <v>37</v>
      </c>
      <c r="D19" s="18" t="s">
        <v>42</v>
      </c>
      <c r="E19" s="18" t="s">
        <v>43</v>
      </c>
      <c r="F19" s="20" t="s">
        <v>131</v>
      </c>
      <c r="G19" s="53">
        <f>'GHG detailed, absolute'!G19/Production!$D$30*AF_offal</f>
        <v>8.9783196079746049E-3</v>
      </c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13">
        <f>'GHG detailed, absolute'!S19/Production!$D$30*AF_offal</f>
        <v>1.3317519109252343E-3</v>
      </c>
      <c r="T19" s="51">
        <f>'GHG detailed, absolute'!T19/Production!$D$30*AF_offal</f>
        <v>7.6465676970493687E-3</v>
      </c>
      <c r="U19" s="59">
        <f>'GHG detailed, absolute'!U19/Production!$D$30*AF_offal</f>
        <v>7.6465676970493687E-3</v>
      </c>
      <c r="W19" s="13"/>
      <c r="X19" s="49"/>
      <c r="Z19" s="54"/>
      <c r="AA19" s="54"/>
    </row>
    <row r="20" spans="1:27" ht="15" customHeight="1" x14ac:dyDescent="0.35">
      <c r="A20" s="20" t="s">
        <v>35</v>
      </c>
      <c r="B20" s="20" t="s">
        <v>36</v>
      </c>
      <c r="C20" s="16" t="s">
        <v>37</v>
      </c>
      <c r="D20" s="18" t="s">
        <v>42</v>
      </c>
      <c r="E20" s="18" t="s">
        <v>43</v>
      </c>
      <c r="F20" s="82" t="s">
        <v>132</v>
      </c>
      <c r="G20" s="53">
        <f>'GHG detailed, absolute'!G20/Production!$D$30*AF_offal</f>
        <v>7.0799986390604247E-4</v>
      </c>
      <c r="H20" s="58">
        <f>'GHG detailed, absolute'!H20/Production!$D$30*AF_offal</f>
        <v>2.8640700753164731E-5</v>
      </c>
      <c r="I20" s="54">
        <f>'GHG detailed, absolute'!I20/Production!$D$30*AF_offal</f>
        <v>8.8949340610596914E-7</v>
      </c>
      <c r="J20" s="54">
        <f>'GHG detailed, absolute'!J20/Production!$D$30*AF_offal</f>
        <v>3.7715940149867411E-4</v>
      </c>
      <c r="K20" s="54">
        <f>'GHG detailed, absolute'!K20/Production!$D$30*AF_offal</f>
        <v>3.7715940149867415E-5</v>
      </c>
      <c r="L20" s="54">
        <f>'GHG detailed, absolute'!L20/Production!$D$30*AF_offal</f>
        <v>6.3115868201448557E-7</v>
      </c>
      <c r="M20" s="54"/>
      <c r="N20" s="54">
        <f>'GHG detailed, absolute'!N20/Production!$D$30*AF_offal</f>
        <v>6.3103984095362166E-9</v>
      </c>
      <c r="O20" s="54">
        <f>'GHG detailed, absolute'!O20/Production!$D$30*AF_offal</f>
        <v>1.3193343641209501E-6</v>
      </c>
      <c r="P20" s="54">
        <f>'GHG detailed, absolute'!P20/Production!$D$30*AF_offal</f>
        <v>0</v>
      </c>
      <c r="Q20" s="54">
        <f>'GHG detailed, absolute'!Q20/Production!$D$30*AF_offal</f>
        <v>2.8803204871531784E-6</v>
      </c>
      <c r="R20" s="54">
        <f>'GHG detailed, absolute'!R20/Production!$D$30*AF_offal</f>
        <v>1.0604198657879738E-6</v>
      </c>
      <c r="S20" s="13"/>
      <c r="T20" s="51">
        <f>'GHG detailed, absolute'!T20/Production!$D$30*AF_offal</f>
        <v>2.5268964702421411E-4</v>
      </c>
      <c r="U20" s="83">
        <f>'GHG detailed, absolute'!U20/Production!$D$30*AF_offal</f>
        <v>1.424913434708284E-4</v>
      </c>
      <c r="V20" s="83">
        <f>'GHG detailed, absolute'!V20/Production!$D$30*AF_offal</f>
        <v>1.1019830355338571E-4</v>
      </c>
      <c r="W20" s="13">
        <f>'GHG detailed, absolute'!W20/Production!$D$30*AF_offal</f>
        <v>4.0053968612498444E-6</v>
      </c>
      <c r="X20" s="49">
        <f>'GHG detailed, absolute'!X20/Production!$D$30*AF_offal</f>
        <v>1.0017404152801189E-6</v>
      </c>
      <c r="Z20" s="54"/>
      <c r="AA20" s="54"/>
    </row>
    <row r="21" spans="1:27" ht="15" customHeight="1" x14ac:dyDescent="0.35">
      <c r="A21" s="84" t="s">
        <v>35</v>
      </c>
      <c r="B21" s="84" t="s">
        <v>36</v>
      </c>
      <c r="C21" s="85" t="s">
        <v>37</v>
      </c>
      <c r="D21" s="86" t="s">
        <v>42</v>
      </c>
      <c r="E21" s="86" t="s">
        <v>43</v>
      </c>
      <c r="F21" s="87" t="s">
        <v>133</v>
      </c>
      <c r="G21" s="88">
        <f>'GHG detailed, absolute'!G21/Production!$D$30*AF_offal</f>
        <v>0.74249382368327066</v>
      </c>
      <c r="H21" s="89">
        <f>'GHG detailed, absolute'!H21/Production!$D$30*AF_offal</f>
        <v>4.3615664292495027E-2</v>
      </c>
      <c r="I21" s="89">
        <f>'GHG detailed, absolute'!I21/Production!$D$30*AF_offal</f>
        <v>2.4365084243091625E-2</v>
      </c>
      <c r="J21" s="89">
        <f>'GHG detailed, absolute'!J21/Production!$D$30*AF_offal</f>
        <v>0.10296451660913805</v>
      </c>
      <c r="K21" s="89">
        <f>'GHG detailed, absolute'!K21/Production!$D$30*AF_offal</f>
        <v>1.0296451660913804E-2</v>
      </c>
      <c r="L21" s="89">
        <f>'GHG detailed, absolute'!L21/Production!$D$30*AF_offal</f>
        <v>2.3971373947410012E-2</v>
      </c>
      <c r="M21" s="89">
        <f>'GHG detailed, absolute'!M21/Production!$D$30*AF_offal</f>
        <v>0</v>
      </c>
      <c r="N21" s="89">
        <f>'GHG detailed, absolute'!N21/Production!$D$30*AF_offal</f>
        <v>1.6353765832066757E-4</v>
      </c>
      <c r="O21" s="89">
        <f>'GHG detailed, absolute'!O21/Production!$D$30*AF_offal</f>
        <v>3.6640127706261405E-2</v>
      </c>
      <c r="P21" s="89">
        <f>'GHG detailed, absolute'!P21/Production!$D$30*AF_offal</f>
        <v>3.1590097240426468E-2</v>
      </c>
      <c r="Q21" s="89">
        <f>'GHG detailed, absolute'!Q21/Production!$D$30*AF_offal</f>
        <v>3.6156322653151898E-2</v>
      </c>
      <c r="R21" s="89">
        <f>'GHG detailed, absolute'!R21/Production!$D$30*AF_offal</f>
        <v>3.1253881164095103E-2</v>
      </c>
      <c r="S21" s="89">
        <f>'GHG detailed, absolute'!S21/Production!$D$30*AF_offal</f>
        <v>3.5957301594981325E-2</v>
      </c>
      <c r="T21" s="89">
        <f>'GHG detailed, absolute'!T21/Production!$D$30*AF_offal</f>
        <v>0.27544160145794344</v>
      </c>
      <c r="U21" s="89"/>
      <c r="V21" s="89"/>
      <c r="W21" s="89">
        <f>'GHG detailed, absolute'!W21/Production!$D$30*AF_offal</f>
        <v>6.1415186500320372E-2</v>
      </c>
      <c r="X21" s="89">
        <f>'GHG detailed, absolute'!X21/Production!$D$30*AF_offal</f>
        <v>2.8662676954721689E-2</v>
      </c>
      <c r="Z21" s="90">
        <f>'GHG detailed, absolute'!Z21/Production!$D$30*AF_offal</f>
        <v>0.34101705717530406</v>
      </c>
      <c r="AA21" s="91">
        <f>'GHG detailed, absolute'!AA21/Production!$D$30*AF_offal</f>
        <v>2.3321446210711249E-5</v>
      </c>
    </row>
    <row r="22" spans="1:27" ht="15" customHeight="1" x14ac:dyDescent="0.35">
      <c r="A22" s="20" t="s">
        <v>35</v>
      </c>
      <c r="B22" s="20" t="s">
        <v>36</v>
      </c>
      <c r="C22" s="16" t="s">
        <v>37</v>
      </c>
      <c r="D22" s="18" t="s">
        <v>44</v>
      </c>
      <c r="E22" s="18" t="s">
        <v>45</v>
      </c>
      <c r="F22" s="92" t="s">
        <v>129</v>
      </c>
      <c r="G22" s="77">
        <f>'GHG detailed, absolute'!G22/Production!$E$30*AF_offal</f>
        <v>0.34526088243538688</v>
      </c>
      <c r="H22" s="77">
        <f>'GHG detailed, absolute'!H22/Production!$E$30*AF_offal</f>
        <v>3.5242633462435349E-2</v>
      </c>
      <c r="I22" s="77">
        <f>'GHG detailed, absolute'!I22/Production!$E$30*AF_offal</f>
        <v>1.921078520662035E-2</v>
      </c>
      <c r="J22" s="77">
        <f>'GHG detailed, absolute'!J22/Production!$E$30*AF_offal</f>
        <v>0</v>
      </c>
      <c r="K22" s="77"/>
      <c r="L22" s="77">
        <f>'GHG detailed, absolute'!L22/Production!$E$30*AF_offal</f>
        <v>3.6278795056414452E-2</v>
      </c>
      <c r="M22" s="77"/>
      <c r="N22" s="77">
        <f>'GHG detailed, absolute'!N22/Production!$E$30*AF_offal</f>
        <v>5.8096675070726635E-3</v>
      </c>
      <c r="O22" s="77">
        <f>'GHG detailed, absolute'!O22/Production!$E$30*AF_offal</f>
        <v>3.2190392476855109E-2</v>
      </c>
      <c r="P22" s="77">
        <f>'GHG detailed, absolute'!P22/Production!$E$30*AF_offal</f>
        <v>3.7867172605540567E-2</v>
      </c>
      <c r="Q22" s="77">
        <f>'GHG detailed, absolute'!Q22/Production!$E$30*AF_offal</f>
        <v>4.3483264403504945E-2</v>
      </c>
      <c r="R22" s="77">
        <f>'GHG detailed, absolute'!R22/Production!$E$30*AF_offal</f>
        <v>3.3045230084133723E-2</v>
      </c>
      <c r="S22" s="78"/>
      <c r="T22" s="79"/>
      <c r="U22" s="80"/>
      <c r="V22" s="80"/>
      <c r="W22" s="78">
        <f>'GHG detailed, absolute'!W22/Production!$E$30*AF_offal</f>
        <v>7.2247072128551831E-2</v>
      </c>
      <c r="X22" s="81">
        <f>'GHG detailed, absolute'!X22/Production!$E$30*AF_offal</f>
        <v>2.9885869504257912E-2</v>
      </c>
      <c r="Z22" s="53"/>
      <c r="AA22" s="53"/>
    </row>
    <row r="23" spans="1:27" x14ac:dyDescent="0.35">
      <c r="A23" s="20" t="s">
        <v>35</v>
      </c>
      <c r="B23" s="20" t="s">
        <v>36</v>
      </c>
      <c r="C23" s="16" t="s">
        <v>37</v>
      </c>
      <c r="D23" s="18" t="s">
        <v>44</v>
      </c>
      <c r="E23" s="18" t="s">
        <v>45</v>
      </c>
      <c r="F23" s="20" t="s">
        <v>130</v>
      </c>
      <c r="G23" s="53">
        <f>'GHG detailed, absolute'!G23/Production!$E$30*AF_offal</f>
        <v>6.4371512310377468E-4</v>
      </c>
      <c r="H23" s="58">
        <f>'GHG detailed, absolute'!H23/Production!$E$30*AF_offal</f>
        <v>5.8823794723251512E-6</v>
      </c>
      <c r="I23" s="58">
        <f>'GHG detailed, absolute'!I23/Production!$E$30*AF_offal</f>
        <v>6.759350350477531E-5</v>
      </c>
      <c r="J23" s="58"/>
      <c r="K23" s="58"/>
      <c r="L23" s="58">
        <f>'GHG detailed, absolute'!L23/Production!$E$30*AF_offal</f>
        <v>1.6070282899726272E-5</v>
      </c>
      <c r="M23" s="58"/>
      <c r="N23" s="58">
        <f>'GHG detailed, absolute'!N23/Production!$E$30*AF_offal</f>
        <v>1.7174773434160405E-5</v>
      </c>
      <c r="O23" s="58">
        <f>'GHG detailed, absolute'!O23/Production!$E$30*AF_offal</f>
        <v>2.6189620750317183E-5</v>
      </c>
      <c r="P23" s="58">
        <f>'GHG detailed, absolute'!P23/Production!$E$30*AF_offal</f>
        <v>0</v>
      </c>
      <c r="Q23" s="58">
        <f>'GHG detailed, absolute'!Q23/Production!$E$30*AF_offal</f>
        <v>2.8100455754284735E-4</v>
      </c>
      <c r="R23" s="58">
        <f>'GHG detailed, absolute'!R23/Production!$E$30*AF_offal</f>
        <v>2.8020580343702249E-5</v>
      </c>
      <c r="W23" s="13">
        <f>'GHG detailed, absolute'!W23/Production!$E$30*AF_offal</f>
        <v>1.1137004241245273E-4</v>
      </c>
      <c r="X23" s="49">
        <f>'GHG detailed, absolute'!X23/Production!$E$30*AF_offal</f>
        <v>9.0409382743468058E-5</v>
      </c>
      <c r="Z23" s="54"/>
      <c r="AA23" s="54"/>
    </row>
    <row r="24" spans="1:27" x14ac:dyDescent="0.35">
      <c r="A24" s="20" t="s">
        <v>35</v>
      </c>
      <c r="B24" s="20" t="s">
        <v>36</v>
      </c>
      <c r="C24" s="16" t="s">
        <v>37</v>
      </c>
      <c r="D24" s="18" t="s">
        <v>44</v>
      </c>
      <c r="E24" s="18" t="s">
        <v>45</v>
      </c>
      <c r="F24" s="20" t="s">
        <v>131</v>
      </c>
      <c r="G24" s="53">
        <f>'GHG detailed, absolute'!G24/Production!$E$30*AF_offal</f>
        <v>2.3251799113737148E-2</v>
      </c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13">
        <f>'GHG detailed, absolute'!S24/Production!$E$30*AF_offal</f>
        <v>1.336079595071064E-3</v>
      </c>
      <c r="T24" s="51">
        <f>'GHG detailed, absolute'!T24/Production!$E$30*AF_offal</f>
        <v>2.1915719518666082E-2</v>
      </c>
      <c r="U24" s="59">
        <f>'GHG detailed, absolute'!U24/Production!$E$30*AF_offal</f>
        <v>2.1915719518666082E-2</v>
      </c>
      <c r="W24" s="13"/>
      <c r="X24" s="49"/>
      <c r="Z24" s="54"/>
      <c r="AA24" s="54"/>
    </row>
    <row r="25" spans="1:27" ht="15" customHeight="1" x14ac:dyDescent="0.35">
      <c r="A25" s="20" t="s">
        <v>35</v>
      </c>
      <c r="B25" s="20" t="s">
        <v>36</v>
      </c>
      <c r="C25" s="16" t="s">
        <v>37</v>
      </c>
      <c r="D25" s="18" t="s">
        <v>44</v>
      </c>
      <c r="E25" s="18" t="s">
        <v>45</v>
      </c>
      <c r="F25" s="82" t="s">
        <v>132</v>
      </c>
      <c r="G25" s="53">
        <f>'GHG detailed, absolute'!G25/Production!$E$30*AF_offal</f>
        <v>6.8132730787709872E-4</v>
      </c>
      <c r="H25" s="58">
        <f>'GHG detailed, absolute'!H25/Production!$E$30*AF_offal</f>
        <v>9.5695324525587597E-6</v>
      </c>
      <c r="I25" s="54">
        <f>'GHG detailed, absolute'!I25/Production!$E$30*AF_offal</f>
        <v>7.8266161952897731E-7</v>
      </c>
      <c r="J25" s="54">
        <f>'GHG detailed, absolute'!J25/Production!$E$30*AF_offal</f>
        <v>3.4899519553603084E-4</v>
      </c>
      <c r="K25" s="54">
        <f>'GHG detailed, absolute'!K25/Production!$E$30*AF_offal</f>
        <v>3.4899519553603088E-5</v>
      </c>
      <c r="L25" s="54">
        <f>'GHG detailed, absolute'!L25/Production!$E$30*AF_offal</f>
        <v>9.7482536769079981E-7</v>
      </c>
      <c r="M25" s="54"/>
      <c r="N25" s="54">
        <f>'GHG detailed, absolute'!N25/Production!$E$30*AF_offal</f>
        <v>2.4968343017494015E-7</v>
      </c>
      <c r="O25" s="54">
        <f>'GHG detailed, absolute'!O25/Production!$E$30*AF_offal</f>
        <v>1.13702400941716E-6</v>
      </c>
      <c r="P25" s="54">
        <f>'GHG detailed, absolute'!P25/Production!$E$30*AF_offal</f>
        <v>0</v>
      </c>
      <c r="Q25" s="54">
        <f>'GHG detailed, absolute'!Q25/Production!$E$30*AF_offal</f>
        <v>6.0802438654615457E-6</v>
      </c>
      <c r="R25" s="54">
        <f>'GHG detailed, absolute'!R25/Production!$E$30*AF_offal</f>
        <v>1.3635730377139587E-6</v>
      </c>
      <c r="S25" s="13"/>
      <c r="T25" s="51">
        <f>'GHG detailed, absolute'!T25/Production!$E$30*AF_offal</f>
        <v>2.7213203054128387E-4</v>
      </c>
      <c r="U25" s="83">
        <f>'GHG detailed, absolute'!U25/Production!$E$30*AF_offal</f>
        <v>1.5307571670570574E-4</v>
      </c>
      <c r="V25" s="83">
        <f>'GHG detailed, absolute'!V25/Production!$E$30*AF_offal</f>
        <v>1.1905631383557812E-4</v>
      </c>
      <c r="W25" s="13">
        <f>'GHG detailed, absolute'!W25/Production!$E$30*AF_offal</f>
        <v>4.1410274177326967E-6</v>
      </c>
      <c r="X25" s="49">
        <f>'GHG detailed, absolute'!X25/Production!$E$30*AF_offal</f>
        <v>1.0019910459022001E-6</v>
      </c>
      <c r="Z25" s="54"/>
      <c r="AA25" s="54"/>
    </row>
    <row r="26" spans="1:27" ht="15" customHeight="1" x14ac:dyDescent="0.35">
      <c r="A26" s="84" t="s">
        <v>35</v>
      </c>
      <c r="B26" s="84" t="s">
        <v>36</v>
      </c>
      <c r="C26" s="85" t="s">
        <v>37</v>
      </c>
      <c r="D26" s="93" t="s">
        <v>44</v>
      </c>
      <c r="E26" s="93" t="s">
        <v>45</v>
      </c>
      <c r="F26" s="87" t="s">
        <v>133</v>
      </c>
      <c r="G26" s="88">
        <f>'GHG detailed, absolute'!G26/Production!$E$30*AF_offal</f>
        <v>1.1782445242252302</v>
      </c>
      <c r="H26" s="89">
        <f>'GHG detailed, absolute'!H26/Production!$E$30*AF_offal</f>
        <v>3.803041073025918E-2</v>
      </c>
      <c r="I26" s="89">
        <f>'GHG detailed, absolute'!I26/Production!$E$30*AF_offal</f>
        <v>2.1438738233194067E-2</v>
      </c>
      <c r="J26" s="89">
        <f>'GHG detailed, absolute'!J26/Production!$E$30*AF_offal</f>
        <v>9.5275688381336432E-2</v>
      </c>
      <c r="K26" s="89">
        <f>'GHG detailed, absolute'!K26/Production!$E$30*AF_offal</f>
        <v>9.5275688381336442E-3</v>
      </c>
      <c r="L26" s="89">
        <f>'GHG detailed, absolute'!L26/Production!$E$30*AF_offal</f>
        <v>3.702381681220588E-2</v>
      </c>
      <c r="M26" s="89">
        <f>'GHG detailed, absolute'!M26/Production!$E$30*AF_offal</f>
        <v>0</v>
      </c>
      <c r="N26" s="89">
        <f>'GHG detailed, absolute'!N26/Production!$E$30*AF_offal</f>
        <v>6.3896393318484028E-3</v>
      </c>
      <c r="O26" s="89">
        <f>'GHG detailed, absolute'!O26/Production!$E$30*AF_offal</f>
        <v>3.3281250729785453E-2</v>
      </c>
      <c r="P26" s="89">
        <f>'GHG detailed, absolute'!P26/Production!$E$30*AF_offal</f>
        <v>3.7867172605540567E-2</v>
      </c>
      <c r="Q26" s="89">
        <f>'GHG detailed, absolute'!Q26/Production!$E$30*AF_offal</f>
        <v>5.3517106793552802E-2</v>
      </c>
      <c r="R26" s="89">
        <f>'GHG detailed, absolute'!R26/Production!$E$30*AF_offal</f>
        <v>3.4252498817671957E-2</v>
      </c>
      <c r="S26" s="89">
        <f>'GHG detailed, absolute'!S26/Production!$E$30*AF_offal</f>
        <v>3.6074149066918727E-2</v>
      </c>
      <c r="T26" s="89">
        <f>'GHG detailed, absolute'!T26/Production!$E$30*AF_offal</f>
        <v>0.66601647134175468</v>
      </c>
      <c r="U26" s="89"/>
      <c r="V26" s="89"/>
      <c r="W26" s="89">
        <f>'GHG detailed, absolute'!W26/Production!$E$30*AF_offal</f>
        <v>7.6696399877483945E-2</v>
      </c>
      <c r="X26" s="89">
        <f>'GHG detailed, absolute'!X26/Production!$E$30*AF_offal</f>
        <v>3.2853612665544561E-2</v>
      </c>
      <c r="Z26" s="90">
        <f>'GHG detailed, absolute'!Z26/Production!$E$30*AF_offal</f>
        <v>0.36660389127352844</v>
      </c>
      <c r="AA26" s="91">
        <f>'GHG detailed, absolute'!AA26/Production!$E$30*AF_offal</f>
        <v>3.6958778546907736E-5</v>
      </c>
    </row>
    <row r="27" spans="1:27" ht="15" customHeight="1" x14ac:dyDescent="0.35">
      <c r="A27" s="73" t="s">
        <v>35</v>
      </c>
      <c r="B27" s="73" t="s">
        <v>36</v>
      </c>
      <c r="C27" s="74" t="s">
        <v>37</v>
      </c>
      <c r="D27" s="75" t="s">
        <v>82</v>
      </c>
      <c r="E27" s="75" t="s">
        <v>47</v>
      </c>
      <c r="F27" s="76" t="s">
        <v>129</v>
      </c>
      <c r="G27" s="77">
        <f>'GHG detailed, absolute'!G27/Production!$F$30*AF_offal</f>
        <v>0.29524596611570086</v>
      </c>
      <c r="H27" s="77">
        <f>'GHG detailed, absolute'!H27/Production!$F$30*AF_offal</f>
        <v>3.9247105557098677E-2</v>
      </c>
      <c r="I27" s="77">
        <f>'GHG detailed, absolute'!I27/Production!$F$30*AF_offal</f>
        <v>2.178431261652759E-2</v>
      </c>
      <c r="J27" s="77">
        <f>'GHG detailed, absolute'!J27/Production!$F$30*AF_offal</f>
        <v>0</v>
      </c>
      <c r="K27" s="77"/>
      <c r="L27" s="77">
        <f>'GHG detailed, absolute'!L27/Production!$F$30*AF_offal</f>
        <v>2.8971423350467349E-2</v>
      </c>
      <c r="M27" s="77"/>
      <c r="N27" s="77">
        <f>'GHG detailed, absolute'!N27/Production!$F$30*AF_offal</f>
        <v>7.059925555156205E-4</v>
      </c>
      <c r="O27" s="77">
        <f>'GHG detailed, absolute'!O27/Production!$F$30*AF_offal</f>
        <v>3.3599575584513965E-2</v>
      </c>
      <c r="P27" s="77">
        <f>'GHG detailed, absolute'!P27/Production!$F$30*AF_offal</f>
        <v>3.5708691142424684E-2</v>
      </c>
      <c r="Q27" s="77">
        <f>'GHG detailed, absolute'!Q27/Production!$F$30*AF_offal</f>
        <v>3.1212453741798901E-2</v>
      </c>
      <c r="R27" s="77">
        <f>'GHG detailed, absolute'!R27/Production!$F$30*AF_offal</f>
        <v>2.3927018321271365E-2</v>
      </c>
      <c r="S27" s="78"/>
      <c r="T27" s="79"/>
      <c r="U27" s="80"/>
      <c r="V27" s="80"/>
      <c r="W27" s="78">
        <f>'GHG detailed, absolute'!W27/Production!$F$30*AF_offal</f>
        <v>5.6940179065254219E-2</v>
      </c>
      <c r="X27" s="81">
        <f>'GHG detailed, absolute'!X27/Production!$F$30*AF_offal</f>
        <v>2.3149214180828524E-2</v>
      </c>
      <c r="Z27" s="53"/>
      <c r="AA27" s="53"/>
    </row>
    <row r="28" spans="1:27" x14ac:dyDescent="0.35">
      <c r="A28" s="20" t="s">
        <v>35</v>
      </c>
      <c r="B28" s="20" t="s">
        <v>36</v>
      </c>
      <c r="C28" s="16" t="s">
        <v>37</v>
      </c>
      <c r="D28" s="18" t="s">
        <v>82</v>
      </c>
      <c r="E28" s="18" t="s">
        <v>47</v>
      </c>
      <c r="F28" s="20" t="s">
        <v>130</v>
      </c>
      <c r="G28" s="53">
        <f>'GHG detailed, absolute'!G28/Production!$F$30*AF_offal</f>
        <v>4.4403665370031559E-4</v>
      </c>
      <c r="H28" s="58">
        <f>'GHG detailed, absolute'!H28/Production!$F$30*AF_offal</f>
        <v>3.3962582050402746E-6</v>
      </c>
      <c r="I28" s="58">
        <f>'GHG detailed, absolute'!I28/Production!$F$30*AF_offal</f>
        <v>7.6648507354448915E-5</v>
      </c>
      <c r="J28" s="58"/>
      <c r="K28" s="58"/>
      <c r="L28" s="58">
        <f>'GHG detailed, absolute'!L28/Production!$F$30*AF_offal</f>
        <v>1.2833363636409601E-5</v>
      </c>
      <c r="M28" s="58"/>
      <c r="N28" s="58">
        <f>'GHG detailed, absolute'!N28/Production!$F$30*AF_offal</f>
        <v>2.0938212652679133E-6</v>
      </c>
      <c r="O28" s="58">
        <f>'GHG detailed, absolute'!O28/Production!$F$30*AF_offal</f>
        <v>2.7534091951456006E-5</v>
      </c>
      <c r="P28" s="58">
        <f>'GHG detailed, absolute'!P28/Production!$F$30*AF_offal</f>
        <v>0</v>
      </c>
      <c r="Q28" s="58">
        <f>'GHG detailed, absolute'!Q28/Production!$F$30*AF_offal</f>
        <v>1.2044223349367722E-4</v>
      </c>
      <c r="R28" s="58">
        <f>'GHG detailed, absolute'!R28/Production!$F$30*AF_offal</f>
        <v>2.0053348713277186E-5</v>
      </c>
      <c r="W28" s="13">
        <f>'GHG detailed, absolute'!W28/Production!$F$30*AF_offal</f>
        <v>9.929702936926312E-5</v>
      </c>
      <c r="X28" s="49">
        <f>'GHG detailed, absolute'!X28/Production!$F$30*AF_offal</f>
        <v>8.1737999711475339E-5</v>
      </c>
      <c r="Z28" s="54"/>
      <c r="AA28" s="54"/>
    </row>
    <row r="29" spans="1:27" x14ac:dyDescent="0.35">
      <c r="A29" s="20" t="s">
        <v>35</v>
      </c>
      <c r="B29" s="20" t="s">
        <v>36</v>
      </c>
      <c r="C29" s="16" t="s">
        <v>37</v>
      </c>
      <c r="D29" s="18" t="s">
        <v>82</v>
      </c>
      <c r="E29" s="18" t="s">
        <v>47</v>
      </c>
      <c r="F29" s="20" t="s">
        <v>131</v>
      </c>
      <c r="G29" s="53">
        <f>'GHG detailed, absolute'!G29/Production!$F$30*AF_offal</f>
        <v>6.9904380293181823E-3</v>
      </c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13">
        <f>'GHG detailed, absolute'!S29/Production!$F$30*AF_offal</f>
        <v>1.3339017104204659E-3</v>
      </c>
      <c r="T29" s="51">
        <f>'GHG detailed, absolute'!T29/Production!$F$30*AF_offal</f>
        <v>5.6565363188977157E-3</v>
      </c>
      <c r="U29" s="59">
        <f>'GHG detailed, absolute'!U29/Production!$F$30*AF_offal</f>
        <v>5.6565363188977157E-3</v>
      </c>
      <c r="W29" s="13"/>
      <c r="X29" s="49"/>
      <c r="Z29" s="54"/>
      <c r="AA29" s="54"/>
    </row>
    <row r="30" spans="1:27" ht="15" customHeight="1" x14ac:dyDescent="0.35">
      <c r="A30" s="20" t="s">
        <v>35</v>
      </c>
      <c r="B30" s="20" t="s">
        <v>36</v>
      </c>
      <c r="C30" s="16" t="s">
        <v>37</v>
      </c>
      <c r="D30" s="18" t="s">
        <v>82</v>
      </c>
      <c r="E30" s="18" t="s">
        <v>47</v>
      </c>
      <c r="F30" s="82" t="s">
        <v>132</v>
      </c>
      <c r="G30" s="53">
        <f>'GHG detailed, absolute'!G30/Production!$F$30*AF_offal</f>
        <v>6.8698227261985794E-4</v>
      </c>
      <c r="H30" s="58">
        <f>'GHG detailed, absolute'!H30/Production!$F$30*AF_offal</f>
        <v>1.8279073082958914E-5</v>
      </c>
      <c r="I30" s="54">
        <f>'GHG detailed, absolute'!I30/Production!$F$30*AF_offal</f>
        <v>8.8750903252519793E-7</v>
      </c>
      <c r="J30" s="54">
        <f>'GHG detailed, absolute'!J30/Production!$F$30*AF_offal</f>
        <v>4.2795499971630201E-4</v>
      </c>
      <c r="K30" s="54">
        <f>'GHG detailed, absolute'!K30/Production!$F$30*AF_offal</f>
        <v>4.2795499971630204E-5</v>
      </c>
      <c r="L30" s="54">
        <f>'GHG detailed, absolute'!L30/Production!$F$30*AF_offal</f>
        <v>7.7847344092404364E-7</v>
      </c>
      <c r="M30" s="54"/>
      <c r="N30" s="54">
        <f>'GHG detailed, absolute'!N30/Production!$F$30*AF_offal</f>
        <v>3.0310066685646369E-8</v>
      </c>
      <c r="O30" s="54">
        <f>'GHG detailed, absolute'!O30/Production!$F$30*AF_offal</f>
        <v>1.191507023594519E-6</v>
      </c>
      <c r="P30" s="54">
        <f>'GHG detailed, absolute'!P30/Production!$F$30*AF_offal</f>
        <v>0</v>
      </c>
      <c r="Q30" s="54">
        <f>'GHG detailed, absolute'!Q30/Production!$F$30*AF_offal</f>
        <v>2.7781034770595692E-6</v>
      </c>
      <c r="R30" s="54">
        <f>'GHG detailed, absolute'!R30/Production!$F$30*AF_offal</f>
        <v>8.7365170731813079E-7</v>
      </c>
      <c r="S30" s="13"/>
      <c r="T30" s="51">
        <f>'GHG detailed, absolute'!T30/Production!$F$30*AF_offal</f>
        <v>1.8698267480141891E-4</v>
      </c>
      <c r="U30" s="83">
        <f>'GHG detailed, absolute'!U30/Production!$F$30*AF_offal</f>
        <v>1.0594619825787379E-4</v>
      </c>
      <c r="V30" s="83">
        <f>'GHG detailed, absolute'!V30/Production!$F$30*AF_offal</f>
        <v>8.1036476543545118E-5</v>
      </c>
      <c r="W30" s="13">
        <f>'GHG detailed, absolute'!W30/Production!$F$30*AF_offal</f>
        <v>3.6519013033097154E-6</v>
      </c>
      <c r="X30" s="49">
        <f>'GHG detailed, absolute'!X30/Production!$F$30*AF_offal</f>
        <v>7.7856899613110146E-7</v>
      </c>
      <c r="Z30" s="54"/>
      <c r="AA30" s="54"/>
    </row>
    <row r="31" spans="1:27" ht="15" customHeight="1" x14ac:dyDescent="0.35">
      <c r="A31" s="84" t="s">
        <v>35</v>
      </c>
      <c r="B31" s="84" t="s">
        <v>36</v>
      </c>
      <c r="C31" s="85" t="s">
        <v>37</v>
      </c>
      <c r="D31" s="86" t="s">
        <v>82</v>
      </c>
      <c r="E31" s="86" t="s">
        <v>47</v>
      </c>
      <c r="F31" s="87" t="s">
        <v>133</v>
      </c>
      <c r="G31" s="88">
        <f>'GHG detailed, absolute'!G31/Production!$F$30*AF_offal</f>
        <v>0.68476624561278254</v>
      </c>
      <c r="H31" s="89">
        <f>'GHG detailed, absolute'!H31/Production!$F$30*AF_offal</f>
        <v>4.4338501003256661E-2</v>
      </c>
      <c r="I31" s="89">
        <f>'GHG detailed, absolute'!I31/Production!$F$30*AF_offal</f>
        <v>2.4310728101569545E-2</v>
      </c>
      <c r="J31" s="89">
        <f>'GHG detailed, absolute'!J31/Production!$F$30*AF_offal</f>
        <v>0.11683171492255046</v>
      </c>
      <c r="K31" s="89">
        <f>'GHG detailed, absolute'!K31/Production!$F$30*AF_offal</f>
        <v>1.1683171492255045E-2</v>
      </c>
      <c r="L31" s="89">
        <f>'GHG detailed, absolute'!L31/Production!$F$30*AF_offal</f>
        <v>2.9566380836204616E-2</v>
      </c>
      <c r="M31" s="89">
        <f>'GHG detailed, absolute'!M31/Production!$F$30*AF_offal</f>
        <v>0</v>
      </c>
      <c r="N31" s="89">
        <f>'GHG detailed, absolute'!N31/Production!$F$30*AF_offal</f>
        <v>7.7666307742578565E-4</v>
      </c>
      <c r="O31" s="89">
        <f>'GHG detailed, absolute'!O31/Production!$F$30*AF_offal</f>
        <v>3.4745372942108659E-2</v>
      </c>
      <c r="P31" s="89">
        <f>'GHG detailed, absolute'!P31/Production!$F$30*AF_offal</f>
        <v>3.5708691142424684E-2</v>
      </c>
      <c r="Q31" s="89">
        <f>'GHG detailed, absolute'!Q31/Production!$F$30*AF_offal</f>
        <v>3.5560054549147742E-2</v>
      </c>
      <c r="R31" s="89">
        <f>'GHG detailed, absolute'!R31/Production!$F$30*AF_offal</f>
        <v>2.4763115029024875E-2</v>
      </c>
      <c r="S31" s="89">
        <f>'GHG detailed, absolute'!S31/Production!$F$30*AF_offal</f>
        <v>3.6015346181352575E-2</v>
      </c>
      <c r="T31" s="89">
        <f>'GHG detailed, absolute'!T31/Production!$F$30*AF_offal</f>
        <v>0.20377275083102572</v>
      </c>
      <c r="U31" s="89"/>
      <c r="V31" s="89"/>
      <c r="W31" s="89">
        <f>'GHG detailed, absolute'!W31/Production!$F$30*AF_offal</f>
        <v>6.0896199596261809E-2</v>
      </c>
      <c r="X31" s="89">
        <f>'GHG detailed, absolute'!X31/Production!$F$30*AF_offal</f>
        <v>2.5797555908174279E-2</v>
      </c>
      <c r="Z31" s="90">
        <f>'GHG detailed, absolute'!Z31/Production!$F$30*AF_offal</f>
        <v>0.35828439309596816</v>
      </c>
      <c r="AA31" s="91">
        <f>'GHG detailed, absolute'!AA31/Production!$F$30*AF_offal</f>
        <v>2.4544033803537288E-5</v>
      </c>
    </row>
    <row r="32" spans="1:27" ht="15" customHeight="1" x14ac:dyDescent="0.35">
      <c r="A32" s="73" t="s">
        <v>35</v>
      </c>
      <c r="B32" s="73" t="s">
        <v>36</v>
      </c>
      <c r="C32" s="74" t="s">
        <v>37</v>
      </c>
      <c r="D32" s="75" t="s">
        <v>134</v>
      </c>
      <c r="E32" s="75" t="s">
        <v>49</v>
      </c>
      <c r="F32" s="76" t="s">
        <v>129</v>
      </c>
      <c r="G32" s="77">
        <f>'GHG detailed, absolute'!G32/Production!$G$30*AF_offal</f>
        <v>0.27916048850913028</v>
      </c>
      <c r="H32" s="77">
        <f>'GHG detailed, absolute'!H32/Production!$G$30*AF_offal</f>
        <v>2.6318877739360813E-2</v>
      </c>
      <c r="I32" s="77">
        <f>'GHG detailed, absolute'!I32/Production!$G$30*AF_offal</f>
        <v>2.0726079653418533E-2</v>
      </c>
      <c r="J32" s="77">
        <f>'GHG detailed, absolute'!J32/Production!$G$30*AF_offal</f>
        <v>0</v>
      </c>
      <c r="K32" s="77"/>
      <c r="L32" s="77">
        <f>'GHG detailed, absolute'!L32/Production!$G$30*AF_offal</f>
        <v>2.2677914108370365E-2</v>
      </c>
      <c r="M32" s="77"/>
      <c r="N32" s="77">
        <f>'GHG detailed, absolute'!N32/Production!$G$30*AF_offal</f>
        <v>3.4457102216139133E-4</v>
      </c>
      <c r="O32" s="77">
        <f>'GHG detailed, absolute'!O32/Production!$G$30*AF_offal</f>
        <v>3.1673698620018099E-2</v>
      </c>
      <c r="P32" s="77">
        <f>'GHG detailed, absolute'!P32/Production!$G$30*AF_offal</f>
        <v>3.8589919889372666E-2</v>
      </c>
      <c r="Q32" s="77">
        <f>'GHG detailed, absolute'!Q32/Production!$G$30*AF_offal</f>
        <v>2.9019304155391074E-2</v>
      </c>
      <c r="R32" s="77">
        <f>'GHG detailed, absolute'!R32/Production!$G$30*AF_offal</f>
        <v>3.4303242464883789E-2</v>
      </c>
      <c r="S32" s="78"/>
      <c r="T32" s="79"/>
      <c r="U32" s="80"/>
      <c r="V32" s="80"/>
      <c r="W32" s="78">
        <f>'GHG detailed, absolute'!W32/Production!$G$30*AF_offal</f>
        <v>5.2642226532156451E-2</v>
      </c>
      <c r="X32" s="81">
        <f>'GHG detailed, absolute'!X32/Production!$G$30*AF_offal</f>
        <v>2.2864654323997119E-2</v>
      </c>
      <c r="Z32" s="53"/>
      <c r="AA32" s="53"/>
    </row>
    <row r="33" spans="1:27" x14ac:dyDescent="0.35">
      <c r="A33" s="20" t="s">
        <v>35</v>
      </c>
      <c r="B33" s="20" t="s">
        <v>36</v>
      </c>
      <c r="C33" s="16" t="s">
        <v>37</v>
      </c>
      <c r="D33" s="18" t="s">
        <v>134</v>
      </c>
      <c r="E33" s="18" t="s">
        <v>49</v>
      </c>
      <c r="F33" s="20" t="s">
        <v>130</v>
      </c>
      <c r="G33" s="53">
        <f>'GHG detailed, absolute'!G33/Production!$G$30*AF_offal</f>
        <v>3.2589575149438233E-4</v>
      </c>
      <c r="H33" s="58">
        <f>'GHG detailed, absolute'!H33/Production!$G$30*AF_offal</f>
        <v>1.3896506887318098E-5</v>
      </c>
      <c r="I33" s="58">
        <f>'GHG detailed, absolute'!I33/Production!$G$30*AF_offal</f>
        <v>7.2925095076842975E-5</v>
      </c>
      <c r="J33" s="58"/>
      <c r="K33" s="58"/>
      <c r="L33" s="58">
        <f>'GHG detailed, absolute'!L33/Production!$G$30*AF_offal</f>
        <v>1.0045551257435402E-5</v>
      </c>
      <c r="M33" s="58"/>
      <c r="N33" s="58">
        <f>'GHG detailed, absolute'!N33/Production!$G$30*AF_offal</f>
        <v>1.031921008128673E-6</v>
      </c>
      <c r="O33" s="58">
        <f>'GHG detailed, absolute'!O33/Production!$G$30*AF_offal</f>
        <v>1.7408021042017568E-5</v>
      </c>
      <c r="P33" s="58">
        <f>'GHG detailed, absolute'!P33/Production!$G$30*AF_offal</f>
        <v>0</v>
      </c>
      <c r="Q33" s="58">
        <f>'GHG detailed, absolute'!Q33/Production!$G$30*AF_offal</f>
        <v>6.8259519698352886E-5</v>
      </c>
      <c r="R33" s="58">
        <f>'GHG detailed, absolute'!R33/Production!$G$30*AF_offal</f>
        <v>3.0933928423580782E-5</v>
      </c>
      <c r="W33" s="13">
        <f>'GHG detailed, absolute'!W33/Production!$G$30*AF_offal</f>
        <v>4.4887908385529956E-5</v>
      </c>
      <c r="X33" s="49">
        <f>'GHG detailed, absolute'!X33/Production!$G$30*AF_offal</f>
        <v>6.6507299715176009E-5</v>
      </c>
      <c r="Z33" s="54"/>
      <c r="AA33" s="54"/>
    </row>
    <row r="34" spans="1:27" x14ac:dyDescent="0.35">
      <c r="A34" s="20" t="s">
        <v>35</v>
      </c>
      <c r="B34" s="20" t="s">
        <v>36</v>
      </c>
      <c r="C34" s="16" t="s">
        <v>37</v>
      </c>
      <c r="D34" s="18" t="s">
        <v>134</v>
      </c>
      <c r="E34" s="18" t="s">
        <v>49</v>
      </c>
      <c r="F34" s="20" t="s">
        <v>131</v>
      </c>
      <c r="G34" s="53">
        <f>'GHG detailed, absolute'!G34/Production!$G$30*AF_offal</f>
        <v>2.8582692399345181E-3</v>
      </c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13">
        <f>'GHG detailed, absolute'!S34/Production!$G$30*AF_offal</f>
        <v>1.3289036573287615E-3</v>
      </c>
      <c r="T34" s="51">
        <f>'GHG detailed, absolute'!T34/Production!$G$30*AF_offal</f>
        <v>1.5293655826057564E-3</v>
      </c>
      <c r="U34" s="59">
        <f>'GHG detailed, absolute'!U34/Production!$G$30*AF_offal</f>
        <v>1.5293655826057564E-3</v>
      </c>
      <c r="W34" s="13"/>
      <c r="X34" s="49"/>
      <c r="Z34" s="54"/>
      <c r="AA34" s="54"/>
    </row>
    <row r="35" spans="1:27" ht="15" customHeight="1" x14ac:dyDescent="0.35">
      <c r="A35" s="20" t="s">
        <v>35</v>
      </c>
      <c r="B35" s="20" t="s">
        <v>36</v>
      </c>
      <c r="C35" s="16" t="s">
        <v>37</v>
      </c>
      <c r="D35" s="18" t="s">
        <v>134</v>
      </c>
      <c r="E35" s="18" t="s">
        <v>49</v>
      </c>
      <c r="F35" s="82" t="s">
        <v>132</v>
      </c>
      <c r="G35" s="53">
        <f>'GHG detailed, absolute'!G35/Production!$G$30*AF_offal</f>
        <v>5.2791168791702667E-4</v>
      </c>
      <c r="H35" s="58">
        <f>'GHG detailed, absolute'!H35/Production!$G$30*AF_offal</f>
        <v>2.1678478684266875E-5</v>
      </c>
      <c r="I35" s="54">
        <f>'GHG detailed, absolute'!I35/Production!$G$30*AF_offal</f>
        <v>8.4439583773186606E-7</v>
      </c>
      <c r="J35" s="54">
        <f>'GHG detailed, absolute'!J35/Production!$G$30*AF_offal</f>
        <v>3.0151138573610069E-4</v>
      </c>
      <c r="K35" s="54">
        <f>'GHG detailed, absolute'!K35/Production!$G$30*AF_offal</f>
        <v>3.0151138573610076E-5</v>
      </c>
      <c r="L35" s="54">
        <f>'GHG detailed, absolute'!L35/Production!$G$30*AF_offal</f>
        <v>6.09364393849783E-7</v>
      </c>
      <c r="M35" s="54"/>
      <c r="N35" s="54">
        <f>'GHG detailed, absolute'!N35/Production!$G$30*AF_offal</f>
        <v>1.4746514516103447E-8</v>
      </c>
      <c r="O35" s="54">
        <f>'GHG detailed, absolute'!O35/Production!$G$30*AF_offal</f>
        <v>1.1416216000678224E-6</v>
      </c>
      <c r="P35" s="54">
        <f>'GHG detailed, absolute'!P35/Production!$G$30*AF_offal</f>
        <v>0</v>
      </c>
      <c r="Q35" s="54">
        <f>'GHG detailed, absolute'!Q35/Production!$G$30*AF_offal</f>
        <v>3.4615430056181793E-6</v>
      </c>
      <c r="R35" s="54">
        <f>'GHG detailed, absolute'!R35/Production!$G$30*AF_offal</f>
        <v>1.284882110705014E-6</v>
      </c>
      <c r="S35" s="13"/>
      <c r="T35" s="51">
        <f>'GHG detailed, absolute'!T35/Production!$G$30*AF_offal</f>
        <v>1.6289795848355206E-4</v>
      </c>
      <c r="U35" s="83">
        <f>'GHG detailed, absolute'!U35/Production!$G$30*AF_offal</f>
        <v>9.1523444592787306E-5</v>
      </c>
      <c r="V35" s="83">
        <f>'GHG detailed, absolute'!V35/Production!$G$30*AF_offal</f>
        <v>7.1374513890764738E-5</v>
      </c>
      <c r="W35" s="13">
        <f>'GHG detailed, absolute'!W35/Production!$G$30*AF_offal</f>
        <v>3.5307342610114938E-6</v>
      </c>
      <c r="X35" s="49">
        <f>'GHG detailed, absolute'!X35/Production!$G$30*AF_offal</f>
        <v>7.8543871599676949E-7</v>
      </c>
      <c r="Z35" s="54"/>
      <c r="AA35" s="54"/>
    </row>
    <row r="36" spans="1:27" ht="15" customHeight="1" x14ac:dyDescent="0.35">
      <c r="A36" s="84" t="s">
        <v>35</v>
      </c>
      <c r="B36" s="84" t="s">
        <v>36</v>
      </c>
      <c r="C36" s="85" t="s">
        <v>37</v>
      </c>
      <c r="D36" s="93" t="s">
        <v>134</v>
      </c>
      <c r="E36" s="93" t="s">
        <v>49</v>
      </c>
      <c r="F36" s="87" t="s">
        <v>133</v>
      </c>
      <c r="G36" s="88">
        <f>'GHG detailed, absolute'!G36/Production!$G$30*AF_offal</f>
        <v>0.51016534218324316</v>
      </c>
      <c r="H36" s="89">
        <f>'GHG detailed, absolute'!H36/Production!$G$30*AF_offal</f>
        <v>3.2651218325407752E-2</v>
      </c>
      <c r="I36" s="89">
        <f>'GHG detailed, absolute'!I36/Production!$G$30*AF_offal</f>
        <v>2.3129767550409255E-2</v>
      </c>
      <c r="J36" s="89">
        <f>'GHG detailed, absolute'!J36/Production!$G$30*AF_offal</f>
        <v>8.2312608305955492E-2</v>
      </c>
      <c r="K36" s="89">
        <f>'GHG detailed, absolute'!K36/Production!$G$30*AF_offal</f>
        <v>8.2312608305955496E-3</v>
      </c>
      <c r="L36" s="89">
        <f>'GHG detailed, absolute'!L36/Production!$G$30*AF_offal</f>
        <v>2.3143628015362929E-2</v>
      </c>
      <c r="M36" s="89">
        <f>'GHG detailed, absolute'!M36/Production!$G$30*AF_offal</f>
        <v>0</v>
      </c>
      <c r="N36" s="89">
        <f>'GHG detailed, absolute'!N36/Production!$G$30*AF_offal</f>
        <v>3.7934806666652202E-4</v>
      </c>
      <c r="O36" s="89">
        <f>'GHG detailed, absolute'!O36/Production!$G$30*AF_offal</f>
        <v>3.2504120343888741E-2</v>
      </c>
      <c r="P36" s="89">
        <f>'GHG detailed, absolute'!P36/Production!$G$30*AF_offal</f>
        <v>3.8589919889372666E-2</v>
      </c>
      <c r="Q36" s="89">
        <f>'GHG detailed, absolute'!Q36/Production!$G$30*AF_offal</f>
        <v>3.1998439082935752E-2</v>
      </c>
      <c r="R36" s="89">
        <f>'GHG detailed, absolute'!R36/Production!$G$30*AF_offal</f>
        <v>3.5575846348128964E-2</v>
      </c>
      <c r="S36" s="89">
        <f>'GHG detailed, absolute'!S36/Production!$G$30*AF_offal</f>
        <v>3.588039874787656E-2</v>
      </c>
      <c r="T36" s="89">
        <f>'GHG detailed, absolute'!T36/Production!$G$30*AF_offal</f>
        <v>8.5764013396365149E-2</v>
      </c>
      <c r="U36" s="89"/>
      <c r="V36" s="89"/>
      <c r="W36" s="89">
        <f>'GHG detailed, absolute'!W36/Production!$G$30*AF_offal</f>
        <v>5.4943776655301382E-2</v>
      </c>
      <c r="X36" s="89">
        <f>'GHG detailed, absolute'!X36/Production!$G$30*AF_offal</f>
        <v>2.5060996624976486E-2</v>
      </c>
      <c r="Z36" s="90">
        <f>'GHG detailed, absolute'!Z36/Production!$G$30*AF_offal</f>
        <v>0.30851615675872363</v>
      </c>
      <c r="AA36" s="91">
        <f>'GHG detailed, absolute'!AA36/Production!$G$30*AF_offal</f>
        <v>2.4481402675922132E-5</v>
      </c>
    </row>
    <row r="37" spans="1:27" ht="15" customHeight="1" x14ac:dyDescent="0.35">
      <c r="A37" s="73" t="s">
        <v>35</v>
      </c>
      <c r="B37" s="73" t="s">
        <v>36</v>
      </c>
      <c r="C37" s="74" t="s">
        <v>37</v>
      </c>
      <c r="D37" s="75" t="s">
        <v>50</v>
      </c>
      <c r="E37" s="75" t="s">
        <v>51</v>
      </c>
      <c r="F37" s="76" t="s">
        <v>129</v>
      </c>
      <c r="G37" s="77">
        <f>'GHG detailed, absolute'!G37/Production!$H$30*AF_offal</f>
        <v>0.35094672520109471</v>
      </c>
      <c r="H37" s="77">
        <f>'GHG detailed, absolute'!H37/Production!$H$30*AF_offal</f>
        <v>3.7947071814718646E-2</v>
      </c>
      <c r="I37" s="77">
        <f>'GHG detailed, absolute'!I37/Production!$H$30*AF_offal</f>
        <v>2.8949964103314161E-2</v>
      </c>
      <c r="J37" s="77">
        <f>'GHG detailed, absolute'!J37/Production!$H$30*AF_offal</f>
        <v>0</v>
      </c>
      <c r="K37" s="77"/>
      <c r="L37" s="77">
        <f>'GHG detailed, absolute'!L37/Production!$H$30*AF_offal</f>
        <v>3.4263474314580641E-2</v>
      </c>
      <c r="M37" s="77"/>
      <c r="N37" s="77">
        <f>'GHG detailed, absolute'!N37/Production!$H$30*AF_offal</f>
        <v>1.8736255538196655E-3</v>
      </c>
      <c r="O37" s="77">
        <f>'GHG detailed, absolute'!O37/Production!$H$30*AF_offal</f>
        <v>4.3607835672966951E-2</v>
      </c>
      <c r="P37" s="77">
        <f>'GHG detailed, absolute'!P37/Production!$H$30*AF_offal</f>
        <v>4.6356934918660248E-2</v>
      </c>
      <c r="Q37" s="77">
        <f>'GHG detailed, absolute'!Q37/Production!$H$30*AF_offal</f>
        <v>3.7787737229979551E-2</v>
      </c>
      <c r="R37" s="77">
        <f>'GHG detailed, absolute'!R37/Production!$H$30*AF_offal</f>
        <v>3.9415919585324297E-2</v>
      </c>
      <c r="S37" s="78"/>
      <c r="T37" s="79"/>
      <c r="U37" s="80"/>
      <c r="V37" s="80"/>
      <c r="W37" s="78">
        <f>'GHG detailed, absolute'!W37/Production!$H$30*AF_offal</f>
        <v>4.8777965312861618E-2</v>
      </c>
      <c r="X37" s="81">
        <f>'GHG detailed, absolute'!X37/Production!$H$30*AF_offal</f>
        <v>3.1966196694868894E-2</v>
      </c>
      <c r="Z37" s="53"/>
      <c r="AA37" s="53"/>
    </row>
    <row r="38" spans="1:27" x14ac:dyDescent="0.35">
      <c r="A38" s="20" t="s">
        <v>35</v>
      </c>
      <c r="B38" s="20" t="s">
        <v>36</v>
      </c>
      <c r="C38" s="16" t="s">
        <v>37</v>
      </c>
      <c r="D38" s="18" t="s">
        <v>50</v>
      </c>
      <c r="E38" s="18" t="s">
        <v>51</v>
      </c>
      <c r="F38" s="20" t="s">
        <v>130</v>
      </c>
      <c r="G38" s="53">
        <f>'GHG detailed, absolute'!G38/Production!$H$30*AF_offal</f>
        <v>7.6562932013872378E-4</v>
      </c>
      <c r="H38" s="58">
        <f>'GHG detailed, absolute'!H38/Production!$H$30*AF_offal</f>
        <v>5.7742176758156999E-6</v>
      </c>
      <c r="I38" s="58">
        <f>'GHG detailed, absolute'!I38/Production!$H$30*AF_offal</f>
        <v>1.0186098480795722E-4</v>
      </c>
      <c r="J38" s="58"/>
      <c r="K38" s="58"/>
      <c r="L38" s="58">
        <f>'GHG detailed, absolute'!L38/Production!$H$30*AF_offal</f>
        <v>1.5177563767114691E-5</v>
      </c>
      <c r="M38" s="58"/>
      <c r="N38" s="58">
        <f>'GHG detailed, absolute'!N38/Production!$H$30*AF_offal</f>
        <v>5.5474653448824409E-6</v>
      </c>
      <c r="O38" s="58">
        <f>'GHG detailed, absolute'!O38/Production!$H$30*AF_offal</f>
        <v>4.6742905662222579E-5</v>
      </c>
      <c r="P38" s="58">
        <f>'GHG detailed, absolute'!P38/Production!$H$30*AF_offal</f>
        <v>0</v>
      </c>
      <c r="Q38" s="58">
        <f>'GHG detailed, absolute'!Q38/Production!$H$30*AF_offal</f>
        <v>2.8278175000403892E-4</v>
      </c>
      <c r="R38" s="58">
        <f>'GHG detailed, absolute'!R38/Production!$H$30*AF_offal</f>
        <v>3.3455367736045869E-5</v>
      </c>
      <c r="W38" s="13">
        <f>'GHG detailed, absolute'!W38/Production!$H$30*AF_offal</f>
        <v>1.3240112646847147E-4</v>
      </c>
      <c r="X38" s="49">
        <f>'GHG detailed, absolute'!X38/Production!$H$30*AF_offal</f>
        <v>1.4188793867217492E-4</v>
      </c>
      <c r="Z38" s="54"/>
      <c r="AA38" s="54"/>
    </row>
    <row r="39" spans="1:27" x14ac:dyDescent="0.35">
      <c r="A39" s="20" t="s">
        <v>35</v>
      </c>
      <c r="B39" s="20" t="s">
        <v>36</v>
      </c>
      <c r="C39" s="16" t="s">
        <v>37</v>
      </c>
      <c r="D39" s="18" t="s">
        <v>50</v>
      </c>
      <c r="E39" s="18" t="s">
        <v>51</v>
      </c>
      <c r="F39" s="20" t="s">
        <v>131</v>
      </c>
      <c r="G39" s="53">
        <f>'GHG detailed, absolute'!G39/Production!$H$30*AF_offal</f>
        <v>1.8442464334192821E-2</v>
      </c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13">
        <f>'GHG detailed, absolute'!S39/Production!$H$30*AF_offal</f>
        <v>1.3364246273571748E-3</v>
      </c>
      <c r="T39" s="51">
        <f>'GHG detailed, absolute'!T39/Production!$H$30*AF_offal</f>
        <v>1.7106039706835649E-2</v>
      </c>
      <c r="U39" s="59">
        <f>'GHG detailed, absolute'!U39/Production!$H$30*AF_offal</f>
        <v>1.7106039706835649E-2</v>
      </c>
      <c r="W39" s="13"/>
      <c r="X39" s="49"/>
      <c r="Z39" s="54"/>
      <c r="AA39" s="54"/>
    </row>
    <row r="40" spans="1:27" ht="15" customHeight="1" x14ac:dyDescent="0.35">
      <c r="A40" s="20" t="s">
        <v>35</v>
      </c>
      <c r="B40" s="20" t="s">
        <v>36</v>
      </c>
      <c r="C40" s="16" t="s">
        <v>37</v>
      </c>
      <c r="D40" s="18" t="s">
        <v>50</v>
      </c>
      <c r="E40" s="18" t="s">
        <v>51</v>
      </c>
      <c r="F40" s="82" t="s">
        <v>132</v>
      </c>
      <c r="G40" s="53">
        <f>'GHG detailed, absolute'!G40/Production!$H$30*AF_offal</f>
        <v>8.9061569471593526E-4</v>
      </c>
      <c r="H40" s="58">
        <f>'GHG detailed, absolute'!H40/Production!$H$30*AF_offal</f>
        <v>7.9530810360234894E-6</v>
      </c>
      <c r="I40" s="54">
        <f>'GHG detailed, absolute'!I40/Production!$H$30*AF_offal</f>
        <v>1.1794429819868731E-6</v>
      </c>
      <c r="J40" s="54">
        <f>'GHG detailed, absolute'!J40/Production!$H$30*AF_offal</f>
        <v>4.6354220829612948E-4</v>
      </c>
      <c r="K40" s="54">
        <f>'GHG detailed, absolute'!K40/Production!$H$30*AF_offal</f>
        <v>4.6354220829612948E-5</v>
      </c>
      <c r="L40" s="54">
        <f>'GHG detailed, absolute'!L40/Production!$H$30*AF_offal</f>
        <v>9.2067291361623408E-7</v>
      </c>
      <c r="M40" s="54"/>
      <c r="N40" s="54">
        <f>'GHG detailed, absolute'!N40/Production!$H$30*AF_offal</f>
        <v>8.0483086636145753E-8</v>
      </c>
      <c r="O40" s="54">
        <f>'GHG detailed, absolute'!O40/Production!$H$30*AF_offal</f>
        <v>1.6077554815973489E-6</v>
      </c>
      <c r="P40" s="54">
        <f>'GHG detailed, absolute'!P40/Production!$H$30*AF_offal</f>
        <v>0</v>
      </c>
      <c r="Q40" s="54">
        <f>'GHG detailed, absolute'!Q40/Production!$H$30*AF_offal</f>
        <v>4.5178151769430214E-6</v>
      </c>
      <c r="R40" s="54">
        <f>'GHG detailed, absolute'!R40/Production!$H$30*AF_offal</f>
        <v>1.5453567045308319E-6</v>
      </c>
      <c r="S40" s="13"/>
      <c r="T40" s="51">
        <f>'GHG detailed, absolute'!T40/Production!$H$30*AF_offal</f>
        <v>3.5822706850526068E-4</v>
      </c>
      <c r="U40" s="83">
        <f>'GHG detailed, absolute'!U40/Production!$H$30*AF_offal</f>
        <v>2.0161179035132383E-4</v>
      </c>
      <c r="V40" s="83">
        <f>'GHG detailed, absolute'!V40/Production!$H$30*AF_offal</f>
        <v>1.5661527815393684E-4</v>
      </c>
      <c r="W40" s="13">
        <f>'GHG detailed, absolute'!W40/Production!$H$30*AF_offal</f>
        <v>3.4914055818908508E-6</v>
      </c>
      <c r="X40" s="49">
        <f>'GHG detailed, absolute'!X40/Production!$H$30*AF_offal</f>
        <v>1.1961841217075196E-6</v>
      </c>
      <c r="Z40" s="54"/>
      <c r="AA40" s="54"/>
    </row>
    <row r="41" spans="1:27" ht="15" customHeight="1" x14ac:dyDescent="0.35">
      <c r="A41" s="84" t="s">
        <v>35</v>
      </c>
      <c r="B41" s="84" t="s">
        <v>36</v>
      </c>
      <c r="C41" s="85" t="s">
        <v>37</v>
      </c>
      <c r="D41" s="86" t="s">
        <v>50</v>
      </c>
      <c r="E41" s="86" t="s">
        <v>51</v>
      </c>
      <c r="F41" s="87" t="s">
        <v>133</v>
      </c>
      <c r="G41" s="88">
        <f>'GHG detailed, absolute'!G41/Production!$H$30*AF_offal</f>
        <v>1.114847100621885</v>
      </c>
      <c r="H41" s="89">
        <f>'GHG detailed, absolute'!H41/Production!$H$30*AF_offal</f>
        <v>4.0290334624292358E-2</v>
      </c>
      <c r="I41" s="89">
        <f>'GHG detailed, absolute'!I41/Production!$H$30*AF_offal</f>
        <v>3.2307409384673698E-2</v>
      </c>
      <c r="J41" s="89">
        <f>'GHG detailed, absolute'!J41/Production!$H$30*AF_offal</f>
        <v>0.12654702286484334</v>
      </c>
      <c r="K41" s="89">
        <f>'GHG detailed, absolute'!K41/Production!$H$30*AF_offal</f>
        <v>1.2654702286484335E-2</v>
      </c>
      <c r="L41" s="89">
        <f>'GHG detailed, absolute'!L41/Production!$H$30*AF_offal</f>
        <v>3.4967109420257887E-2</v>
      </c>
      <c r="M41" s="89">
        <f>'GHG detailed, absolute'!M41/Production!$H$30*AF_offal</f>
        <v>0</v>
      </c>
      <c r="N41" s="89">
        <f>'GHG detailed, absolute'!N41/Production!$H$30*AF_offal</f>
        <v>2.06091190374883E-3</v>
      </c>
      <c r="O41" s="89">
        <f>'GHG detailed, absolute'!O41/Production!$H$30*AF_offal</f>
        <v>4.5439691508177255E-2</v>
      </c>
      <c r="P41" s="89">
        <f>'GHG detailed, absolute'!P41/Production!$H$30*AF_offal</f>
        <v>4.6356934918660248E-2</v>
      </c>
      <c r="Q41" s="89">
        <f>'GHG detailed, absolute'!Q41/Production!$H$30*AF_offal</f>
        <v>4.7447996923405358E-2</v>
      </c>
      <c r="R41" s="89">
        <f>'GHG detailed, absolute'!R41/Production!$H$30*AF_offal</f>
        <v>4.0834771924195379E-2</v>
      </c>
      <c r="S41" s="89">
        <f>'GHG detailed, absolute'!S41/Production!$H$30*AF_offal</f>
        <v>3.6083464938643721E-2</v>
      </c>
      <c r="T41" s="89">
        <f>'GHG detailed, absolute'!T41/Production!$H$30*AF_offal</f>
        <v>0.5596590617864986</v>
      </c>
      <c r="U41" s="89"/>
      <c r="V41" s="89"/>
      <c r="W41" s="89">
        <f>'GHG detailed, absolute'!W41/Production!$H$30*AF_offal</f>
        <v>5.367667260547828E-2</v>
      </c>
      <c r="X41" s="89">
        <f>'GHG detailed, absolute'!X41/Production!$H$30*AF_offal</f>
        <v>3.6521015532525854E-2</v>
      </c>
      <c r="Z41" s="90">
        <f>'GHG detailed, absolute'!Z41/Production!$H$30*AF_offal</f>
        <v>0.42890688575873864</v>
      </c>
      <c r="AA41" s="91">
        <f>'GHG detailed, absolute'!AA41/Production!$H$30*AF_offal</f>
        <v>2.9600612449631938E-5</v>
      </c>
    </row>
    <row r="42" spans="1:27" ht="15" customHeight="1" x14ac:dyDescent="0.35">
      <c r="A42" s="73" t="s">
        <v>35</v>
      </c>
      <c r="B42" s="73" t="s">
        <v>36</v>
      </c>
      <c r="C42" s="74" t="s">
        <v>37</v>
      </c>
      <c r="D42" t="s">
        <v>135</v>
      </c>
      <c r="E42" s="18" t="s">
        <v>53</v>
      </c>
      <c r="F42" s="76" t="s">
        <v>129</v>
      </c>
      <c r="G42" s="77">
        <f>'GHG detailed, absolute'!G42/Production!$I$30*AF_offal</f>
        <v>0.3076840589721937</v>
      </c>
      <c r="H42" s="77">
        <f>'GHG detailed, absolute'!H42/Production!$I$30*AF_offal</f>
        <v>3.6946288077758321E-2</v>
      </c>
      <c r="I42" s="77">
        <f>'GHG detailed, absolute'!I42/Production!$I$30*AF_offal</f>
        <v>2.1701923523221596E-2</v>
      </c>
      <c r="J42" s="77">
        <f>'GHG detailed, absolute'!J42/Production!$I$30*AF_offal</f>
        <v>0</v>
      </c>
      <c r="K42" s="77"/>
      <c r="L42" s="77">
        <f>'GHG detailed, absolute'!L42/Production!$I$30*AF_offal</f>
        <v>2.2876142322808334E-2</v>
      </c>
      <c r="M42" s="77"/>
      <c r="N42" s="77">
        <f>'GHG detailed, absolute'!N42/Production!$I$30*AF_offal</f>
        <v>2.6152790291622297E-4</v>
      </c>
      <c r="O42" s="77">
        <f>'GHG detailed, absolute'!O42/Production!$I$30*AF_offal</f>
        <v>3.5569346952073366E-2</v>
      </c>
      <c r="P42" s="77">
        <f>'GHG detailed, absolute'!P42/Production!$I$30*AF_offal</f>
        <v>3.6495590292947744E-2</v>
      </c>
      <c r="Q42" s="77">
        <f>'GHG detailed, absolute'!Q42/Production!$I$30*AF_offal</f>
        <v>3.1895729417580169E-2</v>
      </c>
      <c r="R42" s="77">
        <f>'GHG detailed, absolute'!R42/Production!$I$30*AF_offal</f>
        <v>3.4612106906630892E-2</v>
      </c>
      <c r="S42" s="78"/>
      <c r="T42" s="79"/>
      <c r="U42" s="80"/>
      <c r="V42" s="80"/>
      <c r="W42" s="78">
        <f>'GHG detailed, absolute'!W42/Production!$I$30*AF_offal</f>
        <v>6.004926624722718E-2</v>
      </c>
      <c r="X42" s="81">
        <f>'GHG detailed, absolute'!X42/Production!$I$30*AF_offal</f>
        <v>2.7276137329029938E-2</v>
      </c>
      <c r="Z42" s="53"/>
      <c r="AA42" s="53"/>
    </row>
    <row r="43" spans="1:27" x14ac:dyDescent="0.35">
      <c r="A43" s="20" t="s">
        <v>35</v>
      </c>
      <c r="B43" s="20" t="s">
        <v>36</v>
      </c>
      <c r="C43" s="16" t="s">
        <v>37</v>
      </c>
      <c r="D43" t="s">
        <v>135</v>
      </c>
      <c r="E43" s="18" t="s">
        <v>53</v>
      </c>
      <c r="F43" s="20" t="s">
        <v>130</v>
      </c>
      <c r="G43" s="53">
        <f>'GHG detailed, absolute'!G43/Production!$I$30*AF_offal</f>
        <v>3.6897892069989534E-4</v>
      </c>
      <c r="H43" s="58">
        <f>'GHG detailed, absolute'!H43/Production!$I$30*AF_offal</f>
        <v>1.7790988280718855E-5</v>
      </c>
      <c r="I43" s="58">
        <f>'GHG detailed, absolute'!I43/Production!$I$30*AF_offal</f>
        <v>7.6358619803927857E-5</v>
      </c>
      <c r="J43" s="58"/>
      <c r="K43" s="58"/>
      <c r="L43" s="58">
        <f>'GHG detailed, absolute'!L43/Production!$I$30*AF_offal</f>
        <v>1.0133359672234522E-5</v>
      </c>
      <c r="M43" s="58"/>
      <c r="N43" s="58">
        <f>'GHG detailed, absolute'!N43/Production!$I$30*AF_offal</f>
        <v>7.8815418060880816E-7</v>
      </c>
      <c r="O43" s="58">
        <f>'GHG detailed, absolute'!O43/Production!$I$30*AF_offal</f>
        <v>2.6118737147293333E-5</v>
      </c>
      <c r="P43" s="58">
        <f>'GHG detailed, absolute'!P43/Production!$I$30*AF_offal</f>
        <v>0</v>
      </c>
      <c r="Q43" s="58">
        <f>'GHG detailed, absolute'!Q43/Production!$I$30*AF_offal</f>
        <v>3.1408223874020743E-5</v>
      </c>
      <c r="R43" s="58">
        <f>'GHG detailed, absolute'!R43/Production!$I$30*AF_offal</f>
        <v>3.2153597011287448E-5</v>
      </c>
      <c r="W43" s="13">
        <f>'GHG detailed, absolute'!W43/Production!$I$30*AF_offal</f>
        <v>8.748007086426729E-5</v>
      </c>
      <c r="X43" s="49">
        <f>'GHG detailed, absolute'!X43/Production!$I$30*AF_offal</f>
        <v>8.6747169865536514E-5</v>
      </c>
      <c r="Z43" s="54"/>
      <c r="AA43" s="54"/>
    </row>
    <row r="44" spans="1:27" x14ac:dyDescent="0.35">
      <c r="A44" s="20" t="s">
        <v>35</v>
      </c>
      <c r="B44" s="20" t="s">
        <v>36</v>
      </c>
      <c r="C44" s="16" t="s">
        <v>37</v>
      </c>
      <c r="D44" t="s">
        <v>135</v>
      </c>
      <c r="E44" s="18" t="s">
        <v>53</v>
      </c>
      <c r="F44" s="20" t="s">
        <v>131</v>
      </c>
      <c r="G44" s="53">
        <f>'GHG detailed, absolute'!G44/Production!$I$30*AF_offal</f>
        <v>1.4423606619157564E-2</v>
      </c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13">
        <f>'GHG detailed, absolute'!S44/Production!$I$30*AF_offal</f>
        <v>1.3223180607173906E-3</v>
      </c>
      <c r="T44" s="51">
        <f>'GHG detailed, absolute'!T44/Production!$I$30*AF_offal</f>
        <v>1.3101288558440175E-2</v>
      </c>
      <c r="U44" s="59">
        <f>'GHG detailed, absolute'!U44/Production!$I$30*AF_offal</f>
        <v>1.3101288558440175E-2</v>
      </c>
      <c r="W44" s="13"/>
      <c r="X44" s="49"/>
      <c r="Z44" s="54"/>
      <c r="AA44" s="54"/>
    </row>
    <row r="45" spans="1:27" ht="15" customHeight="1" x14ac:dyDescent="0.35">
      <c r="A45" s="20" t="s">
        <v>35</v>
      </c>
      <c r="B45" s="20" t="s">
        <v>36</v>
      </c>
      <c r="C45" s="16" t="s">
        <v>37</v>
      </c>
      <c r="D45" t="s">
        <v>135</v>
      </c>
      <c r="E45" s="18" t="s">
        <v>53</v>
      </c>
      <c r="F45" s="82" t="s">
        <v>132</v>
      </c>
      <c r="G45" s="53">
        <f>'GHG detailed, absolute'!G45/Production!$I$30*AF_offal</f>
        <v>5.8097003551188997E-4</v>
      </c>
      <c r="H45" s="58">
        <f>'GHG detailed, absolute'!H45/Production!$I$30*AF_offal</f>
        <v>3.0323363651963435E-5</v>
      </c>
      <c r="I45" s="54">
        <f>'GHG detailed, absolute'!I45/Production!$I$30*AF_offal</f>
        <v>8.8415243983495414E-7</v>
      </c>
      <c r="J45" s="54">
        <f>'GHG detailed, absolute'!J45/Production!$I$30*AF_offal</f>
        <v>3.6050888131700326E-4</v>
      </c>
      <c r="K45" s="54">
        <f>'GHG detailed, absolute'!K45/Production!$I$30*AF_offal</f>
        <v>3.6050888131700333E-5</v>
      </c>
      <c r="L45" s="54">
        <f>'GHG detailed, absolute'!L45/Production!$I$30*AF_offal</f>
        <v>6.146908632577586E-7</v>
      </c>
      <c r="M45" s="54"/>
      <c r="N45" s="54">
        <f>'GHG detailed, absolute'!N45/Production!$I$30*AF_offal</f>
        <v>1.1169459368468421E-8</v>
      </c>
      <c r="O45" s="54">
        <f>'GHG detailed, absolute'!O45/Production!$I$30*AF_offal</f>
        <v>1.2937522799485907E-6</v>
      </c>
      <c r="P45" s="54">
        <f>'GHG detailed, absolute'!P45/Production!$I$30*AF_offal</f>
        <v>0</v>
      </c>
      <c r="Q45" s="54">
        <f>'GHG detailed, absolute'!Q45/Production!$I$30*AF_offal</f>
        <v>2.1858434111336706E-6</v>
      </c>
      <c r="R45" s="54">
        <f>'GHG detailed, absolute'!R45/Production!$I$30*AF_offal</f>
        <v>1.2157059844459143E-6</v>
      </c>
      <c r="S45" s="13"/>
      <c r="T45" s="51">
        <f>'GHG detailed, absolute'!T45/Production!$I$30*AF_offal</f>
        <v>1.429751656358384E-4</v>
      </c>
      <c r="U45" s="83">
        <f>'GHG detailed, absolute'!U45/Production!$I$30*AF_offal</f>
        <v>8.081961351483289E-5</v>
      </c>
      <c r="V45" s="83">
        <f>'GHG detailed, absolute'!V45/Production!$I$30*AF_offal</f>
        <v>6.2155552121005481E-5</v>
      </c>
      <c r="W45" s="13">
        <f>'GHG detailed, absolute'!W45/Production!$I$30*AF_offal</f>
        <v>3.913211420076778E-6</v>
      </c>
      <c r="X45" s="49">
        <f>'GHG detailed, absolute'!X45/Production!$I$30*AF_offal</f>
        <v>9.9321091731834206E-7</v>
      </c>
      <c r="Z45" s="54"/>
      <c r="AA45" s="54"/>
    </row>
    <row r="46" spans="1:27" ht="15" customHeight="1" x14ac:dyDescent="0.35">
      <c r="A46" s="84" t="s">
        <v>35</v>
      </c>
      <c r="B46" s="84" t="s">
        <v>36</v>
      </c>
      <c r="C46" s="85" t="s">
        <v>37</v>
      </c>
      <c r="D46" s="95" t="s">
        <v>135</v>
      </c>
      <c r="E46" s="86" t="s">
        <v>53</v>
      </c>
      <c r="F46" s="87" t="s">
        <v>133</v>
      </c>
      <c r="G46" s="88">
        <f>'GHG detailed, absolute'!G46/Production!$I$30*AF_offal</f>
        <v>0.8667218292210509</v>
      </c>
      <c r="H46" s="89">
        <f>'GHG detailed, absolute'!H46/Production!$I$30*AF_offal</f>
        <v>4.5754737805509767E-2</v>
      </c>
      <c r="I46" s="89">
        <f>'GHG detailed, absolute'!I46/Production!$I$30*AF_offal</f>
        <v>2.4218784009453591E-2</v>
      </c>
      <c r="J46" s="89">
        <f>'GHG detailed, absolute'!J46/Production!$I$30*AF_offal</f>
        <v>9.8418924599541879E-2</v>
      </c>
      <c r="K46" s="89">
        <f>'GHG detailed, absolute'!K46/Production!$I$30*AF_offal</f>
        <v>9.8418924599541907E-3</v>
      </c>
      <c r="L46" s="89">
        <f>'GHG detailed, absolute'!L46/Production!$I$30*AF_offal</f>
        <v>2.3345927046710287E-2</v>
      </c>
      <c r="M46" s="89">
        <f>'GHG detailed, absolute'!M46/Production!$I$30*AF_offal</f>
        <v>0</v>
      </c>
      <c r="N46" s="89">
        <f>'GHG detailed, absolute'!N46/Production!$I$30*AF_offal</f>
        <v>2.8806415990595733E-4</v>
      </c>
      <c r="O46" s="89">
        <f>'GHG detailed, absolute'!O46/Production!$I$30*AF_offal</f>
        <v>3.6700879691488671E-2</v>
      </c>
      <c r="P46" s="89">
        <f>'GHG detailed, absolute'!P46/Production!$I$30*AF_offal</f>
        <v>3.6495590292947744E-2</v>
      </c>
      <c r="Q46" s="89">
        <f>'GHG detailed, absolute'!Q46/Production!$I$30*AF_offal</f>
        <v>3.3428429740265483E-2</v>
      </c>
      <c r="R46" s="89">
        <f>'GHG detailed, absolute'!R46/Production!$I$30*AF_offal</f>
        <v>3.5902171831320995E-2</v>
      </c>
      <c r="S46" s="89">
        <f>'GHG detailed, absolute'!S46/Production!$I$30*AF_offal</f>
        <v>3.5702587639369544E-2</v>
      </c>
      <c r="T46" s="89">
        <f>'GHG detailed, absolute'!T46/Production!$I$30*AF_offal</f>
        <v>0.39276701129646857</v>
      </c>
      <c r="U46" s="89"/>
      <c r="V46" s="89"/>
      <c r="W46" s="89">
        <f>'GHG detailed, absolute'!W46/Production!$I$30*AF_offal</f>
        <v>6.3724479076663301E-2</v>
      </c>
      <c r="X46" s="89">
        <f>'GHG detailed, absolute'!X46/Production!$I$30*AF_offal</f>
        <v>3.0132349571450834E-2</v>
      </c>
      <c r="Z46" s="90">
        <f>'GHG detailed, absolute'!Z46/Production!$I$30*AF_offal</f>
        <v>0.34439540163709859</v>
      </c>
      <c r="AA46" s="91">
        <f>'GHG detailed, absolute'!AA46/Production!$I$30*AF_offal</f>
        <v>2.0958017417386447E-5</v>
      </c>
    </row>
    <row r="47" spans="1:27" ht="15" customHeight="1" x14ac:dyDescent="0.35">
      <c r="A47" s="73" t="s">
        <v>35</v>
      </c>
      <c r="B47" s="73" t="s">
        <v>36</v>
      </c>
      <c r="C47" s="74" t="s">
        <v>37</v>
      </c>
      <c r="D47" t="s">
        <v>54</v>
      </c>
      <c r="E47" s="18" t="s">
        <v>55</v>
      </c>
      <c r="F47" s="76" t="s">
        <v>129</v>
      </c>
      <c r="G47" s="77">
        <f>'GHG detailed, absolute'!G47/Production!$J$30*AF_offal</f>
        <v>0.39772424494439756</v>
      </c>
      <c r="H47" s="77">
        <f>'GHG detailed, absolute'!H47/Production!$J$30*AF_offal</f>
        <v>4.5229448493894084E-2</v>
      </c>
      <c r="I47" s="77">
        <f>'GHG detailed, absolute'!I47/Production!$J$30*AF_offal</f>
        <v>2.1821549463782626E-2</v>
      </c>
      <c r="J47" s="77">
        <f>'GHG detailed, absolute'!J47/Production!$J$30*AF_offal</f>
        <v>0</v>
      </c>
      <c r="K47" s="77"/>
      <c r="L47" s="77">
        <f>'GHG detailed, absolute'!L47/Production!$J$30*AF_offal</f>
        <v>3.232578596397466E-2</v>
      </c>
      <c r="M47" s="77"/>
      <c r="N47" s="77">
        <f>'GHG detailed, absolute'!N47/Production!$J$30*AF_offal</f>
        <v>3.7726936592525491E-5</v>
      </c>
      <c r="O47" s="77">
        <f>'GHG detailed, absolute'!O47/Production!$J$30*AF_offal</f>
        <v>4.1903142403175081E-2</v>
      </c>
      <c r="P47" s="77">
        <f>'GHG detailed, absolute'!P47/Production!$J$30*AF_offal</f>
        <v>3.6022560891867721E-2</v>
      </c>
      <c r="Q47" s="77">
        <f>'GHG detailed, absolute'!Q47/Production!$J$30*AF_offal</f>
        <v>6.3384824333579268E-2</v>
      </c>
      <c r="R47" s="77">
        <f>'GHG detailed, absolute'!R47/Production!$J$30*AF_offal</f>
        <v>1.9408937496900404E-2</v>
      </c>
      <c r="S47" s="78"/>
      <c r="T47" s="79"/>
      <c r="U47" s="80"/>
      <c r="V47" s="80"/>
      <c r="W47" s="78">
        <f>'GHG detailed, absolute'!W47/Production!$J$30*AF_offal</f>
        <v>9.8475114977732328E-2</v>
      </c>
      <c r="X47" s="81">
        <f>'GHG detailed, absolute'!X47/Production!$J$30*AF_offal</f>
        <v>3.9115153982898818E-2</v>
      </c>
      <c r="Z47" s="53"/>
      <c r="AA47" s="53"/>
    </row>
    <row r="48" spans="1:27" x14ac:dyDescent="0.35">
      <c r="A48" s="20" t="s">
        <v>35</v>
      </c>
      <c r="B48" s="20" t="s">
        <v>36</v>
      </c>
      <c r="C48" s="16" t="s">
        <v>37</v>
      </c>
      <c r="D48" t="s">
        <v>54</v>
      </c>
      <c r="E48" s="18" t="s">
        <v>55</v>
      </c>
      <c r="F48" s="20" t="s">
        <v>130</v>
      </c>
      <c r="G48" s="53">
        <f>'GHG detailed, absolute'!G48/Production!$J$30*AF_offal</f>
        <v>6.1057340177977969E-4</v>
      </c>
      <c r="H48" s="58">
        <f>'GHG detailed, absolute'!H48/Production!$J$30*AF_offal</f>
        <v>6.8644379009518547E-6</v>
      </c>
      <c r="I48" s="58">
        <f>'GHG detailed, absolute'!I48/Production!$J$30*AF_offal</f>
        <v>7.677952589108703E-5</v>
      </c>
      <c r="J48" s="58"/>
      <c r="K48" s="58"/>
      <c r="L48" s="58">
        <f>'GHG detailed, absolute'!L48/Production!$J$30*AF_offal</f>
        <v>1.4319233166075706E-5</v>
      </c>
      <c r="M48" s="58"/>
      <c r="N48" s="58">
        <f>'GHG detailed, absolute'!N48/Production!$J$30*AF_offal</f>
        <v>1.1975964520298019E-7</v>
      </c>
      <c r="O48" s="58">
        <f>'GHG detailed, absolute'!O48/Production!$J$30*AF_offal</f>
        <v>3.9051154355741374E-5</v>
      </c>
      <c r="P48" s="58">
        <f>'GHG detailed, absolute'!P48/Production!$J$30*AF_offal</f>
        <v>0</v>
      </c>
      <c r="Q48" s="58">
        <f>'GHG detailed, absolute'!Q48/Production!$J$30*AF_offal</f>
        <v>1.9031415172317045E-4</v>
      </c>
      <c r="R48" s="58">
        <f>'GHG detailed, absolute'!R48/Production!$J$30*AF_offal</f>
        <v>1.6982872784284275E-5</v>
      </c>
      <c r="W48" s="13">
        <f>'GHG detailed, absolute'!W48/Production!$J$30*AF_offal</f>
        <v>1.589797040251959E-4</v>
      </c>
      <c r="X48" s="49">
        <f>'GHG detailed, absolute'!X48/Production!$J$30*AF_offal</f>
        <v>1.0716256228807008E-4</v>
      </c>
      <c r="Z48" s="54"/>
      <c r="AA48" s="54"/>
    </row>
    <row r="49" spans="1:27" x14ac:dyDescent="0.35">
      <c r="A49" s="20" t="s">
        <v>35</v>
      </c>
      <c r="B49" s="20" t="s">
        <v>36</v>
      </c>
      <c r="C49" s="16" t="s">
        <v>37</v>
      </c>
      <c r="D49" t="s">
        <v>54</v>
      </c>
      <c r="E49" s="18" t="s">
        <v>55</v>
      </c>
      <c r="F49" s="20" t="s">
        <v>131</v>
      </c>
      <c r="G49" s="53">
        <f>'GHG detailed, absolute'!G49/Production!$J$30*AF_offal</f>
        <v>3.2104406268925302E-3</v>
      </c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13">
        <f>'GHG detailed, absolute'!S49/Production!$J$30*AF_offal</f>
        <v>1.3360795950710643E-3</v>
      </c>
      <c r="T49" s="51">
        <f>'GHG detailed, absolute'!T49/Production!$J$30*AF_offal</f>
        <v>1.874361031821466E-3</v>
      </c>
      <c r="U49" s="59">
        <f>'GHG detailed, absolute'!U49/Production!$J$30*AF_offal</f>
        <v>1.874361031821466E-3</v>
      </c>
      <c r="W49" s="13"/>
      <c r="X49" s="49"/>
      <c r="Z49" s="54"/>
      <c r="AA49" s="54"/>
    </row>
    <row r="50" spans="1:27" ht="15" customHeight="1" x14ac:dyDescent="0.35">
      <c r="A50" s="20" t="s">
        <v>35</v>
      </c>
      <c r="B50" s="20" t="s">
        <v>36</v>
      </c>
      <c r="C50" s="16" t="s">
        <v>37</v>
      </c>
      <c r="D50" t="s">
        <v>54</v>
      </c>
      <c r="E50" s="18" t="s">
        <v>55</v>
      </c>
      <c r="F50" s="82" t="s">
        <v>132</v>
      </c>
      <c r="G50" s="53">
        <f>'GHG detailed, absolute'!G50/Production!$J$30*AF_offal</f>
        <v>7.9030817558295571E-4</v>
      </c>
      <c r="H50" s="58">
        <f>'GHG detailed, absolute'!H50/Production!$J$30*AF_offal</f>
        <v>2.4007412020024028E-5</v>
      </c>
      <c r="I50" s="54">
        <f>'GHG detailed, absolute'!I50/Production!$J$30*AF_offal</f>
        <v>8.8902608926521847E-7</v>
      </c>
      <c r="J50" s="54">
        <f>'GHG detailed, absolute'!J50/Production!$J$30*AF_offal</f>
        <v>4.857920589234285E-4</v>
      </c>
      <c r="K50" s="54">
        <f>'GHG detailed, absolute'!K50/Production!$J$30*AF_offal</f>
        <v>4.8579205892342845E-5</v>
      </c>
      <c r="L50" s="54">
        <f>'GHG detailed, absolute'!L50/Production!$J$30*AF_offal</f>
        <v>8.6860647216159568E-7</v>
      </c>
      <c r="M50" s="54"/>
      <c r="N50" s="54">
        <f>'GHG detailed, absolute'!N50/Production!$J$30*AF_offal</f>
        <v>1.5828749731341643E-9</v>
      </c>
      <c r="O50" s="54">
        <f>'GHG detailed, absolute'!O50/Production!$J$30*AF_offal</f>
        <v>1.2404853283926647E-6</v>
      </c>
      <c r="P50" s="54">
        <f>'GHG detailed, absolute'!P50/Production!$J$30*AF_offal</f>
        <v>0</v>
      </c>
      <c r="Q50" s="54">
        <f>'GHG detailed, absolute'!Q50/Production!$J$30*AF_offal</f>
        <v>2.730333801047757E-6</v>
      </c>
      <c r="R50" s="54">
        <f>'GHG detailed, absolute'!R50/Production!$J$30*AF_offal</f>
        <v>7.0280862815244754E-7</v>
      </c>
      <c r="S50" s="13"/>
      <c r="T50" s="51">
        <f>'GHG detailed, absolute'!T50/Production!$J$30*AF_offal</f>
        <v>2.2082102155812121E-4</v>
      </c>
      <c r="U50" s="83">
        <f>'GHG detailed, absolute'!U50/Production!$J$30*AF_offal</f>
        <v>1.2702790973214399E-4</v>
      </c>
      <c r="V50" s="83">
        <f>'GHG detailed, absolute'!V50/Production!$J$30*AF_offal</f>
        <v>9.3793111825977245E-5</v>
      </c>
      <c r="W50" s="13">
        <f>'GHG detailed, absolute'!W50/Production!$J$30*AF_offal</f>
        <v>3.7952997277732888E-6</v>
      </c>
      <c r="X50" s="49">
        <f>'GHG detailed, absolute'!X50/Production!$J$30*AF_offal</f>
        <v>8.8033426727304527E-7</v>
      </c>
      <c r="Z50" s="54"/>
      <c r="AA50" s="54"/>
    </row>
    <row r="51" spans="1:27" ht="15" customHeight="1" x14ac:dyDescent="0.35">
      <c r="A51" s="84" t="s">
        <v>35</v>
      </c>
      <c r="B51" s="84" t="s">
        <v>36</v>
      </c>
      <c r="C51" s="85" t="s">
        <v>37</v>
      </c>
      <c r="D51" s="95" t="s">
        <v>54</v>
      </c>
      <c r="E51" s="93" t="s">
        <v>55</v>
      </c>
      <c r="F51" s="87" t="s">
        <v>133</v>
      </c>
      <c r="G51" s="88">
        <f>'GHG detailed, absolute'!G51/Production!$J$30*AF_offal</f>
        <v>0.71835536117768028</v>
      </c>
      <c r="H51" s="89">
        <f>'GHG detailed, absolute'!H51/Production!$J$30*AF_offal</f>
        <v>5.1988032224809015E-2</v>
      </c>
      <c r="I51" s="89">
        <f>'GHG detailed, absolute'!I51/Production!$J$30*AF_offal</f>
        <v>2.4352283457706424E-2</v>
      </c>
      <c r="J51" s="89">
        <f>'GHG detailed, absolute'!J51/Production!$J$30*AF_offal</f>
        <v>0.13262123208609597</v>
      </c>
      <c r="K51" s="89">
        <f>'GHG detailed, absolute'!K51/Production!$J$30*AF_offal</f>
        <v>1.3262123208609597E-2</v>
      </c>
      <c r="L51" s="89">
        <f>'GHG detailed, absolute'!L51/Production!$J$30*AF_offal</f>
        <v>3.298962867922383E-2</v>
      </c>
      <c r="M51" s="89">
        <f>'GHG detailed, absolute'!M51/Production!$J$30*AF_offal</f>
        <v>0</v>
      </c>
      <c r="N51" s="89">
        <f>'GHG detailed, absolute'!N51/Production!$J$30*AF_offal</f>
        <v>4.1727898887239926E-5</v>
      </c>
      <c r="O51" s="89">
        <f>'GHG detailed, absolute'!O51/Production!$J$30*AF_offal</f>
        <v>4.3405519297627371E-2</v>
      </c>
      <c r="P51" s="89">
        <f>'GHG detailed, absolute'!P51/Production!$J$30*AF_offal</f>
        <v>3.6022560891867721E-2</v>
      </c>
      <c r="Q51" s="89">
        <f>'GHG detailed, absolute'!Q51/Production!$J$30*AF_offal</f>
        <v>6.9801567182615779E-2</v>
      </c>
      <c r="R51" s="89">
        <f>'GHG detailed, absolute'!R51/Production!$J$30*AF_offal</f>
        <v>2.0106893861357694E-2</v>
      </c>
      <c r="S51" s="89">
        <f>'GHG detailed, absolute'!S51/Production!$J$30*AF_offal</f>
        <v>3.6074149066918734E-2</v>
      </c>
      <c r="T51" s="89">
        <f>'GHG detailed, absolute'!T51/Production!$J$30*AF_offal</f>
        <v>0.11089188674454667</v>
      </c>
      <c r="U51" s="89"/>
      <c r="V51" s="89"/>
      <c r="W51" s="89">
        <f>'GHG detailed, absolute'!W51/Production!$J$30*AF_offal</f>
        <v>0.10424882698336529</v>
      </c>
      <c r="X51" s="89">
        <f>'GHG detailed, absolute'!X51/Production!$J$30*AF_offal</f>
        <v>4.2548929594048844E-2</v>
      </c>
      <c r="Z51" s="90">
        <f>'GHG detailed, absolute'!Z51/Production!$J$30*AF_offal</f>
        <v>0.42459156878880067</v>
      </c>
      <c r="AA51" s="91">
        <f>'GHG detailed, absolute'!AA51/Production!$J$30*AF_offal</f>
        <v>3.2133445235489765E-5</v>
      </c>
    </row>
    <row r="52" spans="1:27" ht="15" customHeight="1" x14ac:dyDescent="0.35">
      <c r="A52" s="73" t="s">
        <v>35</v>
      </c>
      <c r="B52" s="73" t="s">
        <v>36</v>
      </c>
      <c r="C52" s="74" t="s">
        <v>37</v>
      </c>
      <c r="D52" t="s">
        <v>56</v>
      </c>
      <c r="E52" s="75" t="s">
        <v>57</v>
      </c>
      <c r="F52" s="76" t="s">
        <v>129</v>
      </c>
      <c r="G52" s="77">
        <f>'GHG detailed, absolute'!G52/Production!$K$30*AF_offal</f>
        <v>0.33424059414463925</v>
      </c>
      <c r="H52" s="77">
        <f>'GHG detailed, absolute'!H52/Production!$K$30*AF_offal</f>
        <v>6.2470720370965002E-2</v>
      </c>
      <c r="I52" s="77">
        <f>'GHG detailed, absolute'!I52/Production!$K$30*AF_offal</f>
        <v>2.4178658262649335E-2</v>
      </c>
      <c r="J52" s="77">
        <f>'GHG detailed, absolute'!J52/Production!$K$30*AF_offal</f>
        <v>0</v>
      </c>
      <c r="K52" s="77"/>
      <c r="L52" s="77">
        <f>'GHG detailed, absolute'!L52/Production!$K$30*AF_offal</f>
        <v>4.1626405727908669E-2</v>
      </c>
      <c r="M52" s="77"/>
      <c r="N52" s="77">
        <f>'GHG detailed, absolute'!N52/Production!$K$30*AF_offal</f>
        <v>7.5641268024185812E-3</v>
      </c>
      <c r="O52" s="77">
        <f>'GHG detailed, absolute'!O52/Production!$K$30*AF_offal</f>
        <v>3.4716690715297753E-2</v>
      </c>
      <c r="P52" s="77">
        <f>'GHG detailed, absolute'!P52/Production!$K$30*AF_offal</f>
        <v>4.291177393494832E-2</v>
      </c>
      <c r="Q52" s="77">
        <f>'GHG detailed, absolute'!Q52/Production!$K$30*AF_offal</f>
        <v>2.2162994946883906E-2</v>
      </c>
      <c r="R52" s="77">
        <f>'GHG detailed, absolute'!R52/Production!$K$30*AF_offal</f>
        <v>3.5439698416086567E-2</v>
      </c>
      <c r="S52" s="78"/>
      <c r="T52" s="79"/>
      <c r="U52" s="80"/>
      <c r="V52" s="80"/>
      <c r="W52" s="78">
        <f>'GHG detailed, absolute'!W52/Production!$K$30*AF_offal</f>
        <v>4.4278666733958305E-2</v>
      </c>
      <c r="X52" s="81">
        <f>'GHG detailed, absolute'!X52/Production!$K$30*AF_offal</f>
        <v>1.8890858233522774E-2</v>
      </c>
      <c r="Z52" s="53"/>
      <c r="AA52" s="53"/>
    </row>
    <row r="53" spans="1:27" x14ac:dyDescent="0.35">
      <c r="A53" s="20" t="s">
        <v>35</v>
      </c>
      <c r="B53" s="20" t="s">
        <v>36</v>
      </c>
      <c r="C53" s="16" t="s">
        <v>37</v>
      </c>
      <c r="D53" t="s">
        <v>56</v>
      </c>
      <c r="E53" s="18" t="s">
        <v>57</v>
      </c>
      <c r="F53" s="20" t="s">
        <v>130</v>
      </c>
      <c r="G53" s="53">
        <f>'GHG detailed, absolute'!G53/Production!$K$30*AF_offal</f>
        <v>3.7882038027108657E-4</v>
      </c>
      <c r="H53" s="58">
        <f>'GHG detailed, absolute'!H53/Production!$K$30*AF_offal</f>
        <v>5.1702181038037379E-6</v>
      </c>
      <c r="I53" s="58">
        <f>'GHG detailed, absolute'!I53/Production!$K$30*AF_offal</f>
        <v>8.5073056850062462E-5</v>
      </c>
      <c r="J53" s="58"/>
      <c r="K53" s="58"/>
      <c r="L53" s="58">
        <f>'GHG detailed, absolute'!L53/Production!$K$30*AF_offal</f>
        <v>1.8439094107344155E-5</v>
      </c>
      <c r="M53" s="58"/>
      <c r="N53" s="58">
        <f>'GHG detailed, absolute'!N53/Production!$K$30*AF_offal</f>
        <v>2.2358108324652032E-5</v>
      </c>
      <c r="O53" s="58">
        <f>'GHG detailed, absolute'!O53/Production!$K$30*AF_offal</f>
        <v>2.6222813285906957E-5</v>
      </c>
      <c r="P53" s="58">
        <f>'GHG detailed, absolute'!P53/Production!$K$30*AF_offal</f>
        <v>0</v>
      </c>
      <c r="Q53" s="58">
        <f>'GHG detailed, absolute'!Q53/Production!$K$30*AF_offal</f>
        <v>3.7244593536774733E-5</v>
      </c>
      <c r="R53" s="58">
        <f>'GHG detailed, absolute'!R53/Production!$K$30*AF_offal</f>
        <v>3.0294544626139304E-5</v>
      </c>
      <c r="W53" s="13">
        <f>'GHG detailed, absolute'!W53/Production!$K$30*AF_offal</f>
        <v>7.8805505640144977E-5</v>
      </c>
      <c r="X53" s="49">
        <f>'GHG detailed, absolute'!X53/Production!$K$30*AF_offal</f>
        <v>7.5212445796258209E-5</v>
      </c>
      <c r="Z53" s="54"/>
      <c r="AA53" s="54"/>
    </row>
    <row r="54" spans="1:27" x14ac:dyDescent="0.35">
      <c r="A54" s="20" t="s">
        <v>35</v>
      </c>
      <c r="B54" s="20" t="s">
        <v>36</v>
      </c>
      <c r="C54" s="16" t="s">
        <v>37</v>
      </c>
      <c r="D54" t="s">
        <v>56</v>
      </c>
      <c r="E54" s="18" t="s">
        <v>57</v>
      </c>
      <c r="F54" s="20" t="s">
        <v>131</v>
      </c>
      <c r="G54" s="53">
        <f>'GHG detailed, absolute'!G54/Production!$K$30*AF_offal</f>
        <v>1.1229976931869043E-2</v>
      </c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13">
        <f>'GHG detailed, absolute'!S54/Production!$K$30*AF_offal</f>
        <v>1.3637332222868966E-3</v>
      </c>
      <c r="T54" s="51">
        <f>'GHG detailed, absolute'!T54/Production!$K$30*AF_offal</f>
        <v>9.866243709582145E-3</v>
      </c>
      <c r="U54" s="59">
        <f>'GHG detailed, absolute'!U54/Production!$K$30*AF_offal</f>
        <v>9.866243709582145E-3</v>
      </c>
      <c r="W54" s="13"/>
      <c r="X54" s="49"/>
      <c r="Z54" s="54"/>
      <c r="AA54" s="54"/>
    </row>
    <row r="55" spans="1:27" ht="15" customHeight="1" x14ac:dyDescent="0.35">
      <c r="A55" s="20" t="s">
        <v>35</v>
      </c>
      <c r="B55" s="20" t="s">
        <v>36</v>
      </c>
      <c r="C55" s="16" t="s">
        <v>37</v>
      </c>
      <c r="D55" t="s">
        <v>56</v>
      </c>
      <c r="E55" s="18" t="s">
        <v>57</v>
      </c>
      <c r="F55" s="82" t="s">
        <v>132</v>
      </c>
      <c r="G55" s="53">
        <f>'GHG detailed, absolute'!G55/Production!$K$30*AF_offal</f>
        <v>7.2188468588128948E-4</v>
      </c>
      <c r="H55" s="58">
        <f>'GHG detailed, absolute'!H55/Production!$K$30*AF_offal</f>
        <v>1.565362649001618E-5</v>
      </c>
      <c r="I55" s="54">
        <f>'GHG detailed, absolute'!I55/Production!$K$30*AF_offal</f>
        <v>9.8505644773756557E-7</v>
      </c>
      <c r="J55" s="54">
        <f>'GHG detailed, absolute'!J55/Production!$K$30*AF_offal</f>
        <v>4.7317240864301396E-4</v>
      </c>
      <c r="K55" s="54">
        <f>'GHG detailed, absolute'!K55/Production!$K$30*AF_offal</f>
        <v>4.7317240864301399E-5</v>
      </c>
      <c r="L55" s="54">
        <f>'GHG detailed, absolute'!L55/Production!$K$30*AF_offal</f>
        <v>1.1185177513821614E-6</v>
      </c>
      <c r="M55" s="54"/>
      <c r="N55" s="54">
        <f>'GHG detailed, absolute'!N55/Production!$K$30*AF_offal</f>
        <v>3.2510053487157302E-7</v>
      </c>
      <c r="O55" s="54">
        <f>'GHG detailed, absolute'!O55/Production!$K$30*AF_offal</f>
        <v>1.2757480762740139E-6</v>
      </c>
      <c r="P55" s="54">
        <f>'GHG detailed, absolute'!P55/Production!$K$30*AF_offal</f>
        <v>0</v>
      </c>
      <c r="Q55" s="54">
        <f>'GHG detailed, absolute'!Q55/Production!$K$30*AF_offal</f>
        <v>2.0865392063026012E-6</v>
      </c>
      <c r="R55" s="54">
        <f>'GHG detailed, absolute'!R55/Production!$K$30*AF_offal</f>
        <v>1.330210450336101E-6</v>
      </c>
      <c r="T55" s="51">
        <f>'GHG detailed, absolute'!T55/Production!$K$30*AF_offal</f>
        <v>1.7446436409563135E-4</v>
      </c>
      <c r="U55" s="83">
        <f>'GHG detailed, absolute'!U55/Production!$K$30*AF_offal</f>
        <v>1.0037244397680239E-4</v>
      </c>
      <c r="V55" s="83">
        <f>'GHG detailed, absolute'!V55/Production!$K$30*AF_offal</f>
        <v>7.4091920118828967E-5</v>
      </c>
      <c r="W55" s="13">
        <f>'GHG detailed, absolute'!W55/Production!$K$30*AF_offal</f>
        <v>3.4542403614662693E-6</v>
      </c>
      <c r="X55" s="49">
        <f>'GHG detailed, absolute'!X55/Production!$K$30*AF_offal</f>
        <v>7.0163295995638385E-7</v>
      </c>
      <c r="Z55" s="54"/>
      <c r="AA55" s="54"/>
    </row>
    <row r="56" spans="1:27" ht="15" customHeight="1" x14ac:dyDescent="0.35">
      <c r="A56" s="84" t="s">
        <v>35</v>
      </c>
      <c r="B56" s="84" t="s">
        <v>36</v>
      </c>
      <c r="C56" s="85" t="s">
        <v>37</v>
      </c>
      <c r="D56" s="95" t="s">
        <v>56</v>
      </c>
      <c r="E56" s="86" t="s">
        <v>57</v>
      </c>
      <c r="F56" s="87" t="s">
        <v>133</v>
      </c>
      <c r="G56" s="88">
        <f>'GHG detailed, absolute'!G56/Production!$K$30*AF_offal</f>
        <v>0.84581333788277369</v>
      </c>
      <c r="H56" s="89">
        <f>'GHG detailed, absolute'!H56/Production!$K$30*AF_offal</f>
        <v>6.6898232902232777E-2</v>
      </c>
      <c r="I56" s="89">
        <f>'GHG detailed, absolute'!I56/Production!$K$30*AF_offal</f>
        <v>2.6982755767013557E-2</v>
      </c>
      <c r="J56" s="89">
        <f>'GHG detailed, absolute'!J56/Production!$K$30*AF_offal</f>
        <v>0.12917606755954281</v>
      </c>
      <c r="K56" s="89">
        <f>'GHG detailed, absolute'!K56/Production!$K$30*AF_offal</f>
        <v>1.291760675595428E-2</v>
      </c>
      <c r="L56" s="89">
        <f>'GHG detailed, absolute'!L56/Production!$K$30*AF_offal</f>
        <v>4.2481246078434856E-2</v>
      </c>
      <c r="M56" s="89">
        <f>'GHG detailed, absolute'!M56/Production!$K$30*AF_offal</f>
        <v>0</v>
      </c>
      <c r="N56" s="89">
        <f>'GHG detailed, absolute'!N56/Production!$K$30*AF_offal</f>
        <v>8.3191508765131511E-3</v>
      </c>
      <c r="O56" s="89">
        <f>'GHG detailed, absolute'!O56/Production!$K$30*AF_offal</f>
        <v>3.5846409776040582E-2</v>
      </c>
      <c r="P56" s="89">
        <f>'GHG detailed, absolute'!P56/Production!$K$30*AF_offal</f>
        <v>4.291177393494832E-2</v>
      </c>
      <c r="Q56" s="89">
        <f>'GHG detailed, absolute'!Q56/Production!$K$30*AF_offal</f>
        <v>2.38425090376004E-2</v>
      </c>
      <c r="R56" s="89">
        <f>'GHG detailed, absolute'!R56/Production!$K$30*AF_offal</f>
        <v>3.6705623298887276E-2</v>
      </c>
      <c r="S56" s="89">
        <f>'GHG detailed, absolute'!S56/Production!$K$30*AF_offal</f>
        <v>3.682079700174621E-2</v>
      </c>
      <c r="T56" s="89">
        <f>'GHG detailed, absolute'!T56/Production!$K$30*AF_offal</f>
        <v>0.31401735155682525</v>
      </c>
      <c r="U56" s="89"/>
      <c r="V56" s="89"/>
      <c r="W56" s="89">
        <f>'GHG detailed, absolute'!W56/Production!$K$30*AF_offal</f>
        <v>4.7570078420714909E-2</v>
      </c>
      <c r="X56" s="89">
        <f>'GHG detailed, absolute'!X56/Production!$K$30*AF_offal</f>
        <v>2.1323734916319358E-2</v>
      </c>
      <c r="Z56" s="90">
        <f>'GHG detailed, absolute'!Z56/Production!$K$30*AF_offal</f>
        <v>0.42608137598716794</v>
      </c>
      <c r="AA56" s="91">
        <f>'GHG detailed, absolute'!AA56/Production!$K$30*AF_offal</f>
        <v>3.0573282256926545E-5</v>
      </c>
    </row>
    <row r="57" spans="1:27" ht="15" customHeight="1" x14ac:dyDescent="0.35">
      <c r="A57" s="20" t="s">
        <v>35</v>
      </c>
      <c r="B57" s="20" t="s">
        <v>36</v>
      </c>
      <c r="C57" s="16" t="s">
        <v>37</v>
      </c>
      <c r="D57" s="18" t="s">
        <v>58</v>
      </c>
      <c r="E57" s="18" t="s">
        <v>59</v>
      </c>
      <c r="F57" s="92" t="s">
        <v>129</v>
      </c>
      <c r="G57" s="77">
        <f>'GHG detailed, absolute'!G57/Production!$L$30*AF_offal</f>
        <v>0.2040419014568827</v>
      </c>
      <c r="H57" s="53">
        <f>'GHG detailed, absolute'!H57/Production!$L$30*AF_offal</f>
        <v>3.8777684856714179E-2</v>
      </c>
      <c r="I57" s="53">
        <f>'GHG detailed, absolute'!I57/Production!$L$30*AF_offal</f>
        <v>2.1206083773471444E-2</v>
      </c>
      <c r="J57" s="53">
        <f>'GHG detailed, absolute'!J57/Production!$L$30*AF_offal</f>
        <v>0</v>
      </c>
      <c r="K57" s="53"/>
      <c r="L57" s="53">
        <f>'GHG detailed, absolute'!L57/Production!$L$30*AF_offal</f>
        <v>3.1211697826353055E-2</v>
      </c>
      <c r="M57" s="53"/>
      <c r="N57" s="53">
        <f>'GHG detailed, absolute'!N57/Production!$L$30*AF_offal</f>
        <v>1.7343713772586646E-4</v>
      </c>
      <c r="O57" s="53">
        <f>'GHG detailed, absolute'!O57/Production!$L$30*AF_offal</f>
        <v>2.8183227404545364E-2</v>
      </c>
      <c r="P57" s="53">
        <f>'GHG detailed, absolute'!P57/Production!$L$30*AF_offal</f>
        <v>2.9777618010434413E-2</v>
      </c>
      <c r="Q57" s="53">
        <f>'GHG detailed, absolute'!Q57/Production!$L$30*AF_offal</f>
        <v>1.059634589507874E-2</v>
      </c>
      <c r="R57" s="53">
        <f>'GHG detailed, absolute'!R57/Production!$L$30*AF_offal</f>
        <v>1.2406372323079539E-2</v>
      </c>
      <c r="W57" s="13">
        <f>'GHG detailed, absolute'!W57/Production!$L$30*AF_offal</f>
        <v>1.6994042354319887E-2</v>
      </c>
      <c r="X57" s="49">
        <f>'GHG detailed, absolute'!X57/Production!$L$30*AF_offal</f>
        <v>1.4715391875160206E-2</v>
      </c>
    </row>
    <row r="58" spans="1:27" x14ac:dyDescent="0.35">
      <c r="A58" s="20" t="s">
        <v>35</v>
      </c>
      <c r="B58" s="20" t="s">
        <v>36</v>
      </c>
      <c r="C58" s="16" t="s">
        <v>37</v>
      </c>
      <c r="D58" s="18" t="s">
        <v>58</v>
      </c>
      <c r="E58" s="18" t="s">
        <v>59</v>
      </c>
      <c r="F58" s="20" t="s">
        <v>130</v>
      </c>
      <c r="G58" s="53">
        <f>'GHG detailed, absolute'!G58/Production!$L$30*AF_offal</f>
        <v>2.0645812012214234E-4</v>
      </c>
      <c r="H58" s="58">
        <f>'GHG detailed, absolute'!H58/Production!$L$30*AF_offal</f>
        <v>6.803202375604038E-6</v>
      </c>
      <c r="I58" s="58">
        <f>'GHG detailed, absolute'!I58/Production!$L$30*AF_offal</f>
        <v>7.4613998462214328E-5</v>
      </c>
      <c r="J58" s="58"/>
      <c r="K58" s="58"/>
      <c r="L58" s="58">
        <f>'GHG detailed, absolute'!L58/Production!$L$30*AF_offal</f>
        <v>1.3825729687832646E-5</v>
      </c>
      <c r="M58" s="58"/>
      <c r="N58" s="58">
        <f>'GHG detailed, absolute'!N58/Production!$L$30*AF_offal</f>
        <v>5.1823281616813413E-7</v>
      </c>
      <c r="O58" s="58">
        <f>'GHG detailed, absolute'!O58/Production!$L$30*AF_offal</f>
        <v>1.2452414948246013E-5</v>
      </c>
      <c r="P58" s="58">
        <f>'GHG detailed, absolute'!P58/Production!$L$30*AF_offal</f>
        <v>0</v>
      </c>
      <c r="Q58" s="58">
        <f>'GHG detailed, absolute'!Q58/Production!$L$30*AF_offal</f>
        <v>1.712466334883008E-5</v>
      </c>
      <c r="R58" s="58">
        <f>'GHG detailed, absolute'!R58/Production!$L$30*AF_offal</f>
        <v>1.1437303169669249E-5</v>
      </c>
      <c r="W58" s="13">
        <f>'GHG detailed, absolute'!W58/Production!$L$30*AF_offal</f>
        <v>1.1512214250494825E-5</v>
      </c>
      <c r="X58" s="49">
        <f>'GHG detailed, absolute'!X58/Production!$L$30*AF_offal</f>
        <v>5.8170361063083017E-5</v>
      </c>
    </row>
    <row r="59" spans="1:27" x14ac:dyDescent="0.35">
      <c r="A59" s="20" t="s">
        <v>35</v>
      </c>
      <c r="B59" s="20" t="s">
        <v>36</v>
      </c>
      <c r="C59" s="16" t="s">
        <v>37</v>
      </c>
      <c r="D59" s="18" t="s">
        <v>58</v>
      </c>
      <c r="E59" s="18" t="s">
        <v>59</v>
      </c>
      <c r="F59" s="20" t="s">
        <v>131</v>
      </c>
      <c r="G59" s="53">
        <f>'GHG detailed, absolute'!G59/Production!$L$30*AF_offal</f>
        <v>3.1322133132377626E-3</v>
      </c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13">
        <f>'GHG detailed, absolute'!S59/Production!$L$30*AF_offal</f>
        <v>1.324265664295462E-3</v>
      </c>
      <c r="T59" s="50">
        <f>'GHG detailed, absolute'!T59/Production!$L$30*AF_offal</f>
        <v>1.807947648942301E-3</v>
      </c>
      <c r="U59" s="96">
        <f>'GHG detailed, absolute'!U59/Production!$L$30*AF_offal</f>
        <v>1.807947648942301E-3</v>
      </c>
      <c r="W59" s="13"/>
      <c r="X59" s="49"/>
      <c r="Z59" s="54"/>
      <c r="AA59" s="54"/>
    </row>
    <row r="60" spans="1:27" ht="15" customHeight="1" x14ac:dyDescent="0.35">
      <c r="A60" s="20" t="s">
        <v>35</v>
      </c>
      <c r="B60" s="20" t="s">
        <v>36</v>
      </c>
      <c r="C60" s="16" t="s">
        <v>37</v>
      </c>
      <c r="D60" s="18" t="s">
        <v>58</v>
      </c>
      <c r="E60" s="18" t="s">
        <v>59</v>
      </c>
      <c r="F60" s="82" t="s">
        <v>132</v>
      </c>
      <c r="G60" s="53">
        <f>'GHG detailed, absolute'!G60/Production!$L$30*AF_offal</f>
        <v>6.8941305826855062E-4</v>
      </c>
      <c r="H60" s="58">
        <f>'GHG detailed, absolute'!H60/Production!$L$30*AF_offal</f>
        <v>2.5965857042463422E-5</v>
      </c>
      <c r="I60" s="54">
        <f>'GHG detailed, absolute'!I60/Production!$L$30*AF_offal</f>
        <v>8.6395156114142925E-7</v>
      </c>
      <c r="J60" s="54">
        <f>'GHG detailed, absolute'!J60/Production!$L$30*AF_offal</f>
        <v>4.368387303013811E-4</v>
      </c>
      <c r="K60" s="54">
        <f>'GHG detailed, absolute'!K60/Production!$L$30*AF_offal</f>
        <v>4.368387303013812E-5</v>
      </c>
      <c r="L60" s="54">
        <f>'GHG detailed, absolute'!L60/Production!$L$30*AF_offal</f>
        <v>8.3867048953846425E-7</v>
      </c>
      <c r="M60" s="54"/>
      <c r="N60" s="54">
        <f>'GHG detailed, absolute'!N60/Production!$L$30*AF_offal</f>
        <v>7.4280508055978514E-9</v>
      </c>
      <c r="O60" s="54">
        <f>'GHG detailed, absolute'!O60/Production!$L$30*AF_offal</f>
        <v>1.0728016175176396E-6</v>
      </c>
      <c r="P60" s="54">
        <f>'GHG detailed, absolute'!P60/Production!$L$30*AF_offal</f>
        <v>0</v>
      </c>
      <c r="Q60" s="54">
        <f>'GHG detailed, absolute'!Q60/Production!$L$30*AF_offal</f>
        <v>1.5231155745934722E-6</v>
      </c>
      <c r="R60" s="54">
        <f>'GHG detailed, absolute'!R60/Production!$L$30*AF_offal</f>
        <v>4.8652754487127015E-7</v>
      </c>
      <c r="T60" s="51">
        <f>'GHG detailed, absolute'!T60/Production!$L$30*AF_offal</f>
        <v>1.7572697127721644E-4</v>
      </c>
      <c r="U60" s="83">
        <f>'GHG detailed, absolute'!U60/Production!$L$30*AF_offal</f>
        <v>9.9433864205914778E-5</v>
      </c>
      <c r="V60" s="83">
        <f>'GHG detailed, absolute'!V60/Production!$L$30*AF_offal</f>
        <v>7.6293107071301691E-5</v>
      </c>
      <c r="W60" s="13">
        <f>'GHG detailed, absolute'!W60/Production!$L$30*AF_offal</f>
        <v>1.7840950159676911E-6</v>
      </c>
      <c r="X60" s="49">
        <f>'GHG detailed, absolute'!X60/Production!$L$30*AF_offal</f>
        <v>6.2103676291600347E-7</v>
      </c>
    </row>
    <row r="61" spans="1:27" ht="15" customHeight="1" x14ac:dyDescent="0.35">
      <c r="A61" s="84" t="s">
        <v>35</v>
      </c>
      <c r="B61" s="84" t="s">
        <v>36</v>
      </c>
      <c r="C61" s="85" t="s">
        <v>37</v>
      </c>
      <c r="D61" s="86" t="s">
        <v>58</v>
      </c>
      <c r="E61" s="86" t="s">
        <v>59</v>
      </c>
      <c r="F61" s="87" t="s">
        <v>133</v>
      </c>
      <c r="G61" s="97">
        <f>'GHG detailed, absolute'!G61/Production!$L$30*AF_offal</f>
        <v>0.4829738778012565</v>
      </c>
      <c r="H61" s="98">
        <f>'GHG detailed, absolute'!H61/Production!$L$30*AF_offal</f>
        <v>4.6069099260099694E-2</v>
      </c>
      <c r="I61" s="89">
        <f>'GHG detailed, absolute'!I61/Production!$L$30*AF_offal</f>
        <v>2.3665439703837041E-2</v>
      </c>
      <c r="J61" s="89">
        <f>'GHG detailed, absolute'!J61/Production!$L$30*AF_offal</f>
        <v>0.11925697337227703</v>
      </c>
      <c r="K61" s="89">
        <f>'GHG detailed, absolute'!K61/Production!$L$30*AF_offal</f>
        <v>1.1925697337227707E-2</v>
      </c>
      <c r="L61" s="89">
        <f>'GHG detailed, absolute'!L61/Production!$L$30*AF_offal</f>
        <v>3.1852661614694466E-2</v>
      </c>
      <c r="M61" s="89">
        <f>'GHG detailed, absolute'!M61/Production!$L$30*AF_offal</f>
        <v>0</v>
      </c>
      <c r="N61" s="89">
        <f>'GHG detailed, absolute'!N61/Production!$L$30*AF_offal</f>
        <v>1.9090833351760505E-4</v>
      </c>
      <c r="O61" s="89">
        <f>'GHG detailed, absolute'!O61/Production!$L$30*AF_offal</f>
        <v>2.8847184211585417E-2</v>
      </c>
      <c r="P61" s="89">
        <f>'GHG detailed, absolute'!P61/Production!$L$30*AF_offal</f>
        <v>2.9777618010434413E-2</v>
      </c>
      <c r="Q61" s="89">
        <f>'GHG detailed, absolute'!Q61/Production!$L$30*AF_offal</f>
        <v>1.1522471414737894E-2</v>
      </c>
      <c r="R61" s="89">
        <f>'GHG detailed, absolute'!R61/Production!$L$30*AF_offal</f>
        <v>1.288002597728554E-2</v>
      </c>
      <c r="S61" s="89">
        <f>'GHG detailed, absolute'!S61/Production!$L$30*AF_offal</f>
        <v>3.5755172935977471E-2</v>
      </c>
      <c r="T61" s="89">
        <f>'GHG detailed, absolute'!T61/Production!$L$30*AF_offal</f>
        <v>9.678804968012221E-2</v>
      </c>
      <c r="U61" s="89"/>
      <c r="V61" s="89"/>
      <c r="W61" s="89">
        <f>'GHG detailed, absolute'!W61/Production!$L$30*AF_offal</f>
        <v>1.782416427834381E-2</v>
      </c>
      <c r="X61" s="89">
        <f>'GHG detailed, absolute'!X61/Production!$L$30*AF_offal</f>
        <v>1.6618411671116152E-2</v>
      </c>
      <c r="Z61" s="90">
        <f>'GHG detailed, absolute'!Z61/Production!$L$30*AF_offal</f>
        <v>0.31598807923569688</v>
      </c>
      <c r="AA61" s="91">
        <f>'GHG detailed, absolute'!AA61/Production!$L$30*AF_offal</f>
        <v>2.0973977600337451E-5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55A11"/>
  </sheetPr>
  <dimension ref="A2:AA21"/>
  <sheetViews>
    <sheetView zoomScale="52" zoomScaleNormal="100" workbookViewId="0">
      <selection activeCell="C7" sqref="C7"/>
    </sheetView>
  </sheetViews>
  <sheetFormatPr defaultColWidth="8.6328125" defaultRowHeight="14.5" x14ac:dyDescent="0.35"/>
  <cols>
    <col min="1" max="1" width="8.54296875" style="1" customWidth="1"/>
    <col min="2" max="2" width="22.54296875" customWidth="1"/>
    <col min="3" max="3" width="25.453125" customWidth="1"/>
    <col min="4" max="4" width="16.453125" customWidth="1"/>
    <col min="5" max="11" width="10.453125" customWidth="1"/>
    <col min="12" max="13" width="14.54296875" customWidth="1"/>
    <col min="14" max="14" width="14.54296875" style="20" customWidth="1"/>
    <col min="15" max="20" width="14.54296875" customWidth="1"/>
    <col min="21" max="21" width="15.54296875" customWidth="1"/>
  </cols>
  <sheetData>
    <row r="2" spans="1:21" ht="21" customHeight="1" x14ac:dyDescent="0.5">
      <c r="A2" s="2" t="s">
        <v>137</v>
      </c>
      <c r="M2" s="21" t="s">
        <v>1</v>
      </c>
    </row>
    <row r="3" spans="1:21" x14ac:dyDescent="0.35">
      <c r="P3" s="22"/>
      <c r="R3" s="22"/>
      <c r="S3" s="23"/>
      <c r="T3" s="23"/>
      <c r="U3" s="23"/>
    </row>
    <row r="4" spans="1:21" x14ac:dyDescent="0.35">
      <c r="A4" s="24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6"/>
      <c r="O4" s="25"/>
      <c r="P4" s="27"/>
      <c r="Q4" s="25"/>
      <c r="R4" s="27"/>
      <c r="S4" s="28"/>
      <c r="T4" s="28"/>
      <c r="U4" s="28"/>
    </row>
    <row r="5" spans="1:21" x14ac:dyDescent="0.35">
      <c r="A5" s="29" t="s">
        <v>2</v>
      </c>
      <c r="B5" s="30"/>
      <c r="C5" s="30"/>
      <c r="D5" s="31"/>
      <c r="E5" s="31"/>
      <c r="F5" s="32" t="s">
        <v>3</v>
      </c>
      <c r="G5" s="31"/>
      <c r="H5" s="31"/>
      <c r="I5" s="31"/>
      <c r="J5" s="31"/>
      <c r="K5" s="31"/>
      <c r="L5" s="33" t="s">
        <v>4</v>
      </c>
      <c r="M5" s="33" t="s">
        <v>5</v>
      </c>
      <c r="N5" s="33" t="s">
        <v>6</v>
      </c>
      <c r="O5" s="33" t="s">
        <v>7</v>
      </c>
      <c r="P5" s="34" t="s">
        <v>8</v>
      </c>
      <c r="Q5" s="34" t="s">
        <v>9</v>
      </c>
      <c r="R5" s="34" t="s">
        <v>10</v>
      </c>
      <c r="S5" s="34" t="s">
        <v>11</v>
      </c>
      <c r="T5" s="35" t="s">
        <v>12</v>
      </c>
      <c r="U5" s="35" t="s">
        <v>13</v>
      </c>
    </row>
    <row r="6" spans="1:21" s="47" customFormat="1" ht="43.5" customHeight="1" x14ac:dyDescent="0.35">
      <c r="A6" s="36" t="s">
        <v>14</v>
      </c>
      <c r="B6" s="37" t="s">
        <v>15</v>
      </c>
      <c r="C6" s="37" t="s">
        <v>16</v>
      </c>
      <c r="D6" s="38" t="s">
        <v>17</v>
      </c>
      <c r="E6" s="39" t="s">
        <v>18</v>
      </c>
      <c r="F6" s="40" t="s">
        <v>19</v>
      </c>
      <c r="G6" s="41" t="s">
        <v>20</v>
      </c>
      <c r="H6" s="40" t="s">
        <v>21</v>
      </c>
      <c r="I6" s="40" t="s">
        <v>22</v>
      </c>
      <c r="J6" s="40" t="s">
        <v>23</v>
      </c>
      <c r="K6" s="41" t="s">
        <v>24</v>
      </c>
      <c r="L6" s="42" t="s">
        <v>25</v>
      </c>
      <c r="M6" s="42" t="s">
        <v>26</v>
      </c>
      <c r="N6" s="42" t="s">
        <v>27</v>
      </c>
      <c r="O6" s="43" t="s">
        <v>28</v>
      </c>
      <c r="P6" s="44" t="s">
        <v>29</v>
      </c>
      <c r="Q6" s="45" t="s">
        <v>30</v>
      </c>
      <c r="R6" s="45" t="s">
        <v>31</v>
      </c>
      <c r="S6" s="45" t="s">
        <v>32</v>
      </c>
      <c r="T6" s="46" t="s">
        <v>33</v>
      </c>
      <c r="U6" s="46" t="s">
        <v>34</v>
      </c>
    </row>
    <row r="7" spans="1:21" x14ac:dyDescent="0.35">
      <c r="A7" s="48" t="s">
        <v>138</v>
      </c>
      <c r="B7" s="20" t="s">
        <v>139</v>
      </c>
      <c r="C7" s="16" t="s">
        <v>140</v>
      </c>
      <c r="D7" t="s">
        <v>38</v>
      </c>
      <c r="E7" t="s">
        <v>39</v>
      </c>
      <c r="F7" s="49">
        <f>'Footprints, absolute'!F7/Production!$B$35*AF_lard</f>
        <v>5.0041543774343955</v>
      </c>
      <c r="G7" s="49">
        <f>'Footprints, absolute'!G7/Production!$B$35*AF_lard</f>
        <v>2.4004350561061081</v>
      </c>
      <c r="H7" s="50">
        <f>'Footprints, absolute'!H7/Production!$B$35*AF_lard</f>
        <v>2.5986067491156652E-3</v>
      </c>
      <c r="I7" s="51">
        <f>'Footprints, absolute'!I7/Production!$B$35*AF_lard</f>
        <v>2.7878555939381672E-2</v>
      </c>
      <c r="J7" s="51">
        <f>'Footprints, absolute'!J7/Production!$B$35*AF_lard</f>
        <v>6.4965561532649655E-3</v>
      </c>
      <c r="L7" s="52">
        <f>'Footprints, absolute'!L7/Production!$B$35*AF_lard</f>
        <v>11.627815985244194</v>
      </c>
      <c r="M7" s="53">
        <f>'Footprints, absolute'!M7/Production!$B$35*AF_lard</f>
        <v>0.18032955050584409</v>
      </c>
      <c r="N7" s="53">
        <f>'Footprints, absolute'!N7/Production!$B$35*AF_lard</f>
        <v>2.033128071550502E-2</v>
      </c>
      <c r="O7" s="52">
        <f>'Footprints, absolute'!O7/Production!$B$35*AF_lard</f>
        <v>0.21707558263388504</v>
      </c>
      <c r="P7" s="54">
        <f>'Footprints, absolute'!P7/Production!$B$35*AF_lard</f>
        <v>1.0167169088399253</v>
      </c>
      <c r="Q7" s="54">
        <f>'Footprints, absolute'!Q7/Production!$B$35*AF_lard</f>
        <v>1.6309444989078913E-10</v>
      </c>
      <c r="R7" s="52">
        <f>'Footprints, absolute'!R7/Production!$B$35*AF_lard</f>
        <v>5.2688547008618504E-2</v>
      </c>
      <c r="S7" s="55"/>
      <c r="T7" s="13">
        <f>'Footprints, absolute'!T7*AF_lard</f>
        <v>9.3418381922184518E-2</v>
      </c>
      <c r="U7" s="56">
        <f>'Footprints, absolute'!U7*AF_lard</f>
        <v>1.1190317349110637</v>
      </c>
    </row>
    <row r="8" spans="1:21" x14ac:dyDescent="0.35">
      <c r="A8" s="48" t="s">
        <v>138</v>
      </c>
      <c r="B8" s="20" t="s">
        <v>139</v>
      </c>
      <c r="C8" s="16" t="s">
        <v>140</v>
      </c>
      <c r="D8" t="s">
        <v>40</v>
      </c>
      <c r="E8" t="s">
        <v>41</v>
      </c>
      <c r="F8" s="49">
        <f>'Footprints, absolute'!F8/Production!$C$35*AF_lard</f>
        <v>5.8952224382495579</v>
      </c>
      <c r="G8" s="49">
        <f>'Footprints, absolute'!G8/Production!$C$35*AF_lard</f>
        <v>1.7113344882461552</v>
      </c>
      <c r="H8" s="50">
        <f>'Footprints, absolute'!H8/Production!$C$35*AF_lard</f>
        <v>2.2770948683067975E-3</v>
      </c>
      <c r="I8" s="51">
        <f>'Footprints, absolute'!I8/Production!$C$35*AF_lard</f>
        <v>9.8807579014978844E-2</v>
      </c>
      <c r="J8" s="51">
        <f>'Footprints, absolute'!J8/Production!$C$35*AF_lard</f>
        <v>5.304856738181065E-3</v>
      </c>
      <c r="L8" s="52">
        <f>'Footprints, absolute'!L8/Production!$C$35*AF_lard</f>
        <v>10.70656834297028</v>
      </c>
      <c r="M8" s="53">
        <f>'Footprints, absolute'!M8/Production!$C$35*AF_lard</f>
        <v>0.11281067901488717</v>
      </c>
      <c r="N8" s="53">
        <f>'Footprints, absolute'!N8/Production!$C$35*AF_lard</f>
        <v>1.7502262965973785E-2</v>
      </c>
      <c r="O8" s="52">
        <f>'Footprints, absolute'!O8/Production!$C$35*AF_lard</f>
        <v>0.25901129512275756</v>
      </c>
      <c r="P8" s="54">
        <f>'Footprints, absolute'!P8/Production!$C$35*AF_lard</f>
        <v>2.174610772503458</v>
      </c>
      <c r="Q8" s="54">
        <f>'Footprints, absolute'!Q8/Production!$C$35*AF_lard</f>
        <v>1.8600910867574027E-10</v>
      </c>
      <c r="R8" s="52">
        <f>'Footprints, absolute'!R8/Production!$C$35*AF_lard</f>
        <v>6.8699434283570449E-2</v>
      </c>
      <c r="S8" s="55"/>
      <c r="T8" s="13">
        <f>'Footprints, absolute'!T8*AF_lard</f>
        <v>9.0846697284866287E-2</v>
      </c>
      <c r="U8" s="56">
        <f>'Footprints, absolute'!U8*AF_lard</f>
        <v>1.6364755619581703</v>
      </c>
    </row>
    <row r="9" spans="1:21" x14ac:dyDescent="0.35">
      <c r="A9" s="48" t="s">
        <v>138</v>
      </c>
      <c r="B9" s="20" t="s">
        <v>139</v>
      </c>
      <c r="C9" s="16" t="s">
        <v>140</v>
      </c>
      <c r="D9" t="s">
        <v>42</v>
      </c>
      <c r="E9" t="s">
        <v>43</v>
      </c>
      <c r="F9" s="49">
        <f>'Footprints, absolute'!F9/Production!$D$35*AF_lard</f>
        <v>6.1996491334304968</v>
      </c>
      <c r="G9" s="49">
        <f>'Footprints, absolute'!G9/Production!$D$35*AF_lard</f>
        <v>2.4639874855143811</v>
      </c>
      <c r="H9" s="50">
        <f>'Footprints, absolute'!H9/Production!$D$35*AF_lard</f>
        <v>3.2778751408079555E-3</v>
      </c>
      <c r="I9" s="51">
        <f>'Footprints, absolute'!I9/Production!$D$35*AF_lard</f>
        <v>7.4966861139825453E-2</v>
      </c>
      <c r="J9" s="51">
        <f>'Footprints, absolute'!J9/Production!$D$35*AF_lard</f>
        <v>5.9116326664642978E-3</v>
      </c>
      <c r="L9" s="52">
        <f>'Footprints, absolute'!L9/Production!$D$35*AF_lard</f>
        <v>10.909948673682237</v>
      </c>
      <c r="M9" s="53">
        <f>'Footprints, absolute'!M9/Production!$D$35*AF_lard</f>
        <v>0.11577603278771495</v>
      </c>
      <c r="N9" s="53">
        <f>'Footprints, absolute'!N9/Production!$D$35*AF_lard</f>
        <v>1.7304319830558402E-2</v>
      </c>
      <c r="O9" s="52">
        <f>'Footprints, absolute'!O9/Production!$D$35*AF_lard</f>
        <v>0.19076474085972692</v>
      </c>
      <c r="P9" s="54">
        <f>'Footprints, absolute'!P9/Production!$D$35*AF_lard</f>
        <v>1.8833788826069646</v>
      </c>
      <c r="Q9" s="54">
        <f>'Footprints, absolute'!Q9/Production!$D$35*AF_lard</f>
        <v>1.958688689075065E-10</v>
      </c>
      <c r="R9" s="52">
        <f>'Footprints, absolute'!R9/Production!$D$35*AF_lard</f>
        <v>8.5297560365339933E-2</v>
      </c>
      <c r="S9" s="55"/>
      <c r="T9" s="13">
        <f>'Footprints, absolute'!T9*AF_lard</f>
        <v>8.3823377849780556E-2</v>
      </c>
      <c r="U9" s="56">
        <f>'Footprints, absolute'!U9*AF_lard</f>
        <v>2.7417722495315768</v>
      </c>
    </row>
    <row r="10" spans="1:21" x14ac:dyDescent="0.35">
      <c r="A10" s="48" t="s">
        <v>138</v>
      </c>
      <c r="B10" s="20" t="s">
        <v>139</v>
      </c>
      <c r="C10" s="16" t="s">
        <v>140</v>
      </c>
      <c r="D10" t="s">
        <v>44</v>
      </c>
      <c r="E10" t="s">
        <v>45</v>
      </c>
      <c r="F10" s="49">
        <f>'Footprints, absolute'!F10/Production!$E$35*AF_lard</f>
        <v>9.8380651940590145</v>
      </c>
      <c r="G10" s="49">
        <f>'Footprints, absolute'!G10/Production!$E$35*AF_lard</f>
        <v>2.8828473211799768</v>
      </c>
      <c r="H10" s="50">
        <f>'Footprints, absolute'!H10/Production!$E$35*AF_lard</f>
        <v>5.3748701710801053E-3</v>
      </c>
      <c r="I10" s="51">
        <f>'Footprints, absolute'!I10/Production!$E$35*AF_lard</f>
        <v>0.19414706443089899</v>
      </c>
      <c r="J10" s="51">
        <f>'Footprints, absolute'!J10/Production!$E$35*AF_lard</f>
        <v>5.6889230847860048E-3</v>
      </c>
      <c r="L10" s="52">
        <f>'Footprints, absolute'!L10/Production!$E$35*AF_lard</f>
        <v>26.961746293438541</v>
      </c>
      <c r="M10" s="53">
        <f>'Footprints, absolute'!M10/Production!$E$35*AF_lard</f>
        <v>0.21040181869079619</v>
      </c>
      <c r="N10" s="53">
        <f>'Footprints, absolute'!N10/Production!$E$35*AF_lard</f>
        <v>1.8873222405407002E-2</v>
      </c>
      <c r="O10" s="52">
        <f>'Footprints, absolute'!O10/Production!$E$35*AF_lard</f>
        <v>0.17714302282445685</v>
      </c>
      <c r="P10" s="54">
        <f>'Footprints, absolute'!P10/Production!$E$35*AF_lard</f>
        <v>2.8487673286662014</v>
      </c>
      <c r="Q10" s="54">
        <f>'Footprints, absolute'!Q10/Production!$E$35*AF_lard</f>
        <v>1.2693921633452818E-9</v>
      </c>
      <c r="R10" s="52">
        <f>'Footprints, absolute'!R10/Production!$E$35*AF_lard</f>
        <v>9.8104656530208056E-2</v>
      </c>
      <c r="S10" s="55"/>
      <c r="T10" s="13">
        <f>'Footprints, absolute'!T10*AF_lard</f>
        <v>8.957547907709236E-2</v>
      </c>
      <c r="U10" s="56">
        <f>'Footprints, absolute'!U10*AF_lard</f>
        <v>5.3496106902836438</v>
      </c>
    </row>
    <row r="11" spans="1:21" x14ac:dyDescent="0.35">
      <c r="A11" s="48" t="s">
        <v>138</v>
      </c>
      <c r="B11" s="20" t="s">
        <v>139</v>
      </c>
      <c r="C11" s="16" t="s">
        <v>140</v>
      </c>
      <c r="D11" t="s">
        <v>46</v>
      </c>
      <c r="E11" t="s">
        <v>47</v>
      </c>
      <c r="F11" s="49">
        <f>'Footprints, absolute'!F11/Production!$F$35*AF_lard</f>
        <v>5.7176374076165857</v>
      </c>
      <c r="G11" s="49">
        <f>'Footprints, absolute'!G11/Production!$F$35*AF_lard</f>
        <v>2.4652345105012845</v>
      </c>
      <c r="H11" s="50">
        <f>'Footprints, absolute'!H11/Production!$F$35*AF_lard</f>
        <v>3.7076018244413642E-3</v>
      </c>
      <c r="I11" s="51">
        <f>'Footprints, absolute'!I11/Production!$F$35*AF_lard</f>
        <v>5.8368516596912556E-2</v>
      </c>
      <c r="J11" s="51">
        <f>'Footprints, absolute'!J11/Production!$F$35*AF_lard</f>
        <v>5.7361407129315313E-3</v>
      </c>
      <c r="L11" s="52">
        <f>'Footprints, absolute'!L11/Production!$F$35*AF_lard</f>
        <v>13.996873000188749</v>
      </c>
      <c r="M11" s="53">
        <f>'Footprints, absolute'!M11/Production!$F$35*AF_lard</f>
        <v>0.14479501351499852</v>
      </c>
      <c r="N11" s="53">
        <f>'Footprints, absolute'!N11/Production!$F$35*AF_lard</f>
        <v>3.0640138172268079E-2</v>
      </c>
      <c r="O11" s="52">
        <f>'Footprints, absolute'!O11/Production!$F$35*AF_lard</f>
        <v>0.25080289765514263</v>
      </c>
      <c r="P11" s="54">
        <f>'Footprints, absolute'!P11/Production!$F$35*AF_lard</f>
        <v>1.617560499358671</v>
      </c>
      <c r="Q11" s="54">
        <f>'Footprints, absolute'!Q11/Production!$F$35*AF_lard</f>
        <v>2.7376349749246781E-10</v>
      </c>
      <c r="R11" s="52">
        <f>'Footprints, absolute'!R11/Production!$F$35*AF_lard</f>
        <v>6.506871739441196E-2</v>
      </c>
      <c r="S11" s="55"/>
      <c r="T11" s="13">
        <f>'Footprints, absolute'!T11*AF_lard</f>
        <v>9.1161712082546392E-2</v>
      </c>
      <c r="U11" s="56">
        <f>'Footprints, absolute'!U11*AF_lard</f>
        <v>4.1694879608007369</v>
      </c>
    </row>
    <row r="12" spans="1:21" x14ac:dyDescent="0.35">
      <c r="A12" s="48" t="s">
        <v>138</v>
      </c>
      <c r="B12" s="20" t="s">
        <v>139</v>
      </c>
      <c r="C12" s="16" t="s">
        <v>140</v>
      </c>
      <c r="D12" t="s">
        <v>48</v>
      </c>
      <c r="E12" t="s">
        <v>49</v>
      </c>
      <c r="F12" s="49">
        <f>'Footprints, absolute'!F12/Production!$G$35*AF_lard</f>
        <v>4.2597608501074982</v>
      </c>
      <c r="G12" s="49">
        <f>'Footprints, absolute'!G12/Production!$G$35*AF_lard</f>
        <v>2.3309245484201302</v>
      </c>
      <c r="H12" s="50">
        <f>'Footprints, absolute'!H12/Production!$G$35*AF_lard</f>
        <v>2.7211530236279737E-3</v>
      </c>
      <c r="I12" s="51">
        <f>'Footprints, absolute'!I12/Production!$G$35*AF_lard</f>
        <v>2.3865877198232559E-2</v>
      </c>
      <c r="J12" s="51">
        <f>'Footprints, absolute'!J12/Production!$G$35*AF_lard</f>
        <v>4.4079386711757332E-3</v>
      </c>
      <c r="L12" s="52">
        <f>'Footprints, absolute'!L12/Production!$G$35*AF_lard</f>
        <v>10.523822281304771</v>
      </c>
      <c r="M12" s="53">
        <f>'Footprints, absolute'!M12/Production!$G$35*AF_lard</f>
        <v>0.11206129617556992</v>
      </c>
      <c r="N12" s="53">
        <f>'Footprints, absolute'!N12/Production!$G$35*AF_lard</f>
        <v>1.3600470185837901E-2</v>
      </c>
      <c r="O12" s="52">
        <f>'Footprints, absolute'!O12/Production!$G$35*AF_lard</f>
        <v>0.21184257957378824</v>
      </c>
      <c r="P12" s="54">
        <f>'Footprints, absolute'!P12/Production!$G$35*AF_lard</f>
        <v>2.9816149655898005</v>
      </c>
      <c r="Q12" s="54">
        <f>'Footprints, absolute'!Q12/Production!$G$35*AF_lard</f>
        <v>1.9672016834122342E-10</v>
      </c>
      <c r="R12" s="52">
        <f>'Footprints, absolute'!R12/Production!$G$35*AF_lard</f>
        <v>5.6012499885731974E-2</v>
      </c>
      <c r="S12" s="55"/>
      <c r="T12" s="13">
        <f>'Footprints, absolute'!T12*AF_lard</f>
        <v>8.7100127152161061E-2</v>
      </c>
      <c r="U12" s="56">
        <f>'Footprints, absolute'!U12*AF_lard</f>
        <v>1.8151338285968852</v>
      </c>
    </row>
    <row r="13" spans="1:21" x14ac:dyDescent="0.35">
      <c r="A13" s="48" t="s">
        <v>138</v>
      </c>
      <c r="B13" s="20" t="s">
        <v>139</v>
      </c>
      <c r="C13" s="16" t="s">
        <v>140</v>
      </c>
      <c r="D13" t="s">
        <v>50</v>
      </c>
      <c r="E13" t="s">
        <v>51</v>
      </c>
      <c r="F13" s="49">
        <f>'Footprints, absolute'!F13/Production!$H$35*AF_lard</f>
        <v>9.3087115889954024</v>
      </c>
      <c r="G13" s="49">
        <f>'Footprints, absolute'!G13/Production!$H$35*AF_lard</f>
        <v>2.9303227735687623</v>
      </c>
      <c r="H13" s="50">
        <f>'Footprints, absolute'!H13/Production!$H$35*AF_lard</f>
        <v>6.3928250979658173E-3</v>
      </c>
      <c r="I13" s="51">
        <f>'Footprints, absolute'!I13/Production!$H$35*AF_lard</f>
        <v>0.15399024797353006</v>
      </c>
      <c r="J13" s="51">
        <f>'Footprints, absolute'!J13/Production!$H$35*AF_lard</f>
        <v>7.4364319861609839E-3</v>
      </c>
      <c r="L13" s="52">
        <f>'Footprints, absolute'!L13/Production!$H$35*AF_lard</f>
        <v>16.336888329450794</v>
      </c>
      <c r="M13" s="53">
        <f>'Footprints, absolute'!M13/Production!$H$35*AF_lard</f>
        <v>0.15212408060569546</v>
      </c>
      <c r="N13" s="53">
        <f>'Footprints, absolute'!N13/Production!$H$35*AF_lard</f>
        <v>3.1584664266991053E-2</v>
      </c>
      <c r="O13" s="52">
        <f>'Footprints, absolute'!O13/Production!$H$35*AF_lard</f>
        <v>0.37768208368984324</v>
      </c>
      <c r="P13" s="54">
        <f>'Footprints, absolute'!P13/Production!$H$35*AF_lard</f>
        <v>1.9367467831692347</v>
      </c>
      <c r="Q13" s="54">
        <f>'Footprints, absolute'!Q13/Production!$H$35*AF_lard</f>
        <v>8.7760848976443047E-10</v>
      </c>
      <c r="R13" s="52">
        <f>'Footprints, absolute'!R13/Production!$H$35*AF_lard</f>
        <v>0.12983998680315087</v>
      </c>
      <c r="S13" s="55"/>
      <c r="T13" s="13">
        <f>'Footprints, absolute'!T13*AF_lard</f>
        <v>6.2592666682364864E-2</v>
      </c>
      <c r="U13" s="56">
        <f>'Footprints, absolute'!U13*AF_lard</f>
        <v>6.7451184129945592</v>
      </c>
    </row>
    <row r="14" spans="1:21" x14ac:dyDescent="0.35">
      <c r="A14" s="48" t="s">
        <v>138</v>
      </c>
      <c r="B14" s="20" t="s">
        <v>139</v>
      </c>
      <c r="C14" s="16" t="s">
        <v>140</v>
      </c>
      <c r="D14" t="s">
        <v>52</v>
      </c>
      <c r="E14" t="s">
        <v>53</v>
      </c>
      <c r="F14" s="49">
        <f>'Footprints, absolute'!F14/Production!$I$35*AF_lard</f>
        <v>7.2369238181673134</v>
      </c>
      <c r="G14" s="49">
        <f>'Footprints, absolute'!G14/Production!$I$35*AF_lard</f>
        <v>2.5690896661128928</v>
      </c>
      <c r="H14" s="50">
        <f>'Footprints, absolute'!H14/Production!$I$35*AF_lard</f>
        <v>3.0808873730740071E-3</v>
      </c>
      <c r="I14" s="51">
        <f>'Footprints, absolute'!I14/Production!$I$35*AF_lard</f>
        <v>0.12043372944681555</v>
      </c>
      <c r="J14" s="51">
        <f>'Footprints, absolute'!J14/Production!$I$35*AF_lard</f>
        <v>4.85096341858167E-3</v>
      </c>
      <c r="L14" s="52">
        <f>'Footprints, absolute'!L14/Production!$I$35*AF_lard</f>
        <v>10.856897459216775</v>
      </c>
      <c r="M14" s="53">
        <f>'Footprints, absolute'!M14/Production!$I$35*AF_lard</f>
        <v>0.13155808601335059</v>
      </c>
      <c r="N14" s="53">
        <f>'Footprints, absolute'!N14/Production!$I$35*AF_lard</f>
        <v>1.9188179500424157E-2</v>
      </c>
      <c r="O14" s="52">
        <f>'Footprints, absolute'!O14/Production!$I$35*AF_lard</f>
        <v>0.20069673095943066</v>
      </c>
      <c r="P14" s="54">
        <f>'Footprints, absolute'!P14/Production!$I$35*AF_lard</f>
        <v>1.4432421998428231</v>
      </c>
      <c r="Q14" s="54">
        <f>'Footprints, absolute'!Q14/Production!$I$35*AF_lard</f>
        <v>2.1412927836286058E-10</v>
      </c>
      <c r="R14" s="52">
        <f>'Footprints, absolute'!R14/Production!$I$35*AF_lard</f>
        <v>4.9410836283371694E-2</v>
      </c>
      <c r="S14" s="55"/>
      <c r="T14" s="13">
        <f>'Footprints, absolute'!T14*AF_lard</f>
        <v>7.9329324682700722E-2</v>
      </c>
      <c r="U14" s="56">
        <f>'Footprints, absolute'!U14*AF_lard</f>
        <v>1.3835567084998583</v>
      </c>
    </row>
    <row r="15" spans="1:21" x14ac:dyDescent="0.35">
      <c r="A15" s="48" t="s">
        <v>138</v>
      </c>
      <c r="B15" s="20" t="s">
        <v>139</v>
      </c>
      <c r="C15" s="16" t="s">
        <v>140</v>
      </c>
      <c r="D15" t="s">
        <v>54</v>
      </c>
      <c r="E15" t="s">
        <v>55</v>
      </c>
      <c r="F15" s="49">
        <f>'Footprints, absolute'!F15/Production!$J$35*AF_lard</f>
        <v>5.9980986378145689</v>
      </c>
      <c r="G15" s="49">
        <f>'Footprints, absolute'!G15/Production!$J$35*AF_lard</f>
        <v>3.3209040827869036</v>
      </c>
      <c r="H15" s="50">
        <f>'Footprints, absolute'!H15/Production!$J$35*AF_lard</f>
        <v>5.0981445777715361E-3</v>
      </c>
      <c r="I15" s="51">
        <f>'Footprints, absolute'!I15/Production!$J$35*AF_lard</f>
        <v>2.6806425609992302E-2</v>
      </c>
      <c r="J15" s="51">
        <f>'Footprints, absolute'!J15/Production!$J$35*AF_lard</f>
        <v>6.598887747766599E-3</v>
      </c>
      <c r="L15" s="52">
        <f>'Footprints, absolute'!L15/Production!$J$35*AF_lard</f>
        <v>14.834061643925111</v>
      </c>
      <c r="M15" s="53">
        <f>'Footprints, absolute'!M15/Production!$J$35*AF_lard</f>
        <v>0.15729438547641178</v>
      </c>
      <c r="N15" s="53">
        <f>'Footprints, absolute'!N15/Production!$J$35*AF_lard</f>
        <v>2.1996553817841578E-2</v>
      </c>
      <c r="O15" s="52">
        <f>'Footprints, absolute'!O15/Production!$J$35*AF_lard</f>
        <v>0.18080378060582666</v>
      </c>
      <c r="P15" s="54">
        <f>'Footprints, absolute'!P15/Production!$J$35*AF_lard</f>
        <v>1.4600513293168988</v>
      </c>
      <c r="Q15" s="54">
        <f>'Footprints, absolute'!Q15/Production!$J$35*AF_lard</f>
        <v>1.552589404551469E-10</v>
      </c>
      <c r="R15" s="52">
        <f>'Footprints, absolute'!R15/Production!$J$35*AF_lard</f>
        <v>7.5139525404440133E-2</v>
      </c>
      <c r="S15" s="55"/>
      <c r="T15" s="13">
        <f>'Footprints, absolute'!T15*AF_lard</f>
        <v>8.957547907709236E-2</v>
      </c>
      <c r="U15" s="56">
        <f>'Footprints, absolute'!U15*AF_lard</f>
        <v>8.6670500241446522</v>
      </c>
    </row>
    <row r="16" spans="1:21" x14ac:dyDescent="0.35">
      <c r="A16" s="48" t="s">
        <v>138</v>
      </c>
      <c r="B16" s="20" t="s">
        <v>139</v>
      </c>
      <c r="C16" s="16" t="s">
        <v>140</v>
      </c>
      <c r="D16" t="s">
        <v>56</v>
      </c>
      <c r="E16" t="s">
        <v>57</v>
      </c>
      <c r="F16" s="49">
        <f>'Footprints, absolute'!F16/Production!$K$35*AF_lard</f>
        <v>7.0623428235892565</v>
      </c>
      <c r="G16" s="49">
        <f>'Footprints, absolute'!G16/Production!$K$35*AF_lard</f>
        <v>2.7908305008743679</v>
      </c>
      <c r="H16" s="50">
        <f>'Footprints, absolute'!H16/Production!$K$35*AF_lard</f>
        <v>3.1630612502916754E-3</v>
      </c>
      <c r="I16" s="51">
        <f>'Footprints, absolute'!I16/Production!$K$35*AF_lard</f>
        <v>9.3767671236286723E-2</v>
      </c>
      <c r="J16" s="51">
        <f>'Footprints, absolute'!J16/Production!$K$35*AF_lard</f>
        <v>6.0275676706097276E-3</v>
      </c>
      <c r="L16" s="52">
        <f>'Footprints, absolute'!L16/Production!$K$35*AF_lard</f>
        <v>18.953930395312554</v>
      </c>
      <c r="M16" s="53">
        <f>'Footprints, absolute'!M16/Production!$K$35*AF_lard</f>
        <v>0.20470737694757982</v>
      </c>
      <c r="N16" s="53">
        <f>'Footprints, absolute'!N16/Production!$K$35*AF_lard</f>
        <v>2.5565395594472365E-2</v>
      </c>
      <c r="O16" s="52">
        <f>'Footprints, absolute'!O16/Production!$K$35*AF_lard</f>
        <v>0.98210612755114435</v>
      </c>
      <c r="P16" s="54">
        <f>'Footprints, absolute'!P16/Production!$K$35*AF_lard</f>
        <v>1.3879968204414854</v>
      </c>
      <c r="Q16" s="54">
        <f>'Footprints, absolute'!Q16/Production!$K$35*AF_lard</f>
        <v>1.2490182036761513E-9</v>
      </c>
      <c r="R16" s="52">
        <f>'Footprints, absolute'!R16/Production!$K$35*AF_lard</f>
        <v>7.0506094771912137E-2</v>
      </c>
      <c r="S16" s="55"/>
      <c r="T16" s="13">
        <f>'Footprints, absolute'!T16*AF_lard</f>
        <v>9.8615648396722891E-2</v>
      </c>
      <c r="U16" s="56">
        <f>'Footprints, absolute'!U16*AF_lard</f>
        <v>4.4827600832040115</v>
      </c>
    </row>
    <row r="17" spans="1:27" x14ac:dyDescent="0.35">
      <c r="A17" s="48" t="s">
        <v>138</v>
      </c>
      <c r="B17" s="20" t="s">
        <v>139</v>
      </c>
      <c r="C17" s="16" t="s">
        <v>140</v>
      </c>
      <c r="D17" s="18" t="s">
        <v>58</v>
      </c>
      <c r="E17" s="18" t="s">
        <v>59</v>
      </c>
      <c r="F17" s="55">
        <f>'Footprints, absolute'!F17/Production!$L$35*AF_lard</f>
        <v>4.0327185054907693</v>
      </c>
      <c r="G17" s="49">
        <f>'Footprints, absolute'!G17/Production!$L$35*AF_lard</f>
        <v>1.7037019800050024</v>
      </c>
      <c r="H17" s="50">
        <f>'Footprints, absolute'!H17/Production!$L$35*AF_lard</f>
        <v>1.7238768386724401E-3</v>
      </c>
      <c r="I17" s="51">
        <f>'Footprints, absolute'!I17/Production!$L$35*AF_lard</f>
        <v>2.6153245904194159E-2</v>
      </c>
      <c r="J17" s="51">
        <f>'Footprints, absolute'!J17/Production!$L$35*AF_lard</f>
        <v>5.7564372024911555E-3</v>
      </c>
      <c r="K17" s="18"/>
      <c r="L17" s="52">
        <f>'Footprints, absolute'!L17/Production!$L$35*AF_lard</f>
        <v>13.991007472287057</v>
      </c>
      <c r="M17" s="53">
        <f>'Footprints, absolute'!M17/Production!$L$35*AF_lard</f>
        <v>0.14038156108897121</v>
      </c>
      <c r="N17" s="53">
        <f>'Footprints, absolute'!N17/Production!$L$35*AF_lard</f>
        <v>1.4292705955552978E-2</v>
      </c>
      <c r="O17" s="52">
        <f>'Footprints, absolute'!O17/Production!$L$35*AF_lard</f>
        <v>0.19430278226312647</v>
      </c>
      <c r="P17" s="54">
        <f>'Footprints, absolute'!P17/Production!$L$35*AF_lard</f>
        <v>0.86209066840569359</v>
      </c>
      <c r="Q17" s="54">
        <f>'Footprints, absolute'!Q17/Production!$L$35*AF_lard</f>
        <v>8.3617630163245599E-11</v>
      </c>
      <c r="R17" s="52">
        <f>'Footprints, absolute'!R17/Production!$L$35*AF_lard</f>
        <v>5.9142407389831182E-2</v>
      </c>
      <c r="S17" s="55"/>
      <c r="T17" s="13">
        <f>'Footprints, absolute'!T17*AF_lard</f>
        <v>6.8556066386970774E-2</v>
      </c>
      <c r="U17" s="56">
        <f>'Footprints, absolute'!U17*AF_lard</f>
        <v>0.54225092003610054</v>
      </c>
    </row>
    <row r="18" spans="1:27" x14ac:dyDescent="0.35">
      <c r="A18" s="20"/>
      <c r="B18" s="20"/>
      <c r="C18" s="16"/>
      <c r="T18" s="56"/>
    </row>
    <row r="19" spans="1:27" x14ac:dyDescent="0.35">
      <c r="J19" s="51"/>
      <c r="M19" s="51"/>
      <c r="Q19" s="58"/>
    </row>
    <row r="21" spans="1:27" x14ac:dyDescent="0.35">
      <c r="M21" s="50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55A11"/>
  </sheetPr>
  <dimension ref="A1:AA61"/>
  <sheetViews>
    <sheetView zoomScale="62" zoomScaleNormal="100" workbookViewId="0">
      <selection activeCell="C7" sqref="C7"/>
    </sheetView>
  </sheetViews>
  <sheetFormatPr defaultColWidth="8.6328125" defaultRowHeight="14.5" x14ac:dyDescent="0.35"/>
  <cols>
    <col min="1" max="1" width="8.453125" style="1" customWidth="1"/>
    <col min="2" max="2" width="22.453125" customWidth="1"/>
    <col min="3" max="3" width="27.453125" customWidth="1"/>
    <col min="4" max="5" width="10.453125" customWidth="1"/>
    <col min="6" max="6" width="7.54296875" customWidth="1"/>
    <col min="7" max="7" width="9.453125" style="20" customWidth="1"/>
    <col min="8" max="20" width="14.54296875" customWidth="1"/>
    <col min="21" max="22" width="14.54296875" style="23" customWidth="1"/>
    <col min="23" max="24" width="14.54296875" customWidth="1"/>
    <col min="26" max="26" width="16" customWidth="1"/>
    <col min="27" max="27" width="19.453125" customWidth="1"/>
  </cols>
  <sheetData>
    <row r="1" spans="1:27" x14ac:dyDescent="0.35">
      <c r="H1" s="21" t="s">
        <v>97</v>
      </c>
      <c r="S1" s="1" t="s">
        <v>98</v>
      </c>
    </row>
    <row r="2" spans="1:27" ht="21" customHeight="1" x14ac:dyDescent="0.5">
      <c r="A2" s="2" t="s">
        <v>141</v>
      </c>
      <c r="H2" s="21" t="s">
        <v>100</v>
      </c>
      <c r="T2" s="51"/>
      <c r="U2" s="59"/>
    </row>
    <row r="3" spans="1:27" x14ac:dyDescent="0.35">
      <c r="H3" s="21" t="s">
        <v>101</v>
      </c>
      <c r="J3" s="22"/>
      <c r="K3" s="23"/>
      <c r="L3" s="23"/>
      <c r="M3" s="23"/>
      <c r="N3" s="23"/>
      <c r="O3" s="23"/>
      <c r="P3" s="23"/>
      <c r="Q3" s="23"/>
      <c r="R3" s="23"/>
      <c r="S3" s="23"/>
      <c r="T3" s="23"/>
    </row>
    <row r="4" spans="1:27" x14ac:dyDescent="0.35">
      <c r="A4" s="60"/>
      <c r="B4" s="61"/>
      <c r="C4" s="61"/>
      <c r="D4" s="61"/>
      <c r="E4" s="61"/>
      <c r="F4" s="61"/>
      <c r="G4" s="61"/>
      <c r="H4" s="62"/>
      <c r="I4" s="62"/>
      <c r="J4" s="63"/>
      <c r="K4" s="63"/>
      <c r="L4" s="63"/>
      <c r="M4" s="63"/>
      <c r="N4" s="63"/>
      <c r="O4" s="63"/>
      <c r="P4" s="63"/>
      <c r="Q4" s="63"/>
      <c r="R4" s="63"/>
      <c r="S4" s="62" t="s">
        <v>102</v>
      </c>
      <c r="T4" s="62"/>
      <c r="U4" s="64"/>
      <c r="V4" s="64"/>
      <c r="W4" s="63" t="s">
        <v>103</v>
      </c>
      <c r="X4" s="63" t="s">
        <v>104</v>
      </c>
      <c r="Z4" s="62" t="s">
        <v>105</v>
      </c>
      <c r="AA4" s="62"/>
    </row>
    <row r="5" spans="1:27" x14ac:dyDescent="0.35">
      <c r="A5" s="29" t="s">
        <v>2</v>
      </c>
      <c r="B5" s="30"/>
      <c r="C5" s="30"/>
      <c r="D5" s="31"/>
      <c r="E5" s="31"/>
      <c r="F5" s="65"/>
      <c r="G5" s="66" t="s">
        <v>106</v>
      </c>
      <c r="H5" s="66" t="s">
        <v>107</v>
      </c>
      <c r="I5" s="67"/>
      <c r="J5" s="66" t="s">
        <v>108</v>
      </c>
      <c r="K5" s="68"/>
      <c r="L5" s="35" t="s">
        <v>109</v>
      </c>
      <c r="M5" s="68"/>
      <c r="N5" s="68"/>
      <c r="O5" s="68"/>
      <c r="P5" s="35" t="s">
        <v>110</v>
      </c>
      <c r="Q5" s="35" t="s">
        <v>111</v>
      </c>
      <c r="R5" s="35" t="s">
        <v>112</v>
      </c>
      <c r="S5" s="69"/>
      <c r="T5" s="69"/>
      <c r="U5" s="70"/>
      <c r="V5" s="70"/>
      <c r="W5" s="71"/>
      <c r="X5" s="71"/>
      <c r="Z5" s="66"/>
      <c r="AA5" s="66"/>
    </row>
    <row r="6" spans="1:27" ht="60.75" customHeight="1" x14ac:dyDescent="0.35">
      <c r="A6" s="352" t="s">
        <v>14</v>
      </c>
      <c r="B6" s="353" t="s">
        <v>15</v>
      </c>
      <c r="C6" s="353" t="s">
        <v>16</v>
      </c>
      <c r="D6" s="38" t="s">
        <v>17</v>
      </c>
      <c r="E6" s="39" t="s">
        <v>18</v>
      </c>
      <c r="F6" s="38" t="s">
        <v>113</v>
      </c>
      <c r="G6" s="39" t="s">
        <v>114</v>
      </c>
      <c r="H6" s="46" t="s">
        <v>115</v>
      </c>
      <c r="I6" s="46" t="s">
        <v>69</v>
      </c>
      <c r="J6" s="46" t="s">
        <v>116</v>
      </c>
      <c r="K6" s="46" t="s">
        <v>117</v>
      </c>
      <c r="L6" s="46" t="s">
        <v>118</v>
      </c>
      <c r="M6" s="46" t="s">
        <v>119</v>
      </c>
      <c r="N6" s="46" t="s">
        <v>120</v>
      </c>
      <c r="O6" s="46" t="s">
        <v>121</v>
      </c>
      <c r="P6" s="46" t="s">
        <v>122</v>
      </c>
      <c r="Q6" s="46" t="s">
        <v>111</v>
      </c>
      <c r="R6" s="46" t="s">
        <v>74</v>
      </c>
      <c r="S6" s="39" t="s">
        <v>123</v>
      </c>
      <c r="T6" s="39" t="s">
        <v>124</v>
      </c>
      <c r="U6" s="72" t="s">
        <v>125</v>
      </c>
      <c r="V6" s="72" t="s">
        <v>126</v>
      </c>
      <c r="W6" s="46" t="s">
        <v>77</v>
      </c>
      <c r="X6" s="46" t="s">
        <v>78</v>
      </c>
      <c r="Z6" s="39" t="s">
        <v>127</v>
      </c>
      <c r="AA6" s="39" t="s">
        <v>128</v>
      </c>
    </row>
    <row r="7" spans="1:27" x14ac:dyDescent="0.35">
      <c r="A7" s="48" t="s">
        <v>138</v>
      </c>
      <c r="B7" s="20" t="s">
        <v>139</v>
      </c>
      <c r="C7" s="16" t="s">
        <v>140</v>
      </c>
      <c r="D7" s="75" t="s">
        <v>83</v>
      </c>
      <c r="E7" s="75" t="s">
        <v>39</v>
      </c>
      <c r="F7" s="76" t="s">
        <v>129</v>
      </c>
      <c r="G7" s="77">
        <f>'GHG detailed, absolute'!G7/Production!$B$35*AF_lard</f>
        <v>2.4004350561061081</v>
      </c>
      <c r="H7" s="77">
        <f>'GHG detailed, absolute'!H7/Production!$B$35*AF_lard</f>
        <v>0.41663448048277901</v>
      </c>
      <c r="I7" s="77">
        <f>'GHG detailed, absolute'!I7/Production!$B$35*AF_lard</f>
        <v>0.16741652334100784</v>
      </c>
      <c r="J7" s="77">
        <f>'GHG detailed, absolute'!J7/Production!$B$35*AF_lard</f>
        <v>0</v>
      </c>
      <c r="K7" s="77"/>
      <c r="L7" s="77">
        <f>'GHG detailed, absolute'!L7/Production!$B$35*AF_lard</f>
        <v>0.19938977143406711</v>
      </c>
      <c r="M7" s="77"/>
      <c r="N7" s="77">
        <f>'GHG detailed, absolute'!N7/Production!$B$35*AF_lard</f>
        <v>9.7942600137490739E-3</v>
      </c>
      <c r="O7" s="77">
        <f>'GHG detailed, absolute'!O7/Production!$B$35*AF_lard</f>
        <v>0.25432115153497259</v>
      </c>
      <c r="P7" s="77">
        <f>'GHG detailed, absolute'!P7/Production!$B$35*AF_lard</f>
        <v>0.14417162171348105</v>
      </c>
      <c r="Q7" s="77">
        <f>'GHG detailed, absolute'!Q7/Production!$B$35*AF_lard</f>
        <v>0.4417629483885645</v>
      </c>
      <c r="R7" s="77">
        <f>'GHG detailed, absolute'!R7/Production!$B$35*AF_lard</f>
        <v>9.3767881568414507E-2</v>
      </c>
      <c r="S7" s="78"/>
      <c r="T7" s="79"/>
      <c r="U7" s="80"/>
      <c r="V7" s="80"/>
      <c r="W7" s="78">
        <f>'GHG detailed, absolute'!W7/Production!$B$35*AF_lard</f>
        <v>0.48174007501260879</v>
      </c>
      <c r="X7" s="81">
        <f>'GHG detailed, absolute'!X7/Production!$B$35*AF_lard</f>
        <v>0.19143634261646322</v>
      </c>
      <c r="Z7" s="53"/>
      <c r="AA7" s="53"/>
    </row>
    <row r="8" spans="1:27" x14ac:dyDescent="0.35">
      <c r="A8" s="20" t="s">
        <v>138</v>
      </c>
      <c r="B8" s="20" t="s">
        <v>139</v>
      </c>
      <c r="C8" s="16" t="s">
        <v>140</v>
      </c>
      <c r="D8" s="18" t="s">
        <v>83</v>
      </c>
      <c r="E8" s="18" t="s">
        <v>39</v>
      </c>
      <c r="F8" s="20" t="s">
        <v>130</v>
      </c>
      <c r="G8" s="53">
        <f>'GHG detailed, absolute'!G8/Production!$B$35*AF_lard</f>
        <v>2.5986067491156652E-3</v>
      </c>
      <c r="H8" s="58">
        <f>'GHG detailed, absolute'!H8/Production!$B$35*AF_lard</f>
        <v>8.0990520679181E-5</v>
      </c>
      <c r="I8" s="58">
        <f>'GHG detailed, absolute'!I8/Production!$B$35*AF_lard</f>
        <v>6.2344925803750769E-4</v>
      </c>
      <c r="J8" s="58"/>
      <c r="K8" s="58"/>
      <c r="L8" s="58">
        <f>'GHG detailed, absolute'!L8/Production!$B$35*AF_lard</f>
        <v>9.5407457925174183E-5</v>
      </c>
      <c r="M8" s="58"/>
      <c r="N8" s="58">
        <f>'GHG detailed, absolute'!N8/Production!$B$35*AF_lard</f>
        <v>9.5015810067685407E-6</v>
      </c>
      <c r="O8" s="58">
        <f>'GHG detailed, absolute'!O8/Production!$B$35*AF_lard</f>
        <v>1.5815841010821341E-4</v>
      </c>
      <c r="P8" s="58">
        <f>'GHG detailed, absolute'!P8/Production!$B$35*AF_lard</f>
        <v>0</v>
      </c>
      <c r="Q8" s="58">
        <f>'GHG detailed, absolute'!Q8/Production!$B$35*AF_lard</f>
        <v>4.6467950557977381E-4</v>
      </c>
      <c r="R8" s="58">
        <f>'GHG detailed, absolute'!R8/Production!$B$35*AF_lard</f>
        <v>1.9965281691645942E-4</v>
      </c>
      <c r="W8" s="13">
        <f>'GHG detailed, absolute'!W8/Production!$B$35*AF_lard</f>
        <v>4.5487790179353944E-4</v>
      </c>
      <c r="X8" s="49">
        <f>'GHG detailed, absolute'!X8/Production!$B$35*AF_lard</f>
        <v>5.1188929706904749E-4</v>
      </c>
      <c r="Z8" s="54"/>
      <c r="AA8" s="54"/>
    </row>
    <row r="9" spans="1:27" x14ac:dyDescent="0.35">
      <c r="A9" s="20" t="s">
        <v>138</v>
      </c>
      <c r="B9" s="20" t="s">
        <v>139</v>
      </c>
      <c r="C9" s="16" t="s">
        <v>140</v>
      </c>
      <c r="D9" s="18" t="s">
        <v>83</v>
      </c>
      <c r="E9" s="18" t="s">
        <v>39</v>
      </c>
      <c r="F9" s="20" t="s">
        <v>131</v>
      </c>
      <c r="G9" s="53">
        <f>'GHG detailed, absolute'!G9/Production!$B$35*AF_lard</f>
        <v>2.7878555939381672E-2</v>
      </c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13">
        <f>'GHG detailed, absolute'!S9/Production!$B$35*AF_lard</f>
        <v>1.1167597432616432E-2</v>
      </c>
      <c r="T9" s="51">
        <f>'GHG detailed, absolute'!T9/Production!$B$35*AF_lard</f>
        <v>1.6710958506765239E-2</v>
      </c>
      <c r="U9" s="59">
        <f>'GHG detailed, absolute'!U9/Production!$B$35*AF_lard</f>
        <v>1.6710958506765239E-2</v>
      </c>
      <c r="W9" s="13"/>
      <c r="X9" s="49"/>
      <c r="Z9" s="54"/>
      <c r="AA9" s="54"/>
    </row>
    <row r="10" spans="1:27" ht="15" customHeight="1" x14ac:dyDescent="0.35">
      <c r="A10" s="20" t="s">
        <v>138</v>
      </c>
      <c r="B10" s="20" t="s">
        <v>139</v>
      </c>
      <c r="C10" s="16" t="s">
        <v>140</v>
      </c>
      <c r="D10" s="18" t="s">
        <v>83</v>
      </c>
      <c r="E10" s="18" t="s">
        <v>39</v>
      </c>
      <c r="F10" s="82" t="s">
        <v>132</v>
      </c>
      <c r="G10" s="53">
        <f>'GHG detailed, absolute'!G10/Production!$B$35*AF_lard</f>
        <v>6.4965561532649655E-3</v>
      </c>
      <c r="H10" s="58">
        <f>'GHG detailed, absolute'!H10/Production!$B$35*AF_lard</f>
        <v>2.7308514050499176E-4</v>
      </c>
      <c r="I10" s="54">
        <f>'GHG detailed, absolute'!I10/Production!$B$35*AF_lard</f>
        <v>7.2188861456974559E-6</v>
      </c>
      <c r="J10" s="54">
        <f>'GHG detailed, absolute'!J10/Production!$B$35*AF_lard</f>
        <v>4.4991530142984302E-3</v>
      </c>
      <c r="K10" s="54">
        <f>'GHG detailed, absolute'!K10/Production!$B$35*AF_lard</f>
        <v>4.4991530142984306E-4</v>
      </c>
      <c r="L10" s="54">
        <f>'GHG detailed, absolute'!L10/Production!$B$35*AF_lard</f>
        <v>5.7874283130346542E-6</v>
      </c>
      <c r="M10" s="54"/>
      <c r="N10" s="54">
        <f>'GHG detailed, absolute'!N10/Production!$B$35*AF_lard</f>
        <v>1.3650041444879324E-7</v>
      </c>
      <c r="O10" s="54">
        <f>'GHG detailed, absolute'!O10/Production!$B$35*AF_lard</f>
        <v>1.0294131387883387E-5</v>
      </c>
      <c r="P10" s="54">
        <f>'GHG detailed, absolute'!P10/Production!$B$35*AF_lard</f>
        <v>0</v>
      </c>
      <c r="Q10" s="54">
        <f>'GHG detailed, absolute'!Q10/Production!$B$35*AF_lard</f>
        <v>2.0127818542888664E-5</v>
      </c>
      <c r="R10" s="54">
        <f>'GHG detailed, absolute'!R10/Production!$B$35*AF_lard</f>
        <v>8.0732426730960232E-6</v>
      </c>
      <c r="S10" s="13"/>
      <c r="T10" s="51">
        <f>'GHG detailed, absolute'!T10/Production!$B$35*AF_lard</f>
        <v>1.1930099917210144E-3</v>
      </c>
      <c r="U10" s="83">
        <f>'GHG detailed, absolute'!U10/Production!$B$35*AF_lard</f>
        <v>6.6973886802922523E-4</v>
      </c>
      <c r="V10" s="83">
        <f>'GHG detailed, absolute'!V10/Production!$B$35*AF_lard</f>
        <v>5.2327112369178919E-4</v>
      </c>
      <c r="W10" s="13">
        <f>'GHG detailed, absolute'!W10/Production!$B$35*AF_lard</f>
        <v>2.1421718802340417E-5</v>
      </c>
      <c r="X10" s="49">
        <f>'GHG detailed, absolute'!X10/Production!$B$35*AF_lard</f>
        <v>8.3329790312960723E-6</v>
      </c>
      <c r="Z10" s="54"/>
      <c r="AA10" s="54"/>
    </row>
    <row r="11" spans="1:27" ht="15" customHeight="1" x14ac:dyDescent="0.35">
      <c r="A11" s="84" t="s">
        <v>138</v>
      </c>
      <c r="B11" s="84" t="s">
        <v>139</v>
      </c>
      <c r="C11" s="85" t="s">
        <v>140</v>
      </c>
      <c r="D11" s="86" t="s">
        <v>83</v>
      </c>
      <c r="E11" s="86" t="s">
        <v>39</v>
      </c>
      <c r="F11" s="87" t="s">
        <v>133</v>
      </c>
      <c r="G11" s="88">
        <f>'GHG detailed, absolute'!G11/Production!$B$35*AF_lard</f>
        <v>5.0041543774343955</v>
      </c>
      <c r="H11" s="89">
        <f>'GHG detailed, absolute'!H11/Production!$B$35*AF_lard</f>
        <v>0.49360024135688141</v>
      </c>
      <c r="I11" s="89">
        <f>'GHG detailed, absolute'!I11/Production!$B$35*AF_lard</f>
        <v>0.18796606714830097</v>
      </c>
      <c r="J11" s="89">
        <f>'GHG detailed, absolute'!J11/Production!$B$35*AF_lard</f>
        <v>1.2282687729034716</v>
      </c>
      <c r="K11" s="89">
        <f>'GHG detailed, absolute'!K11/Production!$B$35*AF_lard</f>
        <v>0.12282687729034716</v>
      </c>
      <c r="L11" s="89">
        <f>'GHG detailed, absolute'!L11/Production!$B$35*AF_lard</f>
        <v>0.2038128816096958</v>
      </c>
      <c r="M11" s="89">
        <f>'GHG detailed, absolute'!M11/Production!$B$35*AF_lard</f>
        <v>0</v>
      </c>
      <c r="N11" s="89">
        <f>'GHG detailed, absolute'!N11/Production!$B$35*AF_lard</f>
        <v>1.0114671740895297E-2</v>
      </c>
      <c r="O11" s="89">
        <f>'GHG detailed, absolute'!O11/Production!$B$35*AF_lard</f>
        <v>0.26184457002508954</v>
      </c>
      <c r="P11" s="89">
        <f>'GHG detailed, absolute'!P11/Production!$B$35*AF_lard</f>
        <v>0.14417162171348105</v>
      </c>
      <c r="Q11" s="89">
        <f>'GHG detailed, absolute'!Q11/Production!$B$35*AF_lard</f>
        <v>0.46110529211705037</v>
      </c>
      <c r="R11" s="89">
        <f>'GHG detailed, absolute'!R11/Production!$B$35*AF_lard</f>
        <v>0.10192153076228021</v>
      </c>
      <c r="S11" s="89">
        <f>'GHG detailed, absolute'!S11/Production!$B$35*AF_lard</f>
        <v>0.30152513068064368</v>
      </c>
      <c r="T11" s="89">
        <f>'GHG detailed, absolute'!T11/Production!$B$35*AF_lard</f>
        <v>0.77688760742249852</v>
      </c>
      <c r="U11" s="89"/>
      <c r="V11" s="89"/>
      <c r="W11" s="89">
        <f>'GHG detailed, absolute'!W11/Production!$B$35*AF_lard</f>
        <v>0.50114356571909524</v>
      </c>
      <c r="X11" s="89">
        <f>'GHG detailed, absolute'!X11/Production!$B$35*AF_lard</f>
        <v>0.20896554694466471</v>
      </c>
      <c r="Z11" s="90">
        <f>'GHG detailed, absolute'!Z11/Production!$B$35*AF_lard</f>
        <v>3.2156325266674934</v>
      </c>
      <c r="AA11" s="91">
        <f>'GHG detailed, absolute'!AA11/Production!$B$35*AF_lard</f>
        <v>1.9032334115554045E-4</v>
      </c>
    </row>
    <row r="12" spans="1:27" ht="15" customHeight="1" x14ac:dyDescent="0.35">
      <c r="A12" s="20" t="s">
        <v>138</v>
      </c>
      <c r="B12" s="20" t="s">
        <v>139</v>
      </c>
      <c r="C12" s="16" t="s">
        <v>140</v>
      </c>
      <c r="D12" s="18" t="s">
        <v>40</v>
      </c>
      <c r="E12" s="18" t="s">
        <v>41</v>
      </c>
      <c r="F12" s="92" t="s">
        <v>129</v>
      </c>
      <c r="G12" s="77">
        <f>'GHG detailed, absolute'!G12/Production!$C$35*AF_lard</f>
        <v>1.7113344882461552</v>
      </c>
      <c r="H12" s="77">
        <f>'GHG detailed, absolute'!H12/Production!$C$35*AF_lard</f>
        <v>0.29725112079345678</v>
      </c>
      <c r="I12" s="77">
        <f>'GHG detailed, absolute'!I12/Production!$C$35*AF_lard</f>
        <v>0.16970745999925591</v>
      </c>
      <c r="J12" s="77">
        <f>'GHG detailed, absolute'!J12/Production!$C$35*AF_lard</f>
        <v>0</v>
      </c>
      <c r="K12" s="77"/>
      <c r="L12" s="77">
        <f>'GHG detailed, absolute'!L12/Production!$C$35*AF_lard</f>
        <v>0.19276136538381891</v>
      </c>
      <c r="M12" s="77"/>
      <c r="N12" s="77">
        <f>'GHG detailed, absolute'!N12/Production!$C$35*AF_lard</f>
        <v>6.4498338640365006E-3</v>
      </c>
      <c r="O12" s="77">
        <f>'GHG detailed, absolute'!O12/Production!$C$35*AF_lard</f>
        <v>0.23166897017752702</v>
      </c>
      <c r="P12" s="77">
        <f>'GHG detailed, absolute'!P12/Production!$C$35*AF_lard</f>
        <v>0.16298787524567679</v>
      </c>
      <c r="Q12" s="77">
        <f>'GHG detailed, absolute'!Q12/Production!$C$35*AF_lard</f>
        <v>0.13070924330786091</v>
      </c>
      <c r="R12" s="77">
        <f>'GHG detailed, absolute'!R12/Production!$C$35*AF_lard</f>
        <v>0.15265914620708149</v>
      </c>
      <c r="S12" s="78"/>
      <c r="T12" s="79"/>
      <c r="U12" s="80"/>
      <c r="V12" s="80"/>
      <c r="W12" s="78">
        <f>'GHG detailed, absolute'!W12/Production!$C$35*AF_lard</f>
        <v>0.24399634703779971</v>
      </c>
      <c r="X12" s="81">
        <f>'GHG detailed, absolute'!X12/Production!$C$35*AF_lard</f>
        <v>0.12314312622964146</v>
      </c>
      <c r="Z12" s="53"/>
      <c r="AA12" s="53"/>
    </row>
    <row r="13" spans="1:27" x14ac:dyDescent="0.35">
      <c r="A13" s="20" t="s">
        <v>138</v>
      </c>
      <c r="B13" s="20" t="s">
        <v>139</v>
      </c>
      <c r="C13" s="16" t="s">
        <v>140</v>
      </c>
      <c r="D13" s="18" t="s">
        <v>40</v>
      </c>
      <c r="E13" s="18" t="s">
        <v>41</v>
      </c>
      <c r="F13" s="20" t="s">
        <v>130</v>
      </c>
      <c r="G13" s="53">
        <f>'GHG detailed, absolute'!G13/Production!$C$35*AF_lard</f>
        <v>2.2770948683067975E-3</v>
      </c>
      <c r="H13" s="58">
        <f>'GHG detailed, absolute'!H13/Production!$C$35*AF_lard</f>
        <v>1.0584451666170529E-4</v>
      </c>
      <c r="I13" s="58">
        <f>'GHG detailed, absolute'!I13/Production!$C$35*AF_lard</f>
        <v>5.9711884073812267E-4</v>
      </c>
      <c r="J13" s="58"/>
      <c r="K13" s="58"/>
      <c r="L13" s="58">
        <f>'GHG detailed, absolute'!L13/Production!$C$35*AF_lard</f>
        <v>8.5386785008664652E-5</v>
      </c>
      <c r="M13" s="58"/>
      <c r="N13" s="58">
        <f>'GHG detailed, absolute'!N13/Production!$C$35*AF_lard</f>
        <v>1.9135875438889108E-5</v>
      </c>
      <c r="O13" s="58">
        <f>'GHG detailed, absolute'!O13/Production!$C$35*AF_lard</f>
        <v>1.2515027291036177E-4</v>
      </c>
      <c r="P13" s="58">
        <f>'GHG detailed, absolute'!P13/Production!$C$35*AF_lard</f>
        <v>0</v>
      </c>
      <c r="Q13" s="58">
        <f>'GHG detailed, absolute'!Q13/Production!$C$35*AF_lard</f>
        <v>3.9172860016606635E-4</v>
      </c>
      <c r="R13" s="58">
        <f>'GHG detailed, absolute'!R13/Production!$C$35*AF_lard</f>
        <v>1.462800667622743E-4</v>
      </c>
      <c r="W13" s="13">
        <f>'GHG detailed, absolute'!W13/Production!$C$35*AF_lard</f>
        <v>2.7878754356783171E-4</v>
      </c>
      <c r="X13" s="49">
        <f>'GHG detailed, absolute'!X13/Production!$C$35*AF_lard</f>
        <v>5.276623670528815E-4</v>
      </c>
      <c r="Z13" s="54"/>
      <c r="AA13" s="54"/>
    </row>
    <row r="14" spans="1:27" x14ac:dyDescent="0.35">
      <c r="A14" s="20" t="s">
        <v>138</v>
      </c>
      <c r="B14" s="20" t="s">
        <v>139</v>
      </c>
      <c r="C14" s="16" t="s">
        <v>140</v>
      </c>
      <c r="D14" s="18" t="s">
        <v>40</v>
      </c>
      <c r="E14" s="18" t="s">
        <v>41</v>
      </c>
      <c r="F14" s="20" t="s">
        <v>131</v>
      </c>
      <c r="G14" s="53">
        <f>'GHG detailed, absolute'!G14/Production!$C$35*AF_lard</f>
        <v>9.8807579014978844E-2</v>
      </c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13">
        <f>'GHG detailed, absolute'!S14/Production!$C$35*AF_lard</f>
        <v>1.1237581646354107E-2</v>
      </c>
      <c r="T14" s="51">
        <f>'GHG detailed, absolute'!T14/Production!$C$35*AF_lard</f>
        <v>8.7569997368624738E-2</v>
      </c>
      <c r="U14" s="59">
        <f>'GHG detailed, absolute'!U14/Production!$C$35*AF_lard</f>
        <v>8.7569997368624738E-2</v>
      </c>
      <c r="W14" s="13"/>
      <c r="X14" s="49"/>
      <c r="Z14" s="54"/>
      <c r="AA14" s="54"/>
    </row>
    <row r="15" spans="1:27" ht="15" customHeight="1" x14ac:dyDescent="0.35">
      <c r="A15" s="20" t="s">
        <v>138</v>
      </c>
      <c r="B15" s="20" t="s">
        <v>139</v>
      </c>
      <c r="C15" s="16" t="s">
        <v>140</v>
      </c>
      <c r="D15" s="18" t="s">
        <v>40</v>
      </c>
      <c r="E15" s="18" t="s">
        <v>41</v>
      </c>
      <c r="F15" s="82" t="s">
        <v>132</v>
      </c>
      <c r="G15" s="53">
        <f>'GHG detailed, absolute'!G15/Production!$C$35*AF_lard</f>
        <v>5.304856738181065E-3</v>
      </c>
      <c r="H15" s="58">
        <f>'GHG detailed, absolute'!H15/Production!$C$35*AF_lard</f>
        <v>1.7489161948320994E-4</v>
      </c>
      <c r="I15" s="54">
        <f>'GHG detailed, absolute'!I15/Production!$C$35*AF_lard</f>
        <v>6.9140076295993154E-6</v>
      </c>
      <c r="J15" s="54">
        <f>'GHG detailed, absolute'!J15/Production!$C$35*AF_lard</f>
        <v>3.1351666411747483E-3</v>
      </c>
      <c r="K15" s="54">
        <f>'GHG detailed, absolute'!K15/Production!$C$35*AF_lard</f>
        <v>3.1351666411747489E-4</v>
      </c>
      <c r="L15" s="54">
        <f>'GHG detailed, absolute'!L15/Production!$C$35*AF_lard</f>
        <v>5.1795730424524568E-6</v>
      </c>
      <c r="M15" s="54"/>
      <c r="N15" s="54">
        <f>'GHG detailed, absolute'!N15/Production!$C$35*AF_lard</f>
        <v>2.768748078153792E-7</v>
      </c>
      <c r="O15" s="54">
        <f>'GHG detailed, absolute'!O15/Production!$C$35*AF_lard</f>
        <v>8.7790511355678854E-6</v>
      </c>
      <c r="P15" s="54">
        <f>'GHG detailed, absolute'!P15/Production!$C$35*AF_lard</f>
        <v>0</v>
      </c>
      <c r="Q15" s="54">
        <f>'GHG detailed, absolute'!Q15/Production!$C$35*AF_lard</f>
        <v>1.7622923918075125E-5</v>
      </c>
      <c r="R15" s="54">
        <f>'GHG detailed, absolute'!R15/Production!$C$35*AF_lard</f>
        <v>5.4238331297436211E-6</v>
      </c>
      <c r="S15" s="13"/>
      <c r="T15" s="51">
        <f>'GHG detailed, absolute'!T15/Production!$C$35*AF_lard</f>
        <v>1.6061747013499978E-3</v>
      </c>
      <c r="U15" s="83">
        <f>'GHG detailed, absolute'!U15/Production!$C$35*AF_lard</f>
        <v>9.0232440093335035E-4</v>
      </c>
      <c r="V15" s="83">
        <f>'GHG detailed, absolute'!V15/Production!$C$35*AF_lard</f>
        <v>7.0385030041664762E-4</v>
      </c>
      <c r="W15" s="13">
        <f>'GHG detailed, absolute'!W15/Production!$C$35*AF_lard</f>
        <v>2.570263113437094E-5</v>
      </c>
      <c r="X15" s="49">
        <f>'GHG detailed, absolute'!X15/Production!$C$35*AF_lard</f>
        <v>5.2082172580101526E-6</v>
      </c>
      <c r="Z15" s="54"/>
      <c r="AA15" s="54"/>
    </row>
    <row r="16" spans="1:27" ht="15" customHeight="1" x14ac:dyDescent="0.35">
      <c r="A16" s="84" t="s">
        <v>138</v>
      </c>
      <c r="B16" s="84" t="s">
        <v>139</v>
      </c>
      <c r="C16" s="85" t="s">
        <v>140</v>
      </c>
      <c r="D16" s="93" t="s">
        <v>40</v>
      </c>
      <c r="E16" s="93" t="s">
        <v>41</v>
      </c>
      <c r="F16" s="94" t="s">
        <v>133</v>
      </c>
      <c r="G16" s="88">
        <f>'GHG detailed, absolute'!G16/Production!$C$35*AF_lard</f>
        <v>5.8952224382495579</v>
      </c>
      <c r="H16" s="89">
        <f>'GHG detailed, absolute'!H16/Production!$C$35*AF_lard</f>
        <v>0.34815069950889194</v>
      </c>
      <c r="I16" s="89">
        <f>'GHG detailed, absolute'!I16/Production!$C$35*AF_lard</f>
        <v>0.1893891255361326</v>
      </c>
      <c r="J16" s="89">
        <f>'GHG detailed, absolute'!J16/Production!$C$35*AF_lard</f>
        <v>0.85590049304070637</v>
      </c>
      <c r="K16" s="89">
        <f>'GHG detailed, absolute'!K16/Production!$C$35*AF_lard</f>
        <v>8.5590049304070631E-2</v>
      </c>
      <c r="L16" s="89">
        <f>'GHG detailed, absolute'!L16/Production!$C$35*AF_lard</f>
        <v>0.19671991501766661</v>
      </c>
      <c r="M16" s="89">
        <f>'GHG detailed, absolute'!M16/Production!$C$35*AF_lard</f>
        <v>0</v>
      </c>
      <c r="N16" s="89">
        <f>'GHG detailed, absolute'!N16/Production!$C$35*AF_lard</f>
        <v>7.095669774648994E-3</v>
      </c>
      <c r="O16" s="89">
        <f>'GHG detailed, absolute'!O16/Production!$C$35*AF_lard</f>
        <v>0.23779512927026583</v>
      </c>
      <c r="P16" s="89">
        <f>'GHG detailed, absolute'!P16/Production!$C$35*AF_lard</f>
        <v>0.16298787524567679</v>
      </c>
      <c r="Q16" s="89">
        <f>'GHG detailed, absolute'!Q16/Production!$C$35*AF_lard</f>
        <v>0.1471938138224442</v>
      </c>
      <c r="R16" s="89">
        <f>'GHG detailed, absolute'!R16/Production!$C$35*AF_lard</f>
        <v>0.15849899864101724</v>
      </c>
      <c r="S16" s="89">
        <f>'GHG detailed, absolute'!S16/Production!$C$35*AF_lard</f>
        <v>0.30341470445156088</v>
      </c>
      <c r="T16" s="89">
        <f>'GHG detailed, absolute'!T16/Production!$C$35*AF_lard</f>
        <v>2.8028756224214177</v>
      </c>
      <c r="U16" s="89"/>
      <c r="V16" s="89"/>
      <c r="W16" s="89">
        <f>'GHG detailed, absolute'!W16/Production!$C$35*AF_lard</f>
        <v>0.25932103413580437</v>
      </c>
      <c r="X16" s="89">
        <f>'GHG detailed, absolute'!X16/Production!$C$35*AF_lard</f>
        <v>0.1402893080792541</v>
      </c>
      <c r="Z16" s="90">
        <f>'GHG detailed, absolute'!Z16/Production!$C$35*AF_lard</f>
        <v>2.3893217691615214</v>
      </c>
      <c r="AA16" s="91">
        <f>'GHG detailed, absolute'!AA16/Production!$C$35*AF_lard</f>
        <v>1.5539609073106646E-4</v>
      </c>
    </row>
    <row r="17" spans="1:27" ht="15" customHeight="1" x14ac:dyDescent="0.35">
      <c r="A17" s="73" t="s">
        <v>138</v>
      </c>
      <c r="B17" s="73" t="s">
        <v>139</v>
      </c>
      <c r="C17" s="74" t="s">
        <v>140</v>
      </c>
      <c r="D17" s="75" t="s">
        <v>42</v>
      </c>
      <c r="E17" s="75" t="s">
        <v>43</v>
      </c>
      <c r="F17" s="76" t="s">
        <v>129</v>
      </c>
      <c r="G17" s="77">
        <f>'GHG detailed, absolute'!G17/Production!$D$35*AF_lard</f>
        <v>2.4639874855143811</v>
      </c>
      <c r="H17" s="77">
        <f>'GHG detailed, absolute'!H17/Production!$D$35*AF_lard</f>
        <v>0.29437523316659997</v>
      </c>
      <c r="I17" s="77">
        <f>'GHG detailed, absolute'!I17/Production!$D$35*AF_lard</f>
        <v>0.18230059161120596</v>
      </c>
      <c r="J17" s="77">
        <f>'GHG detailed, absolute'!J17/Production!$D$35*AF_lard</f>
        <v>0</v>
      </c>
      <c r="K17" s="77"/>
      <c r="L17" s="77">
        <f>'GHG detailed, absolute'!L17/Production!$D$35*AF_lard</f>
        <v>0.19612766536843604</v>
      </c>
      <c r="M17" s="77"/>
      <c r="N17" s="77">
        <f>'GHG detailed, absolute'!N17/Production!$D$35*AF_lard</f>
        <v>1.2385671724736776E-3</v>
      </c>
      <c r="O17" s="77">
        <f>'GHG detailed, absolute'!O17/Production!$D$35*AF_lard</f>
        <v>0.29667954802602287</v>
      </c>
      <c r="P17" s="77">
        <f>'GHG detailed, absolute'!P17/Production!$D$35*AF_lard</f>
        <v>0.26376989644177667</v>
      </c>
      <c r="Q17" s="77">
        <f>'GHG detailed, absolute'!Q17/Production!$D$35*AF_lard</f>
        <v>0.27801466071723596</v>
      </c>
      <c r="R17" s="77">
        <f>'GHG detailed, absolute'!R17/Production!$D$35*AF_lard</f>
        <v>0.25140521673362043</v>
      </c>
      <c r="S17" s="78"/>
      <c r="T17" s="79"/>
      <c r="U17" s="80"/>
      <c r="V17" s="80"/>
      <c r="W17" s="78">
        <f>'GHG detailed, absolute'!W17/Production!$D$35*AF_lard</f>
        <v>0.48361083495286322</v>
      </c>
      <c r="X17" s="81">
        <f>'GHG detailed, absolute'!X17/Production!$D$35*AF_lard</f>
        <v>0.21646527132414609</v>
      </c>
      <c r="Z17" s="53"/>
      <c r="AA17" s="53"/>
    </row>
    <row r="18" spans="1:27" x14ac:dyDescent="0.35">
      <c r="A18" s="20" t="s">
        <v>138</v>
      </c>
      <c r="B18" s="20" t="s">
        <v>139</v>
      </c>
      <c r="C18" s="16" t="s">
        <v>140</v>
      </c>
      <c r="D18" s="18" t="s">
        <v>42</v>
      </c>
      <c r="E18" s="18" t="s">
        <v>43</v>
      </c>
      <c r="F18" s="20" t="s">
        <v>130</v>
      </c>
      <c r="G18" s="53">
        <f>'GHG detailed, absolute'!G18/Production!$D$35*AF_lard</f>
        <v>3.2778751408079555E-3</v>
      </c>
      <c r="H18" s="58">
        <f>'GHG detailed, absolute'!H18/Production!$D$35*AF_lard</f>
        <v>1.5165272752341245E-4</v>
      </c>
      <c r="I18" s="58">
        <f>'GHG detailed, absolute'!I18/Production!$D$35*AF_lard</f>
        <v>6.4142800752090988E-4</v>
      </c>
      <c r="J18" s="58"/>
      <c r="K18" s="58"/>
      <c r="L18" s="58">
        <f>'GHG detailed, absolute'!L18/Production!$D$35*AF_lard</f>
        <v>8.6877942391208054E-5</v>
      </c>
      <c r="M18" s="58"/>
      <c r="N18" s="58">
        <f>'GHG detailed, absolute'!N18/Production!$D$35*AF_lard</f>
        <v>3.776826210957619E-6</v>
      </c>
      <c r="O18" s="58">
        <f>'GHG detailed, absolute'!O18/Production!$D$35*AF_lard</f>
        <v>2.0971520978103596E-4</v>
      </c>
      <c r="P18" s="58">
        <f>'GHG detailed, absolute'!P18/Production!$D$35*AF_lard</f>
        <v>0</v>
      </c>
      <c r="Q18" s="58">
        <f>'GHG detailed, absolute'!Q18/Production!$D$35*AF_lard</f>
        <v>5.8109047162170603E-4</v>
      </c>
      <c r="R18" s="58">
        <f>'GHG detailed, absolute'!R18/Production!$D$35*AF_lard</f>
        <v>2.3960208879792951E-4</v>
      </c>
      <c r="W18" s="13">
        <f>'GHG detailed, absolute'!W18/Production!$D$35*AF_lard</f>
        <v>6.7319831822773958E-4</v>
      </c>
      <c r="X18" s="49">
        <f>'GHG detailed, absolute'!X18/Production!$D$35*AF_lard</f>
        <v>6.9053354873305662E-4</v>
      </c>
      <c r="Z18" s="54"/>
      <c r="AA18" s="54"/>
    </row>
    <row r="19" spans="1:27" x14ac:dyDescent="0.35">
      <c r="A19" s="20" t="s">
        <v>138</v>
      </c>
      <c r="B19" s="20" t="s">
        <v>139</v>
      </c>
      <c r="C19" s="16" t="s">
        <v>140</v>
      </c>
      <c r="D19" s="18" t="s">
        <v>42</v>
      </c>
      <c r="E19" s="18" t="s">
        <v>43</v>
      </c>
      <c r="F19" s="20" t="s">
        <v>131</v>
      </c>
      <c r="G19" s="53">
        <f>'GHG detailed, absolute'!G19/Production!$D$35*AF_lard</f>
        <v>7.4966861139825453E-2</v>
      </c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13">
        <f>'GHG detailed, absolute'!S19/Production!$D$35*AF_lard</f>
        <v>1.111981583840623E-2</v>
      </c>
      <c r="T19" s="51">
        <f>'GHG detailed, absolute'!T19/Production!$D$35*AF_lard</f>
        <v>6.3847045301419214E-2</v>
      </c>
      <c r="U19" s="59">
        <f>'GHG detailed, absolute'!U19/Production!$D$35*AF_lard</f>
        <v>6.3847045301419214E-2</v>
      </c>
      <c r="W19" s="13"/>
      <c r="X19" s="49"/>
      <c r="Z19" s="54"/>
      <c r="AA19" s="54"/>
    </row>
    <row r="20" spans="1:27" ht="15" customHeight="1" x14ac:dyDescent="0.35">
      <c r="A20" s="20" t="s">
        <v>138</v>
      </c>
      <c r="B20" s="20" t="s">
        <v>139</v>
      </c>
      <c r="C20" s="16" t="s">
        <v>140</v>
      </c>
      <c r="D20" s="18" t="s">
        <v>42</v>
      </c>
      <c r="E20" s="18" t="s">
        <v>43</v>
      </c>
      <c r="F20" s="82" t="s">
        <v>132</v>
      </c>
      <c r="G20" s="53">
        <f>'GHG detailed, absolute'!G20/Production!$D$35*AF_lard</f>
        <v>5.9116326664642978E-3</v>
      </c>
      <c r="H20" s="58">
        <f>'GHG detailed, absolute'!H20/Production!$D$35*AF_lard</f>
        <v>2.391431281197344E-4</v>
      </c>
      <c r="I20" s="54">
        <f>'GHG detailed, absolute'!I20/Production!$D$35*AF_lard</f>
        <v>7.4270611397157972E-6</v>
      </c>
      <c r="J20" s="54">
        <f>'GHG detailed, absolute'!J20/Production!$D$35*AF_lard</f>
        <v>3.1491924674431522E-3</v>
      </c>
      <c r="K20" s="54">
        <f>'GHG detailed, absolute'!K20/Production!$D$35*AF_lard</f>
        <v>3.1491924674431523E-4</v>
      </c>
      <c r="L20" s="54">
        <f>'GHG detailed, absolute'!L20/Production!$D$35*AF_lard</f>
        <v>5.2700268355059239E-6</v>
      </c>
      <c r="M20" s="54"/>
      <c r="N20" s="54">
        <f>'GHG detailed, absolute'!N20/Production!$D$35*AF_lard</f>
        <v>5.2690345405446718E-8</v>
      </c>
      <c r="O20" s="54">
        <f>'GHG detailed, absolute'!O20/Production!$D$35*AF_lard</f>
        <v>1.1016132237507549E-5</v>
      </c>
      <c r="P20" s="54">
        <f>'GHG detailed, absolute'!P20/Production!$D$35*AF_lard</f>
        <v>0</v>
      </c>
      <c r="Q20" s="54">
        <f>'GHG detailed, absolute'!Q20/Production!$D$35*AF_lard</f>
        <v>2.4049999936159268E-5</v>
      </c>
      <c r="R20" s="54">
        <f>'GHG detailed, absolute'!R20/Production!$D$35*AF_lard</f>
        <v>8.8542569544784487E-6</v>
      </c>
      <c r="S20" s="13"/>
      <c r="T20" s="51">
        <f>'GHG detailed, absolute'!T20/Production!$D$35*AF_lard</f>
        <v>2.1098992358336362E-3</v>
      </c>
      <c r="U20" s="83">
        <f>'GHG detailed, absolute'!U20/Production!$D$35*AF_lard</f>
        <v>1.1897692693092401E-3</v>
      </c>
      <c r="V20" s="83">
        <f>'GHG detailed, absolute'!V20/Production!$D$35*AF_lard</f>
        <v>9.2012996652439589E-4</v>
      </c>
      <c r="W20" s="13">
        <f>'GHG detailed, absolute'!W20/Production!$D$35*AF_lard</f>
        <v>3.344412355743118E-5</v>
      </c>
      <c r="X20" s="49">
        <f>'GHG detailed, absolute'!X20/Production!$D$35*AF_lard</f>
        <v>8.3642973172567603E-6</v>
      </c>
      <c r="Z20" s="54"/>
      <c r="AA20" s="54"/>
    </row>
    <row r="21" spans="1:27" ht="15" customHeight="1" x14ac:dyDescent="0.35">
      <c r="A21" s="84" t="s">
        <v>138</v>
      </c>
      <c r="B21" s="84" t="s">
        <v>139</v>
      </c>
      <c r="C21" s="85" t="s">
        <v>140</v>
      </c>
      <c r="D21" s="86" t="s">
        <v>42</v>
      </c>
      <c r="E21" s="86" t="s">
        <v>43</v>
      </c>
      <c r="F21" s="87" t="s">
        <v>133</v>
      </c>
      <c r="G21" s="88">
        <f>'GHG detailed, absolute'!G21/Production!$D$35*AF_lard</f>
        <v>6.1996491334304968</v>
      </c>
      <c r="H21" s="89">
        <f>'GHG detailed, absolute'!H21/Production!$D$35*AF_lard</f>
        <v>0.36418055842348518</v>
      </c>
      <c r="I21" s="89">
        <f>'GHG detailed, absolute'!I21/Production!$D$35*AF_lard</f>
        <v>0.20344273392647147</v>
      </c>
      <c r="J21" s="89">
        <f>'GHG detailed, absolute'!J21/Production!$D$35*AF_lard</f>
        <v>0.85972954361198051</v>
      </c>
      <c r="K21" s="89">
        <f>'GHG detailed, absolute'!K21/Production!$D$35*AF_lard</f>
        <v>8.5972954361198062E-2</v>
      </c>
      <c r="L21" s="89">
        <f>'GHG detailed, absolute'!L21/Production!$D$35*AF_lard</f>
        <v>0.20015534537778717</v>
      </c>
      <c r="M21" s="89">
        <f>'GHG detailed, absolute'!M21/Production!$D$35*AF_lard</f>
        <v>0</v>
      </c>
      <c r="N21" s="89">
        <f>'GHG detailed, absolute'!N21/Production!$D$35*AF_lard</f>
        <v>1.3655010578559016E-3</v>
      </c>
      <c r="O21" s="89">
        <f>'GHG detailed, absolute'!O21/Production!$D$35*AF_lard</f>
        <v>0.30593646537833735</v>
      </c>
      <c r="P21" s="89">
        <f>'GHG detailed, absolute'!P21/Production!$D$35*AF_lard</f>
        <v>0.26376989644177667</v>
      </c>
      <c r="Q21" s="89">
        <f>'GHG detailed, absolute'!Q21/Production!$D$35*AF_lard</f>
        <v>0.30189680675413427</v>
      </c>
      <c r="R21" s="89">
        <f>'GHG detailed, absolute'!R21/Production!$D$35*AF_lard</f>
        <v>0.26096257112837135</v>
      </c>
      <c r="S21" s="89">
        <f>'GHG detailed, absolute'!S21/Production!$D$35*AF_lard</f>
        <v>0.30023502763696824</v>
      </c>
      <c r="T21" s="89">
        <f>'GHG detailed, absolute'!T21/Production!$D$35*AF_lard</f>
        <v>2.2998727145209013</v>
      </c>
      <c r="U21" s="89"/>
      <c r="V21" s="89"/>
      <c r="W21" s="89">
        <f>'GHG detailed, absolute'!W21/Production!$D$35*AF_lard</f>
        <v>0.51280239056722854</v>
      </c>
      <c r="X21" s="89">
        <f>'GHG detailed, absolute'!X21/Production!$D$35*AF_lard</f>
        <v>0.23932662424400225</v>
      </c>
      <c r="Z21" s="90">
        <f>'GHG detailed, absolute'!Z21/Production!$D$35*AF_lard</f>
        <v>2.8474123764613979</v>
      </c>
      <c r="AA21" s="91">
        <f>'GHG detailed, absolute'!AA21/Production!$D$35*AF_lard</f>
        <v>1.9472860134154895E-4</v>
      </c>
    </row>
    <row r="22" spans="1:27" ht="15" customHeight="1" x14ac:dyDescent="0.35">
      <c r="A22" s="20" t="s">
        <v>138</v>
      </c>
      <c r="B22" s="20" t="s">
        <v>139</v>
      </c>
      <c r="C22" s="16" t="s">
        <v>140</v>
      </c>
      <c r="D22" s="18" t="s">
        <v>44</v>
      </c>
      <c r="E22" s="18" t="s">
        <v>45</v>
      </c>
      <c r="F22" s="92" t="s">
        <v>129</v>
      </c>
      <c r="G22" s="77">
        <f>'GHG detailed, absolute'!G22/Production!$E$35*AF_lard</f>
        <v>2.8828473211799768</v>
      </c>
      <c r="H22" s="77">
        <f>'GHG detailed, absolute'!H22/Production!$E$35*AF_lard</f>
        <v>0.2942677164926818</v>
      </c>
      <c r="I22" s="77">
        <f>'GHG detailed, absolute'!I22/Production!$E$35*AF_lard</f>
        <v>0.16040554690128761</v>
      </c>
      <c r="J22" s="77">
        <f>'GHG detailed, absolute'!J22/Production!$E$35*AF_lard</f>
        <v>0</v>
      </c>
      <c r="K22" s="77"/>
      <c r="L22" s="77">
        <f>'GHG detailed, absolute'!L22/Production!$E$35*AF_lard</f>
        <v>0.30291942257198612</v>
      </c>
      <c r="M22" s="77"/>
      <c r="N22" s="77">
        <f>'GHG detailed, absolute'!N22/Production!$E$35*AF_lard</f>
        <v>4.8509359912341433E-2</v>
      </c>
      <c r="O22" s="77">
        <f>'GHG detailed, absolute'!O22/Production!$E$35*AF_lard</f>
        <v>0.26878222075158104</v>
      </c>
      <c r="P22" s="77">
        <f>'GHG detailed, absolute'!P22/Production!$E$35*AF_lard</f>
        <v>0.31618200224860965</v>
      </c>
      <c r="Q22" s="77">
        <f>'GHG detailed, absolute'!Q22/Production!$E$35*AF_lard</f>
        <v>0.36307505043020416</v>
      </c>
      <c r="R22" s="77">
        <f>'GHG detailed, absolute'!R22/Production!$E$35*AF_lard</f>
        <v>0.27591991410625244</v>
      </c>
      <c r="S22" s="78"/>
      <c r="T22" s="79"/>
      <c r="U22" s="80"/>
      <c r="V22" s="80"/>
      <c r="W22" s="78">
        <f>'GHG detailed, absolute'!W22/Production!$E$35*AF_lard</f>
        <v>0.60324609286680431</v>
      </c>
      <c r="X22" s="81">
        <f>'GHG detailed, absolute'!X22/Production!$E$35*AF_lard</f>
        <v>0.24953999489822842</v>
      </c>
      <c r="Z22" s="53"/>
      <c r="AA22" s="53"/>
    </row>
    <row r="23" spans="1:27" x14ac:dyDescent="0.35">
      <c r="A23" s="20" t="s">
        <v>138</v>
      </c>
      <c r="B23" s="20" t="s">
        <v>139</v>
      </c>
      <c r="C23" s="16" t="s">
        <v>140</v>
      </c>
      <c r="D23" s="18" t="s">
        <v>44</v>
      </c>
      <c r="E23" s="18" t="s">
        <v>45</v>
      </c>
      <c r="F23" s="20" t="s">
        <v>130</v>
      </c>
      <c r="G23" s="53">
        <f>'GHG detailed, absolute'!G23/Production!$E$35*AF_lard</f>
        <v>5.3748701710801053E-3</v>
      </c>
      <c r="H23" s="58">
        <f>'GHG detailed, absolute'!H23/Production!$E$35*AF_lard</f>
        <v>4.9116487753663246E-5</v>
      </c>
      <c r="I23" s="58">
        <f>'GHG detailed, absolute'!I23/Production!$E$35*AF_lard</f>
        <v>5.6438988724527128E-4</v>
      </c>
      <c r="J23" s="58"/>
      <c r="K23" s="58"/>
      <c r="L23" s="58">
        <f>'GHG detailed, absolute'!L23/Production!$E$35*AF_lard</f>
        <v>1.3418308984583638E-4</v>
      </c>
      <c r="M23" s="58"/>
      <c r="N23" s="58">
        <f>'GHG detailed, absolute'!N23/Production!$E$35*AF_lard</f>
        <v>1.4340532653828286E-4</v>
      </c>
      <c r="O23" s="58">
        <f>'GHG detailed, absolute'!O23/Production!$E$35*AF_lard</f>
        <v>2.186771854668501E-4</v>
      </c>
      <c r="P23" s="58">
        <f>'GHG detailed, absolute'!P23/Production!$E$35*AF_lard</f>
        <v>0</v>
      </c>
      <c r="Q23" s="58">
        <f>'GHG detailed, absolute'!Q23/Production!$E$35*AF_lard</f>
        <v>2.3463220919716131E-3</v>
      </c>
      <c r="R23" s="58">
        <f>'GHG detailed, absolute'!R23/Production!$E$35*AF_lard</f>
        <v>2.3396526826889393E-4</v>
      </c>
      <c r="W23" s="13">
        <f>'GHG detailed, absolute'!W23/Production!$E$35*AF_lard</f>
        <v>9.2991371094153534E-4</v>
      </c>
      <c r="X23" s="49">
        <f>'GHG detailed, absolute'!X23/Production!$E$35*AF_lard</f>
        <v>7.5489712304815883E-4</v>
      </c>
      <c r="Z23" s="54"/>
      <c r="AA23" s="54"/>
    </row>
    <row r="24" spans="1:27" x14ac:dyDescent="0.35">
      <c r="A24" s="20" t="s">
        <v>138</v>
      </c>
      <c r="B24" s="20" t="s">
        <v>139</v>
      </c>
      <c r="C24" s="16" t="s">
        <v>140</v>
      </c>
      <c r="D24" s="18" t="s">
        <v>44</v>
      </c>
      <c r="E24" s="18" t="s">
        <v>45</v>
      </c>
      <c r="F24" s="20" t="s">
        <v>131</v>
      </c>
      <c r="G24" s="53">
        <f>'GHG detailed, absolute'!G24/Production!$E$35*AF_lard</f>
        <v>0.19414706443089899</v>
      </c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13">
        <f>'GHG detailed, absolute'!S24/Production!$E$35*AF_lard</f>
        <v>1.1155950985135612E-2</v>
      </c>
      <c r="T24" s="51">
        <f>'GHG detailed, absolute'!T24/Production!$E$35*AF_lard</f>
        <v>0.18299111344576335</v>
      </c>
      <c r="U24" s="59">
        <f>'GHG detailed, absolute'!U24/Production!$E$35*AF_lard</f>
        <v>0.18299111344576335</v>
      </c>
      <c r="W24" s="13"/>
      <c r="X24" s="49"/>
      <c r="Z24" s="54"/>
      <c r="AA24" s="54"/>
    </row>
    <row r="25" spans="1:27" ht="15" customHeight="1" x14ac:dyDescent="0.35">
      <c r="A25" s="20" t="s">
        <v>138</v>
      </c>
      <c r="B25" s="20" t="s">
        <v>139</v>
      </c>
      <c r="C25" s="16" t="s">
        <v>140</v>
      </c>
      <c r="D25" s="18" t="s">
        <v>44</v>
      </c>
      <c r="E25" s="18" t="s">
        <v>45</v>
      </c>
      <c r="F25" s="82" t="s">
        <v>132</v>
      </c>
      <c r="G25" s="53">
        <f>'GHG detailed, absolute'!G25/Production!$E$35*AF_lard</f>
        <v>5.6889230847860048E-3</v>
      </c>
      <c r="H25" s="58">
        <f>'GHG detailed, absolute'!H25/Production!$E$35*AF_lard</f>
        <v>7.9903349609745258E-5</v>
      </c>
      <c r="I25" s="54">
        <f>'GHG detailed, absolute'!I25/Production!$E$35*AF_lard</f>
        <v>6.5350407996820889E-6</v>
      </c>
      <c r="J25" s="54">
        <f>'GHG detailed, absolute'!J25/Production!$E$35*AF_lard</f>
        <v>2.914027958971035E-3</v>
      </c>
      <c r="K25" s="54">
        <f>'GHG detailed, absolute'!K25/Production!$E$35*AF_lard</f>
        <v>2.9140279589710344E-4</v>
      </c>
      <c r="L25" s="54">
        <f>'GHG detailed, absolute'!L25/Production!$E$35*AF_lard</f>
        <v>8.1395629879722351E-6</v>
      </c>
      <c r="M25" s="54"/>
      <c r="N25" s="54">
        <f>'GHG detailed, absolute'!N25/Production!$E$35*AF_lard</f>
        <v>2.0847980308269047E-6</v>
      </c>
      <c r="O25" s="54">
        <f>'GHG detailed, absolute'!O25/Production!$E$35*AF_lard</f>
        <v>9.4938835715888129E-6</v>
      </c>
      <c r="P25" s="54">
        <f>'GHG detailed, absolute'!P25/Production!$E$35*AF_lard</f>
        <v>0</v>
      </c>
      <c r="Q25" s="54">
        <f>'GHG detailed, absolute'!Q25/Production!$E$35*AF_lard</f>
        <v>5.0768608989311506E-5</v>
      </c>
      <c r="R25" s="54">
        <f>'GHG detailed, absolute'!R25/Production!$E$35*AF_lard</f>
        <v>1.1385514777344007E-5</v>
      </c>
      <c r="S25" s="13"/>
      <c r="T25" s="51">
        <f>'GHG detailed, absolute'!T25/Production!$E$35*AF_lard</f>
        <v>2.2722385742613752E-3</v>
      </c>
      <c r="U25" s="83">
        <f>'GHG detailed, absolute'!U25/Production!$E$35*AF_lard</f>
        <v>1.2781463012258095E-3</v>
      </c>
      <c r="V25" s="83">
        <f>'GHG detailed, absolute'!V25/Production!$E$35*AF_lard</f>
        <v>9.9409227303556575E-4</v>
      </c>
      <c r="W25" s="13">
        <f>'GHG detailed, absolute'!W25/Production!$E$35*AF_lard</f>
        <v>3.4576606865904198E-5</v>
      </c>
      <c r="X25" s="49">
        <f>'GHG detailed, absolute'!X25/Production!$E$35*AF_lard</f>
        <v>8.3663900241176583E-6</v>
      </c>
      <c r="Z25" s="54"/>
      <c r="AA25" s="54"/>
    </row>
    <row r="26" spans="1:27" ht="15" customHeight="1" x14ac:dyDescent="0.35">
      <c r="A26" s="84" t="s">
        <v>138</v>
      </c>
      <c r="B26" s="84" t="s">
        <v>139</v>
      </c>
      <c r="C26" s="85" t="s">
        <v>140</v>
      </c>
      <c r="D26" s="93" t="s">
        <v>44</v>
      </c>
      <c r="E26" s="93" t="s">
        <v>45</v>
      </c>
      <c r="F26" s="87" t="s">
        <v>133</v>
      </c>
      <c r="G26" s="88">
        <f>'GHG detailed, absolute'!G26/Production!$E$35*AF_lard</f>
        <v>9.8380651940590145</v>
      </c>
      <c r="H26" s="89">
        <f>'GHG detailed, absolute'!H26/Production!$E$35*AF_lard</f>
        <v>0.31754500227120136</v>
      </c>
      <c r="I26" s="89">
        <f>'GHG detailed, absolute'!I26/Production!$E$35*AF_lard</f>
        <v>0.17900843167950994</v>
      </c>
      <c r="J26" s="89">
        <f>'GHG detailed, absolute'!J26/Production!$E$35*AF_lard</f>
        <v>0.79552963279909261</v>
      </c>
      <c r="K26" s="89">
        <f>'GHG detailed, absolute'!K26/Production!$E$35*AF_lard</f>
        <v>7.9552963279909253E-2</v>
      </c>
      <c r="L26" s="89">
        <f>'GHG detailed, absolute'!L26/Production!$E$35*AF_lard</f>
        <v>0.30914017934510851</v>
      </c>
      <c r="M26" s="89">
        <f>'GHG detailed, absolute'!M26/Production!$E$35*AF_lard</f>
        <v>0</v>
      </c>
      <c r="N26" s="89">
        <f>'GHG detailed, absolute'!N26/Production!$E$35*AF_lard</f>
        <v>5.3351988505598004E-2</v>
      </c>
      <c r="O26" s="89">
        <f>'GHG detailed, absolute'!O26/Production!$E$35*AF_lard</f>
        <v>0.27789063109353696</v>
      </c>
      <c r="P26" s="89">
        <f>'GHG detailed, absolute'!P26/Production!$E$35*AF_lard</f>
        <v>0.31618200224860965</v>
      </c>
      <c r="Q26" s="89">
        <f>'GHG detailed, absolute'!Q26/Production!$E$35*AF_lard</f>
        <v>0.44685527902504024</v>
      </c>
      <c r="R26" s="89">
        <f>'GHG detailed, absolute'!R26/Production!$E$35*AF_lard</f>
        <v>0.2860003246348804</v>
      </c>
      <c r="S26" s="89">
        <f>'GHG detailed, absolute'!S26/Production!$E$35*AF_lard</f>
        <v>0.30121067659866152</v>
      </c>
      <c r="T26" s="89">
        <f>'GHG detailed, absolute'!T26/Production!$E$35*AF_lard</f>
        <v>5.561081193808965</v>
      </c>
      <c r="U26" s="89"/>
      <c r="V26" s="89"/>
      <c r="W26" s="89">
        <f>'GHG detailed, absolute'!W26/Production!$E$35*AF_lard</f>
        <v>0.64039693512725393</v>
      </c>
      <c r="X26" s="89">
        <f>'GHG detailed, absolute'!X26/Production!$E$35*AF_lard</f>
        <v>0.27431995364164768</v>
      </c>
      <c r="Z26" s="90">
        <f>'GHG detailed, absolute'!Z26/Production!$E$35*AF_lard</f>
        <v>3.0610564348824871</v>
      </c>
      <c r="AA26" s="91">
        <f>'GHG detailed, absolute'!AA26/Production!$E$35*AF_lard</f>
        <v>3.0859712509706744E-4</v>
      </c>
    </row>
    <row r="27" spans="1:27" ht="15" customHeight="1" x14ac:dyDescent="0.35">
      <c r="A27" s="73" t="s">
        <v>138</v>
      </c>
      <c r="B27" s="73" t="s">
        <v>139</v>
      </c>
      <c r="C27" s="74" t="s">
        <v>140</v>
      </c>
      <c r="D27" s="75" t="s">
        <v>82</v>
      </c>
      <c r="E27" s="75" t="s">
        <v>47</v>
      </c>
      <c r="F27" s="76" t="s">
        <v>129</v>
      </c>
      <c r="G27" s="77">
        <f>'GHG detailed, absolute'!G27/Production!$F$35*AF_lard</f>
        <v>2.4652345105012845</v>
      </c>
      <c r="H27" s="77">
        <f>'GHG detailed, absolute'!H27/Production!$F$35*AF_lard</f>
        <v>0.32770411846619685</v>
      </c>
      <c r="I27" s="77">
        <f>'GHG detailed, absolute'!I27/Production!$F$35*AF_lard</f>
        <v>0.1818938966595976</v>
      </c>
      <c r="J27" s="77">
        <f>'GHG detailed, absolute'!J27/Production!$F$35*AF_lard</f>
        <v>0</v>
      </c>
      <c r="K27" s="77"/>
      <c r="L27" s="77">
        <f>'GHG detailed, absolute'!L27/Production!$F$35*AF_lard</f>
        <v>0.24190458417279875</v>
      </c>
      <c r="M27" s="77"/>
      <c r="N27" s="77">
        <f>'GHG detailed, absolute'!N27/Production!$F$35*AF_lard</f>
        <v>5.8948721126034272E-3</v>
      </c>
      <c r="O27" s="77">
        <f>'GHG detailed, absolute'!O27/Production!$F$35*AF_lard</f>
        <v>0.28054856890637581</v>
      </c>
      <c r="P27" s="77">
        <f>'GHG detailed, absolute'!P27/Production!$F$35*AF_lard</f>
        <v>0.29815918871738145</v>
      </c>
      <c r="Q27" s="77">
        <f>'GHG detailed, absolute'!Q27/Production!$F$35*AF_lard</f>
        <v>0.2606166618769451</v>
      </c>
      <c r="R27" s="77">
        <f>'GHG detailed, absolute'!R27/Production!$F$35*AF_lard</f>
        <v>0.19978498631164829</v>
      </c>
      <c r="S27" s="78"/>
      <c r="T27" s="79"/>
      <c r="U27" s="80"/>
      <c r="V27" s="80"/>
      <c r="W27" s="78">
        <f>'GHG detailed, absolute'!W27/Production!$F$35*AF_lard</f>
        <v>0.47543712895565515</v>
      </c>
      <c r="X27" s="81">
        <f>'GHG detailed, absolute'!X27/Production!$F$35*AF_lard</f>
        <v>0.19329050432208211</v>
      </c>
      <c r="Z27" s="53"/>
      <c r="AA27" s="53"/>
    </row>
    <row r="28" spans="1:27" x14ac:dyDescent="0.35">
      <c r="A28" s="20" t="s">
        <v>138</v>
      </c>
      <c r="B28" s="20" t="s">
        <v>139</v>
      </c>
      <c r="C28" s="16" t="s">
        <v>140</v>
      </c>
      <c r="D28" s="18" t="s">
        <v>82</v>
      </c>
      <c r="E28" s="18" t="s">
        <v>47</v>
      </c>
      <c r="F28" s="20" t="s">
        <v>130</v>
      </c>
      <c r="G28" s="53">
        <f>'GHG detailed, absolute'!G28/Production!$F$35*AF_lard</f>
        <v>3.7076018244413642E-3</v>
      </c>
      <c r="H28" s="58">
        <f>'GHG detailed, absolute'!H28/Production!$F$35*AF_lard</f>
        <v>2.8357958768376167E-5</v>
      </c>
      <c r="I28" s="58">
        <f>'GHG detailed, absolute'!I28/Production!$F$35*AF_lard</f>
        <v>6.3999704380228776E-4</v>
      </c>
      <c r="J28" s="58"/>
      <c r="K28" s="58"/>
      <c r="L28" s="58">
        <f>'GHG detailed, absolute'!L28/Production!$F$35*AF_lard</f>
        <v>1.0715557383734486E-4</v>
      </c>
      <c r="M28" s="58"/>
      <c r="N28" s="58">
        <f>'GHG detailed, absolute'!N28/Production!$F$35*AF_lard</f>
        <v>1.7482916057647794E-5</v>
      </c>
      <c r="O28" s="58">
        <f>'GHG detailed, absolute'!O28/Production!$F$35*AF_lard</f>
        <v>2.2990320439279091E-4</v>
      </c>
      <c r="P28" s="58">
        <f>'GHG detailed, absolute'!P28/Production!$F$35*AF_lard</f>
        <v>0</v>
      </c>
      <c r="Q28" s="58">
        <f>'GHG detailed, absolute'!Q28/Production!$F$35*AF_lard</f>
        <v>1.0056643768474401E-3</v>
      </c>
      <c r="R28" s="58">
        <f>'GHG detailed, absolute'!R28/Production!$F$35*AF_lard</f>
        <v>1.6744075439701148E-4</v>
      </c>
      <c r="W28" s="13">
        <f>'GHG detailed, absolute'!W28/Production!$F$35*AF_lard</f>
        <v>8.291068860715225E-4</v>
      </c>
      <c r="X28" s="49">
        <f>'GHG detailed, absolute'!X28/Production!$F$35*AF_lard</f>
        <v>6.8249311026694244E-4</v>
      </c>
      <c r="Z28" s="54"/>
      <c r="AA28" s="54"/>
    </row>
    <row r="29" spans="1:27" x14ac:dyDescent="0.35">
      <c r="A29" s="20" t="s">
        <v>138</v>
      </c>
      <c r="B29" s="20" t="s">
        <v>139</v>
      </c>
      <c r="C29" s="16" t="s">
        <v>140</v>
      </c>
      <c r="D29" s="18" t="s">
        <v>82</v>
      </c>
      <c r="E29" s="18" t="s">
        <v>47</v>
      </c>
      <c r="F29" s="20" t="s">
        <v>131</v>
      </c>
      <c r="G29" s="53">
        <f>'GHG detailed, absolute'!G29/Production!$F$35*AF_lard</f>
        <v>5.8368516596912556E-2</v>
      </c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13">
        <f>'GHG detailed, absolute'!S29/Production!$F$35*AF_lard</f>
        <v>1.1137766159543646E-2</v>
      </c>
      <c r="T29" s="51">
        <f>'GHG detailed, absolute'!T29/Production!$F$35*AF_lard</f>
        <v>4.7230750437368921E-2</v>
      </c>
      <c r="U29" s="59">
        <f>'GHG detailed, absolute'!U29/Production!$F$35*AF_lard</f>
        <v>4.7230750437368921E-2</v>
      </c>
      <c r="W29" s="13"/>
      <c r="X29" s="49"/>
      <c r="Z29" s="54"/>
      <c r="AA29" s="54"/>
    </row>
    <row r="30" spans="1:27" ht="15" customHeight="1" x14ac:dyDescent="0.35">
      <c r="A30" s="20" t="s">
        <v>138</v>
      </c>
      <c r="B30" s="20" t="s">
        <v>139</v>
      </c>
      <c r="C30" s="16" t="s">
        <v>140</v>
      </c>
      <c r="D30" s="18" t="s">
        <v>82</v>
      </c>
      <c r="E30" s="18" t="s">
        <v>47</v>
      </c>
      <c r="F30" s="82" t="s">
        <v>132</v>
      </c>
      <c r="G30" s="53">
        <f>'GHG detailed, absolute'!G30/Production!$F$35*AF_lard</f>
        <v>5.7361407129315313E-3</v>
      </c>
      <c r="H30" s="58">
        <f>'GHG detailed, absolute'!H30/Production!$F$35*AF_lard</f>
        <v>1.5262596938048074E-4</v>
      </c>
      <c r="I30" s="54">
        <f>'GHG detailed, absolute'!I30/Production!$F$35*AF_lard</f>
        <v>7.4104920861317516E-6</v>
      </c>
      <c r="J30" s="54">
        <f>'GHG detailed, absolute'!J30/Production!$F$35*AF_lard</f>
        <v>3.5733237887109969E-3</v>
      </c>
      <c r="K30" s="54">
        <f>'GHG detailed, absolute'!K30/Production!$F$35*AF_lard</f>
        <v>3.5733237887109978E-4</v>
      </c>
      <c r="L30" s="54">
        <f>'GHG detailed, absolute'!L30/Production!$F$35*AF_lard</f>
        <v>6.5000704914714099E-6</v>
      </c>
      <c r="M30" s="54"/>
      <c r="N30" s="54">
        <f>'GHG detailed, absolute'!N30/Production!$F$35*AF_lard</f>
        <v>2.5308194178601887E-7</v>
      </c>
      <c r="O30" s="54">
        <f>'GHG detailed, absolute'!O30/Production!$F$35*AF_lard</f>
        <v>9.9488039505298128E-6</v>
      </c>
      <c r="P30" s="54">
        <f>'GHG detailed, absolute'!P30/Production!$F$35*AF_lard</f>
        <v>0</v>
      </c>
      <c r="Q30" s="54">
        <f>'GHG detailed, absolute'!Q30/Production!$F$35*AF_lard</f>
        <v>2.3196511896480936E-5</v>
      </c>
      <c r="R30" s="54">
        <f>'GHG detailed, absolute'!R30/Production!$F$35*AF_lard</f>
        <v>7.2947866735459825E-6</v>
      </c>
      <c r="S30" s="13"/>
      <c r="T30" s="51">
        <f>'GHG detailed, absolute'!T30/Production!$F$35*AF_lard</f>
        <v>1.5612614419451797E-3</v>
      </c>
      <c r="U30" s="83">
        <f>'GHG detailed, absolute'!U30/Production!$F$35*AF_lard</f>
        <v>8.8462588545365429E-4</v>
      </c>
      <c r="V30" s="83">
        <f>'GHG detailed, absolute'!V30/Production!$F$35*AF_lard</f>
        <v>6.7663555649152525E-4</v>
      </c>
      <c r="W30" s="13">
        <f>'GHG detailed, absolute'!W30/Production!$F$35*AF_lard</f>
        <v>3.0492518628809026E-5</v>
      </c>
      <c r="X30" s="49">
        <f>'GHG detailed, absolute'!X30/Production!$F$35*AF_lard</f>
        <v>6.5008683550195431E-6</v>
      </c>
      <c r="Z30" s="54"/>
      <c r="AA30" s="54"/>
    </row>
    <row r="31" spans="1:27" ht="15" customHeight="1" x14ac:dyDescent="0.35">
      <c r="A31" s="84" t="s">
        <v>138</v>
      </c>
      <c r="B31" s="84" t="s">
        <v>139</v>
      </c>
      <c r="C31" s="85" t="s">
        <v>140</v>
      </c>
      <c r="D31" s="86" t="s">
        <v>82</v>
      </c>
      <c r="E31" s="86" t="s">
        <v>47</v>
      </c>
      <c r="F31" s="87" t="s">
        <v>133</v>
      </c>
      <c r="G31" s="88">
        <f>'GHG detailed, absolute'!G31/Production!$F$35*AF_lard</f>
        <v>5.7176374076165857</v>
      </c>
      <c r="H31" s="89">
        <f>'GHG detailed, absolute'!H31/Production!$F$35*AF_lard</f>
        <v>0.3702160752783657</v>
      </c>
      <c r="I31" s="89">
        <f>'GHG detailed, absolute'!I31/Production!$F$35*AF_lard</f>
        <v>0.20298887290441969</v>
      </c>
      <c r="J31" s="89">
        <f>'GHG detailed, absolute'!J31/Production!$F$35*AF_lard</f>
        <v>0.97551739431810225</v>
      </c>
      <c r="K31" s="89">
        <f>'GHG detailed, absolute'!K31/Production!$F$35*AF_lard</f>
        <v>9.7551739431810225E-2</v>
      </c>
      <c r="L31" s="89">
        <f>'GHG detailed, absolute'!L31/Production!$F$35*AF_lard</f>
        <v>0.24687233951732332</v>
      </c>
      <c r="M31" s="89">
        <f>'GHG detailed, absolute'!M31/Production!$F$35*AF_lard</f>
        <v>0</v>
      </c>
      <c r="N31" s="89">
        <f>'GHG detailed, absolute'!N31/Production!$F$35*AF_lard</f>
        <v>6.4849543812289141E-3</v>
      </c>
      <c r="O31" s="89">
        <f>'GHG detailed, absolute'!O31/Production!$F$35*AF_lard</f>
        <v>0.29011570787577556</v>
      </c>
      <c r="P31" s="89">
        <f>'GHG detailed, absolute'!P31/Production!$F$35*AF_lard</f>
        <v>0.29815918871738145</v>
      </c>
      <c r="Q31" s="89">
        <f>'GHG detailed, absolute'!Q31/Production!$F$35*AF_lard</f>
        <v>0.29691810805473812</v>
      </c>
      <c r="R31" s="89">
        <f>'GHG detailed, absolute'!R31/Production!$F$35*AF_lard</f>
        <v>0.20676619755455727</v>
      </c>
      <c r="S31" s="89">
        <f>'GHG detailed, absolute'!S31/Production!$F$35*AF_lard</f>
        <v>0.30071968630767842</v>
      </c>
      <c r="T31" s="89">
        <f>'GHG detailed, absolute'!T31/Production!$F$35*AF_lard</f>
        <v>1.7014546354599949</v>
      </c>
      <c r="U31" s="89"/>
      <c r="V31" s="89"/>
      <c r="W31" s="89">
        <f>'GHG detailed, absolute'!W31/Production!$F$35*AF_lard</f>
        <v>0.50846897174625139</v>
      </c>
      <c r="X31" s="89">
        <f>'GHG detailed, absolute'!X31/Production!$F$35*AF_lard</f>
        <v>0.21540353606895735</v>
      </c>
      <c r="Z31" s="90">
        <f>'GHG detailed, absolute'!Z31/Production!$F$35*AF_lard</f>
        <v>2.9915905780337035</v>
      </c>
      <c r="AA31" s="91">
        <f>'GHG detailed, absolute'!AA31/Production!$F$35*AF_lard</f>
        <v>2.0493692074925366E-4</v>
      </c>
    </row>
    <row r="32" spans="1:27" ht="15" customHeight="1" x14ac:dyDescent="0.35">
      <c r="A32" s="73" t="s">
        <v>138</v>
      </c>
      <c r="B32" s="73" t="s">
        <v>139</v>
      </c>
      <c r="C32" s="74" t="s">
        <v>140</v>
      </c>
      <c r="D32" s="75" t="s">
        <v>134</v>
      </c>
      <c r="E32" s="75" t="s">
        <v>49</v>
      </c>
      <c r="F32" s="76" t="s">
        <v>129</v>
      </c>
      <c r="G32" s="77">
        <f>'GHG detailed, absolute'!G32/Production!$G$35*AF_lard</f>
        <v>2.3309245484201302</v>
      </c>
      <c r="H32" s="77">
        <f>'GHG detailed, absolute'!H32/Production!$G$35*AF_lard</f>
        <v>0.2197564509833482</v>
      </c>
      <c r="I32" s="77">
        <f>'GHG detailed, absolute'!I32/Production!$G$35*AF_lard</f>
        <v>0.17305789982913064</v>
      </c>
      <c r="J32" s="77">
        <f>'GHG detailed, absolute'!J32/Production!$G$35*AF_lard</f>
        <v>0</v>
      </c>
      <c r="K32" s="77"/>
      <c r="L32" s="77">
        <f>'GHG detailed, absolute'!L32/Production!$G$35*AF_lard</f>
        <v>0.1893552593508763</v>
      </c>
      <c r="M32" s="77"/>
      <c r="N32" s="77">
        <f>'GHG detailed, absolute'!N32/Production!$G$35*AF_lard</f>
        <v>2.8770871498311448E-3</v>
      </c>
      <c r="O32" s="77">
        <f>'GHG detailed, absolute'!O32/Production!$G$35*AF_lard</f>
        <v>0.26446794833662979</v>
      </c>
      <c r="P32" s="77">
        <f>'GHG detailed, absolute'!P32/Production!$G$35*AF_lard</f>
        <v>0.32221677240962077</v>
      </c>
      <c r="Q32" s="77">
        <f>'GHG detailed, absolute'!Q32/Production!$G$35*AF_lard</f>
        <v>0.24230437765428622</v>
      </c>
      <c r="R32" s="77">
        <f>'GHG detailed, absolute'!R32/Production!$G$35*AF_lard</f>
        <v>0.28642402217744489</v>
      </c>
      <c r="S32" s="78"/>
      <c r="T32" s="79"/>
      <c r="U32" s="80"/>
      <c r="V32" s="80"/>
      <c r="W32" s="78">
        <f>'GHG detailed, absolute'!W32/Production!$G$35*AF_lard</f>
        <v>0.43955023421333411</v>
      </c>
      <c r="X32" s="81">
        <f>'GHG detailed, absolute'!X32/Production!$G$35*AF_lard</f>
        <v>0.19091449631562835</v>
      </c>
      <c r="Z32" s="53"/>
      <c r="AA32" s="53"/>
    </row>
    <row r="33" spans="1:27" x14ac:dyDescent="0.35">
      <c r="A33" s="20" t="s">
        <v>138</v>
      </c>
      <c r="B33" s="20" t="s">
        <v>139</v>
      </c>
      <c r="C33" s="16" t="s">
        <v>140</v>
      </c>
      <c r="D33" s="18" t="s">
        <v>134</v>
      </c>
      <c r="E33" s="18" t="s">
        <v>49</v>
      </c>
      <c r="F33" s="20" t="s">
        <v>130</v>
      </c>
      <c r="G33" s="53">
        <f>'GHG detailed, absolute'!G33/Production!$G$35*AF_lard</f>
        <v>2.7211530236279737E-3</v>
      </c>
      <c r="H33" s="58">
        <f>'GHG detailed, absolute'!H33/Production!$G$35*AF_lard</f>
        <v>1.1603257041828741E-4</v>
      </c>
      <c r="I33" s="58">
        <f>'GHG detailed, absolute'!I33/Production!$G$35*AF_lard</f>
        <v>6.0890742532471881E-4</v>
      </c>
      <c r="J33" s="58"/>
      <c r="K33" s="58"/>
      <c r="L33" s="58">
        <f>'GHG detailed, absolute'!L33/Production!$G$35*AF_lard</f>
        <v>8.3877994888961711E-5</v>
      </c>
      <c r="M33" s="58"/>
      <c r="N33" s="58">
        <f>'GHG detailed, absolute'!N33/Production!$G$35*AF_lard</f>
        <v>8.6162981828959774E-6</v>
      </c>
      <c r="O33" s="58">
        <f>'GHG detailed, absolute'!O33/Production!$G$35*AF_lard</f>
        <v>1.453528893109306E-4</v>
      </c>
      <c r="P33" s="58">
        <f>'GHG detailed, absolute'!P33/Production!$G$35*AF_lard</f>
        <v>0</v>
      </c>
      <c r="Q33" s="58">
        <f>'GHG detailed, absolute'!Q33/Production!$G$35*AF_lard</f>
        <v>5.6995096611981442E-4</v>
      </c>
      <c r="R33" s="58">
        <f>'GHG detailed, absolute'!R33/Production!$G$35*AF_lard</f>
        <v>2.5829104085135378E-4</v>
      </c>
      <c r="W33" s="13">
        <f>'GHG detailed, absolute'!W33/Production!$G$35*AF_lard</f>
        <v>3.748034979514786E-4</v>
      </c>
      <c r="X33" s="49">
        <f>'GHG detailed, absolute'!X33/Production!$G$35*AF_lard</f>
        <v>5.5532034057953245E-4</v>
      </c>
      <c r="Z33" s="54"/>
      <c r="AA33" s="54"/>
    </row>
    <row r="34" spans="1:27" x14ac:dyDescent="0.35">
      <c r="A34" s="20" t="s">
        <v>138</v>
      </c>
      <c r="B34" s="20" t="s">
        <v>139</v>
      </c>
      <c r="C34" s="16" t="s">
        <v>140</v>
      </c>
      <c r="D34" s="18" t="s">
        <v>134</v>
      </c>
      <c r="E34" s="18" t="s">
        <v>49</v>
      </c>
      <c r="F34" s="20" t="s">
        <v>131</v>
      </c>
      <c r="G34" s="53">
        <f>'GHG detailed, absolute'!G34/Production!$G$35*AF_lard</f>
        <v>2.3865877198232559E-2</v>
      </c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13">
        <f>'GHG detailed, absolute'!S34/Production!$G$35*AF_lard</f>
        <v>1.1096033589479812E-2</v>
      </c>
      <c r="T34" s="51">
        <f>'GHG detailed, absolute'!T34/Production!$G$35*AF_lard</f>
        <v>1.2769843608752747E-2</v>
      </c>
      <c r="U34" s="59">
        <f>'GHG detailed, absolute'!U34/Production!$G$35*AF_lard</f>
        <v>1.2769843608752747E-2</v>
      </c>
      <c r="W34" s="13"/>
      <c r="X34" s="49"/>
      <c r="Z34" s="54"/>
      <c r="AA34" s="54"/>
    </row>
    <row r="35" spans="1:27" ht="15" customHeight="1" x14ac:dyDescent="0.35">
      <c r="A35" s="20" t="s">
        <v>138</v>
      </c>
      <c r="B35" s="20" t="s">
        <v>139</v>
      </c>
      <c r="C35" s="16" t="s">
        <v>140</v>
      </c>
      <c r="D35" s="18" t="s">
        <v>134</v>
      </c>
      <c r="E35" s="18" t="s">
        <v>49</v>
      </c>
      <c r="F35" s="82" t="s">
        <v>132</v>
      </c>
      <c r="G35" s="53">
        <f>'GHG detailed, absolute'!G35/Production!$G$35*AF_lard</f>
        <v>4.4079386711757332E-3</v>
      </c>
      <c r="H35" s="58">
        <f>'GHG detailed, absolute'!H35/Production!$G$35*AF_lard</f>
        <v>1.8101020816886667E-4</v>
      </c>
      <c r="I35" s="54">
        <f>'GHG detailed, absolute'!I35/Production!$G$35*AF_lard</f>
        <v>7.0505070300756917E-6</v>
      </c>
      <c r="J35" s="54">
        <f>'GHG detailed, absolute'!J35/Production!$G$35*AF_lard</f>
        <v>2.5175492935758429E-3</v>
      </c>
      <c r="K35" s="54">
        <f>'GHG detailed, absolute'!K35/Production!$G$35*AF_lard</f>
        <v>2.5175492935758435E-4</v>
      </c>
      <c r="L35" s="54">
        <f>'GHG detailed, absolute'!L35/Production!$G$35*AF_lard</f>
        <v>5.0880496453607418E-6</v>
      </c>
      <c r="M35" s="54"/>
      <c r="N35" s="54">
        <f>'GHG detailed, absolute'!N35/Production!$G$35*AF_lard</f>
        <v>1.2312993458633782E-7</v>
      </c>
      <c r="O35" s="54">
        <f>'GHG detailed, absolute'!O35/Production!$G$35*AF_lard</f>
        <v>9.5322723742752113E-6</v>
      </c>
      <c r="P35" s="54">
        <f>'GHG detailed, absolute'!P35/Production!$G$35*AF_lard</f>
        <v>0</v>
      </c>
      <c r="Q35" s="54">
        <f>'GHG detailed, absolute'!Q35/Production!$G$35*AF_lard</f>
        <v>2.8903071528131102E-5</v>
      </c>
      <c r="R35" s="54">
        <f>'GHG detailed, absolute'!R35/Production!$G$35*AF_lard</f>
        <v>1.072846400886791E-5</v>
      </c>
      <c r="S35" s="13"/>
      <c r="T35" s="51">
        <f>'GHG detailed, absolute'!T35/Production!$G$35*AF_lard</f>
        <v>1.3601597143802679E-3</v>
      </c>
      <c r="U35" s="83">
        <f>'GHG detailed, absolute'!U35/Production!$G$35*AF_lard</f>
        <v>7.6419927797310842E-4</v>
      </c>
      <c r="V35" s="83">
        <f>'GHG detailed, absolute'!V35/Production!$G$35*AF_lard</f>
        <v>5.9596043640715952E-4</v>
      </c>
      <c r="W35" s="13">
        <f>'GHG detailed, absolute'!W35/Production!$G$35*AF_lard</f>
        <v>2.9480802268586551E-5</v>
      </c>
      <c r="X35" s="49">
        <f>'GHG detailed, absolute'!X35/Production!$G$35*AF_lard</f>
        <v>6.5582289032875741E-6</v>
      </c>
      <c r="Z35" s="54"/>
      <c r="AA35" s="54"/>
    </row>
    <row r="36" spans="1:27" ht="15" customHeight="1" x14ac:dyDescent="0.35">
      <c r="A36" s="84" t="s">
        <v>138</v>
      </c>
      <c r="B36" s="84" t="s">
        <v>139</v>
      </c>
      <c r="C36" s="85" t="s">
        <v>140</v>
      </c>
      <c r="D36" s="93" t="s">
        <v>134</v>
      </c>
      <c r="E36" s="93" t="s">
        <v>49</v>
      </c>
      <c r="F36" s="87" t="s">
        <v>133</v>
      </c>
      <c r="G36" s="88">
        <f>'GHG detailed, absolute'!G36/Production!$G$35*AF_lard</f>
        <v>4.2597608501074982</v>
      </c>
      <c r="H36" s="89">
        <f>'GHG detailed, absolute'!H36/Production!$G$35*AF_lard</f>
        <v>0.27263000841191376</v>
      </c>
      <c r="I36" s="89">
        <f>'GHG detailed, absolute'!I36/Production!$G$35*AF_lard</f>
        <v>0.19312812952301794</v>
      </c>
      <c r="J36" s="89">
        <f>'GHG detailed, absolute'!J36/Production!$G$35*AF_lard</f>
        <v>0.68729095714620514</v>
      </c>
      <c r="K36" s="89">
        <f>'GHG detailed, absolute'!K36/Production!$G$35*AF_lard</f>
        <v>6.8729095714620533E-2</v>
      </c>
      <c r="L36" s="89">
        <f>'GHG detailed, absolute'!L36/Production!$G$35*AF_lard</f>
        <v>0.1932438611517508</v>
      </c>
      <c r="M36" s="89">
        <f>'GHG detailed, absolute'!M36/Production!$G$35*AF_lard</f>
        <v>0</v>
      </c>
      <c r="N36" s="89">
        <f>'GHG detailed, absolute'!N36/Production!$G$35*AF_lard</f>
        <v>3.1674673078235151E-3</v>
      </c>
      <c r="O36" s="89">
        <f>'GHG detailed, absolute'!O36/Production!$G$35*AF_lard</f>
        <v>0.27140177479627264</v>
      </c>
      <c r="P36" s="89">
        <f>'GHG detailed, absolute'!P36/Production!$G$35*AF_lard</f>
        <v>0.32221677240962077</v>
      </c>
      <c r="Q36" s="89">
        <f>'GHG detailed, absolute'!Q36/Production!$G$35*AF_lard</f>
        <v>0.26717945497183648</v>
      </c>
      <c r="R36" s="89">
        <f>'GHG detailed, absolute'!R36/Production!$G$35*AF_lard</f>
        <v>0.29704996586923615</v>
      </c>
      <c r="S36" s="89">
        <f>'GHG detailed, absolute'!S36/Production!$G$35*AF_lard</f>
        <v>0.29959290691595497</v>
      </c>
      <c r="T36" s="89">
        <f>'GHG detailed, absolute'!T36/Production!$G$35*AF_lard</f>
        <v>0.71610937946213726</v>
      </c>
      <c r="U36" s="89"/>
      <c r="V36" s="89"/>
      <c r="W36" s="89">
        <f>'GHG detailed, absolute'!W36/Production!$G$35*AF_lard</f>
        <v>0.45876763747161226</v>
      </c>
      <c r="X36" s="89">
        <f>'GHG detailed, absolute'!X36/Production!$G$35*AF_lard</f>
        <v>0.20925343895549595</v>
      </c>
      <c r="Z36" s="90">
        <f>'GHG detailed, absolute'!Z36/Production!$G$35*AF_lard</f>
        <v>2.576037487302298</v>
      </c>
      <c r="AA36" s="91">
        <f>'GHG detailed, absolute'!AA36/Production!$G$35*AF_lard</f>
        <v>2.0441396553580972E-4</v>
      </c>
    </row>
    <row r="37" spans="1:27" ht="15" customHeight="1" x14ac:dyDescent="0.35">
      <c r="A37" s="73" t="s">
        <v>138</v>
      </c>
      <c r="B37" s="73" t="s">
        <v>139</v>
      </c>
      <c r="C37" s="74" t="s">
        <v>140</v>
      </c>
      <c r="D37" s="75" t="s">
        <v>50</v>
      </c>
      <c r="E37" s="75" t="s">
        <v>51</v>
      </c>
      <c r="F37" s="76" t="s">
        <v>129</v>
      </c>
      <c r="G37" s="77">
        <f>'GHG detailed, absolute'!G37/Production!$H$35*AF_lard</f>
        <v>2.9303227735687623</v>
      </c>
      <c r="H37" s="77">
        <f>'GHG detailed, absolute'!H37/Production!$H$35*AF_lard</f>
        <v>0.31684914188956359</v>
      </c>
      <c r="I37" s="77">
        <f>'GHG detailed, absolute'!I37/Production!$H$35*AF_lard</f>
        <v>0.24172540449645158</v>
      </c>
      <c r="J37" s="77">
        <f>'GHG detailed, absolute'!J37/Production!$H$35*AF_lard</f>
        <v>0</v>
      </c>
      <c r="K37" s="77"/>
      <c r="L37" s="77">
        <f>'GHG detailed, absolute'!L37/Production!$H$35*AF_lard</f>
        <v>0.28609196745766013</v>
      </c>
      <c r="M37" s="77"/>
      <c r="N37" s="77">
        <f>'GHG detailed, absolute'!N37/Production!$H$35*AF_lard</f>
        <v>1.564433355618907E-2</v>
      </c>
      <c r="O37" s="77">
        <f>'GHG detailed, absolute'!O37/Production!$H$35*AF_lard</f>
        <v>0.36411519128812986</v>
      </c>
      <c r="P37" s="77">
        <f>'GHG detailed, absolute'!P37/Production!$H$35*AF_lard</f>
        <v>0.38706952466120742</v>
      </c>
      <c r="Q37" s="77">
        <f>'GHG detailed, absolute'!Q37/Production!$H$35*AF_lard</f>
        <v>0.31551873550947684</v>
      </c>
      <c r="R37" s="77">
        <f>'GHG detailed, absolute'!R37/Production!$H$35*AF_lard</f>
        <v>0.32911367597417462</v>
      </c>
      <c r="S37" s="78"/>
      <c r="T37" s="79"/>
      <c r="U37" s="80"/>
      <c r="V37" s="80"/>
      <c r="W37" s="78">
        <f>'GHG detailed, absolute'!W37/Production!$H$35*AF_lard</f>
        <v>0.40728456013579495</v>
      </c>
      <c r="X37" s="81">
        <f>'GHG detailed, absolute'!X37/Production!$H$35*AF_lard</f>
        <v>0.26691023860011392</v>
      </c>
      <c r="Z37" s="53"/>
      <c r="AA37" s="53"/>
    </row>
    <row r="38" spans="1:27" x14ac:dyDescent="0.35">
      <c r="A38" s="20" t="s">
        <v>138</v>
      </c>
      <c r="B38" s="20" t="s">
        <v>139</v>
      </c>
      <c r="C38" s="16" t="s">
        <v>140</v>
      </c>
      <c r="D38" s="18" t="s">
        <v>50</v>
      </c>
      <c r="E38" s="18" t="s">
        <v>51</v>
      </c>
      <c r="F38" s="20" t="s">
        <v>130</v>
      </c>
      <c r="G38" s="53">
        <f>'GHG detailed, absolute'!G38/Production!$H$35*AF_lard</f>
        <v>6.3928250979658173E-3</v>
      </c>
      <c r="H38" s="58">
        <f>'GHG detailed, absolute'!H38/Production!$H$35*AF_lard</f>
        <v>4.8213362142902411E-5</v>
      </c>
      <c r="I38" s="58">
        <f>'GHG detailed, absolute'!I38/Production!$H$35*AF_lard</f>
        <v>8.5051531211714434E-4</v>
      </c>
      <c r="J38" s="58"/>
      <c r="K38" s="58"/>
      <c r="L38" s="58">
        <f>'GHG detailed, absolute'!L38/Production!$H$35*AF_lard</f>
        <v>1.2672909464701151E-4</v>
      </c>
      <c r="M38" s="58"/>
      <c r="N38" s="58">
        <f>'GHG detailed, absolute'!N38/Production!$H$35*AF_lard</f>
        <v>4.6320033407856407E-5</v>
      </c>
      <c r="O38" s="58">
        <f>'GHG detailed, absolute'!O38/Production!$H$35*AF_lard</f>
        <v>3.9029228976649198E-4</v>
      </c>
      <c r="P38" s="58">
        <f>'GHG detailed, absolute'!P38/Production!$H$35*AF_lard</f>
        <v>0</v>
      </c>
      <c r="Q38" s="58">
        <f>'GHG detailed, absolute'!Q38/Production!$H$35*AF_lard</f>
        <v>2.3611612318412338E-3</v>
      </c>
      <c r="R38" s="58">
        <f>'GHG detailed, absolute'!R38/Production!$H$35*AF_lard</f>
        <v>2.7934446722327477E-4</v>
      </c>
      <c r="W38" s="13">
        <f>'GHG detailed, absolute'!W38/Production!$H$35*AF_lard</f>
        <v>1.1055183259351001E-3</v>
      </c>
      <c r="X38" s="49">
        <f>'GHG detailed, absolute'!X38/Production!$H$35*AF_lard</f>
        <v>1.1847309808848021E-3</v>
      </c>
      <c r="Z38" s="54"/>
      <c r="AA38" s="54"/>
    </row>
    <row r="39" spans="1:27" x14ac:dyDescent="0.35">
      <c r="A39" s="20" t="s">
        <v>138</v>
      </c>
      <c r="B39" s="20" t="s">
        <v>139</v>
      </c>
      <c r="C39" s="16" t="s">
        <v>140</v>
      </c>
      <c r="D39" s="18" t="s">
        <v>50</v>
      </c>
      <c r="E39" s="18" t="s">
        <v>51</v>
      </c>
      <c r="F39" s="20" t="s">
        <v>131</v>
      </c>
      <c r="G39" s="53">
        <f>'GHG detailed, absolute'!G39/Production!$H$35*AF_lard</f>
        <v>0.15399024797353006</v>
      </c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13">
        <f>'GHG detailed, absolute'!S39/Production!$H$35*AF_lard</f>
        <v>1.1158831923731141E-2</v>
      </c>
      <c r="T39" s="51">
        <f>'GHG detailed, absolute'!T39/Production!$H$35*AF_lard</f>
        <v>0.14283141604979893</v>
      </c>
      <c r="U39" s="59">
        <f>'GHG detailed, absolute'!U39/Production!$H$35*AF_lard</f>
        <v>0.14283141604979893</v>
      </c>
      <c r="W39" s="13"/>
      <c r="X39" s="49"/>
      <c r="Z39" s="54"/>
      <c r="AA39" s="54"/>
    </row>
    <row r="40" spans="1:27" ht="15" customHeight="1" x14ac:dyDescent="0.35">
      <c r="A40" s="20" t="s">
        <v>138</v>
      </c>
      <c r="B40" s="20" t="s">
        <v>139</v>
      </c>
      <c r="C40" s="16" t="s">
        <v>140</v>
      </c>
      <c r="D40" s="18" t="s">
        <v>50</v>
      </c>
      <c r="E40" s="18" t="s">
        <v>51</v>
      </c>
      <c r="F40" s="82" t="s">
        <v>132</v>
      </c>
      <c r="G40" s="53">
        <f>'GHG detailed, absolute'!G40/Production!$H$35*AF_lard</f>
        <v>7.4364319861609839E-3</v>
      </c>
      <c r="H40" s="58">
        <f>'GHG detailed, absolute'!H40/Production!$H$35*AF_lard</f>
        <v>6.6406359730365085E-5</v>
      </c>
      <c r="I40" s="54">
        <f>'GHG detailed, absolute'!I40/Production!$H$35*AF_lard</f>
        <v>9.8480720350406179E-6</v>
      </c>
      <c r="J40" s="54">
        <f>'GHG detailed, absolute'!J40/Production!$H$35*AF_lard</f>
        <v>3.8704686265477253E-3</v>
      </c>
      <c r="K40" s="54">
        <f>'GHG detailed, absolute'!K40/Production!$H$35*AF_lard</f>
        <v>3.8704686265477259E-4</v>
      </c>
      <c r="L40" s="54">
        <f>'GHG detailed, absolute'!L40/Production!$H$35*AF_lard</f>
        <v>7.6874027082932915E-6</v>
      </c>
      <c r="M40" s="54"/>
      <c r="N40" s="54">
        <f>'GHG detailed, absolute'!N40/Production!$H$35*AF_lard</f>
        <v>6.7201488066847466E-7</v>
      </c>
      <c r="O40" s="54">
        <f>'GHG detailed, absolute'!O40/Production!$H$35*AF_lard</f>
        <v>1.3424380863947806E-5</v>
      </c>
      <c r="P40" s="54">
        <f>'GHG detailed, absolute'!P40/Production!$H$35*AF_lard</f>
        <v>0</v>
      </c>
      <c r="Q40" s="54">
        <f>'GHG detailed, absolute'!Q40/Production!$H$35*AF_lard</f>
        <v>3.7722696207479609E-5</v>
      </c>
      <c r="R40" s="54">
        <f>'GHG detailed, absolute'!R40/Production!$H$35*AF_lard</f>
        <v>1.2903365723042638E-5</v>
      </c>
      <c r="S40" s="13"/>
      <c r="T40" s="51">
        <f>'GHG detailed, absolute'!T40/Production!$H$35*AF_lard</f>
        <v>2.9911119311577723E-3</v>
      </c>
      <c r="U40" s="83">
        <f>'GHG detailed, absolute'!U40/Production!$H$35*AF_lard</f>
        <v>1.6834111227222025E-3</v>
      </c>
      <c r="V40" s="83">
        <f>'GHG detailed, absolute'!V40/Production!$H$35*AF_lard</f>
        <v>1.30770080843557E-3</v>
      </c>
      <c r="W40" s="13">
        <f>'GHG detailed, absolute'!W40/Production!$H$35*AF_lard</f>
        <v>2.915241703001349E-5</v>
      </c>
      <c r="X40" s="49">
        <f>'GHG detailed, absolute'!X40/Production!$H$35*AF_lard</f>
        <v>9.9878566218630137E-6</v>
      </c>
      <c r="Z40" s="54"/>
      <c r="AA40" s="54"/>
    </row>
    <row r="41" spans="1:27" ht="15" customHeight="1" x14ac:dyDescent="0.35">
      <c r="A41" s="84" t="s">
        <v>138</v>
      </c>
      <c r="B41" s="84" t="s">
        <v>139</v>
      </c>
      <c r="C41" s="85" t="s">
        <v>140</v>
      </c>
      <c r="D41" s="86" t="s">
        <v>50</v>
      </c>
      <c r="E41" s="86" t="s">
        <v>51</v>
      </c>
      <c r="F41" s="87" t="s">
        <v>133</v>
      </c>
      <c r="G41" s="88">
        <f>'GHG detailed, absolute'!G41/Production!$H$35*AF_lard</f>
        <v>9.3087115889954024</v>
      </c>
      <c r="H41" s="89">
        <f>'GHG detailed, absolute'!H41/Production!$H$35*AF_lard</f>
        <v>0.33641483628781171</v>
      </c>
      <c r="I41" s="89">
        <f>'GHG detailed, absolute'!I41/Production!$H$35*AF_lard</f>
        <v>0.26975928446310854</v>
      </c>
      <c r="J41" s="89">
        <f>'GHG detailed, absolute'!J41/Production!$H$35*AF_lard</f>
        <v>1.0566379350475292</v>
      </c>
      <c r="K41" s="89">
        <f>'GHG detailed, absolute'!K41/Production!$H$35*AF_lard</f>
        <v>0.10566379350475291</v>
      </c>
      <c r="L41" s="89">
        <f>'GHG detailed, absolute'!L41/Production!$H$35*AF_lard</f>
        <v>0.29196715541750518</v>
      </c>
      <c r="M41" s="89">
        <f>'GHG detailed, absolute'!M41/Production!$H$35*AF_lard</f>
        <v>0</v>
      </c>
      <c r="N41" s="89">
        <f>'GHG detailed, absolute'!N41/Production!$H$35*AF_lard</f>
        <v>1.7208130614165689E-2</v>
      </c>
      <c r="O41" s="89">
        <f>'GHG detailed, absolute'!O41/Production!$H$35*AF_lard</f>
        <v>0.37941075749902903</v>
      </c>
      <c r="P41" s="89">
        <f>'GHG detailed, absolute'!P41/Production!$H$35*AF_lard</f>
        <v>0.38706952466120742</v>
      </c>
      <c r="Q41" s="89">
        <f>'GHG detailed, absolute'!Q41/Production!$H$35*AF_lard</f>
        <v>0.39617963628298758</v>
      </c>
      <c r="R41" s="89">
        <f>'GHG detailed, absolute'!R41/Production!$H$35*AF_lard</f>
        <v>0.34096075993981889</v>
      </c>
      <c r="S41" s="89">
        <f>'GHG detailed, absolute'!S41/Production!$H$35*AF_lard</f>
        <v>0.30128846194074083</v>
      </c>
      <c r="T41" s="89">
        <f>'GHG detailed, absolute'!T41/Production!$H$35*AF_lard</f>
        <v>4.673021790550643</v>
      </c>
      <c r="U41" s="89"/>
      <c r="V41" s="89"/>
      <c r="W41" s="89">
        <f>'GHG detailed, absolute'!W41/Production!$H$35*AF_lard</f>
        <v>0.44818761609785457</v>
      </c>
      <c r="X41" s="89">
        <f>'GHG detailed, absolute'!X41/Production!$H$35*AF_lard</f>
        <v>0.30494190668824966</v>
      </c>
      <c r="Z41" s="90">
        <f>'GHG detailed, absolute'!Z41/Production!$H$35*AF_lard</f>
        <v>3.5812718137179158</v>
      </c>
      <c r="AA41" s="91">
        <f>'GHG detailed, absolute'!AA41/Production!$H$35*AF_lard</f>
        <v>2.4715816545385145E-4</v>
      </c>
    </row>
    <row r="42" spans="1:27" ht="15" customHeight="1" x14ac:dyDescent="0.35">
      <c r="A42" s="73" t="s">
        <v>138</v>
      </c>
      <c r="B42" s="73" t="s">
        <v>139</v>
      </c>
      <c r="C42" s="74" t="s">
        <v>140</v>
      </c>
      <c r="D42" t="s">
        <v>135</v>
      </c>
      <c r="E42" s="18" t="s">
        <v>53</v>
      </c>
      <c r="F42" s="76" t="s">
        <v>129</v>
      </c>
      <c r="G42" s="77">
        <f>'GHG detailed, absolute'!G42/Production!$I$35*AF_lard</f>
        <v>2.5690896661128928</v>
      </c>
      <c r="H42" s="77">
        <f>'GHG detailed, absolute'!H42/Production!$I$35*AF_lard</f>
        <v>0.30849283261170479</v>
      </c>
      <c r="I42" s="77">
        <f>'GHG detailed, absolute'!I42/Production!$I$35*AF_lard</f>
        <v>0.18120596707065528</v>
      </c>
      <c r="J42" s="77">
        <f>'GHG detailed, absolute'!J42/Production!$I$35*AF_lard</f>
        <v>0</v>
      </c>
      <c r="K42" s="77"/>
      <c r="L42" s="77">
        <f>'GHG detailed, absolute'!L42/Production!$I$35*AF_lard</f>
        <v>0.19101041840898869</v>
      </c>
      <c r="M42" s="77"/>
      <c r="N42" s="77">
        <f>'GHG detailed, absolute'!N42/Production!$I$35*AF_lard</f>
        <v>2.1836965978239541E-3</v>
      </c>
      <c r="O42" s="77">
        <f>'GHG detailed, absolute'!O42/Production!$I$35*AF_lard</f>
        <v>0.29699569743785187</v>
      </c>
      <c r="P42" s="77">
        <f>'GHG detailed, absolute'!P42/Production!$I$35*AF_lard</f>
        <v>0.30472961190613851</v>
      </c>
      <c r="Q42" s="77">
        <f>'GHG detailed, absolute'!Q42/Production!$I$35*AF_lard</f>
        <v>0.26632185337636755</v>
      </c>
      <c r="R42" s="77">
        <f>'GHG detailed, absolute'!R42/Production!$I$35*AF_lard</f>
        <v>0.28900296776264317</v>
      </c>
      <c r="S42" s="78"/>
      <c r="T42" s="79"/>
      <c r="U42" s="80"/>
      <c r="V42" s="80"/>
      <c r="W42" s="78">
        <f>'GHG detailed, absolute'!W42/Production!$I$35*AF_lard</f>
        <v>0.50139727709245752</v>
      </c>
      <c r="X42" s="81">
        <f>'GHG detailed, absolute'!X42/Production!$I$35*AF_lard</f>
        <v>0.22774934384826154</v>
      </c>
      <c r="Z42" s="53"/>
      <c r="AA42" s="53"/>
    </row>
    <row r="43" spans="1:27" x14ac:dyDescent="0.35">
      <c r="A43" s="20" t="s">
        <v>138</v>
      </c>
      <c r="B43" s="20" t="s">
        <v>139</v>
      </c>
      <c r="C43" s="16" t="s">
        <v>140</v>
      </c>
      <c r="D43" t="s">
        <v>135</v>
      </c>
      <c r="E43" s="18" t="s">
        <v>53</v>
      </c>
      <c r="F43" s="20" t="s">
        <v>130</v>
      </c>
      <c r="G43" s="53">
        <f>'GHG detailed, absolute'!G43/Production!$I$35*AF_lard</f>
        <v>3.0808873730740071E-3</v>
      </c>
      <c r="H43" s="58">
        <f>'GHG detailed, absolute'!H43/Production!$I$35*AF_lard</f>
        <v>1.4855057585567354E-4</v>
      </c>
      <c r="I43" s="58">
        <f>'GHG detailed, absolute'!I43/Production!$I$35*AF_lard</f>
        <v>6.3757655080415776E-4</v>
      </c>
      <c r="J43" s="58"/>
      <c r="K43" s="58"/>
      <c r="L43" s="58">
        <f>'GHG detailed, absolute'!L43/Production!$I$35*AF_lard</f>
        <v>8.4611174540230434E-5</v>
      </c>
      <c r="M43" s="58"/>
      <c r="N43" s="58">
        <f>'GHG detailed, absolute'!N43/Production!$I$35*AF_lard</f>
        <v>6.580902395365091E-6</v>
      </c>
      <c r="O43" s="58">
        <f>'GHG detailed, absolute'!O43/Production!$I$35*AF_lard</f>
        <v>2.1808532402094443E-4</v>
      </c>
      <c r="P43" s="58">
        <f>'GHG detailed, absolute'!P43/Production!$I$35*AF_lard</f>
        <v>0</v>
      </c>
      <c r="Q43" s="58">
        <f>'GHG detailed, absolute'!Q43/Production!$I$35*AF_lard</f>
        <v>2.6225129652556741E-4</v>
      </c>
      <c r="R43" s="58">
        <f>'GHG detailed, absolute'!R43/Production!$I$35*AF_lard</f>
        <v>2.6847498725152434E-4</v>
      </c>
      <c r="W43" s="13">
        <f>'GHG detailed, absolute'!W43/Production!$I$35*AF_lard</f>
        <v>7.3043805648872898E-4</v>
      </c>
      <c r="X43" s="49">
        <f>'GHG detailed, absolute'!X43/Production!$I$35*AF_lard</f>
        <v>7.2431850519181487E-4</v>
      </c>
      <c r="Z43" s="54"/>
      <c r="AA43" s="54"/>
    </row>
    <row r="44" spans="1:27" x14ac:dyDescent="0.35">
      <c r="A44" s="20" t="s">
        <v>138</v>
      </c>
      <c r="B44" s="20" t="s">
        <v>139</v>
      </c>
      <c r="C44" s="16" t="s">
        <v>140</v>
      </c>
      <c r="D44" t="s">
        <v>135</v>
      </c>
      <c r="E44" s="18" t="s">
        <v>53</v>
      </c>
      <c r="F44" s="20" t="s">
        <v>131</v>
      </c>
      <c r="G44" s="53">
        <f>'GHG detailed, absolute'!G44/Production!$I$35*AF_lard</f>
        <v>0.12043372944681555</v>
      </c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13">
        <f>'GHG detailed, absolute'!S44/Production!$I$35*AF_lard</f>
        <v>1.1041045403689565E-2</v>
      </c>
      <c r="T44" s="51">
        <f>'GHG detailed, absolute'!T44/Production!$I$35*AF_lard</f>
        <v>0.10939268404312598</v>
      </c>
      <c r="U44" s="59">
        <f>'GHG detailed, absolute'!U44/Production!$I$35*AF_lard</f>
        <v>0.10939268404312598</v>
      </c>
      <c r="W44" s="13"/>
      <c r="X44" s="49"/>
      <c r="Z44" s="54"/>
      <c r="AA44" s="54"/>
    </row>
    <row r="45" spans="1:27" ht="15" customHeight="1" x14ac:dyDescent="0.35">
      <c r="A45" s="20" t="s">
        <v>138</v>
      </c>
      <c r="B45" s="20" t="s">
        <v>139</v>
      </c>
      <c r="C45" s="16" t="s">
        <v>140</v>
      </c>
      <c r="D45" t="s">
        <v>135</v>
      </c>
      <c r="E45" s="18" t="s">
        <v>53</v>
      </c>
      <c r="F45" s="82" t="s">
        <v>132</v>
      </c>
      <c r="G45" s="53">
        <f>'GHG detailed, absolute'!G45/Production!$I$35*AF_lard</f>
        <v>4.85096341858167E-3</v>
      </c>
      <c r="H45" s="58">
        <f>'GHG detailed, absolute'!H45/Production!$I$35*AF_lard</f>
        <v>2.5319296833341281E-4</v>
      </c>
      <c r="I45" s="54">
        <f>'GHG detailed, absolute'!I45/Production!$I$35*AF_lard</f>
        <v>7.3824653251007727E-6</v>
      </c>
      <c r="J45" s="54">
        <f>'GHG detailed, absolute'!J45/Production!$I$35*AF_lard</f>
        <v>3.0101645324990133E-3</v>
      </c>
      <c r="K45" s="54">
        <f>'GHG detailed, absolute'!K45/Production!$I$35*AF_lard</f>
        <v>3.010164532499014E-4</v>
      </c>
      <c r="L45" s="54">
        <f>'GHG detailed, absolute'!L45/Production!$I$35*AF_lard</f>
        <v>5.1325244145724073E-6</v>
      </c>
      <c r="M45" s="54"/>
      <c r="N45" s="54">
        <f>'GHG detailed, absolute'!N45/Production!$I$35*AF_lard</f>
        <v>9.3262363787892364E-8</v>
      </c>
      <c r="O45" s="54">
        <f>'GHG detailed, absolute'!O45/Production!$I$35*AF_lard</f>
        <v>1.0802527839852426E-5</v>
      </c>
      <c r="P45" s="54">
        <f>'GHG detailed, absolute'!P45/Production!$I$35*AF_lard</f>
        <v>0</v>
      </c>
      <c r="Q45" s="54">
        <f>'GHG detailed, absolute'!Q45/Production!$I$35*AF_lard</f>
        <v>1.8251279374184182E-5</v>
      </c>
      <c r="R45" s="54">
        <f>'GHG detailed, absolute'!R45/Production!$I$35*AF_lard</f>
        <v>1.0150859593131724E-5</v>
      </c>
      <c r="S45" s="13"/>
      <c r="T45" s="51">
        <f>'GHG detailed, absolute'!T45/Production!$I$35*AF_lard</f>
        <v>1.193809070813795E-3</v>
      </c>
      <c r="U45" s="83">
        <f>'GHG detailed, absolute'!U45/Production!$I$35*AF_lard</f>
        <v>6.7482480110859242E-4</v>
      </c>
      <c r="V45" s="83">
        <f>'GHG detailed, absolute'!V45/Production!$I$35*AF_lard</f>
        <v>5.1898426970520262E-4</v>
      </c>
      <c r="W45" s="13">
        <f>'GHG detailed, absolute'!W45/Production!$I$35*AF_lard</f>
        <v>3.2674396763411004E-5</v>
      </c>
      <c r="X45" s="49">
        <f>'GHG detailed, absolute'!X45/Production!$I$35*AF_lard</f>
        <v>8.2930780115054926E-6</v>
      </c>
      <c r="Z45" s="54"/>
      <c r="AA45" s="54"/>
    </row>
    <row r="46" spans="1:27" ht="15" customHeight="1" x14ac:dyDescent="0.35">
      <c r="A46" s="84" t="s">
        <v>138</v>
      </c>
      <c r="B46" s="84" t="s">
        <v>139</v>
      </c>
      <c r="C46" s="85" t="s">
        <v>140</v>
      </c>
      <c r="D46" s="95" t="s">
        <v>135</v>
      </c>
      <c r="E46" s="86" t="s">
        <v>53</v>
      </c>
      <c r="F46" s="87" t="s">
        <v>133</v>
      </c>
      <c r="G46" s="88">
        <f>'GHG detailed, absolute'!G46/Production!$I$35*AF_lard</f>
        <v>7.2369238181673134</v>
      </c>
      <c r="H46" s="89">
        <f>'GHG detailed, absolute'!H46/Production!$I$35*AF_lard</f>
        <v>0.38204132012722558</v>
      </c>
      <c r="I46" s="89">
        <f>'GHG detailed, absolute'!I46/Production!$I$35*AF_lard</f>
        <v>0.20222116131837173</v>
      </c>
      <c r="J46" s="89">
        <f>'GHG detailed, absolute'!J46/Production!$I$35*AF_lard</f>
        <v>0.82177491737223063</v>
      </c>
      <c r="K46" s="89">
        <f>'GHG detailed, absolute'!K46/Production!$I$35*AF_lard</f>
        <v>8.217749173722308E-2</v>
      </c>
      <c r="L46" s="89">
        <f>'GHG detailed, absolute'!L46/Production!$I$35*AF_lard</f>
        <v>0.1949330105754658</v>
      </c>
      <c r="M46" s="89">
        <f>'GHG detailed, absolute'!M46/Production!$I$35*AF_lard</f>
        <v>0</v>
      </c>
      <c r="N46" s="89">
        <f>'GHG detailed, absolute'!N46/Production!$I$35*AF_lard</f>
        <v>2.4052681145199282E-3</v>
      </c>
      <c r="O46" s="89">
        <f>'GHG detailed, absolute'!O46/Production!$I$35*AF_lard</f>
        <v>0.30644373019395565</v>
      </c>
      <c r="P46" s="89">
        <f>'GHG detailed, absolute'!P46/Production!$I$35*AF_lard</f>
        <v>0.30472961190613851</v>
      </c>
      <c r="Q46" s="89">
        <f>'GHG detailed, absolute'!Q46/Production!$I$35*AF_lard</f>
        <v>0.27911954128198174</v>
      </c>
      <c r="R46" s="89">
        <f>'GHG detailed, absolute'!R46/Production!$I$35*AF_lard</f>
        <v>0.29977470705166359</v>
      </c>
      <c r="S46" s="89">
        <f>'GHG detailed, absolute'!S46/Production!$I$35*AF_lard</f>
        <v>0.29810822589961827</v>
      </c>
      <c r="T46" s="89">
        <f>'GHG detailed, absolute'!T46/Production!$I$35*AF_lard</f>
        <v>3.2795123454965673</v>
      </c>
      <c r="U46" s="89"/>
      <c r="V46" s="89"/>
      <c r="W46" s="89">
        <f>'GHG detailed, absolute'!W46/Production!$I$35*AF_lard</f>
        <v>0.53208444149223288</v>
      </c>
      <c r="X46" s="89">
        <f>'GHG detailed, absolute'!X46/Production!$I$35*AF_lard</f>
        <v>0.25159804560011861</v>
      </c>
      <c r="Z46" s="90">
        <f>'GHG detailed, absolute'!Z46/Production!$I$35*AF_lard</f>
        <v>2.8756207596787768</v>
      </c>
      <c r="AA46" s="91">
        <f>'GHG detailed, absolute'!AA46/Production!$I$35*AF_lard</f>
        <v>1.7499452571277825E-4</v>
      </c>
    </row>
    <row r="47" spans="1:27" ht="15" customHeight="1" x14ac:dyDescent="0.35">
      <c r="A47" s="73" t="s">
        <v>138</v>
      </c>
      <c r="B47" s="73" t="s">
        <v>139</v>
      </c>
      <c r="C47" s="74" t="s">
        <v>140</v>
      </c>
      <c r="D47" t="s">
        <v>54</v>
      </c>
      <c r="E47" s="18" t="s">
        <v>55</v>
      </c>
      <c r="F47" s="76" t="s">
        <v>129</v>
      </c>
      <c r="G47" s="77">
        <f>'GHG detailed, absolute'!G47/Production!$J$35*AF_lard</f>
        <v>3.3209040827869036</v>
      </c>
      <c r="H47" s="77">
        <f>'GHG detailed, absolute'!H47/Production!$J$35*AF_lard</f>
        <v>0.37765527768258483</v>
      </c>
      <c r="I47" s="77">
        <f>'GHG detailed, absolute'!I47/Production!$J$35*AF_lard</f>
        <v>0.1822048155931332</v>
      </c>
      <c r="J47" s="77">
        <f>'GHG detailed, absolute'!J47/Production!$J$35*AF_lard</f>
        <v>0</v>
      </c>
      <c r="K47" s="77"/>
      <c r="L47" s="77">
        <f>'GHG detailed, absolute'!L47/Production!$J$35*AF_lard</f>
        <v>0.2699127245865206</v>
      </c>
      <c r="M47" s="77"/>
      <c r="N47" s="77">
        <f>'GHG detailed, absolute'!N47/Production!$J$35*AF_lard</f>
        <v>3.1501106445918557E-4</v>
      </c>
      <c r="O47" s="77">
        <f>'GHG detailed, absolute'!O47/Production!$J$35*AF_lard</f>
        <v>0.34988140264810713</v>
      </c>
      <c r="P47" s="77">
        <f>'GHG detailed, absolute'!P47/Production!$J$35*AF_lard</f>
        <v>0.30077992744688592</v>
      </c>
      <c r="Q47" s="77">
        <f>'GHG detailed, absolute'!Q47/Production!$J$35*AF_lard</f>
        <v>0.52924840411864149</v>
      </c>
      <c r="R47" s="77">
        <f>'GHG detailed, absolute'!R47/Production!$J$35*AF_lard</f>
        <v>0.16206007201050393</v>
      </c>
      <c r="S47" s="78"/>
      <c r="T47" s="79"/>
      <c r="U47" s="80"/>
      <c r="V47" s="80"/>
      <c r="W47" s="78">
        <f>'GHG detailed, absolute'!W47/Production!$J$35*AF_lard</f>
        <v>0.82224409383989117</v>
      </c>
      <c r="X47" s="81">
        <f>'GHG detailed, absolute'!X47/Production!$J$35*AF_lard</f>
        <v>0.32660235379617603</v>
      </c>
      <c r="Z47" s="53"/>
      <c r="AA47" s="53"/>
    </row>
    <row r="48" spans="1:27" x14ac:dyDescent="0.35">
      <c r="A48" s="20" t="s">
        <v>138</v>
      </c>
      <c r="B48" s="20" t="s">
        <v>139</v>
      </c>
      <c r="C48" s="16" t="s">
        <v>140</v>
      </c>
      <c r="D48" t="s">
        <v>54</v>
      </c>
      <c r="E48" s="18" t="s">
        <v>55</v>
      </c>
      <c r="F48" s="20" t="s">
        <v>130</v>
      </c>
      <c r="G48" s="53">
        <f>'GHG detailed, absolute'!G48/Production!$J$35*AF_lard</f>
        <v>5.0981445777715361E-3</v>
      </c>
      <c r="H48" s="58">
        <f>'GHG detailed, absolute'!H48/Production!$J$35*AF_lard</f>
        <v>5.7316445102548655E-5</v>
      </c>
      <c r="I48" s="58">
        <f>'GHG detailed, absolute'!I48/Production!$J$35*AF_lard</f>
        <v>6.4109101782769092E-4</v>
      </c>
      <c r="J48" s="58"/>
      <c r="K48" s="58"/>
      <c r="L48" s="58">
        <f>'GHG detailed, absolute'!L48/Production!$J$35*AF_lard</f>
        <v>1.195622356143926E-4</v>
      </c>
      <c r="M48" s="58"/>
      <c r="N48" s="58">
        <f>'GHG detailed, absolute'!N48/Production!$J$35*AF_lard</f>
        <v>9.9996492485211322E-7</v>
      </c>
      <c r="O48" s="58">
        <f>'GHG detailed, absolute'!O48/Production!$J$35*AF_lard</f>
        <v>3.2606797193279806E-4</v>
      </c>
      <c r="P48" s="58">
        <f>'GHG detailed, absolute'!P48/Production!$J$35*AF_lard</f>
        <v>0</v>
      </c>
      <c r="Q48" s="58">
        <f>'GHG detailed, absolute'!Q48/Production!$J$35*AF_lard</f>
        <v>1.5890784922049689E-3</v>
      </c>
      <c r="R48" s="58">
        <f>'GHG detailed, absolute'!R48/Production!$J$35*AF_lard</f>
        <v>1.4180300115891812E-4</v>
      </c>
      <c r="W48" s="13">
        <f>'GHG detailed, absolute'!W48/Production!$J$35*AF_lard</f>
        <v>1.3274432094310361E-3</v>
      </c>
      <c r="X48" s="49">
        <f>'GHG detailed, absolute'!X48/Production!$J$35*AF_lard</f>
        <v>8.9478223957433108E-4</v>
      </c>
      <c r="Z48" s="54"/>
      <c r="AA48" s="54"/>
    </row>
    <row r="49" spans="1:27" x14ac:dyDescent="0.35">
      <c r="A49" s="20" t="s">
        <v>138</v>
      </c>
      <c r="B49" s="20" t="s">
        <v>139</v>
      </c>
      <c r="C49" s="16" t="s">
        <v>140</v>
      </c>
      <c r="D49" t="s">
        <v>54</v>
      </c>
      <c r="E49" s="18" t="s">
        <v>55</v>
      </c>
      <c r="F49" s="20" t="s">
        <v>131</v>
      </c>
      <c r="G49" s="53">
        <f>'GHG detailed, absolute'!G49/Production!$J$35*AF_lard</f>
        <v>2.6806425609992302E-2</v>
      </c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13">
        <f>'GHG detailed, absolute'!S49/Production!$J$35*AF_lard</f>
        <v>1.1155950985135615E-2</v>
      </c>
      <c r="T49" s="51">
        <f>'GHG detailed, absolute'!T49/Production!$J$35*AF_lard</f>
        <v>1.5650474624856688E-2</v>
      </c>
      <c r="U49" s="59">
        <f>'GHG detailed, absolute'!U49/Production!$J$35*AF_lard</f>
        <v>1.5650474624856688E-2</v>
      </c>
      <c r="W49" s="13"/>
      <c r="X49" s="49"/>
      <c r="Z49" s="54"/>
      <c r="AA49" s="54"/>
    </row>
    <row r="50" spans="1:27" ht="15" customHeight="1" x14ac:dyDescent="0.35">
      <c r="A50" s="20" t="s">
        <v>138</v>
      </c>
      <c r="B50" s="20" t="s">
        <v>139</v>
      </c>
      <c r="C50" s="16" t="s">
        <v>140</v>
      </c>
      <c r="D50" t="s">
        <v>54</v>
      </c>
      <c r="E50" s="18" t="s">
        <v>55</v>
      </c>
      <c r="F50" s="82" t="s">
        <v>132</v>
      </c>
      <c r="G50" s="53">
        <f>'GHG detailed, absolute'!G50/Production!$J$35*AF_lard</f>
        <v>6.598887747766599E-3</v>
      </c>
      <c r="H50" s="58">
        <f>'GHG detailed, absolute'!H50/Production!$J$35*AF_lard</f>
        <v>2.0045625482447275E-4</v>
      </c>
      <c r="I50" s="54">
        <f>'GHG detailed, absolute'!I50/Production!$J$35*AF_lard</f>
        <v>7.4231591537943177E-6</v>
      </c>
      <c r="J50" s="54">
        <f>'GHG detailed, absolute'!J50/Production!$J$35*AF_lard</f>
        <v>4.0562496563160411E-3</v>
      </c>
      <c r="K50" s="54">
        <f>'GHG detailed, absolute'!K50/Production!$J$35*AF_lard</f>
        <v>4.0562496563160418E-4</v>
      </c>
      <c r="L50" s="54">
        <f>'GHG detailed, absolute'!L50/Production!$J$35*AF_lard</f>
        <v>7.2526601443164162E-6</v>
      </c>
      <c r="M50" s="54"/>
      <c r="N50" s="54">
        <f>'GHG detailed, absolute'!N50/Production!$J$35*AF_lard</f>
        <v>1.3216634458775159E-8</v>
      </c>
      <c r="O50" s="54">
        <f>'GHG detailed, absolute'!O50/Production!$J$35*AF_lard</f>
        <v>1.0357761298339682E-5</v>
      </c>
      <c r="P50" s="54">
        <f>'GHG detailed, absolute'!P50/Production!$J$35*AF_lard</f>
        <v>0</v>
      </c>
      <c r="Q50" s="54">
        <f>'GHG detailed, absolute'!Q50/Production!$J$35*AF_lard</f>
        <v>2.2797646315321275E-5</v>
      </c>
      <c r="R50" s="54">
        <f>'GHG detailed, absolute'!R50/Production!$J$35*AF_lard</f>
        <v>5.8682870665217228E-6</v>
      </c>
      <c r="S50" s="13"/>
      <c r="T50" s="51">
        <f>'GHG detailed, absolute'!T50/Production!$J$35*AF_lard</f>
        <v>1.843803694089757E-3</v>
      </c>
      <c r="U50" s="83">
        <f>'GHG detailed, absolute'!U50/Production!$J$35*AF_lard</f>
        <v>1.0606532275052483E-3</v>
      </c>
      <c r="V50" s="83">
        <f>'GHG detailed, absolute'!V50/Production!$J$35*AF_lard</f>
        <v>7.8315046658450891E-4</v>
      </c>
      <c r="W50" s="13">
        <f>'GHG detailed, absolute'!W50/Production!$J$35*AF_lard</f>
        <v>3.1689861811477882E-5</v>
      </c>
      <c r="X50" s="49">
        <f>'GHG detailed, absolute'!X50/Production!$J$35*AF_lard</f>
        <v>7.3505844804934738E-6</v>
      </c>
      <c r="Z50" s="54"/>
      <c r="AA50" s="54"/>
    </row>
    <row r="51" spans="1:27" ht="15" customHeight="1" x14ac:dyDescent="0.35">
      <c r="A51" s="84" t="s">
        <v>138</v>
      </c>
      <c r="B51" s="84" t="s">
        <v>139</v>
      </c>
      <c r="C51" s="85" t="s">
        <v>140</v>
      </c>
      <c r="D51" s="95" t="s">
        <v>54</v>
      </c>
      <c r="E51" s="93" t="s">
        <v>55</v>
      </c>
      <c r="F51" s="87" t="s">
        <v>133</v>
      </c>
      <c r="G51" s="88">
        <f>'GHG detailed, absolute'!G51/Production!$J$35*AF_lard</f>
        <v>5.9980986378145689</v>
      </c>
      <c r="H51" s="89">
        <f>'GHG detailed, absolute'!H51/Production!$J$35*AF_lard</f>
        <v>0.43408786531372184</v>
      </c>
      <c r="I51" s="89">
        <f>'GHG detailed, absolute'!I51/Production!$J$35*AF_lard</f>
        <v>0.20333585037338422</v>
      </c>
      <c r="J51" s="89">
        <f>'GHG detailed, absolute'!J51/Production!$J$35*AF_lard</f>
        <v>1.1073561561742793</v>
      </c>
      <c r="K51" s="89">
        <f>'GHG detailed, absolute'!K51/Production!$J$35*AF_lard</f>
        <v>0.11073561561742794</v>
      </c>
      <c r="L51" s="89">
        <f>'GHG detailed, absolute'!L51/Production!$J$35*AF_lard</f>
        <v>0.27545565542722783</v>
      </c>
      <c r="M51" s="89">
        <f>'GHG detailed, absolute'!M51/Production!$J$35*AF_lard</f>
        <v>0</v>
      </c>
      <c r="N51" s="89">
        <f>'GHG detailed, absolute'!N51/Production!$J$35*AF_lard</f>
        <v>3.4841816042702417E-4</v>
      </c>
      <c r="O51" s="89">
        <f>'GHG detailed, absolute'!O51/Production!$J$35*AF_lard</f>
        <v>0.36242589704615125</v>
      </c>
      <c r="P51" s="89">
        <f>'GHG detailed, absolute'!P51/Production!$J$35*AF_lard</f>
        <v>0.30077992744688592</v>
      </c>
      <c r="Q51" s="89">
        <f>'GHG detailed, absolute'!Q51/Production!$J$35*AF_lard</f>
        <v>0.58282670063043218</v>
      </c>
      <c r="R51" s="89">
        <f>'GHG detailed, absolute'!R51/Production!$J$35*AF_lard</f>
        <v>0.16788784381420013</v>
      </c>
      <c r="S51" s="89">
        <f>'GHG detailed, absolute'!S51/Production!$J$35*AF_lard</f>
        <v>0.30121067659866158</v>
      </c>
      <c r="T51" s="89">
        <f>'GHG detailed, absolute'!T51/Production!$J$35*AF_lard</f>
        <v>0.92592122335763427</v>
      </c>
      <c r="U51" s="89"/>
      <c r="V51" s="89"/>
      <c r="W51" s="89">
        <f>'GHG detailed, absolute'!W51/Production!$J$35*AF_lard</f>
        <v>0.87045323375546957</v>
      </c>
      <c r="X51" s="89">
        <f>'GHG detailed, absolute'!X51/Production!$J$35*AF_lard</f>
        <v>0.35527357409866578</v>
      </c>
      <c r="Z51" s="90">
        <f>'GHG detailed, absolute'!Z51/Production!$J$35*AF_lard</f>
        <v>3.5452399300041377</v>
      </c>
      <c r="AA51" s="91">
        <f>'GHG detailed, absolute'!AA51/Production!$J$35*AF_lard</f>
        <v>2.6830672465407747E-4</v>
      </c>
    </row>
    <row r="52" spans="1:27" ht="15" customHeight="1" x14ac:dyDescent="0.35">
      <c r="A52" s="73" t="s">
        <v>138</v>
      </c>
      <c r="B52" s="73" t="s">
        <v>139</v>
      </c>
      <c r="C52" s="74" t="s">
        <v>140</v>
      </c>
      <c r="D52" t="s">
        <v>56</v>
      </c>
      <c r="E52" s="75" t="s">
        <v>57</v>
      </c>
      <c r="F52" s="76" t="s">
        <v>129</v>
      </c>
      <c r="G52" s="77">
        <f>'GHG detailed, absolute'!G52/Production!$K$35*AF_lard</f>
        <v>2.7908305008743679</v>
      </c>
      <c r="H52" s="77">
        <f>'GHG detailed, absolute'!H52/Production!$K$35*AF_lard</f>
        <v>0.52161585060920734</v>
      </c>
      <c r="I52" s="77">
        <f>'GHG detailed, absolute'!I52/Production!$K$35*AF_lard</f>
        <v>0.20188612075174556</v>
      </c>
      <c r="J52" s="77">
        <f>'GHG detailed, absolute'!J52/Production!$K$35*AF_lard</f>
        <v>0</v>
      </c>
      <c r="K52" s="77"/>
      <c r="L52" s="77">
        <f>'GHG detailed, absolute'!L52/Production!$K$35*AF_lard</f>
        <v>0.34757071637129344</v>
      </c>
      <c r="M52" s="77"/>
      <c r="N52" s="77">
        <f>'GHG detailed, absolute'!N52/Production!$K$35*AF_lard</f>
        <v>6.3158683183574815E-2</v>
      </c>
      <c r="O52" s="77">
        <f>'GHG detailed, absolute'!O52/Production!$K$35*AF_lard</f>
        <v>0.28987621801482161</v>
      </c>
      <c r="P52" s="77">
        <f>'GHG detailed, absolute'!P52/Production!$K$35*AF_lard</f>
        <v>0.35830323917044843</v>
      </c>
      <c r="Q52" s="77">
        <f>'GHG detailed, absolute'!Q52/Production!$K$35*AF_lard</f>
        <v>0.18505580522550699</v>
      </c>
      <c r="R52" s="77">
        <f>'GHG detailed, absolute'!R52/Production!$K$35*AF_lard</f>
        <v>0.29591316259629064</v>
      </c>
      <c r="S52" s="78"/>
      <c r="T52" s="79"/>
      <c r="U52" s="80"/>
      <c r="V52" s="80"/>
      <c r="W52" s="78">
        <f>'GHG detailed, absolute'!W52/Production!$K$35*AF_lard</f>
        <v>0.36971647317532758</v>
      </c>
      <c r="X52" s="81">
        <f>'GHG detailed, absolute'!X52/Production!$K$35*AF_lard</f>
        <v>0.15773423177615126</v>
      </c>
      <c r="Z52" s="53"/>
      <c r="AA52" s="53"/>
    </row>
    <row r="53" spans="1:27" x14ac:dyDescent="0.35">
      <c r="A53" s="20" t="s">
        <v>138</v>
      </c>
      <c r="B53" s="20" t="s">
        <v>139</v>
      </c>
      <c r="C53" s="16" t="s">
        <v>140</v>
      </c>
      <c r="D53" t="s">
        <v>56</v>
      </c>
      <c r="E53" s="18" t="s">
        <v>57</v>
      </c>
      <c r="F53" s="20" t="s">
        <v>130</v>
      </c>
      <c r="G53" s="53">
        <f>'GHG detailed, absolute'!G53/Production!$K$35*AF_lard</f>
        <v>3.1630612502916754E-3</v>
      </c>
      <c r="H53" s="58">
        <f>'GHG detailed, absolute'!H53/Production!$K$35*AF_lard</f>
        <v>4.317010750053962E-5</v>
      </c>
      <c r="I53" s="58">
        <f>'GHG detailed, absolute'!I53/Production!$K$35*AF_lard</f>
        <v>7.1034005449688244E-4</v>
      </c>
      <c r="J53" s="58"/>
      <c r="K53" s="58"/>
      <c r="L53" s="58">
        <f>'GHG detailed, absolute'!L53/Production!$K$35*AF_lard</f>
        <v>1.5396210737047677E-4</v>
      </c>
      <c r="M53" s="58"/>
      <c r="N53" s="58">
        <f>'GHG detailed, absolute'!N53/Production!$K$35*AF_lard</f>
        <v>1.8668495612860847E-4</v>
      </c>
      <c r="O53" s="58">
        <f>'GHG detailed, absolute'!O53/Production!$K$35*AF_lard</f>
        <v>2.1895433534734968E-4</v>
      </c>
      <c r="P53" s="58">
        <f>'GHG detailed, absolute'!P53/Production!$K$35*AF_lard</f>
        <v>0</v>
      </c>
      <c r="Q53" s="58">
        <f>'GHG detailed, absolute'!Q53/Production!$K$35*AF_lard</f>
        <v>3.109836131697362E-4</v>
      </c>
      <c r="R53" s="58">
        <f>'GHG detailed, absolute'!R53/Production!$K$35*AF_lard</f>
        <v>2.5295233623281083E-4</v>
      </c>
      <c r="W53" s="13">
        <f>'GHG detailed, absolute'!W53/Production!$K$35*AF_lard</f>
        <v>6.5800747315022403E-4</v>
      </c>
      <c r="X53" s="49">
        <f>'GHG detailed, absolute'!X53/Production!$K$35*AF_lard</f>
        <v>6.2800626689504737E-4</v>
      </c>
      <c r="Z53" s="54"/>
      <c r="AA53" s="54"/>
    </row>
    <row r="54" spans="1:27" x14ac:dyDescent="0.35">
      <c r="A54" s="20" t="s">
        <v>138</v>
      </c>
      <c r="B54" s="20" t="s">
        <v>139</v>
      </c>
      <c r="C54" s="16" t="s">
        <v>140</v>
      </c>
      <c r="D54" t="s">
        <v>56</v>
      </c>
      <c r="E54" s="18" t="s">
        <v>57</v>
      </c>
      <c r="F54" s="20" t="s">
        <v>131</v>
      </c>
      <c r="G54" s="53">
        <f>'GHG detailed, absolute'!G54/Production!$K$35*AF_lard</f>
        <v>9.3767671236286723E-2</v>
      </c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13">
        <f>'GHG detailed, absolute'!S54/Production!$K$35*AF_lard</f>
        <v>1.1386852280926025E-2</v>
      </c>
      <c r="T54" s="51">
        <f>'GHG detailed, absolute'!T54/Production!$K$35*AF_lard</f>
        <v>8.2380818955360702E-2</v>
      </c>
      <c r="U54" s="59">
        <f>'GHG detailed, absolute'!U54/Production!$K$35*AF_lard</f>
        <v>8.2380818955360702E-2</v>
      </c>
      <c r="W54" s="13"/>
      <c r="X54" s="49"/>
      <c r="Z54" s="54"/>
      <c r="AA54" s="54"/>
    </row>
    <row r="55" spans="1:27" ht="15" customHeight="1" x14ac:dyDescent="0.35">
      <c r="A55" s="20" t="s">
        <v>138</v>
      </c>
      <c r="B55" s="20" t="s">
        <v>139</v>
      </c>
      <c r="C55" s="16" t="s">
        <v>140</v>
      </c>
      <c r="D55" t="s">
        <v>56</v>
      </c>
      <c r="E55" s="18" t="s">
        <v>57</v>
      </c>
      <c r="F55" s="82" t="s">
        <v>132</v>
      </c>
      <c r="G55" s="53">
        <f>'GHG detailed, absolute'!G55/Production!$K$35*AF_lard</f>
        <v>6.0275676706097276E-3</v>
      </c>
      <c r="H55" s="58">
        <f>'GHG detailed, absolute'!H55/Production!$K$35*AF_lard</f>
        <v>1.3070410663142606E-4</v>
      </c>
      <c r="I55" s="54">
        <f>'GHG detailed, absolute'!I55/Production!$K$35*AF_lard</f>
        <v>8.2249901047007458E-6</v>
      </c>
      <c r="J55" s="54">
        <f>'GHG detailed, absolute'!J55/Production!$K$35*AF_lard</f>
        <v>3.9508785388338002E-3</v>
      </c>
      <c r="K55" s="54">
        <f>'GHG detailed, absolute'!K55/Production!$K$35*AF_lard</f>
        <v>3.9508785388338004E-4</v>
      </c>
      <c r="L55" s="54">
        <f>'GHG detailed, absolute'!L55/Production!$K$35*AF_lard</f>
        <v>9.3393606611886023E-6</v>
      </c>
      <c r="M55" s="54"/>
      <c r="N55" s="54">
        <f>'GHG detailed, absolute'!N55/Production!$K$35*AF_lard</f>
        <v>2.714513151498085E-6</v>
      </c>
      <c r="O55" s="54">
        <f>'GHG detailed, absolute'!O55/Production!$K$35*AF_lard</f>
        <v>1.0652196965508601E-5</v>
      </c>
      <c r="P55" s="54">
        <f>'GHG detailed, absolute'!P55/Production!$K$35*AF_lard</f>
        <v>0</v>
      </c>
      <c r="Q55" s="54">
        <f>'GHG detailed, absolute'!Q55/Production!$K$35*AF_lard</f>
        <v>1.7422112574690953E-5</v>
      </c>
      <c r="R55" s="54">
        <f>'GHG detailed, absolute'!R55/Production!$K$35*AF_lard</f>
        <v>1.1106945004332176E-5</v>
      </c>
      <c r="T55" s="51">
        <f>'GHG detailed, absolute'!T55/Production!$K$35*AF_lard</f>
        <v>1.4567364861224417E-3</v>
      </c>
      <c r="U55" s="83">
        <f>'GHG detailed, absolute'!U55/Production!$K$35*AF_lard</f>
        <v>8.3808634559973192E-4</v>
      </c>
      <c r="V55" s="83">
        <f>'GHG detailed, absolute'!V55/Production!$K$35*AF_lard</f>
        <v>6.1865014052270989E-4</v>
      </c>
      <c r="W55" s="13">
        <f>'GHG detailed, absolute'!W55/Production!$K$35*AF_lard</f>
        <v>2.8842096163698372E-5</v>
      </c>
      <c r="X55" s="49">
        <f>'GHG detailed, absolute'!X55/Production!$K$35*AF_lard</f>
        <v>5.8584705130630396E-6</v>
      </c>
      <c r="Z55" s="54"/>
      <c r="AA55" s="54"/>
    </row>
    <row r="56" spans="1:27" ht="15" customHeight="1" x14ac:dyDescent="0.35">
      <c r="A56" s="84" t="s">
        <v>138</v>
      </c>
      <c r="B56" s="84" t="s">
        <v>139</v>
      </c>
      <c r="C56" s="85" t="s">
        <v>140</v>
      </c>
      <c r="D56" s="95" t="s">
        <v>56</v>
      </c>
      <c r="E56" s="86" t="s">
        <v>57</v>
      </c>
      <c r="F56" s="87" t="s">
        <v>133</v>
      </c>
      <c r="G56" s="88">
        <f>'GHG detailed, absolute'!G56/Production!$K$35*AF_lard</f>
        <v>7.0623428235892565</v>
      </c>
      <c r="H56" s="89">
        <f>'GHG detailed, absolute'!H56/Production!$K$35*AF_lard</f>
        <v>0.55858454092310283</v>
      </c>
      <c r="I56" s="89">
        <f>'GHG detailed, absolute'!I56/Production!$K$35*AF_lard</f>
        <v>0.22529967667433595</v>
      </c>
      <c r="J56" s="89">
        <f>'GHG detailed, absolute'!J56/Production!$K$35*AF_lard</f>
        <v>1.0785898411016275</v>
      </c>
      <c r="K56" s="89">
        <f>'GHG detailed, absolute'!K56/Production!$K$35*AF_lard</f>
        <v>0.10785898411016275</v>
      </c>
      <c r="L56" s="89">
        <f>'GHG detailed, absolute'!L56/Production!$K$35*AF_lard</f>
        <v>0.35470843263143814</v>
      </c>
      <c r="M56" s="89">
        <f>'GHG detailed, absolute'!M56/Production!$K$35*AF_lard</f>
        <v>0</v>
      </c>
      <c r="N56" s="89">
        <f>'GHG detailed, absolute'!N56/Production!$K$35*AF_lard</f>
        <v>6.9462956966566319E-2</v>
      </c>
      <c r="O56" s="89">
        <f>'GHG detailed, absolute'!O56/Production!$K$35*AF_lard</f>
        <v>0.29930910697975643</v>
      </c>
      <c r="P56" s="89">
        <f>'GHG detailed, absolute'!P56/Production!$K$35*AF_lard</f>
        <v>0.35830323917044843</v>
      </c>
      <c r="Q56" s="89">
        <f>'GHG detailed, absolute'!Q56/Production!$K$35*AF_lard</f>
        <v>0.19907935363085574</v>
      </c>
      <c r="R56" s="89">
        <f>'GHG detailed, absolute'!R56/Production!$K$35*AF_lard</f>
        <v>0.30648333820221108</v>
      </c>
      <c r="S56" s="89">
        <f>'GHG detailed, absolute'!S56/Production!$K$35*AF_lard</f>
        <v>0.3074450115850027</v>
      </c>
      <c r="T56" s="89">
        <f>'GHG detailed, absolute'!T56/Production!$K$35*AF_lard</f>
        <v>2.6219711725061652</v>
      </c>
      <c r="U56" s="89"/>
      <c r="V56" s="89"/>
      <c r="W56" s="89">
        <f>'GHG detailed, absolute'!W56/Production!$K$35*AF_lard</f>
        <v>0.39719898812789389</v>
      </c>
      <c r="X56" s="89">
        <f>'GHG detailed, absolute'!X56/Production!$K$35*AF_lard</f>
        <v>0.17804818097968989</v>
      </c>
      <c r="Z56" s="90">
        <f>'GHG detailed, absolute'!Z56/Production!$K$35*AF_lard</f>
        <v>3.5576794703905046</v>
      </c>
      <c r="AA56" s="91">
        <f>'GHG detailed, absolute'!AA56/Production!$K$35*AF_lard</f>
        <v>2.5527973001851555E-4</v>
      </c>
    </row>
    <row r="57" spans="1:27" ht="15" customHeight="1" x14ac:dyDescent="0.35">
      <c r="A57" s="20" t="s">
        <v>138</v>
      </c>
      <c r="B57" s="20" t="s">
        <v>139</v>
      </c>
      <c r="C57" s="16" t="s">
        <v>140</v>
      </c>
      <c r="D57" s="18" t="s">
        <v>58</v>
      </c>
      <c r="E57" s="18" t="s">
        <v>59</v>
      </c>
      <c r="F57" s="92" t="s">
        <v>129</v>
      </c>
      <c r="G57" s="77">
        <f>'GHG detailed, absolute'!G57/Production!$L$35*AF_lard</f>
        <v>1.7037019800050024</v>
      </c>
      <c r="H57" s="53">
        <f>'GHG detailed, absolute'!H57/Production!$L$35*AF_lard</f>
        <v>0.32378456581063897</v>
      </c>
      <c r="I57" s="53">
        <f>'GHG detailed, absolute'!I57/Production!$L$35*AF_lard</f>
        <v>0.17706582155454897</v>
      </c>
      <c r="J57" s="53">
        <f>'GHG detailed, absolute'!J57/Production!$L$35*AF_lard</f>
        <v>0</v>
      </c>
      <c r="K57" s="53"/>
      <c r="L57" s="53">
        <f>'GHG detailed, absolute'!L57/Production!$L$35*AF_lard</f>
        <v>0.26061035016041711</v>
      </c>
      <c r="M57" s="53"/>
      <c r="N57" s="53">
        <f>'GHG detailed, absolute'!N57/Production!$L$35*AF_lard</f>
        <v>1.4481593870678555E-3</v>
      </c>
      <c r="O57" s="53">
        <f>'GHG detailed, absolute'!O57/Production!$L$35*AF_lard</f>
        <v>0.23532333304687267</v>
      </c>
      <c r="P57" s="53">
        <f>'GHG detailed, absolute'!P57/Production!$L$35*AF_lard</f>
        <v>0.24863612033595098</v>
      </c>
      <c r="Q57" s="53">
        <f>'GHG detailed, absolute'!Q57/Production!$L$35*AF_lard</f>
        <v>8.8477000818767707E-2</v>
      </c>
      <c r="R57" s="53">
        <f>'GHG detailed, absolute'!R57/Production!$L$35*AF_lard</f>
        <v>0.10359029660374151</v>
      </c>
      <c r="W57" s="13">
        <f>'GHG detailed, absolute'!W57/Production!$L$35*AF_lard</f>
        <v>0.14189626444675069</v>
      </c>
      <c r="X57" s="49">
        <f>'GHG detailed, absolute'!X57/Production!$L$35*AF_lard</f>
        <v>0.12287006784024603</v>
      </c>
    </row>
    <row r="58" spans="1:27" x14ac:dyDescent="0.35">
      <c r="A58" s="20" t="s">
        <v>138</v>
      </c>
      <c r="B58" s="20" t="s">
        <v>139</v>
      </c>
      <c r="C58" s="16" t="s">
        <v>140</v>
      </c>
      <c r="D58" s="18" t="s">
        <v>58</v>
      </c>
      <c r="E58" s="18" t="s">
        <v>59</v>
      </c>
      <c r="F58" s="20" t="s">
        <v>130</v>
      </c>
      <c r="G58" s="53">
        <f>'GHG detailed, absolute'!G58/Production!$L$35*AF_lard</f>
        <v>1.7238768386724401E-3</v>
      </c>
      <c r="H58" s="58">
        <f>'GHG detailed, absolute'!H58/Production!$L$35*AF_lard</f>
        <v>5.6805142840430845E-5</v>
      </c>
      <c r="I58" s="58">
        <f>'GHG detailed, absolute'!I58/Production!$L$35*AF_lard</f>
        <v>6.2300937213637586E-4</v>
      </c>
      <c r="J58" s="58"/>
      <c r="K58" s="58"/>
      <c r="L58" s="58">
        <f>'GHG detailed, absolute'!L58/Production!$L$35*AF_lard</f>
        <v>1.1544159741694994E-4</v>
      </c>
      <c r="M58" s="58"/>
      <c r="N58" s="58">
        <f>'GHG detailed, absolute'!N58/Production!$L$35*AF_lard</f>
        <v>4.3271223641081016E-6</v>
      </c>
      <c r="O58" s="58">
        <f>'GHG detailed, absolute'!O58/Production!$L$35*AF_lard</f>
        <v>1.0397474171575359E-4</v>
      </c>
      <c r="P58" s="58">
        <f>'GHG detailed, absolute'!P58/Production!$L$35*AF_lard</f>
        <v>0</v>
      </c>
      <c r="Q58" s="58">
        <f>'GHG detailed, absolute'!Q58/Production!$L$35*AF_lard</f>
        <v>1.4298691908870548E-4</v>
      </c>
      <c r="R58" s="58">
        <f>'GHG detailed, absolute'!R58/Production!$L$35*AF_lard</f>
        <v>9.549879665378752E-5</v>
      </c>
      <c r="W58" s="13">
        <f>'GHG detailed, absolute'!W58/Production!$L$35*AF_lard</f>
        <v>9.6124286593920311E-5</v>
      </c>
      <c r="X58" s="49">
        <f>'GHG detailed, absolute'!X58/Production!$L$35*AF_lard</f>
        <v>4.8570885986240877E-4</v>
      </c>
    </row>
    <row r="59" spans="1:27" x14ac:dyDescent="0.35">
      <c r="A59" s="20" t="s">
        <v>138</v>
      </c>
      <c r="B59" s="20" t="s">
        <v>139</v>
      </c>
      <c r="C59" s="16" t="s">
        <v>140</v>
      </c>
      <c r="D59" s="18" t="s">
        <v>58</v>
      </c>
      <c r="E59" s="18" t="s">
        <v>59</v>
      </c>
      <c r="F59" s="20" t="s">
        <v>131</v>
      </c>
      <c r="G59" s="53">
        <f>'GHG detailed, absolute'!G59/Production!$L$35*AF_lard</f>
        <v>2.6153245904194159E-2</v>
      </c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13">
        <f>'GHG detailed, absolute'!S59/Production!$L$35*AF_lard</f>
        <v>1.1057307436382521E-2</v>
      </c>
      <c r="T59" s="50">
        <f>'GHG detailed, absolute'!T59/Production!$L$35*AF_lard</f>
        <v>1.509593846781164E-2</v>
      </c>
      <c r="U59" s="96">
        <f>'GHG detailed, absolute'!U59/Production!$L$35*AF_lard</f>
        <v>1.509593846781164E-2</v>
      </c>
      <c r="W59" s="13"/>
      <c r="X59" s="49"/>
      <c r="Z59" s="54"/>
      <c r="AA59" s="54"/>
    </row>
    <row r="60" spans="1:27" ht="15" customHeight="1" x14ac:dyDescent="0.35">
      <c r="A60" s="20" t="s">
        <v>138</v>
      </c>
      <c r="B60" s="20" t="s">
        <v>139</v>
      </c>
      <c r="C60" s="16" t="s">
        <v>140</v>
      </c>
      <c r="D60" s="18" t="s">
        <v>58</v>
      </c>
      <c r="E60" s="18" t="s">
        <v>59</v>
      </c>
      <c r="F60" s="82" t="s">
        <v>132</v>
      </c>
      <c r="G60" s="53">
        <f>'GHG detailed, absolute'!G60/Production!$L$35*AF_lard</f>
        <v>5.7564372024911555E-3</v>
      </c>
      <c r="H60" s="58">
        <f>'GHG detailed, absolute'!H60/Production!$L$35*AF_lard</f>
        <v>2.1680881103296318E-4</v>
      </c>
      <c r="I60" s="54">
        <f>'GHG detailed, absolute'!I60/Production!$L$35*AF_lard</f>
        <v>7.2137927300001431E-6</v>
      </c>
      <c r="J60" s="54">
        <f>'GHG detailed, absolute'!J60/Production!$L$35*AF_lard</f>
        <v>3.647500853713642E-3</v>
      </c>
      <c r="K60" s="54">
        <f>'GHG detailed, absolute'!K60/Production!$L$35*AF_lard</f>
        <v>3.6475008537136417E-4</v>
      </c>
      <c r="L60" s="54">
        <f>'GHG detailed, absolute'!L60/Production!$L$35*AF_lard</f>
        <v>7.0027017166392369E-6</v>
      </c>
      <c r="M60" s="54"/>
      <c r="N60" s="54">
        <f>'GHG detailed, absolute'!N60/Production!$L$35*AF_lard</f>
        <v>6.2022480552843971E-8</v>
      </c>
      <c r="O60" s="54">
        <f>'GHG detailed, absolute'!O60/Production!$L$35*AF_lard</f>
        <v>8.9576416749066664E-6</v>
      </c>
      <c r="P60" s="54">
        <f>'GHG detailed, absolute'!P60/Production!$L$35*AF_lard</f>
        <v>0</v>
      </c>
      <c r="Q60" s="54">
        <f>'GHG detailed, absolute'!Q60/Production!$L$35*AF_lard</f>
        <v>1.2717657508988206E-5</v>
      </c>
      <c r="R60" s="54">
        <f>'GHG detailed, absolute'!R60/Production!$L$35*AF_lard</f>
        <v>4.0623907913312361E-6</v>
      </c>
      <c r="T60" s="51">
        <f>'GHG detailed, absolute'!T60/Production!$L$35*AF_lard</f>
        <v>1.4672789597020149E-3</v>
      </c>
      <c r="U60" s="83">
        <f>'GHG detailed, absolute'!U60/Production!$L$35*AF_lard</f>
        <v>8.3024942483671011E-4</v>
      </c>
      <c r="V60" s="83">
        <f>'GHG detailed, absolute'!V60/Production!$L$35*AF_lard</f>
        <v>6.3702953486530483E-4</v>
      </c>
      <c r="W60" s="13">
        <f>'GHG detailed, absolute'!W60/Production!$L$35*AF_lard</f>
        <v>1.4896774581683264E-5</v>
      </c>
      <c r="X60" s="49">
        <f>'GHG detailed, absolute'!X60/Production!$L$35*AF_lard</f>
        <v>5.1855111870709439E-6</v>
      </c>
    </row>
    <row r="61" spans="1:27" ht="15" customHeight="1" x14ac:dyDescent="0.35">
      <c r="A61" s="84" t="s">
        <v>138</v>
      </c>
      <c r="B61" s="84" t="s">
        <v>139</v>
      </c>
      <c r="C61" s="85" t="s">
        <v>140</v>
      </c>
      <c r="D61" s="86" t="s">
        <v>58</v>
      </c>
      <c r="E61" s="86" t="s">
        <v>59</v>
      </c>
      <c r="F61" s="87" t="s">
        <v>133</v>
      </c>
      <c r="G61" s="97">
        <f>'GHG detailed, absolute'!G61/Production!$L$35*AF_lard</f>
        <v>4.0327185054907693</v>
      </c>
      <c r="H61" s="98">
        <f>'GHG detailed, absolute'!H61/Production!$L$35*AF_lard</f>
        <v>0.38466616447928276</v>
      </c>
      <c r="I61" s="89">
        <f>'GHG detailed, absolute'!I61/Production!$L$35*AF_lard</f>
        <v>0.19760086625950302</v>
      </c>
      <c r="J61" s="89">
        <f>'GHG detailed, absolute'!J61/Production!$L$35*AF_lard</f>
        <v>0.99576773306382416</v>
      </c>
      <c r="K61" s="89">
        <f>'GHG detailed, absolute'!K61/Production!$L$35*AF_lard</f>
        <v>9.9576773306382427E-2</v>
      </c>
      <c r="L61" s="89">
        <f>'GHG detailed, absolute'!L61/Production!$L$35*AF_lard</f>
        <v>0.26596224733208479</v>
      </c>
      <c r="M61" s="89">
        <f>'GHG detailed, absolute'!M61/Production!$L$35*AF_lard</f>
        <v>0</v>
      </c>
      <c r="N61" s="89">
        <f>'GHG detailed, absolute'!N61/Production!$L$35*AF_lard</f>
        <v>1.5940397707092031E-3</v>
      </c>
      <c r="O61" s="89">
        <f>'GHG detailed, absolute'!O61/Production!$L$35*AF_lard</f>
        <v>0.24086721652725168</v>
      </c>
      <c r="P61" s="89">
        <f>'GHG detailed, absolute'!P61/Production!$L$35*AF_lard</f>
        <v>0.24863612033595098</v>
      </c>
      <c r="Q61" s="89">
        <f>'GHG detailed, absolute'!Q61/Production!$L$35*AF_lard</f>
        <v>9.6209931507564919E-2</v>
      </c>
      <c r="R61" s="89">
        <f>'GHG detailed, absolute'!R61/Production!$L$35*AF_lard</f>
        <v>0.10754519343005779</v>
      </c>
      <c r="S61" s="89">
        <f>'GHG detailed, absolute'!S61/Production!$L$35*AF_lard</f>
        <v>0.29854730078232805</v>
      </c>
      <c r="T61" s="89">
        <f>'GHG detailed, absolute'!T61/Production!$L$35*AF_lard</f>
        <v>0.80815749462956443</v>
      </c>
      <c r="U61" s="89"/>
      <c r="V61" s="89"/>
      <c r="W61" s="89">
        <f>'GHG detailed, absolute'!W61/Production!$L$35*AF_lard</f>
        <v>0.14882758764804901</v>
      </c>
      <c r="X61" s="89">
        <f>'GHG detailed, absolute'!X61/Production!$L$35*AF_lard</f>
        <v>0.13875983641821618</v>
      </c>
      <c r="Z61" s="90">
        <f>'GHG detailed, absolute'!Z61/Production!$L$35*AF_lard</f>
        <v>2.6384262860126122</v>
      </c>
      <c r="AA61" s="91">
        <f>'GHG detailed, absolute'!AA61/Production!$L$35*AF_lard</f>
        <v>1.7512778949389728E-4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0000"/>
  </sheetPr>
  <dimension ref="A1:AA61"/>
  <sheetViews>
    <sheetView zoomScale="62" zoomScaleNormal="62" workbookViewId="0">
      <selection activeCell="C7" sqref="C7"/>
    </sheetView>
  </sheetViews>
  <sheetFormatPr defaultColWidth="8.6328125" defaultRowHeight="14.5" x14ac:dyDescent="0.35"/>
  <cols>
    <col min="1" max="1" width="8.453125" style="1" customWidth="1"/>
    <col min="2" max="2" width="22.453125" customWidth="1"/>
    <col min="3" max="3" width="27.453125" customWidth="1"/>
    <col min="4" max="5" width="10.453125" customWidth="1"/>
    <col min="6" max="6" width="7.54296875" customWidth="1"/>
    <col min="7" max="7" width="9.453125" style="20" customWidth="1"/>
    <col min="8" max="20" width="14.54296875" customWidth="1"/>
    <col min="21" max="22" width="14.54296875" style="23" customWidth="1"/>
    <col min="23" max="24" width="14.54296875" customWidth="1"/>
    <col min="26" max="26" width="16" customWidth="1"/>
    <col min="27" max="27" width="19.453125" customWidth="1"/>
  </cols>
  <sheetData>
    <row r="1" spans="1:27" x14ac:dyDescent="0.35">
      <c r="H1" s="21" t="s">
        <v>97</v>
      </c>
      <c r="S1" s="1" t="s">
        <v>98</v>
      </c>
    </row>
    <row r="2" spans="1:27" ht="21" customHeight="1" x14ac:dyDescent="0.5">
      <c r="A2" s="2" t="s">
        <v>142</v>
      </c>
      <c r="H2" s="21" t="s">
        <v>100</v>
      </c>
      <c r="T2" s="51"/>
      <c r="U2" s="59"/>
    </row>
    <row r="3" spans="1:27" x14ac:dyDescent="0.35">
      <c r="H3" s="21" t="s">
        <v>101</v>
      </c>
      <c r="J3" s="22"/>
      <c r="K3" s="23"/>
      <c r="L3" s="23"/>
      <c r="M3" s="23"/>
      <c r="N3" s="23"/>
      <c r="O3" s="23"/>
      <c r="P3" s="23"/>
      <c r="Q3" s="23"/>
      <c r="R3" s="23"/>
      <c r="S3" s="23"/>
      <c r="T3" s="23"/>
    </row>
    <row r="4" spans="1:27" x14ac:dyDescent="0.35">
      <c r="A4" s="60"/>
      <c r="B4" s="61"/>
      <c r="C4" s="61"/>
      <c r="D4" s="61"/>
      <c r="E4" s="61"/>
      <c r="F4" s="61"/>
      <c r="G4" s="61"/>
      <c r="H4" s="62"/>
      <c r="I4" s="62"/>
      <c r="J4" s="63"/>
      <c r="K4" s="63"/>
      <c r="L4" s="63"/>
      <c r="M4" s="63"/>
      <c r="N4" s="63"/>
      <c r="O4" s="63"/>
      <c r="P4" s="63"/>
      <c r="Q4" s="63"/>
      <c r="R4" s="63"/>
      <c r="S4" s="62" t="s">
        <v>102</v>
      </c>
      <c r="T4" s="62"/>
      <c r="U4" s="64"/>
      <c r="V4" s="64"/>
      <c r="W4" s="63" t="s">
        <v>103</v>
      </c>
      <c r="X4" s="63" t="s">
        <v>104</v>
      </c>
      <c r="Z4" s="62" t="s">
        <v>105</v>
      </c>
      <c r="AA4" s="62"/>
    </row>
    <row r="5" spans="1:27" x14ac:dyDescent="0.35">
      <c r="A5" s="29" t="s">
        <v>2</v>
      </c>
      <c r="B5" s="30"/>
      <c r="C5" s="30"/>
      <c r="D5" s="31"/>
      <c r="E5" s="31"/>
      <c r="F5" s="65"/>
      <c r="G5" s="66" t="s">
        <v>106</v>
      </c>
      <c r="H5" s="66" t="s">
        <v>107</v>
      </c>
      <c r="I5" s="67"/>
      <c r="J5" s="66" t="s">
        <v>108</v>
      </c>
      <c r="K5" s="68"/>
      <c r="L5" s="35" t="s">
        <v>109</v>
      </c>
      <c r="M5" s="68"/>
      <c r="N5" s="68"/>
      <c r="O5" s="68"/>
      <c r="P5" s="35" t="s">
        <v>110</v>
      </c>
      <c r="Q5" s="35" t="s">
        <v>111</v>
      </c>
      <c r="R5" s="35" t="s">
        <v>112</v>
      </c>
      <c r="S5" s="69"/>
      <c r="T5" s="69"/>
      <c r="U5" s="70"/>
      <c r="V5" s="70"/>
      <c r="W5" s="71"/>
      <c r="X5" s="71"/>
      <c r="Z5" s="66"/>
      <c r="AA5" s="66"/>
    </row>
    <row r="6" spans="1:27" ht="60.75" customHeight="1" x14ac:dyDescent="0.35">
      <c r="A6" s="36" t="s">
        <v>14</v>
      </c>
      <c r="B6" s="37" t="s">
        <v>15</v>
      </c>
      <c r="C6" s="37" t="s">
        <v>16</v>
      </c>
      <c r="D6" s="38" t="s">
        <v>17</v>
      </c>
      <c r="E6" s="39" t="s">
        <v>18</v>
      </c>
      <c r="F6" s="38" t="s">
        <v>113</v>
      </c>
      <c r="G6" s="39" t="s">
        <v>114</v>
      </c>
      <c r="H6" s="46" t="s">
        <v>115</v>
      </c>
      <c r="I6" s="46" t="s">
        <v>69</v>
      </c>
      <c r="J6" s="46" t="s">
        <v>116</v>
      </c>
      <c r="K6" s="46" t="s">
        <v>117</v>
      </c>
      <c r="L6" s="46" t="s">
        <v>118</v>
      </c>
      <c r="M6" s="46" t="s">
        <v>119</v>
      </c>
      <c r="N6" s="46" t="s">
        <v>120</v>
      </c>
      <c r="O6" s="46" t="s">
        <v>121</v>
      </c>
      <c r="P6" s="46" t="s">
        <v>122</v>
      </c>
      <c r="Q6" s="46" t="s">
        <v>111</v>
      </c>
      <c r="R6" s="46" t="s">
        <v>74</v>
      </c>
      <c r="S6" s="39" t="s">
        <v>123</v>
      </c>
      <c r="T6" s="39" t="s">
        <v>124</v>
      </c>
      <c r="U6" s="72" t="s">
        <v>125</v>
      </c>
      <c r="V6" s="72" t="s">
        <v>126</v>
      </c>
      <c r="W6" s="46" t="s">
        <v>77</v>
      </c>
      <c r="X6" s="46" t="s">
        <v>78</v>
      </c>
      <c r="Z6" s="39" t="s">
        <v>127</v>
      </c>
      <c r="AA6" s="39" t="s">
        <v>128</v>
      </c>
    </row>
    <row r="7" spans="1:27" x14ac:dyDescent="0.35">
      <c r="A7" s="73"/>
      <c r="B7" s="73" t="s">
        <v>143</v>
      </c>
      <c r="C7" s="74" t="s">
        <v>143</v>
      </c>
      <c r="D7" s="75" t="s">
        <v>83</v>
      </c>
      <c r="E7" s="75" t="s">
        <v>39</v>
      </c>
      <c r="F7" s="76" t="s">
        <v>129</v>
      </c>
      <c r="G7" s="77">
        <f>SUM(H7:X7)</f>
        <v>3608.1451316849871</v>
      </c>
      <c r="H7" s="77">
        <f>('CO2 per kg feed'!G17*FCR_bonefree_incl_parents_DK-Excreted_N_after_losses_DK*Manure_repl_factor_DK*EF_min_fert_CO2_DK)*Production!$B$40</f>
        <v>626.25217400574093</v>
      </c>
      <c r="I7" s="77">
        <f>('CO2 per kg feed'!H17*FCR_bonefree_incl_parents_DK)*Production!$B$40</f>
        <v>251.64734705898312</v>
      </c>
      <c r="J7" s="77">
        <f>('CO2 per kg feed'!I17*FCR_bonefree_incl_parents_DK)*Production!$B$40</f>
        <v>0</v>
      </c>
      <c r="K7" s="77"/>
      <c r="L7" s="77">
        <f>('CO2 per kg feed'!K17*FCR_bonefree_incl_parents_DK)*Production!$B$40</f>
        <v>299.70701822470392</v>
      </c>
      <c r="M7" s="77"/>
      <c r="N7" s="77">
        <f>('CO2 per kg feed'!M17*FCR_bonefree_incl_parents_DK)*Production!$B$40</f>
        <v>14.721961128326205</v>
      </c>
      <c r="O7" s="77">
        <f>('CO2 per kg feed'!N17*FCR_bonefree_incl_parents_DK)*Production!$B$40</f>
        <v>382.27554728515378</v>
      </c>
      <c r="P7" s="77">
        <f>('CO2 per kg feed'!O17*FCR_bonefree_incl_parents_DK)*Production!$B$40</f>
        <v>216.70743963240631</v>
      </c>
      <c r="Q7" s="77">
        <f>('CO2 per kg feed'!P17*FCR_bonefree_incl_parents_DK)*Production!$B$40</f>
        <v>664.02331007973203</v>
      </c>
      <c r="R7" s="77">
        <f>('CO2 per kg feed'!Q17*FCR_bonefree_incl_parents_DK)*Production!$B$40</f>
        <v>140.94450275955887</v>
      </c>
      <c r="S7" s="78"/>
      <c r="T7" s="79"/>
      <c r="U7" s="80"/>
      <c r="V7" s="80"/>
      <c r="W7" s="78">
        <f>(Energy_stables_DK/Bonefree_outof_CW_DK*(Share_heating_DK*(Share_biofuels_DK*EF_biofuels_CO2+(1-Share_biofuels_DK)*EF_oil_CO2)+(1-Share_heating_DK)*EF_el_CO2_DK))*Production!$B$40</f>
        <v>724.11378178001019</v>
      </c>
      <c r="X7" s="81">
        <f>((Energy_slaughter_el_DK*EF_el_CO2_DK+Energy_slaughter_heat_DK*EF_gas_CO2)/Bonefree_outof_CW_DK)*Production!$B$40</f>
        <v>287.75204973037114</v>
      </c>
      <c r="Z7" s="53"/>
      <c r="AA7" s="53"/>
    </row>
    <row r="8" spans="1:27" x14ac:dyDescent="0.35">
      <c r="A8" s="20"/>
      <c r="B8" s="20" t="s">
        <v>143</v>
      </c>
      <c r="C8" s="16" t="s">
        <v>143</v>
      </c>
      <c r="D8" s="18" t="s">
        <v>83</v>
      </c>
      <c r="E8" s="18" t="s">
        <v>39</v>
      </c>
      <c r="F8" s="20" t="s">
        <v>130</v>
      </c>
      <c r="G8" s="53">
        <f>SUM(H8:X8)</f>
        <v>3.9060212302494288</v>
      </c>
      <c r="H8" s="58">
        <f>('CH4 per kg feed'!G17*FCR_bonefree_incl_parents_DK-Excreted_N_after_losses_DK*Manure_repl_factor_DK*EF_min_fert_CH4_DK)*Production!$B$40</f>
        <v>0.12173857907876752</v>
      </c>
      <c r="I8" s="58">
        <f>('CH4 per kg feed'!H17*FCR_bonefree_incl_parents_DK)*Production!$B$40</f>
        <v>0.93711987729828183</v>
      </c>
      <c r="J8" s="58"/>
      <c r="K8" s="58"/>
      <c r="L8" s="58">
        <f>('CH4 per kg feed'!K17*FCR_bonefree_incl_parents_DK)*Production!$B$40</f>
        <v>0.14340898495190973</v>
      </c>
      <c r="M8" s="58"/>
      <c r="N8" s="58">
        <f>('CH4 per kg feed'!M17*FCR_bonefree_incl_parents_DK)*Production!$B$40</f>
        <v>1.4282029070386566E-2</v>
      </c>
      <c r="O8" s="58">
        <f>('CH4 per kg feed'!N17*FCR_bonefree_incl_parents_DK)*Production!$B$40</f>
        <v>0.23773127959257839</v>
      </c>
      <c r="P8" s="58">
        <f>('CH4 per kg feed'!O17*FCR_bonefree_incl_parents_DK)*Production!$B$40</f>
        <v>0</v>
      </c>
      <c r="Q8" s="58">
        <f>('CH4 per kg feed'!P17*FCR_bonefree_incl_parents_DK)*Production!$B$40</f>
        <v>0.69846967598082532</v>
      </c>
      <c r="R8" s="58">
        <f>('CH4 per kg feed'!Q17*FCR_bonefree_incl_parents_DK)*Production!$B$40</f>
        <v>0.3001024074997819</v>
      </c>
      <c r="W8" s="13">
        <f>(Energy_stables_DK/Bonefree_outof_CW_DK*(Share_heating_DK*(Share_biofuels_DK*EF_biofuel_CH4+(1-Share_biofuels_DK)*EF_oil_CH4)+(1-Share_heating_DK)*EF_el_CH4_DK))*Production!$B$40</f>
        <v>0.68373667627144119</v>
      </c>
      <c r="X8" s="49">
        <f>((Energy_slaughter_el_DK*EF_el_CH4_DK+Energy_slaughter_heat_DK*EF_gas_CH4)/Bonefree_outof_CW_DK)*Production!$B$40</f>
        <v>0.76943172050545605</v>
      </c>
      <c r="Z8" s="54"/>
      <c r="AA8" s="54"/>
    </row>
    <row r="9" spans="1:27" x14ac:dyDescent="0.35">
      <c r="A9" s="20"/>
      <c r="B9" s="20" t="s">
        <v>143</v>
      </c>
      <c r="C9" s="16" t="s">
        <v>143</v>
      </c>
      <c r="D9" s="18" t="s">
        <v>83</v>
      </c>
      <c r="E9" s="18" t="s">
        <v>39</v>
      </c>
      <c r="F9" s="20" t="s">
        <v>131</v>
      </c>
      <c r="G9" s="53">
        <f>SUM(H9:T9)+SUM(W9:X9)</f>
        <v>41.904852053885818</v>
      </c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13">
        <f>((Production!B42+Production!B43+Production!B45*4/12)*EF_ent_ferm_DK)*Production!$B$40</f>
        <v>16.786253894523853</v>
      </c>
      <c r="T9" s="51">
        <f>SUM(U9:V9)</f>
        <v>25.118598159361966</v>
      </c>
      <c r="U9" s="59">
        <f>(Manure!E32)*Production!$B$40</f>
        <v>25.118598159361966</v>
      </c>
      <c r="W9" s="13"/>
      <c r="X9" s="49"/>
      <c r="Z9" s="54"/>
      <c r="AA9" s="54"/>
    </row>
    <row r="10" spans="1:27" ht="15" customHeight="1" x14ac:dyDescent="0.35">
      <c r="A10" s="20"/>
      <c r="B10" s="20" t="s">
        <v>143</v>
      </c>
      <c r="C10" s="16" t="s">
        <v>143</v>
      </c>
      <c r="D10" s="18" t="s">
        <v>83</v>
      </c>
      <c r="E10" s="18" t="s">
        <v>39</v>
      </c>
      <c r="F10" s="82" t="s">
        <v>132</v>
      </c>
      <c r="G10" s="53">
        <f>SUM(H10:T10)+SUM(W10:X10)</f>
        <v>9.7651121189445647</v>
      </c>
      <c r="H10" s="58">
        <f>('N2O per kg feed'!G17*FCR_bonefree_incl_parents_DK-Excreted_N_after_losses_DK*Manure_repl_factor_DK*EF_min_fert_N2O_DK)*Production!$B$40</f>
        <v>0.41048009932289597</v>
      </c>
      <c r="I10" s="54">
        <f>('N2O per kg feed'!H17*FCR_bonefree_incl_parents_DK)*Production!$B$40</f>
        <v>1.0850861737138E-2</v>
      </c>
      <c r="J10" s="54">
        <f>('N2O per kg feed'!I17*FCR_bonefree_incl_parents_DK-Excreted_N_after_losses_DK*Manure_repl_factor_DK*EF_N2O_diff_DK)*Production!$B$40</f>
        <v>6.7627728581752269</v>
      </c>
      <c r="K10" s="54">
        <f>J10*EF_indirect_N2O_DK</f>
        <v>0.67627728581752278</v>
      </c>
      <c r="L10" s="54">
        <f>('N2O per kg feed'!K17*FCR_bonefree_incl_parents_DK)*Production!$B$40</f>
        <v>8.6992069373147789E-3</v>
      </c>
      <c r="M10" s="54"/>
      <c r="N10" s="54">
        <f>('N2O per kg feed'!M17*FCR_bonefree_incl_parents_DK)*Production!$B$40</f>
        <v>2.051766843737619E-4</v>
      </c>
      <c r="O10" s="54">
        <f>('N2O per kg feed'!N17*FCR_bonefree_incl_parents_DK)*Production!$B$40</f>
        <v>1.5473328452538319E-2</v>
      </c>
      <c r="P10" s="54">
        <f>('N2O per kg feed'!O17*FCR_bonefree_incl_parents_DK)*Production!$B$40</f>
        <v>0</v>
      </c>
      <c r="Q10" s="54">
        <f>('N2O per kg feed'!P17*FCR_bonefree_incl_parents_DK)*Production!$B$40</f>
        <v>3.0254553357827767E-2</v>
      </c>
      <c r="R10" s="54">
        <f>('N2O per kg feed'!Q17*FCR_bonefree_incl_parents_DK)*Production!$B$40</f>
        <v>1.2135063256031401E-2</v>
      </c>
      <c r="S10" s="13"/>
      <c r="T10" s="51">
        <f>SUM(U10:V10)</f>
        <v>1.7932387642523446</v>
      </c>
      <c r="U10" s="83">
        <f>(Manure!E88*44/28)*Production!$B$40</f>
        <v>1.0066987773873954</v>
      </c>
      <c r="V10" s="83">
        <f>(NH3_per_kg_DK*17/14*Manure!B117)*Production!$B$40</f>
        <v>0.78653998686494919</v>
      </c>
      <c r="W10" s="13">
        <f>(Energy_stables_DK/Bonefree_outof_CW_DK*(Share_heating_DK*(Share_biofuels_DK*EF_biofuel_N2O+(1-Share_biofuels_DK)*EF_oil_N2O)+(1-Share_heating_DK)*EF_el_N2O_DK))*Production!$B$40</f>
        <v>3.2199442435393556E-2</v>
      </c>
      <c r="X10" s="49">
        <f>((Energy_slaughter_el_DK*EF_el_N2O_DK+Energy_slaughter_heat_DK*EF_gas_N2O)/Bonefree_outof_CW_DK)*Production!$B$40</f>
        <v>1.252547851595571E-2</v>
      </c>
      <c r="Z10" s="54"/>
      <c r="AA10" s="54"/>
    </row>
    <row r="11" spans="1:27" ht="15" customHeight="1" x14ac:dyDescent="0.35">
      <c r="A11" s="84"/>
      <c r="B11" s="84" t="s">
        <v>143</v>
      </c>
      <c r="C11" s="85" t="s">
        <v>143</v>
      </c>
      <c r="D11" s="86" t="s">
        <v>83</v>
      </c>
      <c r="E11" s="86" t="s">
        <v>39</v>
      </c>
      <c r="F11" s="87" t="s">
        <v>133</v>
      </c>
      <c r="G11" s="88">
        <f>SUM(H11:X11)</f>
        <v>7521.851178273203</v>
      </c>
      <c r="H11" s="89">
        <f>SUMPRODUCT(H7:H10,'Parameters, general'!$B$10:$B$13)</f>
        <v>741.94105077743882</v>
      </c>
      <c r="I11" s="89">
        <f>SUMPRODUCT(I7:I10,'Parameters, general'!$B$10:$B$13)</f>
        <v>282.53580465671058</v>
      </c>
      <c r="J11" s="89">
        <f>SUMPRODUCT(J7:J10,'Parameters, general'!$B$10:$B$13)</f>
        <v>1846.2369902818371</v>
      </c>
      <c r="K11" s="89">
        <f>SUMPRODUCT(K7:K10,'Parameters, general'!$B$10:$B$13)</f>
        <v>184.62369902818372</v>
      </c>
      <c r="L11" s="89">
        <f>SUMPRODUCT(L7:L10,'Parameters, general'!$B$10:$B$13)</f>
        <v>306.35548947015781</v>
      </c>
      <c r="M11" s="89">
        <f>SUMPRODUCT(M7:M10,'Parameters, general'!$B$10:$B$13)</f>
        <v>0</v>
      </c>
      <c r="N11" s="89">
        <f>SUMPRODUCT(N7:N10,'Parameters, general'!$B$10:$B$13)</f>
        <v>15.203578829457761</v>
      </c>
      <c r="O11" s="89">
        <f>SUMPRODUCT(O7:O10,'Parameters, general'!$B$10:$B$13)</f>
        <v>393.58415808455561</v>
      </c>
      <c r="P11" s="89">
        <f>SUMPRODUCT(P7:P10,'Parameters, general'!$B$10:$B$13)</f>
        <v>216.70743963240631</v>
      </c>
      <c r="Q11" s="89">
        <f>SUMPRODUCT(Q7:Q10,'Parameters, general'!$B$10:$B$13)</f>
        <v>693.09719949064765</v>
      </c>
      <c r="R11" s="89">
        <f>SUMPRODUCT(R7:R10,'Parameters, general'!$B$10:$B$13)</f>
        <v>153.20042677194894</v>
      </c>
      <c r="S11" s="89">
        <f>SUMPRODUCT(S7:S10,'Parameters, general'!$B$10:$B$13)</f>
        <v>453.22885515214404</v>
      </c>
      <c r="T11" s="89">
        <f>SUMPRODUCT(T7:T10,'Parameters, general'!$B$10:$B$13)</f>
        <v>1167.7563329436632</v>
      </c>
      <c r="U11" s="89"/>
      <c r="V11" s="89"/>
      <c r="W11" s="89">
        <f>SUMPRODUCT(W7:W10,'Parameters, general'!$B$10:$B$13)</f>
        <v>753.27958251776158</v>
      </c>
      <c r="X11" s="89">
        <f>SUMPRODUCT(X7:X10,'Parameters, general'!$B$10:$B$13)</f>
        <v>314.10057063628966</v>
      </c>
      <c r="Z11" s="90">
        <f>SUM(H11:R11)</f>
        <v>4833.4858370233442</v>
      </c>
      <c r="AA11" s="91">
        <f>'CO2 per kg feed'!F17+'CH4 per kg feed'!F17*CF_GWP_CH4_fossil+'N2O per kg feed'!F17*CF_GWP_N2O</f>
        <v>0.28607907349526263</v>
      </c>
    </row>
    <row r="12" spans="1:27" ht="15" customHeight="1" x14ac:dyDescent="0.35">
      <c r="A12" s="20"/>
      <c r="B12" s="20" t="s">
        <v>143</v>
      </c>
      <c r="C12" s="16" t="s">
        <v>143</v>
      </c>
      <c r="D12" s="18" t="s">
        <v>40</v>
      </c>
      <c r="E12" s="18" t="s">
        <v>41</v>
      </c>
      <c r="F12" s="92" t="s">
        <v>129</v>
      </c>
      <c r="G12" s="77">
        <f>SUM(H12:X12)</f>
        <v>2306.4777433531131</v>
      </c>
      <c r="H12" s="77">
        <f>('CO2 per kg feed'!G29*FCR_bonefree_incl_parents_FR-Excreted_N_after_losses_FR*Manure_repl_factor_FR*EF_min_fert_CO2_FR)*Production!$C$40</f>
        <v>400.6248334301435</v>
      </c>
      <c r="I12" s="77">
        <f>('CO2 per kg feed'!H29*FCR_bonefree_incl_parents_FR)*Production!$C$40</f>
        <v>228.7258756588387</v>
      </c>
      <c r="J12" s="77">
        <f>('CO2 per kg feed'!I29*FCR_bonefree_incl_parents_FR)*Production!$C$40</f>
        <v>0</v>
      </c>
      <c r="K12" s="77"/>
      <c r="L12" s="77">
        <f>('CO2 per kg feed'!K29*FCR_bonefree_incl_parents_FR)*Production!$C$40</f>
        <v>259.7971361471125</v>
      </c>
      <c r="M12" s="77"/>
      <c r="N12" s="77">
        <f>('CO2 per kg feed'!M29*FCR_bonefree_incl_parents_FR)*Production!$C$40</f>
        <v>8.692864169979611</v>
      </c>
      <c r="O12" s="77">
        <f>('CO2 per kg feed'!N29*FCR_bonefree_incl_parents_FR)*Production!$C$40</f>
        <v>312.23546723914541</v>
      </c>
      <c r="P12" s="77">
        <f>('CO2 per kg feed'!O29*FCR_bonefree_incl_parents_FR)*Production!$C$40</f>
        <v>219.66945052094019</v>
      </c>
      <c r="Q12" s="77">
        <f>('CO2 per kg feed'!P29*FCR_bonefree_incl_parents_FR)*Production!$C$40</f>
        <v>176.16542096868207</v>
      </c>
      <c r="R12" s="77">
        <f>('CO2 per kg feed'!Q29*FCR_bonefree_incl_parents_FR)*Production!$C$40</f>
        <v>205.74874489134709</v>
      </c>
      <c r="S12" s="78"/>
      <c r="T12" s="79"/>
      <c r="U12" s="80"/>
      <c r="V12" s="80"/>
      <c r="W12" s="78">
        <f>(Energy_stables_FR/Bonefree_outof_CW_FR*(Share_heating_FR*(Share_biofuels_FR*EF_biofuels_CO2+(1-Share_biofuels_FR)*EF_oil_CO2)+(1-Share_heating_FR)*EF_el_CO2_FR))*Production!$C$40</f>
        <v>328.8498816376329</v>
      </c>
      <c r="X12" s="81">
        <f>((Energy_slaughter_el_FR*EF_el_CO2_FR+Energy_slaughter_heat_FR*EF_gas_CO2)/Bonefree_outof_CW_FR)*Production!$C$40</f>
        <v>165.96806868929124</v>
      </c>
      <c r="Z12" s="53"/>
      <c r="AA12" s="53"/>
    </row>
    <row r="13" spans="1:27" x14ac:dyDescent="0.35">
      <c r="A13" s="20"/>
      <c r="B13" s="20" t="s">
        <v>143</v>
      </c>
      <c r="C13" s="16" t="s">
        <v>143</v>
      </c>
      <c r="D13" s="18" t="s">
        <v>40</v>
      </c>
      <c r="E13" s="18" t="s">
        <v>41</v>
      </c>
      <c r="F13" s="20" t="s">
        <v>130</v>
      </c>
      <c r="G13" s="53">
        <f>SUM(H13:X13)</f>
        <v>3.0689901181362553</v>
      </c>
      <c r="H13" s="58">
        <f>('CH4 per kg feed'!G29*FCR_bonefree_incl_parents_FR-Excreted_N_after_losses_FR*Manure_repl_factor_FR*EF_min_fert_CH4_FR)*Production!$C$40</f>
        <v>0.14265359788686505</v>
      </c>
      <c r="I13" s="58">
        <f>('CH4 per kg feed'!H29*FCR_bonefree_incl_parents_FR)*Production!$C$40</f>
        <v>0.80477622916998803</v>
      </c>
      <c r="J13" s="58"/>
      <c r="K13" s="58"/>
      <c r="L13" s="58">
        <f>('CH4 per kg feed'!K29*FCR_bonefree_incl_parents_FR)*Production!$C$40</f>
        <v>0.11508137103039226</v>
      </c>
      <c r="M13" s="58"/>
      <c r="N13" s="58">
        <f>('CH4 per kg feed'!M29*FCR_bonefree_incl_parents_FR)*Production!$C$40</f>
        <v>2.5790674530616189E-2</v>
      </c>
      <c r="O13" s="58">
        <f>('CH4 per kg feed'!N29*FCR_bonefree_incl_parents_FR)*Production!$C$40</f>
        <v>0.1686732319279933</v>
      </c>
      <c r="P13" s="58">
        <f>('CH4 per kg feed'!O29*FCR_bonefree_incl_parents_FR)*Production!$C$40</f>
        <v>0</v>
      </c>
      <c r="Q13" s="58">
        <f>('CH4 per kg feed'!P29*FCR_bonefree_incl_parents_FR)*Production!$C$40</f>
        <v>0.52795832955126121</v>
      </c>
      <c r="R13" s="58">
        <f>('CH4 per kg feed'!Q29*FCR_bonefree_incl_parents_FR)*Production!$C$40</f>
        <v>0.19715124109323937</v>
      </c>
      <c r="W13" s="13">
        <f>(Energy_stables_FR/Bonefree_outof_CW_FR*(Share_heating_FR*(Share_biofuels_FR*EF_biofuel_CH4+(1-Share_biofuels_FR)*EF_oil_CH4)+(1-Share_heating_FR)*EF_el_CH4_FR))*Production!$C$40</f>
        <v>0.37574025930037802</v>
      </c>
      <c r="X13" s="49">
        <f>((Energy_slaughter_el_FR*EF_el_CH4_FR+Energy_slaughter_heat_FR*EF_gas_CH4)/Bonefree_outof_CW_FR)*Production!$C$40</f>
        <v>0.71116518364552173</v>
      </c>
      <c r="Z13" s="54"/>
      <c r="AA13" s="54"/>
    </row>
    <row r="14" spans="1:27" x14ac:dyDescent="0.35">
      <c r="A14" s="20"/>
      <c r="B14" s="20" t="s">
        <v>143</v>
      </c>
      <c r="C14" s="16" t="s">
        <v>143</v>
      </c>
      <c r="D14" s="18" t="s">
        <v>40</v>
      </c>
      <c r="E14" s="18" t="s">
        <v>41</v>
      </c>
      <c r="F14" s="20" t="s">
        <v>131</v>
      </c>
      <c r="G14" s="53">
        <f>SUM(H14:T14)+SUM(W14:X14)</f>
        <v>133.16945543837625</v>
      </c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13">
        <f>((Production!C42+Production!C43+Production!C45*4/12)*EF_ent_ferm_FR)*Production!$C$40</f>
        <v>15.145625904490629</v>
      </c>
      <c r="T14" s="51">
        <f>SUM(U14:V14)</f>
        <v>118.02382953388563</v>
      </c>
      <c r="U14" s="59">
        <f>(Manure!I32)*Production!$C$40</f>
        <v>118.02382953388563</v>
      </c>
      <c r="W14" s="13"/>
      <c r="X14" s="49"/>
      <c r="Z14" s="54"/>
      <c r="AA14" s="54"/>
    </row>
    <row r="15" spans="1:27" ht="15" customHeight="1" x14ac:dyDescent="0.35">
      <c r="A15" s="20"/>
      <c r="B15" s="20" t="s">
        <v>143</v>
      </c>
      <c r="C15" s="16" t="s">
        <v>143</v>
      </c>
      <c r="D15" s="18" t="s">
        <v>40</v>
      </c>
      <c r="E15" s="18" t="s">
        <v>41</v>
      </c>
      <c r="F15" s="82" t="s">
        <v>132</v>
      </c>
      <c r="G15" s="53">
        <f>SUM(H15:T15)+SUM(W15:X15)</f>
        <v>7.1497033936544385</v>
      </c>
      <c r="H15" s="58">
        <f>('N2O per kg feed'!G29*FCR_bonefree_incl_parents_FR-Excreted_N_after_losses_FR*Manure_repl_factor_FR*EF_min_fert_N2O_FR)*Production!$C$40</f>
        <v>0.23571290744593668</v>
      </c>
      <c r="I15" s="54">
        <f>('N2O per kg feed'!H29*FCR_bonefree_incl_parents_FR)*Production!$C$40</f>
        <v>9.3184616009156507E-3</v>
      </c>
      <c r="J15" s="54">
        <f>('N2O per kg feed'!I29*FCR_bonefree_incl_parents_FR-Excreted_N_after_losses_FR*Manure_repl_factor_FR*EF_N2O_diff_FR)*Production!$C$40</f>
        <v>4.2254697309253144</v>
      </c>
      <c r="K15" s="54">
        <f>J15*EF_indirect_N2O_FR</f>
        <v>0.42254697309253147</v>
      </c>
      <c r="L15" s="54">
        <f>('N2O per kg feed'!K29*FCR_bonefree_incl_parents_FR)*Production!$C$40</f>
        <v>6.9808503390425374E-3</v>
      </c>
      <c r="M15" s="54"/>
      <c r="N15" s="54">
        <f>('N2O per kg feed'!M29*FCR_bonefree_incl_parents_FR)*Production!$C$40</f>
        <v>3.7316233986250778E-4</v>
      </c>
      <c r="O15" s="54">
        <f>('N2O per kg feed'!N29*FCR_bonefree_incl_parents_FR)*Production!$C$40</f>
        <v>1.1832103069866762E-2</v>
      </c>
      <c r="P15" s="54">
        <f>('N2O per kg feed'!O29*FCR_bonefree_incl_parents_FR)*Production!$C$40</f>
        <v>0</v>
      </c>
      <c r="Q15" s="54">
        <f>('N2O per kg feed'!P29*FCR_bonefree_incl_parents_FR)*Production!$C$40</f>
        <v>2.3751570525235008E-2</v>
      </c>
      <c r="R15" s="54">
        <f>('N2O per kg feed'!Q29*FCR_bonefree_incl_parents_FR)*Production!$C$40</f>
        <v>7.3100556807194498E-3</v>
      </c>
      <c r="S15" s="13"/>
      <c r="T15" s="51">
        <f>SUM(U15:V15)</f>
        <v>2.1647470006855487</v>
      </c>
      <c r="U15" s="83">
        <f>(Manure!I88*44/28)*Production!$C$40</f>
        <v>1.2161217823466481</v>
      </c>
      <c r="V15" s="83">
        <f>(NH3_per_kg_FR*17/14*Manure!F117)*Production!$C$40</f>
        <v>0.94862521833890079</v>
      </c>
      <c r="W15" s="13">
        <f>(Energy_stables_FR/Bonefree_outof_CW_FR*(Share_heating_FR*(Share_biofuels_FR*EF_biofuel_N2O+(1-Share_biofuels_FR)*EF_oil_N2O)+(1-Share_heating_FR)*EF_el_N2O_FR))*Production!$C$40</f>
        <v>3.464112192222369E-2</v>
      </c>
      <c r="X15" s="49">
        <f>((Energy_slaughter_el_FR*EF_el_N2O_FR+Energy_slaughter_heat_FR*EF_gas_N2O)/Bonefree_outof_CW_FR)*Production!$C$40</f>
        <v>7.0194560272428272E-3</v>
      </c>
      <c r="Z15" s="54"/>
      <c r="AA15" s="54"/>
    </row>
    <row r="16" spans="1:27" ht="15" customHeight="1" x14ac:dyDescent="0.35">
      <c r="A16" s="84"/>
      <c r="B16" s="84" t="s">
        <v>143</v>
      </c>
      <c r="C16" s="85" t="s">
        <v>143</v>
      </c>
      <c r="D16" s="93" t="s">
        <v>40</v>
      </c>
      <c r="E16" s="93" t="s">
        <v>41</v>
      </c>
      <c r="F16" s="94" t="s">
        <v>133</v>
      </c>
      <c r="G16" s="88">
        <f>SUM(H16:X16)</f>
        <v>7945.3779721773944</v>
      </c>
      <c r="H16" s="89">
        <f>SUMPRODUCT(H12:H15,'Parameters, general'!$B$10:$B$13)</f>
        <v>469.2255343799128</v>
      </c>
      <c r="I16" s="89">
        <f>SUMPRODUCT(I12:I15,'Parameters, general'!$B$10:$B$13)</f>
        <v>255.25214730515432</v>
      </c>
      <c r="J16" s="89">
        <f>SUMPRODUCT(J12:J15,'Parameters, general'!$B$10:$B$13)</f>
        <v>1153.5532365426109</v>
      </c>
      <c r="K16" s="89">
        <f>SUMPRODUCT(K12:K15,'Parameters, general'!$B$10:$B$13)</f>
        <v>115.3553236542611</v>
      </c>
      <c r="L16" s="89">
        <f>SUMPRODUCT(L12:L15,'Parameters, general'!$B$10:$B$13)</f>
        <v>265.13233314637677</v>
      </c>
      <c r="M16" s="89">
        <f>SUMPRODUCT(M12:M15,'Parameters, general'!$B$10:$B$13)</f>
        <v>0</v>
      </c>
      <c r="N16" s="89">
        <f>SUMPRODUCT(N12:N15,'Parameters, general'!$B$10:$B$13)</f>
        <v>9.5632995897744379</v>
      </c>
      <c r="O16" s="89">
        <f>SUMPRODUCT(O12:O15,'Parameters, general'!$B$10:$B$13)</f>
        <v>320.49209368867326</v>
      </c>
      <c r="P16" s="89">
        <f>SUMPRODUCT(P12:P15,'Parameters, general'!$B$10:$B$13)</f>
        <v>219.66945052094019</v>
      </c>
      <c r="Q16" s="89">
        <f>SUMPRODUCT(Q12:Q15,'Parameters, general'!$B$10:$B$13)</f>
        <v>198.38275794269882</v>
      </c>
      <c r="R16" s="89">
        <f>SUMPRODUCT(R12:R15,'Parameters, general'!$B$10:$B$13)</f>
        <v>213.61949707676203</v>
      </c>
      <c r="S16" s="89">
        <f>SUMPRODUCT(S12:S15,'Parameters, general'!$B$10:$B$13)</f>
        <v>408.93189942124695</v>
      </c>
      <c r="T16" s="89">
        <f>SUMPRODUCT(T12:T15,'Parameters, general'!$B$10:$B$13)</f>
        <v>3777.6193286020671</v>
      </c>
      <c r="U16" s="89"/>
      <c r="V16" s="89"/>
      <c r="W16" s="89">
        <f>SUMPRODUCT(W12:W15,'Parameters, general'!$B$10:$B$13)</f>
        <v>349.50396764955121</v>
      </c>
      <c r="X16" s="89">
        <f>SUMPRODUCT(X12:X15,'Parameters, general'!$B$10:$B$13)</f>
        <v>189.07710265736509</v>
      </c>
      <c r="Z16" s="90">
        <f>SUM(H16:R16)</f>
        <v>3220.2456738471647</v>
      </c>
      <c r="AA16" s="91">
        <f>'CO2 per kg feed'!F29+'CH4 per kg feed'!F29*CF_GWP_CH4_fossil+'N2O per kg feed'!F29*CF_GWP_N2O</f>
        <v>0.20943750455389151</v>
      </c>
    </row>
    <row r="17" spans="1:27" ht="15" customHeight="1" x14ac:dyDescent="0.35">
      <c r="A17" s="73"/>
      <c r="B17" s="73" t="s">
        <v>143</v>
      </c>
      <c r="C17" s="74" t="s">
        <v>143</v>
      </c>
      <c r="D17" s="75" t="s">
        <v>42</v>
      </c>
      <c r="E17" s="75" t="s">
        <v>43</v>
      </c>
      <c r="F17" s="76" t="s">
        <v>129</v>
      </c>
      <c r="G17" s="77">
        <f>SUM(H17:X17)</f>
        <v>3366.1738287493072</v>
      </c>
      <c r="H17" s="77">
        <f>('CO2 per kg feed'!G41*FCR_bonefree_incl_parents_DE-Excreted_N_after_losses_DE*Manure_repl_factor_DE*EF_min_fert_CO2_DE)*Production!$D$40</f>
        <v>402.16040525486687</v>
      </c>
      <c r="I17" s="77">
        <f>('CO2 per kg feed'!H41*FCR_bonefree_incl_parents_DE)*Production!$D$40</f>
        <v>249.04975534770239</v>
      </c>
      <c r="J17" s="77">
        <f>('CO2 per kg feed'!I41*FCR_bonefree_incl_parents_DE)*Production!$D$40</f>
        <v>0</v>
      </c>
      <c r="K17" s="77"/>
      <c r="L17" s="77">
        <f>('CO2 per kg feed'!K41*FCR_bonefree_incl_parents_DE)*Production!$D$40</f>
        <v>267.93959715225918</v>
      </c>
      <c r="M17" s="77"/>
      <c r="N17" s="77">
        <f>('CO2 per kg feed'!M41*FCR_bonefree_incl_parents_DE)*Production!$D$40</f>
        <v>1.6920671982465672</v>
      </c>
      <c r="O17" s="77">
        <f>('CO2 per kg feed'!N41*FCR_bonefree_incl_parents_DE)*Production!$D$40</f>
        <v>405.3084424988013</v>
      </c>
      <c r="P17" s="77">
        <f>('CO2 per kg feed'!O41*FCR_bonefree_incl_parents_DE)*Production!$D$40</f>
        <v>360.34895770944507</v>
      </c>
      <c r="Q17" s="77">
        <f>('CO2 per kg feed'!P41*FCR_bonefree_incl_parents_DE)*Production!$D$40</f>
        <v>379.80942696208984</v>
      </c>
      <c r="R17" s="77">
        <f>('CO2 per kg feed'!Q41*FCR_bonefree_incl_parents_DE)*Production!$D$40</f>
        <v>343.45696394764468</v>
      </c>
      <c r="S17" s="78"/>
      <c r="T17" s="79"/>
      <c r="U17" s="80"/>
      <c r="V17" s="80"/>
      <c r="W17" s="78">
        <f>(Energy_stables_DE/Bonefree_outof_CW_DE*(Share_heating_DE*(Share_biofuels_DE*EF_biofuels_CO2+(1-Share_biofuels_DE)*EF_oil_CO2)+(1-Share_heating_DE)*EF_el_CO2_DE))*Production!$D$40</f>
        <v>660.68441722547357</v>
      </c>
      <c r="X17" s="81">
        <f>((Energy_slaughter_el_DE*EF_el_CO2_DE+Energy_slaughter_heat_DE*EF_gas_CO2)/Bonefree_outof_CW_DE)*Production!$D$40</f>
        <v>295.72379545277755</v>
      </c>
      <c r="Z17" s="53"/>
      <c r="AA17" s="53"/>
    </row>
    <row r="18" spans="1:27" x14ac:dyDescent="0.35">
      <c r="A18" s="20"/>
      <c r="B18" s="20" t="s">
        <v>143</v>
      </c>
      <c r="C18" s="16" t="s">
        <v>143</v>
      </c>
      <c r="D18" s="18" t="s">
        <v>42</v>
      </c>
      <c r="E18" s="18" t="s">
        <v>43</v>
      </c>
      <c r="F18" s="20" t="s">
        <v>130</v>
      </c>
      <c r="G18" s="53">
        <f>SUM(H18:X18)</f>
        <v>4.47806556557744</v>
      </c>
      <c r="H18" s="58">
        <f>('CH4 per kg feed'!G41*FCR_bonefree_incl_parents_DE-Excreted_N_after_losses_DE*Manure_repl_factor_DE*EF_min_fert_CH4_DE)*Production!$D$40</f>
        <v>0.2071802090915211</v>
      </c>
      <c r="I18" s="58">
        <f>('CH4 per kg feed'!H41*FCR_bonefree_incl_parents_DE)*Production!$D$40</f>
        <v>0.87628617622339733</v>
      </c>
      <c r="J18" s="58"/>
      <c r="K18" s="58"/>
      <c r="L18" s="58">
        <f>('CH4 per kg feed'!K41*FCR_bonefree_incl_parents_DE)*Production!$D$40</f>
        <v>0.11868820669428992</v>
      </c>
      <c r="M18" s="58"/>
      <c r="N18" s="58">
        <f>('CH4 per kg feed'!M41*FCR_bonefree_incl_parents_DE)*Production!$D$40</f>
        <v>5.1597070284656469E-3</v>
      </c>
      <c r="O18" s="58">
        <f>('CH4 per kg feed'!N41*FCR_bonefree_incl_parents_DE)*Production!$D$40</f>
        <v>0.28650220620265149</v>
      </c>
      <c r="P18" s="58">
        <f>('CH4 per kg feed'!O41*FCR_bonefree_incl_parents_DE)*Production!$D$40</f>
        <v>0</v>
      </c>
      <c r="Q18" s="58">
        <f>('CH4 per kg feed'!P41*FCR_bonefree_incl_parents_DE)*Production!$D$40</f>
        <v>0.7938561170493259</v>
      </c>
      <c r="R18" s="58">
        <f>('CH4 per kg feed'!Q41*FCR_bonefree_incl_parents_DE)*Production!$D$40</f>
        <v>0.32733213353024981</v>
      </c>
      <c r="W18" s="13">
        <f>(Energy_stables_DE/Bonefree_outof_CW_DE*(Share_heating_DE*(Share_biofuels_DE*EF_biofuel_CH4+(1-Share_biofuels_DE)*EF_oil_CH4)+(1-Share_heating_DE)*EF_el_CH4_DE))*Production!$D$40</f>
        <v>0.91968915170979204</v>
      </c>
      <c r="X18" s="49">
        <f>((Energy_slaughter_el_DE*EF_el_CH4_DE+Energy_slaughter_heat_DE*EF_gas_CH4)/Bonefree_outof_CW_DE)*Production!$D$40</f>
        <v>0.94337165804774648</v>
      </c>
      <c r="Z18" s="54"/>
      <c r="AA18" s="54"/>
    </row>
    <row r="19" spans="1:27" x14ac:dyDescent="0.35">
      <c r="A19" s="20"/>
      <c r="B19" s="20" t="s">
        <v>143</v>
      </c>
      <c r="C19" s="16" t="s">
        <v>143</v>
      </c>
      <c r="D19" s="18" t="s">
        <v>42</v>
      </c>
      <c r="E19" s="18" t="s">
        <v>43</v>
      </c>
      <c r="F19" s="20" t="s">
        <v>131</v>
      </c>
      <c r="G19" s="53">
        <f>SUM(H19:T19)+SUM(W19:X19)</f>
        <v>102.41589597184301</v>
      </c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13">
        <f>((Production!D42+Production!D43+Production!D45*4/12)*EF_ent_ferm_DE)*Production!$D$40</f>
        <v>15.191324337404644</v>
      </c>
      <c r="T19" s="51">
        <f>SUM(U19:V19)</f>
        <v>87.224571634438362</v>
      </c>
      <c r="U19" s="59">
        <f>(Manure!M32)*Production!$D$40</f>
        <v>87.224571634438362</v>
      </c>
      <c r="W19" s="13"/>
      <c r="X19" s="49"/>
      <c r="Z19" s="54"/>
      <c r="AA19" s="54"/>
    </row>
    <row r="20" spans="1:27" ht="15" customHeight="1" x14ac:dyDescent="0.35">
      <c r="A20" s="20"/>
      <c r="B20" s="20" t="s">
        <v>143</v>
      </c>
      <c r="C20" s="16" t="s">
        <v>143</v>
      </c>
      <c r="D20" s="18" t="s">
        <v>42</v>
      </c>
      <c r="E20" s="18" t="s">
        <v>43</v>
      </c>
      <c r="F20" s="82" t="s">
        <v>132</v>
      </c>
      <c r="G20" s="53">
        <f>SUM(H20:T20)+SUM(W20:X20)</f>
        <v>8.0761705503862871</v>
      </c>
      <c r="H20" s="58">
        <f>('N2O per kg feed'!G41*FCR_bonefree_incl_parents_DE-Excreted_N_after_losses_DE*Manure_repl_factor_DE*EF_min_fert_N2O_DE)*Production!$D$40</f>
        <v>0.32670512489792197</v>
      </c>
      <c r="I20" s="54">
        <f>('N2O per kg feed'!H41*FCR_bonefree_incl_parents_DE)*Production!$D$40</f>
        <v>1.0146471514165652E-2</v>
      </c>
      <c r="J20" s="54">
        <f>('N2O per kg feed'!I41*FCR_bonefree_incl_parents_DE-Excreted_N_after_losses_DE*Manure_repl_factor_DE*EF_N2O_diff_DE)*Production!$D$40</f>
        <v>4.3022658710413824</v>
      </c>
      <c r="K20" s="54">
        <f>J20*EF_indirect_N2O_DE</f>
        <v>0.43022658710413825</v>
      </c>
      <c r="L20" s="54">
        <f>('N2O per kg feed'!K41*FCR_bonefree_incl_parents_DE)*Production!$D$40</f>
        <v>7.1996414408668202E-3</v>
      </c>
      <c r="M20" s="54"/>
      <c r="N20" s="54">
        <f>('N2O per kg feed'!M41*FCR_bonefree_incl_parents_DE)*Production!$D$40</f>
        <v>7.1982858181826129E-5</v>
      </c>
      <c r="O20" s="54">
        <f>('N2O per kg feed'!N41*FCR_bonefree_incl_parents_DE)*Production!$D$40</f>
        <v>1.5049677098582417E-2</v>
      </c>
      <c r="P20" s="54">
        <f>('N2O per kg feed'!O41*FCR_bonefree_incl_parents_DE)*Production!$D$40</f>
        <v>0</v>
      </c>
      <c r="Q20" s="54">
        <f>('N2O per kg feed'!P41*FCR_bonefree_incl_parents_DE)*Production!$D$40</f>
        <v>3.2855881307214264E-2</v>
      </c>
      <c r="R20" s="54">
        <f>('N2O per kg feed'!Q41*FCR_bonefree_incl_parents_DE)*Production!$D$40</f>
        <v>1.2096233527324441E-2</v>
      </c>
      <c r="S20" s="13"/>
      <c r="T20" s="51">
        <f>SUM(U20:V20)</f>
        <v>2.8824365508003695</v>
      </c>
      <c r="U20" s="83">
        <f>(Manure!M88*44/28)*Production!$D$40</f>
        <v>1.6254019958071639</v>
      </c>
      <c r="V20" s="83">
        <f>(NH3_per_kg_DE*17/14*Manure!J117)*Production!$D$40</f>
        <v>1.2570345549932056</v>
      </c>
      <c r="W20" s="13">
        <f>(Energy_stables_DE/Bonefree_outof_CW_DE*(Share_heating_DE*(Share_biofuels_DE*EF_biofuel_N2O+(1-Share_biofuels_DE)*EF_oil_N2O)+(1-Share_heating_DE)*EF_el_N2O_DE))*Production!$D$40</f>
        <v>4.5689653095369168E-2</v>
      </c>
      <c r="X20" s="49">
        <f>((Energy_slaughter_el_DE*EF_el_N2O_DE+Energy_slaughter_heat_DE*EF_gas_N2O)/Bonefree_outof_CW_DE)*Production!$D$40</f>
        <v>1.1426875700770851E-2</v>
      </c>
      <c r="Z20" s="54"/>
      <c r="AA20" s="54"/>
    </row>
    <row r="21" spans="1:27" ht="15" customHeight="1" x14ac:dyDescent="0.35">
      <c r="A21" s="84"/>
      <c r="B21" s="84" t="s">
        <v>143</v>
      </c>
      <c r="C21" s="85" t="s">
        <v>143</v>
      </c>
      <c r="D21" s="86" t="s">
        <v>42</v>
      </c>
      <c r="E21" s="86" t="s">
        <v>43</v>
      </c>
      <c r="F21" s="87" t="s">
        <v>133</v>
      </c>
      <c r="G21" s="88">
        <f>SUM(H21:X21)</f>
        <v>8469.6439340987308</v>
      </c>
      <c r="H21" s="89">
        <f>SUMPRODUCT(H17:H20,'Parameters, general'!$B$10:$B$13)</f>
        <v>497.52487458292694</v>
      </c>
      <c r="I21" s="89">
        <f>SUMPRODUCT(I17:I20,'Parameters, general'!$B$10:$B$13)</f>
        <v>277.93307012252683</v>
      </c>
      <c r="J21" s="89">
        <f>SUMPRODUCT(J17:J20,'Parameters, general'!$B$10:$B$13)</f>
        <v>1174.5185827942973</v>
      </c>
      <c r="K21" s="89">
        <f>SUMPRODUCT(K17:K20,'Parameters, general'!$B$10:$B$13)</f>
        <v>117.45185827942974</v>
      </c>
      <c r="L21" s="89">
        <f>SUMPRODUCT(L17:L20,'Parameters, general'!$B$10:$B$13)</f>
        <v>273.44200782510569</v>
      </c>
      <c r="M21" s="89">
        <f>SUMPRODUCT(M17:M20,'Parameters, general'!$B$10:$B$13)</f>
        <v>0</v>
      </c>
      <c r="N21" s="89">
        <f>SUMPRODUCT(N17:N20,'Parameters, general'!$B$10:$B$13)</f>
        <v>1.8654777879784821</v>
      </c>
      <c r="O21" s="89">
        <f>SUMPRODUCT(O17:O20,'Parameters, general'!$B$10:$B$13)</f>
        <v>417.95477009155331</v>
      </c>
      <c r="P21" s="89">
        <f>SUMPRODUCT(P17:P20,'Parameters, general'!$B$10:$B$13)</f>
        <v>360.34895770944507</v>
      </c>
      <c r="Q21" s="89">
        <f>SUMPRODUCT(Q17:Q20,'Parameters, general'!$B$10:$B$13)</f>
        <v>412.43599484702924</v>
      </c>
      <c r="R21" s="89">
        <f>SUMPRODUCT(R17:R20,'Parameters, general'!$B$10:$B$13)</f>
        <v>356.51373327980571</v>
      </c>
      <c r="S21" s="89">
        <f>SUMPRODUCT(S17:S20,'Parameters, general'!$B$10:$B$13)</f>
        <v>410.16575710992538</v>
      </c>
      <c r="T21" s="89">
        <f>SUMPRODUCT(T17:T20,'Parameters, general'!$B$10:$B$13)</f>
        <v>3141.9686124983368</v>
      </c>
      <c r="U21" s="89"/>
      <c r="V21" s="89"/>
      <c r="W21" s="89">
        <f>SUMPRODUCT(W17:W20,'Parameters, general'!$B$10:$B$13)</f>
        <v>700.5644292414612</v>
      </c>
      <c r="X21" s="89">
        <f>SUMPRODUCT(X17:X20,'Parameters, general'!$B$10:$B$13)</f>
        <v>326.95580792891082</v>
      </c>
      <c r="Z21" s="90">
        <f>SUM(H21:R21)</f>
        <v>3889.9893273200983</v>
      </c>
      <c r="AA21" s="91">
        <f>'CO2 per kg feed'!F41+'CH4 per kg feed'!F41*CF_GWP_CH4_fossil+'N2O per kg feed'!F41*CF_GWP_N2O</f>
        <v>0.26602826735057034</v>
      </c>
    </row>
    <row r="22" spans="1:27" ht="15" customHeight="1" x14ac:dyDescent="0.35">
      <c r="A22" s="20"/>
      <c r="B22" s="20" t="s">
        <v>143</v>
      </c>
      <c r="C22" s="16" t="s">
        <v>143</v>
      </c>
      <c r="D22" s="18" t="s">
        <v>44</v>
      </c>
      <c r="E22" s="18" t="s">
        <v>45</v>
      </c>
      <c r="F22" s="92" t="s">
        <v>129</v>
      </c>
      <c r="G22" s="77">
        <f>SUM(H22:X22)</f>
        <v>3861.2596215723929</v>
      </c>
      <c r="H22" s="77">
        <f>('CO2 per kg feed'!G53*FCR_bonefree_incl_parents_GR-Excreted_N_after_losses_GR*Manure_repl_factor_GR*EF_min_fert_CO2_GR)*Production!$E$40</f>
        <v>394.13951730209186</v>
      </c>
      <c r="I22" s="77">
        <f>('CO2 per kg feed'!H53*FCR_bonefree_incl_parents_GR)*Production!$E$40</f>
        <v>214.84573836975369</v>
      </c>
      <c r="J22" s="77">
        <f>('CO2 per kg feed'!I53*FCR_bonefree_incl_parents_GR)*Production!$E$40</f>
        <v>0</v>
      </c>
      <c r="K22" s="77"/>
      <c r="L22" s="77">
        <f>('CO2 per kg feed'!K53*FCR_bonefree_incl_parents_GR)*Production!$E$40</f>
        <v>405.72753415483891</v>
      </c>
      <c r="M22" s="77"/>
      <c r="N22" s="77">
        <f>('CO2 per kg feed'!M53*FCR_bonefree_incl_parents_GR)*Production!$E$40</f>
        <v>64.972997814251173</v>
      </c>
      <c r="O22" s="77">
        <f>('CO2 per kg feed'!N53*FCR_bonefree_incl_parents_GR)*Production!$E$40</f>
        <v>360.00447486752103</v>
      </c>
      <c r="P22" s="77">
        <f>('CO2 per kg feed'!O53*FCR_bonefree_incl_parents_GR)*Production!$E$40</f>
        <v>423.49131339038723</v>
      </c>
      <c r="Q22" s="77">
        <f>('CO2 per kg feed'!P53*FCR_bonefree_incl_parents_GR)*Production!$E$40</f>
        <v>486.29943789485372</v>
      </c>
      <c r="R22" s="77">
        <f>('CO2 per kg feed'!Q53*FCR_bonefree_incl_parents_GR)*Production!$E$40</f>
        <v>369.56463677379827</v>
      </c>
      <c r="S22" s="78"/>
      <c r="T22" s="79"/>
      <c r="U22" s="80"/>
      <c r="V22" s="80"/>
      <c r="W22" s="78">
        <f>(Energy_stables_GR/Bonefree_outof_CW_GR*(Share_heating_GR*(Share_biofuels_GR*EF_biofuels_CO2+(1-Share_biofuels_GR)*EF_oil_CO2)+(1-Share_heating_GR)*EF_el_CO2_GR))*Production!$E$40</f>
        <v>807.98235936563606</v>
      </c>
      <c r="X22" s="81">
        <f>((Energy_slaughter_el_GR*EF_el_CO2_GR+Energy_slaughter_heat_GR*EF_gas_CO2)/Bonefree_outof_CW_GR)*Production!$E$40</f>
        <v>334.23161163926113</v>
      </c>
      <c r="Z22" s="53"/>
      <c r="AA22" s="53"/>
    </row>
    <row r="23" spans="1:27" x14ac:dyDescent="0.35">
      <c r="A23" s="20"/>
      <c r="B23" s="20" t="s">
        <v>143</v>
      </c>
      <c r="C23" s="16" t="s">
        <v>143</v>
      </c>
      <c r="D23" s="18" t="s">
        <v>44</v>
      </c>
      <c r="E23" s="18" t="s">
        <v>45</v>
      </c>
      <c r="F23" s="20" t="s">
        <v>130</v>
      </c>
      <c r="G23" s="53">
        <f>SUM(H23:X23)</f>
        <v>7.1990524820061559</v>
      </c>
      <c r="H23" s="58">
        <f>('CH4 per kg feed'!G53*FCR_bonefree_incl_parents_GR-Excreted_N_after_losses_GR*Manure_repl_factor_GR*EF_min_fert_CH4_GR)*Production!$E$40</f>
        <v>6.5786179352380222E-2</v>
      </c>
      <c r="I23" s="58">
        <f>('CH4 per kg feed'!H53*FCR_bonefree_incl_parents_GR)*Production!$E$40</f>
        <v>0.75593870907876304</v>
      </c>
      <c r="J23" s="58"/>
      <c r="K23" s="58"/>
      <c r="L23" s="58">
        <f>('CH4 per kg feed'!K53*FCR_bonefree_incl_parents_GR)*Production!$E$40</f>
        <v>0.17972361661785088</v>
      </c>
      <c r="M23" s="58"/>
      <c r="N23" s="58">
        <f>('CH4 per kg feed'!M53*FCR_bonefree_incl_parents_GR)*Production!$E$40</f>
        <v>0.19207579701238933</v>
      </c>
      <c r="O23" s="58">
        <f>('CH4 per kg feed'!N53*FCR_bonefree_incl_parents_GR)*Production!$E$40</f>
        <v>0.29289424389517693</v>
      </c>
      <c r="P23" s="58">
        <f>('CH4 per kg feed'!O53*FCR_bonefree_incl_parents_GR)*Production!$E$40</f>
        <v>0</v>
      </c>
      <c r="Q23" s="58">
        <f>('CH4 per kg feed'!P53*FCR_bonefree_incl_parents_GR)*Production!$E$40</f>
        <v>3.1426425833835041</v>
      </c>
      <c r="R23" s="58">
        <f>('CH4 per kg feed'!Q53*FCR_bonefree_incl_parents_GR)*Production!$E$40</f>
        <v>0.31337096369268086</v>
      </c>
      <c r="W23" s="13">
        <f>(Energy_stables_GR/Bonefree_outof_CW_GR*(Share_heating_GR*(Share_biofuels_GR*EF_biofuel_CH4+(1-Share_biofuels_GR)*EF_oil_CH4)+(1-Share_heating_GR)*EF_el_CH4_GR))*Production!$E$40</f>
        <v>1.2455180117327231</v>
      </c>
      <c r="X23" s="49">
        <f>((Energy_slaughter_el_GR*EF_el_CH4_GR+Energy_slaughter_heat_GR*EF_gas_CH4)/Bonefree_outof_CW_GR)*Production!$E$40</f>
        <v>1.0111023772406873</v>
      </c>
      <c r="Z23" s="54"/>
      <c r="AA23" s="54"/>
    </row>
    <row r="24" spans="1:27" x14ac:dyDescent="0.35">
      <c r="A24" s="20"/>
      <c r="B24" s="20" t="s">
        <v>143</v>
      </c>
      <c r="C24" s="16" t="s">
        <v>143</v>
      </c>
      <c r="D24" s="18" t="s">
        <v>44</v>
      </c>
      <c r="E24" s="18" t="s">
        <v>45</v>
      </c>
      <c r="F24" s="20" t="s">
        <v>131</v>
      </c>
      <c r="G24" s="53">
        <f>SUM(H24:T24)+SUM(W24:X24)</f>
        <v>260.03882169764171</v>
      </c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13">
        <f>((Production!E42+Production!E43+Production!E45*4/12)*EF_ent_ferm_GR)*Production!$E$40</f>
        <v>14.942179824325025</v>
      </c>
      <c r="T24" s="51">
        <f>SUM(U24:V24)</f>
        <v>245.09664187331666</v>
      </c>
      <c r="U24" s="59">
        <f>(Manure!Q32)*Production!$E$40</f>
        <v>245.09664187331666</v>
      </c>
      <c r="W24" s="13"/>
      <c r="X24" s="49"/>
      <c r="Z24" s="54"/>
      <c r="AA24" s="54"/>
    </row>
    <row r="25" spans="1:27" ht="15" customHeight="1" x14ac:dyDescent="0.35">
      <c r="A25" s="20"/>
      <c r="B25" s="20" t="s">
        <v>143</v>
      </c>
      <c r="C25" s="16" t="s">
        <v>143</v>
      </c>
      <c r="D25" s="18" t="s">
        <v>44</v>
      </c>
      <c r="E25" s="18" t="s">
        <v>45</v>
      </c>
      <c r="F25" s="82" t="s">
        <v>132</v>
      </c>
      <c r="G25" s="53">
        <f>SUM(H25:T25)+SUM(W25:X25)</f>
        <v>7.6196921134637821</v>
      </c>
      <c r="H25" s="58">
        <f>('N2O per kg feed'!G53*FCR_bonefree_incl_parents_GR-Excreted_N_after_losses_GR*Manure_repl_factor_GR*EF_min_fert_N2O_GR)*Production!$E$40</f>
        <v>0.10702182360119172</v>
      </c>
      <c r="I25" s="54">
        <f>('N2O per kg feed'!H53*FCR_bonefree_incl_parents_GR)*Production!$E$40</f>
        <v>8.7529745261751505E-3</v>
      </c>
      <c r="J25" s="54">
        <f>('N2O per kg feed'!I53*FCR_bonefree_incl_parents_GR-Excreted_N_after_losses_GR*Manure_repl_factor_GR*EF_N2O_diff_GR)*Production!$E$40</f>
        <v>3.9030226857461163</v>
      </c>
      <c r="K25" s="54">
        <f>J25*EF_indirect_N2O_GR</f>
        <v>0.39030226857461164</v>
      </c>
      <c r="L25" s="54">
        <f>('N2O per kg feed'!K53*FCR_bonefree_incl_parents_GR)*Production!$E$40</f>
        <v>1.0902057029450367E-2</v>
      </c>
      <c r="M25" s="54"/>
      <c r="N25" s="54">
        <f>('N2O per kg feed'!M53*FCR_bonefree_incl_parents_GR)*Production!$E$40</f>
        <v>2.7923596218306294E-3</v>
      </c>
      <c r="O25" s="54">
        <f>('N2O per kg feed'!N53*FCR_bonefree_incl_parents_GR)*Production!$E$40</f>
        <v>1.2716021766938656E-2</v>
      </c>
      <c r="P25" s="54">
        <f>('N2O per kg feed'!O53*FCR_bonefree_incl_parents_GR)*Production!$E$40</f>
        <v>0</v>
      </c>
      <c r="Q25" s="54">
        <f>('N2O per kg feed'!P53*FCR_bonefree_incl_parents_GR)*Production!$E$40</f>
        <v>6.7999015589069928E-2</v>
      </c>
      <c r="R25" s="54">
        <f>('N2O per kg feed'!Q53*FCR_bonefree_incl_parents_GR)*Production!$E$40</f>
        <v>1.5249655490801354E-2</v>
      </c>
      <c r="S25" s="13"/>
      <c r="T25" s="51">
        <f>SUM(U25:V25)</f>
        <v>3.0434157899779137</v>
      </c>
      <c r="U25" s="83">
        <f>(Manure!Q88*44/28)*Production!$E$40</f>
        <v>1.7119375927842324</v>
      </c>
      <c r="V25" s="83">
        <f>(NH3_per_kg_GR*17/14*Manure!N117)*Production!$E$40</f>
        <v>1.3314781971936811</v>
      </c>
      <c r="W25" s="13">
        <f>(Energy_stables_GR/Bonefree_outof_CW_GR*(Share_heating_GR*(Share_biofuels_GR*EF_biofuel_N2O+(1-Share_biofuels_GR)*EF_oil_N2O)+(1-Share_heating_GR)*EF_el_N2O_GR))*Production!$E$40</f>
        <v>4.6311594430069242E-2</v>
      </c>
      <c r="X25" s="49">
        <f>((Energy_slaughter_el_GR*EF_el_N2O_GR+Energy_slaughter_heat_GR*EF_gas_N2O)/Bonefree_outof_CW_GR)*Production!$E$40</f>
        <v>1.1205867109614716E-2</v>
      </c>
      <c r="Z25" s="54"/>
      <c r="AA25" s="54"/>
    </row>
    <row r="26" spans="1:27" ht="15" customHeight="1" x14ac:dyDescent="0.35">
      <c r="A26" s="84"/>
      <c r="B26" s="84" t="s">
        <v>143</v>
      </c>
      <c r="C26" s="85" t="s">
        <v>143</v>
      </c>
      <c r="D26" s="93" t="s">
        <v>44</v>
      </c>
      <c r="E26" s="93" t="s">
        <v>45</v>
      </c>
      <c r="F26" s="87" t="s">
        <v>133</v>
      </c>
      <c r="G26" s="88">
        <f>SUM(H26:X26)</f>
        <v>13177.015518348113</v>
      </c>
      <c r="H26" s="89">
        <f>SUMPRODUCT(H22:H25,'Parameters, general'!$B$10:$B$13)</f>
        <v>425.31690328991812</v>
      </c>
      <c r="I26" s="89">
        <f>SUMPRODUCT(I22:I25,'Parameters, general'!$B$10:$B$13)</f>
        <v>239.76227394594665</v>
      </c>
      <c r="J26" s="89">
        <f>SUMPRODUCT(J22:J25,'Parameters, general'!$B$10:$B$13)</f>
        <v>1065.5251932086899</v>
      </c>
      <c r="K26" s="89">
        <f>SUMPRODUCT(K22:K25,'Parameters, general'!$B$10:$B$13)</f>
        <v>106.55251932086898</v>
      </c>
      <c r="L26" s="89">
        <f>SUMPRODUCT(L22:L25,'Parameters, general'!$B$10:$B$13)</f>
        <v>414.05955949909082</v>
      </c>
      <c r="M26" s="89">
        <f>SUMPRODUCT(M22:M25,'Parameters, general'!$B$10:$B$13)</f>
        <v>0</v>
      </c>
      <c r="N26" s="89">
        <f>SUMPRODUCT(N22:N25,'Parameters, general'!$B$10:$B$13)</f>
        <v>71.459170741980131</v>
      </c>
      <c r="O26" s="89">
        <f>SUMPRODUCT(O22:O25,'Parameters, general'!$B$10:$B$13)</f>
        <v>372.20419727797156</v>
      </c>
      <c r="P26" s="89">
        <f>SUMPRODUCT(P22:P25,'Parameters, general'!$B$10:$B$13)</f>
        <v>423.49131339038723</v>
      </c>
      <c r="Q26" s="89">
        <f>SUMPRODUCT(Q22:Q25,'Parameters, general'!$B$10:$B$13)</f>
        <v>598.51391813549822</v>
      </c>
      <c r="R26" s="89">
        <f>SUMPRODUCT(R22:R25,'Parameters, general'!$B$10:$B$13)</f>
        <v>383.06624744082893</v>
      </c>
      <c r="S26" s="89">
        <f>SUMPRODUCT(S22:S25,'Parameters, general'!$B$10:$B$13)</f>
        <v>403.4388552567757</v>
      </c>
      <c r="T26" s="89">
        <f>SUMPRODUCT(T22:T25,'Parameters, general'!$B$10:$B$13)</f>
        <v>7448.4618412435193</v>
      </c>
      <c r="U26" s="89"/>
      <c r="V26" s="89"/>
      <c r="W26" s="89">
        <f>SUMPRODUCT(W22:W25,'Parameters, general'!$B$10:$B$13)</f>
        <v>857.74186139468009</v>
      </c>
      <c r="X26" s="89">
        <f>SUMPRODUCT(X22:X25,'Parameters, general'!$B$10:$B$13)</f>
        <v>367.42166420195844</v>
      </c>
      <c r="Z26" s="90">
        <f>SUM(H26:R26)</f>
        <v>4099.9512962511808</v>
      </c>
      <c r="AA26" s="91">
        <f>'CO2 per kg feed'!F53+'CH4 per kg feed'!F53*CF_GWP_CH4_fossil+'N2O per kg feed'!F53*CF_GWP_N2O</f>
        <v>0.41333219755214384</v>
      </c>
    </row>
    <row r="27" spans="1:27" ht="15" customHeight="1" x14ac:dyDescent="0.35">
      <c r="A27" s="73"/>
      <c r="B27" s="73" t="s">
        <v>143</v>
      </c>
      <c r="C27" s="74" t="s">
        <v>143</v>
      </c>
      <c r="D27" s="75" t="s">
        <v>82</v>
      </c>
      <c r="E27" s="75" t="s">
        <v>47</v>
      </c>
      <c r="F27" s="76" t="s">
        <v>129</v>
      </c>
      <c r="G27" s="77">
        <f>SUM(H27:X27)</f>
        <v>3468.9009481556213</v>
      </c>
      <c r="H27" s="77">
        <f>('CO2 per kg feed'!G65*FCR_bonefree_incl_parents_HU-Excreted_N_after_losses_HU*Manure_repl_factor_HU*EF_min_fert_CO2_HU)*Production!$F$40</f>
        <v>461.12169954603604</v>
      </c>
      <c r="I27" s="77">
        <f>('CO2 per kg feed'!H65*FCR_bonefree_incl_parents_HU)*Production!$F$40</f>
        <v>255.94802762107042</v>
      </c>
      <c r="J27" s="77">
        <f>('CO2 per kg feed'!I65*FCR_bonefree_incl_parents_HU)*Production!$F$40</f>
        <v>0</v>
      </c>
      <c r="K27" s="77"/>
      <c r="L27" s="77">
        <f>('CO2 per kg feed'!K65*FCR_bonefree_incl_parents_HU)*Production!$F$40</f>
        <v>340.39075707632389</v>
      </c>
      <c r="M27" s="77"/>
      <c r="N27" s="77">
        <f>('CO2 per kg feed'!M65*FCR_bonefree_incl_parents_HU)*Production!$F$40</f>
        <v>8.2948406626467701</v>
      </c>
      <c r="O27" s="77">
        <f>('CO2 per kg feed'!N65*FCR_bonefree_incl_parents_HU)*Production!$F$40</f>
        <v>394.76779695297171</v>
      </c>
      <c r="P27" s="77">
        <f>('CO2 per kg feed'!O65*FCR_bonefree_incl_parents_HU)*Production!$F$40</f>
        <v>419.54819634287952</v>
      </c>
      <c r="Q27" s="77">
        <f>('CO2 per kg feed'!P65*FCR_bonefree_incl_parents_HU)*Production!$F$40</f>
        <v>366.72104890591373</v>
      </c>
      <c r="R27" s="77">
        <f>('CO2 per kg feed'!Q65*FCR_bonefree_incl_parents_HU)*Production!$F$40</f>
        <v>281.12308402773903</v>
      </c>
      <c r="S27" s="78"/>
      <c r="T27" s="79"/>
      <c r="U27" s="80"/>
      <c r="V27" s="80"/>
      <c r="W27" s="78">
        <f>(Energy_stables_HU/Bonefree_outof_CW_HU*(Share_heating_HU*(Share_biofuels_HU*EF_biofuels_CO2+(1-Share_biofuels_HU)*EF_oil_CO2)+(1-Share_heating_HU)*EF_el_CO2_HU))*Production!$F$40</f>
        <v>669.00098160937182</v>
      </c>
      <c r="X27" s="81">
        <f>((Energy_slaughter_el_HU*EF_el_CO2_HU+Energy_slaughter_heat_HU*EF_gas_CO2)/Bonefree_outof_CW_HU)*Production!$F$40</f>
        <v>271.98451541066873</v>
      </c>
      <c r="Z27" s="53"/>
      <c r="AA27" s="53"/>
    </row>
    <row r="28" spans="1:27" x14ac:dyDescent="0.35">
      <c r="A28" s="20"/>
      <c r="B28" s="20" t="s">
        <v>143</v>
      </c>
      <c r="C28" s="16" t="s">
        <v>143</v>
      </c>
      <c r="D28" s="18" t="s">
        <v>82</v>
      </c>
      <c r="E28" s="18" t="s">
        <v>47</v>
      </c>
      <c r="F28" s="20" t="s">
        <v>130</v>
      </c>
      <c r="G28" s="53">
        <f>SUM(H28:X28)</f>
        <v>5.2170710045645619</v>
      </c>
      <c r="H28" s="58">
        <f>('CH4 per kg feed'!G65*FCR_bonefree_incl_parents_HU-Excreted_N_after_losses_HU*Manure_repl_factor_HU*EF_min_fert_CH4_HU)*Production!$F$40</f>
        <v>3.9903282888642998E-2</v>
      </c>
      <c r="I28" s="58">
        <f>('CH4 per kg feed'!H65*FCR_bonefree_incl_parents_HU)*Production!$F$40</f>
        <v>0.90055787496302542</v>
      </c>
      <c r="J28" s="58"/>
      <c r="K28" s="58"/>
      <c r="L28" s="58">
        <f>('CH4 per kg feed'!K65*FCR_bonefree_incl_parents_HU)*Production!$F$40</f>
        <v>0.15078162750891427</v>
      </c>
      <c r="M28" s="58"/>
      <c r="N28" s="58">
        <f>('CH4 per kg feed'!M65*FCR_bonefree_incl_parents_HU)*Production!$F$40</f>
        <v>2.4600703839963538E-2</v>
      </c>
      <c r="O28" s="58">
        <f>('CH4 per kg feed'!N65*FCR_bonefree_incl_parents_HU)*Production!$F$40</f>
        <v>0.32350327739814128</v>
      </c>
      <c r="P28" s="58">
        <f>('CH4 per kg feed'!O65*FCR_bonefree_incl_parents_HU)*Production!$F$40</f>
        <v>0</v>
      </c>
      <c r="Q28" s="58">
        <f>('CH4 per kg feed'!P65*FCR_bonefree_incl_parents_HU)*Production!$F$40</f>
        <v>1.4150986835175574</v>
      </c>
      <c r="R28" s="58">
        <f>('CH4 per kg feed'!Q65*FCR_bonefree_incl_parents_HU)*Production!$F$40</f>
        <v>0.23561060386485413</v>
      </c>
      <c r="W28" s="13">
        <f>(Energy_stables_HU/Bonefree_outof_CW_HU*(Share_heating_HU*(Share_biofuels_HU*EF_biofuel_CH4+(1-Share_biofuels_HU)*EF_oil_CH4)+(1-Share_heating_HU)*EF_el_CH4_HU))*Production!$F$40</f>
        <v>1.1666596629912629</v>
      </c>
      <c r="X28" s="49">
        <f>((Energy_slaughter_el_HU*EF_el_CH4_HU+Energy_slaughter_heat_HU*EF_gas_CH4)/Bonefree_outof_CW_HU)*Production!$F$40</f>
        <v>0.96035528759219946</v>
      </c>
      <c r="Z28" s="54"/>
      <c r="AA28" s="54"/>
    </row>
    <row r="29" spans="1:27" x14ac:dyDescent="0.35">
      <c r="A29" s="20"/>
      <c r="B29" s="20" t="s">
        <v>143</v>
      </c>
      <c r="C29" s="16" t="s">
        <v>143</v>
      </c>
      <c r="D29" s="18" t="s">
        <v>82</v>
      </c>
      <c r="E29" s="18" t="s">
        <v>47</v>
      </c>
      <c r="F29" s="20" t="s">
        <v>131</v>
      </c>
      <c r="G29" s="53">
        <f>SUM(H29:T29)+SUM(W29:X29)</f>
        <v>82.13198448381921</v>
      </c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13">
        <f>((Production!F42+Production!F43+Production!F45*4/12)*EF_ent_ferm_HU)*Production!$F$40</f>
        <v>15.672264616853951</v>
      </c>
      <c r="T29" s="51">
        <f>SUM(U29:V29)</f>
        <v>66.459719866965258</v>
      </c>
      <c r="U29" s="59">
        <f>(Manure!U32)*Production!$F$40</f>
        <v>66.459719866965258</v>
      </c>
      <c r="W29" s="13"/>
      <c r="X29" s="49"/>
      <c r="Z29" s="54"/>
      <c r="AA29" s="54"/>
    </row>
    <row r="30" spans="1:27" ht="15" customHeight="1" x14ac:dyDescent="0.35">
      <c r="A30" s="20"/>
      <c r="B30" s="20" t="s">
        <v>143</v>
      </c>
      <c r="C30" s="16" t="s">
        <v>143</v>
      </c>
      <c r="D30" s="18" t="s">
        <v>82</v>
      </c>
      <c r="E30" s="18" t="s">
        <v>47</v>
      </c>
      <c r="F30" s="82" t="s">
        <v>132</v>
      </c>
      <c r="G30" s="53">
        <f>SUM(H30:T30)+SUM(W30:X30)</f>
        <v>8.0714852372386048</v>
      </c>
      <c r="H30" s="58">
        <f>('N2O per kg feed'!G65*FCR_bonefree_incl_parents_HU-Excreted_N_after_losses_HU*Manure_repl_factor_HU*EF_min_fert_N2O_HU)*Production!$F$40</f>
        <v>0.21476430239874525</v>
      </c>
      <c r="I30" s="54">
        <f>('N2O per kg feed'!H65*FCR_bonefree_incl_parents_HU)*Production!$F$40</f>
        <v>1.0427512236413977E-2</v>
      </c>
      <c r="J30" s="54">
        <f>('N2O per kg feed'!I65*FCR_bonefree_incl_parents_HU-Excreted_N_after_losses_HU*Manure_repl_factor_HU*EF_N2O_diff_HU)*Production!$F$40</f>
        <v>5.0281245966356751</v>
      </c>
      <c r="K30" s="54">
        <f>J30*EF_indirect_N2O_HU</f>
        <v>0.50281245966356758</v>
      </c>
      <c r="L30" s="54">
        <f>('N2O per kg feed'!K65*FCR_bonefree_incl_parents_HU)*Production!$F$40</f>
        <v>9.1464323555808854E-3</v>
      </c>
      <c r="M30" s="54"/>
      <c r="N30" s="54">
        <f>('N2O per kg feed'!M65*FCR_bonefree_incl_parents_HU)*Production!$F$40</f>
        <v>3.5611873194330305E-4</v>
      </c>
      <c r="O30" s="54">
        <f>('N2O per kg feed'!N65*FCR_bonefree_incl_parents_HU)*Production!$F$40</f>
        <v>1.399924238850188E-2</v>
      </c>
      <c r="P30" s="54">
        <f>('N2O per kg feed'!O65*FCR_bonefree_incl_parents_HU)*Production!$F$40</f>
        <v>0</v>
      </c>
      <c r="Q30" s="54">
        <f>('N2O per kg feed'!P65*FCR_bonefree_incl_parents_HU)*Production!$F$40</f>
        <v>3.2640465549560932E-2</v>
      </c>
      <c r="R30" s="54">
        <f>('N2O per kg feed'!Q65*FCR_bonefree_incl_parents_HU)*Production!$F$40</f>
        <v>1.0264699889874216E-2</v>
      </c>
      <c r="S30" s="13"/>
      <c r="T30" s="51">
        <f>SUM(U30:V30)</f>
        <v>2.1968949701183509</v>
      </c>
      <c r="U30" s="83">
        <f>(Manure!U88*44/28)*Production!$F$40</f>
        <v>1.2447820115049411</v>
      </c>
      <c r="V30" s="83">
        <f>(NH3_per_kg_HU*17/14*Manure!R117)*Production!$F$40</f>
        <v>0.95211295861340972</v>
      </c>
      <c r="W30" s="13">
        <f>(Energy_stables_HU/Bonefree_outof_CW_HU*(Share_heating_HU*(Share_biofuels_HU*EF_biofuel_N2O+(1-Share_biofuels_HU)*EF_oil_N2O)+(1-Share_heating_HU)*EF_el_N2O_HU))*Production!$F$40</f>
        <v>4.290688221852778E-2</v>
      </c>
      <c r="X30" s="49">
        <f>((Energy_slaughter_el_HU*EF_el_N2O_HU+Energy_slaughter_heat_HU*EF_gas_N2O)/Bonefree_outof_CW_HU)*Production!$F$40</f>
        <v>9.1475550518626495E-3</v>
      </c>
      <c r="Z30" s="54"/>
      <c r="AA30" s="54"/>
    </row>
    <row r="31" spans="1:27" ht="15" customHeight="1" x14ac:dyDescent="0.35">
      <c r="A31" s="84"/>
      <c r="B31" s="84" t="s">
        <v>143</v>
      </c>
      <c r="C31" s="85" t="s">
        <v>143</v>
      </c>
      <c r="D31" s="86" t="s">
        <v>82</v>
      </c>
      <c r="E31" s="86" t="s">
        <v>47</v>
      </c>
      <c r="F31" s="87" t="s">
        <v>133</v>
      </c>
      <c r="G31" s="88">
        <f>SUM(H31:X31)</f>
        <v>8045.4487149209044</v>
      </c>
      <c r="H31" s="89">
        <f>SUMPRODUCT(H27:H30,'Parameters, general'!$B$10:$B$13)</f>
        <v>520.94147193097501</v>
      </c>
      <c r="I31" s="89">
        <f>SUMPRODUCT(I27:I30,'Parameters, general'!$B$10:$B$13)</f>
        <v>285.63136313550956</v>
      </c>
      <c r="J31" s="89">
        <f>SUMPRODUCT(J27:J30,'Parameters, general'!$B$10:$B$13)</f>
        <v>1372.6780148815394</v>
      </c>
      <c r="K31" s="89">
        <f>SUMPRODUCT(K27:K30,'Parameters, general'!$B$10:$B$13)</f>
        <v>137.26780148815394</v>
      </c>
      <c r="L31" s="89">
        <f>SUMPRODUCT(L27:L30,'Parameters, general'!$B$10:$B$13)</f>
        <v>347.38102560916309</v>
      </c>
      <c r="M31" s="89">
        <f>SUMPRODUCT(M27:M30,'Parameters, general'!$B$10:$B$13)</f>
        <v>0</v>
      </c>
      <c r="N31" s="89">
        <f>SUMPRODUCT(N27:N30,'Parameters, general'!$B$10:$B$13)</f>
        <v>9.1251620508982043</v>
      </c>
      <c r="O31" s="89">
        <f>SUMPRODUCT(O27:O30,'Parameters, general'!$B$10:$B$13)</f>
        <v>408.22998779149731</v>
      </c>
      <c r="P31" s="89">
        <f>SUMPRODUCT(P27:P30,'Parameters, general'!$B$10:$B$13)</f>
        <v>419.54819634287952</v>
      </c>
      <c r="Q31" s="89">
        <f>SUMPRODUCT(Q27:Q30,'Parameters, general'!$B$10:$B$13)</f>
        <v>417.80183676976708</v>
      </c>
      <c r="R31" s="89">
        <f>SUMPRODUCT(R27:R30,'Parameters, general'!$B$10:$B$13)</f>
        <v>290.94654309284732</v>
      </c>
      <c r="S31" s="89">
        <f>SUMPRODUCT(S27:S30,'Parameters, general'!$B$10:$B$13)</f>
        <v>423.15114465505667</v>
      </c>
      <c r="T31" s="89">
        <f>SUMPRODUCT(T27:T30,'Parameters, general'!$B$10:$B$13)</f>
        <v>2394.1647632503718</v>
      </c>
      <c r="U31" s="89"/>
      <c r="V31" s="89"/>
      <c r="W31" s="89">
        <f>SUMPRODUCT(W27:W30,'Parameters, general'!$B$10:$B$13)</f>
        <v>715.48101841216953</v>
      </c>
      <c r="X31" s="89">
        <f>SUMPRODUCT(X27:X30,'Parameters, general'!$B$10:$B$13)</f>
        <v>303.10038551007477</v>
      </c>
      <c r="Z31" s="90">
        <f>SUM(H31:R31)</f>
        <v>4209.5514030932318</v>
      </c>
      <c r="AA31" s="91">
        <f>'CO2 per kg feed'!F65+'CH4 per kg feed'!F65*CF_GWP_CH4_fossil+'N2O per kg feed'!F65*CF_GWP_N2O</f>
        <v>0.28837251615247866</v>
      </c>
    </row>
    <row r="32" spans="1:27" ht="15" customHeight="1" x14ac:dyDescent="0.35">
      <c r="A32" s="73"/>
      <c r="B32" s="73" t="s">
        <v>143</v>
      </c>
      <c r="C32" s="74" t="s">
        <v>143</v>
      </c>
      <c r="D32" s="75" t="s">
        <v>134</v>
      </c>
      <c r="E32" s="75" t="s">
        <v>49</v>
      </c>
      <c r="F32" s="76" t="s">
        <v>129</v>
      </c>
      <c r="G32" s="77">
        <f>SUM(H32:X32)</f>
        <v>3132.8686250897454</v>
      </c>
      <c r="H32" s="77">
        <f>('CO2 per kg feed'!G77*FCR_bonefree_incl_parents_IE-Excreted_N_after_losses_IE*Manure_repl_factor_IE*EF_min_fert_CO2_IE)*Production!$G$40</f>
        <v>295.36266667809502</v>
      </c>
      <c r="I32" s="77">
        <f>('CO2 per kg feed'!H77*FCR_bonefree_incl_parents_IE)*Production!$G$40</f>
        <v>232.59768964468688</v>
      </c>
      <c r="J32" s="77">
        <f>('CO2 per kg feed'!I77*FCR_bonefree_incl_parents_IE)*Production!$G$40</f>
        <v>0</v>
      </c>
      <c r="K32" s="77"/>
      <c r="L32" s="77">
        <f>('CO2 per kg feed'!K77*FCR_bonefree_incl_parents_IE)*Production!$G$40</f>
        <v>254.50208219659967</v>
      </c>
      <c r="M32" s="77"/>
      <c r="N32" s="77">
        <f>('CO2 per kg feed'!M77*FCR_bonefree_incl_parents_IE)*Production!$G$40</f>
        <v>3.8669360059141034</v>
      </c>
      <c r="O32" s="77">
        <f>('CO2 per kg feed'!N77*FCR_bonefree_incl_parents_IE)*Production!$G$40</f>
        <v>355.45695301345501</v>
      </c>
      <c r="P32" s="77">
        <f>('CO2 per kg feed'!O77*FCR_bonefree_incl_parents_IE)*Production!$G$40</f>
        <v>433.07399951833895</v>
      </c>
      <c r="Q32" s="77">
        <f>('CO2 per kg feed'!P77*FCR_bonefree_incl_parents_IE)*Production!$G$40</f>
        <v>325.66810581214366</v>
      </c>
      <c r="R32" s="77">
        <f>('CO2 per kg feed'!Q77*FCR_bonefree_incl_parents_IE)*Production!$G$40</f>
        <v>384.96691502087617</v>
      </c>
      <c r="S32" s="78"/>
      <c r="T32" s="79"/>
      <c r="U32" s="80"/>
      <c r="V32" s="80"/>
      <c r="W32" s="78">
        <f>(Energy_stables_IE/Bonefree_outof_CW_IE*(Share_heating_IE*(Share_biofuels_IE*EF_biofuels_CO2+(1-Share_biofuels_IE)*EF_oil_CO2)+(1-Share_heating_IE)*EF_el_CO2_IE))*Production!$G$40</f>
        <v>590.77550959388702</v>
      </c>
      <c r="X32" s="81">
        <f>((Energy_slaughter_el_IE*EF_el_CO2_IE+Energy_slaughter_heat_IE*EF_gas_CO2)/Bonefree_outof_CW_IE)*Production!$G$40</f>
        <v>256.59776760574891</v>
      </c>
      <c r="Z32" s="53"/>
      <c r="AA32" s="53"/>
    </row>
    <row r="33" spans="1:27" x14ac:dyDescent="0.35">
      <c r="A33" s="20"/>
      <c r="B33" s="20" t="s">
        <v>143</v>
      </c>
      <c r="C33" s="16" t="s">
        <v>143</v>
      </c>
      <c r="D33" s="18" t="s">
        <v>134</v>
      </c>
      <c r="E33" s="18" t="s">
        <v>49</v>
      </c>
      <c r="F33" s="20" t="s">
        <v>130</v>
      </c>
      <c r="G33" s="53">
        <f>SUM(H33:X33)</f>
        <v>3.6573534469703515</v>
      </c>
      <c r="H33" s="58">
        <f>('CH4 per kg feed'!G77*FCR_bonefree_incl_parents_IE-Excreted_N_after_losses_IE*Manure_repl_factor_IE*EF_min_fert_CH4_IE)*Production!$G$40</f>
        <v>0.15595305287696018</v>
      </c>
      <c r="I33" s="58">
        <f>('CH4 per kg feed'!H77*FCR_bonefree_incl_parents_IE)*Production!$G$40</f>
        <v>0.8183992783794537</v>
      </c>
      <c r="J33" s="58"/>
      <c r="K33" s="58"/>
      <c r="L33" s="58">
        <f>('CH4 per kg feed'!K77*FCR_bonefree_incl_parents_IE)*Production!$G$40</f>
        <v>0.11273584067797224</v>
      </c>
      <c r="M33" s="58"/>
      <c r="N33" s="58">
        <f>('CH4 per kg feed'!M77*FCR_bonefree_incl_parents_IE)*Production!$G$40</f>
        <v>1.1580696706767528E-2</v>
      </c>
      <c r="O33" s="58">
        <f>('CH4 per kg feed'!N77*FCR_bonefree_incl_parents_IE)*Production!$G$40</f>
        <v>0.19536089522803379</v>
      </c>
      <c r="P33" s="58">
        <f>('CH4 per kg feed'!O77*FCR_bonefree_incl_parents_IE)*Production!$G$40</f>
        <v>0</v>
      </c>
      <c r="Q33" s="58">
        <f>('CH4 per kg feed'!P77*FCR_bonefree_incl_parents_IE)*Production!$G$40</f>
        <v>0.7660400251078906</v>
      </c>
      <c r="R33" s="58">
        <f>('CH4 per kg feed'!Q77*FCR_bonefree_incl_parents_IE)*Production!$G$40</f>
        <v>0.34715490837034585</v>
      </c>
      <c r="W33" s="13">
        <f>(Energy_stables_IE/Bonefree_outof_CW_IE*(Share_heating_IE*(Share_biofuels_IE*EF_biofuel_CH4+(1-Share_biofuels_IE)*EF_oil_CH4)+(1-Share_heating_IE)*EF_el_CH4_IE))*Production!$G$40</f>
        <v>0.50375295077738147</v>
      </c>
      <c r="X33" s="49">
        <f>((Energy_slaughter_el_IE*EF_el_CH4_IE+Energy_slaughter_heat_IE*EF_gas_CH4)/Bonefree_outof_CW_IE)*Production!$G$40</f>
        <v>0.74637579884554628</v>
      </c>
      <c r="Z33" s="54"/>
      <c r="AA33" s="54"/>
    </row>
    <row r="34" spans="1:27" x14ac:dyDescent="0.35">
      <c r="A34" s="20"/>
      <c r="B34" s="20" t="s">
        <v>143</v>
      </c>
      <c r="C34" s="16" t="s">
        <v>143</v>
      </c>
      <c r="D34" s="18" t="s">
        <v>134</v>
      </c>
      <c r="E34" s="18" t="s">
        <v>49</v>
      </c>
      <c r="F34" s="20" t="s">
        <v>131</v>
      </c>
      <c r="G34" s="53">
        <f>SUM(H34:T34)+SUM(W34:X34)</f>
        <v>32.076824595315514</v>
      </c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13">
        <f>((Production!G42+Production!G43+Production!G45*4/12)*EF_ent_ferm_IE)*Production!$G$40</f>
        <v>14.913573894523852</v>
      </c>
      <c r="T34" s="51">
        <f>SUM(U34:V34)</f>
        <v>17.163250700791664</v>
      </c>
      <c r="U34" s="59">
        <f>(Manure!Y32)*Production!$G$40</f>
        <v>17.163250700791664</v>
      </c>
      <c r="W34" s="13"/>
      <c r="X34" s="49"/>
      <c r="Z34" s="54"/>
      <c r="AA34" s="54"/>
    </row>
    <row r="35" spans="1:27" ht="15" customHeight="1" x14ac:dyDescent="0.35">
      <c r="A35" s="20"/>
      <c r="B35" s="20" t="s">
        <v>143</v>
      </c>
      <c r="C35" s="16" t="s">
        <v>143</v>
      </c>
      <c r="D35" s="18" t="s">
        <v>134</v>
      </c>
      <c r="E35" s="18" t="s">
        <v>49</v>
      </c>
      <c r="F35" s="82" t="s">
        <v>132</v>
      </c>
      <c r="G35" s="53">
        <f>SUM(H35:T35)+SUM(W35:X35)</f>
        <v>5.9244700878911454</v>
      </c>
      <c r="H35" s="58">
        <f>('N2O per kg feed'!G77*FCR_bonefree_incl_parents_IE-Excreted_N_after_losses_IE*Manure_repl_factor_IE*EF_min_fert_N2O_IE)*Production!$G$40</f>
        <v>0.24328595379784643</v>
      </c>
      <c r="I35" s="54">
        <f>('N2O per kg feed'!H77*FCR_bonefree_incl_parents_IE)*Production!$G$40</f>
        <v>9.4762021707094652E-3</v>
      </c>
      <c r="J35" s="54">
        <f>('N2O per kg feed'!I77*FCR_bonefree_incl_parents_IE-Excreted_N_after_losses_IE*Manure_repl_factor_IE*EF_N2O_diff_IE)*Production!$G$40</f>
        <v>3.3837007719989982</v>
      </c>
      <c r="K35" s="54">
        <f>J35*EF_indirect_N2O_IE</f>
        <v>0.33837007719989987</v>
      </c>
      <c r="L35" s="54">
        <f>('N2O per kg feed'!K77*FCR_bonefree_incl_parents_IE)*Production!$G$40</f>
        <v>6.8385701749349732E-3</v>
      </c>
      <c r="M35" s="54"/>
      <c r="N35" s="54">
        <f>('N2O per kg feed'!M77*FCR_bonefree_incl_parents_IE)*Production!$G$40</f>
        <v>1.654922331726038E-4</v>
      </c>
      <c r="O35" s="54">
        <f>('N2O per kg feed'!N77*FCR_bonefree_incl_parents_IE)*Production!$G$40</f>
        <v>1.2811807686961611E-2</v>
      </c>
      <c r="P35" s="54">
        <f>('N2O per kg feed'!O77*FCR_bonefree_incl_parents_IE)*Production!$G$40</f>
        <v>0</v>
      </c>
      <c r="Q35" s="54">
        <f>('N2O per kg feed'!P77*FCR_bonefree_incl_parents_IE)*Production!$G$40</f>
        <v>3.884704291289906E-2</v>
      </c>
      <c r="R35" s="54">
        <f>('N2O per kg feed'!Q77*FCR_bonefree_incl_parents_IE)*Production!$G$40</f>
        <v>1.4419543657716347E-2</v>
      </c>
      <c r="S35" s="13"/>
      <c r="T35" s="51">
        <f>SUM(U35:V35)</f>
        <v>1.8281165287744541</v>
      </c>
      <c r="U35" s="83">
        <f>(Manure!Y88*44/28)*Production!$G$40</f>
        <v>1.0271185924490356</v>
      </c>
      <c r="V35" s="83">
        <f>(NH3_per_kg_IE*17/14*Manure!V117)*Production!$G$40</f>
        <v>0.80099793632541849</v>
      </c>
      <c r="W35" s="13">
        <f>(Energy_stables_IE/Bonefree_outof_CW_IE*(Share_heating_IE*(Share_biofuels_IE*EF_biofuel_N2O+(1-Share_biofuels_IE)*EF_oil_N2O)+(1-Share_heating_IE)*EF_el_N2O_IE))*Production!$G$40</f>
        <v>3.9623539308610151E-2</v>
      </c>
      <c r="X35" s="49">
        <f>((Energy_slaughter_el_IE*EF_el_N2O_IE+Energy_slaughter_heat_IE*EF_gas_N2O)/Bonefree_outof_CW_IE)*Production!$G$40</f>
        <v>8.8145579749427001E-3</v>
      </c>
      <c r="Z35" s="54"/>
      <c r="AA35" s="54"/>
    </row>
    <row r="36" spans="1:27" ht="15" customHeight="1" x14ac:dyDescent="0.35">
      <c r="A36" s="84"/>
      <c r="B36" s="84" t="s">
        <v>143</v>
      </c>
      <c r="C36" s="85" t="s">
        <v>143</v>
      </c>
      <c r="D36" s="93" t="s">
        <v>134</v>
      </c>
      <c r="E36" s="93" t="s">
        <v>49</v>
      </c>
      <c r="F36" s="87" t="s">
        <v>133</v>
      </c>
      <c r="G36" s="88">
        <f>SUM(H36:X36)</f>
        <v>5725.3123558772631</v>
      </c>
      <c r="H36" s="89">
        <f>SUMPRODUCT(H32:H35,'Parameters, general'!$B$10:$B$13)</f>
        <v>366.42713304064051</v>
      </c>
      <c r="I36" s="89">
        <f>SUMPRODUCT(I32:I35,'Parameters, general'!$B$10:$B$13)</f>
        <v>259.5729913329983</v>
      </c>
      <c r="J36" s="89">
        <f>SUMPRODUCT(J32:J35,'Parameters, general'!$B$10:$B$13)</f>
        <v>923.75031075572656</v>
      </c>
      <c r="K36" s="89">
        <f>SUMPRODUCT(K32:K35,'Parameters, general'!$B$10:$B$13)</f>
        <v>92.375031075572664</v>
      </c>
      <c r="L36" s="89">
        <f>SUMPRODUCT(L32:L35,'Parameters, general'!$B$10:$B$13)</f>
        <v>259.72853990656046</v>
      </c>
      <c r="M36" s="89">
        <f>SUMPRODUCT(M32:M35,'Parameters, general'!$B$10:$B$13)</f>
        <v>0</v>
      </c>
      <c r="N36" s="89">
        <f>SUMPRODUCT(N32:N35,'Parameters, general'!$B$10:$B$13)</f>
        <v>4.2572201474318963</v>
      </c>
      <c r="O36" s="89">
        <f>SUMPRODUCT(O32:O35,'Parameters, general'!$B$10:$B$13)</f>
        <v>364.77633118979094</v>
      </c>
      <c r="P36" s="89">
        <f>SUMPRODUCT(P32:P35,'Parameters, general'!$B$10:$B$13)</f>
        <v>433.07399951833895</v>
      </c>
      <c r="Q36" s="89">
        <f>SUMPRODUCT(Q32:Q35,'Parameters, general'!$B$10:$B$13)</f>
        <v>359.10134127558024</v>
      </c>
      <c r="R36" s="89">
        <f>SUMPRODUCT(R32:R35,'Parameters, general'!$B$10:$B$13)</f>
        <v>399.24866670886905</v>
      </c>
      <c r="S36" s="89">
        <f>SUMPRODUCT(S32:S35,'Parameters, general'!$B$10:$B$13)</f>
        <v>402.66649515214402</v>
      </c>
      <c r="T36" s="89">
        <f>SUMPRODUCT(T32:T35,'Parameters, general'!$B$10:$B$13)</f>
        <v>962.48358127680092</v>
      </c>
      <c r="U36" s="89"/>
      <c r="V36" s="89"/>
      <c r="W36" s="89">
        <f>SUMPRODUCT(W32:W35,'Parameters, general'!$B$10:$B$13)</f>
        <v>616.60457375830356</v>
      </c>
      <c r="X36" s="89">
        <f>SUMPRODUCT(X32:X35,'Parameters, general'!$B$10:$B$13)</f>
        <v>281.24614073850557</v>
      </c>
      <c r="Z36" s="90">
        <f>SUM(H36:R36)</f>
        <v>3462.3115649515098</v>
      </c>
      <c r="AA36" s="91">
        <f>'CO2 per kg feed'!F77+'CH4 per kg feed'!F77*CF_GWP_CH4_fossil+'N2O per kg feed'!F77*CF_GWP_N2O</f>
        <v>0.27474166831842362</v>
      </c>
    </row>
    <row r="37" spans="1:27" ht="15" customHeight="1" x14ac:dyDescent="0.35">
      <c r="A37" s="73"/>
      <c r="B37" s="73" t="s">
        <v>143</v>
      </c>
      <c r="C37" s="74" t="s">
        <v>143</v>
      </c>
      <c r="D37" s="75" t="s">
        <v>50</v>
      </c>
      <c r="E37" s="75" t="s">
        <v>51</v>
      </c>
      <c r="F37" s="76" t="s">
        <v>129</v>
      </c>
      <c r="G37" s="77">
        <f>SUM(H37:X37)</f>
        <v>3368.9616532696091</v>
      </c>
      <c r="H37" s="77">
        <f>('CO2 per kg feed'!G89*FCR_bonefree_incl_parents_IT-Excreted_N_after_losses_IT*Manure_repl_factor_IT*EF_min_fert_CO2_IT)*Production!$H$40</f>
        <v>364.27816707621565</v>
      </c>
      <c r="I37" s="77">
        <f>('CO2 per kg feed'!H89*FCR_bonefree_incl_parents_IT)*Production!$H$40</f>
        <v>277.90918656303472</v>
      </c>
      <c r="J37" s="77">
        <f>('CO2 per kg feed'!I89*FCR_bonefree_incl_parents_IT)*Production!$H$40</f>
        <v>0</v>
      </c>
      <c r="K37" s="77"/>
      <c r="L37" s="77">
        <f>('CO2 per kg feed'!K89*FCR_bonefree_incl_parents_IT)*Production!$H$40</f>
        <v>328.91696313013585</v>
      </c>
      <c r="M37" s="77"/>
      <c r="N37" s="77">
        <f>('CO2 per kg feed'!M89*FCR_bonefree_incl_parents_IT)*Production!$H$40</f>
        <v>17.986127779900418</v>
      </c>
      <c r="O37" s="77">
        <f>('CO2 per kg feed'!N89*FCR_bonefree_incl_parents_IT)*Production!$H$40</f>
        <v>418.61945308116503</v>
      </c>
      <c r="P37" s="77">
        <f>('CO2 per kg feed'!O89*FCR_bonefree_incl_parents_IT)*Production!$H$40</f>
        <v>445.00981171598681</v>
      </c>
      <c r="Q37" s="77">
        <f>('CO2 per kg feed'!P89*FCR_bonefree_incl_parents_IT)*Production!$H$40</f>
        <v>362.74861268097789</v>
      </c>
      <c r="R37" s="77">
        <f>('CO2 per kg feed'!Q89*FCR_bonefree_incl_parents_IT)*Production!$H$40</f>
        <v>378.37857451220322</v>
      </c>
      <c r="S37" s="78"/>
      <c r="T37" s="79"/>
      <c r="U37" s="80"/>
      <c r="V37" s="80"/>
      <c r="W37" s="78">
        <f>(Energy_stables_IT/Bonefree_outof_CW_IT*(Share_heating_IT*(Share_biofuels_IT*EF_biofuels_CO2+(1-Share_biofuels_IT)*EF_oil_CO2)+(1-Share_heating_IT)*EF_el_CO2_IT))*Production!$H$40</f>
        <v>468.25082801209555</v>
      </c>
      <c r="X37" s="81">
        <f>((Energy_slaughter_el_IT*EF_el_CO2_IT+Energy_slaughter_heat_IT*EF_gas_CO2)/Bonefree_outof_CW_IT)*Production!$H$40</f>
        <v>306.86392871789388</v>
      </c>
      <c r="Z37" s="53"/>
      <c r="AA37" s="53"/>
    </row>
    <row r="38" spans="1:27" x14ac:dyDescent="0.35">
      <c r="A38" s="20"/>
      <c r="B38" s="20" t="s">
        <v>143</v>
      </c>
      <c r="C38" s="16" t="s">
        <v>143</v>
      </c>
      <c r="D38" s="18" t="s">
        <v>50</v>
      </c>
      <c r="E38" s="18" t="s">
        <v>51</v>
      </c>
      <c r="F38" s="20" t="s">
        <v>130</v>
      </c>
      <c r="G38" s="53">
        <f>SUM(H38:X38)</f>
        <v>7.3497646079707488</v>
      </c>
      <c r="H38" s="58">
        <f>('CH4 per kg feed'!G89*FCR_bonefree_incl_parents_IT-Excreted_N_after_losses_IT*Manure_repl_factor_IT*EF_min_fert_CH4_IT)*Production!$H$40</f>
        <v>5.5430401626651173E-2</v>
      </c>
      <c r="I38" s="58">
        <f>('CH4 per kg feed'!H89*FCR_bonefree_incl_parents_IT)*Production!$H$40</f>
        <v>0.97782861938845544</v>
      </c>
      <c r="J38" s="58"/>
      <c r="K38" s="58"/>
      <c r="L38" s="58">
        <f>('CH4 per kg feed'!K89*FCR_bonefree_incl_parents_IT)*Production!$H$40</f>
        <v>0.14569912368369958</v>
      </c>
      <c r="M38" s="58"/>
      <c r="N38" s="58">
        <f>('CH4 per kg feed'!M89*FCR_bonefree_incl_parents_IT)*Production!$H$40</f>
        <v>5.3253661247421487E-2</v>
      </c>
      <c r="O38" s="58">
        <f>('CH4 per kg feed'!N89*FCR_bonefree_incl_parents_IT)*Production!$H$40</f>
        <v>0.44871499128020803</v>
      </c>
      <c r="P38" s="58">
        <f>('CH4 per kg feed'!O89*FCR_bonefree_incl_parents_IT)*Production!$H$40</f>
        <v>0</v>
      </c>
      <c r="Q38" s="58">
        <f>('CH4 per kg feed'!P89*FCR_bonefree_incl_parents_IT)*Production!$H$40</f>
        <v>2.7146025410614336</v>
      </c>
      <c r="R38" s="58">
        <f>('CH4 per kg feed'!Q89*FCR_bonefree_incl_parents_IT)*Production!$H$40</f>
        <v>0.32115943220210524</v>
      </c>
      <c r="W38" s="13">
        <f>(Energy_stables_IT/Bonefree_outof_CW_IT*(Share_heating_IT*(Share_biofuels_IT*EF_biofuel_CH4+(1-Share_biofuels_IT)*EF_oil_CH4)+(1-Share_heating_IT)*EF_el_CH4_IT))*Production!$H$40</f>
        <v>1.2710029354637469</v>
      </c>
      <c r="X38" s="49">
        <f>((Energy_slaughter_el_IT*EF_el_CH4_IT+Energy_slaughter_heat_IT*EF_gas_CH4)/Bonefree_outof_CW_IT)*Production!$H$40</f>
        <v>1.3620729020170275</v>
      </c>
      <c r="Z38" s="54"/>
      <c r="AA38" s="54"/>
    </row>
    <row r="39" spans="1:27" x14ac:dyDescent="0.35">
      <c r="A39" s="20"/>
      <c r="B39" s="20" t="s">
        <v>143</v>
      </c>
      <c r="C39" s="16" t="s">
        <v>143</v>
      </c>
      <c r="D39" s="18" t="s">
        <v>50</v>
      </c>
      <c r="E39" s="18" t="s">
        <v>51</v>
      </c>
      <c r="F39" s="20" t="s">
        <v>131</v>
      </c>
      <c r="G39" s="53">
        <f>SUM(H39:T39)+SUM(W39:X39)</f>
        <v>177.04098848076171</v>
      </c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13">
        <f>((Production!H42+Production!H43+Production!H45*4/12)*EF_ent_ferm_IT)*Production!$H$40</f>
        <v>12.829193147397419</v>
      </c>
      <c r="T39" s="51">
        <f>SUM(U39:V39)</f>
        <v>164.21179533336431</v>
      </c>
      <c r="U39" s="59">
        <f>(Manure!AC32)*Production!$H$40</f>
        <v>164.21179533336431</v>
      </c>
      <c r="W39" s="13"/>
      <c r="X39" s="49"/>
      <c r="Z39" s="54"/>
      <c r="AA39" s="54"/>
    </row>
    <row r="40" spans="1:27" ht="15" customHeight="1" x14ac:dyDescent="0.35">
      <c r="A40" s="20"/>
      <c r="B40" s="20" t="s">
        <v>143</v>
      </c>
      <c r="C40" s="16" t="s">
        <v>143</v>
      </c>
      <c r="D40" s="18" t="s">
        <v>50</v>
      </c>
      <c r="E40" s="18" t="s">
        <v>51</v>
      </c>
      <c r="F40" s="82" t="s">
        <v>132</v>
      </c>
      <c r="G40" s="53">
        <f>SUM(H40:T40)+SUM(W40:X40)</f>
        <v>8.5495886065863189</v>
      </c>
      <c r="H40" s="58">
        <f>('N2O per kg feed'!G89*FCR_bonefree_incl_parents_IT-Excreted_N_after_losses_IT*Manure_repl_factor_IT*EF_min_fert_N2O_IT)*Production!$H$40</f>
        <v>7.6346701968385527E-2</v>
      </c>
      <c r="I40" s="54">
        <f>('N2O per kg feed'!H89*FCR_bonefree_incl_parents_IT)*Production!$H$40</f>
        <v>1.1322226119234747E-2</v>
      </c>
      <c r="J40" s="54">
        <f>('N2O per kg feed'!I89*FCR_bonefree_incl_parents_IT-Excreted_N_after_losses_IT*Manure_repl_factor_IT*EF_N2O_diff_IT)*Production!$H$40</f>
        <v>4.4498375744259624</v>
      </c>
      <c r="K40" s="54">
        <f>J40*EF_indirect_N2O_IT</f>
        <v>0.44498375744259627</v>
      </c>
      <c r="L40" s="54">
        <f>('N2O per kg feed'!K89*FCR_bonefree_incl_parents_IT)*Production!$H$40</f>
        <v>8.838127038797116E-3</v>
      </c>
      <c r="M40" s="54"/>
      <c r="N40" s="54">
        <f>('N2O per kg feed'!M89*FCR_bonefree_incl_parents_IT)*Production!$H$40</f>
        <v>7.7260852757233547E-4</v>
      </c>
      <c r="O40" s="54">
        <f>('N2O per kg feed'!N89*FCR_bonefree_incl_parents_IT)*Production!$H$40</f>
        <v>1.5433871229976037E-2</v>
      </c>
      <c r="P40" s="54">
        <f>('N2O per kg feed'!O89*FCR_bonefree_incl_parents_IT)*Production!$H$40</f>
        <v>0</v>
      </c>
      <c r="Q40" s="54">
        <f>('N2O per kg feed'!P89*FCR_bonefree_incl_parents_IT)*Production!$H$40</f>
        <v>4.3369391975261032E-2</v>
      </c>
      <c r="R40" s="54">
        <f>('N2O per kg feed'!Q89*FCR_bonefree_incl_parents_IT)*Production!$H$40</f>
        <v>1.4834865534659864E-2</v>
      </c>
      <c r="S40" s="13"/>
      <c r="T40" s="51">
        <f>SUM(U40:V40)</f>
        <v>3.4388503162862509</v>
      </c>
      <c r="U40" s="83">
        <f>(Manure!AC88*44/28)*Production!$H$40</f>
        <v>1.9354002809156947</v>
      </c>
      <c r="V40" s="83">
        <f>(NH3_per_kg_IT*17/14*Manure!Z117)*Production!$H$40</f>
        <v>1.5034500353705564</v>
      </c>
      <c r="W40" s="13">
        <f>(Energy_stables_IT/Bonefree_outof_CW_IT*(Share_heating_IT*(Share_biofuels_IT*EF_biofuel_N2O+(1-Share_biofuels_IT)*EF_oil_N2O)+(1-Share_heating_IT)*EF_el_N2O_IT))*Production!$H$40</f>
        <v>3.351623103096861E-2</v>
      </c>
      <c r="X40" s="49">
        <f>((Energy_slaughter_el_IT*EF_el_N2O_IT+Energy_slaughter_heat_IT*EF_gas_N2O)/Bonefree_outof_CW_IT)*Production!$H$40</f>
        <v>1.1482935006655108E-2</v>
      </c>
      <c r="Z40" s="54"/>
      <c r="AA40" s="54"/>
    </row>
    <row r="41" spans="1:27" ht="15" customHeight="1" x14ac:dyDescent="0.35">
      <c r="A41" s="84"/>
      <c r="B41" s="84" t="s">
        <v>143</v>
      </c>
      <c r="C41" s="85" t="s">
        <v>143</v>
      </c>
      <c r="D41" s="86" t="s">
        <v>50</v>
      </c>
      <c r="E41" s="86" t="s">
        <v>51</v>
      </c>
      <c r="F41" s="87" t="s">
        <v>133</v>
      </c>
      <c r="G41" s="88">
        <f>SUM(H41:X41)</f>
        <v>10702.129017165767</v>
      </c>
      <c r="H41" s="89">
        <f>SUMPRODUCT(H37:H40,'Parameters, general'!$B$10:$B$13)</f>
        <v>386.77264268205909</v>
      </c>
      <c r="I41" s="89">
        <f>SUMPRODUCT(I37:I40,'Parameters, general'!$B$10:$B$13)</f>
        <v>310.13944715136176</v>
      </c>
      <c r="J41" s="89">
        <f>SUMPRODUCT(J37:J40,'Parameters, general'!$B$10:$B$13)</f>
        <v>1214.8056578182877</v>
      </c>
      <c r="K41" s="89">
        <f>SUMPRODUCT(K37:K40,'Parameters, general'!$B$10:$B$13)</f>
        <v>121.48056578182879</v>
      </c>
      <c r="L41" s="89">
        <f>SUMPRODUCT(L37:L40,'Parameters, general'!$B$10:$B$13)</f>
        <v>335.67160569750172</v>
      </c>
      <c r="M41" s="89">
        <f>SUMPRODUCT(M37:M40,'Parameters, general'!$B$10:$B$13)</f>
        <v>0</v>
      </c>
      <c r="N41" s="89">
        <f>SUMPRODUCT(N37:N40,'Parameters, general'!$B$10:$B$13)</f>
        <v>19.784009013100828</v>
      </c>
      <c r="O41" s="89">
        <f>SUMPRODUCT(O37:O40,'Parameters, general'!$B$10:$B$13)</f>
        <v>436.20460666709869</v>
      </c>
      <c r="P41" s="89">
        <f>SUMPRODUCT(P37:P40,'Parameters, general'!$B$10:$B$13)</f>
        <v>445.00981171598681</v>
      </c>
      <c r="Q41" s="89">
        <f>SUMPRODUCT(Q37:Q40,'Parameters, general'!$B$10:$B$13)</f>
        <v>455.48361241385487</v>
      </c>
      <c r="R41" s="89">
        <f>SUMPRODUCT(R37:R40,'Parameters, general'!$B$10:$B$13)</f>
        <v>391.9990438827881</v>
      </c>
      <c r="S41" s="89">
        <f>SUMPRODUCT(S37:S40,'Parameters, general'!$B$10:$B$13)</f>
        <v>346.38821497973032</v>
      </c>
      <c r="T41" s="89">
        <f>SUMPRODUCT(T37:T40,'Parameters, general'!$B$10:$B$13)</f>
        <v>5372.5246103469826</v>
      </c>
      <c r="U41" s="89"/>
      <c r="V41" s="89"/>
      <c r="W41" s="89">
        <f>SUMPRODUCT(W37:W40,'Parameters, general'!$B$10:$B$13)</f>
        <v>515.27664656036961</v>
      </c>
      <c r="X41" s="89">
        <f>SUMPRODUCT(X37:X40,'Parameters, general'!$B$10:$B$13)</f>
        <v>350.58854245481814</v>
      </c>
      <c r="Z41" s="90">
        <f>SUM(H41:R41)</f>
        <v>4117.3510028238679</v>
      </c>
      <c r="AA41" s="91">
        <f>'CO2 per kg feed'!F89+'CH4 per kg feed'!F89*CF_GWP_CH4_fossil+'N2O per kg feed'!F89*CF_GWP_N2O</f>
        <v>0.28415517540151686</v>
      </c>
    </row>
    <row r="42" spans="1:27" ht="15" customHeight="1" x14ac:dyDescent="0.35">
      <c r="A42" s="73"/>
      <c r="B42" s="73" t="s">
        <v>143</v>
      </c>
      <c r="C42" s="74" t="s">
        <v>143</v>
      </c>
      <c r="D42" t="s">
        <v>135</v>
      </c>
      <c r="E42" s="18" t="s">
        <v>53</v>
      </c>
      <c r="F42" s="76" t="s">
        <v>129</v>
      </c>
      <c r="G42" s="77">
        <f>SUM(H42:X42)</f>
        <v>3759.7547395891138</v>
      </c>
      <c r="H42" s="77">
        <f>('CO2 per kg feed'!G101*FCR_bonefree_incl_parents_NL-Excreted_N_after_losses_NL*Manure_repl_factor_NL*EF_min_fert_CO2_NL)*Production!$I$40</f>
        <v>451.46629362143915</v>
      </c>
      <c r="I42" s="77">
        <f>('CO2 per kg feed'!H101*FCR_bonefree_incl_parents_NL)*Production!$I$40</f>
        <v>265.18731616189041</v>
      </c>
      <c r="J42" s="77">
        <f>('CO2 per kg feed'!I101*FCR_bonefree_incl_parents_NL)*Production!$I$40</f>
        <v>0</v>
      </c>
      <c r="K42" s="77"/>
      <c r="L42" s="77">
        <f>('CO2 per kg feed'!K101*FCR_bonefree_incl_parents_NL)*Production!$I$40</f>
        <v>279.53571858419417</v>
      </c>
      <c r="M42" s="77"/>
      <c r="N42" s="77">
        <f>('CO2 per kg feed'!M101*FCR_bonefree_incl_parents_NL)*Production!$I$40</f>
        <v>3.1957481834082695</v>
      </c>
      <c r="O42" s="77">
        <f>('CO2 per kg feed'!N101*FCR_bonefree_incl_parents_NL)*Production!$I$40</f>
        <v>434.64071955457786</v>
      </c>
      <c r="P42" s="77">
        <f>('CO2 per kg feed'!O101*FCR_bonefree_incl_parents_NL)*Production!$I$40</f>
        <v>445.95897829862281</v>
      </c>
      <c r="Q42" s="77">
        <f>('CO2 per kg feed'!P101*FCR_bonefree_incl_parents_NL)*Production!$I$40</f>
        <v>389.75083808692369</v>
      </c>
      <c r="R42" s="77">
        <f>('CO2 per kg feed'!Q101*FCR_bonefree_incl_parents_NL)*Production!$I$40</f>
        <v>422.94369563400454</v>
      </c>
      <c r="S42" s="78"/>
      <c r="T42" s="79"/>
      <c r="U42" s="80"/>
      <c r="V42" s="80"/>
      <c r="W42" s="78">
        <f>(Energy_stables_NL/Bonefree_outof_CW_NL*(Share_heating_NL*(Share_biofuels_NL*EF_biofuels_CO2+(1-Share_biofuels_NL)*EF_oil_CO2)+(1-Share_heating_NL)*EF_el_CO2_NL))*Production!$I$40</f>
        <v>733.77383974989903</v>
      </c>
      <c r="X42" s="81">
        <f>((Energy_slaughter_el_NL*EF_el_CO2_NL+Energy_slaughter_heat_NL*EF_gas_CO2)/Bonefree_outof_CW_NL)*Production!$I$40</f>
        <v>333.3015917141542</v>
      </c>
      <c r="Z42" s="53"/>
      <c r="AA42" s="53"/>
    </row>
    <row r="43" spans="1:27" x14ac:dyDescent="0.35">
      <c r="A43" s="20"/>
      <c r="B43" s="20" t="s">
        <v>143</v>
      </c>
      <c r="C43" s="16" t="s">
        <v>143</v>
      </c>
      <c r="D43" t="s">
        <v>135</v>
      </c>
      <c r="E43" s="18" t="s">
        <v>53</v>
      </c>
      <c r="F43" s="20" t="s">
        <v>130</v>
      </c>
      <c r="G43" s="53">
        <f>SUM(H43:X43)</f>
        <v>4.5087491712896277</v>
      </c>
      <c r="H43" s="58">
        <f>('CH4 per kg feed'!G101*FCR_bonefree_incl_parents_NL-Excreted_N_after_losses_NL*Manure_repl_factor_NL*EF_min_fert_CH4_NL)*Production!$I$40</f>
        <v>0.21739752372563478</v>
      </c>
      <c r="I43" s="58">
        <f>('CH4 per kg feed'!H101*FCR_bonefree_incl_parents_NL)*Production!$I$40</f>
        <v>0.9330664827918369</v>
      </c>
      <c r="J43" s="58"/>
      <c r="K43" s="58"/>
      <c r="L43" s="58">
        <f>('CH4 per kg feed'!K101*FCR_bonefree_incl_parents_NL)*Production!$I$40</f>
        <v>0.12382489747084376</v>
      </c>
      <c r="M43" s="58"/>
      <c r="N43" s="58">
        <f>('CH4 per kg feed'!M101*FCR_bonefree_incl_parents_NL)*Production!$I$40</f>
        <v>9.6308740399798868E-3</v>
      </c>
      <c r="O43" s="58">
        <f>('CH4 per kg feed'!N101*FCR_bonefree_incl_parents_NL)*Production!$I$40</f>
        <v>0.31915870490545295</v>
      </c>
      <c r="P43" s="58">
        <f>('CH4 per kg feed'!O101*FCR_bonefree_incl_parents_NL)*Production!$I$40</f>
        <v>0</v>
      </c>
      <c r="Q43" s="58">
        <f>('CH4 per kg feed'!P101*FCR_bonefree_incl_parents_NL)*Production!$I$40</f>
        <v>0.38379374923384424</v>
      </c>
      <c r="R43" s="58">
        <f>('CH4 per kg feed'!Q101*FCR_bonefree_incl_parents_NL)*Production!$I$40</f>
        <v>0.39290185901035413</v>
      </c>
      <c r="W43" s="13">
        <f>(Energy_stables_NL/Bonefree_outof_CW_NL*(Share_heating_NL*(Share_biofuels_NL*EF_biofuel_CH4+(1-Share_biofuels_NL)*EF_oil_CH4)+(1-Share_heating_NL)*EF_el_CH4_NL))*Production!$I$40</f>
        <v>1.0689653931055443</v>
      </c>
      <c r="X43" s="49">
        <f>((Energy_slaughter_el_NL*EF_el_CH4_NL+Energy_slaughter_heat_NL*EF_gas_CH4)/Bonefree_outof_CW_NL)*Production!$I$40</f>
        <v>1.0600096870061368</v>
      </c>
      <c r="Z43" s="54"/>
      <c r="AA43" s="54"/>
    </row>
    <row r="44" spans="1:27" x14ac:dyDescent="0.35">
      <c r="A44" s="20"/>
      <c r="B44" s="20" t="s">
        <v>143</v>
      </c>
      <c r="C44" s="16" t="s">
        <v>143</v>
      </c>
      <c r="D44" t="s">
        <v>135</v>
      </c>
      <c r="E44" s="18" t="s">
        <v>53</v>
      </c>
      <c r="F44" s="20" t="s">
        <v>131</v>
      </c>
      <c r="G44" s="53">
        <f>SUM(H44:T44)+SUM(W44:X44)</f>
        <v>176.24970084409676</v>
      </c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13">
        <f>((Production!I42+Production!I43+Production!I45*4/12)*EF_ent_ferm_NL)*Production!$I$40</f>
        <v>16.158105859087719</v>
      </c>
      <c r="T44" s="51">
        <f>SUM(U44:V44)</f>
        <v>160.09159498500904</v>
      </c>
      <c r="U44" s="59">
        <f>(Manure!AG32)*Production!$I$40</f>
        <v>160.09159498500904</v>
      </c>
      <c r="W44" s="13"/>
      <c r="X44" s="49"/>
      <c r="Z44" s="54"/>
      <c r="AA44" s="54"/>
    </row>
    <row r="45" spans="1:27" ht="15" customHeight="1" x14ac:dyDescent="0.35">
      <c r="A45" s="20"/>
      <c r="B45" s="20" t="s">
        <v>143</v>
      </c>
      <c r="C45" s="16" t="s">
        <v>143</v>
      </c>
      <c r="D45" t="s">
        <v>135</v>
      </c>
      <c r="E45" s="18" t="s">
        <v>53</v>
      </c>
      <c r="F45" s="82" t="s">
        <v>132</v>
      </c>
      <c r="G45" s="53">
        <f>SUM(H45:T45)+SUM(W45:X45)</f>
        <v>7.0991810621312883</v>
      </c>
      <c r="H45" s="58">
        <f>('N2O per kg feed'!G101*FCR_bonefree_incl_parents_NL-Excreted_N_after_losses_NL*Manure_repl_factor_NL*EF_min_fert_N2O_NL)*Production!$I$40</f>
        <v>0.37053726667411468</v>
      </c>
      <c r="I45" s="54">
        <f>('N2O per kg feed'!H101*FCR_bonefree_incl_parents_NL)*Production!$I$40</f>
        <v>1.0803927695484427E-2</v>
      </c>
      <c r="J45" s="54">
        <f>('N2O per kg feed'!I101*FCR_bonefree_incl_parents_NL-Excreted_N_after_losses_NL*Manure_repl_factor_NL*EF_N2O_diff_NL)*Production!$I$40</f>
        <v>4.4052492668073713</v>
      </c>
      <c r="K45" s="54">
        <f>J45*EF_indirect_N2O_NL</f>
        <v>0.44052492668073717</v>
      </c>
      <c r="L45" s="54">
        <f>('N2O per kg feed'!K101*FCR_bonefree_incl_parents_NL)*Production!$I$40</f>
        <v>7.5112337448861493E-3</v>
      </c>
      <c r="M45" s="54"/>
      <c r="N45" s="54">
        <f>('N2O per kg feed'!M101*FCR_bonefree_incl_parents_NL)*Production!$I$40</f>
        <v>1.3648554929861456E-4</v>
      </c>
      <c r="O45" s="54">
        <f>('N2O per kg feed'!N101*FCR_bonefree_incl_parents_NL)*Production!$I$40</f>
        <v>1.5809045430041361E-2</v>
      </c>
      <c r="P45" s="54">
        <f>('N2O per kg feed'!O101*FCR_bonefree_incl_parents_NL)*Production!$I$40</f>
        <v>0</v>
      </c>
      <c r="Q45" s="54">
        <f>('N2O per kg feed'!P101*FCR_bonefree_incl_parents_NL)*Production!$I$40</f>
        <v>2.6709980206521388E-2</v>
      </c>
      <c r="R45" s="54">
        <f>('N2O per kg feed'!Q101*FCR_bonefree_incl_parents_NL)*Production!$I$40</f>
        <v>1.4855356342593128E-2</v>
      </c>
      <c r="S45" s="13"/>
      <c r="T45" s="51">
        <f>SUM(U45:V45)</f>
        <v>1.7470893956565425</v>
      </c>
      <c r="U45" s="83">
        <f>(Manure!AG88*44/28)*Production!$I$40</f>
        <v>0.98757773145346539</v>
      </c>
      <c r="V45" s="83">
        <f>(NH3_per_kg_NL*17/14*Manure!AD117)*Production!$I$40</f>
        <v>0.75951166420307703</v>
      </c>
      <c r="W45" s="13">
        <f>(Energy_stables_NL/Bonefree_outof_CW_NL*(Share_heating_NL*(Share_biofuels_NL*EF_biofuel_N2O+(1-Share_biofuels_NL)*EF_oil_N2O)+(1-Share_heating_NL)*EF_el_N2O_NL))*Production!$I$40</f>
        <v>4.7817606257519962E-2</v>
      </c>
      <c r="X45" s="49">
        <f>((Energy_slaughter_el_NL*EF_el_N2O_NL+Energy_slaughter_heat_NL*EF_gas_N2O)/Bonefree_outof_CW_NL)*Production!$I$40</f>
        <v>1.2136571086176292E-2</v>
      </c>
      <c r="Z45" s="54"/>
      <c r="AA45" s="54"/>
    </row>
    <row r="46" spans="1:27" ht="15" customHeight="1" x14ac:dyDescent="0.35">
      <c r="A46" s="84"/>
      <c r="B46" s="84" t="s">
        <v>143</v>
      </c>
      <c r="C46" s="85" t="s">
        <v>143</v>
      </c>
      <c r="D46" s="95" t="s">
        <v>135</v>
      </c>
      <c r="E46" s="86" t="s">
        <v>53</v>
      </c>
      <c r="F46" s="87" t="s">
        <v>133</v>
      </c>
      <c r="G46" s="88">
        <f>SUM(H46:X46)</f>
        <v>10590.933817645999</v>
      </c>
      <c r="H46" s="89">
        <f>SUMPRODUCT(H42:H45,'Parameters, general'!$B$10:$B$13)</f>
        <v>559.10141363049638</v>
      </c>
      <c r="I46" s="89">
        <f>SUMPRODUCT(I42:I45,'Parameters, general'!$B$10:$B$13)</f>
        <v>295.94216960995442</v>
      </c>
      <c r="J46" s="89">
        <f>SUMPRODUCT(J42:J45,'Parameters, general'!$B$10:$B$13)</f>
        <v>1202.6330498384123</v>
      </c>
      <c r="K46" s="89">
        <f>SUMPRODUCT(K42:K45,'Parameters, general'!$B$10:$B$13)</f>
        <v>120.26330498384125</v>
      </c>
      <c r="L46" s="89">
        <f>SUMPRODUCT(L42:L45,'Parameters, general'!$B$10:$B$13)</f>
        <v>285.27626734117922</v>
      </c>
      <c r="M46" s="89">
        <f>SUMPRODUCT(M42:M45,'Parameters, general'!$B$10:$B$13)</f>
        <v>0</v>
      </c>
      <c r="N46" s="89">
        <f>SUMPRODUCT(N42:N45,'Parameters, general'!$B$10:$B$13)</f>
        <v>3.5200087847581916</v>
      </c>
      <c r="O46" s="89">
        <f>SUMPRODUCT(O42:O45,'Parameters, general'!$B$10:$B$13)</f>
        <v>448.46751836316162</v>
      </c>
      <c r="P46" s="89">
        <f>SUMPRODUCT(P42:P45,'Parameters, general'!$B$10:$B$13)</f>
        <v>445.95897829862281</v>
      </c>
      <c r="Q46" s="89">
        <f>SUMPRODUCT(Q42:Q45,'Parameters, general'!$B$10:$B$13)</f>
        <v>408.47971641047263</v>
      </c>
      <c r="R46" s="89">
        <f>SUMPRODUCT(R42:R45,'Parameters, general'!$B$10:$B$13)</f>
        <v>438.70768331404099</v>
      </c>
      <c r="S46" s="89">
        <f>SUMPRODUCT(S42:S45,'Parameters, general'!$B$10:$B$13)</f>
        <v>436.26885819536841</v>
      </c>
      <c r="T46" s="89">
        <f>SUMPRODUCT(T42:T45,'Parameters, general'!$B$10:$B$13)</f>
        <v>4799.4284696094801</v>
      </c>
      <c r="U46" s="89"/>
      <c r="V46" s="89"/>
      <c r="W46" s="89">
        <f>SUMPRODUCT(W42:W45,'Parameters, general'!$B$10:$B$13)</f>
        <v>778.68321497274724</v>
      </c>
      <c r="X46" s="89">
        <f>SUMPRODUCT(X42:X45,'Parameters, general'!$B$10:$B$13)</f>
        <v>368.2031642934632</v>
      </c>
      <c r="Z46" s="90">
        <f>SUM(H46:R46)</f>
        <v>4208.3501105749401</v>
      </c>
      <c r="AA46" s="91">
        <f>'CO2 per kg feed'!F101+'CH4 per kg feed'!F101*CF_GWP_CH4_fossil+'N2O per kg feed'!F101*CF_GWP_N2O</f>
        <v>0.25609713282068669</v>
      </c>
    </row>
    <row r="47" spans="1:27" ht="15" customHeight="1" x14ac:dyDescent="0.35">
      <c r="A47" s="73"/>
      <c r="B47" s="73" t="s">
        <v>143</v>
      </c>
      <c r="C47" s="74" t="s">
        <v>143</v>
      </c>
      <c r="D47" t="s">
        <v>54</v>
      </c>
      <c r="E47" s="18" t="s">
        <v>55</v>
      </c>
      <c r="F47" s="76" t="s">
        <v>129</v>
      </c>
      <c r="G47" s="77">
        <f>SUM(H47:X47)</f>
        <v>4447.9888850761099</v>
      </c>
      <c r="H47" s="77">
        <f>('CO2 per kg feed'!G113*FCR_bonefree_incl_parents_PL-Excreted_N_after_losses_PL*Manure_repl_factor_PL*EF_min_fert_CO2_PL)*Production!$J$40</f>
        <v>505.82806237293528</v>
      </c>
      <c r="I47" s="77">
        <f>('CO2 per kg feed'!H113*FCR_bonefree_incl_parents_PL)*Production!$J$40</f>
        <v>244.04348164294862</v>
      </c>
      <c r="J47" s="77">
        <f>('CO2 per kg feed'!I113*FCR_bonefree_incl_parents_PL)*Production!$J$40</f>
        <v>0</v>
      </c>
      <c r="K47" s="77"/>
      <c r="L47" s="77">
        <f>('CO2 per kg feed'!K113*FCR_bonefree_incl_parents_PL)*Production!$J$40</f>
        <v>361.5186614766468</v>
      </c>
      <c r="M47" s="77"/>
      <c r="N47" s="77">
        <f>('CO2 per kg feed'!M113*FCR_bonefree_incl_parents_PL)*Production!$J$40</f>
        <v>0.42192296990842115</v>
      </c>
      <c r="O47" s="77">
        <f>('CO2 per kg feed'!N113*FCR_bonefree_incl_parents_PL)*Production!$J$40</f>
        <v>468.62798541522426</v>
      </c>
      <c r="P47" s="77">
        <f>('CO2 per kg feed'!O113*FCR_bonefree_incl_parents_PL)*Production!$J$40</f>
        <v>402.86191373976993</v>
      </c>
      <c r="Q47" s="77">
        <f>('CO2 per kg feed'!P113*FCR_bonefree_incl_parents_PL)*Production!$J$40</f>
        <v>708.87052449537566</v>
      </c>
      <c r="R47" s="77">
        <f>('CO2 per kg feed'!Q113*FCR_bonefree_incl_parents_PL)*Production!$J$40</f>
        <v>217.06179433295324</v>
      </c>
      <c r="S47" s="78"/>
      <c r="T47" s="79"/>
      <c r="U47" s="80"/>
      <c r="V47" s="80"/>
      <c r="W47" s="78">
        <f>(Energy_stables_PL/Bonefree_outof_CW_PL*(Share_heating_PL*(Share_biofuels_PL*EF_biofuels_CO2+(1-Share_biofuels_PL)*EF_oil_CO2)+(1-Share_heating_PL)*EF_el_CO2_PL))*Production!$J$40</f>
        <v>1101.3063006475272</v>
      </c>
      <c r="X47" s="81">
        <f>((Energy_slaughter_el_PL*EF_el_CO2_PL+Energy_slaughter_heat_PL*EF_gas_CO2)/Bonefree_outof_CW_PL)*Production!$J$40</f>
        <v>437.44823798282067</v>
      </c>
      <c r="Z47" s="53"/>
      <c r="AA47" s="53"/>
    </row>
    <row r="48" spans="1:27" x14ac:dyDescent="0.35">
      <c r="A48" s="20"/>
      <c r="B48" s="20" t="s">
        <v>143</v>
      </c>
      <c r="C48" s="16" t="s">
        <v>143</v>
      </c>
      <c r="D48" t="s">
        <v>54</v>
      </c>
      <c r="E48" s="18" t="s">
        <v>55</v>
      </c>
      <c r="F48" s="20" t="s">
        <v>130</v>
      </c>
      <c r="G48" s="53">
        <f>SUM(H48:X48)</f>
        <v>6.8284087257975594</v>
      </c>
      <c r="H48" s="58">
        <f>('CH4 per kg feed'!G113*FCR_bonefree_incl_parents_PL-Excreted_N_after_losses_PL*Manure_repl_factor_PL*EF_min_fert_CH4_PL)*Production!$J$40</f>
        <v>7.6769128042464663E-2</v>
      </c>
      <c r="I48" s="58">
        <f>('CH4 per kg feed'!H113*FCR_bonefree_incl_parents_PL)*Production!$J$40</f>
        <v>0.85867150948444892</v>
      </c>
      <c r="J48" s="58"/>
      <c r="K48" s="58"/>
      <c r="L48" s="58">
        <f>('CH4 per kg feed'!K113*FCR_bonefree_incl_parents_PL)*Production!$J$40</f>
        <v>0.16014057673155468</v>
      </c>
      <c r="M48" s="58"/>
      <c r="N48" s="58">
        <f>('CH4 per kg feed'!M113*FCR_bonefree_incl_parents_PL)*Production!$J$40</f>
        <v>1.3393439739083173E-3</v>
      </c>
      <c r="O48" s="58">
        <f>('CH4 per kg feed'!N113*FCR_bonefree_incl_parents_PL)*Production!$J$40</f>
        <v>0.43673249174943451</v>
      </c>
      <c r="P48" s="58">
        <f>('CH4 per kg feed'!O113*FCR_bonefree_incl_parents_PL)*Production!$J$40</f>
        <v>0</v>
      </c>
      <c r="Q48" s="58">
        <f>('CH4 per kg feed'!P113*FCR_bonefree_incl_parents_PL)*Production!$J$40</f>
        <v>2.1283973564540797</v>
      </c>
      <c r="R48" s="58">
        <f>('CH4 per kg feed'!Q113*FCR_bonefree_incl_parents_PL)*Production!$J$40</f>
        <v>0.18992965689511482</v>
      </c>
      <c r="W48" s="13">
        <f>(Energy_stables_PL/Bonefree_outof_CW_PL*(Share_heating_PL*(Share_biofuels_PL*EF_biofuel_CH4+(1-Share_biofuels_PL)*EF_oil_CH4)+(1-Share_heating_PL)*EF_el_CH4_PL))*Production!$J$40</f>
        <v>1.7779654256572173</v>
      </c>
      <c r="X48" s="49">
        <f>((Energy_slaughter_el_PL*EF_el_CH4_PL+Energy_slaughter_heat_PL*EF_gas_CH4)/Bonefree_outof_CW_PL)*Production!$J$40</f>
        <v>1.1984632368093366</v>
      </c>
      <c r="Z48" s="54"/>
      <c r="AA48" s="54"/>
    </row>
    <row r="49" spans="1:27" x14ac:dyDescent="0.35">
      <c r="A49" s="20"/>
      <c r="B49" s="20" t="s">
        <v>143</v>
      </c>
      <c r="C49" s="16" t="s">
        <v>143</v>
      </c>
      <c r="D49" t="s">
        <v>54</v>
      </c>
      <c r="E49" s="18" t="s">
        <v>55</v>
      </c>
      <c r="F49" s="20" t="s">
        <v>131</v>
      </c>
      <c r="G49" s="53">
        <f>SUM(H49:T49)+SUM(W49:X49)</f>
        <v>35.904283950834127</v>
      </c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13">
        <f>((Production!J42+Production!J43+Production!J45*4/12)*EF_ent_ferm_PL)*Production!$J$40</f>
        <v>14.942179824325031</v>
      </c>
      <c r="T49" s="51">
        <f>SUM(U49:V49)</f>
        <v>20.962104126509097</v>
      </c>
      <c r="U49" s="59">
        <f>(Manure!AK32)*Production!$J$40</f>
        <v>20.962104126509097</v>
      </c>
      <c r="W49" s="13"/>
      <c r="X49" s="49"/>
      <c r="Z49" s="54"/>
      <c r="AA49" s="54"/>
    </row>
    <row r="50" spans="1:27" ht="15" customHeight="1" x14ac:dyDescent="0.35">
      <c r="A50" s="20"/>
      <c r="B50" s="20" t="s">
        <v>143</v>
      </c>
      <c r="C50" s="16" t="s">
        <v>143</v>
      </c>
      <c r="D50" t="s">
        <v>54</v>
      </c>
      <c r="E50" s="18" t="s">
        <v>55</v>
      </c>
      <c r="F50" s="82" t="s">
        <v>132</v>
      </c>
      <c r="G50" s="53">
        <f>SUM(H50:T50)+SUM(W50:X50)</f>
        <v>8.8384905508317892</v>
      </c>
      <c r="H50" s="58">
        <f>('N2O per kg feed'!G113*FCR_bonefree_incl_parents_PL-Excreted_N_after_losses_PL*Manure_repl_factor_PL*EF_min_fert_N2O_PL)*Production!$J$40</f>
        <v>0.26848929423308893</v>
      </c>
      <c r="I50" s="54">
        <f>('N2O per kg feed'!H113*FCR_bonefree_incl_parents_PL)*Production!$J$40</f>
        <v>9.9425122150830943E-3</v>
      </c>
      <c r="J50" s="54">
        <f>('N2O per kg feed'!I113*FCR_bonefree_incl_parents_PL-Excreted_N_after_losses_PL*Manure_repl_factor_PL*EF_N2O_diff_PL)*Production!$J$40</f>
        <v>5.4329040937691175</v>
      </c>
      <c r="K50" s="54">
        <f>J50*EF_indirect_N2O_PL</f>
        <v>0.54329040937691175</v>
      </c>
      <c r="L50" s="54">
        <f>('N2O per kg feed'!K113*FCR_bonefree_incl_parents_PL)*Production!$J$40</f>
        <v>9.7141473842513159E-3</v>
      </c>
      <c r="M50" s="54"/>
      <c r="N50" s="54">
        <f>('N2O per kg feed'!M113*FCR_bonefree_incl_parents_PL)*Production!$J$40</f>
        <v>1.7702240626417427E-5</v>
      </c>
      <c r="O50" s="54">
        <f>('N2O per kg feed'!N113*FCR_bonefree_incl_parents_PL)*Production!$J$40</f>
        <v>1.3873091778857835E-2</v>
      </c>
      <c r="P50" s="54">
        <f>('N2O per kg feed'!O113*FCR_bonefree_incl_parents_PL)*Production!$J$40</f>
        <v>0</v>
      </c>
      <c r="Q50" s="54">
        <f>('N2O per kg feed'!P113*FCR_bonefree_incl_parents_PL)*Production!$J$40</f>
        <v>3.0534961229999567E-2</v>
      </c>
      <c r="R50" s="54">
        <f>('N2O per kg feed'!Q113*FCR_bonefree_incl_parents_PL)*Production!$J$40</f>
        <v>7.8599306079384403E-3</v>
      </c>
      <c r="S50" s="13"/>
      <c r="T50" s="51">
        <f>SUM(U50:V50)</f>
        <v>2.4695739874218372</v>
      </c>
      <c r="U50" s="83">
        <f>(Manure!AK88*44/28)*Production!$J$40</f>
        <v>1.4206293374496652</v>
      </c>
      <c r="V50" s="83">
        <f>(NH3_per_kg_PL*17/14*Manure!AH117)*Production!$J$40</f>
        <v>1.048944649972172</v>
      </c>
      <c r="W50" s="13">
        <f>(Energy_stables_PL/Bonefree_outof_CW_PL*(Share_heating_PL*(Share_biofuels_PL*EF_biofuel_N2O+(1-Share_biofuels_PL)*EF_oil_N2O)+(1-Share_heating_PL)*EF_el_N2O_PL))*Production!$J$40</f>
        <v>4.2445114219848548E-2</v>
      </c>
      <c r="X50" s="49">
        <f>((Energy_slaughter_el_PL*EF_el_N2O_PL+Energy_slaughter_heat_PL*EF_gas_N2O)/Bonefree_outof_CW_PL)*Production!$J$40</f>
        <v>9.8453063542292985E-3</v>
      </c>
      <c r="Z50" s="54"/>
      <c r="AA50" s="54"/>
    </row>
    <row r="51" spans="1:27" ht="15" customHeight="1" x14ac:dyDescent="0.35">
      <c r="A51" s="84"/>
      <c r="B51" s="84" t="s">
        <v>143</v>
      </c>
      <c r="C51" s="85" t="s">
        <v>143</v>
      </c>
      <c r="D51" s="95" t="s">
        <v>54</v>
      </c>
      <c r="E51" s="93" t="s">
        <v>55</v>
      </c>
      <c r="F51" s="87" t="s">
        <v>133</v>
      </c>
      <c r="G51" s="88">
        <f>SUM(H51:X51)</f>
        <v>8033.799052154478</v>
      </c>
      <c r="H51" s="89">
        <f>SUMPRODUCT(H47:H50,'Parameters, general'!$B$10:$B$13)</f>
        <v>581.41335971423405</v>
      </c>
      <c r="I51" s="89">
        <f>SUMPRODUCT(I47:I50,'Parameters, general'!$B$10:$B$13)</f>
        <v>272.34619846030284</v>
      </c>
      <c r="J51" s="89">
        <f>SUMPRODUCT(J47:J50,'Parameters, general'!$B$10:$B$13)</f>
        <v>1483.182817598969</v>
      </c>
      <c r="K51" s="89">
        <f>SUMPRODUCT(K47:K50,'Parameters, general'!$B$10:$B$13)</f>
        <v>148.31828175989691</v>
      </c>
      <c r="L51" s="89">
        <f>SUMPRODUCT(L47:L50,'Parameters, general'!$B$10:$B$13)</f>
        <v>368.94281289914773</v>
      </c>
      <c r="M51" s="89">
        <f>SUMPRODUCT(M47:M50,'Parameters, general'!$B$10:$B$13)</f>
        <v>0</v>
      </c>
      <c r="N51" s="89">
        <f>SUMPRODUCT(N47:N50,'Parameters, general'!$B$10:$B$13)</f>
        <v>0.46666813202190094</v>
      </c>
      <c r="O51" s="89">
        <f>SUMPRODUCT(O47:O50,'Parameters, general'!$B$10:$B$13)</f>
        <v>485.4299677249856</v>
      </c>
      <c r="P51" s="89">
        <f>SUMPRODUCT(P47:P50,'Parameters, general'!$B$10:$B$13)</f>
        <v>402.86191373976993</v>
      </c>
      <c r="Q51" s="89">
        <f>SUMPRODUCT(Q47:Q50,'Parameters, general'!$B$10:$B$13)</f>
        <v>780.63281013349706</v>
      </c>
      <c r="R51" s="89">
        <f>SUMPRODUCT(R47:R50,'Parameters, general'!$B$10:$B$13)</f>
        <v>224.86745916439486</v>
      </c>
      <c r="S51" s="89">
        <f>SUMPRODUCT(S47:S50,'Parameters, general'!$B$10:$B$13)</f>
        <v>403.43885525677581</v>
      </c>
      <c r="T51" s="89">
        <f>SUMPRODUCT(T47:T50,'Parameters, general'!$B$10:$B$13)</f>
        <v>1240.1705099819071</v>
      </c>
      <c r="U51" s="89"/>
      <c r="V51" s="89"/>
      <c r="W51" s="89">
        <f>SUMPRODUCT(W47:W50,'Parameters, general'!$B$10:$B$13)</f>
        <v>1165.8771865141309</v>
      </c>
      <c r="X51" s="89">
        <f>SUMPRODUCT(X47:X50,'Parameters, general'!$B$10:$B$13)</f>
        <v>475.85021107444351</v>
      </c>
      <c r="Z51" s="90">
        <f>SUM(H51:R51)</f>
        <v>4748.4622893272199</v>
      </c>
      <c r="AA51" s="91">
        <f>'CO2 per kg feed'!F113+'CH4 per kg feed'!F113*CF_GWP_CH4_fossil+'N2O per kg feed'!F113*CF_GWP_N2O</f>
        <v>0.3593675996962219</v>
      </c>
    </row>
    <row r="52" spans="1:27" ht="15" customHeight="1" x14ac:dyDescent="0.35">
      <c r="A52" s="73"/>
      <c r="B52" s="73" t="s">
        <v>143</v>
      </c>
      <c r="C52" s="74" t="s">
        <v>143</v>
      </c>
      <c r="D52" t="s">
        <v>56</v>
      </c>
      <c r="E52" s="75" t="s">
        <v>57</v>
      </c>
      <c r="F52" s="76" t="s">
        <v>129</v>
      </c>
      <c r="G52" s="77">
        <f>SUM(H52:X52)</f>
        <v>3338.9686952652846</v>
      </c>
      <c r="H52" s="77">
        <f>('CO2 per kg feed'!G125*FCR_bonefree_incl_parents_ES-Excreted_N_after_losses_ES*Manure_repl_factor_ES*EF_min_fert_CO2_ES)*Production!$K$40</f>
        <v>624.06477053789342</v>
      </c>
      <c r="I52" s="77">
        <f>('CO2 per kg feed'!H125*FCR_bonefree_incl_parents_ES)*Production!$K$40</f>
        <v>241.53793538784694</v>
      </c>
      <c r="J52" s="77">
        <f>('CO2 per kg feed'!I125*FCR_bonefree_incl_parents_ES)*Production!$K$40</f>
        <v>0</v>
      </c>
      <c r="K52" s="77"/>
      <c r="L52" s="77">
        <f>('CO2 per kg feed'!K125*FCR_bonefree_incl_parents_ES)*Production!$K$40</f>
        <v>415.83598179505503</v>
      </c>
      <c r="M52" s="77"/>
      <c r="N52" s="77">
        <f>('CO2 per kg feed'!M125*FCR_bonefree_incl_parents_ES)*Production!$K$40</f>
        <v>75.563480447151477</v>
      </c>
      <c r="O52" s="77">
        <f>('CO2 per kg feed'!N125*FCR_bonefree_incl_parents_ES)*Production!$K$40</f>
        <v>346.80988943977235</v>
      </c>
      <c r="P52" s="77">
        <f>('CO2 per kg feed'!O125*FCR_bonefree_incl_parents_ES)*Production!$K$40</f>
        <v>428.67644546218645</v>
      </c>
      <c r="Q52" s="77">
        <f>('CO2 per kg feed'!P125*FCR_bonefree_incl_parents_ES)*Production!$K$40</f>
        <v>221.40203080462641</v>
      </c>
      <c r="R52" s="77">
        <f>('CO2 per kg feed'!Q125*FCR_bonefree_incl_parents_ES)*Production!$K$40</f>
        <v>354.03253121836167</v>
      </c>
      <c r="S52" s="78"/>
      <c r="T52" s="79"/>
      <c r="U52" s="80"/>
      <c r="V52" s="80"/>
      <c r="W52" s="78">
        <f>(Energy_stables_ES/Bonefree_outof_CW_ES*(Share_heating_ES*(Share_biofuels_ES*EF_biofuels_CO2+(1-Share_biofuels_ES)*EF_oil_CO2)+(1-Share_heating_ES)*EF_el_CO2_ES))*Production!$K$40</f>
        <v>442.33131667062753</v>
      </c>
      <c r="X52" s="81">
        <f>((Energy_slaughter_el_ES*EF_el_CO2_ES+Energy_slaughter_heat_ES*EF_gas_CO2)/Bonefree_outof_CW_ES)*Production!$K$40</f>
        <v>188.71431350176303</v>
      </c>
      <c r="Z52" s="53"/>
      <c r="AA52" s="53"/>
    </row>
    <row r="53" spans="1:27" x14ac:dyDescent="0.35">
      <c r="A53" s="20"/>
      <c r="B53" s="20" t="s">
        <v>143</v>
      </c>
      <c r="C53" s="16" t="s">
        <v>143</v>
      </c>
      <c r="D53" t="s">
        <v>56</v>
      </c>
      <c r="E53" s="18" t="s">
        <v>57</v>
      </c>
      <c r="F53" s="20" t="s">
        <v>130</v>
      </c>
      <c r="G53" s="53">
        <f>SUM(H53:X53)</f>
        <v>3.7843081092247264</v>
      </c>
      <c r="H53" s="58">
        <f>('CH4 per kg feed'!G125*FCR_bonefree_incl_parents_ES-Excreted_N_after_losses_ES*Manure_repl_factor_ES*EF_min_fert_CH4_ES)*Production!$K$40</f>
        <v>5.1649011815794121E-2</v>
      </c>
      <c r="I53" s="58">
        <f>('CH4 per kg feed'!H125*FCR_bonefree_incl_parents_ES)*Production!$K$40</f>
        <v>0.84985569858686871</v>
      </c>
      <c r="J53" s="58"/>
      <c r="K53" s="58"/>
      <c r="L53" s="58">
        <f>('CH4 per kg feed'!K125*FCR_bonefree_incl_parents_ES)*Production!$K$40</f>
        <v>0.18420131806859455</v>
      </c>
      <c r="M53" s="58"/>
      <c r="N53" s="58">
        <f>('CH4 per kg feed'!M125*FCR_bonefree_incl_parents_ES)*Production!$K$40</f>
        <v>0.22335115808541781</v>
      </c>
      <c r="O53" s="58">
        <f>('CH4 per kg feed'!N125*FCR_bonefree_incl_parents_ES)*Production!$K$40</f>
        <v>0.26195846404443757</v>
      </c>
      <c r="P53" s="58">
        <f>('CH4 per kg feed'!O125*FCR_bonefree_incl_parents_ES)*Production!$K$40</f>
        <v>0</v>
      </c>
      <c r="Q53" s="58">
        <f>('CH4 per kg feed'!P125*FCR_bonefree_incl_parents_ES)*Production!$K$40</f>
        <v>0.37206292133790214</v>
      </c>
      <c r="R53" s="58">
        <f>('CH4 per kg feed'!Q125*FCR_bonefree_incl_parents_ES)*Production!$K$40</f>
        <v>0.3026339047860343</v>
      </c>
      <c r="W53" s="13">
        <f>(Energy_stables_ES/Bonefree_outof_CW_ES*(Share_heating_ES*(Share_biofuels_ES*EF_biofuel_CH4+(1-Share_biofuels_ES)*EF_oil_CH4)+(1-Share_heating_ES)*EF_el_CH4_ES))*Production!$K$40</f>
        <v>0.78724464040753062</v>
      </c>
      <c r="X53" s="49">
        <f>((Energy_slaughter_el_ES*EF_el_CH4_ES+Energy_slaughter_heat_ES*EF_gas_CH4)/Bonefree_outof_CW_ES)*Production!$K$40</f>
        <v>0.75135099209214651</v>
      </c>
      <c r="Z53" s="54"/>
      <c r="AA53" s="54"/>
    </row>
    <row r="54" spans="1:27" x14ac:dyDescent="0.35">
      <c r="A54" s="20"/>
      <c r="B54" s="20" t="s">
        <v>143</v>
      </c>
      <c r="C54" s="16" t="s">
        <v>143</v>
      </c>
      <c r="D54" t="s">
        <v>56</v>
      </c>
      <c r="E54" s="18" t="s">
        <v>57</v>
      </c>
      <c r="F54" s="20" t="s">
        <v>131</v>
      </c>
      <c r="G54" s="53">
        <f>SUM(H54:T54)+SUM(W54:X54)</f>
        <v>112.18428306118845</v>
      </c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13">
        <f>((Production!K42+Production!K43+Production!K45*4/12)*EF_ent_ferm_ES)*Production!$K$40</f>
        <v>13.623307933502346</v>
      </c>
      <c r="T54" s="51">
        <f>SUM(U54:V54)</f>
        <v>98.560975127686106</v>
      </c>
      <c r="U54" s="59">
        <f>(Manure!AO32)*Production!$K$40</f>
        <v>98.560975127686106</v>
      </c>
      <c r="W54" s="13"/>
      <c r="X54" s="49"/>
      <c r="Z54" s="54"/>
      <c r="AA54" s="54"/>
    </row>
    <row r="55" spans="1:27" ht="15" customHeight="1" x14ac:dyDescent="0.35">
      <c r="A55" s="20"/>
      <c r="B55" s="20" t="s">
        <v>143</v>
      </c>
      <c r="C55" s="16" t="s">
        <v>143</v>
      </c>
      <c r="D55" t="s">
        <v>56</v>
      </c>
      <c r="E55" s="18" t="s">
        <v>57</v>
      </c>
      <c r="F55" s="82" t="s">
        <v>132</v>
      </c>
      <c r="G55" s="53">
        <f>SUM(H55:T55)+SUM(W55:X55)</f>
        <v>7.2114231783168261</v>
      </c>
      <c r="H55" s="58">
        <f>('N2O per kg feed'!G125*FCR_bonefree_incl_parents_ES-Excreted_N_after_losses_ES*Manure_repl_factor_ES*EF_min_fert_N2O_ES)*Production!$K$40</f>
        <v>0.15637528694351657</v>
      </c>
      <c r="I55" s="54">
        <f>('N2O per kg feed'!H125*FCR_bonefree_incl_parents_ES)*Production!$K$40</f>
        <v>9.8404344046900613E-3</v>
      </c>
      <c r="J55" s="54">
        <f>('N2O per kg feed'!I125*FCR_bonefree_incl_parents_ES-Excreted_N_after_losses_ES*Manure_repl_factor_ES*EF_N2O_diff_ES)*Production!$K$40</f>
        <v>4.7268581004215395</v>
      </c>
      <c r="K55" s="54">
        <f>J55*EF_indirect_N2O_ES</f>
        <v>0.47268581004215399</v>
      </c>
      <c r="L55" s="54">
        <f>('N2O per kg feed'!K125*FCR_bonefree_incl_parents_ES)*Production!$K$40</f>
        <v>1.1173674958665863E-2</v>
      </c>
      <c r="M55" s="54"/>
      <c r="N55" s="54">
        <f>('N2O per kg feed'!M125*FCR_bonefree_incl_parents_ES)*Production!$K$40</f>
        <v>3.2476620966047079E-3</v>
      </c>
      <c r="O55" s="54">
        <f>('N2O per kg feed'!N125*FCR_bonefree_incl_parents_ES)*Production!$K$40</f>
        <v>1.2744361290479596E-2</v>
      </c>
      <c r="P55" s="54">
        <f>('N2O per kg feed'!O125*FCR_bonefree_incl_parents_ES)*Production!$K$40</f>
        <v>0</v>
      </c>
      <c r="Q55" s="54">
        <f>('N2O per kg feed'!P125*FCR_bonefree_incl_parents_ES)*Production!$K$40</f>
        <v>2.0843934618765093E-2</v>
      </c>
      <c r="R55" s="54">
        <f>('N2O per kg feed'!Q125*FCR_bonefree_incl_parents_ES)*Production!$K$40</f>
        <v>1.328842495374739E-2</v>
      </c>
      <c r="T55" s="51">
        <f>SUM(U55:V55)</f>
        <v>1.7428494933281304</v>
      </c>
      <c r="U55" s="83">
        <f>(Manure!AO88*44/28)*Production!$K$40</f>
        <v>1.0026922348061142</v>
      </c>
      <c r="V55" s="83">
        <f>(NH3_per_kg_ES*17/14*Manure!AL117)*Production!$K$40</f>
        <v>0.74015725852201619</v>
      </c>
      <c r="W55" s="13">
        <f>(Energy_stables_ES/Bonefree_outof_CW_ES*(Share_heating_ES*(Share_biofuels_ES*EF_biofuel_N2O+(1-Share_biofuels_ES)*EF_oil_N2O)+(1-Share_heating_ES)*EF_el_N2O_ES))*Production!$K$40</f>
        <v>3.4506881075811707E-2</v>
      </c>
      <c r="X55" s="49">
        <f>((Energy_slaughter_el_ES*EF_el_N2O_ES+Energy_slaughter_heat_ES*EF_gas_N2O)/Bonefree_outof_CW_ES)*Production!$K$40</f>
        <v>7.0091141827222023E-3</v>
      </c>
      <c r="Z55" s="54"/>
      <c r="AA55" s="54"/>
    </row>
    <row r="56" spans="1:27" ht="15" customHeight="1" x14ac:dyDescent="0.35">
      <c r="A56" s="84"/>
      <c r="B56" s="84" t="s">
        <v>143</v>
      </c>
      <c r="C56" s="85" t="s">
        <v>143</v>
      </c>
      <c r="D56" s="95" t="s">
        <v>56</v>
      </c>
      <c r="E56" s="86" t="s">
        <v>57</v>
      </c>
      <c r="F56" s="87" t="s">
        <v>133</v>
      </c>
      <c r="G56" s="88">
        <f>SUM(H56:X56)</f>
        <v>8449.4352472527626</v>
      </c>
      <c r="H56" s="89">
        <f>SUMPRODUCT(H52:H55,'Parameters, general'!$B$10:$B$13)</f>
        <v>668.29436442558415</v>
      </c>
      <c r="I56" s="89">
        <f>SUMPRODUCT(I52:I55,'Parameters, general'!$B$10:$B$13)</f>
        <v>269.55007379821603</v>
      </c>
      <c r="J56" s="89">
        <f>SUMPRODUCT(J52:J55,'Parameters, general'!$B$10:$B$13)</f>
        <v>1290.4322614150803</v>
      </c>
      <c r="K56" s="89">
        <f>SUMPRODUCT(K52:K55,'Parameters, general'!$B$10:$B$13)</f>
        <v>129.04322614150803</v>
      </c>
      <c r="L56" s="89">
        <f>SUMPRODUCT(L52:L55,'Parameters, general'!$B$10:$B$13)</f>
        <v>424.37559433721492</v>
      </c>
      <c r="M56" s="89">
        <f>SUMPRODUCT(M52:M55,'Parameters, general'!$B$10:$B$13)</f>
        <v>0</v>
      </c>
      <c r="N56" s="89">
        <f>SUMPRODUCT(N52:N55,'Parameters, general'!$B$10:$B$13)</f>
        <v>83.105956710470011</v>
      </c>
      <c r="O56" s="89">
        <f>SUMPRODUCT(O52:O55,'Parameters, general'!$B$10:$B$13)</f>
        <v>358.09546230059749</v>
      </c>
      <c r="P56" s="89">
        <f>SUMPRODUCT(P52:P55,'Parameters, general'!$B$10:$B$13)</f>
        <v>428.67644546218645</v>
      </c>
      <c r="Q56" s="89">
        <f>SUMPRODUCT(Q52:Q55,'Parameters, general'!$B$10:$B$13)</f>
        <v>238.17990001141874</v>
      </c>
      <c r="R56" s="89">
        <f>SUMPRODUCT(R52:R55,'Parameters, general'!$B$10:$B$13)</f>
        <v>366.6787615933585</v>
      </c>
      <c r="S56" s="89">
        <f>SUMPRODUCT(S52:S55,'Parameters, general'!$B$10:$B$13)</f>
        <v>367.82931420456333</v>
      </c>
      <c r="T56" s="89">
        <f>SUMPRODUCT(T52:T55,'Parameters, general'!$B$10:$B$13)</f>
        <v>3136.9442401261044</v>
      </c>
      <c r="U56" s="89"/>
      <c r="V56" s="89"/>
      <c r="W56" s="89">
        <f>SUMPRODUCT(W52:W55,'Parameters, general'!$B$10:$B$13)</f>
        <v>475.21158548846853</v>
      </c>
      <c r="X56" s="89">
        <f>SUMPRODUCT(X52:X55,'Parameters, general'!$B$10:$B$13)</f>
        <v>213.01806123799216</v>
      </c>
      <c r="Z56" s="90">
        <f>SUM(H56:R56)</f>
        <v>4256.432046195634</v>
      </c>
      <c r="AA56" s="91">
        <f>'CO2 per kg feed'!F125+'CH4 per kg feed'!F125*CF_GWP_CH4_fossil+'N2O per kg feed'!F125*CF_GWP_N2O</f>
        <v>0.3054184146262372</v>
      </c>
    </row>
    <row r="57" spans="1:27" ht="15" customHeight="1" x14ac:dyDescent="0.35">
      <c r="A57" s="20"/>
      <c r="B57" s="20" t="s">
        <v>143</v>
      </c>
      <c r="C57" s="16" t="s">
        <v>143</v>
      </c>
      <c r="D57" s="18" t="s">
        <v>58</v>
      </c>
      <c r="E57" s="18" t="s">
        <v>59</v>
      </c>
      <c r="F57" s="92" t="s">
        <v>129</v>
      </c>
      <c r="G57" s="77">
        <f>SUM(H57:X57)</f>
        <v>2180.9173160153309</v>
      </c>
      <c r="H57" s="53">
        <f>('CO2 per kg feed'!G137*FCR_bonefree_incl_parents_SE-Excreted_N_after_losses_SE*Manure_repl_factor_SE*EF_min_fert_CO2_SE)*Production!$L$40</f>
        <v>414.47822126311945</v>
      </c>
      <c r="I57" s="53">
        <f>('CO2 per kg feed'!H137*FCR_bonefree_incl_parents_SE)*Production!$L$40</f>
        <v>226.66283237028497</v>
      </c>
      <c r="J57" s="53">
        <f>('CO2 per kg feed'!I137*FCR_bonefree_incl_parents_SE)*Production!$L$40</f>
        <v>0</v>
      </c>
      <c r="K57" s="53"/>
      <c r="L57" s="53">
        <f>('CO2 per kg feed'!K137*FCR_bonefree_incl_parents_SE)*Production!$L$40</f>
        <v>333.60859590948161</v>
      </c>
      <c r="M57" s="53"/>
      <c r="N57" s="53">
        <f>('CO2 per kg feed'!M137*FCR_bonefree_incl_parents_SE)*Production!$L$40</f>
        <v>1.8537959811475717</v>
      </c>
      <c r="O57" s="53">
        <f>('CO2 per kg feed'!N137*FCR_bonefree_incl_parents_SE)*Production!$L$40</f>
        <v>301.238560456953</v>
      </c>
      <c r="P57" s="53">
        <f>('CO2 per kg feed'!O137*FCR_bonefree_incl_parents_SE)*Production!$L$40</f>
        <v>318.28032519276337</v>
      </c>
      <c r="Q57" s="53">
        <f>('CO2 per kg feed'!P137*FCR_bonefree_incl_parents_SE)*Production!$L$40</f>
        <v>113.25984557122281</v>
      </c>
      <c r="R57" s="53">
        <f>('CO2 per kg feed'!Q137*FCR_bonefree_incl_parents_SE)*Production!$L$40</f>
        <v>132.60645012198708</v>
      </c>
      <c r="W57" s="13">
        <f>(Energy_stables_SE*(Share_heating_SE*(Share_biofuels_SE*EF_biofuels_CO2+(1-Share_biofuels_SE)*EF_oil_CO2)+(1-Share_heating_SE)*EF_el_CO2_SE))*Production!$L$40</f>
        <v>181.64210867965326</v>
      </c>
      <c r="X57" s="49">
        <f>((Energy_slaughter_el_SE*EF_el_CO2_SE+Energy_slaughter_heat_SE*EF_gas_CO2)/Bonefree_outof_CW_SE)*Production!$L$40</f>
        <v>157.286580468718</v>
      </c>
    </row>
    <row r="58" spans="1:27" x14ac:dyDescent="0.35">
      <c r="A58" s="20"/>
      <c r="B58" s="20" t="s">
        <v>143</v>
      </c>
      <c r="C58" s="16" t="s">
        <v>143</v>
      </c>
      <c r="D58" s="18" t="s">
        <v>58</v>
      </c>
      <c r="E58" s="18" t="s">
        <v>59</v>
      </c>
      <c r="F58" s="20" t="s">
        <v>130</v>
      </c>
      <c r="G58" s="53">
        <f>SUM(H58:X58)</f>
        <v>2.2067432522015693</v>
      </c>
      <c r="H58" s="58">
        <f>('CH4 per kg feed'!G137*FCR_bonefree_incl_parents_SE-Excreted_N_after_losses_SE*Manure_repl_factor_SE*EF_min_fert_CH4_SE)*Production!$L$40</f>
        <v>7.2716543804836206E-2</v>
      </c>
      <c r="I58" s="58">
        <f>('CH4 per kg feed'!H137*FCR_bonefree_incl_parents_SE)*Production!$L$40</f>
        <v>0.79751737315470628</v>
      </c>
      <c r="J58" s="58"/>
      <c r="K58" s="58"/>
      <c r="L58" s="58">
        <f>('CH4 per kg feed'!K137*FCR_bonefree_incl_parents_SE)*Production!$L$40</f>
        <v>0.14777735880447682</v>
      </c>
      <c r="M58" s="58"/>
      <c r="N58" s="58">
        <f>('CH4 per kg feed'!M137*FCR_bonefree_incl_parents_SE)*Production!$L$40</f>
        <v>5.5391707018928541E-3</v>
      </c>
      <c r="O58" s="58">
        <f>('CH4 per kg feed'!N137*FCR_bonefree_incl_parents_SE)*Production!$L$40</f>
        <v>0.13309858020793211</v>
      </c>
      <c r="P58" s="58">
        <f>('CH4 per kg feed'!O137*FCR_bonefree_incl_parents_SE)*Production!$L$40</f>
        <v>0</v>
      </c>
      <c r="Q58" s="58">
        <f>('CH4 per kg feed'!P137*FCR_bonefree_incl_parents_SE)*Production!$L$40</f>
        <v>0.18303826107153154</v>
      </c>
      <c r="R58" s="58">
        <f>('CH4 per kg feed'!Q137*FCR_bonefree_incl_parents_SE)*Production!$L$40</f>
        <v>0.12224848108720317</v>
      </c>
      <c r="W58" s="13">
        <f>(Energy_stables_SE*(Share_heating_SE*(Share_biofuels_SE*EF_biofuel_CH4+(1-Share_biofuels_SE)*EF_oil_CH4)+(1-Share_heating_SE)*EF_el_CH4_SE))*Production!$L$40</f>
        <v>0.12304917384769701</v>
      </c>
      <c r="X58" s="49">
        <f>((Energy_slaughter_el_SE*EF_el_CH4_SE+Energy_slaughter_heat_SE*EF_gas_CH4)/Bonefree_outof_CW_SE)*Production!$L$40</f>
        <v>0.62175830952129352</v>
      </c>
    </row>
    <row r="59" spans="1:27" x14ac:dyDescent="0.35">
      <c r="A59" s="20"/>
      <c r="B59" s="20" t="s">
        <v>143</v>
      </c>
      <c r="C59" s="16" t="s">
        <v>143</v>
      </c>
      <c r="D59" s="18" t="s">
        <v>58</v>
      </c>
      <c r="E59" s="18" t="s">
        <v>59</v>
      </c>
      <c r="F59" s="20" t="s">
        <v>131</v>
      </c>
      <c r="G59" s="53">
        <f>SUM(H59:T59)+SUM(W59:X59)</f>
        <v>33.478899204129938</v>
      </c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13">
        <f>((Production!L42+Production!L43+Production!L45*4/12)*EF_ent_ferm_SE)*Production!$L$40</f>
        <v>14.154513840760412</v>
      </c>
      <c r="T59" s="50">
        <f>SUM(U59:V59)</f>
        <v>19.324385363369526</v>
      </c>
      <c r="U59" s="96">
        <f>(Manure!AS32)*Production!$L$40</f>
        <v>19.324385363369526</v>
      </c>
      <c r="W59" s="13"/>
      <c r="X59" s="49"/>
      <c r="Z59" s="54"/>
      <c r="AA59" s="54"/>
    </row>
    <row r="60" spans="1:27" ht="15" customHeight="1" x14ac:dyDescent="0.35">
      <c r="A60" s="20"/>
      <c r="B60" s="20" t="s">
        <v>143</v>
      </c>
      <c r="C60" s="16" t="s">
        <v>143</v>
      </c>
      <c r="D60" s="18" t="s">
        <v>58</v>
      </c>
      <c r="E60" s="18" t="s">
        <v>59</v>
      </c>
      <c r="F60" s="82" t="s">
        <v>132</v>
      </c>
      <c r="G60" s="53">
        <f>SUM(H60:T60)+SUM(W60:X60)</f>
        <v>7.3688436832308835</v>
      </c>
      <c r="H60" s="58">
        <f>('N2O per kg feed'!G137*FCR_bonefree_incl_parents_SE-Excreted_N_after_losses_SE*Manure_repl_factor_SE*EF_min_fert_N2O_SE)*Production!$L$40</f>
        <v>0.27753802941820654</v>
      </c>
      <c r="I60" s="54">
        <f>('N2O per kg feed'!H137*FCR_bonefree_incl_parents_SE)*Production!$L$40</f>
        <v>9.2344116891597584E-3</v>
      </c>
      <c r="J60" s="54">
        <f>('N2O per kg feed'!I137*FCR_bonefree_incl_parents_SE-Excreted_N_after_losses_SE*Manure_repl_factor_SE*EF_N2O_diff_SE)*Production!$L$40</f>
        <v>4.6691838510520638</v>
      </c>
      <c r="K60" s="54">
        <f>J60*EF_indirect_N2O_SE</f>
        <v>0.46691838510520639</v>
      </c>
      <c r="L60" s="54">
        <f>('N2O per kg feed'!K137*FCR_bonefree_incl_parents_SE)*Production!$L$40</f>
        <v>8.964193040771104E-3</v>
      </c>
      <c r="M60" s="54"/>
      <c r="N60" s="54">
        <f>('N2O per kg feed'!M137*FCR_bonefree_incl_parents_SE)*Production!$L$40</f>
        <v>7.9395283569209897E-5</v>
      </c>
      <c r="O60" s="54">
        <f>('N2O per kg feed'!N137*FCR_bonefree_incl_parents_SE)*Production!$L$40</f>
        <v>1.1466721333156613E-2</v>
      </c>
      <c r="P60" s="54">
        <f>('N2O per kg feed'!O137*FCR_bonefree_incl_parents_SE)*Production!$L$40</f>
        <v>0</v>
      </c>
      <c r="Q60" s="54">
        <f>('N2O per kg feed'!P137*FCR_bonefree_incl_parents_SE)*Production!$L$40</f>
        <v>1.6279936166079551E-2</v>
      </c>
      <c r="R60" s="54">
        <f>('N2O per kg feed'!Q137*FCR_bonefree_incl_parents_SE)*Production!$L$40</f>
        <v>5.200286508565014E-3</v>
      </c>
      <c r="T60" s="51">
        <f>SUM(U60:V60)</f>
        <v>1.8782710404725182</v>
      </c>
      <c r="U60" s="83">
        <f>(Manure!AS88*44/28)*Production!$L$40</f>
        <v>1.062806387789039</v>
      </c>
      <c r="V60" s="83">
        <f>(NH3_per_kg_SE*17/14*Manure!AP117)*Production!$L$40</f>
        <v>0.81546465268347923</v>
      </c>
      <c r="W60" s="13">
        <f>(Energy_stables_SE*(Share_heating_SE*(Share_biofuels_SE*EF_biofuel_N2O+(1-Share_biofuels_SE)*EF_oil_N2O)+(1-Share_heating_SE)*EF_el_N2O_SE))*Production!$L$40</f>
        <v>1.9069434689437104E-2</v>
      </c>
      <c r="X60" s="49">
        <f>((Energy_slaughter_el_SE*EF_el_N2O_SE+Energy_slaughter_heat_SE*EF_gas_N2O)/Bonefree_outof_CW_SE)*Production!$L$40</f>
        <v>6.637998472151233E-3</v>
      </c>
    </row>
    <row r="61" spans="1:27" ht="15" customHeight="1" x14ac:dyDescent="0.35">
      <c r="A61" s="84"/>
      <c r="B61" s="84" t="s">
        <v>143</v>
      </c>
      <c r="C61" s="85" t="s">
        <v>143</v>
      </c>
      <c r="D61" s="86" t="s">
        <v>58</v>
      </c>
      <c r="E61" s="86" t="s">
        <v>59</v>
      </c>
      <c r="F61" s="87" t="s">
        <v>133</v>
      </c>
      <c r="G61" s="97">
        <f>SUM(H61:X61)</f>
        <v>5162.302868964478</v>
      </c>
      <c r="H61" s="98">
        <f>SUMPRODUCT(H57:H60,'Parameters, general'!$B$10:$B$13)</f>
        <v>492.41305629967394</v>
      </c>
      <c r="I61" s="89">
        <f>SUMPRODUCT(I57:I60,'Parameters, general'!$B$10:$B$13)</f>
        <v>252.94984448143583</v>
      </c>
      <c r="J61" s="89">
        <f>SUMPRODUCT(J57:J60,'Parameters, general'!$B$10:$B$13)</f>
        <v>1274.6871913372133</v>
      </c>
      <c r="K61" s="89">
        <f>SUMPRODUCT(K57:K60,'Parameters, general'!$B$10:$B$13)</f>
        <v>127.46871913372135</v>
      </c>
      <c r="L61" s="89">
        <f>SUMPRODUCT(L57:L60,'Parameters, general'!$B$10:$B$13)</f>
        <v>340.45958590198552</v>
      </c>
      <c r="M61" s="89">
        <f>SUMPRODUCT(M57:M60,'Parameters, general'!$B$10:$B$13)</f>
        <v>0</v>
      </c>
      <c r="N61" s="89">
        <f>SUMPRODUCT(N57:N60,'Parameters, general'!$B$10:$B$13)</f>
        <v>2.0405381804783729</v>
      </c>
      <c r="O61" s="89">
        <f>SUMPRODUCT(O57:O60,'Parameters, general'!$B$10:$B$13)</f>
        <v>308.33531307110115</v>
      </c>
      <c r="P61" s="89">
        <f>SUMPRODUCT(P57:P60,'Parameters, general'!$B$10:$B$13)</f>
        <v>318.28032519276337</v>
      </c>
      <c r="Q61" s="89">
        <f>SUMPRODUCT(Q57:Q60,'Parameters, general'!$B$10:$B$13)</f>
        <v>123.15880832449417</v>
      </c>
      <c r="R61" s="89">
        <f>SUMPRODUCT(R57:R60,'Parameters, general'!$B$10:$B$13)</f>
        <v>137.66913307522398</v>
      </c>
      <c r="S61" s="89">
        <f>SUMPRODUCT(S57:S60,'Parameters, general'!$B$10:$B$13)</f>
        <v>382.17187370053114</v>
      </c>
      <c r="T61" s="89">
        <f>SUMPRODUCT(T57:T60,'Parameters, general'!$B$10:$B$13)</f>
        <v>1034.5263988599747</v>
      </c>
      <c r="U61" s="89"/>
      <c r="V61" s="89"/>
      <c r="W61" s="89">
        <f>SUMPRODUCT(W57:W60,'Parameters, general'!$B$10:$B$13)</f>
        <v>190.51492973053095</v>
      </c>
      <c r="X61" s="89">
        <f>SUMPRODUCT(X57:X60,'Parameters, general'!$B$10:$B$13)</f>
        <v>177.62715167534984</v>
      </c>
      <c r="Z61" s="90">
        <f>SUM(H61:R61)</f>
        <v>3377.4625149980916</v>
      </c>
      <c r="AA61" s="91">
        <f>'CO2 per kg feed'!F137+'CH4 per kg feed'!F137*CF_GWP_CH4_fossil+'N2O per kg feed'!F137*CF_GWP_N2O</f>
        <v>0.22418194796111401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0000"/>
  </sheetPr>
  <dimension ref="A2:AA21"/>
  <sheetViews>
    <sheetView tabSelected="1" zoomScale="77" zoomScaleNormal="100" workbookViewId="0">
      <selection activeCell="C22" sqref="C22"/>
    </sheetView>
  </sheetViews>
  <sheetFormatPr defaultColWidth="8.6328125" defaultRowHeight="14.5" x14ac:dyDescent="0.35"/>
  <cols>
    <col min="1" max="1" width="8.54296875" style="1" customWidth="1"/>
    <col min="2" max="2" width="22.54296875" customWidth="1"/>
    <col min="3" max="3" width="25.453125" customWidth="1"/>
    <col min="4" max="4" width="16.453125" customWidth="1"/>
    <col min="5" max="11" width="10.453125" customWidth="1"/>
    <col min="12" max="13" width="14.54296875" customWidth="1"/>
    <col min="14" max="14" width="14.54296875" style="20" customWidth="1"/>
    <col min="15" max="20" width="14.54296875" customWidth="1"/>
    <col min="21" max="21" width="15.54296875" customWidth="1"/>
  </cols>
  <sheetData>
    <row r="2" spans="1:21" ht="21" customHeight="1" x14ac:dyDescent="0.5">
      <c r="A2" s="2" t="s">
        <v>144</v>
      </c>
      <c r="M2" s="21" t="s">
        <v>1</v>
      </c>
      <c r="T2" t="s">
        <v>145</v>
      </c>
    </row>
    <row r="3" spans="1:21" x14ac:dyDescent="0.35">
      <c r="P3" s="22"/>
      <c r="R3" s="22"/>
      <c r="S3" s="23"/>
      <c r="T3" s="23"/>
      <c r="U3" s="23"/>
    </row>
    <row r="4" spans="1:21" x14ac:dyDescent="0.35">
      <c r="A4" s="24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6"/>
      <c r="O4" s="25"/>
      <c r="P4" s="27"/>
      <c r="Q4" s="25"/>
      <c r="R4" s="27"/>
      <c r="S4" s="28"/>
      <c r="T4" s="28"/>
      <c r="U4" s="28"/>
    </row>
    <row r="5" spans="1:21" x14ac:dyDescent="0.35">
      <c r="A5" s="29" t="s">
        <v>2</v>
      </c>
      <c r="B5" s="30"/>
      <c r="C5" s="30"/>
      <c r="D5" s="31"/>
      <c r="E5" s="31"/>
      <c r="F5" s="32" t="s">
        <v>3</v>
      </c>
      <c r="G5" s="31"/>
      <c r="H5" s="31"/>
      <c r="I5" s="31"/>
      <c r="J5" s="31"/>
      <c r="K5" s="31"/>
      <c r="L5" s="33" t="s">
        <v>4</v>
      </c>
      <c r="M5" s="33" t="s">
        <v>5</v>
      </c>
      <c r="N5" s="33" t="s">
        <v>6</v>
      </c>
      <c r="O5" s="33" t="s">
        <v>7</v>
      </c>
      <c r="P5" s="34" t="s">
        <v>8</v>
      </c>
      <c r="Q5" s="34" t="s">
        <v>9</v>
      </c>
      <c r="R5" s="34" t="s">
        <v>10</v>
      </c>
      <c r="S5" s="34" t="s">
        <v>11</v>
      </c>
      <c r="T5" s="35" t="s">
        <v>146</v>
      </c>
      <c r="U5" s="35" t="s">
        <v>147</v>
      </c>
    </row>
    <row r="6" spans="1:21" s="47" customFormat="1" ht="43.5" customHeight="1" x14ac:dyDescent="0.35">
      <c r="A6" s="36" t="s">
        <v>14</v>
      </c>
      <c r="B6" s="37" t="s">
        <v>15</v>
      </c>
      <c r="C6" s="37" t="s">
        <v>16</v>
      </c>
      <c r="D6" s="38" t="s">
        <v>17</v>
      </c>
      <c r="E6" s="39" t="s">
        <v>18</v>
      </c>
      <c r="F6" s="40" t="s">
        <v>19</v>
      </c>
      <c r="G6" s="41" t="s">
        <v>20</v>
      </c>
      <c r="H6" s="40" t="s">
        <v>21</v>
      </c>
      <c r="I6" s="40" t="s">
        <v>22</v>
      </c>
      <c r="J6" s="40" t="s">
        <v>23</v>
      </c>
      <c r="K6" s="41" t="s">
        <v>24</v>
      </c>
      <c r="L6" s="42" t="s">
        <v>25</v>
      </c>
      <c r="M6" s="42" t="s">
        <v>26</v>
      </c>
      <c r="N6" s="42" t="s">
        <v>27</v>
      </c>
      <c r="O6" s="43" t="s">
        <v>28</v>
      </c>
      <c r="P6" s="44" t="s">
        <v>29</v>
      </c>
      <c r="Q6" s="45" t="s">
        <v>30</v>
      </c>
      <c r="R6" s="45" t="s">
        <v>31</v>
      </c>
      <c r="S6" s="45" t="s">
        <v>32</v>
      </c>
      <c r="T6" s="46" t="s">
        <v>33</v>
      </c>
      <c r="U6" s="46" t="s">
        <v>34</v>
      </c>
    </row>
    <row r="7" spans="1:21" x14ac:dyDescent="0.35">
      <c r="A7" s="48"/>
      <c r="B7" s="20" t="s">
        <v>143</v>
      </c>
      <c r="C7" s="20" t="s">
        <v>143</v>
      </c>
      <c r="D7" t="s">
        <v>38</v>
      </c>
      <c r="E7" t="s">
        <v>39</v>
      </c>
      <c r="F7" s="49">
        <f>'GHG detailed, absolute'!G11</f>
        <v>7521.851178273203</v>
      </c>
      <c r="G7" s="49">
        <f>'GHG detailed, absolute'!G7</f>
        <v>3608.1451316849871</v>
      </c>
      <c r="H7" s="50">
        <f>'GHG detailed, absolute'!G8</f>
        <v>3.9060212302494288</v>
      </c>
      <c r="I7" s="51">
        <f>'GHG detailed, absolute'!G9</f>
        <v>41.904852053885818</v>
      </c>
      <c r="J7" s="51">
        <f>'GHG detailed, absolute'!G10</f>
        <v>9.7651121189445647</v>
      </c>
      <c r="L7" s="52">
        <f>('EFP per kg feed'!F17*FCR_bonefree_incl_parents_DK)*Production!$B$40</f>
        <v>17478.018216974891</v>
      </c>
      <c r="M7" s="53">
        <f>('EFP per kg feed'!G17*FCR_bonefree_incl_parents_DK-Manure_repl_factor_DK*Excreted_N_after_losses_DK)*Production!$B$40</f>
        <v>271.05719361225744</v>
      </c>
      <c r="N7" s="53">
        <f>('EFP per kg feed'!H17*FCR_bonefree_incl_parents_DK)*Production!$B$40</f>
        <v>30.56038168912977</v>
      </c>
      <c r="O7" s="52">
        <f>('EFP per kg feed'!I17*FCR_bonefree_incl_parents_DK+(Production!B5*(Water_drinking_sows_DK+Water_service_sows_DK)*365/1000+Production!B6*(Water_drinking_recfat_DK+Water_service_recfat_DK)*(365-Time_piglet_system_DK)/1000+Production!B7*(Water_drinking_boars_DK+Water_service_boars_DK)*365/1000+No_fattening_pigs_DK*(Water_drinking_recfat_DK+Water_service_recfat_DK)*(Slaughtering_age_DK-Time_piglet_system_DK)/1000+Production!B9*(Water_drinking_piglets_DK+Water_service_piglets_DK)*Time_piglet_system_DK/1000)/Production!B40)*Production!$B$40</f>
        <v>326.29093825961536</v>
      </c>
      <c r="P7" s="54">
        <f>('EFP per kg feed'!J17*FCR_bonefree_incl_parents_DK)*Production!$B$40</f>
        <v>1528.2488712206282</v>
      </c>
      <c r="Q7" s="54">
        <f>('EFP per kg feed'!K17*FCR_bonefree_incl_parents_DK)*Production!$B$40</f>
        <v>2.451507462705041E-7</v>
      </c>
      <c r="R7" s="52">
        <f>('EFP per kg feed'!L17*FCR_bonefree_incl_parents_DK+NH3_per_kg_DK)*Production!$B$40</f>
        <v>79.19727880207185</v>
      </c>
      <c r="S7" s="55"/>
      <c r="T7" s="349">
        <v>3.3282421704821901</v>
      </c>
      <c r="U7" s="56">
        <v>39.868048810149602</v>
      </c>
    </row>
    <row r="8" spans="1:21" x14ac:dyDescent="0.35">
      <c r="A8" s="48"/>
      <c r="B8" s="20" t="s">
        <v>143</v>
      </c>
      <c r="C8" s="20" t="s">
        <v>143</v>
      </c>
      <c r="D8" t="s">
        <v>40</v>
      </c>
      <c r="E8" t="s">
        <v>41</v>
      </c>
      <c r="F8" s="49">
        <f>'GHG detailed, absolute'!G16</f>
        <v>7945.3779721773944</v>
      </c>
      <c r="G8" s="49">
        <f>'GHG detailed, absolute'!G12</f>
        <v>2306.4777433531131</v>
      </c>
      <c r="H8" s="50">
        <f>'GHG detailed, absolute'!G13</f>
        <v>3.0689901181362553</v>
      </c>
      <c r="I8" s="51">
        <f>'GHG detailed, absolute'!G14</f>
        <v>133.16945543837625</v>
      </c>
      <c r="J8" s="51">
        <f>'GHG detailed, absolute'!G15</f>
        <v>7.1497033936544385</v>
      </c>
      <c r="L8" s="52">
        <f>('EFP per kg feed'!F29*FCR_bonefree_incl_parents_FR)*Production!$C$40</f>
        <v>14429.944444150047</v>
      </c>
      <c r="M8" s="53">
        <f>('EFP per kg feed'!G29*FCR_bonefree_incl_parents_FR-Manure_repl_factor_FR*Excreted_N_after_losses_FR)*Production!$C$40</f>
        <v>152.04235182979804</v>
      </c>
      <c r="N8" s="53">
        <f>('EFP per kg feed'!H29*FCR_bonefree_incl_parents_FR)*Production!$C$40</f>
        <v>23.588947845434546</v>
      </c>
      <c r="O8" s="52">
        <f>('EFP per kg feed'!I29*FCR_bonefree_incl_parents_FR+(Production!C5*(Water_drinking_sows_FR+Water_service_sows_FR)*365/1000+Production!C6*(Water_drinking_recfat_FR+Water_service_recfat_FR)*(365-Time_piglet_system_FR)/1000+Production!C7*(Water_drinking_boars_FR+Water_service_boars_FR)*365/1000+No_fattening_pigs_FR*(Water_drinking_recfat_FR+Water_service_recfat_FR)*(Slaughtering_age_FR-Time_piglet_system_FR)/1000+Production!C9*(Water_drinking_piglets_FR+Water_service_piglets_FR)*Time_piglet_system_FR/1000)/Production!C40)*Production!$C$40</f>
        <v>349.08651206459848</v>
      </c>
      <c r="P8" s="54">
        <f>('EFP per kg feed'!J29*FCR_bonefree_incl_parents_FR)*Production!$C$40</f>
        <v>2930.8655798641848</v>
      </c>
      <c r="Q8" s="54">
        <f>('EFP per kg feed'!K29*FCR_bonefree_incl_parents_FR)*Production!$C$40</f>
        <v>2.5069667687304565E-7</v>
      </c>
      <c r="R8" s="52">
        <f>('EFP per kg feed'!L29*FCR_bonefree_incl_parents_FR+NH3_per_kg_FR)*Production!$C$40</f>
        <v>92.590733865472927</v>
      </c>
      <c r="S8" s="55"/>
      <c r="T8" s="349">
        <v>3.236620060539916</v>
      </c>
      <c r="U8" s="56">
        <v>58.303161157400602</v>
      </c>
    </row>
    <row r="9" spans="1:21" x14ac:dyDescent="0.35">
      <c r="A9" s="48"/>
      <c r="B9" s="20" t="s">
        <v>143</v>
      </c>
      <c r="C9" s="20" t="s">
        <v>143</v>
      </c>
      <c r="D9" t="s">
        <v>42</v>
      </c>
      <c r="E9" t="s">
        <v>43</v>
      </c>
      <c r="F9" s="49">
        <f>'GHG detailed, absolute'!G21</f>
        <v>8469.6439340987308</v>
      </c>
      <c r="G9" s="49">
        <f>'GHG detailed, absolute'!G17</f>
        <v>3366.1738287493072</v>
      </c>
      <c r="H9" s="50">
        <f>'GHG detailed, absolute'!G18</f>
        <v>4.47806556557744</v>
      </c>
      <c r="I9" s="51">
        <f>'GHG detailed, absolute'!G19</f>
        <v>102.41589597184301</v>
      </c>
      <c r="J9" s="51">
        <f>'GHG detailed, absolute'!G20</f>
        <v>8.0761705503862871</v>
      </c>
      <c r="L9" s="52">
        <f>('EFP per kg feed'!F41*FCR_bonefree_incl_parents_DE)*Production!$D$40</f>
        <v>14904.614538121614</v>
      </c>
      <c r="M9" s="53">
        <f>('EFP per kg feed'!G41*FCR_bonefree_incl_parents_DE-Manure_repl_factor_DE*Excreted_N_after_losses_DE)*Production!$D$40</f>
        <v>158.16730152144805</v>
      </c>
      <c r="N9" s="53">
        <f>('EFP per kg feed'!H41*FCR_bonefree_incl_parents_DE)*Production!$D$40</f>
        <v>23.640277753185593</v>
      </c>
      <c r="O9" s="52">
        <f>('EFP per kg feed'!I41*FCR_bonefree_incl_parents_DE+(Production!D5*(Water_drinking_sows_DE+Water_service_sows_DE)*365/1000+Production!D6*(Water_drinking_recfat_DE+Water_service_recfat_DE)*(365-Time_piglet_system_DE)/1000+Production!D7*(Water_drinking_boars_DE+Water_service_boars_DE)*365/1000+No_fattening_pigs_DE*(Water_drinking_recfat_DE+Water_service_recfat_DE)*(Slaughtering_age_DE-Time_piglet_system_DE)/1000+Production!D9*(Water_drinking_piglets_DE+Water_service_piglets_DE)*Time_piglet_system_DE/1000)/Production!D40)*Production!$D$40</f>
        <v>260.61304365598346</v>
      </c>
      <c r="P9" s="54">
        <f>('EFP per kg feed'!J41*FCR_bonefree_incl_parents_DE)*Production!$D$40</f>
        <v>2572.9760161209538</v>
      </c>
      <c r="Q9" s="54">
        <f>('EFP per kg feed'!K41*FCR_bonefree_incl_parents_DE)*Production!$D$40</f>
        <v>2.6758604264807626E-7</v>
      </c>
      <c r="R9" s="52">
        <f>('EFP per kg feed'!L41*FCR_bonefree_incl_parents_DE+NH3_per_kg_DE)*Production!$D$40</f>
        <v>116.52916950510853</v>
      </c>
      <c r="S9" s="55"/>
      <c r="T9" s="349">
        <v>2.9863983435753618</v>
      </c>
      <c r="U9" s="56">
        <v>97.681867690129494</v>
      </c>
    </row>
    <row r="10" spans="1:21" x14ac:dyDescent="0.35">
      <c r="A10" s="48"/>
      <c r="B10" s="20" t="s">
        <v>143</v>
      </c>
      <c r="C10" s="20" t="s">
        <v>143</v>
      </c>
      <c r="D10" t="s">
        <v>44</v>
      </c>
      <c r="E10" t="s">
        <v>45</v>
      </c>
      <c r="F10" s="49">
        <f>'GHG detailed, absolute'!G26</f>
        <v>13177.015518348113</v>
      </c>
      <c r="G10" s="49">
        <f>'GHG detailed, absolute'!G22</f>
        <v>3861.2596215723929</v>
      </c>
      <c r="H10" s="50">
        <f>'GHG detailed, absolute'!G23</f>
        <v>7.1990524820061559</v>
      </c>
      <c r="I10" s="51">
        <f>'GHG detailed, absolute'!G24</f>
        <v>260.03882169764171</v>
      </c>
      <c r="J10" s="51">
        <f>'GHG detailed, absolute'!G25</f>
        <v>7.6196921134637821</v>
      </c>
      <c r="L10" s="52">
        <f>('EFP per kg feed'!F42*FCR_bonefree_incl_parents_GR)*Production!$E$40</f>
        <v>36112.319069093697</v>
      </c>
      <c r="M10" s="53">
        <f>('EFP per kg feed'!G42*FCR_bonefree_incl_parents_GR-Manure_repl_factor_GR*Excreted_N_after_losses_GR)*Production!$E$40</f>
        <v>281.81029250055366</v>
      </c>
      <c r="N10" s="53">
        <f>('EFP per kg feed'!H42*FCR_bonefree_incl_parents_GR)*Production!$E$40</f>
        <v>25.27862334836562</v>
      </c>
      <c r="O10" s="52">
        <f>('EFP per kg feed'!I42*FCR_bonefree_incl_parents_GR+(Production!E5*(Water_drinking_sows_GR+Water_service_sows_GR)*365/1000+Production!E6*(Water_drinking_recfat_GR+Water_service_recfat_GR)*(365-Time_piglet_system_GR)/1000+Production!E7*(Water_drinking_boars_GR+Water_service_boars_GR)*365/1000+No_fattening_pigs_GR*(Water_drinking_recfat_GR+Water_service_recfat_GR)*(Slaughtering_age_GR-Time_piglet_system_GR)/1000+Production!E9*(Water_drinking_piglets_GR+Water_service_piglets_GR)*Time_piglet_system_GR/1000)/Production!E40)*Production!$E$40</f>
        <v>237.26376220138718</v>
      </c>
      <c r="P10" s="54">
        <f>('EFP per kg feed'!J42*FCR_bonefree_incl_parents_GR)*Production!$E$40</f>
        <v>3815.6131879128161</v>
      </c>
      <c r="Q10" s="54">
        <f>('EFP per kg feed'!K42*FCR_bonefree_incl_parents_GR)*Production!$E$40</f>
        <v>1.7002123797036023E-6</v>
      </c>
      <c r="R10" s="52">
        <f>('EFP per kg feed'!L53*FCR_bonefree_incl_parents_GR+NH3_per_kg_GR)*Production!$E$40</f>
        <v>131.40048942767848</v>
      </c>
      <c r="S10" s="55"/>
      <c r="T10" s="349">
        <v>3.1913300227556798</v>
      </c>
      <c r="U10" s="56">
        <v>190.592039047469</v>
      </c>
    </row>
    <row r="11" spans="1:21" x14ac:dyDescent="0.35">
      <c r="A11" s="48"/>
      <c r="B11" s="20" t="s">
        <v>143</v>
      </c>
      <c r="C11" s="20" t="s">
        <v>143</v>
      </c>
      <c r="D11" t="s">
        <v>46</v>
      </c>
      <c r="E11" t="s">
        <v>47</v>
      </c>
      <c r="F11" s="49">
        <f>'GHG detailed, absolute'!G31</f>
        <v>8045.4487149209044</v>
      </c>
      <c r="G11" s="49">
        <f>'GHG detailed, absolute'!G27</f>
        <v>3468.9009481556213</v>
      </c>
      <c r="H11" s="50">
        <f>'GHG detailed, absolute'!G28</f>
        <v>5.2170710045645619</v>
      </c>
      <c r="I11" s="51">
        <f>'GHG detailed, absolute'!G29</f>
        <v>82.13198448381921</v>
      </c>
      <c r="J11" s="51">
        <f>'GHG detailed, absolute'!G30</f>
        <v>8.0714852372386048</v>
      </c>
      <c r="L11" s="52">
        <f>('EFP per kg feed'!F65*FCR_bonefree_incl_parents_HU)*Production!$F$40</f>
        <v>19695.394419776956</v>
      </c>
      <c r="M11" s="53">
        <f>('EFP per kg feed'!G65*FCR_bonefree_incl_parents_HU-Manure_repl_factor_HU*Excreted_N_after_losses_HU)*Production!$F$40</f>
        <v>203.7451437300584</v>
      </c>
      <c r="N11" s="53">
        <f>('EFP per kg feed'!H65*FCR_bonefree_incl_parents_HU)*Production!$F$40</f>
        <v>43.114601837935218</v>
      </c>
      <c r="O11" s="52">
        <f>('EFP per kg feed'!I65*FCR_bonefree_incl_parents_HU+(Production!F5*(Water_drinking_sows_HU+Water_service_sows_HU)*365/1000+Production!F6*(Water_drinking_recfat_HU+Water_service_recfat_HU)*(365-Time_piglet_system_HU)/1000+Production!F7*(Water_drinking_boars_HU+Water_service_boars_HU)*365/1000+No_fattening_pigs_HU*(Water_drinking_recfat_HU+Water_service_recfat_HU)*(Slaughtering_age_HU-Time_piglet_system_HU)/1000+Production!F9*(Water_drinking_piglets_HU+Water_service_piglets_HU)*Time_piglet_system_HU/1000)/Production!F40)*Production!$F$40</f>
        <v>352.91182472502078</v>
      </c>
      <c r="P11" s="54">
        <f>('EFP per kg feed'!J65*FCR_bonefree_incl_parents_HU)*Production!$F$40</f>
        <v>2276.1149602693959</v>
      </c>
      <c r="Q11" s="54">
        <f>('EFP per kg feed'!K65*FCR_bonefree_incl_parents_HU)*Production!$F$40</f>
        <v>3.8522033176832166E-7</v>
      </c>
      <c r="R11" s="52">
        <f>('EFP per kg feed'!L65*FCR_bonefree_incl_parents_HU+NH3_per_kg_HU)*Production!$F$40</f>
        <v>91.560025832531522</v>
      </c>
      <c r="S11" s="55"/>
      <c r="T11" s="349">
        <v>3.2478431786499922</v>
      </c>
      <c r="U11" s="56">
        <v>148.54748471252799</v>
      </c>
    </row>
    <row r="12" spans="1:21" x14ac:dyDescent="0.35">
      <c r="A12" s="48"/>
      <c r="B12" s="20" t="s">
        <v>143</v>
      </c>
      <c r="C12" s="20" t="s">
        <v>143</v>
      </c>
      <c r="D12" t="s">
        <v>48</v>
      </c>
      <c r="E12" t="s">
        <v>49</v>
      </c>
      <c r="F12" s="49">
        <f>'GHG detailed, absolute'!G36</f>
        <v>5725.3123558772631</v>
      </c>
      <c r="G12" s="49">
        <f>'GHG detailed, absolute'!G32</f>
        <v>3132.8686250897454</v>
      </c>
      <c r="H12" s="50">
        <f>'GHG detailed, absolute'!G33</f>
        <v>3.6573534469703515</v>
      </c>
      <c r="I12" s="51">
        <f>'GHG detailed, absolute'!G34</f>
        <v>32.076824595315514</v>
      </c>
      <c r="J12" s="51">
        <f>'GHG detailed, absolute'!G35</f>
        <v>5.9244700878911454</v>
      </c>
      <c r="L12" s="52">
        <f>('EFP per kg feed'!F77*FCR_bonefree_incl_parents_IE)*Production!$G$40</f>
        <v>14144.495866872465</v>
      </c>
      <c r="M12" s="53">
        <f>('EFP per kg feed'!G77*FCR_bonefree_incl_parents_IE-Manure_repl_factor_IE*Excreted_N_after_losses_IE)*Production!$G$40</f>
        <v>150.61547964445495</v>
      </c>
      <c r="N12" s="53">
        <f>('EFP per kg feed'!H77*FCR_bonefree_incl_parents_IE)*Production!$G$40</f>
        <v>18.279650604975405</v>
      </c>
      <c r="O12" s="52">
        <f>('EFP per kg feed'!I77*FCR_bonefree_incl_parents_IE+(Production!G5*(Water_drinking_sows_IE+Water_service_sows_IE)*365/1000+Production!G6*(Water_drinking_recfat_IE+Water_service_recfat_IE)*(365-Time_piglet_system_IE)/1000+Production!G7*(Water_drinking_boars_IE+Water_service_boars_IE)*365/1000+No_fattening_pigs_IE*(Water_drinking_recfat_IE+Water_service_recfat_IE)*(Slaughtering_age_IE-Time_piglet_system_IE)/1000+Production!G9*(Water_drinking_piglets_IE+Water_service_piglets_IE)*Time_piglet_system_IE/1000)/Production!G40)*Production!$G$40</f>
        <v>284.72606350755927</v>
      </c>
      <c r="P12" s="54">
        <f>('EFP per kg feed'!J77*FCR_bonefree_incl_parents_IE)*Production!$G$40</f>
        <v>4007.4261451858401</v>
      </c>
      <c r="Q12" s="54">
        <f>('EFP per kg feed'!K77*FCR_bonefree_incl_parents_IE)*Production!$G$40</f>
        <v>2.6440085490382379E-7</v>
      </c>
      <c r="R12" s="52">
        <f>('EFP per kg feed'!L77*FCR_bonefree_incl_parents_IE+NH3_per_kg_IE)*Production!$G$40</f>
        <v>75.28334781312013</v>
      </c>
      <c r="S12" s="55"/>
      <c r="T12" s="349">
        <v>3.103139984630173</v>
      </c>
      <c r="U12" s="56">
        <v>64.668267947919901</v>
      </c>
    </row>
    <row r="13" spans="1:21" x14ac:dyDescent="0.35">
      <c r="A13" s="48"/>
      <c r="B13" s="20" t="s">
        <v>143</v>
      </c>
      <c r="C13" s="20" t="s">
        <v>143</v>
      </c>
      <c r="D13" t="s">
        <v>50</v>
      </c>
      <c r="E13" t="s">
        <v>51</v>
      </c>
      <c r="F13" s="49">
        <f>'GHG detailed, absolute'!G41</f>
        <v>10702.129017165767</v>
      </c>
      <c r="G13" s="49">
        <f>'GHG detailed, absolute'!G37</f>
        <v>3368.9616532696091</v>
      </c>
      <c r="H13" s="50">
        <f>'GHG detailed, absolute'!G38</f>
        <v>7.3497646079707488</v>
      </c>
      <c r="I13" s="51">
        <f>'GHG detailed, absolute'!G39</f>
        <v>177.04098848076171</v>
      </c>
      <c r="J13" s="51">
        <f>'GHG detailed, absolute'!G40</f>
        <v>8.5495886065863189</v>
      </c>
      <c r="L13" s="52">
        <f>('EFP per kg feed'!F89*FCR_bonefree_incl_parents_IT)*Production!$H$40</f>
        <v>18782.350808623651</v>
      </c>
      <c r="M13" s="53">
        <f>('EFP per kg feed'!G89*FCR_bonefree_incl_parents_IT-Manure_repl_factor_IT*Excreted_N_after_losses_IT)*Production!$H$40</f>
        <v>174.89547524326909</v>
      </c>
      <c r="N13" s="53">
        <f>('EFP per kg feed'!H89*FCR_bonefree_incl_parents_IT)*Production!$H$40</f>
        <v>36.312560413710614</v>
      </c>
      <c r="O13" s="52">
        <f>('EFP per kg feed'!I89*FCR_bonefree_incl_parents_IT+(Production!H5*(Water_drinking_sows_IT+Water_service_sows_IT)*365/1000+Production!H6*(Water_drinking_recfat_IT+Water_service_recfat_IT)*(365-Time_piglet_system_IT)/1000+Production!H7*(Water_drinking_boars_IT+Water_service_boars_IT)*365/1000+No_fattening_pigs_IT*(Water_drinking_recfat_IT+Water_service_recfat_IT)*(Slaughtering_age_IT-Time_piglet_system_IT)/1000+Production!H9*(Water_drinking_piglets_IT+Water_service_piglets_IT)*Time_piglet_system_IT/1000)/Production!H40)*Production!$H$40</f>
        <v>434.21716834573391</v>
      </c>
      <c r="P13" s="54">
        <f>('EFP per kg feed'!J89*FCR_bonefree_incl_parents_IT)*Production!$H$40</f>
        <v>2226.6576581405093</v>
      </c>
      <c r="Q13" s="54">
        <f>('EFP per kg feed'!K89*FCR_bonefree_incl_parents_IT)*Production!$H$40</f>
        <v>1.0089773642919958E-6</v>
      </c>
      <c r="R13" s="52">
        <f>('EFP per kg feed'!L89*FCR_bonefree_incl_parents_IT+NH3_per_kg_IT)*Production!$H$40</f>
        <v>149.27568408039841</v>
      </c>
      <c r="S13" s="55"/>
      <c r="T13" s="349">
        <v>2.230006006619889</v>
      </c>
      <c r="U13" s="56">
        <v>240.31017327750601</v>
      </c>
    </row>
    <row r="14" spans="1:21" x14ac:dyDescent="0.35">
      <c r="A14" s="48"/>
      <c r="B14" s="20" t="s">
        <v>143</v>
      </c>
      <c r="C14" s="20" t="s">
        <v>143</v>
      </c>
      <c r="D14" t="s">
        <v>52</v>
      </c>
      <c r="E14" t="s">
        <v>53</v>
      </c>
      <c r="F14" s="49">
        <f>'GHG detailed, absolute'!G46</f>
        <v>10590.933817645999</v>
      </c>
      <c r="G14" s="49">
        <f>'GHG detailed, absolute'!G42</f>
        <v>3759.7547395891138</v>
      </c>
      <c r="H14" s="50">
        <f>'GHG detailed, absolute'!G43</f>
        <v>4.5087491712896277</v>
      </c>
      <c r="I14" s="51">
        <f>'GHG detailed, absolute'!G44</f>
        <v>176.24970084409676</v>
      </c>
      <c r="J14" s="51">
        <f>'GHG detailed, absolute'!G45</f>
        <v>7.0991810621312883</v>
      </c>
      <c r="L14" s="52">
        <f>('EFP per kg feed'!F101*FCR_bonefree_incl_parents_NL)*Production!$I$40</f>
        <v>15888.613082658194</v>
      </c>
      <c r="M14" s="53">
        <f>('EFP per kg feed'!G101*FCR_bonefree_incl_parents_NL-Manure_repl_factor_NL*Excreted_N_after_losses_NL)*Production!$I$40</f>
        <v>192.52972908818356</v>
      </c>
      <c r="N14" s="53">
        <f>('EFP per kg feed'!H101*FCR_bonefree_incl_parents_NL)*Production!$I$40</f>
        <v>28.081094160469931</v>
      </c>
      <c r="O14" s="52">
        <f>('EFP per kg feed'!I101*FCR_bonefree_incl_parents_NL+(Production!I5*(Water_drinking_sows_NL+Water_service_sows_NL)*365/1000+Production!I6*(Water_drinking_recfat_NL+Water_service_recfat_NL)*(365-Time_piglet_system_NL)/1000+Production!I7*(Water_drinking_boars_NL+Water_service_boars_NL)*365/1000+No_fattening_pigs_NL*(Water_drinking_recfat_NL+Water_service_recfat_NL)*(Slaughtering_age_NL-Time_piglet_system_NL)/1000+Production!I9*(Water_drinking_piglets_NL+Water_service_piglets_NL)*Time_piglet_system_NL/1000)/Production!I40)*Production!$I$40</f>
        <v>293.71122985615671</v>
      </c>
      <c r="P14" s="54">
        <f>('EFP per kg feed'!J101*FCR_bonefree_incl_parents_NL)*Production!$I$40</f>
        <v>2112.124295546339</v>
      </c>
      <c r="Q14" s="54">
        <f>('EFP per kg feed'!K101*FCR_bonefree_incl_parents_NL)*Production!$I$40</f>
        <v>3.1336919836965498E-7</v>
      </c>
      <c r="R14" s="52">
        <f>('EFP per kg feed'!L101*FCR_bonefree_incl_parents_NL+NH3_per_kg_NL)*Production!$I$40</f>
        <v>72.310682010779274</v>
      </c>
      <c r="S14" s="55"/>
      <c r="T14" s="349">
        <v>2.826287485740945</v>
      </c>
      <c r="U14" s="56">
        <v>49.292352187372202</v>
      </c>
    </row>
    <row r="15" spans="1:21" x14ac:dyDescent="0.35">
      <c r="A15" s="48"/>
      <c r="B15" s="20" t="s">
        <v>143</v>
      </c>
      <c r="C15" s="20" t="s">
        <v>143</v>
      </c>
      <c r="D15" t="s">
        <v>54</v>
      </c>
      <c r="E15" t="s">
        <v>55</v>
      </c>
      <c r="F15" s="49">
        <f>'GHG detailed, absolute'!G51</f>
        <v>8033.799052154478</v>
      </c>
      <c r="G15" s="49">
        <f>'GHG detailed, absolute'!G47</f>
        <v>4447.9888850761099</v>
      </c>
      <c r="H15" s="50">
        <f>'GHG detailed, absolute'!G48</f>
        <v>6.8284087257975594</v>
      </c>
      <c r="I15" s="51">
        <f>'GHG detailed, absolute'!G49</f>
        <v>35.904283950834127</v>
      </c>
      <c r="J15" s="51">
        <f>'GHG detailed, absolute'!G50</f>
        <v>8.8384905508317892</v>
      </c>
      <c r="L15" s="52">
        <f>('EFP per kg feed'!F113*FCR_bonefree_incl_parents_PL)*Production!$J$40</f>
        <v>19868.607965738309</v>
      </c>
      <c r="M15" s="53">
        <f>('EFP per kg feed'!G113*FCR_bonefree_incl_parents_PL-Manure_repl_factor_PL*Excreted_N_after_losses_PL)*Production!$J$40</f>
        <v>210.67867690319306</v>
      </c>
      <c r="N15" s="53">
        <f>('EFP per kg feed'!H113*FCR_bonefree_incl_parents_PL)*Production!$J$40</f>
        <v>29.461985186163556</v>
      </c>
      <c r="O15" s="52">
        <f>('EFP per kg feed'!I113*FCR_bonefree_incl_parents_PL+(Production!J5*(Water_drinking_sows_PL+Water_service_sows_PL)*365/1000+Production!J6*(Water_drinking_recfat_PL+Water_service_recfat_PL)*(365-Time_piglet_system_PL)/1000+Production!J7*(Water_drinking_boars_PL+Water_service_boars_PL)*365/1000+No_fattening_pigs_PL*(Water_drinking_recfat_PL+Water_service_recfat_PL)*(Slaughtering_age_PL-Time_piglet_system_PL)/1000+Production!J9*(Water_drinking_piglets_PL+Water_service_piglets_PL)*Time_piglet_system_PL/1000)/Production!J40)*Production!$J$40</f>
        <v>242.1669480557718</v>
      </c>
      <c r="P15" s="54">
        <f>('EFP per kg feed'!J113*FCR_bonefree_incl_parents_PL)*Production!$J$40</f>
        <v>1955.5795417590484</v>
      </c>
      <c r="Q15" s="54">
        <f>('EFP per kg feed'!K113*FCR_bonefree_incl_parents_PL)*Production!$J$40</f>
        <v>2.0795242025588516E-7</v>
      </c>
      <c r="R15" s="52">
        <f>('EFP per kg feed'!L113*FCR_bonefree_incl_parents_PL+NH3_per_kg_PL)*Production!$J$40</f>
        <v>100.6412005577609</v>
      </c>
      <c r="S15" s="55"/>
      <c r="T15" s="349">
        <v>3.1913300227556798</v>
      </c>
      <c r="U15" s="56">
        <v>308.78335495111702</v>
      </c>
    </row>
    <row r="16" spans="1:21" x14ac:dyDescent="0.35">
      <c r="A16" s="48"/>
      <c r="B16" s="20" t="s">
        <v>143</v>
      </c>
      <c r="C16" s="20" t="s">
        <v>143</v>
      </c>
      <c r="D16" t="s">
        <v>56</v>
      </c>
      <c r="E16" t="s">
        <v>57</v>
      </c>
      <c r="F16" s="49">
        <f>'GHG detailed, absolute'!G56</f>
        <v>8449.4352472527626</v>
      </c>
      <c r="G16" s="49">
        <f>'GHG detailed, absolute'!G52</f>
        <v>3338.9686952652846</v>
      </c>
      <c r="H16" s="50">
        <f>'GHG detailed, absolute'!G53</f>
        <v>3.7843081092247264</v>
      </c>
      <c r="I16" s="51">
        <f>'GHG detailed, absolute'!G54</f>
        <v>112.18428306118845</v>
      </c>
      <c r="J16" s="51">
        <f>'GHG detailed, absolute'!G55</f>
        <v>7.2114231783168261</v>
      </c>
      <c r="L16" s="52">
        <f>('EFP per kg feed'!F125*FCR_bonefree_incl_parents_ES)*Production!$K$40</f>
        <v>22676.611934102795</v>
      </c>
      <c r="M16" s="53">
        <f>('EFP per kg feed'!G125*FCR_bonefree_incl_parents_ES-Manure_repl_factor_ES*Excreted_N_after_losses_ES)*Production!$K$40</f>
        <v>244.91330559261661</v>
      </c>
      <c r="N16" s="53">
        <f>('EFP per kg feed'!H125*FCR_bonefree_incl_parents_ES)*Production!$K$40</f>
        <v>30.58661410833524</v>
      </c>
      <c r="O16" s="52">
        <f>('EFP per kg feed'!I125*FCR_bonefree_incl_parents_ES+(Production!K5*(Water_drinking_sows_ES+Water_service_sows_ES)*365/1000+Production!K6*(Water_drinking_recfat_ES+Water_service_recfat_ES)*(365-Time_piglet_system_ES)/1000+Production!K7*(Water_drinking_boars_ES+Water_service_boars_ES)*365/1000+No_fattening_pigs_ES*(Water_drinking_recfat_ES+Water_service_recfat_ES)*(Slaughtering_age_ES-Time_piglet_system_ES)/1000+Production!K9*(Water_drinking_piglets_ES+Water_service_piglets_ES)*Time_piglet_system_ES/1000)/Production!K40)*Production!$K$40</f>
        <v>1174.9984867565784</v>
      </c>
      <c r="P16" s="54">
        <f>('EFP per kg feed'!J125*FCR_bonefree_incl_parents_ES)*Production!$K$40</f>
        <v>1660.6088872577131</v>
      </c>
      <c r="Q16" s="54">
        <f>('EFP per kg feed'!K125*FCR_bonefree_incl_parents_ES)*Production!$K$40</f>
        <v>1.4943339198079391E-6</v>
      </c>
      <c r="R16" s="52">
        <f>('EFP per kg feed'!L125*FCR_bonefree_incl_parents_ES+NH3_per_kg_ES)*Production!$K$40</f>
        <v>84.353973913881745</v>
      </c>
      <c r="S16" s="55"/>
      <c r="T16" s="349">
        <v>3.51340660060688</v>
      </c>
      <c r="U16" s="56">
        <v>159.70851605524101</v>
      </c>
    </row>
    <row r="17" spans="1:27" x14ac:dyDescent="0.35">
      <c r="A17" s="48"/>
      <c r="B17" s="20" t="s">
        <v>143</v>
      </c>
      <c r="C17" s="20" t="s">
        <v>143</v>
      </c>
      <c r="D17" s="18" t="s">
        <v>58</v>
      </c>
      <c r="E17" s="18" t="s">
        <v>59</v>
      </c>
      <c r="F17" s="55">
        <f>'GHG detailed, absolute'!G61</f>
        <v>5162.302868964478</v>
      </c>
      <c r="G17" s="49">
        <f>'GHG detailed, absolute'!G57</f>
        <v>2180.9173160153309</v>
      </c>
      <c r="H17" s="50">
        <f>'GHG detailed, absolute'!G58</f>
        <v>2.2067432522015693</v>
      </c>
      <c r="I17" s="51">
        <f>'GHG detailed, absolute'!G59</f>
        <v>33.478899204129938</v>
      </c>
      <c r="J17" s="51">
        <f>'GHG detailed, absolute'!G60</f>
        <v>7.3688436832308835</v>
      </c>
      <c r="K17" s="18"/>
      <c r="L17" s="52">
        <f>('EFP per kg feed'!F137*FCR_bonefree_incl_parents_SE)*Production!$L$40</f>
        <v>17909.95774080226</v>
      </c>
      <c r="M17" s="53">
        <f>('EFP per kg feed'!G137*FCR_bonefree_incl_parents_SE-Manure_repl_factor_SE*Excreted_N_after_losses_SE)*Production!$L$40</f>
        <v>179.70312943306104</v>
      </c>
      <c r="N17" s="53">
        <f>('EFP per kg feed'!H137*FCR_bonefree_incl_parents_SE)*Production!$L$40</f>
        <v>18.29616345875786</v>
      </c>
      <c r="O17" s="52">
        <f>('EFP per kg feed'!I137*FCR_bonefree_incl_parents_SE+(Production!L5*(Water_drinking_sows_SE+Water_service_sows_SE)*365/1000+Production!L6*(Water_drinking_recfat_SE+Water_service_recfat_SE)*(365-Time_piglet_system_SE)/1000+Production!L7*(Water_drinking_boars_SE+Water_service_boars_SE)*365/1000+No_fattening_pigs_SE*(Water_drinking_recfat_SE+Water_service_recfat_SE)*(Slaughtering_age_SE-Time_piglet_system_SE)/1000+Production!L9*(Water_drinking_piglets_SE+Water_service_piglets_SE)*Time_piglet_system_SE/1000)/Production!L40)*Production!$L$40</f>
        <v>248.72795087458007</v>
      </c>
      <c r="P17" s="54">
        <f>('EFP per kg feed'!J137*FCR_bonefree_incl_parents_SE)*Production!$L$40</f>
        <v>1103.5665208862922</v>
      </c>
      <c r="Q17" s="54">
        <f>('EFP per kg feed'!K137*FCR_bonefree_incl_parents_SE)*Production!$L$40</f>
        <v>1.0703934120370789E-7</v>
      </c>
      <c r="R17" s="52">
        <f>('EFP per kg feed'!L137*FCR_bonefree_incl_parents_SE+NH3_per_kg_SE)*Production!$L$40</f>
        <v>75.70848769392002</v>
      </c>
      <c r="S17" s="55"/>
      <c r="T17" s="349">
        <v>2.4424656742776212</v>
      </c>
      <c r="U17" s="57">
        <v>19.3189214147407</v>
      </c>
    </row>
    <row r="18" spans="1:27" x14ac:dyDescent="0.35">
      <c r="A18" s="20"/>
      <c r="B18" s="20"/>
      <c r="C18" s="16"/>
      <c r="T18" s="56"/>
    </row>
    <row r="19" spans="1:27" x14ac:dyDescent="0.35">
      <c r="J19" s="51"/>
      <c r="M19" s="51"/>
      <c r="Q19" s="58"/>
    </row>
    <row r="21" spans="1:27" x14ac:dyDescent="0.35">
      <c r="M21" s="50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U47"/>
  <sheetViews>
    <sheetView topLeftCell="A27" zoomScale="79" zoomScaleNormal="79" workbookViewId="0">
      <selection activeCell="J48" sqref="J48"/>
    </sheetView>
  </sheetViews>
  <sheetFormatPr defaultColWidth="8.6328125" defaultRowHeight="14.5" x14ac:dyDescent="0.35"/>
  <cols>
    <col min="1" max="1" width="59.453125" customWidth="1"/>
    <col min="2" max="11" width="10.54296875" customWidth="1"/>
    <col min="12" max="12" width="10.54296875" style="99" customWidth="1"/>
  </cols>
  <sheetData>
    <row r="2" spans="1:21" ht="18" customHeight="1" x14ac:dyDescent="0.45">
      <c r="A2" s="9" t="s">
        <v>148</v>
      </c>
      <c r="B2" t="s">
        <v>39</v>
      </c>
      <c r="C2" t="s">
        <v>41</v>
      </c>
      <c r="D2" t="s">
        <v>43</v>
      </c>
      <c r="E2" t="s">
        <v>45</v>
      </c>
      <c r="F2" t="s">
        <v>47</v>
      </c>
      <c r="G2" t="s">
        <v>49</v>
      </c>
      <c r="H2" t="s">
        <v>51</v>
      </c>
      <c r="I2" t="s">
        <v>53</v>
      </c>
      <c r="J2" t="s">
        <v>55</v>
      </c>
      <c r="K2" t="s">
        <v>57</v>
      </c>
      <c r="L2" s="100" t="s">
        <v>59</v>
      </c>
    </row>
    <row r="3" spans="1:21" ht="18" customHeight="1" x14ac:dyDescent="0.45">
      <c r="A3" s="9"/>
      <c r="B3" s="12" t="s">
        <v>38</v>
      </c>
      <c r="C3" s="12" t="s">
        <v>40</v>
      </c>
      <c r="D3" s="12" t="s">
        <v>42</v>
      </c>
      <c r="E3" s="12" t="s">
        <v>44</v>
      </c>
      <c r="F3" s="12" t="s">
        <v>46</v>
      </c>
      <c r="G3" s="12" t="s">
        <v>48</v>
      </c>
      <c r="H3" s="12" t="s">
        <v>50</v>
      </c>
      <c r="I3" s="12" t="s">
        <v>52</v>
      </c>
      <c r="J3" s="12" t="s">
        <v>54</v>
      </c>
      <c r="K3" s="12" t="s">
        <v>56</v>
      </c>
      <c r="L3" s="17" t="s">
        <v>58</v>
      </c>
      <c r="U3" s="101"/>
    </row>
    <row r="4" spans="1:21" x14ac:dyDescent="0.35">
      <c r="A4" s="14" t="s">
        <v>149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  <c r="U4" s="101"/>
    </row>
    <row r="5" spans="1:21" x14ac:dyDescent="0.35">
      <c r="A5" s="104" t="s">
        <v>150</v>
      </c>
      <c r="B5" s="105">
        <v>1</v>
      </c>
      <c r="C5" s="105">
        <v>1</v>
      </c>
      <c r="D5" s="105">
        <v>1</v>
      </c>
      <c r="E5" s="105">
        <v>1</v>
      </c>
      <c r="F5" s="105">
        <v>1</v>
      </c>
      <c r="G5" s="105">
        <v>1</v>
      </c>
      <c r="H5" s="105">
        <v>1</v>
      </c>
      <c r="I5" s="105">
        <v>1</v>
      </c>
      <c r="J5" s="105">
        <v>1</v>
      </c>
      <c r="K5" s="105">
        <v>1</v>
      </c>
      <c r="L5" s="105">
        <v>1</v>
      </c>
      <c r="N5" s="106" t="s">
        <v>151</v>
      </c>
      <c r="U5" s="101"/>
    </row>
    <row r="6" spans="1:21" x14ac:dyDescent="0.35">
      <c r="A6" s="104" t="s">
        <v>152</v>
      </c>
      <c r="B6" s="107">
        <f>B5*'Parameters, country spec'!B13/100</f>
        <v>0.55000000000000004</v>
      </c>
      <c r="C6" s="107">
        <f>C5*'Parameters, country spec'!C13/100</f>
        <v>0.55000000000000004</v>
      </c>
      <c r="D6" s="107">
        <f>D5*'Parameters, country spec'!D13/100</f>
        <v>0.55000000000000004</v>
      </c>
      <c r="E6" s="107">
        <f>E5*'Parameters, country spec'!E13/100</f>
        <v>0.55000000000000004</v>
      </c>
      <c r="F6" s="107">
        <f>F5*'Parameters, country spec'!F13/100</f>
        <v>0.55000000000000004</v>
      </c>
      <c r="G6" s="107">
        <f>G5*'Parameters, country spec'!G13/100</f>
        <v>0.55000000000000004</v>
      </c>
      <c r="H6" s="107">
        <f>H5*'Parameters, country spec'!H13/100</f>
        <v>0.55000000000000004</v>
      </c>
      <c r="I6" s="107">
        <f>I5*'Parameters, country spec'!I13/100</f>
        <v>0.55000000000000004</v>
      </c>
      <c r="J6" s="107">
        <f>J5*'Parameters, country spec'!J13/100</f>
        <v>0.55000000000000004</v>
      </c>
      <c r="K6" s="107">
        <f>K5*'Parameters, country spec'!K13/100</f>
        <v>0.55000000000000004</v>
      </c>
      <c r="L6" s="107">
        <f>L5*'Parameters, country spec'!L13/100</f>
        <v>0.55000000000000004</v>
      </c>
      <c r="N6" s="106" t="s">
        <v>153</v>
      </c>
      <c r="U6" s="101"/>
    </row>
    <row r="7" spans="1:21" x14ac:dyDescent="0.35">
      <c r="A7" s="104" t="s">
        <v>154</v>
      </c>
      <c r="B7" s="107">
        <f t="shared" ref="B7:L7" si="0">B5*Boars_per_sow</f>
        <v>1.2143013015902067E-2</v>
      </c>
      <c r="C7" s="107">
        <f t="shared" si="0"/>
        <v>1.2143013015902067E-2</v>
      </c>
      <c r="D7" s="107">
        <f t="shared" si="0"/>
        <v>1.2143013015902067E-2</v>
      </c>
      <c r="E7" s="107">
        <f t="shared" si="0"/>
        <v>1.2143013015902067E-2</v>
      </c>
      <c r="F7" s="107">
        <f t="shared" si="0"/>
        <v>1.2143013015902067E-2</v>
      </c>
      <c r="G7" s="107">
        <f t="shared" si="0"/>
        <v>1.2143013015902067E-2</v>
      </c>
      <c r="H7" s="107">
        <f t="shared" si="0"/>
        <v>1.2143013015902067E-2</v>
      </c>
      <c r="I7" s="107">
        <f t="shared" si="0"/>
        <v>1.2143013015902067E-2</v>
      </c>
      <c r="J7" s="107">
        <f t="shared" si="0"/>
        <v>1.2143013015902067E-2</v>
      </c>
      <c r="K7" s="107">
        <f t="shared" si="0"/>
        <v>1.2143013015902067E-2</v>
      </c>
      <c r="L7" s="107">
        <f t="shared" si="0"/>
        <v>1.2143013015902067E-2</v>
      </c>
      <c r="N7" s="108" t="s">
        <v>155</v>
      </c>
      <c r="U7" s="101"/>
    </row>
    <row r="8" spans="1:21" x14ac:dyDescent="0.35">
      <c r="A8" s="104" t="s">
        <v>156</v>
      </c>
      <c r="B8" s="105">
        <f>B5*'Parameters, country spec'!B18-B6</f>
        <v>31.931000000000001</v>
      </c>
      <c r="C8" s="105">
        <f>C5*'Parameters, country spec'!C18-C6</f>
        <v>28.611794019933555</v>
      </c>
      <c r="D8" s="105">
        <f>D5*'Parameters, country spec'!D18-D6</f>
        <v>28.704304635761584</v>
      </c>
      <c r="E8" s="105">
        <f>E5*'Parameters, country spec'!E18-E6</f>
        <v>28.210383597883595</v>
      </c>
      <c r="F8" s="105">
        <f>F5*'Parameters, country spec'!F18-F6</f>
        <v>29.674271844660197</v>
      </c>
      <c r="G8" s="105">
        <f>G5*'Parameters, country spec'!G18-G6</f>
        <v>28.15</v>
      </c>
      <c r="H8" s="105">
        <f>H5*'Parameters, country spec'!H18-H6</f>
        <v>23.972988505747129</v>
      </c>
      <c r="I8" s="105">
        <f>I5*'Parameters, country spec'!I18-I6</f>
        <v>30.64034267912773</v>
      </c>
      <c r="J8" s="105">
        <f>J5*'Parameters, country spec'!J18-J6</f>
        <v>28.210383597883602</v>
      </c>
      <c r="K8" s="105">
        <f>K5*'Parameters, country spec'!K18-K6</f>
        <v>25.597311827956986</v>
      </c>
      <c r="L8" s="105">
        <f>L5*'Parameters, country spec'!L18-L6</f>
        <v>26.629569892473121</v>
      </c>
      <c r="N8" s="106" t="s">
        <v>157</v>
      </c>
      <c r="U8" s="101"/>
    </row>
    <row r="9" spans="1:21" x14ac:dyDescent="0.35">
      <c r="A9" s="104" t="s">
        <v>158</v>
      </c>
      <c r="B9" s="105">
        <f>B5*'Parameters, country spec'!B18</f>
        <v>32.481000000000002</v>
      </c>
      <c r="C9" s="105">
        <f>C5*'Parameters, country spec'!C18</f>
        <v>29.161794019933556</v>
      </c>
      <c r="D9" s="105">
        <f>D5*'Parameters, country spec'!D18</f>
        <v>29.254304635761585</v>
      </c>
      <c r="E9" s="105">
        <f>E5*'Parameters, country spec'!E18</f>
        <v>28.760383597883596</v>
      </c>
      <c r="F9" s="105">
        <f>F5*'Parameters, country spec'!F18</f>
        <v>30.224271844660198</v>
      </c>
      <c r="G9" s="105">
        <f>G5*'Parameters, country spec'!G18</f>
        <v>28.7</v>
      </c>
      <c r="H9" s="105">
        <f>H5*'Parameters, country spec'!H18</f>
        <v>24.522988505747129</v>
      </c>
      <c r="I9" s="105">
        <f>I5*'Parameters, country spec'!I18</f>
        <v>31.190342679127731</v>
      </c>
      <c r="J9" s="105">
        <f>J5*'Parameters, country spec'!J18</f>
        <v>28.760383597883603</v>
      </c>
      <c r="K9" s="105">
        <f>K5*'Parameters, country spec'!K18</f>
        <v>26.147311827956987</v>
      </c>
      <c r="L9" s="105">
        <f>L5*'Parameters, country spec'!L18</f>
        <v>27.179569892473122</v>
      </c>
      <c r="N9" s="106" t="s">
        <v>159</v>
      </c>
      <c r="U9" s="101"/>
    </row>
    <row r="10" spans="1:21" x14ac:dyDescent="0.35">
      <c r="A10" s="109" t="s">
        <v>160</v>
      </c>
      <c r="B10" s="110">
        <f t="shared" ref="B10:L10" si="1">SUM(B5:B8)</f>
        <v>33.493143013015903</v>
      </c>
      <c r="C10" s="110">
        <f t="shared" si="1"/>
        <v>30.173937032949457</v>
      </c>
      <c r="D10" s="110">
        <f t="shared" si="1"/>
        <v>30.266447648777486</v>
      </c>
      <c r="E10" s="110">
        <f t="shared" si="1"/>
        <v>29.772526610899497</v>
      </c>
      <c r="F10" s="110">
        <f t="shared" si="1"/>
        <v>31.236414857676099</v>
      </c>
      <c r="G10" s="110">
        <f t="shared" si="1"/>
        <v>29.712143013015901</v>
      </c>
      <c r="H10" s="110">
        <f t="shared" si="1"/>
        <v>25.535131518763031</v>
      </c>
      <c r="I10" s="110">
        <f t="shared" si="1"/>
        <v>32.202485692143632</v>
      </c>
      <c r="J10" s="110">
        <f t="shared" si="1"/>
        <v>29.772526610899504</v>
      </c>
      <c r="K10" s="110">
        <f t="shared" si="1"/>
        <v>27.159454840972888</v>
      </c>
      <c r="L10" s="110">
        <f t="shared" si="1"/>
        <v>28.191712905489023</v>
      </c>
      <c r="N10" s="106"/>
      <c r="U10" s="101"/>
    </row>
    <row r="11" spans="1:21" x14ac:dyDescent="0.35">
      <c r="A11" s="14" t="s">
        <v>161</v>
      </c>
      <c r="B11" s="111"/>
      <c r="C11" s="111"/>
      <c r="D11" s="111"/>
      <c r="E11" s="111"/>
      <c r="F11" s="111"/>
      <c r="G11" s="111"/>
      <c r="H11" s="111"/>
      <c r="I11" s="111"/>
      <c r="J11" s="111"/>
      <c r="K11" s="111"/>
      <c r="L11" s="111"/>
      <c r="N11" s="106"/>
      <c r="U11" s="101"/>
    </row>
    <row r="12" spans="1:21" x14ac:dyDescent="0.35">
      <c r="A12" s="104" t="s">
        <v>150</v>
      </c>
      <c r="B12" s="100">
        <f>B5*'Parameters, country spec'!B13/100*(1-'Parameters, country spec'!B20/100)</f>
        <v>0.45924999999999999</v>
      </c>
      <c r="C12" s="100">
        <f>C5*'Parameters, country spec'!C13/100*(1-'Parameters, country spec'!C20/100)</f>
        <v>0.5142500000000001</v>
      </c>
      <c r="D12" s="100">
        <f>D5*'Parameters, country spec'!D13/100*(1-'Parameters, country spec'!D20/100)</f>
        <v>0.51149999999999995</v>
      </c>
      <c r="E12" s="100">
        <f>E5*'Parameters, country spec'!E13/100*(1-'Parameters, country spec'!E20/100)</f>
        <v>0.50221875000000005</v>
      </c>
      <c r="F12" s="100">
        <f>F5*'Parameters, country spec'!F13/100*(1-'Parameters, country spec'!F20/100)</f>
        <v>0.49555000000000005</v>
      </c>
      <c r="G12" s="100">
        <f>G5*'Parameters, country spec'!G13/100*(1-'Parameters, country spec'!G20/100)</f>
        <v>0.50875000000000004</v>
      </c>
      <c r="H12" s="100">
        <f>H5*'Parameters, country spec'!H13/100*(1-'Parameters, country spec'!H20/100)</f>
        <v>0.53625</v>
      </c>
      <c r="I12" s="100">
        <f>I5*'Parameters, country spec'!I13/100*(1-'Parameters, country spec'!I20/100)</f>
        <v>0.50600000000000012</v>
      </c>
      <c r="J12" s="100">
        <f>J5*'Parameters, country spec'!J13/100*(1-'Parameters, country spec'!J20/100)</f>
        <v>0.50221875000000005</v>
      </c>
      <c r="K12" s="100">
        <f>K5*'Parameters, country spec'!K13/100*(1-'Parameters, country spec'!K20/100)</f>
        <v>0.46750000000000003</v>
      </c>
      <c r="L12" s="107">
        <f>L5*'Parameters, country spec'!L13/100*(1-'Parameters, country spec'!L20/100)</f>
        <v>0.5142500000000001</v>
      </c>
      <c r="M12" s="16"/>
      <c r="N12" s="112" t="s">
        <v>162</v>
      </c>
      <c r="U12" s="101"/>
    </row>
    <row r="13" spans="1:21" x14ac:dyDescent="0.35">
      <c r="A13" s="104" t="s">
        <v>154</v>
      </c>
      <c r="B13" s="107">
        <f>B7*(1-'Parameters, country spec'!B20/100)</f>
        <v>1.0139415868278226E-2</v>
      </c>
      <c r="C13" s="107">
        <f>C7*(1-'Parameters, country spec'!C20/100)</f>
        <v>1.1353717169868433E-2</v>
      </c>
      <c r="D13" s="107">
        <f>D7*(1-'Parameters, country spec'!D20/100)</f>
        <v>1.1293002104788922E-2</v>
      </c>
      <c r="E13" s="107">
        <f>E7*(1-'Parameters, country spec'!E20/100)</f>
        <v>1.1088088760145574E-2</v>
      </c>
      <c r="F13" s="107">
        <f>F7*(1-'Parameters, country spec'!F20/100)</f>
        <v>1.0940854727327762E-2</v>
      </c>
      <c r="G13" s="107">
        <f>G7*(1-'Parameters, country spec'!G20/100)</f>
        <v>1.1232287039709413E-2</v>
      </c>
      <c r="H13" s="107">
        <f>H7*(1-'Parameters, country spec'!H20/100)</f>
        <v>1.1839437690504516E-2</v>
      </c>
      <c r="I13" s="107">
        <f>I7*(1-'Parameters, country spec'!I20/100)</f>
        <v>1.1171571974629903E-2</v>
      </c>
      <c r="J13" s="107">
        <f>J7*(1-'Parameters, country spec'!J20/100)</f>
        <v>1.1088088760145574E-2</v>
      </c>
      <c r="K13" s="107">
        <f>K7*(1-'Parameters, country spec'!K20/100)</f>
        <v>1.0321561063516756E-2</v>
      </c>
      <c r="L13" s="107">
        <f>L7*(1-'Parameters, country spec'!L20/100)</f>
        <v>1.1353717169868433E-2</v>
      </c>
      <c r="M13" s="16"/>
      <c r="N13" s="112"/>
      <c r="U13" s="101"/>
    </row>
    <row r="14" spans="1:21" x14ac:dyDescent="0.35">
      <c r="A14" s="104" t="s">
        <v>156</v>
      </c>
      <c r="B14" s="100">
        <f>B8*(1-'Parameters, country spec'!B6/100)*(1-'Parameters, country spec'!B7/100)</f>
        <v>30.782601584999998</v>
      </c>
      <c r="C14" s="100">
        <f>C8*(1-'Parameters, country spec'!C6/100)*(1-'Parameters, country spec'!C7/100)</f>
        <v>27.496324657852668</v>
      </c>
      <c r="D14" s="100">
        <f>D8*(1-'Parameters, country spec'!D6/100)*(1-'Parameters, country spec'!D7/100)</f>
        <v>27.881350269180516</v>
      </c>
      <c r="E14" s="100">
        <f>E8*(1-'Parameters, country spec'!E6/100)*(1-'Parameters, country spec'!E7/100)</f>
        <v>27.334501059484666</v>
      </c>
      <c r="F14" s="100">
        <f>F8*(1-'Parameters, country spec'!F6/100)*(1-'Parameters, country spec'!F7/100)</f>
        <v>28.749668542728063</v>
      </c>
      <c r="G14" s="100">
        <f>G8*(1-'Parameters, country spec'!G6/100)*(1-'Parameters, country spec'!G7/100)</f>
        <v>27.424599913194442</v>
      </c>
      <c r="H14" s="100">
        <f>H8*(1-'Parameters, country spec'!H6/100)*(1-'Parameters, country spec'!H7/100)</f>
        <v>23.35556273093211</v>
      </c>
      <c r="I14" s="100">
        <f>I8*(1-'Parameters, country spec'!I6/100)*(1-'Parameters, country spec'!I7/100)</f>
        <v>29.910162755665709</v>
      </c>
      <c r="J14" s="100">
        <f>J8*(1-'Parameters, country spec'!J6/100)*(1-'Parameters, country spec'!J7/100)</f>
        <v>27.334501059484673</v>
      </c>
      <c r="K14" s="100">
        <f>K8*(1-'Parameters, country spec'!K6/100)*(1-'Parameters, country spec'!K7/100)</f>
        <v>24.397146957478004</v>
      </c>
      <c r="L14" s="100">
        <f>L8*(1-'Parameters, country spec'!L6/100)*(1-'Parameters, country spec'!L7/100)</f>
        <v>26.089565134507072</v>
      </c>
      <c r="N14" s="112" t="s">
        <v>163</v>
      </c>
    </row>
    <row r="15" spans="1:21" x14ac:dyDescent="0.35">
      <c r="A15" s="109" t="s">
        <v>160</v>
      </c>
      <c r="B15" s="110">
        <f t="shared" ref="B15:L15" si="2">SUM(B12:B14)</f>
        <v>31.251991000868276</v>
      </c>
      <c r="C15" s="110">
        <f t="shared" si="2"/>
        <v>28.021928375022537</v>
      </c>
      <c r="D15" s="110">
        <f t="shared" si="2"/>
        <v>28.404143271285303</v>
      </c>
      <c r="E15" s="110">
        <f t="shared" si="2"/>
        <v>27.84780789824481</v>
      </c>
      <c r="F15" s="110">
        <f t="shared" si="2"/>
        <v>29.256159397455392</v>
      </c>
      <c r="G15" s="110">
        <f t="shared" si="2"/>
        <v>27.944582200234152</v>
      </c>
      <c r="H15" s="110">
        <f t="shared" si="2"/>
        <v>23.903652168622614</v>
      </c>
      <c r="I15" s="110">
        <f t="shared" si="2"/>
        <v>30.427334327640338</v>
      </c>
      <c r="J15" s="110">
        <f t="shared" si="2"/>
        <v>27.847807898244817</v>
      </c>
      <c r="K15" s="110">
        <f t="shared" si="2"/>
        <v>24.874968518541522</v>
      </c>
      <c r="L15" s="110">
        <f t="shared" si="2"/>
        <v>26.615168851676941</v>
      </c>
      <c r="N15" s="106"/>
    </row>
    <row r="16" spans="1:21" x14ac:dyDescent="0.35">
      <c r="A16" s="14" t="s">
        <v>164</v>
      </c>
      <c r="B16" s="113"/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N16" s="106"/>
    </row>
    <row r="17" spans="1:14" x14ac:dyDescent="0.35">
      <c r="A17" s="104" t="s">
        <v>150</v>
      </c>
      <c r="B17" s="100">
        <f>B12*'Parameters, country spec'!B10</f>
        <v>82.435374999999993</v>
      </c>
      <c r="C17" s="100">
        <f>C12*'Parameters, country spec'!C10</f>
        <v>92.307875000000024</v>
      </c>
      <c r="D17" s="100">
        <f>D12*'Parameters, country spec'!D10</f>
        <v>91.814249999999987</v>
      </c>
      <c r="E17" s="100">
        <f>E12*'Parameters, country spec'!E10</f>
        <v>90.148265625000008</v>
      </c>
      <c r="F17" s="100">
        <f>F12*'Parameters, country spec'!F10</f>
        <v>88.951225000000008</v>
      </c>
      <c r="G17" s="100">
        <f>G12*'Parameters, country spec'!G10</f>
        <v>91.320625000000007</v>
      </c>
      <c r="H17" s="100">
        <f>H12*'Parameters, country spec'!H10</f>
        <v>96.256874999999994</v>
      </c>
      <c r="I17" s="100">
        <f>I12*'Parameters, country spec'!I10</f>
        <v>90.827000000000027</v>
      </c>
      <c r="J17" s="100">
        <f>J12*'Parameters, country spec'!J10</f>
        <v>90.148265625000008</v>
      </c>
      <c r="K17" s="100">
        <f>K12*'Parameters, country spec'!K10</f>
        <v>83.916250000000005</v>
      </c>
      <c r="L17" s="100">
        <f>L12*'Parameters, country spec'!L10</f>
        <v>92.307875000000024</v>
      </c>
      <c r="N17" s="106" t="s">
        <v>165</v>
      </c>
    </row>
    <row r="18" spans="1:14" x14ac:dyDescent="0.35">
      <c r="A18" s="104" t="s">
        <v>154</v>
      </c>
      <c r="B18" s="105">
        <f>B13*'Parameters, country spec'!B9</f>
        <v>0.87847899082762548</v>
      </c>
      <c r="C18" s="105">
        <f>C13*'Parameters, country spec'!C9</f>
        <v>1.0451096654863892</v>
      </c>
      <c r="D18" s="105">
        <f>D13*'Parameters, country spec'!D9</f>
        <v>1.0790463511125814</v>
      </c>
      <c r="E18" s="105">
        <f>E13*'Parameters, country spec'!E9</f>
        <v>1.0149244444697247</v>
      </c>
      <c r="F18" s="105">
        <f>F13*'Parameters, country spec'!F9</f>
        <v>0.94397694587383929</v>
      </c>
      <c r="G18" s="105">
        <f>G13*'Parameters, country spec'!G9</f>
        <v>1.0171959143160845</v>
      </c>
      <c r="H18" s="105">
        <f>H13*'Parameters, country spec'!H9</f>
        <v>1.6269755274291304</v>
      </c>
      <c r="I18" s="105">
        <f>I13*'Parameters, country spec'!I9</f>
        <v>1.0883345417684451</v>
      </c>
      <c r="J18" s="105">
        <f>J13*'Parameters, country spec'!J9</f>
        <v>1.0149244444697247</v>
      </c>
      <c r="K18" s="105">
        <f>K13*'Parameters, country spec'!K9</f>
        <v>0.89880153741103908</v>
      </c>
      <c r="L18" s="105">
        <f>L13*'Parameters, country spec'!L9</f>
        <v>1.0380703608410708</v>
      </c>
    </row>
    <row r="19" spans="1:14" x14ac:dyDescent="0.35">
      <c r="A19" s="104" t="s">
        <v>156</v>
      </c>
      <c r="B19" s="100">
        <f>B14*'Parameters, country spec'!B9</f>
        <v>2667.0046013244</v>
      </c>
      <c r="C19" s="100">
        <f>C14*'Parameters, country spec'!C9</f>
        <v>2531.0366847553378</v>
      </c>
      <c r="D19" s="100">
        <f>D14*'Parameters, country spec'!D9</f>
        <v>2664.063018220198</v>
      </c>
      <c r="E19" s="100">
        <f>E14*'Parameters, country spec'!E9</f>
        <v>2502.0049805490871</v>
      </c>
      <c r="F19" s="100">
        <f>F14*'Parameters, country spec'!F9</f>
        <v>2480.5214018665774</v>
      </c>
      <c r="G19" s="100">
        <f>G14*'Parameters, country spec'!G9</f>
        <v>2483.5717681388887</v>
      </c>
      <c r="H19" s="100">
        <f>H14*'Parameters, country spec'!H9</f>
        <v>3209.5214304846904</v>
      </c>
      <c r="I19" s="100">
        <f>I14*'Parameters, country spec'!I9</f>
        <v>2913.8480556569534</v>
      </c>
      <c r="J19" s="100">
        <f>J14*'Parameters, country spec'!J9</f>
        <v>2502.0049805490876</v>
      </c>
      <c r="K19" s="100">
        <f>K14*'Parameters, country spec'!K9</f>
        <v>2124.5035570571845</v>
      </c>
      <c r="L19" s="100">
        <f>L14*'Parameters, country spec'!L9</f>
        <v>2385.3689402479818</v>
      </c>
    </row>
    <row r="20" spans="1:14" x14ac:dyDescent="0.35">
      <c r="A20" s="109" t="s">
        <v>160</v>
      </c>
      <c r="B20" s="110">
        <f t="shared" ref="B20:L20" si="3">SUM(B17:B19)</f>
        <v>2750.3184553152278</v>
      </c>
      <c r="C20" s="110">
        <f t="shared" si="3"/>
        <v>2624.3896694208242</v>
      </c>
      <c r="D20" s="110">
        <f t="shared" si="3"/>
        <v>2756.9563145713105</v>
      </c>
      <c r="E20" s="110">
        <f t="shared" si="3"/>
        <v>2593.1681706185568</v>
      </c>
      <c r="F20" s="110">
        <f t="shared" si="3"/>
        <v>2570.4166038124513</v>
      </c>
      <c r="G20" s="110">
        <f t="shared" si="3"/>
        <v>2575.9095890532049</v>
      </c>
      <c r="H20" s="110">
        <f t="shared" si="3"/>
        <v>3307.4052810121198</v>
      </c>
      <c r="I20" s="110">
        <f t="shared" si="3"/>
        <v>3005.7633901987219</v>
      </c>
      <c r="J20" s="110">
        <f t="shared" si="3"/>
        <v>2593.1681706185573</v>
      </c>
      <c r="K20" s="110">
        <f t="shared" si="3"/>
        <v>2209.3186085945954</v>
      </c>
      <c r="L20" s="110">
        <f t="shared" si="3"/>
        <v>2478.7148856088229</v>
      </c>
    </row>
    <row r="21" spans="1:14" x14ac:dyDescent="0.35">
      <c r="A21" s="14" t="s">
        <v>166</v>
      </c>
      <c r="B21" s="103"/>
      <c r="C21" s="103"/>
      <c r="D21" s="103"/>
      <c r="E21" s="103"/>
      <c r="F21" s="103"/>
      <c r="G21" s="103"/>
      <c r="H21" s="103"/>
      <c r="I21" s="103"/>
      <c r="J21" s="103"/>
      <c r="K21" s="103"/>
      <c r="L21" s="103"/>
    </row>
    <row r="22" spans="1:14" x14ac:dyDescent="0.35">
      <c r="A22" s="104" t="s">
        <v>150</v>
      </c>
      <c r="B22" s="100">
        <f>B17*Bonefree_outof_CW_DK</f>
        <v>48.636871249999992</v>
      </c>
      <c r="C22" s="100">
        <f>C17*Bonefree_outof_CW_FR</f>
        <v>54.461646250000008</v>
      </c>
      <c r="D22" s="100">
        <f>D17*Bonefree_outof_CW_DE</f>
        <v>54.170407499999989</v>
      </c>
      <c r="E22" s="100">
        <f>E17*Bonefree_outof_CW_GR</f>
        <v>53.187476718749998</v>
      </c>
      <c r="F22" s="100">
        <f>F17*Bonefree_outof_CW_HU</f>
        <v>52.481222750000001</v>
      </c>
      <c r="G22" s="100">
        <f>G17*Bonefree_outof_CW_IE</f>
        <v>53.879168749999998</v>
      </c>
      <c r="H22" s="100">
        <f>H17*Bonefree_outof_CW_IT</f>
        <v>56.791556249999992</v>
      </c>
      <c r="I22" s="100">
        <f>I17*Bonefree_outof_CW_NL</f>
        <v>53.587930000000014</v>
      </c>
      <c r="J22" s="100">
        <f>J17*Bonefree_outof_CW_PL</f>
        <v>53.187476718749998</v>
      </c>
      <c r="K22" s="100">
        <f>K17*Bonefree_outof_CW_ES</f>
        <v>49.5105875</v>
      </c>
      <c r="L22" s="100">
        <f>L17*Bonefree_outof_CW_SE</f>
        <v>54.461646250000008</v>
      </c>
    </row>
    <row r="23" spans="1:14" x14ac:dyDescent="0.35">
      <c r="A23" s="104" t="s">
        <v>154</v>
      </c>
      <c r="B23" s="100">
        <f>B18*Bonefree_outof_CW_DK</f>
        <v>0.51830260458829902</v>
      </c>
      <c r="C23" s="100">
        <f>C18*Bonefree_outof_CW_FR</f>
        <v>0.6166147026369696</v>
      </c>
      <c r="D23" s="100">
        <f>D18*Bonefree_outof_CW_DE</f>
        <v>0.63663734715642295</v>
      </c>
      <c r="E23" s="100">
        <f>E18*Bonefree_outof_CW_GR</f>
        <v>0.59880542223713762</v>
      </c>
      <c r="F23" s="100">
        <f>F18*Bonefree_outof_CW_HU</f>
        <v>0.55694639806556512</v>
      </c>
      <c r="G23" s="100">
        <f>G18*Bonefree_outof_CW_IE</f>
        <v>0.60014558944648977</v>
      </c>
      <c r="H23" s="100">
        <f>H18*Bonefree_outof_CW_IT</f>
        <v>0.95991556118318688</v>
      </c>
      <c r="I23" s="100">
        <f>I18*Bonefree_outof_CW_NL</f>
        <v>0.64211737964338256</v>
      </c>
      <c r="J23" s="100">
        <f>J18*Bonefree_outof_CW_PL</f>
        <v>0.59880542223713762</v>
      </c>
      <c r="K23" s="100">
        <f>K18*Bonefree_outof_CW_ES</f>
        <v>0.53029290707251298</v>
      </c>
      <c r="L23" s="100">
        <f>L18*Bonefree_outof_CW_SE</f>
        <v>0.61246151289623174</v>
      </c>
    </row>
    <row r="24" spans="1:14" x14ac:dyDescent="0.35">
      <c r="A24" s="104" t="s">
        <v>156</v>
      </c>
      <c r="B24" s="100">
        <f>B19*Bonefree_outof_CW_DK</f>
        <v>1573.532714781396</v>
      </c>
      <c r="C24" s="100">
        <f>C19*Bonefree_outof_CW_FR</f>
        <v>1493.3116440056492</v>
      </c>
      <c r="D24" s="100">
        <f>D19*Bonefree_outof_CW_DE</f>
        <v>1571.7971807499168</v>
      </c>
      <c r="E24" s="100">
        <f>E19*Bonefree_outof_CW_GR</f>
        <v>1476.1829385239614</v>
      </c>
      <c r="F24" s="100">
        <f>F19*Bonefree_outof_CW_HU</f>
        <v>1463.5076271012806</v>
      </c>
      <c r="G24" s="100">
        <f>G19*Bonefree_outof_CW_IE</f>
        <v>1465.3073432019444</v>
      </c>
      <c r="H24" s="100">
        <f>H19*Bonefree_outof_CW_IT</f>
        <v>1893.6176439859673</v>
      </c>
      <c r="I24" s="100">
        <f>I19*Bonefree_outof_CW_NL</f>
        <v>1719.1703528376024</v>
      </c>
      <c r="J24" s="100">
        <f>J19*Bonefree_outof_CW_PL</f>
        <v>1476.1829385239616</v>
      </c>
      <c r="K24" s="100">
        <f>K19*Bonefree_outof_CW_ES</f>
        <v>1253.4570986637389</v>
      </c>
      <c r="L24" s="100">
        <f>L19*Bonefree_outof_CW_SE</f>
        <v>1407.3676747463091</v>
      </c>
    </row>
    <row r="25" spans="1:14" x14ac:dyDescent="0.35">
      <c r="A25" s="109" t="s">
        <v>160</v>
      </c>
      <c r="B25" s="110">
        <f t="shared" ref="B25:L25" si="4">SUM(B22:B24)</f>
        <v>1622.6878886359843</v>
      </c>
      <c r="C25" s="110">
        <f t="shared" si="4"/>
        <v>1548.3899049582863</v>
      </c>
      <c r="D25" s="110">
        <f t="shared" si="4"/>
        <v>1626.6042255970733</v>
      </c>
      <c r="E25" s="110">
        <f t="shared" si="4"/>
        <v>1529.9692206649486</v>
      </c>
      <c r="F25" s="110">
        <f t="shared" si="4"/>
        <v>1516.5457962493463</v>
      </c>
      <c r="G25" s="110">
        <f t="shared" si="4"/>
        <v>1519.7866575413909</v>
      </c>
      <c r="H25" s="110">
        <f t="shared" si="4"/>
        <v>1951.3691157971505</v>
      </c>
      <c r="I25" s="110">
        <f t="shared" si="4"/>
        <v>1773.4004002172458</v>
      </c>
      <c r="J25" s="110">
        <f t="shared" si="4"/>
        <v>1529.9692206649488</v>
      </c>
      <c r="K25" s="110">
        <f t="shared" si="4"/>
        <v>1303.4979790708114</v>
      </c>
      <c r="L25" s="110">
        <f t="shared" si="4"/>
        <v>1462.4417825092055</v>
      </c>
    </row>
    <row r="26" spans="1:14" x14ac:dyDescent="0.35">
      <c r="A26" s="14" t="s">
        <v>167</v>
      </c>
      <c r="B26" s="103"/>
      <c r="C26" s="103"/>
      <c r="D26" s="103"/>
      <c r="E26" s="103"/>
      <c r="F26" s="103"/>
      <c r="G26" s="103"/>
      <c r="H26" s="103"/>
      <c r="I26" s="103"/>
      <c r="J26" s="103"/>
      <c r="K26" s="103"/>
      <c r="L26" s="103"/>
    </row>
    <row r="27" spans="1:14" x14ac:dyDescent="0.35">
      <c r="A27" s="104" t="s">
        <v>150</v>
      </c>
      <c r="B27" s="105">
        <f>B12*'Parameters, country spec'!B11</f>
        <v>4.0838806250000008</v>
      </c>
      <c r="C27" s="105">
        <f>C12*'Parameters, country spec'!C11</f>
        <v>4.5729681250000018</v>
      </c>
      <c r="D27" s="105">
        <f>D12*'Parameters, country spec'!D11</f>
        <v>4.5485137500000006</v>
      </c>
      <c r="E27" s="105">
        <f>E12*'Parameters, country spec'!E11</f>
        <v>4.4659802343750012</v>
      </c>
      <c r="F27" s="105">
        <f>F12*'Parameters, country spec'!F11</f>
        <v>4.4066783750000011</v>
      </c>
      <c r="G27" s="105">
        <f>G12*'Parameters, country spec'!G11</f>
        <v>4.5240593750000011</v>
      </c>
      <c r="H27" s="105">
        <f>H12*'Parameters, country spec'!H11</f>
        <v>4.7686031250000012</v>
      </c>
      <c r="I27" s="105">
        <f>I12*'Parameters, country spec'!I11</f>
        <v>4.4996050000000016</v>
      </c>
      <c r="J27" s="105">
        <f>J12*'Parameters, country spec'!J11</f>
        <v>4.4659802343750012</v>
      </c>
      <c r="K27" s="105">
        <f>K12*'Parameters, country spec'!K11</f>
        <v>4.157243750000001</v>
      </c>
      <c r="L27" s="105">
        <f>L12*'Parameters, country spec'!L11</f>
        <v>4.5729681250000018</v>
      </c>
    </row>
    <row r="28" spans="1:14" x14ac:dyDescent="0.35">
      <c r="A28" s="104" t="s">
        <v>154</v>
      </c>
      <c r="B28" s="105">
        <f>B13*'Parameters, country spec'!B11</f>
        <v>9.0164755608664146E-2</v>
      </c>
      <c r="C28" s="105">
        <f>C13*'Parameters, country spec'!C11</f>
        <v>0.10096292993305506</v>
      </c>
      <c r="D28" s="105">
        <f>D13*'Parameters, country spec'!D11</f>
        <v>0.10042302121683551</v>
      </c>
      <c r="E28" s="105">
        <f>E13*'Parameters, country spec'!E11</f>
        <v>9.8600829299594545E-2</v>
      </c>
      <c r="F28" s="105">
        <f>F13*'Parameters, country spec'!F11</f>
        <v>9.7291550662762141E-2</v>
      </c>
      <c r="G28" s="105">
        <f>G13*'Parameters, country spec'!G11</f>
        <v>9.9883112500615975E-2</v>
      </c>
      <c r="H28" s="105">
        <f>H13*'Parameters, country spec'!H11</f>
        <v>0.10528219966281142</v>
      </c>
      <c r="I28" s="105">
        <f>I13*'Parameters, country spec'!I11</f>
        <v>9.9343203784396428E-2</v>
      </c>
      <c r="J28" s="105">
        <f>J13*'Parameters, country spec'!J11</f>
        <v>9.8600829299594545E-2</v>
      </c>
      <c r="K28" s="105">
        <f>K13*'Parameters, country spec'!K11</f>
        <v>9.1784481757322775E-2</v>
      </c>
      <c r="L28" s="105">
        <f>L13*'Parameters, country spec'!L11</f>
        <v>0.10096292993305506</v>
      </c>
    </row>
    <row r="29" spans="1:14" x14ac:dyDescent="0.35">
      <c r="A29" s="104" t="s">
        <v>156</v>
      </c>
      <c r="B29" s="100">
        <f>B14*'Parameters, country spec'!B11</f>
        <v>273.73428459461252</v>
      </c>
      <c r="C29" s="100">
        <f>C14*'Parameters, country spec'!C11</f>
        <v>244.51106701995491</v>
      </c>
      <c r="D29" s="100">
        <f>D14*'Parameters, country spec'!D11</f>
        <v>247.93490726868779</v>
      </c>
      <c r="E29" s="100">
        <f>E14*'Parameters, country spec'!E11</f>
        <v>243.07205067146745</v>
      </c>
      <c r="F29" s="100">
        <f>F14*'Parameters, country spec'!F11</f>
        <v>255.65642751620936</v>
      </c>
      <c r="G29" s="100">
        <f>G14*'Parameters, country spec'!G11</f>
        <v>243.87325472808163</v>
      </c>
      <c r="H29" s="100">
        <f>H14*'Parameters, country spec'!H11</f>
        <v>207.68934158481383</v>
      </c>
      <c r="I29" s="100">
        <f>I14*'Parameters, country spec'!I11</f>
        <v>265.97612230475738</v>
      </c>
      <c r="J29" s="100">
        <f>J14*'Parameters, country spec'!J11</f>
        <v>243.07205067146751</v>
      </c>
      <c r="K29" s="100">
        <f>K14*'Parameters, country spec'!K11</f>
        <v>216.95162931937318</v>
      </c>
      <c r="L29" s="100">
        <f>L14*'Parameters, country spec'!L11</f>
        <v>232.00145795860419</v>
      </c>
    </row>
    <row r="30" spans="1:14" x14ac:dyDescent="0.35">
      <c r="A30" s="109" t="s">
        <v>160</v>
      </c>
      <c r="B30" s="110">
        <f t="shared" ref="B30:L30" si="5">SUM(B27:B29)</f>
        <v>277.90832997522119</v>
      </c>
      <c r="C30" s="110">
        <f t="shared" si="5"/>
        <v>249.18499807488797</v>
      </c>
      <c r="D30" s="110">
        <f t="shared" si="5"/>
        <v>252.58384403990462</v>
      </c>
      <c r="E30" s="110">
        <f t="shared" si="5"/>
        <v>247.63663173514206</v>
      </c>
      <c r="F30" s="110">
        <f t="shared" si="5"/>
        <v>260.16039744187214</v>
      </c>
      <c r="G30" s="110">
        <f t="shared" si="5"/>
        <v>248.49719721558225</v>
      </c>
      <c r="H30" s="110">
        <f t="shared" si="5"/>
        <v>212.56322690947664</v>
      </c>
      <c r="I30" s="110">
        <f t="shared" si="5"/>
        <v>270.57507050854178</v>
      </c>
      <c r="J30" s="110">
        <f t="shared" si="5"/>
        <v>247.63663173514212</v>
      </c>
      <c r="K30" s="110">
        <f t="shared" si="5"/>
        <v>221.20065755113052</v>
      </c>
      <c r="L30" s="110">
        <f t="shared" si="5"/>
        <v>236.67538901353726</v>
      </c>
    </row>
    <row r="31" spans="1:14" x14ac:dyDescent="0.35">
      <c r="A31" s="14" t="s">
        <v>168</v>
      </c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</row>
    <row r="32" spans="1:14" x14ac:dyDescent="0.35">
      <c r="A32" s="104" t="s">
        <v>150</v>
      </c>
      <c r="B32" s="105">
        <f>B12*'Parameters, country spec'!B12</f>
        <v>0.61998750000000002</v>
      </c>
      <c r="C32" s="105">
        <f>C12*'Parameters, country spec'!C12</f>
        <v>0.69423750000000017</v>
      </c>
      <c r="D32" s="105">
        <f>D12*'Parameters, country spec'!D12</f>
        <v>0.69052499999999994</v>
      </c>
      <c r="E32" s="105">
        <f>E12*'Parameters, country spec'!E12</f>
        <v>0.67799531250000011</v>
      </c>
      <c r="F32" s="105">
        <f>F12*'Parameters, country spec'!F12</f>
        <v>0.6689925000000001</v>
      </c>
      <c r="G32" s="105">
        <f>G12*'Parameters, country spec'!G12</f>
        <v>0.68681250000000005</v>
      </c>
      <c r="H32" s="105">
        <f>H12*'Parameters, country spec'!H12</f>
        <v>0.72393750000000001</v>
      </c>
      <c r="I32" s="105">
        <f>I12*'Parameters, country spec'!I12</f>
        <v>0.68310000000000015</v>
      </c>
      <c r="J32" s="105">
        <f>J12*'Parameters, country spec'!J12</f>
        <v>0.67799531250000011</v>
      </c>
      <c r="K32" s="105">
        <f>K12*'Parameters, country spec'!K12</f>
        <v>0.63112500000000005</v>
      </c>
      <c r="L32" s="105">
        <f>L12*'Parameters, country spec'!L12</f>
        <v>0.69423750000000017</v>
      </c>
    </row>
    <row r="33" spans="1:12" x14ac:dyDescent="0.35">
      <c r="A33" s="104" t="s">
        <v>154</v>
      </c>
      <c r="B33" s="105">
        <f>B13*'Parameters, country spec'!B12</f>
        <v>1.3688211422175606E-2</v>
      </c>
      <c r="C33" s="105">
        <f>C13*'Parameters, country spec'!C12</f>
        <v>1.5327518179322385E-2</v>
      </c>
      <c r="D33" s="105">
        <f>D13*'Parameters, country spec'!D12</f>
        <v>1.5245552841465046E-2</v>
      </c>
      <c r="E33" s="105">
        <f>E13*'Parameters, country spec'!E12</f>
        <v>1.4968919826196527E-2</v>
      </c>
      <c r="F33" s="105">
        <f>F13*'Parameters, country spec'!F12</f>
        <v>1.477015388189248E-2</v>
      </c>
      <c r="G33" s="105">
        <f>G13*'Parameters, country spec'!G12</f>
        <v>1.5163587503607709E-2</v>
      </c>
      <c r="H33" s="105">
        <f>H13*'Parameters, country spec'!H12</f>
        <v>1.5983240882181098E-2</v>
      </c>
      <c r="I33" s="105">
        <f>I13*'Parameters, country spec'!I12</f>
        <v>1.5081622165750369E-2</v>
      </c>
      <c r="J33" s="105">
        <f>J13*'Parameters, country spec'!J12</f>
        <v>1.4968919826196527E-2</v>
      </c>
      <c r="K33" s="105">
        <f>K13*'Parameters, country spec'!K12</f>
        <v>1.3934107435747621E-2</v>
      </c>
      <c r="L33" s="105">
        <f>L13*'Parameters, country spec'!L12</f>
        <v>1.5327518179322385E-2</v>
      </c>
    </row>
    <row r="34" spans="1:12" x14ac:dyDescent="0.35">
      <c r="A34" s="104" t="s">
        <v>156</v>
      </c>
      <c r="B34" s="100">
        <f>B14*'Parameters, country spec'!B12</f>
        <v>41.556512139749998</v>
      </c>
      <c r="C34" s="100">
        <f>C14*'Parameters, country spec'!C12</f>
        <v>37.120038288101107</v>
      </c>
      <c r="D34" s="100">
        <f>D14*'Parameters, country spec'!D12</f>
        <v>37.639822863393697</v>
      </c>
      <c r="E34" s="100">
        <f>E14*'Parameters, country spec'!E12</f>
        <v>36.901576430304303</v>
      </c>
      <c r="F34" s="100">
        <f>F14*'Parameters, country spec'!F12</f>
        <v>38.812052532682891</v>
      </c>
      <c r="G34" s="100">
        <f>G14*'Parameters, country spec'!G12</f>
        <v>37.023209882812502</v>
      </c>
      <c r="H34" s="100">
        <f>H14*'Parameters, country spec'!H12</f>
        <v>31.530009686758351</v>
      </c>
      <c r="I34" s="100">
        <f>I14*'Parameters, country spec'!I12</f>
        <v>40.378719720148709</v>
      </c>
      <c r="J34" s="100">
        <f>J14*'Parameters, country spec'!J12</f>
        <v>36.90157643030431</v>
      </c>
      <c r="K34" s="100">
        <f>K14*'Parameters, country spec'!K12</f>
        <v>32.936148392595307</v>
      </c>
      <c r="L34" s="100">
        <f>L14*'Parameters, country spec'!L12</f>
        <v>35.22091293158455</v>
      </c>
    </row>
    <row r="35" spans="1:12" x14ac:dyDescent="0.35">
      <c r="A35" s="109" t="s">
        <v>160</v>
      </c>
      <c r="B35" s="110">
        <f t="shared" ref="B35:L35" si="6">SUM(B32:B34)</f>
        <v>42.190187851172176</v>
      </c>
      <c r="C35" s="110">
        <f t="shared" si="6"/>
        <v>37.829603306280433</v>
      </c>
      <c r="D35" s="110">
        <f t="shared" si="6"/>
        <v>38.345593416235161</v>
      </c>
      <c r="E35" s="110">
        <f t="shared" si="6"/>
        <v>37.5945406626305</v>
      </c>
      <c r="F35" s="110">
        <f t="shared" si="6"/>
        <v>39.495815186564784</v>
      </c>
      <c r="G35" s="110">
        <f t="shared" si="6"/>
        <v>37.725185970316112</v>
      </c>
      <c r="H35" s="110">
        <f t="shared" si="6"/>
        <v>32.269930427640531</v>
      </c>
      <c r="I35" s="110">
        <f t="shared" si="6"/>
        <v>41.076901342314457</v>
      </c>
      <c r="J35" s="110">
        <f t="shared" si="6"/>
        <v>37.594540662630507</v>
      </c>
      <c r="K35" s="110">
        <f t="shared" si="6"/>
        <v>33.581207500031056</v>
      </c>
      <c r="L35" s="110">
        <f t="shared" si="6"/>
        <v>35.930477949763876</v>
      </c>
    </row>
    <row r="36" spans="1:12" x14ac:dyDescent="0.35">
      <c r="A36" s="14" t="s">
        <v>169</v>
      </c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</row>
    <row r="37" spans="1:12" x14ac:dyDescent="0.35">
      <c r="A37" s="104" t="s">
        <v>150</v>
      </c>
      <c r="B37" s="100">
        <f t="shared" ref="B37:L37" si="7">B22+B27+B32</f>
        <v>53.340739374999991</v>
      </c>
      <c r="C37" s="100">
        <f t="shared" si="7"/>
        <v>59.728851875000011</v>
      </c>
      <c r="D37" s="100">
        <f t="shared" si="7"/>
        <v>59.409446249999988</v>
      </c>
      <c r="E37" s="100">
        <f t="shared" si="7"/>
        <v>58.331452265625003</v>
      </c>
      <c r="F37" s="100">
        <f t="shared" si="7"/>
        <v>57.556893625000001</v>
      </c>
      <c r="G37" s="100">
        <f t="shared" si="7"/>
        <v>59.090040625</v>
      </c>
      <c r="H37" s="100">
        <f t="shared" si="7"/>
        <v>62.284096874999989</v>
      </c>
      <c r="I37" s="100">
        <f t="shared" si="7"/>
        <v>58.77063500000002</v>
      </c>
      <c r="J37" s="100">
        <f t="shared" si="7"/>
        <v>58.331452265625003</v>
      </c>
      <c r="K37" s="100">
        <f t="shared" si="7"/>
        <v>54.298956249999996</v>
      </c>
      <c r="L37" s="100">
        <f t="shared" si="7"/>
        <v>59.728851875000011</v>
      </c>
    </row>
    <row r="38" spans="1:12" x14ac:dyDescent="0.35">
      <c r="A38" s="104" t="s">
        <v>154</v>
      </c>
      <c r="B38" s="100">
        <f t="shared" ref="B38:L38" si="8">B23+B28+B33</f>
        <v>0.6221555716191387</v>
      </c>
      <c r="C38" s="100">
        <f t="shared" si="8"/>
        <v>0.73290515074934715</v>
      </c>
      <c r="D38" s="100">
        <f t="shared" si="8"/>
        <v>0.75230592121472351</v>
      </c>
      <c r="E38" s="100">
        <f t="shared" si="8"/>
        <v>0.71237517136292872</v>
      </c>
      <c r="F38" s="100">
        <f t="shared" si="8"/>
        <v>0.66900810261021981</v>
      </c>
      <c r="G38" s="100">
        <f t="shared" si="8"/>
        <v>0.71519228945071345</v>
      </c>
      <c r="H38" s="100">
        <f t="shared" si="8"/>
        <v>1.0811810017281795</v>
      </c>
      <c r="I38" s="100">
        <f t="shared" si="8"/>
        <v>0.75654220559352936</v>
      </c>
      <c r="J38" s="100">
        <f t="shared" si="8"/>
        <v>0.71237517136292872</v>
      </c>
      <c r="K38" s="100">
        <f t="shared" si="8"/>
        <v>0.6360114962655834</v>
      </c>
      <c r="L38" s="100">
        <f t="shared" si="8"/>
        <v>0.72875196100860928</v>
      </c>
    </row>
    <row r="39" spans="1:12" x14ac:dyDescent="0.35">
      <c r="A39" s="104" t="s">
        <v>156</v>
      </c>
      <c r="B39" s="100">
        <f t="shared" ref="B39:L39" si="9">B24+B29+B34</f>
        <v>1888.8235115157586</v>
      </c>
      <c r="C39" s="100">
        <f t="shared" si="9"/>
        <v>1774.9427493137052</v>
      </c>
      <c r="D39" s="100">
        <f t="shared" si="9"/>
        <v>1857.3719108819982</v>
      </c>
      <c r="E39" s="100">
        <f t="shared" si="9"/>
        <v>1756.156565625733</v>
      </c>
      <c r="F39" s="100">
        <f t="shared" si="9"/>
        <v>1757.9761071501728</v>
      </c>
      <c r="G39" s="100">
        <f t="shared" si="9"/>
        <v>1746.2038078128387</v>
      </c>
      <c r="H39" s="100">
        <f t="shared" si="9"/>
        <v>2132.8369952575395</v>
      </c>
      <c r="I39" s="100">
        <f t="shared" si="9"/>
        <v>2025.5251948625084</v>
      </c>
      <c r="J39" s="100">
        <f t="shared" si="9"/>
        <v>1756.1565656257333</v>
      </c>
      <c r="K39" s="100">
        <f t="shared" si="9"/>
        <v>1503.3448763757071</v>
      </c>
      <c r="L39" s="100">
        <f t="shared" si="9"/>
        <v>1674.5900456364977</v>
      </c>
    </row>
    <row r="40" spans="1:12" x14ac:dyDescent="0.35">
      <c r="A40" s="109" t="s">
        <v>160</v>
      </c>
      <c r="B40" s="110">
        <f t="shared" ref="B40:L40" si="10">SUM(B37:B39)</f>
        <v>1942.7864064623777</v>
      </c>
      <c r="C40" s="110">
        <f t="shared" si="10"/>
        <v>1835.4045063394547</v>
      </c>
      <c r="D40" s="110">
        <f t="shared" si="10"/>
        <v>1917.5336630532129</v>
      </c>
      <c r="E40" s="110">
        <f t="shared" si="10"/>
        <v>1815.2003930627209</v>
      </c>
      <c r="F40" s="110">
        <f t="shared" si="10"/>
        <v>1816.2020088777831</v>
      </c>
      <c r="G40" s="110">
        <f t="shared" si="10"/>
        <v>1806.0090407272894</v>
      </c>
      <c r="H40" s="110">
        <f t="shared" si="10"/>
        <v>2196.2022731342677</v>
      </c>
      <c r="I40" s="110">
        <f t="shared" si="10"/>
        <v>2085.0523720681022</v>
      </c>
      <c r="J40" s="110">
        <f t="shared" si="10"/>
        <v>1815.2003930627211</v>
      </c>
      <c r="K40" s="110">
        <f t="shared" si="10"/>
        <v>1558.2798441219727</v>
      </c>
      <c r="L40" s="110">
        <f t="shared" si="10"/>
        <v>1735.0476494725065</v>
      </c>
    </row>
    <row r="41" spans="1:12" x14ac:dyDescent="0.35">
      <c r="A41" s="14" t="s">
        <v>170</v>
      </c>
      <c r="B41" s="103"/>
      <c r="C41" s="103"/>
      <c r="D41" s="103"/>
      <c r="E41" s="103"/>
      <c r="F41" s="103"/>
      <c r="G41" s="103"/>
      <c r="H41" s="103"/>
      <c r="I41" s="103"/>
      <c r="J41" s="103"/>
      <c r="K41" s="103"/>
      <c r="L41" s="103"/>
    </row>
    <row r="42" spans="1:12" x14ac:dyDescent="0.35">
      <c r="A42" s="104" t="s">
        <v>171</v>
      </c>
      <c r="B42" s="114">
        <f>B12*(1+'Parameters, country spec'!B20/100)/B40</f>
        <v>2.753911846512402E-4</v>
      </c>
      <c r="C42" s="114">
        <f>C12*(1+'Parameters, country spec'!C20/100)/C40</f>
        <v>2.9839539355402912E-4</v>
      </c>
      <c r="D42" s="114">
        <f>D12*(1+'Parameters, country spec'!D20/100)/D40</f>
        <v>2.8542132560455179E-4</v>
      </c>
      <c r="E42" s="114">
        <f>E12*(1+'Parameters, country spec'!E20/100)/E40</f>
        <v>3.0071005162425016E-4</v>
      </c>
      <c r="F42" s="114">
        <f>F12*(1+'Parameters, country spec'!F20/100)/F40</f>
        <v>2.9986171545780304E-4</v>
      </c>
      <c r="G42" s="114">
        <f>G12*(1+'Parameters, country spec'!G20/100)/G40</f>
        <v>3.0282586502432902E-4</v>
      </c>
      <c r="H42" s="114">
        <f>H12*(1+'Parameters, country spec'!H20/100)/H40</f>
        <v>2.5027578594369115E-4</v>
      </c>
      <c r="I42" s="114">
        <f>I12*(1+'Parameters, country spec'!I20/100)/I40</f>
        <v>2.6209413601345792E-4</v>
      </c>
      <c r="J42" s="114">
        <f>J12*(1+'Parameters, country spec'!J20/100)/J40</f>
        <v>3.0071005162425016E-4</v>
      </c>
      <c r="K42" s="114">
        <f>K12*(1+'Parameters, country spec'!K20/100)/K40</f>
        <v>3.4501184240301192E-4</v>
      </c>
      <c r="L42" s="114">
        <f>L12*(1+'Parameters, country spec'!L20/100)/L40</f>
        <v>3.1565487562632992E-4</v>
      </c>
    </row>
    <row r="43" spans="1:12" x14ac:dyDescent="0.35">
      <c r="A43" s="104" t="s">
        <v>154</v>
      </c>
      <c r="B43" s="53">
        <f t="shared" ref="B43:L43" si="11">B7/B40</f>
        <v>6.2503077927198878E-6</v>
      </c>
      <c r="C43" s="53">
        <f t="shared" si="11"/>
        <v>6.6159873608026541E-6</v>
      </c>
      <c r="D43" s="53">
        <f t="shared" si="11"/>
        <v>6.332620516589643E-6</v>
      </c>
      <c r="E43" s="53">
        <f t="shared" si="11"/>
        <v>6.6896267003411164E-6</v>
      </c>
      <c r="F43" s="53">
        <f t="shared" si="11"/>
        <v>6.6859374433822696E-6</v>
      </c>
      <c r="G43" s="53">
        <f t="shared" si="11"/>
        <v>6.7236723305726153E-6</v>
      </c>
      <c r="H43" s="53">
        <f t="shared" si="11"/>
        <v>5.5290959145454303E-6</v>
      </c>
      <c r="I43" s="53">
        <f t="shared" si="11"/>
        <v>5.8238407718544595E-6</v>
      </c>
      <c r="J43" s="53">
        <f t="shared" si="11"/>
        <v>6.6896267003411156E-6</v>
      </c>
      <c r="K43" s="53">
        <f t="shared" si="11"/>
        <v>7.7925752949362968E-6</v>
      </c>
      <c r="L43" s="53">
        <f t="shared" si="11"/>
        <v>6.9986625552294293E-6</v>
      </c>
    </row>
    <row r="44" spans="1:12" x14ac:dyDescent="0.35">
      <c r="A44" s="104" t="s">
        <v>172</v>
      </c>
      <c r="B44" s="114">
        <f t="shared" ref="B44:L44" si="12">SUM(B42:B43)</f>
        <v>2.8164149244396008E-4</v>
      </c>
      <c r="C44" s="114">
        <f t="shared" si="12"/>
        <v>3.0501138091483179E-4</v>
      </c>
      <c r="D44" s="114">
        <f t="shared" si="12"/>
        <v>2.9175394612114146E-4</v>
      </c>
      <c r="E44" s="114">
        <f t="shared" si="12"/>
        <v>3.073996783245913E-4</v>
      </c>
      <c r="F44" s="114">
        <f t="shared" si="12"/>
        <v>3.0654765290118532E-4</v>
      </c>
      <c r="G44" s="114">
        <f t="shared" si="12"/>
        <v>3.0954953735490162E-4</v>
      </c>
      <c r="H44" s="114">
        <f t="shared" si="12"/>
        <v>2.558048818582366E-4</v>
      </c>
      <c r="I44" s="114">
        <f t="shared" si="12"/>
        <v>2.6791797678531236E-4</v>
      </c>
      <c r="J44" s="114">
        <f t="shared" si="12"/>
        <v>3.073996783245913E-4</v>
      </c>
      <c r="K44" s="114">
        <f t="shared" si="12"/>
        <v>3.5280441769794824E-4</v>
      </c>
      <c r="L44" s="114">
        <f t="shared" si="12"/>
        <v>3.2265353818155932E-4</v>
      </c>
    </row>
    <row r="45" spans="1:12" x14ac:dyDescent="0.35">
      <c r="A45" s="104" t="s">
        <v>156</v>
      </c>
      <c r="B45" s="115">
        <f t="shared" ref="B45:L45" si="13">B8/B40</f>
        <v>1.6435671926562014E-2</v>
      </c>
      <c r="C45" s="115">
        <f t="shared" si="13"/>
        <v>1.5588821930592916E-2</v>
      </c>
      <c r="D45" s="115">
        <f t="shared" si="13"/>
        <v>1.4969387598680722E-2</v>
      </c>
      <c r="E45" s="115">
        <f t="shared" si="13"/>
        <v>1.5541195179164352E-2</v>
      </c>
      <c r="F45" s="115">
        <f t="shared" si="13"/>
        <v>1.6338640580513229E-2</v>
      </c>
      <c r="G45" s="115">
        <f t="shared" si="13"/>
        <v>1.558685442054257E-2</v>
      </c>
      <c r="H45" s="115">
        <f t="shared" si="13"/>
        <v>1.0915655993532208E-2</v>
      </c>
      <c r="I45" s="115">
        <f t="shared" si="13"/>
        <v>1.4695238877254903E-2</v>
      </c>
      <c r="J45" s="115">
        <f t="shared" si="13"/>
        <v>1.5541195179164354E-2</v>
      </c>
      <c r="K45" s="115">
        <f t="shared" si="13"/>
        <v>1.6426646294959959E-2</v>
      </c>
      <c r="L45" s="115">
        <f t="shared" si="13"/>
        <v>1.5348033756058001E-2</v>
      </c>
    </row>
    <row r="46" spans="1:12" x14ac:dyDescent="0.35">
      <c r="L46" s="16"/>
    </row>
    <row r="47" spans="1:12" x14ac:dyDescent="0.35">
      <c r="B47" s="116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DC3E6"/>
  </sheetPr>
  <dimension ref="A2:AQ119"/>
  <sheetViews>
    <sheetView topLeftCell="A105" zoomScale="86" zoomScaleNormal="86" workbookViewId="0">
      <selection activeCell="D122" sqref="D122"/>
    </sheetView>
  </sheetViews>
  <sheetFormatPr defaultColWidth="8.6328125" defaultRowHeight="14.5" x14ac:dyDescent="0.35"/>
  <cols>
    <col min="1" max="1" width="55.54296875" customWidth="1"/>
    <col min="2" max="11" width="10.54296875" customWidth="1"/>
    <col min="12" max="12" width="10.54296875" style="99" customWidth="1"/>
    <col min="14" max="14" width="29.453125" customWidth="1"/>
    <col min="15" max="15" width="24.453125" customWidth="1"/>
  </cols>
  <sheetData>
    <row r="2" spans="1:43" ht="18" customHeight="1" x14ac:dyDescent="0.45">
      <c r="A2" s="9" t="s">
        <v>173</v>
      </c>
    </row>
    <row r="3" spans="1:43" x14ac:dyDescent="0.35">
      <c r="B3" t="s">
        <v>39</v>
      </c>
      <c r="C3" t="s">
        <v>41</v>
      </c>
      <c r="D3" t="s">
        <v>43</v>
      </c>
      <c r="E3" t="s">
        <v>45</v>
      </c>
      <c r="F3" t="s">
        <v>47</v>
      </c>
      <c r="G3" t="s">
        <v>49</v>
      </c>
      <c r="H3" t="s">
        <v>51</v>
      </c>
      <c r="I3" t="s">
        <v>53</v>
      </c>
      <c r="J3" t="s">
        <v>55</v>
      </c>
      <c r="K3" t="s">
        <v>57</v>
      </c>
      <c r="L3" s="18" t="s">
        <v>59</v>
      </c>
    </row>
    <row r="4" spans="1:43" x14ac:dyDescent="0.35">
      <c r="A4" s="117" t="s">
        <v>174</v>
      </c>
      <c r="B4" s="117" t="s">
        <v>38</v>
      </c>
      <c r="C4" s="117" t="s">
        <v>40</v>
      </c>
      <c r="D4" s="117" t="s">
        <v>42</v>
      </c>
      <c r="E4" s="117" t="s">
        <v>44</v>
      </c>
      <c r="F4" s="117" t="s">
        <v>46</v>
      </c>
      <c r="G4" s="117" t="s">
        <v>48</v>
      </c>
      <c r="H4" s="117" t="s">
        <v>50</v>
      </c>
      <c r="I4" s="117" t="s">
        <v>52</v>
      </c>
      <c r="J4" s="117" t="s">
        <v>54</v>
      </c>
      <c r="K4" s="117" t="s">
        <v>56</v>
      </c>
      <c r="L4" s="117" t="s">
        <v>58</v>
      </c>
      <c r="N4" s="117" t="s">
        <v>175</v>
      </c>
      <c r="O4" s="117"/>
      <c r="P4" s="117"/>
    </row>
    <row r="5" spans="1:43" x14ac:dyDescent="0.35">
      <c r="A5" s="104" t="s">
        <v>176</v>
      </c>
      <c r="B5" s="118">
        <f>6*30-Time_piglet_system_DK</f>
        <v>110</v>
      </c>
      <c r="C5" s="118">
        <f>6*30-Time_piglet_system_FR</f>
        <v>110</v>
      </c>
      <c r="D5" s="118">
        <f>6*30-Time_piglet_system_DE</f>
        <v>110</v>
      </c>
      <c r="E5" s="118">
        <f>6*30-Time_piglet_system_GR</f>
        <v>110</v>
      </c>
      <c r="F5" s="118">
        <f>6*30-Time_piglet_system_HU</f>
        <v>110</v>
      </c>
      <c r="G5" s="118">
        <f>6*30-Time_piglet_system_IE</f>
        <v>110</v>
      </c>
      <c r="H5" s="118">
        <f>9*30-Time_piglet_system_IT</f>
        <v>200</v>
      </c>
      <c r="I5" s="118">
        <f>6*30-Time_piglet_system_NL</f>
        <v>110</v>
      </c>
      <c r="J5" s="118">
        <f>6*30-Time_piglet_system_PL</f>
        <v>110</v>
      </c>
      <c r="K5" s="118">
        <f>6*30-Time_piglet_system_ES</f>
        <v>110</v>
      </c>
      <c r="L5" s="119">
        <f>6*30-Time_piglet_system_SE</f>
        <v>110</v>
      </c>
      <c r="N5" s="106" t="s">
        <v>177</v>
      </c>
      <c r="O5" s="120"/>
    </row>
    <row r="6" spans="1:43" x14ac:dyDescent="0.35">
      <c r="A6" s="104" t="s">
        <v>178</v>
      </c>
      <c r="B6" s="121">
        <f>'Mortality &amp; FCR'!R12*100</f>
        <v>3.5000000000000004</v>
      </c>
      <c r="C6" s="121">
        <f>'Mortality &amp; FCR'!C12</f>
        <v>3.7542662116040999</v>
      </c>
      <c r="D6" s="121">
        <f>'Mortality &amp; FCR'!D12</f>
        <v>2.7210884353741402</v>
      </c>
      <c r="E6" s="121">
        <f>'Mortality &amp; FCR'!E12</f>
        <v>2.9592621060722482</v>
      </c>
      <c r="F6" s="121">
        <f>'Mortality &amp; FCR'!F12</f>
        <v>2.9702970297029769</v>
      </c>
      <c r="G6" s="121">
        <f>'Mortality &amp; FCR'!G12</f>
        <v>2.4305555555555531</v>
      </c>
      <c r="H6" s="121">
        <f>'Mortality &amp; FCR'!H12</f>
        <v>2.4291497975708416</v>
      </c>
      <c r="I6" s="121">
        <f>'Mortality &amp; FCR'!I12</f>
        <v>2.2364217252396146</v>
      </c>
      <c r="J6" s="121">
        <f>'Mortality &amp; FCR'!J12</f>
        <v>2.9592621060722477</v>
      </c>
      <c r="K6" s="121">
        <f>'Mortality &amp; FCR'!K12</f>
        <v>4.5454545454545432</v>
      </c>
      <c r="L6" s="121">
        <f>'Mortality &amp; FCR'!L12</f>
        <v>1.8315018315018317</v>
      </c>
      <c r="N6" s="106" t="s">
        <v>179</v>
      </c>
      <c r="O6" s="120"/>
    </row>
    <row r="7" spans="1:43" x14ac:dyDescent="0.35">
      <c r="A7" s="104" t="s">
        <v>180</v>
      </c>
      <c r="B7" s="119">
        <v>0.1</v>
      </c>
      <c r="C7" s="118">
        <f>AVERAGE(B7,L7)</f>
        <v>0.15000000000000002</v>
      </c>
      <c r="D7" s="118">
        <f>AVERAGE(B7,L7)</f>
        <v>0.15000000000000002</v>
      </c>
      <c r="E7" s="118">
        <f>AVERAGE(B7,L7)</f>
        <v>0.15000000000000002</v>
      </c>
      <c r="F7" s="118">
        <f>AVERAGE(B7,L7)</f>
        <v>0.15000000000000002</v>
      </c>
      <c r="G7" s="118">
        <f>AVERAGE(B7,L7)</f>
        <v>0.15000000000000002</v>
      </c>
      <c r="H7" s="118">
        <f>AVERAGE(B7,L7)</f>
        <v>0.15000000000000002</v>
      </c>
      <c r="I7" s="118">
        <f>AVERAGE(B7,L7)</f>
        <v>0.15000000000000002</v>
      </c>
      <c r="J7" s="118">
        <f>AVERAGE(B7,L7)</f>
        <v>0.15000000000000002</v>
      </c>
      <c r="K7" s="118">
        <f>AVERAGE(B7,L7)</f>
        <v>0.15000000000000002</v>
      </c>
      <c r="L7" s="119">
        <v>0.2</v>
      </c>
      <c r="N7" s="106" t="s">
        <v>181</v>
      </c>
    </row>
    <row r="8" spans="1:43" x14ac:dyDescent="0.35">
      <c r="A8" s="104" t="s">
        <v>182</v>
      </c>
      <c r="B8" s="118">
        <v>0.59</v>
      </c>
      <c r="C8" s="118">
        <v>0.59</v>
      </c>
      <c r="D8" s="118">
        <v>0.59</v>
      </c>
      <c r="E8" s="118">
        <v>0.59</v>
      </c>
      <c r="F8" s="118">
        <v>0.59</v>
      </c>
      <c r="G8" s="118">
        <v>0.59</v>
      </c>
      <c r="H8" s="118">
        <v>0.59</v>
      </c>
      <c r="I8" s="118">
        <v>0.59</v>
      </c>
      <c r="J8" s="118">
        <v>0.59</v>
      </c>
      <c r="K8" s="118">
        <v>0.59</v>
      </c>
      <c r="L8" s="118">
        <v>0.59</v>
      </c>
      <c r="N8" s="106" t="s">
        <v>183</v>
      </c>
      <c r="O8" s="120"/>
    </row>
    <row r="9" spans="1:43" x14ac:dyDescent="0.35">
      <c r="A9" s="104" t="s">
        <v>184</v>
      </c>
      <c r="B9" s="121">
        <v>86.64</v>
      </c>
      <c r="C9" s="121">
        <v>92.05</v>
      </c>
      <c r="D9" s="121">
        <v>95.55</v>
      </c>
      <c r="E9" s="122">
        <f>AVERAGE(B9:D9,K9:L9,I9,G9)</f>
        <v>91.532857142857139</v>
      </c>
      <c r="F9" s="121">
        <v>86.28</v>
      </c>
      <c r="G9" s="121">
        <v>90.56</v>
      </c>
      <c r="H9" s="121">
        <v>137.41999999999999</v>
      </c>
      <c r="I9" s="121">
        <v>97.42</v>
      </c>
      <c r="J9" s="122">
        <f>AVERAGE(B9:D9,K9:L9,I9,G9)</f>
        <v>91.532857142857139</v>
      </c>
      <c r="K9" s="121">
        <v>87.08</v>
      </c>
      <c r="L9" s="121">
        <v>91.43</v>
      </c>
      <c r="N9" s="106" t="s">
        <v>185</v>
      </c>
      <c r="O9" s="120"/>
      <c r="S9" s="123" t="s">
        <v>186</v>
      </c>
      <c r="T9" s="124"/>
      <c r="U9" s="124"/>
      <c r="V9" s="124"/>
      <c r="W9" s="125"/>
      <c r="Z9" s="126" t="s">
        <v>187</v>
      </c>
      <c r="AE9" t="s">
        <v>188</v>
      </c>
      <c r="AQ9" t="s">
        <v>189</v>
      </c>
    </row>
    <row r="10" spans="1:43" x14ac:dyDescent="0.35">
      <c r="A10" s="104" t="s">
        <v>190</v>
      </c>
      <c r="B10" s="122">
        <v>179.5</v>
      </c>
      <c r="C10" s="122">
        <v>179.5</v>
      </c>
      <c r="D10" s="122">
        <v>179.5</v>
      </c>
      <c r="E10" s="122">
        <v>179.5</v>
      </c>
      <c r="F10" s="122">
        <v>179.5</v>
      </c>
      <c r="G10" s="122">
        <v>179.5</v>
      </c>
      <c r="H10" s="122">
        <v>179.5</v>
      </c>
      <c r="I10" s="122">
        <v>179.5</v>
      </c>
      <c r="J10" s="122">
        <v>179.5</v>
      </c>
      <c r="K10" s="122">
        <v>179.5</v>
      </c>
      <c r="L10" s="121">
        <v>179.5</v>
      </c>
      <c r="N10" s="106" t="s">
        <v>191</v>
      </c>
      <c r="O10" s="120"/>
      <c r="S10" s="127"/>
      <c r="T10" s="106" t="s">
        <v>192</v>
      </c>
      <c r="U10" s="106" t="s">
        <v>193</v>
      </c>
      <c r="V10" s="106" t="s">
        <v>194</v>
      </c>
      <c r="W10" s="128"/>
    </row>
    <row r="11" spans="1:43" x14ac:dyDescent="0.35">
      <c r="A11" s="104" t="s">
        <v>195</v>
      </c>
      <c r="B11" s="122">
        <f t="shared" ref="B11:L11" si="0">$V$29</f>
        <v>8.8925000000000018</v>
      </c>
      <c r="C11" s="122">
        <f t="shared" si="0"/>
        <v>8.8925000000000018</v>
      </c>
      <c r="D11" s="122">
        <f t="shared" si="0"/>
        <v>8.8925000000000018</v>
      </c>
      <c r="E11" s="122">
        <f t="shared" si="0"/>
        <v>8.8925000000000018</v>
      </c>
      <c r="F11" s="122">
        <f t="shared" si="0"/>
        <v>8.8925000000000018</v>
      </c>
      <c r="G11" s="122">
        <f t="shared" si="0"/>
        <v>8.8925000000000018</v>
      </c>
      <c r="H11" s="122">
        <f t="shared" si="0"/>
        <v>8.8925000000000018</v>
      </c>
      <c r="I11" s="122">
        <f t="shared" si="0"/>
        <v>8.8925000000000018</v>
      </c>
      <c r="J11" s="122">
        <f t="shared" si="0"/>
        <v>8.8925000000000018</v>
      </c>
      <c r="K11" s="122">
        <f t="shared" si="0"/>
        <v>8.8925000000000018</v>
      </c>
      <c r="L11" s="121">
        <f t="shared" si="0"/>
        <v>8.8925000000000018</v>
      </c>
      <c r="N11" s="106" t="s">
        <v>196</v>
      </c>
      <c r="O11" s="106"/>
      <c r="S11" s="127" t="s">
        <v>197</v>
      </c>
      <c r="T11" s="106">
        <v>3</v>
      </c>
      <c r="U11" s="106">
        <v>0</v>
      </c>
      <c r="V11" s="106">
        <f>T11*U11/100</f>
        <v>0</v>
      </c>
      <c r="W11" s="128"/>
    </row>
    <row r="12" spans="1:43" x14ac:dyDescent="0.35">
      <c r="A12" s="104" t="s">
        <v>198</v>
      </c>
      <c r="B12" s="122">
        <f t="shared" ref="B12:K12" si="1">$L$12</f>
        <v>1.35</v>
      </c>
      <c r="C12" s="122">
        <f t="shared" si="1"/>
        <v>1.35</v>
      </c>
      <c r="D12" s="122">
        <f t="shared" si="1"/>
        <v>1.35</v>
      </c>
      <c r="E12" s="122">
        <f t="shared" si="1"/>
        <v>1.35</v>
      </c>
      <c r="F12" s="122">
        <f t="shared" si="1"/>
        <v>1.35</v>
      </c>
      <c r="G12" s="122">
        <f t="shared" si="1"/>
        <v>1.35</v>
      </c>
      <c r="H12" s="122">
        <f t="shared" si="1"/>
        <v>1.35</v>
      </c>
      <c r="I12" s="122">
        <f t="shared" si="1"/>
        <v>1.35</v>
      </c>
      <c r="J12" s="122">
        <f t="shared" si="1"/>
        <v>1.35</v>
      </c>
      <c r="K12" s="122">
        <f t="shared" si="1"/>
        <v>1.35</v>
      </c>
      <c r="L12" s="121">
        <f>V23</f>
        <v>1.35</v>
      </c>
      <c r="N12" s="106" t="s">
        <v>196</v>
      </c>
      <c r="O12" s="106"/>
      <c r="S12" s="127"/>
      <c r="T12" s="106"/>
      <c r="U12" s="106"/>
      <c r="V12" s="106"/>
      <c r="W12" s="128"/>
    </row>
    <row r="13" spans="1:43" x14ac:dyDescent="0.35">
      <c r="A13" s="104" t="s">
        <v>199</v>
      </c>
      <c r="B13" s="122">
        <v>55</v>
      </c>
      <c r="C13" s="122">
        <v>55</v>
      </c>
      <c r="D13" s="122">
        <v>55</v>
      </c>
      <c r="E13" s="122">
        <v>55</v>
      </c>
      <c r="F13" s="122">
        <v>55</v>
      </c>
      <c r="G13" s="122">
        <v>55</v>
      </c>
      <c r="H13" s="122">
        <v>55</v>
      </c>
      <c r="I13" s="122">
        <v>55</v>
      </c>
      <c r="J13" s="122">
        <v>55</v>
      </c>
      <c r="K13" s="122">
        <v>55</v>
      </c>
      <c r="L13" s="122">
        <v>55</v>
      </c>
      <c r="N13" s="106" t="s">
        <v>200</v>
      </c>
      <c r="O13" s="120"/>
      <c r="S13" s="127" t="s">
        <v>201</v>
      </c>
      <c r="T13" s="106">
        <v>5.5</v>
      </c>
      <c r="U13" s="106">
        <v>94</v>
      </c>
      <c r="V13" s="106">
        <f>T13*U13/100</f>
        <v>5.17</v>
      </c>
      <c r="W13" s="128"/>
    </row>
    <row r="14" spans="1:43" x14ac:dyDescent="0.35">
      <c r="A14" s="104" t="s">
        <v>202</v>
      </c>
      <c r="B14" s="57">
        <f>'Mortality &amp; FCR'!B6</f>
        <v>40.1</v>
      </c>
      <c r="C14" s="57">
        <f>'Mortality &amp; FCR'!C6</f>
        <v>35.299999999999997</v>
      </c>
      <c r="D14" s="57">
        <f>'Mortality &amp; FCR'!D6</f>
        <v>35.700000000000003</v>
      </c>
      <c r="E14" s="57">
        <f>'Mortality &amp; FCR'!E6</f>
        <v>34.577777777777776</v>
      </c>
      <c r="F14" s="57">
        <f>'Mortality &amp; FCR'!F6</f>
        <v>34.799999999999997</v>
      </c>
      <c r="G14" s="57">
        <f>'Mortality &amp; FCR'!G6</f>
        <v>33.299999999999997</v>
      </c>
      <c r="H14" s="57">
        <f>'Mortality &amp; FCR'!H6</f>
        <v>29.4</v>
      </c>
      <c r="I14" s="57">
        <f>'Mortality &amp; FCR'!I6</f>
        <v>36.5</v>
      </c>
      <c r="J14" s="57">
        <f>'Mortality &amp; FCR'!J6</f>
        <v>34.577777777777776</v>
      </c>
      <c r="K14" s="57">
        <f>'Mortality &amp; FCR'!K6</f>
        <v>32.6</v>
      </c>
      <c r="L14" s="57">
        <f>'Mortality &amp; FCR'!L6</f>
        <v>33.5</v>
      </c>
      <c r="N14" s="106"/>
      <c r="O14" s="120"/>
      <c r="S14" s="127" t="s">
        <v>203</v>
      </c>
      <c r="T14" s="106" t="s">
        <v>204</v>
      </c>
      <c r="U14" s="106"/>
      <c r="V14" s="106"/>
      <c r="W14" s="128"/>
    </row>
    <row r="15" spans="1:43" x14ac:dyDescent="0.35">
      <c r="A15" s="104" t="s">
        <v>205</v>
      </c>
      <c r="B15" s="118">
        <v>70</v>
      </c>
      <c r="C15" s="118">
        <v>70</v>
      </c>
      <c r="D15" s="118">
        <v>70</v>
      </c>
      <c r="E15" s="118">
        <v>70</v>
      </c>
      <c r="F15" s="118">
        <v>70</v>
      </c>
      <c r="G15" s="118">
        <v>70</v>
      </c>
      <c r="H15" s="118">
        <v>70</v>
      </c>
      <c r="I15" s="118">
        <v>70</v>
      </c>
      <c r="J15" s="118">
        <v>70</v>
      </c>
      <c r="K15" s="118">
        <v>70</v>
      </c>
      <c r="L15" s="118">
        <v>70</v>
      </c>
      <c r="N15" s="106" t="s">
        <v>206</v>
      </c>
      <c r="O15" s="120" t="s">
        <v>207</v>
      </c>
      <c r="S15" s="127" t="s">
        <v>208</v>
      </c>
      <c r="T15" s="106" t="s">
        <v>204</v>
      </c>
      <c r="U15" s="106"/>
      <c r="V15" s="106"/>
      <c r="W15" s="128"/>
    </row>
    <row r="16" spans="1:43" x14ac:dyDescent="0.35">
      <c r="A16" s="104" t="s">
        <v>209</v>
      </c>
      <c r="B16" s="118">
        <f t="shared" ref="B16:L16" si="2">6*30</f>
        <v>180</v>
      </c>
      <c r="C16" s="118">
        <f t="shared" si="2"/>
        <v>180</v>
      </c>
      <c r="D16" s="118">
        <f t="shared" si="2"/>
        <v>180</v>
      </c>
      <c r="E16" s="118">
        <f t="shared" si="2"/>
        <v>180</v>
      </c>
      <c r="F16" s="118">
        <f t="shared" si="2"/>
        <v>180</v>
      </c>
      <c r="G16" s="118">
        <f t="shared" si="2"/>
        <v>180</v>
      </c>
      <c r="H16" s="118">
        <f t="shared" si="2"/>
        <v>180</v>
      </c>
      <c r="I16" s="118">
        <f t="shared" si="2"/>
        <v>180</v>
      </c>
      <c r="J16" s="118">
        <f t="shared" si="2"/>
        <v>180</v>
      </c>
      <c r="K16" s="118">
        <f t="shared" si="2"/>
        <v>180</v>
      </c>
      <c r="L16" s="118">
        <f t="shared" si="2"/>
        <v>180</v>
      </c>
      <c r="N16" s="106"/>
      <c r="O16" s="120"/>
      <c r="S16" s="127"/>
      <c r="T16" s="106"/>
      <c r="U16" s="106"/>
      <c r="V16" s="106"/>
      <c r="W16" s="128"/>
    </row>
    <row r="17" spans="1:23" x14ac:dyDescent="0.35">
      <c r="A17" s="104" t="s">
        <v>210</v>
      </c>
      <c r="B17" s="121">
        <f>('Mortality &amp; FCR'!R8+'Mortality &amp; FCR'!R10)*100</f>
        <v>19</v>
      </c>
      <c r="C17" s="121">
        <f>'Mortality &amp; FCR'!C8+'Mortality &amp; FCR'!C10</f>
        <v>17.38868549593893</v>
      </c>
      <c r="D17" s="121">
        <f>'Mortality &amp; FCR'!D8+'Mortality &amp; FCR'!D10</f>
        <v>18.055169087502563</v>
      </c>
      <c r="E17" s="121">
        <f>'Mortality &amp; FCR'!E8+'Mortality &amp; FCR'!E10</f>
        <v>16.82408342514384</v>
      </c>
      <c r="F17" s="121">
        <f>'Mortality &amp; FCR'!F8+'Mortality &amp; FCR'!F10</f>
        <v>13.148644124539663</v>
      </c>
      <c r="G17" s="121">
        <f>'Mortality &amp; FCR'!G8+'Mortality &amp; FCR'!G10</f>
        <v>13.813813813813805</v>
      </c>
      <c r="H17" s="121">
        <f>'Mortality &amp; FCR'!H8+'Mortality &amp; FCR'!H10</f>
        <v>16.588474470247867</v>
      </c>
      <c r="I17" s="121">
        <f>'Mortality &amp; FCR'!I8+'Mortality &amp; FCR'!I10</f>
        <v>14.547006358554174</v>
      </c>
      <c r="J17" s="121">
        <f>'Mortality &amp; FCR'!J8+'Mortality &amp; FCR'!J10</f>
        <v>16.824083425143829</v>
      </c>
      <c r="K17" s="121">
        <f>'Mortality &amp; FCR'!K8+'Mortality &amp; FCR'!K10</f>
        <v>19.793522000131944</v>
      </c>
      <c r="L17" s="121">
        <f>'Mortality &amp; FCR'!L8+'Mortality &amp; FCR'!L10</f>
        <v>18.86695554485636</v>
      </c>
      <c r="N17" s="106" t="s">
        <v>179</v>
      </c>
      <c r="O17" s="120"/>
      <c r="S17" s="127" t="s">
        <v>211</v>
      </c>
      <c r="T17" s="106" t="s">
        <v>204</v>
      </c>
      <c r="U17" s="106"/>
      <c r="V17" s="106"/>
      <c r="W17" s="128"/>
    </row>
    <row r="18" spans="1:23" x14ac:dyDescent="0.35">
      <c r="A18" s="104" t="s">
        <v>212</v>
      </c>
      <c r="B18" s="121">
        <f t="shared" ref="B18:L18" si="3">B14*(100-B17)/100</f>
        <v>32.481000000000002</v>
      </c>
      <c r="C18" s="121">
        <f t="shared" si="3"/>
        <v>29.161794019933556</v>
      </c>
      <c r="D18" s="121">
        <f t="shared" si="3"/>
        <v>29.254304635761585</v>
      </c>
      <c r="E18" s="121">
        <f t="shared" si="3"/>
        <v>28.760383597883596</v>
      </c>
      <c r="F18" s="121">
        <f t="shared" si="3"/>
        <v>30.224271844660198</v>
      </c>
      <c r="G18" s="121">
        <f t="shared" si="3"/>
        <v>28.7</v>
      </c>
      <c r="H18" s="121">
        <f t="shared" si="3"/>
        <v>24.522988505747129</v>
      </c>
      <c r="I18" s="121">
        <f t="shared" si="3"/>
        <v>31.190342679127731</v>
      </c>
      <c r="J18" s="121">
        <f t="shared" si="3"/>
        <v>28.760383597883603</v>
      </c>
      <c r="K18" s="121">
        <f t="shared" si="3"/>
        <v>26.147311827956987</v>
      </c>
      <c r="L18" s="121">
        <f t="shared" si="3"/>
        <v>27.179569892473122</v>
      </c>
      <c r="N18" s="106"/>
      <c r="O18" s="120"/>
      <c r="S18" s="127" t="s">
        <v>213</v>
      </c>
      <c r="T18" s="106">
        <v>0.5</v>
      </c>
      <c r="U18" s="106">
        <v>0</v>
      </c>
      <c r="V18" s="106">
        <f>T18*U18/100</f>
        <v>0</v>
      </c>
      <c r="W18" s="128"/>
    </row>
    <row r="19" spans="1:23" x14ac:dyDescent="0.35">
      <c r="A19" s="104" t="s">
        <v>214</v>
      </c>
      <c r="B19" s="129">
        <f t="shared" ref="B19:L19" si="4">1725/142057</f>
        <v>1.2143013015902067E-2</v>
      </c>
      <c r="C19" s="129">
        <f t="shared" si="4"/>
        <v>1.2143013015902067E-2</v>
      </c>
      <c r="D19" s="129">
        <f t="shared" si="4"/>
        <v>1.2143013015902067E-2</v>
      </c>
      <c r="E19" s="129">
        <f t="shared" si="4"/>
        <v>1.2143013015902067E-2</v>
      </c>
      <c r="F19" s="129">
        <f t="shared" si="4"/>
        <v>1.2143013015902067E-2</v>
      </c>
      <c r="G19" s="129">
        <f t="shared" si="4"/>
        <v>1.2143013015902067E-2</v>
      </c>
      <c r="H19" s="129">
        <f t="shared" si="4"/>
        <v>1.2143013015902067E-2</v>
      </c>
      <c r="I19" s="129">
        <f t="shared" si="4"/>
        <v>1.2143013015902067E-2</v>
      </c>
      <c r="J19" s="129">
        <f t="shared" si="4"/>
        <v>1.2143013015902067E-2</v>
      </c>
      <c r="K19" s="129">
        <f t="shared" si="4"/>
        <v>1.2143013015902067E-2</v>
      </c>
      <c r="L19" s="129">
        <f t="shared" si="4"/>
        <v>1.2143013015902067E-2</v>
      </c>
      <c r="N19" s="106" t="s">
        <v>215</v>
      </c>
      <c r="O19" s="120"/>
      <c r="S19" s="127" t="s">
        <v>216</v>
      </c>
      <c r="T19" s="106">
        <v>0.4</v>
      </c>
      <c r="U19" s="106">
        <v>74</v>
      </c>
      <c r="V19" s="106">
        <f>T19*U19/100</f>
        <v>0.29600000000000004</v>
      </c>
      <c r="W19" s="128"/>
    </row>
    <row r="20" spans="1:23" x14ac:dyDescent="0.35">
      <c r="A20" s="104" t="s">
        <v>217</v>
      </c>
      <c r="B20" s="121">
        <v>16.5</v>
      </c>
      <c r="C20" s="121">
        <v>6.5</v>
      </c>
      <c r="D20" s="121">
        <v>7</v>
      </c>
      <c r="E20" s="122">
        <f>AVERAGE(B20:D20,G20:I20,K20:L20)</f>
        <v>8.6875</v>
      </c>
      <c r="F20" s="121">
        <v>9.9</v>
      </c>
      <c r="G20" s="121">
        <v>7.5</v>
      </c>
      <c r="H20" s="121">
        <v>2.5</v>
      </c>
      <c r="I20" s="121">
        <v>8</v>
      </c>
      <c r="J20" s="122">
        <f>AVERAGE(B20:D20,G20:I20,K20:L20)</f>
        <v>8.6875</v>
      </c>
      <c r="K20" s="121">
        <v>15</v>
      </c>
      <c r="L20" s="121">
        <v>6.5</v>
      </c>
      <c r="N20" s="106" t="s">
        <v>218</v>
      </c>
      <c r="O20" s="120"/>
      <c r="S20" s="127" t="s">
        <v>219</v>
      </c>
      <c r="T20" s="106">
        <v>1.4</v>
      </c>
      <c r="U20" s="106">
        <v>76</v>
      </c>
      <c r="V20" s="106">
        <f>T20*U20/100</f>
        <v>1.0639999999999998</v>
      </c>
      <c r="W20" s="128"/>
    </row>
    <row r="21" spans="1:23" x14ac:dyDescent="0.35">
      <c r="A21" s="104" t="s">
        <v>220</v>
      </c>
      <c r="B21" s="56">
        <f t="shared" ref="B21:L21" si="5">B6+B17</f>
        <v>22.5</v>
      </c>
      <c r="C21" s="56">
        <f t="shared" si="5"/>
        <v>21.14295170754303</v>
      </c>
      <c r="D21" s="56">
        <f t="shared" si="5"/>
        <v>20.776257522876705</v>
      </c>
      <c r="E21" s="56">
        <f t="shared" si="5"/>
        <v>19.783345531216089</v>
      </c>
      <c r="F21" s="56">
        <f t="shared" si="5"/>
        <v>16.118941154242641</v>
      </c>
      <c r="G21" s="56">
        <f t="shared" si="5"/>
        <v>16.244369369369359</v>
      </c>
      <c r="H21" s="56">
        <f t="shared" si="5"/>
        <v>19.017624267818707</v>
      </c>
      <c r="I21" s="56">
        <f t="shared" si="5"/>
        <v>16.78342808379379</v>
      </c>
      <c r="J21" s="56">
        <f t="shared" si="5"/>
        <v>19.783345531216078</v>
      </c>
      <c r="K21" s="56">
        <f t="shared" si="5"/>
        <v>24.338976545586487</v>
      </c>
      <c r="L21" s="56">
        <f t="shared" si="5"/>
        <v>20.698457376358192</v>
      </c>
      <c r="N21" s="106" t="s">
        <v>221</v>
      </c>
      <c r="O21" s="120"/>
      <c r="S21" s="127" t="s">
        <v>222</v>
      </c>
      <c r="T21" s="106">
        <v>0.25</v>
      </c>
      <c r="U21" s="106">
        <v>23</v>
      </c>
      <c r="V21" s="106">
        <f>T21*U21/100</f>
        <v>5.7500000000000002E-2</v>
      </c>
      <c r="W21" s="128"/>
    </row>
    <row r="22" spans="1:23" x14ac:dyDescent="0.35">
      <c r="A22" s="104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N22" s="106"/>
      <c r="O22" s="120"/>
      <c r="S22" s="127"/>
      <c r="T22" s="106"/>
      <c r="U22" s="106"/>
      <c r="V22" s="106"/>
      <c r="W22" s="128"/>
    </row>
    <row r="23" spans="1:23" x14ac:dyDescent="0.35">
      <c r="A23" s="117" t="s">
        <v>223</v>
      </c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30"/>
      <c r="N23" s="106"/>
      <c r="O23" s="120"/>
      <c r="S23" s="127" t="s">
        <v>224</v>
      </c>
      <c r="T23" s="106">
        <v>1.5</v>
      </c>
      <c r="U23" s="106">
        <v>90</v>
      </c>
      <c r="V23" s="106">
        <f t="shared" ref="V23:V28" si="6">T23*U23/100</f>
        <v>1.35</v>
      </c>
      <c r="W23" s="128" t="s">
        <v>225</v>
      </c>
    </row>
    <row r="24" spans="1:23" x14ac:dyDescent="0.35">
      <c r="A24" s="131" t="s">
        <v>226</v>
      </c>
      <c r="B24" s="132">
        <v>0.4</v>
      </c>
      <c r="C24" s="133">
        <v>0.12973292757166499</v>
      </c>
      <c r="D24" s="133">
        <v>0.115263132515857</v>
      </c>
      <c r="E24" s="133">
        <v>0.14058778141858899</v>
      </c>
      <c r="F24" s="133">
        <v>7.6814695206271794E-2</v>
      </c>
      <c r="G24" s="133">
        <v>0.307844183864661</v>
      </c>
      <c r="H24" s="133">
        <v>6.7331149351278805E-2</v>
      </c>
      <c r="I24" s="133">
        <v>8.7412023715897402E-2</v>
      </c>
      <c r="J24" s="133">
        <v>0.163301741788557</v>
      </c>
      <c r="K24" s="133">
        <v>0.22020467449872899</v>
      </c>
      <c r="L24" s="132">
        <v>0.26218798715146902</v>
      </c>
      <c r="N24" s="106" t="s">
        <v>227</v>
      </c>
      <c r="O24" s="120"/>
      <c r="S24" s="127" t="s">
        <v>228</v>
      </c>
      <c r="T24" s="106">
        <v>0.6</v>
      </c>
      <c r="U24" s="106">
        <v>9</v>
      </c>
      <c r="V24" s="106">
        <f t="shared" si="6"/>
        <v>5.3999999999999992E-2</v>
      </c>
      <c r="W24" s="128"/>
    </row>
    <row r="25" spans="1:23" x14ac:dyDescent="0.35">
      <c r="A25" s="134" t="s">
        <v>229</v>
      </c>
      <c r="C25" s="133">
        <v>0.21338006498227899</v>
      </c>
      <c r="D25" s="133">
        <v>0.171606022789734</v>
      </c>
      <c r="E25" s="133">
        <v>0.42048559354051401</v>
      </c>
      <c r="F25" s="133">
        <v>0.45561964069086502</v>
      </c>
      <c r="G25" s="133">
        <v>8.4847862288085996E-2</v>
      </c>
      <c r="H25" s="133">
        <v>0.44026970650157499</v>
      </c>
      <c r="I25" s="133">
        <v>0.26251561737967899</v>
      </c>
      <c r="J25" s="133">
        <v>0.22370545528493599</v>
      </c>
      <c r="K25" s="133">
        <v>0.290430240053419</v>
      </c>
      <c r="L25" s="132">
        <v>2.7145227912969199E-3</v>
      </c>
      <c r="N25" s="106" t="s">
        <v>230</v>
      </c>
      <c r="O25" s="120"/>
      <c r="S25" s="127" t="s">
        <v>231</v>
      </c>
      <c r="T25" s="106">
        <v>0.4</v>
      </c>
      <c r="U25" s="106">
        <v>95</v>
      </c>
      <c r="V25" s="106">
        <f t="shared" si="6"/>
        <v>0.38</v>
      </c>
      <c r="W25" s="128"/>
    </row>
    <row r="26" spans="1:23" x14ac:dyDescent="0.35">
      <c r="A26" s="134" t="s">
        <v>232</v>
      </c>
      <c r="B26" s="132"/>
      <c r="C26" s="133">
        <v>1.47009557501117E-2</v>
      </c>
      <c r="D26" s="133">
        <v>2.29435632848831E-5</v>
      </c>
      <c r="E26" s="133">
        <v>3.8207301246899902E-2</v>
      </c>
      <c r="F26" s="133">
        <v>4.1142483484800201E-2</v>
      </c>
      <c r="G26" s="133">
        <v>1.7744137138732002E-2</v>
      </c>
      <c r="H26" s="133">
        <v>1.3982897878135701E-2</v>
      </c>
      <c r="I26" s="133">
        <v>2.87128599308842E-3</v>
      </c>
      <c r="J26" s="133">
        <v>4.8907896416157601E-3</v>
      </c>
      <c r="K26" s="133">
        <v>3.4333767030039902E-2</v>
      </c>
      <c r="L26" s="132">
        <v>4.4514084693111099E-2</v>
      </c>
      <c r="N26" s="106" t="s">
        <v>233</v>
      </c>
      <c r="O26" s="120"/>
      <c r="S26" s="127" t="s">
        <v>234</v>
      </c>
      <c r="T26" s="106">
        <v>4.3</v>
      </c>
      <c r="U26" s="106">
        <v>21</v>
      </c>
      <c r="V26" s="106">
        <f t="shared" si="6"/>
        <v>0.90300000000000002</v>
      </c>
      <c r="W26" s="128"/>
    </row>
    <row r="27" spans="1:23" x14ac:dyDescent="0.35">
      <c r="A27" s="134" t="s">
        <v>235</v>
      </c>
      <c r="B27" s="132"/>
      <c r="C27" s="133">
        <v>2.2576295256694101E-3</v>
      </c>
      <c r="D27" s="133">
        <v>1.8828087929403499E-2</v>
      </c>
      <c r="E27" s="133">
        <v>8.4271833798069493E-3</v>
      </c>
      <c r="F27" s="133">
        <v>1.5990662090106501E-2</v>
      </c>
      <c r="G27" s="133">
        <v>0</v>
      </c>
      <c r="H27" s="133">
        <v>1.11410623748523E-3</v>
      </c>
      <c r="I27" s="133">
        <v>1.08046086982512E-2</v>
      </c>
      <c r="J27" s="133">
        <v>6.3855774971504797E-2</v>
      </c>
      <c r="K27" s="133">
        <v>9.0626383572879297E-3</v>
      </c>
      <c r="L27" s="132">
        <v>2.7912717555004501E-2</v>
      </c>
      <c r="N27" s="106"/>
      <c r="O27" s="120"/>
      <c r="S27" s="127" t="s">
        <v>236</v>
      </c>
      <c r="T27" s="106">
        <v>0.3</v>
      </c>
      <c r="U27" s="106">
        <v>56</v>
      </c>
      <c r="V27" s="106">
        <f t="shared" si="6"/>
        <v>0.16800000000000001</v>
      </c>
      <c r="W27" s="128"/>
    </row>
    <row r="28" spans="1:23" x14ac:dyDescent="0.35">
      <c r="A28" s="135" t="s">
        <v>237</v>
      </c>
      <c r="B28" s="132">
        <v>0.32</v>
      </c>
      <c r="C28" s="133">
        <v>0.31605527388289001</v>
      </c>
      <c r="D28" s="133">
        <v>0.38499846835384399</v>
      </c>
      <c r="E28" s="133">
        <v>6.0433584669897797E-3</v>
      </c>
      <c r="F28" s="133">
        <v>7.1936556132033605E-2</v>
      </c>
      <c r="G28" s="133">
        <v>0.13221920344294899</v>
      </c>
      <c r="H28" s="133">
        <v>6.3776792034317603E-2</v>
      </c>
      <c r="I28" s="133">
        <v>0.295775529852283</v>
      </c>
      <c r="J28" s="133">
        <v>0.25675160576024197</v>
      </c>
      <c r="K28" s="133">
        <v>0.18653591098002201</v>
      </c>
      <c r="L28" s="132">
        <v>0.32729029603711102</v>
      </c>
      <c r="N28" s="106"/>
      <c r="O28" s="120"/>
      <c r="S28" s="127" t="s">
        <v>238</v>
      </c>
      <c r="T28" s="106">
        <v>0.8</v>
      </c>
      <c r="U28" s="106">
        <v>100</v>
      </c>
      <c r="V28" s="106">
        <f t="shared" si="6"/>
        <v>0.8</v>
      </c>
      <c r="W28" s="128"/>
    </row>
    <row r="29" spans="1:23" x14ac:dyDescent="0.35">
      <c r="A29" s="134" t="s">
        <v>239</v>
      </c>
      <c r="B29" s="132"/>
      <c r="C29" s="133">
        <v>0</v>
      </c>
      <c r="D29" s="133">
        <v>1.3290604571676301E-3</v>
      </c>
      <c r="E29" s="133">
        <v>8.3484845362647201E-4</v>
      </c>
      <c r="F29" s="133">
        <v>1.6050102986641199E-3</v>
      </c>
      <c r="G29" s="133">
        <v>1.3439604117918E-3</v>
      </c>
      <c r="H29" s="133">
        <v>3.3307304103593399E-3</v>
      </c>
      <c r="I29" s="133">
        <v>0</v>
      </c>
      <c r="J29" s="133">
        <v>4.3260384773615799E-3</v>
      </c>
      <c r="K29" s="133">
        <v>6.7614174404510797E-3</v>
      </c>
      <c r="L29" s="132">
        <v>4.8974646420038301E-3</v>
      </c>
      <c r="N29" s="120"/>
      <c r="O29" s="120"/>
      <c r="S29" s="136"/>
      <c r="T29" s="137"/>
      <c r="U29" s="137" t="s">
        <v>240</v>
      </c>
      <c r="V29" s="138">
        <f>SUM(V11:V28)-V23</f>
        <v>8.8925000000000018</v>
      </c>
      <c r="W29" s="139"/>
    </row>
    <row r="30" spans="1:23" x14ac:dyDescent="0.35">
      <c r="A30" s="134" t="s">
        <v>241</v>
      </c>
      <c r="B30" s="132"/>
      <c r="C30" s="133">
        <v>0</v>
      </c>
      <c r="D30" s="133">
        <v>1.3055753467122299E-3</v>
      </c>
      <c r="E30" s="133">
        <v>8.20096296503733E-4</v>
      </c>
      <c r="F30" s="133">
        <v>1.5766490275233799E-3</v>
      </c>
      <c r="G30" s="133">
        <v>1.32021201218937E-3</v>
      </c>
      <c r="H30" s="133">
        <v>3.27187486999235E-3</v>
      </c>
      <c r="I30" s="133">
        <v>0</v>
      </c>
      <c r="J30" s="133">
        <v>4.2495953847607997E-3</v>
      </c>
      <c r="K30" s="133">
        <v>6.6419400786463401E-3</v>
      </c>
      <c r="L30" s="132">
        <v>5.63859541846429E-2</v>
      </c>
      <c r="N30" s="120"/>
      <c r="O30" s="120"/>
    </row>
    <row r="31" spans="1:23" x14ac:dyDescent="0.35">
      <c r="A31" s="134" t="s">
        <v>242</v>
      </c>
      <c r="B31" s="132">
        <v>0.03</v>
      </c>
      <c r="C31" s="133">
        <v>9.4127517207749603E-2</v>
      </c>
      <c r="D31" s="133">
        <v>0.13439854710458801</v>
      </c>
      <c r="E31" s="133">
        <v>9.11078407125663E-4</v>
      </c>
      <c r="F31" s="133">
        <v>6.9270869900852196E-4</v>
      </c>
      <c r="G31" s="133">
        <v>7.1952686054860798E-2</v>
      </c>
      <c r="H31" s="133">
        <v>5.6103860515759798E-3</v>
      </c>
      <c r="I31" s="133">
        <v>0.122652839092615</v>
      </c>
      <c r="J31" s="133">
        <v>3.1180103544946599E-2</v>
      </c>
      <c r="K31" s="133">
        <v>1.9581705928834601E-2</v>
      </c>
      <c r="L31" s="132">
        <v>2.9607485666187299E-2</v>
      </c>
      <c r="N31" s="120"/>
      <c r="O31" s="120"/>
    </row>
    <row r="32" spans="1:23" x14ac:dyDescent="0.35">
      <c r="A32" s="134" t="s">
        <v>243</v>
      </c>
      <c r="B32" s="132">
        <v>0.08</v>
      </c>
      <c r="C32" s="133">
        <v>8.4804995412120499E-2</v>
      </c>
      <c r="D32" s="133">
        <v>0.12913839280171099</v>
      </c>
      <c r="E32" s="133">
        <v>0.16053788194639701</v>
      </c>
      <c r="F32" s="133">
        <v>0.13208602451248799</v>
      </c>
      <c r="G32" s="133">
        <v>0.136919575636718</v>
      </c>
      <c r="H32" s="133">
        <v>0.13851395632808</v>
      </c>
      <c r="I32" s="133">
        <v>0.15840014745626799</v>
      </c>
      <c r="J32" s="133">
        <v>0.108755125744482</v>
      </c>
      <c r="K32" s="133">
        <v>0.167391245325057</v>
      </c>
      <c r="L32" s="132">
        <v>3.8707899733140101E-2</v>
      </c>
    </row>
    <row r="33" spans="1:15" x14ac:dyDescent="0.35">
      <c r="A33" s="134" t="s">
        <v>244</v>
      </c>
      <c r="B33" s="132">
        <f>0.05+0.02</f>
        <v>7.0000000000000007E-2</v>
      </c>
      <c r="C33" s="133">
        <v>7.7718083682440306E-2</v>
      </c>
      <c r="D33" s="133">
        <v>2.57598256347643E-2</v>
      </c>
      <c r="E33" s="133">
        <v>0.10119467109899601</v>
      </c>
      <c r="F33" s="133">
        <v>0.104161500133356</v>
      </c>
      <c r="G33" s="133">
        <v>0.13523038514369501</v>
      </c>
      <c r="H33" s="133">
        <v>0.1462239008716</v>
      </c>
      <c r="I33" s="133">
        <v>1.7258350982780401E-2</v>
      </c>
      <c r="J33" s="133">
        <v>5.3222180084939501E-2</v>
      </c>
      <c r="K33" s="133">
        <v>2.5717267166106901E-2</v>
      </c>
      <c r="L33" s="132">
        <v>0.111905651617579</v>
      </c>
      <c r="O33" s="13"/>
    </row>
    <row r="34" spans="1:15" x14ac:dyDescent="0.35">
      <c r="A34" s="134" t="s">
        <v>245</v>
      </c>
      <c r="B34" s="132">
        <f>0.03+0.01+0.03+0.002+0.028</f>
        <v>0.1</v>
      </c>
      <c r="C34" s="133">
        <v>6.72225519850745E-2</v>
      </c>
      <c r="D34" s="133">
        <v>1.7349943502934301E-2</v>
      </c>
      <c r="E34" s="133">
        <v>0.121950205744551</v>
      </c>
      <c r="F34" s="133">
        <v>9.8374069724883301E-2</v>
      </c>
      <c r="G34" s="133">
        <v>0.11057779400631799</v>
      </c>
      <c r="H34" s="133">
        <v>0.1165744994656</v>
      </c>
      <c r="I34" s="133">
        <v>4.2309596829137999E-2</v>
      </c>
      <c r="J34" s="133">
        <v>8.5761589316654493E-2</v>
      </c>
      <c r="K34" s="133">
        <v>3.3339193141406799E-2</v>
      </c>
      <c r="L34" s="132">
        <v>9.3875935928455001E-2</v>
      </c>
      <c r="O34" s="13"/>
    </row>
    <row r="35" spans="1:15" x14ac:dyDescent="0.35">
      <c r="A35" s="104"/>
      <c r="B35" s="118"/>
      <c r="C35" s="118"/>
      <c r="D35" s="118"/>
      <c r="E35" s="118"/>
      <c r="F35" s="118"/>
      <c r="G35" s="118"/>
      <c r="H35" s="118"/>
      <c r="I35" s="118"/>
      <c r="J35" s="118"/>
      <c r="K35" s="118"/>
    </row>
    <row r="36" spans="1:15" x14ac:dyDescent="0.35">
      <c r="A36" s="134" t="s">
        <v>246</v>
      </c>
      <c r="B36" s="49">
        <f t="shared" ref="B36:L36" si="7">SUM(B24:B28)</f>
        <v>0.72</v>
      </c>
      <c r="C36" s="49">
        <f t="shared" si="7"/>
        <v>0.67612685171261511</v>
      </c>
      <c r="D36" s="49">
        <f t="shared" si="7"/>
        <v>0.69071865515212338</v>
      </c>
      <c r="E36" s="49">
        <f t="shared" si="7"/>
        <v>0.61375121805279964</v>
      </c>
      <c r="F36" s="49">
        <f t="shared" si="7"/>
        <v>0.66150403760407717</v>
      </c>
      <c r="G36" s="49">
        <f t="shared" si="7"/>
        <v>0.54265538673442804</v>
      </c>
      <c r="H36" s="49">
        <f t="shared" si="7"/>
        <v>0.58647465200279225</v>
      </c>
      <c r="I36" s="49">
        <f t="shared" si="7"/>
        <v>0.65937906563919912</v>
      </c>
      <c r="J36" s="49">
        <f t="shared" si="7"/>
        <v>0.71250536744685555</v>
      </c>
      <c r="K36" s="49">
        <f t="shared" si="7"/>
        <v>0.74056723091949783</v>
      </c>
      <c r="L36" s="52">
        <f t="shared" si="7"/>
        <v>0.66461960822799249</v>
      </c>
    </row>
    <row r="37" spans="1:15" x14ac:dyDescent="0.35">
      <c r="L37" s="140"/>
    </row>
    <row r="38" spans="1:15" x14ac:dyDescent="0.35">
      <c r="A38" s="117" t="s">
        <v>247</v>
      </c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30"/>
      <c r="N38" s="106"/>
      <c r="O38" s="120"/>
    </row>
    <row r="39" spans="1:15" x14ac:dyDescent="0.35">
      <c r="A39" s="131" t="s">
        <v>226</v>
      </c>
      <c r="B39" s="132">
        <v>0.3</v>
      </c>
      <c r="C39" s="133">
        <v>0.124889638917265</v>
      </c>
      <c r="D39" s="133">
        <v>0.12092361817049101</v>
      </c>
      <c r="E39" s="133">
        <v>9.2031363037170397E-2</v>
      </c>
      <c r="F39" s="133">
        <v>8.2897726625923096E-2</v>
      </c>
      <c r="G39" s="133">
        <v>0.329165970058521</v>
      </c>
      <c r="H39" s="133">
        <v>7.9188753651964899E-2</v>
      </c>
      <c r="I39" s="133">
        <v>9.4962159647470207E-2</v>
      </c>
      <c r="J39" s="133">
        <v>0.152341967873554</v>
      </c>
      <c r="K39" s="133">
        <v>0.238343482364685</v>
      </c>
      <c r="L39" s="132">
        <v>0.26218798715146902</v>
      </c>
      <c r="N39" s="106" t="s">
        <v>248</v>
      </c>
      <c r="O39" s="120"/>
    </row>
    <row r="40" spans="1:15" x14ac:dyDescent="0.35">
      <c r="A40" s="134" t="s">
        <v>229</v>
      </c>
      <c r="B40" s="132"/>
      <c r="C40" s="133">
        <v>0.20541399753383199</v>
      </c>
      <c r="D40" s="133">
        <v>0.180033465351085</v>
      </c>
      <c r="E40" s="133">
        <v>0.27525764992547702</v>
      </c>
      <c r="F40" s="133">
        <v>0.49170060905229701</v>
      </c>
      <c r="G40" s="133">
        <v>9.0724562526003194E-2</v>
      </c>
      <c r="H40" s="133">
        <v>0.51780505245546904</v>
      </c>
      <c r="I40" s="133">
        <v>0.28519017074118203</v>
      </c>
      <c r="J40" s="133">
        <v>0.208691768448037</v>
      </c>
      <c r="K40" s="133">
        <v>0.31435370276087199</v>
      </c>
      <c r="L40" s="132">
        <v>2.7145227912969199E-3</v>
      </c>
      <c r="N40" s="106" t="s">
        <v>249</v>
      </c>
      <c r="O40" s="120"/>
    </row>
    <row r="41" spans="1:15" x14ac:dyDescent="0.35">
      <c r="A41" s="134" t="s">
        <v>232</v>
      </c>
      <c r="B41" s="132"/>
      <c r="C41" s="133">
        <v>1.41521284535718E-2</v>
      </c>
      <c r="D41" s="133">
        <v>2.4070304001283699E-5</v>
      </c>
      <c r="E41" s="133">
        <v>2.50112063538355E-2</v>
      </c>
      <c r="F41" s="133">
        <v>4.4400597304030801E-2</v>
      </c>
      <c r="G41" s="133">
        <v>1.8973124787891898E-2</v>
      </c>
      <c r="H41" s="133">
        <v>1.6445408487343601E-2</v>
      </c>
      <c r="I41" s="133">
        <v>3.1192907723987398E-3</v>
      </c>
      <c r="J41" s="133">
        <v>4.5625509582663502E-3</v>
      </c>
      <c r="K41" s="133">
        <v>3.71619249829871E-2</v>
      </c>
      <c r="L41" s="132">
        <v>4.4514084693111099E-2</v>
      </c>
      <c r="N41" s="106" t="s">
        <v>233</v>
      </c>
      <c r="O41" s="120"/>
    </row>
    <row r="42" spans="1:15" x14ac:dyDescent="0.35">
      <c r="A42" s="134" t="s">
        <v>235</v>
      </c>
      <c r="B42" s="132"/>
      <c r="C42" s="133">
        <v>2.17334597600347E-3</v>
      </c>
      <c r="D42" s="133">
        <v>1.9752721150149699E-2</v>
      </c>
      <c r="E42" s="133">
        <v>5.5165901716847203E-3</v>
      </c>
      <c r="F42" s="133">
        <v>1.7256978383639598E-2</v>
      </c>
      <c r="G42" s="133">
        <v>0</v>
      </c>
      <c r="H42" s="133">
        <v>1.3103100898289499E-3</v>
      </c>
      <c r="I42" s="133">
        <v>1.17378471823112E-2</v>
      </c>
      <c r="J42" s="133">
        <v>5.95701816300317E-2</v>
      </c>
      <c r="K42" s="133">
        <v>9.8091504668706298E-3</v>
      </c>
      <c r="L42" s="132">
        <v>2.7912717555004501E-2</v>
      </c>
      <c r="N42" s="106"/>
      <c r="O42" s="120"/>
    </row>
    <row r="43" spans="1:15" x14ac:dyDescent="0.35">
      <c r="A43" s="135" t="s">
        <v>237</v>
      </c>
      <c r="B43" s="132">
        <v>0.4</v>
      </c>
      <c r="C43" s="133">
        <v>0.30425605717335802</v>
      </c>
      <c r="D43" s="133">
        <v>0.40390545324992699</v>
      </c>
      <c r="E43" s="133">
        <v>3.9560942804519397E-3</v>
      </c>
      <c r="F43" s="133">
        <v>7.7633282918688998E-2</v>
      </c>
      <c r="G43" s="133">
        <v>0.141376919418366</v>
      </c>
      <c r="H43" s="133">
        <v>7.5008442947401402E-2</v>
      </c>
      <c r="I43" s="133">
        <v>0.32132287863980302</v>
      </c>
      <c r="J43" s="133">
        <v>0.23952007156822799</v>
      </c>
      <c r="K43" s="133">
        <v>0.201901338895877</v>
      </c>
      <c r="L43" s="132">
        <v>0.32729029603711102</v>
      </c>
      <c r="N43" s="106"/>
      <c r="O43" s="120"/>
    </row>
    <row r="44" spans="1:15" x14ac:dyDescent="0.35">
      <c r="A44" s="134" t="s">
        <v>239</v>
      </c>
      <c r="B44" s="132"/>
      <c r="C44" s="133">
        <v>0</v>
      </c>
      <c r="D44" s="133">
        <v>9.1965138441529903E-4</v>
      </c>
      <c r="E44" s="133">
        <v>5.0650317292563101E-4</v>
      </c>
      <c r="F44" s="133">
        <v>1.1193026669358E-3</v>
      </c>
      <c r="G44" s="133">
        <v>1.0857637847851299E-3</v>
      </c>
      <c r="H44" s="133">
        <v>2.3225249402634902E-3</v>
      </c>
      <c r="I44" s="133">
        <v>0</v>
      </c>
      <c r="J44" s="133">
        <v>2.5752107994552798E-3</v>
      </c>
      <c r="K44" s="133">
        <v>4.9559904191211904E-3</v>
      </c>
      <c r="L44" s="132">
        <v>4.8974646420038301E-3</v>
      </c>
      <c r="N44" s="120"/>
      <c r="O44" s="120"/>
    </row>
    <row r="45" spans="1:15" x14ac:dyDescent="0.35">
      <c r="A45" s="134" t="s">
        <v>241</v>
      </c>
      <c r="B45" s="132"/>
      <c r="C45" s="133">
        <v>0</v>
      </c>
      <c r="D45" s="133">
        <v>9.0340072172286599E-4</v>
      </c>
      <c r="E45" s="133">
        <v>4.9755303208425504E-4</v>
      </c>
      <c r="F45" s="133">
        <v>1.09952407271902E-3</v>
      </c>
      <c r="G45" s="133">
        <v>1.0665778386664199E-3</v>
      </c>
      <c r="H45" s="133">
        <v>2.2814848536795301E-3</v>
      </c>
      <c r="I45" s="133">
        <v>0</v>
      </c>
      <c r="J45" s="133">
        <v>2.52970564051317E-3</v>
      </c>
      <c r="K45" s="133">
        <v>4.8684157839511202E-3</v>
      </c>
      <c r="L45" s="132">
        <v>5.63859541846429E-2</v>
      </c>
      <c r="N45" s="120"/>
      <c r="O45" s="120"/>
    </row>
    <row r="46" spans="1:15" x14ac:dyDescent="0.35">
      <c r="A46" s="134" t="s">
        <v>242</v>
      </c>
      <c r="B46" s="132">
        <v>0.05</v>
      </c>
      <c r="C46" s="133">
        <v>5.6631191999220301E-2</v>
      </c>
      <c r="D46" s="133">
        <v>9.2997883827945702E-2</v>
      </c>
      <c r="E46" s="133">
        <v>5.5275194416799897E-4</v>
      </c>
      <c r="F46" s="133">
        <v>4.8308144424378001E-4</v>
      </c>
      <c r="G46" s="133">
        <v>5.8129406283907697E-2</v>
      </c>
      <c r="H46" s="133">
        <v>3.9121333527599002E-3</v>
      </c>
      <c r="I46" s="133">
        <v>9.1881999531999201E-2</v>
      </c>
      <c r="J46" s="133">
        <v>1.8560939720242899E-2</v>
      </c>
      <c r="K46" s="133">
        <v>1.4353018108129299E-2</v>
      </c>
      <c r="L46" s="132">
        <v>2.9607485666187299E-2</v>
      </c>
      <c r="N46" s="120"/>
      <c r="O46" s="120"/>
    </row>
    <row r="47" spans="1:15" x14ac:dyDescent="0.35">
      <c r="A47" s="134" t="s">
        <v>243</v>
      </c>
      <c r="B47" s="132">
        <v>0.12</v>
      </c>
      <c r="C47" s="133">
        <v>5.1022359036717799E-2</v>
      </c>
      <c r="D47" s="133">
        <v>8.9358088349939496E-2</v>
      </c>
      <c r="E47" s="133">
        <v>9.7398452104689795E-2</v>
      </c>
      <c r="F47" s="133">
        <v>9.2114199921270304E-2</v>
      </c>
      <c r="G47" s="133">
        <v>0.110615101033969</v>
      </c>
      <c r="H47" s="133">
        <v>9.6586057244275894E-2</v>
      </c>
      <c r="I47" s="133">
        <v>0.11866111202303301</v>
      </c>
      <c r="J47" s="133">
        <v>6.4739917556934298E-2</v>
      </c>
      <c r="K47" s="133">
        <v>0.122694599933455</v>
      </c>
      <c r="L47" s="132">
        <v>3.8707899733140101E-2</v>
      </c>
    </row>
    <row r="48" spans="1:15" x14ac:dyDescent="0.35">
      <c r="A48" s="134" t="s">
        <v>244</v>
      </c>
      <c r="B48" s="132">
        <f>0.02+0.02</f>
        <v>0.04</v>
      </c>
      <c r="C48" s="133">
        <v>0.153888347030817</v>
      </c>
      <c r="D48" s="133">
        <v>6.9340503352959701E-2</v>
      </c>
      <c r="E48" s="133">
        <v>0.24235010977149801</v>
      </c>
      <c r="F48" s="133">
        <v>9.2245801625382401E-2</v>
      </c>
      <c r="G48" s="133">
        <v>0.109250431473964</v>
      </c>
      <c r="H48" s="133">
        <v>0.101962216905203</v>
      </c>
      <c r="I48" s="133">
        <v>1.29286187713227E-2</v>
      </c>
      <c r="J48" s="133">
        <v>0.107782449559363</v>
      </c>
      <c r="K48" s="133">
        <v>2.1037034696854501E-2</v>
      </c>
      <c r="L48" s="132">
        <v>0.111905651617579</v>
      </c>
      <c r="O48" s="13"/>
    </row>
    <row r="49" spans="1:15" x14ac:dyDescent="0.35">
      <c r="A49" s="134" t="s">
        <v>245</v>
      </c>
      <c r="B49" s="132">
        <f>0.05+0.015+0.005+0.02</f>
        <v>9.0000000000000011E-2</v>
      </c>
      <c r="C49" s="133">
        <v>8.7572933879215303E-2</v>
      </c>
      <c r="D49" s="133">
        <v>2.18411441373625E-2</v>
      </c>
      <c r="E49" s="133">
        <v>0.256921726206015</v>
      </c>
      <c r="F49" s="133">
        <v>9.9048895984868907E-2</v>
      </c>
      <c r="G49" s="133">
        <v>0.139612142793926</v>
      </c>
      <c r="H49" s="133">
        <v>0.10317761507181</v>
      </c>
      <c r="I49" s="133">
        <v>6.0195922690480803E-2</v>
      </c>
      <c r="J49" s="133">
        <v>0.13912523624537401</v>
      </c>
      <c r="K49" s="133">
        <v>3.0521341587197E-2</v>
      </c>
      <c r="L49" s="132">
        <v>9.3875935928455001E-2</v>
      </c>
      <c r="O49" s="13"/>
    </row>
    <row r="50" spans="1:15" x14ac:dyDescent="0.35">
      <c r="A50" s="104"/>
      <c r="B50" s="118"/>
      <c r="C50" s="118"/>
      <c r="D50" s="118"/>
      <c r="E50" s="118"/>
      <c r="F50" s="118"/>
      <c r="G50" s="118"/>
      <c r="H50" s="118"/>
      <c r="I50" s="118"/>
      <c r="J50" s="118"/>
      <c r="K50" s="118"/>
    </row>
    <row r="51" spans="1:15" x14ac:dyDescent="0.35">
      <c r="A51" s="134" t="s">
        <v>246</v>
      </c>
      <c r="B51" s="49">
        <f t="shared" ref="B51:L51" si="8">SUM(B39:B43)</f>
        <v>0.7</v>
      </c>
      <c r="C51" s="49">
        <f t="shared" si="8"/>
        <v>0.65088516805403029</v>
      </c>
      <c r="D51" s="49">
        <f t="shared" si="8"/>
        <v>0.72463932822565402</v>
      </c>
      <c r="E51" s="49">
        <f t="shared" si="8"/>
        <v>0.40177290376861963</v>
      </c>
      <c r="F51" s="49">
        <f t="shared" si="8"/>
        <v>0.71388919428457942</v>
      </c>
      <c r="G51" s="49">
        <f t="shared" si="8"/>
        <v>0.58024057679078211</v>
      </c>
      <c r="H51" s="49">
        <f t="shared" si="8"/>
        <v>0.68975796763200781</v>
      </c>
      <c r="I51" s="49">
        <f t="shared" si="8"/>
        <v>0.71633234698316528</v>
      </c>
      <c r="J51" s="49">
        <f t="shared" si="8"/>
        <v>0.66468654047811704</v>
      </c>
      <c r="K51" s="49">
        <f t="shared" si="8"/>
        <v>0.80156959947129169</v>
      </c>
      <c r="L51" s="52">
        <f t="shared" si="8"/>
        <v>0.66461960822799249</v>
      </c>
    </row>
    <row r="52" spans="1:15" x14ac:dyDescent="0.35">
      <c r="A52" s="134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52"/>
    </row>
    <row r="53" spans="1:15" x14ac:dyDescent="0.35">
      <c r="A53" s="117" t="s">
        <v>250</v>
      </c>
      <c r="B53" s="117" t="s">
        <v>38</v>
      </c>
      <c r="C53" s="117" t="s">
        <v>40</v>
      </c>
      <c r="D53" s="117" t="s">
        <v>42</v>
      </c>
      <c r="E53" s="117" t="s">
        <v>44</v>
      </c>
      <c r="F53" s="117" t="s">
        <v>46</v>
      </c>
      <c r="G53" s="117" t="s">
        <v>48</v>
      </c>
      <c r="H53" s="117" t="s">
        <v>50</v>
      </c>
      <c r="I53" s="117" t="s">
        <v>52</v>
      </c>
      <c r="J53" s="117" t="s">
        <v>54</v>
      </c>
      <c r="K53" s="117" t="s">
        <v>56</v>
      </c>
      <c r="L53" s="117" t="s">
        <v>58</v>
      </c>
      <c r="N53" s="106"/>
      <c r="O53" s="120"/>
    </row>
    <row r="54" spans="1:15" x14ac:dyDescent="0.35">
      <c r="A54" s="131" t="s">
        <v>226</v>
      </c>
      <c r="B54" s="53">
        <f t="shared" ref="B54:L54" si="9">B24*(1-B$75)+B39*B$75</f>
        <v>0.32616215478819699</v>
      </c>
      <c r="C54" s="53">
        <f t="shared" si="9"/>
        <v>0.12622280592168414</v>
      </c>
      <c r="D54" s="53">
        <f t="shared" si="9"/>
        <v>0.11936785974964652</v>
      </c>
      <c r="E54" s="53">
        <f t="shared" si="9"/>
        <v>0.10548579258005962</v>
      </c>
      <c r="F54" s="53">
        <f t="shared" si="9"/>
        <v>8.1251536473470068E-2</v>
      </c>
      <c r="G54" s="53">
        <f t="shared" si="9"/>
        <v>0.32325200471026871</v>
      </c>
      <c r="H54" s="53">
        <f t="shared" si="9"/>
        <v>7.5639149668143751E-2</v>
      </c>
      <c r="I54" s="53">
        <f t="shared" si="9"/>
        <v>9.2949044996403496E-2</v>
      </c>
      <c r="J54" s="53">
        <f t="shared" si="9"/>
        <v>0.15537879618298778</v>
      </c>
      <c r="K54" s="53">
        <f t="shared" si="9"/>
        <v>0.23308111745751758</v>
      </c>
      <c r="L54" s="53">
        <f t="shared" si="9"/>
        <v>0.26218798715146902</v>
      </c>
      <c r="N54" s="106"/>
      <c r="O54" s="120"/>
    </row>
    <row r="55" spans="1:15" x14ac:dyDescent="0.35">
      <c r="A55" s="134" t="s">
        <v>229</v>
      </c>
      <c r="B55" s="53">
        <f t="shared" ref="B55:L55" si="10">B25*(1-B$75)+B40*B$75</f>
        <v>0</v>
      </c>
      <c r="C55" s="53">
        <f t="shared" si="10"/>
        <v>0.20760674280157457</v>
      </c>
      <c r="D55" s="53">
        <f t="shared" si="10"/>
        <v>0.17771722156372172</v>
      </c>
      <c r="E55" s="53">
        <f t="shared" si="10"/>
        <v>0.31549865616441614</v>
      </c>
      <c r="F55" s="53">
        <f t="shared" si="10"/>
        <v>0.48193637626933306</v>
      </c>
      <c r="G55" s="53">
        <f t="shared" si="10"/>
        <v>8.9094558301539284E-2</v>
      </c>
      <c r="H55" s="53">
        <f t="shared" si="10"/>
        <v>0.4945946495860658</v>
      </c>
      <c r="I55" s="53">
        <f t="shared" si="10"/>
        <v>0.27914438878544884</v>
      </c>
      <c r="J55" s="53">
        <f t="shared" si="10"/>
        <v>0.21285188977616532</v>
      </c>
      <c r="K55" s="53">
        <f t="shared" si="10"/>
        <v>0.30741311484903272</v>
      </c>
      <c r="L55" s="53">
        <f t="shared" si="10"/>
        <v>2.7145227912969199E-3</v>
      </c>
      <c r="N55" s="106"/>
      <c r="O55" s="120"/>
    </row>
    <row r="56" spans="1:15" x14ac:dyDescent="0.35">
      <c r="A56" s="134" t="s">
        <v>232</v>
      </c>
      <c r="B56" s="53">
        <f t="shared" ref="B56:L56" si="11">B26*(1-B$75)+B41*B$75</f>
        <v>0</v>
      </c>
      <c r="C56" s="53">
        <f t="shared" si="11"/>
        <v>1.430319903702894E-2</v>
      </c>
      <c r="D56" s="53">
        <f t="shared" si="11"/>
        <v>2.3760624502985962E-5</v>
      </c>
      <c r="E56" s="53">
        <f t="shared" si="11"/>
        <v>2.8667693691623947E-2</v>
      </c>
      <c r="F56" s="53">
        <f t="shared" si="11"/>
        <v>4.3518886440683656E-2</v>
      </c>
      <c r="G56" s="53">
        <f t="shared" si="11"/>
        <v>1.8632243854911967E-2</v>
      </c>
      <c r="H56" s="53">
        <f t="shared" si="11"/>
        <v>1.5708249677942241E-2</v>
      </c>
      <c r="I56" s="53">
        <f t="shared" si="11"/>
        <v>3.0531645384754033E-3</v>
      </c>
      <c r="J56" s="53">
        <f t="shared" si="11"/>
        <v>4.6535021524768639E-3</v>
      </c>
      <c r="K56" s="53">
        <f t="shared" si="11"/>
        <v>3.6341430093052865E-2</v>
      </c>
      <c r="L56" s="53">
        <f t="shared" si="11"/>
        <v>4.4514084693111099E-2</v>
      </c>
      <c r="N56" s="106"/>
      <c r="O56" s="120"/>
    </row>
    <row r="57" spans="1:15" x14ac:dyDescent="0.35">
      <c r="A57" s="134" t="s">
        <v>235</v>
      </c>
      <c r="B57" s="53">
        <f t="shared" ref="B57:L57" si="12">B27*(1-B$75)+B42*B$75</f>
        <v>0</v>
      </c>
      <c r="C57" s="53">
        <f t="shared" si="12"/>
        <v>2.1965459245194179E-3</v>
      </c>
      <c r="D57" s="53">
        <f t="shared" si="12"/>
        <v>1.9498589966513394E-2</v>
      </c>
      <c r="E57" s="53">
        <f t="shared" si="12"/>
        <v>6.3230823420726045E-3</v>
      </c>
      <c r="F57" s="53">
        <f t="shared" si="12"/>
        <v>1.6914287828800331E-2</v>
      </c>
      <c r="G57" s="53">
        <f t="shared" si="12"/>
        <v>0</v>
      </c>
      <c r="H57" s="53">
        <f t="shared" si="12"/>
        <v>1.2515759679726465E-3</v>
      </c>
      <c r="I57" s="53">
        <f t="shared" si="12"/>
        <v>1.1489015097402086E-2</v>
      </c>
      <c r="J57" s="53">
        <f t="shared" si="12"/>
        <v>6.0757670649699391E-2</v>
      </c>
      <c r="K57" s="53">
        <f t="shared" si="12"/>
        <v>9.5925750911748202E-3</v>
      </c>
      <c r="L57" s="53">
        <f t="shared" si="12"/>
        <v>2.7912717555004501E-2</v>
      </c>
      <c r="N57" s="106"/>
      <c r="O57" s="120"/>
    </row>
    <row r="58" spans="1:15" x14ac:dyDescent="0.35">
      <c r="A58" s="135" t="s">
        <v>237</v>
      </c>
      <c r="B58" s="53">
        <f t="shared" ref="B58:L58" si="13">B28*(1-B$75)+B43*B$75</f>
        <v>0.37907027616944244</v>
      </c>
      <c r="C58" s="53">
        <f t="shared" si="13"/>
        <v>0.30750391777337582</v>
      </c>
      <c r="D58" s="53">
        <f t="shared" si="13"/>
        <v>0.39870895550051916</v>
      </c>
      <c r="E58" s="53">
        <f t="shared" si="13"/>
        <v>4.5344513724963568E-3</v>
      </c>
      <c r="F58" s="53">
        <f t="shared" si="13"/>
        <v>7.6091634538062169E-2</v>
      </c>
      <c r="G58" s="53">
        <f t="shared" si="13"/>
        <v>0.13883686885903021</v>
      </c>
      <c r="H58" s="53">
        <f t="shared" si="13"/>
        <v>7.1646219701035879E-2</v>
      </c>
      <c r="I58" s="53">
        <f t="shared" si="13"/>
        <v>0.31451111490386796</v>
      </c>
      <c r="J58" s="53">
        <f t="shared" si="13"/>
        <v>0.24429473309456204</v>
      </c>
      <c r="K58" s="53">
        <f t="shared" si="13"/>
        <v>0.19744357688386704</v>
      </c>
      <c r="L58" s="53">
        <f t="shared" si="13"/>
        <v>0.32729029603711102</v>
      </c>
      <c r="N58" s="106"/>
      <c r="O58" s="120"/>
    </row>
    <row r="59" spans="1:15" x14ac:dyDescent="0.35">
      <c r="A59" s="134" t="s">
        <v>239</v>
      </c>
      <c r="B59" s="53">
        <f t="shared" ref="B59:L59" si="14">B29*(1-B$75)+B44*B$75</f>
        <v>0</v>
      </c>
      <c r="C59" s="53">
        <f t="shared" si="14"/>
        <v>0</v>
      </c>
      <c r="D59" s="53">
        <f t="shared" si="14"/>
        <v>1.0321755831089459E-3</v>
      </c>
      <c r="E59" s="53">
        <f t="shared" si="14"/>
        <v>5.9748390404603421E-4</v>
      </c>
      <c r="F59" s="53">
        <f t="shared" si="14"/>
        <v>1.2507448813783284E-3</v>
      </c>
      <c r="G59" s="53">
        <f t="shared" si="14"/>
        <v>1.1573790749521788E-3</v>
      </c>
      <c r="H59" s="53">
        <f t="shared" si="14"/>
        <v>2.6243338101171946E-3</v>
      </c>
      <c r="I59" s="53">
        <f t="shared" si="14"/>
        <v>0</v>
      </c>
      <c r="J59" s="53">
        <f t="shared" si="14"/>
        <v>3.0603451734342534E-3</v>
      </c>
      <c r="K59" s="53">
        <f t="shared" si="14"/>
        <v>5.4797743342333812E-3</v>
      </c>
      <c r="L59" s="53">
        <f t="shared" si="14"/>
        <v>4.8974646420038301E-3</v>
      </c>
      <c r="N59" s="120"/>
      <c r="O59" s="120"/>
    </row>
    <row r="60" spans="1:15" x14ac:dyDescent="0.35">
      <c r="A60" s="134" t="s">
        <v>241</v>
      </c>
      <c r="B60" s="53">
        <f t="shared" ref="B60:L60" si="15">B30*(1-B$75)+B45*B$75</f>
        <v>0</v>
      </c>
      <c r="C60" s="53">
        <f t="shared" si="15"/>
        <v>0</v>
      </c>
      <c r="D60" s="53">
        <f t="shared" si="15"/>
        <v>1.0139365657568411E-3</v>
      </c>
      <c r="E60" s="53">
        <f t="shared" si="15"/>
        <v>5.8692609068954191E-4</v>
      </c>
      <c r="F60" s="53">
        <f t="shared" si="15"/>
        <v>1.2286436428647813E-3</v>
      </c>
      <c r="G60" s="53">
        <f t="shared" si="15"/>
        <v>1.1369276536260728E-3</v>
      </c>
      <c r="H60" s="53">
        <f t="shared" si="15"/>
        <v>2.5779606221648438E-3</v>
      </c>
      <c r="I60" s="53">
        <f t="shared" si="15"/>
        <v>0</v>
      </c>
      <c r="J60" s="53">
        <f t="shared" si="15"/>
        <v>3.0062674660528534E-3</v>
      </c>
      <c r="K60" s="53">
        <f t="shared" si="15"/>
        <v>5.382944196147911E-3</v>
      </c>
      <c r="L60" s="53">
        <f t="shared" si="15"/>
        <v>5.63859541846429E-2</v>
      </c>
      <c r="N60" s="120"/>
      <c r="O60" s="120"/>
    </row>
    <row r="61" spans="1:15" x14ac:dyDescent="0.35">
      <c r="A61" s="134" t="s">
        <v>242</v>
      </c>
      <c r="B61" s="53">
        <f t="shared" ref="B61:L61" si="16">B31*(1-B$75)+B46*B$75</f>
        <v>4.4767569042360608E-2</v>
      </c>
      <c r="C61" s="53">
        <f t="shared" si="16"/>
        <v>6.6952456561795479E-2</v>
      </c>
      <c r="D61" s="53">
        <f t="shared" si="16"/>
        <v>0.10437666551754406</v>
      </c>
      <c r="E61" s="53">
        <f t="shared" si="16"/>
        <v>6.5204011883002286E-4</v>
      </c>
      <c r="F61" s="53">
        <f t="shared" si="16"/>
        <v>5.3981077846432604E-4</v>
      </c>
      <c r="G61" s="53">
        <f t="shared" si="16"/>
        <v>6.196353147498361E-2</v>
      </c>
      <c r="H61" s="53">
        <f t="shared" si="16"/>
        <v>4.4205096143040447E-3</v>
      </c>
      <c r="I61" s="53">
        <f t="shared" si="16"/>
        <v>0.10008651776935426</v>
      </c>
      <c r="J61" s="53">
        <f t="shared" si="16"/>
        <v>2.2057566041319011E-2</v>
      </c>
      <c r="K61" s="53">
        <f t="shared" si="16"/>
        <v>1.5869945984621978E-2</v>
      </c>
      <c r="L61" s="53">
        <f t="shared" si="16"/>
        <v>2.9607485666187296E-2</v>
      </c>
      <c r="N61" s="120"/>
      <c r="O61" s="120"/>
    </row>
    <row r="62" spans="1:15" x14ac:dyDescent="0.35">
      <c r="A62" s="134" t="s">
        <v>243</v>
      </c>
      <c r="B62" s="53">
        <f t="shared" ref="B62:L62" si="17">B32*(1-B$75)+B47*B$75</f>
        <v>0.10953513808472121</v>
      </c>
      <c r="C62" s="53">
        <f t="shared" si="17"/>
        <v>6.0321391027524533E-2</v>
      </c>
      <c r="D62" s="53">
        <f t="shared" si="17"/>
        <v>0.10029152187678458</v>
      </c>
      <c r="E62" s="53">
        <f t="shared" si="17"/>
        <v>0.11489366774251643</v>
      </c>
      <c r="F62" s="53">
        <f t="shared" si="17"/>
        <v>0.10293137633845451</v>
      </c>
      <c r="G62" s="53">
        <f t="shared" si="17"/>
        <v>0.11791110099805442</v>
      </c>
      <c r="H62" s="53">
        <f t="shared" si="17"/>
        <v>0.10913728039586229</v>
      </c>
      <c r="I62" s="53">
        <f t="shared" si="17"/>
        <v>0.12925684634820819</v>
      </c>
      <c r="J62" s="53">
        <f t="shared" si="17"/>
        <v>7.6936029566743946E-2</v>
      </c>
      <c r="K62" s="53">
        <f t="shared" si="17"/>
        <v>0.13566182798477194</v>
      </c>
      <c r="L62" s="53">
        <f t="shared" si="17"/>
        <v>3.8707899733140101E-2</v>
      </c>
    </row>
    <row r="63" spans="1:15" x14ac:dyDescent="0.35">
      <c r="A63" s="134" t="s">
        <v>244</v>
      </c>
      <c r="B63" s="53">
        <f t="shared" ref="B63:L63" si="18">B33*(1-B$75)+B48*B$75</f>
        <v>4.78486464364591E-2</v>
      </c>
      <c r="C63" s="53">
        <f t="shared" si="18"/>
        <v>0.13292166735094296</v>
      </c>
      <c r="D63" s="53">
        <f t="shared" si="18"/>
        <v>5.7362554731062478E-2</v>
      </c>
      <c r="E63" s="53">
        <f t="shared" si="18"/>
        <v>0.20323754818805212</v>
      </c>
      <c r="F63" s="53">
        <f t="shared" si="18"/>
        <v>9.5470428327137938E-2</v>
      </c>
      <c r="G63" s="53">
        <f t="shared" si="18"/>
        <v>0.11645641995705991</v>
      </c>
      <c r="H63" s="53">
        <f t="shared" si="18"/>
        <v>0.11521206449276877</v>
      </c>
      <c r="I63" s="53">
        <f t="shared" si="18"/>
        <v>1.4083067834104707E-2</v>
      </c>
      <c r="J63" s="53">
        <f t="shared" si="18"/>
        <v>9.266442137782821E-2</v>
      </c>
      <c r="K63" s="53">
        <f t="shared" si="18"/>
        <v>2.2394846703331771E-2</v>
      </c>
      <c r="L63" s="53">
        <f t="shared" si="18"/>
        <v>0.11190565161757898</v>
      </c>
      <c r="O63" s="13"/>
    </row>
    <row r="64" spans="1:15" x14ac:dyDescent="0.35">
      <c r="A64" s="134" t="s">
        <v>245</v>
      </c>
      <c r="B64" s="53">
        <f t="shared" ref="B64:L64" si="19">B34*(1-B$75)+B49*B$75</f>
        <v>9.2616215478819708E-2</v>
      </c>
      <c r="C64" s="53">
        <f t="shared" si="19"/>
        <v>8.1971273601554581E-2</v>
      </c>
      <c r="D64" s="53">
        <f t="shared" si="19"/>
        <v>2.0606758320839205E-2</v>
      </c>
      <c r="E64" s="53">
        <f t="shared" si="19"/>
        <v>0.21952265780519725</v>
      </c>
      <c r="F64" s="53">
        <f t="shared" si="19"/>
        <v>9.8866274481350727E-2</v>
      </c>
      <c r="G64" s="53">
        <f t="shared" si="19"/>
        <v>0.13155896511557413</v>
      </c>
      <c r="H64" s="53">
        <f t="shared" si="19"/>
        <v>0.10718800646362231</v>
      </c>
      <c r="I64" s="53">
        <f t="shared" si="19"/>
        <v>5.5426839726735837E-2</v>
      </c>
      <c r="J64" s="53">
        <f t="shared" si="19"/>
        <v>0.12433877851873028</v>
      </c>
      <c r="K64" s="53">
        <f t="shared" si="19"/>
        <v>3.1338846422248039E-2</v>
      </c>
      <c r="L64" s="53">
        <f t="shared" si="19"/>
        <v>9.3875935928455001E-2</v>
      </c>
      <c r="O64" s="13"/>
    </row>
    <row r="65" spans="1:15" x14ac:dyDescent="0.35">
      <c r="A65" s="104"/>
      <c r="B65" s="118"/>
      <c r="C65" s="118"/>
      <c r="D65" s="118"/>
      <c r="E65" s="118"/>
      <c r="F65" s="118"/>
      <c r="G65" s="118"/>
      <c r="H65" s="118"/>
      <c r="I65" s="118"/>
      <c r="J65" s="118"/>
      <c r="K65" s="118"/>
    </row>
    <row r="66" spans="1:15" x14ac:dyDescent="0.35">
      <c r="A66" s="134" t="s">
        <v>246</v>
      </c>
      <c r="B66" s="49">
        <f t="shared" ref="B66:L66" si="20">SUM(B54:B58)</f>
        <v>0.70523243095763943</v>
      </c>
      <c r="C66" s="49">
        <f t="shared" si="20"/>
        <v>0.65783321145818285</v>
      </c>
      <c r="D66" s="49">
        <f t="shared" si="20"/>
        <v>0.71531638740490378</v>
      </c>
      <c r="E66" s="49">
        <f t="shared" si="20"/>
        <v>0.46050967615066873</v>
      </c>
      <c r="F66" s="49">
        <f t="shared" si="20"/>
        <v>0.69971272155034936</v>
      </c>
      <c r="G66" s="49">
        <f t="shared" si="20"/>
        <v>0.5698156757257502</v>
      </c>
      <c r="H66" s="49">
        <f t="shared" si="20"/>
        <v>0.65883984460116041</v>
      </c>
      <c r="I66" s="49">
        <f t="shared" si="20"/>
        <v>0.70114672832159775</v>
      </c>
      <c r="J66" s="49">
        <f t="shared" si="20"/>
        <v>0.67793659185589139</v>
      </c>
      <c r="K66" s="49">
        <f t="shared" si="20"/>
        <v>0.78387181437464504</v>
      </c>
      <c r="L66" s="52">
        <f t="shared" si="20"/>
        <v>0.66461960822799249</v>
      </c>
    </row>
    <row r="67" spans="1:15" x14ac:dyDescent="0.35">
      <c r="A67" s="134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52"/>
    </row>
    <row r="68" spans="1:15" x14ac:dyDescent="0.35">
      <c r="A68" s="117" t="s">
        <v>251</v>
      </c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30"/>
      <c r="N68" s="141" t="s">
        <v>252</v>
      </c>
      <c r="O68" s="141" t="s">
        <v>253</v>
      </c>
    </row>
    <row r="69" spans="1:15" x14ac:dyDescent="0.35">
      <c r="A69" s="104" t="s">
        <v>254</v>
      </c>
      <c r="B69" s="118">
        <f>$L$69*'Mortality &amp; FCR'!B21</f>
        <v>1360</v>
      </c>
      <c r="C69" s="118">
        <f>$L$69*'Mortality &amp; FCR'!C21</f>
        <v>1400</v>
      </c>
      <c r="D69" s="118">
        <f>$L$69*'Mortality &amp; FCR'!D21</f>
        <v>1439.9999999999998</v>
      </c>
      <c r="E69" s="118">
        <f>$L$69*'Mortality &amp; FCR'!E21</f>
        <v>1420</v>
      </c>
      <c r="F69" s="118">
        <f>$L$69*'Mortality &amp; FCR'!F21</f>
        <v>1420</v>
      </c>
      <c r="G69" s="118">
        <f>$L$69*'Mortality &amp; FCR'!G21</f>
        <v>1439.9999999999998</v>
      </c>
      <c r="H69" s="118">
        <f>$L$69*'Mortality &amp; FCR'!H21</f>
        <v>1879.9999999999998</v>
      </c>
      <c r="I69" s="118">
        <f>$L$69*'Mortality &amp; FCR'!I21</f>
        <v>1400</v>
      </c>
      <c r="J69" s="118">
        <f>$L$69*'Mortality &amp; FCR'!J21</f>
        <v>1420</v>
      </c>
      <c r="K69" s="118">
        <f>$L$69*'Mortality &amp; FCR'!K21</f>
        <v>1420</v>
      </c>
      <c r="L69" s="118">
        <v>1400</v>
      </c>
      <c r="N69" s="106" t="s">
        <v>255</v>
      </c>
      <c r="O69" s="106"/>
    </row>
    <row r="70" spans="1:15" x14ac:dyDescent="0.35">
      <c r="A70" s="104" t="s">
        <v>256</v>
      </c>
      <c r="B70" s="142">
        <f>$L$70*'Mortality &amp; FCR'!B21</f>
        <v>699.42857142857144</v>
      </c>
      <c r="C70" s="142">
        <f>$L$70*'Mortality &amp; FCR'!C21</f>
        <v>720</v>
      </c>
      <c r="D70" s="142">
        <f>$L$70*'Mortality &amp; FCR'!D21</f>
        <v>740.57142857142844</v>
      </c>
      <c r="E70" s="142">
        <f>$L$70*'Mortality &amp; FCR'!E21</f>
        <v>730.28571428571422</v>
      </c>
      <c r="F70" s="142">
        <f>$L$70*'Mortality &amp; FCR'!F21</f>
        <v>730.28571428571422</v>
      </c>
      <c r="G70" s="142">
        <f>$L$70*'Mortality &amp; FCR'!G21</f>
        <v>740.57142857142844</v>
      </c>
      <c r="H70" s="142">
        <f>$L$70*'Mortality &amp; FCR'!H21</f>
        <v>966.85714285714278</v>
      </c>
      <c r="I70" s="142">
        <f>$L$70*'Mortality &amp; FCR'!I21</f>
        <v>720</v>
      </c>
      <c r="J70" s="142">
        <f>$L$70*'Mortality &amp; FCR'!J21</f>
        <v>730.28571428571422</v>
      </c>
      <c r="K70" s="142">
        <f>$L$70*'Mortality &amp; FCR'!K21</f>
        <v>730.28571428571422</v>
      </c>
      <c r="L70" s="118">
        <v>720</v>
      </c>
      <c r="N70" s="106" t="s">
        <v>255</v>
      </c>
      <c r="O70" s="106"/>
    </row>
    <row r="71" spans="1:15" x14ac:dyDescent="0.35">
      <c r="A71" s="104" t="s">
        <v>257</v>
      </c>
      <c r="B71" s="142">
        <f>$L$71*'Mortality &amp; FCR'!B21</f>
        <v>699.42857142857144</v>
      </c>
      <c r="C71" s="142">
        <f>$L$71*'Mortality &amp; FCR'!C21</f>
        <v>720</v>
      </c>
      <c r="D71" s="142">
        <f>$L$71*'Mortality &amp; FCR'!D21</f>
        <v>740.57142857142844</v>
      </c>
      <c r="E71" s="142">
        <f>$L$71*'Mortality &amp; FCR'!E21</f>
        <v>730.28571428571422</v>
      </c>
      <c r="F71" s="142">
        <f>$L$71*'Mortality &amp; FCR'!F21</f>
        <v>730.28571428571422</v>
      </c>
      <c r="G71" s="142">
        <f>$L$71*'Mortality &amp; FCR'!G21</f>
        <v>740.57142857142844</v>
      </c>
      <c r="H71" s="142">
        <f>$L$71*'Mortality &amp; FCR'!H21</f>
        <v>966.85714285714278</v>
      </c>
      <c r="I71" s="142">
        <f>$L$71*'Mortality &amp; FCR'!I21</f>
        <v>720</v>
      </c>
      <c r="J71" s="142">
        <f>$L$71*'Mortality &amp; FCR'!J21</f>
        <v>730.28571428571422</v>
      </c>
      <c r="K71" s="142">
        <f>$L$71*'Mortality &amp; FCR'!K21</f>
        <v>730.28571428571422</v>
      </c>
      <c r="L71" s="118">
        <v>720</v>
      </c>
      <c r="N71" s="106" t="s">
        <v>255</v>
      </c>
    </row>
    <row r="72" spans="1:15" x14ac:dyDescent="0.35">
      <c r="A72" s="104" t="s">
        <v>258</v>
      </c>
      <c r="B72" s="142">
        <f>$L$72*'Mortality &amp; FCR'!B21</f>
        <v>252.57142857142856</v>
      </c>
      <c r="C72" s="142">
        <f>$L$72*'Mortality &amp; FCR'!C21</f>
        <v>260</v>
      </c>
      <c r="D72" s="142">
        <f>$L$72*'Mortality &amp; FCR'!D21</f>
        <v>267.42857142857139</v>
      </c>
      <c r="E72" s="142">
        <f>$L$72*'Mortality &amp; FCR'!E21</f>
        <v>263.71428571428572</v>
      </c>
      <c r="F72" s="142">
        <f>$L$72*'Mortality &amp; FCR'!F21</f>
        <v>263.71428571428572</v>
      </c>
      <c r="G72" s="142">
        <f>$L$72*'Mortality &amp; FCR'!G21</f>
        <v>267.42857142857139</v>
      </c>
      <c r="H72" s="142">
        <f>$L$72*'Mortality &amp; FCR'!H21</f>
        <v>349.14285714285711</v>
      </c>
      <c r="I72" s="142">
        <f>$L$72*'Mortality &amp; FCR'!I21</f>
        <v>260</v>
      </c>
      <c r="J72" s="142">
        <f>$L$72*'Mortality &amp; FCR'!J21</f>
        <v>263.71428571428572</v>
      </c>
      <c r="K72" s="142">
        <f>$L$72*'Mortality &amp; FCR'!K21</f>
        <v>263.71428571428572</v>
      </c>
      <c r="L72" s="118">
        <v>260</v>
      </c>
      <c r="N72" s="106" t="s">
        <v>255</v>
      </c>
    </row>
    <row r="73" spans="1:15" x14ac:dyDescent="0.35">
      <c r="A73" s="104" t="s">
        <v>259</v>
      </c>
      <c r="B73" s="142">
        <f>$L$73*'Mortality &amp; FCR'!B21</f>
        <v>34</v>
      </c>
      <c r="C73" s="142">
        <f>$L$73*'Mortality &amp; FCR'!C21</f>
        <v>35</v>
      </c>
      <c r="D73" s="142">
        <f>$L$73*'Mortality &amp; FCR'!D21</f>
        <v>36</v>
      </c>
      <c r="E73" s="142">
        <f>$L$73*'Mortality &amp; FCR'!E21</f>
        <v>35.5</v>
      </c>
      <c r="F73" s="142">
        <f>$L$73*'Mortality &amp; FCR'!F21</f>
        <v>35.5</v>
      </c>
      <c r="G73" s="142">
        <f>$L$73*'Mortality &amp; FCR'!G21</f>
        <v>36</v>
      </c>
      <c r="H73" s="142">
        <f>$L$73*'Mortality &amp; FCR'!H21</f>
        <v>46.999999999999993</v>
      </c>
      <c r="I73" s="142">
        <f>$L$73*'Mortality &amp; FCR'!I21</f>
        <v>35</v>
      </c>
      <c r="J73" s="142">
        <f>$L$73*'Mortality &amp; FCR'!J21</f>
        <v>35.5</v>
      </c>
      <c r="K73" s="142">
        <f>$L$73*'Mortality &amp; FCR'!K21</f>
        <v>35.5</v>
      </c>
      <c r="L73" s="118">
        <v>35</v>
      </c>
      <c r="N73" s="106" t="s">
        <v>255</v>
      </c>
    </row>
    <row r="74" spans="1:15" x14ac:dyDescent="0.35">
      <c r="A74" s="104" t="s">
        <v>260</v>
      </c>
      <c r="B74" s="56">
        <f>SUMPRODUCT(Production!B5:B9,B69:B73)/Production!B40</f>
        <v>5.6220236737887959</v>
      </c>
      <c r="C74" s="56">
        <f>SUMPRODUCT(Production!C5:C9,C69:C73)/Production!C40</f>
        <v>5.5924850188601711</v>
      </c>
      <c r="D74" s="56">
        <f>SUMPRODUCT(Production!D5:D9,D69:D73)/Production!D40</f>
        <v>5.5205357838854932</v>
      </c>
      <c r="E74" s="56">
        <f>SUMPRODUCT(Production!E5:E9,E69:E73)/Production!E40</f>
        <v>5.6693463868163656</v>
      </c>
      <c r="F74" s="56">
        <f>SUMPRODUCT(Production!F5:F9,F69:F73)/Production!F40</f>
        <v>5.9073913658491959</v>
      </c>
      <c r="G74" s="56">
        <f>SUMPRODUCT(Production!G5:G9,G69:G73)/Production!G40</f>
        <v>5.7683107365451978</v>
      </c>
      <c r="H74" s="56">
        <f>SUMPRODUCT(Production!H5:H9,H69:H73)/Production!H40</f>
        <v>5.439430736638192</v>
      </c>
      <c r="I74" s="56">
        <f>SUMPRODUCT(Production!I5:I9,I69:I73)/Production!I40</f>
        <v>5.2098902671396905</v>
      </c>
      <c r="J74" s="56">
        <f>SUMPRODUCT(Production!J5:J9,J69:J73)/Production!J40</f>
        <v>5.6693463868163656</v>
      </c>
      <c r="K74" s="56">
        <f>SUMPRODUCT(Production!K5:K9,K69:K73)/Production!K40</f>
        <v>6.1023258578801922</v>
      </c>
      <c r="L74" s="56">
        <f>SUMPRODUCT(Production!L5:L9,L69:L73)/Production!L40</f>
        <v>5.5789338642047506</v>
      </c>
      <c r="N74" s="108"/>
      <c r="O74" s="106"/>
    </row>
    <row r="75" spans="1:15" x14ac:dyDescent="0.35">
      <c r="A75" s="104" t="s">
        <v>261</v>
      </c>
      <c r="B75" s="56">
        <f>Production!B8*B72/Production!B40/FCR_bonefree_incl_parents_DK</f>
        <v>0.7383784521180301</v>
      </c>
      <c r="C75" s="56">
        <f>Production!C8*C72/Production!C40/FCR_bonefree_incl_parents_FR</f>
        <v>0.72473930431381595</v>
      </c>
      <c r="D75" s="56">
        <f>Production!D8*D72/Production!D40/FCR_bonefree_incl_parents_DE</f>
        <v>0.72515460408050747</v>
      </c>
      <c r="E75" s="56">
        <f>Production!E8*E72/Production!E40/FCR_bonefree_incl_parents_GR</f>
        <v>0.72291140921468955</v>
      </c>
      <c r="F75" s="56">
        <f>Production!F8*F72/Production!F40/FCR_bonefree_incl_parents_HU</f>
        <v>0.72937996882031575</v>
      </c>
      <c r="G75" s="56">
        <f>Production!G8*G72/Production!G40/FCR_bonefree_incl_parents_IE</f>
        <v>0.72263274312565307</v>
      </c>
      <c r="H75" s="56">
        <f>Production!H8*H72/Production!H40/FCR_bonefree_incl_parents_IT</f>
        <v>0.70064745847390453</v>
      </c>
      <c r="I75" s="56">
        <f>Production!I8*I72/Production!I40/FCR_bonefree_incl_parents_NL</f>
        <v>0.73336709837920089</v>
      </c>
      <c r="J75" s="56">
        <f>Production!J8*J72/Production!J40/FCR_bonefree_incl_parents_PL</f>
        <v>0.72291140921468977</v>
      </c>
      <c r="K75" s="56">
        <f>Production!K8*K72/Production!K40/FCR_bonefree_incl_parents_ES</f>
        <v>0.70988364031110607</v>
      </c>
      <c r="L75" s="56">
        <f>Production!L8*L72/Production!L40/FCR_bonefree_incl_parents_SE</f>
        <v>0.71527802151924325</v>
      </c>
      <c r="N75" s="108"/>
      <c r="O75" s="106"/>
    </row>
    <row r="76" spans="1:15" x14ac:dyDescent="0.35">
      <c r="L76" s="140"/>
      <c r="N76" s="106"/>
      <c r="O76" s="106"/>
    </row>
    <row r="77" spans="1:15" x14ac:dyDescent="0.35">
      <c r="A77" s="117" t="s">
        <v>75</v>
      </c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30"/>
      <c r="N77" s="106"/>
      <c r="O77" s="106"/>
    </row>
    <row r="78" spans="1:15" x14ac:dyDescent="0.35">
      <c r="A78" s="104" t="s">
        <v>262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 s="99">
        <v>1.5</v>
      </c>
      <c r="N78" s="106"/>
      <c r="O78" s="106"/>
    </row>
    <row r="79" spans="1:15" x14ac:dyDescent="0.35">
      <c r="L79" s="18"/>
    </row>
    <row r="80" spans="1:15" x14ac:dyDescent="0.35">
      <c r="A80" s="117" t="s">
        <v>263</v>
      </c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30"/>
      <c r="N80" s="106"/>
    </row>
    <row r="81" spans="1:14" x14ac:dyDescent="0.35">
      <c r="A81" s="104" t="s">
        <v>264</v>
      </c>
      <c r="B81" s="118"/>
      <c r="C81" s="118">
        <v>0.4</v>
      </c>
      <c r="D81" s="118">
        <v>0.4</v>
      </c>
      <c r="E81" s="118">
        <v>0.4</v>
      </c>
      <c r="F81" s="118">
        <v>0.4</v>
      </c>
      <c r="G81" s="118">
        <v>0.4</v>
      </c>
      <c r="H81" s="118">
        <v>0.4</v>
      </c>
      <c r="I81" s="118">
        <v>0.4</v>
      </c>
      <c r="J81" s="118">
        <v>0.4</v>
      </c>
      <c r="K81" s="118">
        <v>0.4</v>
      </c>
      <c r="L81" s="118">
        <v>0.4</v>
      </c>
      <c r="N81" s="106" t="s">
        <v>265</v>
      </c>
    </row>
    <row r="82" spans="1:14" x14ac:dyDescent="0.35">
      <c r="A82" s="104" t="s">
        <v>266</v>
      </c>
      <c r="B82" s="118"/>
      <c r="C82" s="118">
        <v>50</v>
      </c>
      <c r="D82" s="118">
        <v>50</v>
      </c>
      <c r="E82" s="118">
        <v>50</v>
      </c>
      <c r="F82" s="118">
        <v>50</v>
      </c>
      <c r="G82" s="118">
        <v>50</v>
      </c>
      <c r="H82" s="118">
        <v>50</v>
      </c>
      <c r="I82" s="118">
        <v>50</v>
      </c>
      <c r="J82" s="118">
        <v>50</v>
      </c>
      <c r="K82" s="118">
        <v>50</v>
      </c>
      <c r="L82" s="118">
        <v>50</v>
      </c>
      <c r="N82" s="106" t="s">
        <v>265</v>
      </c>
    </row>
    <row r="83" spans="1:14" x14ac:dyDescent="0.35">
      <c r="A83" s="104" t="s">
        <v>267</v>
      </c>
      <c r="B83" s="143">
        <f>(148+541/3.6)/(1000*Bonefree_outof_CW_DK*0.76)</f>
        <v>0.66520467836257313</v>
      </c>
      <c r="C83" s="52">
        <f>(No_fattening_pigs_FR*C81+No_piglets_FR*C82)/Production!C25</f>
        <v>0.94907259075952222</v>
      </c>
      <c r="D83" s="52">
        <f>(No_fattening_pigs_DE*D81+No_piglets_DE*D82)/Production!D25</f>
        <v>0.90630340831756684</v>
      </c>
      <c r="E83" s="52">
        <f>(No_fattening_pigs_GR*E81+No_piglets_GR*E82)/Production!E25</f>
        <v>0.94727613716532377</v>
      </c>
      <c r="F83" s="52">
        <f>(No_fattening_pigs_HU*F81+No_piglets_HU*F82)/Production!F25</f>
        <v>1.004310786220697</v>
      </c>
      <c r="G83" s="52">
        <f>(No_fattening_pigs_IE*G81+No_piglets_IE*G82)/Production!G25</f>
        <v>0.95162040857738717</v>
      </c>
      <c r="H83" s="52">
        <f>(No_fattening_pigs_IT*H81+No_piglets_IT*H82)/Production!H25</f>
        <v>0.63326748931600563</v>
      </c>
      <c r="I83" s="52">
        <f>(No_fattening_pigs_NL*I81+No_piglets_NL*I82)/Production!I25</f>
        <v>0.88630479097415993</v>
      </c>
      <c r="J83" s="52">
        <f>(No_fattening_pigs_PL*J81+No_piglets_PL*J82)/Production!J25</f>
        <v>0.94727613716532377</v>
      </c>
      <c r="K83" s="52">
        <f>(No_fattening_pigs_ES*K81+No_piglets_ES*K82)/Production!K25</f>
        <v>1.0108220628529678</v>
      </c>
      <c r="L83" s="52">
        <f>(No_fattening_pigs_SE*L81+No_piglets_SE*L82)/Production!L25</f>
        <v>0.93653664642341017</v>
      </c>
      <c r="N83" s="112" t="s">
        <v>268</v>
      </c>
    </row>
    <row r="84" spans="1:14" x14ac:dyDescent="0.35">
      <c r="A84" s="104" t="s">
        <v>269</v>
      </c>
      <c r="B84" s="143">
        <f>148/(148+541/3.6)</f>
        <v>0.49618178431737753</v>
      </c>
      <c r="C84" s="118">
        <v>0.7</v>
      </c>
      <c r="D84" s="118">
        <v>0.7</v>
      </c>
      <c r="E84" s="118">
        <v>0.7</v>
      </c>
      <c r="F84" s="118">
        <v>0.7</v>
      </c>
      <c r="G84" s="118">
        <v>0.7</v>
      </c>
      <c r="H84" s="118">
        <v>0.7</v>
      </c>
      <c r="I84" s="118">
        <v>0.7</v>
      </c>
      <c r="J84" s="118">
        <v>0.7</v>
      </c>
      <c r="K84" s="118">
        <v>0.7</v>
      </c>
      <c r="L84" s="118">
        <v>0.7</v>
      </c>
      <c r="N84" s="144" t="s">
        <v>270</v>
      </c>
    </row>
    <row r="85" spans="1:14" x14ac:dyDescent="0.35">
      <c r="A85" s="104" t="s">
        <v>271</v>
      </c>
      <c r="B85" s="119">
        <v>0</v>
      </c>
      <c r="C85" s="118">
        <v>0.6</v>
      </c>
      <c r="D85" s="118">
        <v>0.6</v>
      </c>
      <c r="E85" s="118">
        <v>0.6</v>
      </c>
      <c r="F85" s="118">
        <v>0.6</v>
      </c>
      <c r="G85" s="118">
        <v>0.6</v>
      </c>
      <c r="H85" s="118">
        <v>0.6</v>
      </c>
      <c r="I85" s="118">
        <v>0.6</v>
      </c>
      <c r="J85" s="118">
        <v>0.6</v>
      </c>
      <c r="K85" s="118">
        <v>0.6</v>
      </c>
      <c r="L85" s="118">
        <v>0.6</v>
      </c>
      <c r="N85" s="144" t="s">
        <v>270</v>
      </c>
    </row>
    <row r="86" spans="1:14" x14ac:dyDescent="0.35">
      <c r="N86" s="106"/>
    </row>
    <row r="87" spans="1:14" x14ac:dyDescent="0.35">
      <c r="A87" s="117" t="s">
        <v>272</v>
      </c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30"/>
    </row>
    <row r="88" spans="1:14" x14ac:dyDescent="0.35">
      <c r="A88" s="104" t="s">
        <v>273</v>
      </c>
      <c r="B88" s="143">
        <f>12/B9</f>
        <v>0.13850415512465375</v>
      </c>
      <c r="C88" s="122">
        <v>0.1</v>
      </c>
      <c r="D88" s="122">
        <v>0.1</v>
      </c>
      <c r="E88" s="122">
        <v>0.1</v>
      </c>
      <c r="F88" s="122">
        <v>0.1</v>
      </c>
      <c r="G88" s="122">
        <v>0.1</v>
      </c>
      <c r="H88" s="122">
        <v>0.1</v>
      </c>
      <c r="I88" s="122">
        <v>0.1</v>
      </c>
      <c r="J88" s="122">
        <v>0.1</v>
      </c>
      <c r="K88" s="122">
        <v>0.1</v>
      </c>
      <c r="L88" s="122">
        <v>0.1</v>
      </c>
      <c r="N88" s="145" t="s">
        <v>274</v>
      </c>
    </row>
    <row r="89" spans="1:14" x14ac:dyDescent="0.35">
      <c r="A89" s="104" t="s">
        <v>275</v>
      </c>
      <c r="B89" s="143">
        <f>14/B9</f>
        <v>0.16158818097876271</v>
      </c>
      <c r="C89" s="122">
        <v>0.2</v>
      </c>
      <c r="D89" s="122">
        <v>0.2</v>
      </c>
      <c r="E89" s="122">
        <v>0.2</v>
      </c>
      <c r="F89" s="122">
        <v>0.2</v>
      </c>
      <c r="G89" s="122">
        <v>0.2</v>
      </c>
      <c r="H89" s="122">
        <v>0.2</v>
      </c>
      <c r="I89" s="122">
        <v>0.2</v>
      </c>
      <c r="J89" s="122">
        <v>0.2</v>
      </c>
      <c r="K89" s="122">
        <v>0.2</v>
      </c>
      <c r="L89" s="122">
        <v>0.2</v>
      </c>
      <c r="N89" s="145" t="s">
        <v>276</v>
      </c>
    </row>
    <row r="90" spans="1:14" x14ac:dyDescent="0.35">
      <c r="L90" s="140"/>
    </row>
    <row r="91" spans="1:14" x14ac:dyDescent="0.35">
      <c r="A91" s="117" t="s">
        <v>277</v>
      </c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30"/>
      <c r="N91" s="106"/>
    </row>
    <row r="92" spans="1:14" x14ac:dyDescent="0.35">
      <c r="A92" s="104" t="s">
        <v>278</v>
      </c>
      <c r="B92" s="53">
        <f>SUMPRODUCT(B93:B95,'Parameters, general'!$B$10:$B$12)</f>
        <v>0.38627677177026798</v>
      </c>
      <c r="C92" s="53">
        <f>SUMPRODUCT(C93:C95,'Parameters, general'!$B$10:$B$12)</f>
        <v>9.5381405160222726E-2</v>
      </c>
      <c r="D92" s="53">
        <f>SUMPRODUCT(D93:D95,'Parameters, general'!$B$10:$B$12)</f>
        <v>0.49048549543962316</v>
      </c>
      <c r="E92" s="53">
        <f>SUMPRODUCT(E93:E95,'Parameters, general'!$B$10:$B$12)</f>
        <v>0.67841599837959998</v>
      </c>
      <c r="F92" s="53">
        <f>SUMPRODUCT(F93:F95,'Parameters, general'!$B$10:$B$12)</f>
        <v>0.47045713416211871</v>
      </c>
      <c r="G92" s="53">
        <f>SUMPRODUCT(G93:G95,'Parameters, general'!$B$10:$B$12)</f>
        <v>0.4048456615611673</v>
      </c>
      <c r="H92" s="53">
        <f>SUMPRODUCT(H93:H95,'Parameters, general'!$B$10:$B$12)</f>
        <v>0.42738626455461243</v>
      </c>
      <c r="I92" s="53">
        <f>SUMPRODUCT(I93:I95,'Parameters, general'!$B$10:$B$12)</f>
        <v>0.52657781797980341</v>
      </c>
      <c r="J92" s="53">
        <f>SUMPRODUCT(J93:J95,'Parameters, general'!$B$10:$B$12)</f>
        <v>1.0319324183189464</v>
      </c>
      <c r="K92" s="53">
        <f>SUMPRODUCT(K93:K95,'Parameters, general'!$B$10:$B$12)</f>
        <v>0.29314059765558081</v>
      </c>
      <c r="L92" s="53">
        <f>SUMPRODUCT(L93:L95,'Parameters, general'!$B$10:$B$12)</f>
        <v>9.1599695300547013E-2</v>
      </c>
      <c r="N92" s="106" t="s">
        <v>279</v>
      </c>
    </row>
    <row r="93" spans="1:14" x14ac:dyDescent="0.35">
      <c r="A93" s="104" t="s">
        <v>280</v>
      </c>
      <c r="B93" s="146">
        <v>0.37053203522740003</v>
      </c>
      <c r="C93" s="147">
        <v>8.7112695367500007E-2</v>
      </c>
      <c r="D93" s="146">
        <v>0.46350339663360002</v>
      </c>
      <c r="E93" s="146">
        <v>0.63996298020209996</v>
      </c>
      <c r="F93" s="146">
        <v>0.43715184780049998</v>
      </c>
      <c r="G93" s="146">
        <v>0.39187201012473999</v>
      </c>
      <c r="H93" s="146">
        <v>0.37797633435819999</v>
      </c>
      <c r="I93" s="146">
        <v>0.49673189321139999</v>
      </c>
      <c r="J93" s="146">
        <v>0.9754510606115</v>
      </c>
      <c r="K93" s="146">
        <v>0.26811508139590001</v>
      </c>
      <c r="L93" s="146">
        <v>8.8450339728460003E-2</v>
      </c>
      <c r="N93" s="106"/>
    </row>
    <row r="94" spans="1:14" x14ac:dyDescent="0.35">
      <c r="A94" s="104" t="s">
        <v>281</v>
      </c>
      <c r="B94" s="148">
        <v>5.1107441647039998E-4</v>
      </c>
      <c r="C94" s="148">
        <v>2.700762131814E-4</v>
      </c>
      <c r="D94" s="148">
        <v>8.8663106704440001E-4</v>
      </c>
      <c r="E94" s="148">
        <v>1.2704162262849E-3</v>
      </c>
      <c r="F94" s="148">
        <v>1.1037499887663999E-3</v>
      </c>
      <c r="G94" s="148">
        <v>4.22314047096554E-4</v>
      </c>
      <c r="H94" s="148">
        <v>1.6431484401077999E-3</v>
      </c>
      <c r="I94" s="148">
        <v>9.8347245312259998E-4</v>
      </c>
      <c r="J94" s="148">
        <v>1.87940081866364E-3</v>
      </c>
      <c r="K94" s="148">
        <v>8.28784824796E-4</v>
      </c>
      <c r="L94" s="148">
        <v>9.8278548655939999E-5</v>
      </c>
      <c r="N94" s="106"/>
    </row>
    <row r="95" spans="1:14" x14ac:dyDescent="0.35">
      <c r="A95" s="104" t="s">
        <v>282</v>
      </c>
      <c r="B95" s="149">
        <v>1.9063664150000001E-5</v>
      </c>
      <c r="C95" s="149">
        <v>8.1643940710000003E-6</v>
      </c>
      <c r="D95" s="149">
        <v>2.07590003E-5</v>
      </c>
      <c r="E95" s="149">
        <v>2.2022764229999999E-5</v>
      </c>
      <c r="F95" s="149">
        <v>1.5316173940000001E-5</v>
      </c>
      <c r="G95" s="149">
        <v>1.439603085E-5</v>
      </c>
      <c r="H95" s="149">
        <v>1.6448395599999999E-5</v>
      </c>
      <c r="I95" s="149">
        <v>1.9942432050000001E-5</v>
      </c>
      <c r="J95" s="149">
        <v>1.7600493009999999E-5</v>
      </c>
      <c r="K95" s="149">
        <v>1.213809188E-5</v>
      </c>
      <c r="L95" s="149">
        <v>8.1724008200000007E-6</v>
      </c>
    </row>
    <row r="96" spans="1:14" x14ac:dyDescent="0.35">
      <c r="A96" s="104"/>
    </row>
    <row r="97" spans="1:14" x14ac:dyDescent="0.35">
      <c r="A97" s="117" t="s">
        <v>283</v>
      </c>
      <c r="B97" s="117" t="s">
        <v>39</v>
      </c>
      <c r="C97" s="117" t="s">
        <v>41</v>
      </c>
      <c r="D97" s="117" t="s">
        <v>43</v>
      </c>
      <c r="E97" s="117" t="s">
        <v>45</v>
      </c>
      <c r="F97" s="117" t="s">
        <v>47</v>
      </c>
      <c r="G97" s="117" t="s">
        <v>49</v>
      </c>
      <c r="H97" s="117" t="s">
        <v>51</v>
      </c>
      <c r="I97" s="117" t="s">
        <v>53</v>
      </c>
      <c r="J97" s="117" t="s">
        <v>55</v>
      </c>
      <c r="K97" s="117" t="s">
        <v>57</v>
      </c>
      <c r="L97" s="150" t="s">
        <v>59</v>
      </c>
      <c r="N97" s="106"/>
    </row>
    <row r="98" spans="1:14" x14ac:dyDescent="0.35">
      <c r="A98" s="104" t="s">
        <v>284</v>
      </c>
      <c r="B98" s="151">
        <v>3.1162677395757101</v>
      </c>
      <c r="C98" s="151">
        <v>3.1792442157854</v>
      </c>
      <c r="D98" s="151">
        <v>3.2077829821500399</v>
      </c>
      <c r="E98" s="151">
        <v>3.3911286486486398</v>
      </c>
      <c r="F98" s="151">
        <v>3.1523065430190602</v>
      </c>
      <c r="G98" s="151">
        <v>3.2030592553749302</v>
      </c>
      <c r="H98" s="151">
        <v>3.46067082188886</v>
      </c>
      <c r="I98" s="151">
        <v>3.1627724594992599</v>
      </c>
      <c r="J98" s="151">
        <v>3.0606571322894802</v>
      </c>
      <c r="K98" s="151">
        <v>3.3359411047220702</v>
      </c>
      <c r="L98" s="151">
        <v>3.0736425884123402</v>
      </c>
      <c r="N98" s="106" t="s">
        <v>285</v>
      </c>
    </row>
    <row r="99" spans="1:14" x14ac:dyDescent="0.35">
      <c r="A99" s="104" t="s">
        <v>286</v>
      </c>
      <c r="B99" s="152">
        <v>0</v>
      </c>
      <c r="C99" s="152">
        <v>0</v>
      </c>
      <c r="D99" s="152">
        <v>0</v>
      </c>
      <c r="E99" s="152">
        <v>0</v>
      </c>
      <c r="F99" s="152">
        <v>0</v>
      </c>
      <c r="G99" s="152">
        <v>0</v>
      </c>
      <c r="H99" s="152">
        <v>0</v>
      </c>
      <c r="I99" s="152">
        <v>0</v>
      </c>
      <c r="J99" s="152">
        <v>0</v>
      </c>
      <c r="K99" s="152">
        <v>0</v>
      </c>
      <c r="L99" s="152">
        <v>0</v>
      </c>
    </row>
    <row r="100" spans="1:14" x14ac:dyDescent="0.35">
      <c r="A100" s="104" t="s">
        <v>287</v>
      </c>
      <c r="B100" s="148">
        <v>1.40781530101208E-3</v>
      </c>
      <c r="C100" s="148">
        <v>9.4235970813619002E-4</v>
      </c>
      <c r="D100" s="148">
        <v>1.06652006786216E-3</v>
      </c>
      <c r="E100" s="148">
        <v>3.1944559944559902E-4</v>
      </c>
      <c r="F100" s="148">
        <v>1.22755160004E-3</v>
      </c>
      <c r="G100" s="148">
        <v>1.12337810764659E-3</v>
      </c>
      <c r="H100" s="148">
        <v>1.53739351711039E-4</v>
      </c>
      <c r="I100" s="148">
        <v>1.2356109771426401E-3</v>
      </c>
      <c r="J100" s="148">
        <v>1.2125413730641099E-3</v>
      </c>
      <c r="K100" s="148">
        <v>5.5574384377311695E-4</v>
      </c>
      <c r="L100" s="148">
        <v>1.6242541005520601E-3</v>
      </c>
    </row>
    <row r="101" spans="1:14" x14ac:dyDescent="0.35">
      <c r="A101" s="104"/>
      <c r="L101" s="118"/>
    </row>
    <row r="102" spans="1:14" x14ac:dyDescent="0.35">
      <c r="A102" s="117" t="s">
        <v>288</v>
      </c>
      <c r="B102" s="117" t="s">
        <v>38</v>
      </c>
      <c r="C102" s="117" t="s">
        <v>40</v>
      </c>
      <c r="D102" s="117" t="s">
        <v>42</v>
      </c>
      <c r="E102" s="117" t="s">
        <v>44</v>
      </c>
      <c r="F102" s="117" t="s">
        <v>46</v>
      </c>
      <c r="G102" s="117" t="s">
        <v>48</v>
      </c>
      <c r="H102" s="117" t="s">
        <v>50</v>
      </c>
      <c r="I102" s="117" t="s">
        <v>52</v>
      </c>
      <c r="J102" s="117" t="s">
        <v>54</v>
      </c>
      <c r="K102" s="117" t="s">
        <v>56</v>
      </c>
      <c r="L102" s="117" t="s">
        <v>58</v>
      </c>
    </row>
    <row r="103" spans="1:14" x14ac:dyDescent="0.35">
      <c r="A103" s="153" t="s">
        <v>289</v>
      </c>
      <c r="B103" s="154">
        <v>1.6E-2</v>
      </c>
      <c r="C103" s="154">
        <v>1.6E-2</v>
      </c>
      <c r="D103" s="154">
        <v>1.6E-2</v>
      </c>
      <c r="E103" s="154">
        <v>0.01</v>
      </c>
      <c r="F103" s="154">
        <v>1.6E-2</v>
      </c>
      <c r="G103" s="154">
        <v>1.6E-2</v>
      </c>
      <c r="H103" s="154">
        <v>1.6E-2</v>
      </c>
      <c r="I103" s="154">
        <v>1.6E-2</v>
      </c>
      <c r="J103" s="154">
        <v>1.6E-2</v>
      </c>
      <c r="K103" s="154">
        <v>0.01</v>
      </c>
      <c r="L103" s="154">
        <v>1.6E-2</v>
      </c>
      <c r="N103" s="106" t="s">
        <v>290</v>
      </c>
    </row>
    <row r="104" spans="1:14" x14ac:dyDescent="0.35">
      <c r="A104" s="153" t="s">
        <v>291</v>
      </c>
      <c r="B104" s="154">
        <v>6.0000000000000001E-3</v>
      </c>
      <c r="C104" s="154">
        <v>6.0000000000000001E-3</v>
      </c>
      <c r="D104" s="154">
        <v>6.0000000000000001E-3</v>
      </c>
      <c r="E104" s="154">
        <v>0.01</v>
      </c>
      <c r="F104" s="154">
        <v>6.0000000000000001E-3</v>
      </c>
      <c r="G104" s="154">
        <v>6.0000000000000001E-3</v>
      </c>
      <c r="H104" s="154">
        <v>6.0000000000000001E-3</v>
      </c>
      <c r="I104" s="154">
        <v>6.0000000000000001E-3</v>
      </c>
      <c r="J104" s="154">
        <v>6.0000000000000001E-3</v>
      </c>
      <c r="K104" s="154">
        <v>0.01</v>
      </c>
      <c r="L104" s="154">
        <v>6.0000000000000001E-3</v>
      </c>
    </row>
    <row r="105" spans="1:14" x14ac:dyDescent="0.35">
      <c r="A105" s="104" t="s">
        <v>292</v>
      </c>
      <c r="B105" s="13">
        <f t="shared" ref="B105:L105" si="21">B103-B104</f>
        <v>0.01</v>
      </c>
      <c r="C105" s="13">
        <f t="shared" si="21"/>
        <v>0.01</v>
      </c>
      <c r="D105" s="13">
        <f t="shared" si="21"/>
        <v>0.01</v>
      </c>
      <c r="E105" s="13">
        <f t="shared" si="21"/>
        <v>0</v>
      </c>
      <c r="F105" s="13">
        <f t="shared" si="21"/>
        <v>0.01</v>
      </c>
      <c r="G105" s="13">
        <f t="shared" si="21"/>
        <v>0.01</v>
      </c>
      <c r="H105" s="13">
        <f t="shared" si="21"/>
        <v>0.01</v>
      </c>
      <c r="I105" s="13">
        <f t="shared" si="21"/>
        <v>0.01</v>
      </c>
      <c r="J105" s="13">
        <f t="shared" si="21"/>
        <v>0.01</v>
      </c>
      <c r="K105" s="13">
        <f t="shared" si="21"/>
        <v>0</v>
      </c>
      <c r="L105" s="53">
        <f t="shared" si="21"/>
        <v>0.01</v>
      </c>
    </row>
    <row r="106" spans="1:14" x14ac:dyDescent="0.35">
      <c r="A106" s="153" t="s">
        <v>293</v>
      </c>
      <c r="B106" s="155">
        <v>0.1</v>
      </c>
      <c r="C106" s="155">
        <v>0.1</v>
      </c>
      <c r="D106" s="155">
        <v>0.1</v>
      </c>
      <c r="E106" s="155">
        <v>0.1</v>
      </c>
      <c r="F106" s="155">
        <v>0.1</v>
      </c>
      <c r="G106" s="155">
        <v>0.1</v>
      </c>
      <c r="H106" s="155">
        <v>0.1</v>
      </c>
      <c r="I106" s="155">
        <v>0.1</v>
      </c>
      <c r="J106" s="155">
        <v>0.1</v>
      </c>
      <c r="K106" s="155">
        <v>0.1</v>
      </c>
      <c r="L106" s="155">
        <v>0.1</v>
      </c>
    </row>
    <row r="107" spans="1:14" x14ac:dyDescent="0.35">
      <c r="A107" s="104"/>
      <c r="L107" s="118"/>
    </row>
    <row r="108" spans="1:14" x14ac:dyDescent="0.35">
      <c r="A108" s="117" t="s">
        <v>294</v>
      </c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56"/>
      <c r="N108" s="106"/>
    </row>
    <row r="109" spans="1:14" x14ac:dyDescent="0.35">
      <c r="A109" s="153" t="s">
        <v>294</v>
      </c>
      <c r="B109" s="157">
        <v>0.5</v>
      </c>
      <c r="C109" s="157">
        <v>0.5</v>
      </c>
      <c r="D109" s="157">
        <v>0.5</v>
      </c>
      <c r="E109" s="157">
        <v>0.5</v>
      </c>
      <c r="F109" s="157">
        <v>0.5</v>
      </c>
      <c r="G109" s="157">
        <v>0.5</v>
      </c>
      <c r="H109" s="157">
        <v>0.5</v>
      </c>
      <c r="I109" s="157">
        <v>0.5</v>
      </c>
      <c r="J109" s="157">
        <v>0.5</v>
      </c>
      <c r="K109" s="157">
        <v>0.5</v>
      </c>
      <c r="L109" s="157">
        <v>0.5</v>
      </c>
      <c r="N109" s="106" t="s">
        <v>295</v>
      </c>
    </row>
    <row r="110" spans="1:14" x14ac:dyDescent="0.35">
      <c r="L110" s="118"/>
      <c r="N110" s="106"/>
    </row>
    <row r="111" spans="1:14" x14ac:dyDescent="0.35">
      <c r="A111" s="117" t="s">
        <v>90</v>
      </c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30"/>
      <c r="N111" s="106"/>
    </row>
    <row r="112" spans="1:14" x14ac:dyDescent="0.35">
      <c r="A112" s="153" t="s">
        <v>296</v>
      </c>
      <c r="B112" s="158">
        <v>17</v>
      </c>
      <c r="C112" s="158">
        <v>13</v>
      </c>
      <c r="D112" s="158">
        <v>13</v>
      </c>
      <c r="E112" s="158">
        <v>13</v>
      </c>
      <c r="F112" s="158">
        <v>13</v>
      </c>
      <c r="G112" s="158">
        <v>13</v>
      </c>
      <c r="H112" s="158">
        <v>13</v>
      </c>
      <c r="I112" s="158">
        <v>13</v>
      </c>
      <c r="J112" s="158">
        <v>13</v>
      </c>
      <c r="K112" s="158">
        <v>13</v>
      </c>
      <c r="L112" s="158">
        <v>13</v>
      </c>
      <c r="N112" s="106" t="s">
        <v>297</v>
      </c>
    </row>
    <row r="113" spans="1:14" x14ac:dyDescent="0.35">
      <c r="A113" s="153" t="s">
        <v>298</v>
      </c>
      <c r="B113" s="158">
        <v>50</v>
      </c>
      <c r="C113" s="158">
        <v>48</v>
      </c>
      <c r="D113" s="158">
        <v>48</v>
      </c>
      <c r="E113" s="158">
        <v>48</v>
      </c>
      <c r="F113" s="158">
        <v>48</v>
      </c>
      <c r="G113" s="158">
        <v>48</v>
      </c>
      <c r="H113" s="158">
        <v>48</v>
      </c>
      <c r="I113" s="158">
        <v>48</v>
      </c>
      <c r="J113" s="158">
        <v>48</v>
      </c>
      <c r="K113" s="158">
        <v>48</v>
      </c>
      <c r="L113" s="158">
        <v>48</v>
      </c>
      <c r="N113" s="106"/>
    </row>
    <row r="114" spans="1:14" x14ac:dyDescent="0.35">
      <c r="A114" s="153" t="s">
        <v>299</v>
      </c>
      <c r="B114" s="159">
        <v>11.5</v>
      </c>
      <c r="C114" s="159">
        <v>11.5</v>
      </c>
      <c r="D114" s="159">
        <v>11.5</v>
      </c>
      <c r="E114" s="159">
        <v>11.5</v>
      </c>
      <c r="F114" s="159">
        <v>11.5</v>
      </c>
      <c r="G114" s="159">
        <v>11.5</v>
      </c>
      <c r="H114" s="159">
        <v>11.5</v>
      </c>
      <c r="I114" s="159">
        <v>11.5</v>
      </c>
      <c r="J114" s="159">
        <v>11.5</v>
      </c>
      <c r="K114" s="159">
        <v>11.5</v>
      </c>
      <c r="L114" s="159">
        <v>11.5</v>
      </c>
      <c r="N114" s="106"/>
    </row>
    <row r="115" spans="1:14" x14ac:dyDescent="0.35">
      <c r="A115" s="153" t="s">
        <v>300</v>
      </c>
      <c r="B115" s="159">
        <v>50</v>
      </c>
      <c r="C115" s="159">
        <v>50</v>
      </c>
      <c r="D115" s="159">
        <v>50</v>
      </c>
      <c r="E115" s="159">
        <v>50</v>
      </c>
      <c r="F115" s="159">
        <v>50</v>
      </c>
      <c r="G115" s="159">
        <v>50</v>
      </c>
      <c r="H115" s="159">
        <v>50</v>
      </c>
      <c r="I115" s="159">
        <v>50</v>
      </c>
      <c r="J115" s="159">
        <v>50</v>
      </c>
      <c r="K115" s="159">
        <v>50</v>
      </c>
      <c r="L115" s="159">
        <v>50</v>
      </c>
      <c r="N115" s="106"/>
    </row>
    <row r="116" spans="1:14" x14ac:dyDescent="0.35">
      <c r="A116" s="153" t="s">
        <v>301</v>
      </c>
      <c r="B116" s="159">
        <v>14.5</v>
      </c>
      <c r="C116" s="159">
        <v>14.5</v>
      </c>
      <c r="D116" s="159">
        <v>14.5</v>
      </c>
      <c r="E116" s="159">
        <v>14.5</v>
      </c>
      <c r="F116" s="159">
        <v>14.5</v>
      </c>
      <c r="G116" s="159">
        <v>14.5</v>
      </c>
      <c r="H116" s="159">
        <v>14.5</v>
      </c>
      <c r="I116" s="159">
        <v>14.5</v>
      </c>
      <c r="J116" s="159">
        <v>14.5</v>
      </c>
      <c r="K116" s="159">
        <v>14.5</v>
      </c>
      <c r="L116" s="159">
        <v>14.5</v>
      </c>
      <c r="N116" s="106"/>
    </row>
    <row r="117" spans="1:14" x14ac:dyDescent="0.35">
      <c r="A117" s="153" t="s">
        <v>302</v>
      </c>
      <c r="B117" s="159">
        <v>50</v>
      </c>
      <c r="C117" s="159">
        <v>50</v>
      </c>
      <c r="D117" s="159">
        <v>50</v>
      </c>
      <c r="E117" s="159">
        <v>50</v>
      </c>
      <c r="F117" s="159">
        <v>50</v>
      </c>
      <c r="G117" s="159">
        <v>50</v>
      </c>
      <c r="H117" s="159">
        <v>50</v>
      </c>
      <c r="I117" s="159">
        <v>50</v>
      </c>
      <c r="J117" s="159">
        <v>50</v>
      </c>
      <c r="K117" s="159">
        <v>50</v>
      </c>
      <c r="L117" s="159">
        <v>50</v>
      </c>
    </row>
    <row r="118" spans="1:14" x14ac:dyDescent="0.35">
      <c r="A118" s="153" t="s">
        <v>303</v>
      </c>
      <c r="B118" s="159">
        <v>1.9</v>
      </c>
      <c r="C118" s="159">
        <v>1.9</v>
      </c>
      <c r="D118" s="159">
        <v>1.9</v>
      </c>
      <c r="E118" s="159">
        <v>1.9</v>
      </c>
      <c r="F118" s="159">
        <v>1.9</v>
      </c>
      <c r="G118" s="159">
        <v>1.9</v>
      </c>
      <c r="H118" s="159">
        <v>1.9</v>
      </c>
      <c r="I118" s="159">
        <v>1.9</v>
      </c>
      <c r="J118" s="159">
        <v>1.9</v>
      </c>
      <c r="K118" s="159">
        <v>1.9</v>
      </c>
      <c r="L118" s="159">
        <v>1.9</v>
      </c>
    </row>
    <row r="119" spans="1:14" x14ac:dyDescent="0.35">
      <c r="A119" s="153" t="s">
        <v>304</v>
      </c>
      <c r="B119" s="159">
        <v>5</v>
      </c>
      <c r="C119" s="159">
        <v>5</v>
      </c>
      <c r="D119" s="159">
        <v>5</v>
      </c>
      <c r="E119" s="159">
        <v>5</v>
      </c>
      <c r="F119" s="159">
        <v>5</v>
      </c>
      <c r="G119" s="159">
        <v>5</v>
      </c>
      <c r="H119" s="159">
        <v>5</v>
      </c>
      <c r="I119" s="159">
        <v>5</v>
      </c>
      <c r="J119" s="159">
        <v>5</v>
      </c>
      <c r="K119" s="159">
        <v>5</v>
      </c>
      <c r="L119" s="159">
        <v>5</v>
      </c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DC3E6"/>
  </sheetPr>
  <dimension ref="A2:S23"/>
  <sheetViews>
    <sheetView zoomScale="80" zoomScaleNormal="80" workbookViewId="0">
      <selection activeCell="R9" sqref="R9"/>
    </sheetView>
  </sheetViews>
  <sheetFormatPr defaultColWidth="8.6328125" defaultRowHeight="14.5" x14ac:dyDescent="0.35"/>
  <cols>
    <col min="1" max="1" width="38.54296875" customWidth="1"/>
  </cols>
  <sheetData>
    <row r="2" spans="1:19" ht="21" customHeight="1" x14ac:dyDescent="0.5">
      <c r="A2" s="8" t="s">
        <v>305</v>
      </c>
      <c r="B2" s="106" t="s">
        <v>306</v>
      </c>
    </row>
    <row r="4" spans="1:19" x14ac:dyDescent="0.35">
      <c r="B4" t="s">
        <v>39</v>
      </c>
      <c r="C4" t="s">
        <v>41</v>
      </c>
      <c r="D4" t="s">
        <v>43</v>
      </c>
      <c r="E4" t="s">
        <v>45</v>
      </c>
      <c r="F4" t="s">
        <v>47</v>
      </c>
      <c r="G4" t="s">
        <v>49</v>
      </c>
      <c r="H4" t="s">
        <v>51</v>
      </c>
      <c r="I4" t="s">
        <v>53</v>
      </c>
      <c r="J4" t="s">
        <v>55</v>
      </c>
      <c r="K4" t="s">
        <v>57</v>
      </c>
      <c r="L4" s="18" t="s">
        <v>59</v>
      </c>
    </row>
    <row r="5" spans="1:19" x14ac:dyDescent="0.35">
      <c r="B5" s="117" t="s">
        <v>38</v>
      </c>
      <c r="C5" s="117" t="s">
        <v>40</v>
      </c>
      <c r="D5" s="117" t="s">
        <v>42</v>
      </c>
      <c r="E5" s="117" t="s">
        <v>307</v>
      </c>
      <c r="F5" s="117" t="s">
        <v>46</v>
      </c>
      <c r="G5" s="117" t="s">
        <v>48</v>
      </c>
      <c r="H5" s="117" t="s">
        <v>50</v>
      </c>
      <c r="I5" s="117" t="s">
        <v>52</v>
      </c>
      <c r="J5" s="117" t="s">
        <v>308</v>
      </c>
      <c r="K5" s="117" t="s">
        <v>56</v>
      </c>
      <c r="L5" s="117" t="s">
        <v>58</v>
      </c>
    </row>
    <row r="6" spans="1:19" x14ac:dyDescent="0.35">
      <c r="A6" s="160" t="s">
        <v>309</v>
      </c>
      <c r="B6">
        <v>40.1</v>
      </c>
      <c r="C6">
        <v>35.299999999999997</v>
      </c>
      <c r="D6">
        <v>35.700000000000003</v>
      </c>
      <c r="E6" s="161">
        <f>AVERAGE(B6:D6,F6:I6,K6:L6)</f>
        <v>34.577777777777776</v>
      </c>
      <c r="F6">
        <v>34.799999999999997</v>
      </c>
      <c r="G6">
        <v>33.299999999999997</v>
      </c>
      <c r="H6">
        <v>29.4</v>
      </c>
      <c r="I6">
        <v>36.5</v>
      </c>
      <c r="J6" s="161">
        <f>AVERAGE(B6:D6,F6:I6,K6:L6)</f>
        <v>34.577777777777776</v>
      </c>
      <c r="K6">
        <v>32.6</v>
      </c>
      <c r="L6">
        <v>33.5</v>
      </c>
      <c r="N6" s="1" t="s">
        <v>310</v>
      </c>
      <c r="Q6" s="1"/>
      <c r="R6" s="1"/>
      <c r="S6" s="1"/>
    </row>
    <row r="7" spans="1:19" x14ac:dyDescent="0.35">
      <c r="A7" s="160" t="s">
        <v>311</v>
      </c>
      <c r="B7">
        <v>34</v>
      </c>
      <c r="C7">
        <v>30.1</v>
      </c>
      <c r="D7">
        <v>30.2</v>
      </c>
      <c r="E7" s="161">
        <f>AVERAGE(B7:D7,F7:L7)</f>
        <v>29.866666666666656</v>
      </c>
      <c r="F7">
        <v>30.9</v>
      </c>
      <c r="G7">
        <v>29.6</v>
      </c>
      <c r="H7">
        <v>26.1</v>
      </c>
      <c r="I7">
        <v>32.1</v>
      </c>
      <c r="J7" s="161">
        <f>AVERAGE(B7:D7,F7:I7,K7:L7)</f>
        <v>29.86666666666666</v>
      </c>
      <c r="K7">
        <v>27.9</v>
      </c>
      <c r="L7">
        <v>27.9</v>
      </c>
      <c r="N7" s="162" t="s">
        <v>312</v>
      </c>
      <c r="Q7" s="163"/>
      <c r="R7" s="1"/>
      <c r="S7" s="1"/>
    </row>
    <row r="8" spans="1:19" x14ac:dyDescent="0.35">
      <c r="A8" s="160" t="s">
        <v>313</v>
      </c>
      <c r="B8" s="164">
        <f t="shared" ref="B8:L8" si="0">(B6-B7)/B6*100</f>
        <v>15.211970074812969</v>
      </c>
      <c r="C8" s="164">
        <f t="shared" si="0"/>
        <v>14.730878186968827</v>
      </c>
      <c r="D8" s="164">
        <f t="shared" si="0"/>
        <v>15.406162464986004</v>
      </c>
      <c r="E8" s="164">
        <f t="shared" si="0"/>
        <v>13.624678663239099</v>
      </c>
      <c r="F8" s="164">
        <f t="shared" si="0"/>
        <v>11.206896551724135</v>
      </c>
      <c r="G8" s="164">
        <f t="shared" si="0"/>
        <v>11.1111111111111</v>
      </c>
      <c r="H8" s="164">
        <f t="shared" si="0"/>
        <v>11.224489795918357</v>
      </c>
      <c r="I8" s="164">
        <f t="shared" si="0"/>
        <v>12.054794520547942</v>
      </c>
      <c r="J8" s="164">
        <f t="shared" si="0"/>
        <v>13.62467866323909</v>
      </c>
      <c r="K8" s="164">
        <f t="shared" si="0"/>
        <v>14.417177914110438</v>
      </c>
      <c r="L8" s="164">
        <f t="shared" si="0"/>
        <v>16.716417910447763</v>
      </c>
      <c r="N8" s="163" t="s">
        <v>314</v>
      </c>
      <c r="R8" s="163">
        <v>0.151</v>
      </c>
    </row>
    <row r="9" spans="1:19" x14ac:dyDescent="0.35">
      <c r="A9" s="160" t="s">
        <v>315</v>
      </c>
      <c r="B9">
        <v>32.700000000000003</v>
      </c>
      <c r="C9">
        <v>29.3</v>
      </c>
      <c r="D9">
        <v>29.4</v>
      </c>
      <c r="E9" s="161">
        <f>AVERAGE(B9:D9,F9:L9)</f>
        <v>28.911111111111108</v>
      </c>
      <c r="F9">
        <v>30.3</v>
      </c>
      <c r="G9">
        <v>28.8</v>
      </c>
      <c r="H9">
        <v>24.7</v>
      </c>
      <c r="I9">
        <v>31.3</v>
      </c>
      <c r="J9" s="161">
        <f>AVERAGE(B9:D9,F9:I9,K9:L9)</f>
        <v>28.911111111111111</v>
      </c>
      <c r="K9">
        <v>26.4</v>
      </c>
      <c r="L9">
        <v>27.3</v>
      </c>
      <c r="N9" s="163" t="s">
        <v>316</v>
      </c>
      <c r="R9" s="163">
        <v>0.23300000000000001</v>
      </c>
    </row>
    <row r="10" spans="1:19" x14ac:dyDescent="0.35">
      <c r="A10" s="160" t="s">
        <v>317</v>
      </c>
      <c r="B10" s="165">
        <f t="shared" ref="B10:L10" si="1">(B7-B9)/B7*100</f>
        <v>3.8235294117646976</v>
      </c>
      <c r="C10" s="165">
        <f t="shared" si="1"/>
        <v>2.657807308970102</v>
      </c>
      <c r="D10" s="165">
        <f t="shared" si="1"/>
        <v>2.6490066225165587</v>
      </c>
      <c r="E10" s="165">
        <f t="shared" si="1"/>
        <v>3.1994047619047397</v>
      </c>
      <c r="F10" s="165">
        <f t="shared" si="1"/>
        <v>1.9417475728155271</v>
      </c>
      <c r="G10" s="165">
        <f t="shared" si="1"/>
        <v>2.7027027027027049</v>
      </c>
      <c r="H10" s="165">
        <f t="shared" si="1"/>
        <v>5.3639846743295099</v>
      </c>
      <c r="I10" s="165">
        <f t="shared" si="1"/>
        <v>2.4922118380062326</v>
      </c>
      <c r="J10" s="165">
        <f t="shared" si="1"/>
        <v>3.1994047619047397</v>
      </c>
      <c r="K10" s="165">
        <f t="shared" si="1"/>
        <v>5.376344086021505</v>
      </c>
      <c r="L10" s="165">
        <f t="shared" si="1"/>
        <v>2.1505376344085949</v>
      </c>
      <c r="N10" s="163" t="s">
        <v>318</v>
      </c>
      <c r="R10" s="163">
        <v>3.9E-2</v>
      </c>
    </row>
    <row r="11" spans="1:19" x14ac:dyDescent="0.35">
      <c r="A11" s="160" t="s">
        <v>319</v>
      </c>
      <c r="B11">
        <v>31.5</v>
      </c>
      <c r="C11">
        <v>28.2</v>
      </c>
      <c r="D11">
        <v>28.6</v>
      </c>
      <c r="E11" s="161">
        <f>AVERAGE(B11:D11,F11:L11)</f>
        <v>28.055555555555554</v>
      </c>
      <c r="F11">
        <v>29.4</v>
      </c>
      <c r="G11">
        <v>28.1</v>
      </c>
      <c r="H11">
        <v>24.1</v>
      </c>
      <c r="I11">
        <v>30.6</v>
      </c>
      <c r="J11" s="161">
        <f>AVERAGE(B11:D11,F11:I11,K11:L11)</f>
        <v>28.055555555555557</v>
      </c>
      <c r="K11">
        <v>25.2</v>
      </c>
      <c r="L11">
        <v>26.8</v>
      </c>
      <c r="N11" s="1"/>
      <c r="R11" s="1"/>
    </row>
    <row r="12" spans="1:19" ht="15" customHeight="1" x14ac:dyDescent="0.35">
      <c r="A12" s="160" t="s">
        <v>320</v>
      </c>
      <c r="B12" s="166">
        <f t="shared" ref="B12:L12" si="2">(B9-B11)/B9*100</f>
        <v>3.6697247706422105</v>
      </c>
      <c r="C12" s="166">
        <f t="shared" si="2"/>
        <v>3.7542662116040999</v>
      </c>
      <c r="D12" s="166">
        <f t="shared" si="2"/>
        <v>2.7210884353741402</v>
      </c>
      <c r="E12" s="166">
        <f t="shared" si="2"/>
        <v>2.9592621060722482</v>
      </c>
      <c r="F12" s="166">
        <f t="shared" si="2"/>
        <v>2.9702970297029769</v>
      </c>
      <c r="G12" s="166">
        <f t="shared" si="2"/>
        <v>2.4305555555555531</v>
      </c>
      <c r="H12" s="166">
        <f t="shared" si="2"/>
        <v>2.4291497975708416</v>
      </c>
      <c r="I12" s="166">
        <f t="shared" si="2"/>
        <v>2.2364217252396146</v>
      </c>
      <c r="J12" s="166">
        <f t="shared" si="2"/>
        <v>2.9592621060722477</v>
      </c>
      <c r="K12" s="166">
        <f t="shared" si="2"/>
        <v>4.5454545454545432</v>
      </c>
      <c r="L12" s="166">
        <f t="shared" si="2"/>
        <v>1.8315018315018317</v>
      </c>
      <c r="N12" s="163" t="s">
        <v>321</v>
      </c>
      <c r="R12" s="163">
        <v>3.5000000000000003E-2</v>
      </c>
    </row>
    <row r="14" spans="1:19" x14ac:dyDescent="0.35">
      <c r="A14" s="167" t="s">
        <v>322</v>
      </c>
    </row>
    <row r="16" spans="1:19" ht="21" customHeight="1" x14ac:dyDescent="0.5">
      <c r="A16" s="8" t="s">
        <v>323</v>
      </c>
      <c r="B16" s="106" t="s">
        <v>324</v>
      </c>
    </row>
    <row r="18" spans="1:12" x14ac:dyDescent="0.35">
      <c r="B18" t="s">
        <v>39</v>
      </c>
      <c r="C18" t="s">
        <v>41</v>
      </c>
      <c r="D18" t="s">
        <v>43</v>
      </c>
      <c r="E18" t="s">
        <v>45</v>
      </c>
      <c r="F18" t="s">
        <v>47</v>
      </c>
      <c r="G18" t="s">
        <v>49</v>
      </c>
      <c r="H18" t="s">
        <v>51</v>
      </c>
      <c r="I18" t="s">
        <v>53</v>
      </c>
      <c r="J18" t="s">
        <v>55</v>
      </c>
      <c r="K18" t="s">
        <v>57</v>
      </c>
      <c r="L18" s="18" t="s">
        <v>59</v>
      </c>
    </row>
    <row r="19" spans="1:12" x14ac:dyDescent="0.35">
      <c r="B19" s="117" t="s">
        <v>38</v>
      </c>
      <c r="C19" s="117" t="s">
        <v>40</v>
      </c>
      <c r="D19" s="117" t="s">
        <v>42</v>
      </c>
      <c r="E19" s="117" t="s">
        <v>307</v>
      </c>
      <c r="F19" s="117" t="s">
        <v>325</v>
      </c>
      <c r="G19" s="117" t="s">
        <v>48</v>
      </c>
      <c r="H19" s="117" t="s">
        <v>50</v>
      </c>
      <c r="I19" s="117" t="s">
        <v>52</v>
      </c>
      <c r="J19" s="117" t="s">
        <v>308</v>
      </c>
      <c r="K19" s="117" t="s">
        <v>326</v>
      </c>
      <c r="L19" s="117" t="s">
        <v>58</v>
      </c>
    </row>
    <row r="20" spans="1:12" x14ac:dyDescent="0.35">
      <c r="A20" t="s">
        <v>327</v>
      </c>
      <c r="B20">
        <v>34</v>
      </c>
      <c r="C20">
        <v>35</v>
      </c>
      <c r="D20">
        <v>36</v>
      </c>
      <c r="E20">
        <v>35.5</v>
      </c>
      <c r="F20">
        <v>35.5</v>
      </c>
      <c r="G20">
        <v>36</v>
      </c>
      <c r="H20">
        <v>47</v>
      </c>
      <c r="I20">
        <v>35</v>
      </c>
      <c r="J20">
        <v>35.5</v>
      </c>
      <c r="K20">
        <v>35.5</v>
      </c>
      <c r="L20">
        <v>35</v>
      </c>
    </row>
    <row r="21" spans="1:12" x14ac:dyDescent="0.35">
      <c r="A21" t="s">
        <v>328</v>
      </c>
      <c r="B21" s="49">
        <f t="shared" ref="B21:L21" si="3">B20/$L$20</f>
        <v>0.97142857142857142</v>
      </c>
      <c r="C21" s="49">
        <f t="shared" si="3"/>
        <v>1</v>
      </c>
      <c r="D21" s="49">
        <f t="shared" si="3"/>
        <v>1.0285714285714285</v>
      </c>
      <c r="E21" s="49">
        <f t="shared" si="3"/>
        <v>1.0142857142857142</v>
      </c>
      <c r="F21" s="49">
        <f t="shared" si="3"/>
        <v>1.0142857142857142</v>
      </c>
      <c r="G21" s="49">
        <f t="shared" si="3"/>
        <v>1.0285714285714285</v>
      </c>
      <c r="H21" s="49">
        <f t="shared" si="3"/>
        <v>1.3428571428571427</v>
      </c>
      <c r="I21" s="49">
        <f t="shared" si="3"/>
        <v>1</v>
      </c>
      <c r="J21" s="49">
        <f t="shared" si="3"/>
        <v>1.0142857142857142</v>
      </c>
      <c r="K21" s="49">
        <f t="shared" si="3"/>
        <v>1.0142857142857142</v>
      </c>
      <c r="L21" s="49">
        <f t="shared" si="3"/>
        <v>1</v>
      </c>
    </row>
    <row r="23" spans="1:12" x14ac:dyDescent="0.35">
      <c r="A23" s="167" t="s">
        <v>329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ED7D31"/>
  </sheetPr>
  <dimension ref="A2:BH145"/>
  <sheetViews>
    <sheetView topLeftCell="A16" zoomScale="80" zoomScaleNormal="80" workbookViewId="0">
      <pane xSplit="6390" topLeftCell="L1" activePane="topRight"/>
      <selection activeCell="A16" sqref="A16"/>
      <selection pane="topRight" activeCell="P21" sqref="P21"/>
    </sheetView>
  </sheetViews>
  <sheetFormatPr defaultColWidth="8.6328125" defaultRowHeight="14.5" x14ac:dyDescent="0.35"/>
  <cols>
    <col min="1" max="1" width="65.453125" customWidth="1"/>
    <col min="2" max="44" width="8.54296875" customWidth="1"/>
    <col min="45" max="45" width="10.453125" customWidth="1"/>
    <col min="46" max="48" width="8.54296875" customWidth="1"/>
  </cols>
  <sheetData>
    <row r="2" spans="1:60" ht="18" customHeight="1" x14ac:dyDescent="0.45">
      <c r="A2" s="9" t="s">
        <v>330</v>
      </c>
      <c r="B2" s="99"/>
      <c r="C2" s="99"/>
      <c r="D2" s="99"/>
      <c r="E2" s="22"/>
    </row>
    <row r="3" spans="1:60" x14ac:dyDescent="0.35">
      <c r="B3" t="s">
        <v>39</v>
      </c>
      <c r="F3" t="s">
        <v>41</v>
      </c>
      <c r="J3" t="s">
        <v>43</v>
      </c>
      <c r="N3" t="s">
        <v>45</v>
      </c>
      <c r="R3" t="s">
        <v>47</v>
      </c>
      <c r="V3" t="s">
        <v>49</v>
      </c>
      <c r="Z3" t="s">
        <v>51</v>
      </c>
      <c r="AD3" t="s">
        <v>53</v>
      </c>
      <c r="AH3" t="s">
        <v>55</v>
      </c>
      <c r="AL3" t="s">
        <v>57</v>
      </c>
      <c r="AP3" s="18" t="s">
        <v>59</v>
      </c>
    </row>
    <row r="4" spans="1:60" x14ac:dyDescent="0.35">
      <c r="A4" s="168"/>
      <c r="B4" s="169" t="s">
        <v>38</v>
      </c>
      <c r="C4" s="170"/>
      <c r="D4" s="170"/>
      <c r="E4" s="171"/>
      <c r="F4" s="169" t="s">
        <v>40</v>
      </c>
      <c r="G4" s="170"/>
      <c r="H4" s="170"/>
      <c r="I4" s="171"/>
      <c r="J4" s="170" t="s">
        <v>42</v>
      </c>
      <c r="K4" s="170"/>
      <c r="L4" s="170"/>
      <c r="M4" s="170"/>
      <c r="N4" s="170" t="s">
        <v>44</v>
      </c>
      <c r="O4" s="170"/>
      <c r="P4" s="170"/>
      <c r="Q4" s="170"/>
      <c r="R4" s="170" t="s">
        <v>46</v>
      </c>
      <c r="S4" s="170"/>
      <c r="T4" s="170"/>
      <c r="U4" s="170"/>
      <c r="V4" s="170" t="s">
        <v>48</v>
      </c>
      <c r="W4" s="170"/>
      <c r="X4" s="170"/>
      <c r="Y4" s="170"/>
      <c r="Z4" s="170" t="s">
        <v>50</v>
      </c>
      <c r="AA4" s="170"/>
      <c r="AB4" s="170"/>
      <c r="AC4" s="170"/>
      <c r="AD4" s="170" t="s">
        <v>52</v>
      </c>
      <c r="AE4" s="170"/>
      <c r="AF4" s="170"/>
      <c r="AG4" s="170"/>
      <c r="AH4" s="170" t="s">
        <v>54</v>
      </c>
      <c r="AI4" s="170"/>
      <c r="AJ4" s="170"/>
      <c r="AK4" s="170"/>
      <c r="AL4" s="170" t="s">
        <v>56</v>
      </c>
      <c r="AM4" s="170"/>
      <c r="AN4" s="170"/>
      <c r="AO4" s="170"/>
      <c r="AP4" s="169" t="s">
        <v>58</v>
      </c>
      <c r="AQ4" s="170"/>
      <c r="AR4" s="170"/>
      <c r="AS4" s="171"/>
      <c r="AU4" s="106" t="s">
        <v>331</v>
      </c>
      <c r="AW4" t="s">
        <v>83</v>
      </c>
      <c r="AX4" t="s">
        <v>40</v>
      </c>
      <c r="AY4" t="s">
        <v>42</v>
      </c>
      <c r="AZ4" t="s">
        <v>44</v>
      </c>
      <c r="BA4" t="s">
        <v>82</v>
      </c>
      <c r="BB4" t="s">
        <v>48</v>
      </c>
      <c r="BC4" t="s">
        <v>50</v>
      </c>
      <c r="BD4" t="s">
        <v>52</v>
      </c>
      <c r="BE4" t="s">
        <v>54</v>
      </c>
      <c r="BF4" t="s">
        <v>56</v>
      </c>
      <c r="BG4" t="s">
        <v>58</v>
      </c>
    </row>
    <row r="5" spans="1:60" x14ac:dyDescent="0.35">
      <c r="A5" s="172"/>
      <c r="B5" s="173" t="s">
        <v>150</v>
      </c>
      <c r="C5" s="174" t="s">
        <v>154</v>
      </c>
      <c r="D5" s="174" t="s">
        <v>156</v>
      </c>
      <c r="E5" s="175" t="s">
        <v>158</v>
      </c>
      <c r="F5" s="173" t="s">
        <v>150</v>
      </c>
      <c r="G5" s="174" t="s">
        <v>154</v>
      </c>
      <c r="H5" s="174" t="s">
        <v>156</v>
      </c>
      <c r="I5" s="175" t="s">
        <v>158</v>
      </c>
      <c r="J5" s="173" t="s">
        <v>150</v>
      </c>
      <c r="K5" s="174" t="s">
        <v>154</v>
      </c>
      <c r="L5" s="174" t="s">
        <v>156</v>
      </c>
      <c r="M5" s="175" t="s">
        <v>158</v>
      </c>
      <c r="N5" s="173" t="s">
        <v>150</v>
      </c>
      <c r="O5" s="174" t="s">
        <v>154</v>
      </c>
      <c r="P5" s="174" t="s">
        <v>156</v>
      </c>
      <c r="Q5" s="175" t="s">
        <v>158</v>
      </c>
      <c r="R5" s="173" t="s">
        <v>150</v>
      </c>
      <c r="S5" s="174" t="s">
        <v>154</v>
      </c>
      <c r="T5" s="174" t="s">
        <v>156</v>
      </c>
      <c r="U5" s="175" t="s">
        <v>158</v>
      </c>
      <c r="V5" s="173" t="s">
        <v>150</v>
      </c>
      <c r="W5" s="174" t="s">
        <v>154</v>
      </c>
      <c r="X5" s="174" t="s">
        <v>156</v>
      </c>
      <c r="Y5" s="175" t="s">
        <v>158</v>
      </c>
      <c r="Z5" s="173" t="s">
        <v>150</v>
      </c>
      <c r="AA5" s="174" t="s">
        <v>154</v>
      </c>
      <c r="AB5" s="174" t="s">
        <v>156</v>
      </c>
      <c r="AC5" s="175" t="s">
        <v>158</v>
      </c>
      <c r="AD5" s="173" t="s">
        <v>150</v>
      </c>
      <c r="AE5" s="174" t="s">
        <v>154</v>
      </c>
      <c r="AF5" s="174" t="s">
        <v>156</v>
      </c>
      <c r="AG5" s="175" t="s">
        <v>158</v>
      </c>
      <c r="AH5" s="173" t="s">
        <v>150</v>
      </c>
      <c r="AI5" s="174" t="s">
        <v>154</v>
      </c>
      <c r="AJ5" s="174" t="s">
        <v>156</v>
      </c>
      <c r="AK5" s="175" t="s">
        <v>158</v>
      </c>
      <c r="AL5" s="173" t="s">
        <v>150</v>
      </c>
      <c r="AM5" s="174" t="s">
        <v>154</v>
      </c>
      <c r="AN5" s="174" t="s">
        <v>156</v>
      </c>
      <c r="AO5" s="174" t="s">
        <v>158</v>
      </c>
      <c r="AP5" s="173" t="s">
        <v>150</v>
      </c>
      <c r="AQ5" s="174" t="s">
        <v>154</v>
      </c>
      <c r="AR5" s="174" t="s">
        <v>156</v>
      </c>
      <c r="AS5" s="175" t="s">
        <v>158</v>
      </c>
      <c r="AW5" t="s">
        <v>332</v>
      </c>
      <c r="AX5" s="112" t="s">
        <v>333</v>
      </c>
      <c r="AY5" s="112" t="s">
        <v>333</v>
      </c>
      <c r="AZ5" t="s">
        <v>334</v>
      </c>
      <c r="BA5" s="112" t="s">
        <v>333</v>
      </c>
      <c r="BB5" t="s">
        <v>335</v>
      </c>
      <c r="BC5" s="112" t="s">
        <v>333</v>
      </c>
      <c r="BD5" s="112" t="s">
        <v>333</v>
      </c>
      <c r="BE5" t="s">
        <v>336</v>
      </c>
      <c r="BF5" s="112" t="s">
        <v>337</v>
      </c>
      <c r="BG5" s="106" t="s">
        <v>338</v>
      </c>
      <c r="BH5" s="112" t="s">
        <v>339</v>
      </c>
    </row>
    <row r="6" spans="1:60" x14ac:dyDescent="0.35">
      <c r="A6" s="176" t="s">
        <v>340</v>
      </c>
      <c r="B6" s="177">
        <v>1.1075423634954E-3</v>
      </c>
      <c r="C6" s="177">
        <v>1.1075423634954E-3</v>
      </c>
      <c r="D6" s="177">
        <v>1.1075423634954E-3</v>
      </c>
      <c r="E6" s="178">
        <v>1.1075423634954E-3</v>
      </c>
      <c r="F6" s="177">
        <v>6.2283737024221401E-2</v>
      </c>
      <c r="G6" s="177">
        <v>6.2283737024221499E-2</v>
      </c>
      <c r="H6" s="177">
        <v>6.2283737024221499E-2</v>
      </c>
      <c r="I6" s="178">
        <v>6.2283737024221499E-2</v>
      </c>
      <c r="J6" s="177">
        <v>3.5847020740918403E-2</v>
      </c>
      <c r="K6" s="177">
        <v>3.5847020740918403E-2</v>
      </c>
      <c r="L6" s="177">
        <v>3.5847020740918403E-2</v>
      </c>
      <c r="M6" s="178">
        <v>3.5847020740918403E-2</v>
      </c>
      <c r="N6" s="177">
        <v>0.1</v>
      </c>
      <c r="O6" s="177">
        <v>0.1</v>
      </c>
      <c r="P6" s="177">
        <v>0.1</v>
      </c>
      <c r="Q6" s="178">
        <v>0.1</v>
      </c>
      <c r="R6" s="177">
        <v>0.21731047304275999</v>
      </c>
      <c r="S6" s="177">
        <v>0.21731047304275999</v>
      </c>
      <c r="T6" s="177">
        <v>0.21731047304275999</v>
      </c>
      <c r="U6" s="178">
        <v>0.21731047304275999</v>
      </c>
      <c r="V6" s="177">
        <v>0</v>
      </c>
      <c r="W6" s="177">
        <v>0</v>
      </c>
      <c r="X6" s="177">
        <v>0</v>
      </c>
      <c r="Y6" s="178">
        <v>0</v>
      </c>
      <c r="Z6" s="177">
        <v>0</v>
      </c>
      <c r="AA6" s="177">
        <v>0</v>
      </c>
      <c r="AB6" s="177">
        <v>0</v>
      </c>
      <c r="AC6" s="178">
        <v>0</v>
      </c>
      <c r="AD6" s="177">
        <v>6.7632850241545897E-3</v>
      </c>
      <c r="AE6" s="177">
        <v>0.2</v>
      </c>
      <c r="AF6" s="177">
        <v>0</v>
      </c>
      <c r="AG6" s="178">
        <v>0.2</v>
      </c>
      <c r="AH6" s="177">
        <v>0.75700000000000001</v>
      </c>
      <c r="AI6" s="177">
        <v>0.75700000000000001</v>
      </c>
      <c r="AJ6" s="177">
        <v>0.75700000000000001</v>
      </c>
      <c r="AK6" s="178">
        <v>0.75700000000000001</v>
      </c>
      <c r="AL6" s="177">
        <v>4.0151592748130703E-2</v>
      </c>
      <c r="AM6" s="177">
        <v>4.0151592748130703E-2</v>
      </c>
      <c r="AN6" s="177">
        <v>4.0151592748130703E-2</v>
      </c>
      <c r="AO6" s="177">
        <v>4.0151592748130703E-2</v>
      </c>
      <c r="AP6" s="179">
        <v>0.2</v>
      </c>
      <c r="AQ6" s="177">
        <v>0.2</v>
      </c>
      <c r="AR6" s="177">
        <v>0</v>
      </c>
      <c r="AS6" s="178">
        <v>0.2</v>
      </c>
      <c r="AW6" t="s">
        <v>332</v>
      </c>
      <c r="AX6" s="112" t="s">
        <v>333</v>
      </c>
      <c r="AY6" s="112" t="s">
        <v>333</v>
      </c>
      <c r="AZ6" t="s">
        <v>334</v>
      </c>
      <c r="BA6" s="112" t="s">
        <v>333</v>
      </c>
      <c r="BB6" t="s">
        <v>335</v>
      </c>
      <c r="BC6" s="112" t="s">
        <v>333</v>
      </c>
      <c r="BD6" s="112" t="s">
        <v>333</v>
      </c>
      <c r="BF6" s="112" t="s">
        <v>337</v>
      </c>
      <c r="BH6" s="112" t="s">
        <v>339</v>
      </c>
    </row>
    <row r="7" spans="1:60" x14ac:dyDescent="0.35">
      <c r="A7" s="180" t="s">
        <v>341</v>
      </c>
      <c r="B7" s="177">
        <v>0.963451102004652</v>
      </c>
      <c r="C7" s="177">
        <v>0.963451102004652</v>
      </c>
      <c r="D7" s="177">
        <v>0.963451102004652</v>
      </c>
      <c r="E7" s="178">
        <v>0.963451102004652</v>
      </c>
      <c r="F7" s="177">
        <v>0.93771626297577904</v>
      </c>
      <c r="G7" s="177">
        <v>0.93771626297577904</v>
      </c>
      <c r="H7" s="177">
        <v>0.93771626297577904</v>
      </c>
      <c r="I7" s="178">
        <v>0.93771626297577904</v>
      </c>
      <c r="J7" s="177">
        <v>0.94880709747032699</v>
      </c>
      <c r="K7" s="177">
        <v>0.94880709747032699</v>
      </c>
      <c r="L7" s="177">
        <v>0.94880709747032699</v>
      </c>
      <c r="M7" s="178">
        <v>0.94880709747032699</v>
      </c>
      <c r="N7" s="177">
        <v>0.9</v>
      </c>
      <c r="O7" s="177">
        <v>0.9</v>
      </c>
      <c r="P7" s="177">
        <v>0.9</v>
      </c>
      <c r="Q7" s="178">
        <v>0.9</v>
      </c>
      <c r="R7" s="177">
        <v>0.69086965502995301</v>
      </c>
      <c r="S7" s="177">
        <v>0.69086965502995301</v>
      </c>
      <c r="T7" s="177">
        <v>0.69086965502995301</v>
      </c>
      <c r="U7" s="178">
        <v>0.69086965502995301</v>
      </c>
      <c r="V7" s="177">
        <v>1</v>
      </c>
      <c r="W7" s="177">
        <v>1</v>
      </c>
      <c r="X7" s="177">
        <v>1</v>
      </c>
      <c r="Y7" s="178">
        <v>1</v>
      </c>
      <c r="Z7" s="177">
        <v>1</v>
      </c>
      <c r="AA7" s="177">
        <v>1</v>
      </c>
      <c r="AB7" s="177">
        <v>1</v>
      </c>
      <c r="AC7" s="178">
        <v>1</v>
      </c>
      <c r="AD7" s="177">
        <v>0.51026570048309206</v>
      </c>
      <c r="AE7" s="177">
        <v>0.63</v>
      </c>
      <c r="AF7" s="177">
        <v>1</v>
      </c>
      <c r="AG7" s="178">
        <v>0.63</v>
      </c>
      <c r="AH7" s="177">
        <v>0.24299999999999999</v>
      </c>
      <c r="AI7" s="177">
        <v>0.24299999999999999</v>
      </c>
      <c r="AJ7" s="177">
        <v>0.24299999999999999</v>
      </c>
      <c r="AK7" s="178">
        <v>0.24299999999999999</v>
      </c>
      <c r="AL7" s="177">
        <v>0.237222165318038</v>
      </c>
      <c r="AM7" s="177">
        <v>0.237222165318038</v>
      </c>
      <c r="AN7" s="177">
        <v>0.237222165318038</v>
      </c>
      <c r="AO7" s="177">
        <v>0.237222165318038</v>
      </c>
      <c r="AP7" s="179">
        <v>0.63</v>
      </c>
      <c r="AQ7" s="177">
        <v>0.63</v>
      </c>
      <c r="AR7" s="177">
        <v>1</v>
      </c>
      <c r="AS7" s="178">
        <v>0.63</v>
      </c>
      <c r="AW7" t="s">
        <v>332</v>
      </c>
      <c r="AX7" s="112" t="s">
        <v>333</v>
      </c>
      <c r="AY7" s="112" t="s">
        <v>333</v>
      </c>
      <c r="AZ7" t="s">
        <v>334</v>
      </c>
      <c r="BA7" s="112" t="s">
        <v>333</v>
      </c>
      <c r="BB7" t="s">
        <v>335</v>
      </c>
      <c r="BC7" s="112" t="s">
        <v>333</v>
      </c>
      <c r="BD7" s="112" t="s">
        <v>333</v>
      </c>
      <c r="BF7" s="112" t="s">
        <v>337</v>
      </c>
      <c r="BH7" s="112" t="s">
        <v>339</v>
      </c>
    </row>
    <row r="8" spans="1:60" x14ac:dyDescent="0.35">
      <c r="A8" s="180" t="s">
        <v>342</v>
      </c>
      <c r="B8" s="177">
        <v>3.5441355631852897E-2</v>
      </c>
      <c r="C8" s="177">
        <v>3.5441355631852897E-2</v>
      </c>
      <c r="D8" s="177">
        <v>3.5441355631852897E-2</v>
      </c>
      <c r="E8" s="178">
        <v>3.5441355631852897E-2</v>
      </c>
      <c r="F8" s="177">
        <v>0</v>
      </c>
      <c r="G8" s="177">
        <v>0</v>
      </c>
      <c r="H8" s="177">
        <v>0</v>
      </c>
      <c r="I8" s="178">
        <v>0</v>
      </c>
      <c r="J8" s="177">
        <v>1.5345881788754401E-2</v>
      </c>
      <c r="K8" s="177">
        <v>1.5345881788754401E-2</v>
      </c>
      <c r="L8" s="177">
        <v>1.5345881788754401E-2</v>
      </c>
      <c r="M8" s="178">
        <v>1.5345881788754401E-2</v>
      </c>
      <c r="N8" s="177">
        <v>0</v>
      </c>
      <c r="O8" s="177">
        <v>0</v>
      </c>
      <c r="P8" s="177">
        <v>0</v>
      </c>
      <c r="Q8" s="178">
        <v>0</v>
      </c>
      <c r="R8" s="177">
        <v>9.1819871927287702E-2</v>
      </c>
      <c r="S8" s="177">
        <v>9.1819871927287702E-2</v>
      </c>
      <c r="T8" s="177">
        <v>9.1819871927287702E-2</v>
      </c>
      <c r="U8" s="178">
        <v>9.1819871927287702E-2</v>
      </c>
      <c r="V8" s="177">
        <v>0</v>
      </c>
      <c r="W8" s="177">
        <v>0</v>
      </c>
      <c r="X8" s="177">
        <v>0</v>
      </c>
      <c r="Y8" s="178">
        <v>0</v>
      </c>
      <c r="Z8" s="177">
        <v>0</v>
      </c>
      <c r="AA8" s="177">
        <v>0</v>
      </c>
      <c r="AB8" s="177">
        <v>0</v>
      </c>
      <c r="AC8" s="178">
        <v>0</v>
      </c>
      <c r="AD8" s="177">
        <v>0.48297101449275398</v>
      </c>
      <c r="AE8" s="177">
        <f>0.17</f>
        <v>0.17</v>
      </c>
      <c r="AF8" s="177">
        <v>0</v>
      </c>
      <c r="AG8" s="178">
        <f>0.17</f>
        <v>0.17</v>
      </c>
      <c r="AH8" s="177">
        <v>0</v>
      </c>
      <c r="AI8" s="177">
        <v>0</v>
      </c>
      <c r="AJ8" s="177">
        <v>0</v>
      </c>
      <c r="AK8" s="177">
        <v>0</v>
      </c>
      <c r="AL8" s="177">
        <v>0.72262624193383196</v>
      </c>
      <c r="AM8" s="177">
        <v>0.72262624193383196</v>
      </c>
      <c r="AN8" s="177">
        <v>0.72262624193383196</v>
      </c>
      <c r="AO8" s="177">
        <v>0.72262624193383196</v>
      </c>
      <c r="AP8" s="179">
        <f>0.17</f>
        <v>0.17</v>
      </c>
      <c r="AQ8" s="177">
        <f>0.17</f>
        <v>0.17</v>
      </c>
      <c r="AR8" s="177">
        <v>0</v>
      </c>
      <c r="AS8" s="178">
        <f>0.17</f>
        <v>0.17</v>
      </c>
      <c r="BH8" s="112" t="s">
        <v>339</v>
      </c>
    </row>
    <row r="9" spans="1:60" x14ac:dyDescent="0.35">
      <c r="A9" s="180"/>
      <c r="B9" s="179"/>
      <c r="C9" s="177"/>
      <c r="D9" s="177"/>
      <c r="E9" s="178"/>
      <c r="F9" s="179"/>
      <c r="G9" s="177"/>
      <c r="H9" s="177"/>
      <c r="I9" s="178"/>
      <c r="K9" s="177"/>
      <c r="L9" s="177"/>
      <c r="M9" s="178"/>
      <c r="N9" s="179"/>
      <c r="O9" s="177"/>
      <c r="P9" s="177"/>
      <c r="Q9" s="178"/>
      <c r="R9" s="179"/>
      <c r="S9" s="177"/>
      <c r="T9" s="177"/>
      <c r="U9" s="178"/>
      <c r="V9" s="179"/>
      <c r="W9" s="177"/>
      <c r="X9" s="177"/>
      <c r="Y9" s="178"/>
      <c r="Z9" s="179"/>
      <c r="AA9" s="177"/>
      <c r="AB9" s="177"/>
      <c r="AC9" s="178"/>
      <c r="AD9" s="179"/>
      <c r="AE9" s="177"/>
      <c r="AF9" s="177"/>
      <c r="AG9" s="178"/>
      <c r="AH9" s="179"/>
      <c r="AI9" s="177"/>
      <c r="AJ9" s="177"/>
      <c r="AK9" s="178"/>
      <c r="AL9" s="179"/>
      <c r="AM9" s="177"/>
      <c r="AN9" s="177"/>
      <c r="AO9" s="177"/>
      <c r="AP9" s="179"/>
      <c r="AQ9" s="177"/>
      <c r="AR9" s="177"/>
      <c r="AS9" s="178"/>
      <c r="BH9" s="112" t="s">
        <v>339</v>
      </c>
    </row>
    <row r="10" spans="1:60" x14ac:dyDescent="0.35">
      <c r="A10" s="181" t="s">
        <v>343</v>
      </c>
      <c r="B10" s="182"/>
      <c r="C10" s="183"/>
      <c r="D10" s="183"/>
      <c r="E10" s="183"/>
      <c r="F10" s="182"/>
      <c r="G10" s="183"/>
      <c r="H10" s="183"/>
      <c r="I10" s="183"/>
      <c r="J10" s="182"/>
      <c r="K10" s="183"/>
      <c r="L10" s="183"/>
      <c r="M10" s="183"/>
      <c r="N10" s="182"/>
      <c r="O10" s="183"/>
      <c r="P10" s="183"/>
      <c r="Q10" s="183"/>
      <c r="R10" s="182"/>
      <c r="S10" s="183"/>
      <c r="T10" s="183"/>
      <c r="U10" s="183"/>
      <c r="V10" s="182"/>
      <c r="W10" s="183"/>
      <c r="X10" s="183"/>
      <c r="Y10" s="183"/>
      <c r="Z10" s="182"/>
      <c r="AA10" s="183"/>
      <c r="AB10" s="183"/>
      <c r="AC10" s="183"/>
      <c r="AD10" s="182"/>
      <c r="AE10" s="183"/>
      <c r="AF10" s="183"/>
      <c r="AG10" s="183"/>
      <c r="AH10" s="182"/>
      <c r="AI10" s="183"/>
      <c r="AJ10" s="183"/>
      <c r="AK10" s="183"/>
      <c r="AL10" s="182"/>
      <c r="AM10" s="183"/>
      <c r="AN10" s="183"/>
      <c r="AO10" s="183"/>
      <c r="AP10" s="182"/>
      <c r="AQ10" s="183"/>
      <c r="AR10" s="183"/>
      <c r="AS10" s="184"/>
      <c r="BH10" s="112" t="s">
        <v>339</v>
      </c>
    </row>
    <row r="11" spans="1:60" x14ac:dyDescent="0.35">
      <c r="A11" s="185" t="s">
        <v>344</v>
      </c>
      <c r="B11" s="186"/>
      <c r="C11" s="187"/>
      <c r="D11" s="187"/>
      <c r="E11" s="188"/>
      <c r="F11" s="186"/>
      <c r="G11" s="187"/>
      <c r="H11" s="187"/>
      <c r="I11" s="188"/>
      <c r="J11" s="186"/>
      <c r="K11" s="187"/>
      <c r="L11" s="187"/>
      <c r="M11" s="188"/>
      <c r="N11" s="186"/>
      <c r="O11" s="187"/>
      <c r="P11" s="187"/>
      <c r="Q11" s="188"/>
      <c r="R11" s="186"/>
      <c r="S11" s="187"/>
      <c r="T11" s="187"/>
      <c r="U11" s="188"/>
      <c r="V11" s="186"/>
      <c r="W11" s="187"/>
      <c r="X11" s="187"/>
      <c r="Y11" s="188"/>
      <c r="Z11" s="186"/>
      <c r="AA11" s="187"/>
      <c r="AB11" s="187"/>
      <c r="AC11" s="188"/>
      <c r="AD11" s="186"/>
      <c r="AE11" s="187"/>
      <c r="AF11" s="187"/>
      <c r="AG11" s="188"/>
      <c r="AH11" s="186"/>
      <c r="AI11" s="187"/>
      <c r="AJ11" s="187"/>
      <c r="AK11" s="188"/>
      <c r="AL11" s="186"/>
      <c r="AM11" s="187"/>
      <c r="AN11" s="187"/>
      <c r="AO11" s="187"/>
      <c r="AP11" s="186"/>
      <c r="AQ11" s="187"/>
      <c r="AR11" s="187"/>
      <c r="AS11" s="188"/>
      <c r="BH11" s="112" t="s">
        <v>339</v>
      </c>
    </row>
    <row r="12" spans="1:60" x14ac:dyDescent="0.35">
      <c r="A12" s="189" t="s">
        <v>345</v>
      </c>
      <c r="B12" s="190">
        <v>0.02</v>
      </c>
      <c r="E12" s="191"/>
      <c r="F12" s="190">
        <v>3.90972222222222E-2</v>
      </c>
      <c r="I12" s="191"/>
      <c r="J12" s="190">
        <v>0.03</v>
      </c>
      <c r="M12" s="191"/>
      <c r="N12" s="190">
        <v>0.04</v>
      </c>
      <c r="Q12" s="191"/>
      <c r="R12" s="190">
        <v>0.02</v>
      </c>
      <c r="U12" s="191"/>
      <c r="V12" s="190">
        <v>0.02</v>
      </c>
      <c r="Y12" s="191"/>
      <c r="Z12" s="190"/>
      <c r="AC12" s="191"/>
      <c r="AD12" s="190">
        <v>0.02</v>
      </c>
      <c r="AG12" s="191"/>
      <c r="AH12" s="190">
        <v>0.02</v>
      </c>
      <c r="AK12" s="191"/>
      <c r="AL12" s="190">
        <v>2.36086734693878E-2</v>
      </c>
      <c r="AP12" s="190">
        <v>0.02</v>
      </c>
      <c r="AS12" s="191"/>
      <c r="AV12" s="112"/>
      <c r="AW12" s="112" t="s">
        <v>346</v>
      </c>
      <c r="AX12" s="112" t="s">
        <v>347</v>
      </c>
      <c r="AY12" s="112" t="s">
        <v>348</v>
      </c>
      <c r="AZ12" t="s">
        <v>349</v>
      </c>
      <c r="BA12" t="s">
        <v>350</v>
      </c>
      <c r="BB12" t="s">
        <v>351</v>
      </c>
      <c r="BC12" s="112" t="s">
        <v>352</v>
      </c>
      <c r="BD12" s="112" t="s">
        <v>353</v>
      </c>
      <c r="BE12" t="s">
        <v>354</v>
      </c>
      <c r="BF12" s="112" t="s">
        <v>355</v>
      </c>
      <c r="BG12" s="112" t="s">
        <v>356</v>
      </c>
      <c r="BH12" s="112" t="s">
        <v>339</v>
      </c>
    </row>
    <row r="13" spans="1:60" ht="232" customHeight="1" x14ac:dyDescent="0.35">
      <c r="A13" s="192" t="s">
        <v>357</v>
      </c>
      <c r="B13" s="190">
        <v>0.13975000000000001</v>
      </c>
      <c r="E13" s="191"/>
      <c r="F13" s="190">
        <v>0.37723606580179703</v>
      </c>
      <c r="I13" s="191"/>
      <c r="J13" s="190">
        <v>0.23080000000000001</v>
      </c>
      <c r="M13" s="191"/>
      <c r="N13" s="190">
        <v>0.55000000000000004</v>
      </c>
      <c r="Q13" s="191"/>
      <c r="R13" s="190">
        <v>0.13700000000000001</v>
      </c>
      <c r="U13" s="191"/>
      <c r="V13" s="190">
        <v>3.5000000000000003E-2</v>
      </c>
      <c r="Y13" s="191"/>
      <c r="Z13" s="190">
        <v>0.26220269877517099</v>
      </c>
      <c r="AC13" s="191"/>
      <c r="AD13" s="190">
        <v>0.36</v>
      </c>
      <c r="AG13" s="191"/>
      <c r="AH13" s="190">
        <v>0.1</v>
      </c>
      <c r="AK13" s="191"/>
      <c r="AL13" s="190">
        <v>0.197935319516408</v>
      </c>
      <c r="AP13" s="190">
        <v>3.5000000000000003E-2</v>
      </c>
      <c r="AS13" s="191"/>
      <c r="AV13" s="112"/>
      <c r="AW13" s="112" t="s">
        <v>358</v>
      </c>
      <c r="AX13" s="112" t="s">
        <v>347</v>
      </c>
      <c r="AY13" s="112" t="s">
        <v>348</v>
      </c>
      <c r="AZ13" t="s">
        <v>349</v>
      </c>
      <c r="BA13" t="s">
        <v>359</v>
      </c>
      <c r="BB13" t="s">
        <v>360</v>
      </c>
      <c r="BC13" s="112" t="s">
        <v>352</v>
      </c>
      <c r="BD13" s="112" t="s">
        <v>353</v>
      </c>
      <c r="BE13" s="193" t="s">
        <v>361</v>
      </c>
      <c r="BF13" s="112" t="s">
        <v>355</v>
      </c>
      <c r="BG13" s="112" t="s">
        <v>356</v>
      </c>
      <c r="BH13" s="112" t="s">
        <v>362</v>
      </c>
    </row>
    <row r="14" spans="1:60" ht="232" customHeight="1" x14ac:dyDescent="0.35">
      <c r="A14" s="189" t="s">
        <v>363</v>
      </c>
      <c r="B14" s="190">
        <v>0.17960000000000001</v>
      </c>
      <c r="E14" s="191"/>
      <c r="F14" s="190"/>
      <c r="I14" s="191"/>
      <c r="J14" s="190">
        <v>0.25</v>
      </c>
      <c r="M14" s="191"/>
      <c r="N14" s="190">
        <v>0</v>
      </c>
      <c r="Q14" s="191"/>
      <c r="R14" s="190">
        <v>0.186</v>
      </c>
      <c r="U14" s="191"/>
      <c r="V14" s="190">
        <v>0.17</v>
      </c>
      <c r="Y14" s="191"/>
      <c r="Z14" s="190"/>
      <c r="AC14" s="191"/>
      <c r="AD14">
        <v>0.02</v>
      </c>
      <c r="AG14" s="191"/>
      <c r="AH14" s="190"/>
      <c r="AK14" s="191"/>
      <c r="AL14" s="190">
        <v>0.16810532955350799</v>
      </c>
      <c r="AP14" s="190">
        <v>0.17</v>
      </c>
      <c r="AS14" s="191"/>
      <c r="AV14" s="112"/>
      <c r="AW14" s="112" t="s">
        <v>364</v>
      </c>
      <c r="AX14" s="112" t="s">
        <v>347</v>
      </c>
      <c r="AY14" s="112" t="s">
        <v>348</v>
      </c>
      <c r="AZ14" t="s">
        <v>349</v>
      </c>
      <c r="BA14" t="s">
        <v>365</v>
      </c>
      <c r="BB14" t="s">
        <v>366</v>
      </c>
      <c r="BC14" s="112" t="s">
        <v>352</v>
      </c>
      <c r="BD14" s="112" t="s">
        <v>353</v>
      </c>
      <c r="BE14" s="193" t="s">
        <v>361</v>
      </c>
      <c r="BF14" s="112" t="s">
        <v>355</v>
      </c>
      <c r="BG14" s="112" t="s">
        <v>356</v>
      </c>
      <c r="BH14" s="112" t="s">
        <v>339</v>
      </c>
    </row>
    <row r="15" spans="1:60" ht="232" customHeight="1" x14ac:dyDescent="0.35">
      <c r="A15" s="189" t="s">
        <v>367</v>
      </c>
      <c r="B15" s="190">
        <v>0.13700000000000001</v>
      </c>
      <c r="E15" s="191"/>
      <c r="F15" s="190"/>
      <c r="I15" s="191"/>
      <c r="J15" s="190">
        <v>0.25</v>
      </c>
      <c r="M15" s="191"/>
      <c r="N15" s="190">
        <v>0</v>
      </c>
      <c r="Q15" s="191"/>
      <c r="R15" s="190">
        <v>0.186</v>
      </c>
      <c r="U15" s="191"/>
      <c r="V15" s="190">
        <v>0.17</v>
      </c>
      <c r="Y15" s="191"/>
      <c r="Z15" s="190"/>
      <c r="AC15" s="191"/>
      <c r="AD15">
        <v>0.02</v>
      </c>
      <c r="AG15" s="191"/>
      <c r="AH15" s="190"/>
      <c r="AK15" s="191"/>
      <c r="AL15" s="190">
        <v>0.16810532955350799</v>
      </c>
      <c r="AP15" s="190">
        <v>0.17</v>
      </c>
      <c r="AS15" s="191"/>
      <c r="AV15" s="112"/>
      <c r="AW15" s="112" t="s">
        <v>364</v>
      </c>
      <c r="AX15" s="112" t="s">
        <v>347</v>
      </c>
      <c r="AY15" s="112" t="s">
        <v>348</v>
      </c>
      <c r="AZ15" t="s">
        <v>349</v>
      </c>
      <c r="BA15" t="s">
        <v>368</v>
      </c>
      <c r="BB15" t="s">
        <v>369</v>
      </c>
      <c r="BC15" s="112" t="s">
        <v>352</v>
      </c>
      <c r="BD15" s="112" t="s">
        <v>353</v>
      </c>
      <c r="BE15" s="193" t="s">
        <v>361</v>
      </c>
      <c r="BF15" s="112" t="s">
        <v>355</v>
      </c>
      <c r="BG15" s="112" t="s">
        <v>356</v>
      </c>
      <c r="BH15" s="112" t="s">
        <v>339</v>
      </c>
    </row>
    <row r="16" spans="1:60" ht="232" customHeight="1" x14ac:dyDescent="0.35">
      <c r="A16" s="189" t="s">
        <v>370</v>
      </c>
      <c r="B16" s="190">
        <v>8.2299999999999998E-2</v>
      </c>
      <c r="E16" s="191"/>
      <c r="F16" s="190"/>
      <c r="I16" s="191"/>
      <c r="J16" s="190">
        <v>0.25</v>
      </c>
      <c r="M16" s="191"/>
      <c r="N16" s="190">
        <v>0</v>
      </c>
      <c r="Q16" s="191"/>
      <c r="R16" s="190">
        <v>0.186</v>
      </c>
      <c r="U16" s="191"/>
      <c r="V16" s="190">
        <v>0.17</v>
      </c>
      <c r="Y16" s="191"/>
      <c r="Z16" s="190"/>
      <c r="AC16" s="191"/>
      <c r="AD16">
        <v>0.02</v>
      </c>
      <c r="AG16" s="191"/>
      <c r="AH16" s="190"/>
      <c r="AK16" s="191"/>
      <c r="AL16" s="190">
        <v>0.16810532955350799</v>
      </c>
      <c r="AP16" s="190">
        <v>0.17</v>
      </c>
      <c r="AS16" s="191"/>
      <c r="AV16" s="112"/>
      <c r="AW16" s="112" t="s">
        <v>364</v>
      </c>
      <c r="AX16" s="112" t="s">
        <v>347</v>
      </c>
      <c r="AY16" s="112" t="s">
        <v>348</v>
      </c>
      <c r="AZ16" t="s">
        <v>349</v>
      </c>
      <c r="BA16" t="s">
        <v>371</v>
      </c>
      <c r="BB16" t="s">
        <v>372</v>
      </c>
      <c r="BC16" s="112" t="s">
        <v>352</v>
      </c>
      <c r="BD16" s="112" t="s">
        <v>353</v>
      </c>
      <c r="BE16" s="193" t="s">
        <v>361</v>
      </c>
      <c r="BF16" s="112" t="s">
        <v>355</v>
      </c>
      <c r="BG16" s="112" t="s">
        <v>356</v>
      </c>
      <c r="BH16" s="112" t="s">
        <v>339</v>
      </c>
    </row>
    <row r="17" spans="1:60" x14ac:dyDescent="0.35">
      <c r="A17" s="189" t="s">
        <v>373</v>
      </c>
      <c r="B17" s="179">
        <v>0.8</v>
      </c>
      <c r="E17" s="191"/>
      <c r="F17" s="179">
        <v>0.87</v>
      </c>
      <c r="I17" s="191"/>
      <c r="J17" s="179">
        <v>0.87</v>
      </c>
      <c r="M17" s="191"/>
      <c r="N17" s="179">
        <v>0.87</v>
      </c>
      <c r="Q17" s="191"/>
      <c r="R17" s="179">
        <v>0.87</v>
      </c>
      <c r="U17" s="191"/>
      <c r="V17" s="179">
        <v>0.87</v>
      </c>
      <c r="Y17" s="191"/>
      <c r="Z17" s="179">
        <v>0.87</v>
      </c>
      <c r="AC17" s="191"/>
      <c r="AD17" s="179">
        <v>0.87</v>
      </c>
      <c r="AG17" s="191"/>
      <c r="AH17" s="179">
        <v>0.87</v>
      </c>
      <c r="AK17" s="191"/>
      <c r="AL17" s="179">
        <v>0.87</v>
      </c>
      <c r="AP17" s="179">
        <v>0.87</v>
      </c>
      <c r="AS17" s="191"/>
      <c r="AV17" s="112"/>
      <c r="AW17" t="s">
        <v>374</v>
      </c>
      <c r="AX17" t="s">
        <v>375</v>
      </c>
      <c r="AY17" t="s">
        <v>375</v>
      </c>
      <c r="AZ17" t="s">
        <v>375</v>
      </c>
      <c r="BA17" t="s">
        <v>375</v>
      </c>
      <c r="BB17" t="s">
        <v>375</v>
      </c>
      <c r="BC17" t="s">
        <v>375</v>
      </c>
      <c r="BD17" t="s">
        <v>375</v>
      </c>
      <c r="BE17" t="s">
        <v>375</v>
      </c>
      <c r="BF17" t="s">
        <v>375</v>
      </c>
      <c r="BG17" s="112" t="s">
        <v>356</v>
      </c>
      <c r="BH17" s="112" t="s">
        <v>339</v>
      </c>
    </row>
    <row r="18" spans="1:60" ht="72.5" customHeight="1" x14ac:dyDescent="0.35">
      <c r="A18" s="189" t="s">
        <v>376</v>
      </c>
      <c r="B18" s="179">
        <v>0.45</v>
      </c>
      <c r="E18" s="191"/>
      <c r="F18" s="179">
        <v>0.45</v>
      </c>
      <c r="I18" s="191"/>
      <c r="J18" s="179">
        <v>0.3</v>
      </c>
      <c r="M18" s="191"/>
      <c r="N18" s="179">
        <v>0.45</v>
      </c>
      <c r="Q18" s="191"/>
      <c r="R18" s="179">
        <v>0.45</v>
      </c>
      <c r="U18" s="191"/>
      <c r="V18" s="179">
        <v>0.45</v>
      </c>
      <c r="Y18" s="191"/>
      <c r="Z18" s="179">
        <v>0.4</v>
      </c>
      <c r="AC18" s="191"/>
      <c r="AD18" s="179">
        <v>0.31</v>
      </c>
      <c r="AG18" s="191"/>
      <c r="AH18" s="179">
        <v>0.45</v>
      </c>
      <c r="AK18" s="191"/>
      <c r="AL18" s="179">
        <v>0.45</v>
      </c>
      <c r="AP18" s="179">
        <v>0.45</v>
      </c>
      <c r="AS18" s="191"/>
      <c r="AV18" s="112"/>
      <c r="AW18" s="112" t="s">
        <v>377</v>
      </c>
      <c r="AX18" s="112" t="s">
        <v>378</v>
      </c>
      <c r="AY18" s="112" t="s">
        <v>378</v>
      </c>
      <c r="AZ18" t="s">
        <v>349</v>
      </c>
      <c r="BA18" t="s">
        <v>379</v>
      </c>
      <c r="BB18" t="s">
        <v>380</v>
      </c>
      <c r="BC18" t="s">
        <v>381</v>
      </c>
      <c r="BD18" s="112" t="s">
        <v>378</v>
      </c>
      <c r="BE18" t="s">
        <v>382</v>
      </c>
      <c r="BF18" s="193" t="s">
        <v>383</v>
      </c>
      <c r="BG18" s="112" t="s">
        <v>356</v>
      </c>
      <c r="BH18" s="112" t="s">
        <v>339</v>
      </c>
    </row>
    <row r="19" spans="1:60" x14ac:dyDescent="0.35">
      <c r="A19" s="189"/>
      <c r="B19" s="179"/>
      <c r="E19" s="191"/>
      <c r="F19" s="179"/>
      <c r="I19" s="191"/>
      <c r="J19" s="179"/>
      <c r="M19" s="191"/>
      <c r="N19" s="179"/>
      <c r="Q19" s="191"/>
      <c r="R19" s="179"/>
      <c r="U19" s="191"/>
      <c r="V19" s="179"/>
      <c r="Y19" s="191"/>
      <c r="Z19" s="179"/>
      <c r="AC19" s="191"/>
      <c r="AD19" s="179"/>
      <c r="AG19" s="191"/>
      <c r="AH19" s="179"/>
      <c r="AK19" s="191"/>
      <c r="AL19" s="179"/>
      <c r="AP19" s="179"/>
      <c r="AS19" s="191"/>
      <c r="AV19" s="112"/>
      <c r="BH19" s="112" t="s">
        <v>339</v>
      </c>
    </row>
    <row r="20" spans="1:60" x14ac:dyDescent="0.35">
      <c r="A20" s="192" t="s">
        <v>384</v>
      </c>
      <c r="B20" s="194">
        <v>0.473551269952033</v>
      </c>
      <c r="C20" s="129">
        <v>0.473551269952033</v>
      </c>
      <c r="D20" s="129">
        <v>9.1313650437054403E-2</v>
      </c>
      <c r="E20" s="195">
        <v>1.84821545553242E-2</v>
      </c>
      <c r="F20" s="194">
        <v>0.19084726582</v>
      </c>
      <c r="G20" s="129">
        <v>0.19084726582</v>
      </c>
      <c r="H20" s="129">
        <v>0.19084726582</v>
      </c>
      <c r="I20" s="129">
        <v>0.19084726582</v>
      </c>
      <c r="J20" s="194">
        <v>0.33559</v>
      </c>
      <c r="K20" s="129">
        <v>0.33559</v>
      </c>
      <c r="L20" s="129">
        <v>0.33559</v>
      </c>
      <c r="M20" s="129">
        <v>0.33559</v>
      </c>
      <c r="N20" s="194">
        <v>0.69</v>
      </c>
      <c r="O20" s="129">
        <v>0.45</v>
      </c>
      <c r="P20" s="129">
        <v>0.37</v>
      </c>
      <c r="Q20" s="195">
        <v>4.3999999999999997E-2</v>
      </c>
      <c r="R20" s="194">
        <v>0.5</v>
      </c>
      <c r="S20" s="129">
        <v>0.5</v>
      </c>
      <c r="T20" s="129">
        <v>0.3</v>
      </c>
      <c r="U20" s="129">
        <v>0.3</v>
      </c>
      <c r="V20" s="194">
        <v>0.69</v>
      </c>
      <c r="W20" s="129">
        <v>0.45</v>
      </c>
      <c r="X20" s="129">
        <v>0.37</v>
      </c>
      <c r="Y20" s="195">
        <v>4.3999999999999997E-2</v>
      </c>
      <c r="Z20" s="194">
        <v>0.33</v>
      </c>
      <c r="AA20" s="129">
        <v>0.33</v>
      </c>
      <c r="AB20" s="129">
        <v>0.33</v>
      </c>
      <c r="AC20" s="129">
        <v>0.33</v>
      </c>
      <c r="AD20" s="194">
        <v>0.42</v>
      </c>
      <c r="AE20" s="129">
        <v>0.42</v>
      </c>
      <c r="AF20" s="129">
        <v>0.42</v>
      </c>
      <c r="AG20" s="129">
        <v>0.42</v>
      </c>
      <c r="AH20" s="194">
        <v>0.31</v>
      </c>
      <c r="AI20" s="129">
        <v>0.31</v>
      </c>
      <c r="AJ20" s="129">
        <v>0.31</v>
      </c>
      <c r="AK20" s="129">
        <v>0.31</v>
      </c>
      <c r="AL20" s="194">
        <v>0.37</v>
      </c>
      <c r="AM20" s="129">
        <v>0.37</v>
      </c>
      <c r="AN20" s="129">
        <v>0.37</v>
      </c>
      <c r="AO20" s="129">
        <v>0.37</v>
      </c>
      <c r="AP20" s="194">
        <v>0.69</v>
      </c>
      <c r="AQ20" s="129">
        <v>0.45</v>
      </c>
      <c r="AR20" s="129">
        <v>0.37</v>
      </c>
      <c r="AS20" s="195">
        <v>4.3999999999999997E-2</v>
      </c>
      <c r="AW20" t="s">
        <v>385</v>
      </c>
      <c r="AX20" s="112" t="s">
        <v>378</v>
      </c>
      <c r="AY20" s="112" t="s">
        <v>378</v>
      </c>
      <c r="AZ20" t="s">
        <v>375</v>
      </c>
      <c r="BA20" t="s">
        <v>379</v>
      </c>
      <c r="BB20" t="s">
        <v>375</v>
      </c>
      <c r="BC20" t="s">
        <v>381</v>
      </c>
      <c r="BD20" s="112" t="s">
        <v>378</v>
      </c>
      <c r="BE20" t="s">
        <v>382</v>
      </c>
      <c r="BF20" s="112" t="s">
        <v>386</v>
      </c>
      <c r="BG20" s="106" t="s">
        <v>387</v>
      </c>
      <c r="BH20" s="112" t="s">
        <v>339</v>
      </c>
    </row>
    <row r="21" spans="1:60" x14ac:dyDescent="0.35">
      <c r="A21" s="172"/>
      <c r="B21" s="196">
        <f>B20*1.55*365</f>
        <v>267.91163097536264</v>
      </c>
      <c r="E21" s="191"/>
      <c r="F21" s="196">
        <f>F20*1.55*365</f>
        <v>107.971840637665</v>
      </c>
      <c r="I21" s="191"/>
      <c r="J21" s="196">
        <f>J20*1.55*365</f>
        <v>189.86004250000002</v>
      </c>
      <c r="M21" s="191"/>
      <c r="N21" s="196">
        <f>N20*1.55*365</f>
        <v>390.36749999999995</v>
      </c>
      <c r="Q21" s="191"/>
      <c r="R21" s="196">
        <f>R20*1.55*365</f>
        <v>282.875</v>
      </c>
      <c r="U21" s="191"/>
      <c r="V21" s="196">
        <f>V20*1.55*365</f>
        <v>390.36749999999995</v>
      </c>
      <c r="Y21" s="191"/>
      <c r="Z21" s="196">
        <f>Z20*1.55*365</f>
        <v>186.69750000000002</v>
      </c>
      <c r="AC21" s="191"/>
      <c r="AD21" s="196">
        <f>AD20*1.55*365</f>
        <v>237.61500000000001</v>
      </c>
      <c r="AG21" s="191"/>
      <c r="AH21" s="196">
        <f>AH20*1.55*365</f>
        <v>175.38249999999999</v>
      </c>
      <c r="AK21" s="191"/>
      <c r="AL21" s="196">
        <f>AL20*1.55*365</f>
        <v>209.32750000000001</v>
      </c>
      <c r="AP21" s="196">
        <f>AP20*1.55*365</f>
        <v>390.36749999999995</v>
      </c>
      <c r="AS21" s="191"/>
      <c r="AW21" s="22" t="s">
        <v>388</v>
      </c>
    </row>
    <row r="22" spans="1:60" x14ac:dyDescent="0.35">
      <c r="A22" s="197" t="s">
        <v>389</v>
      </c>
      <c r="B22" s="198"/>
      <c r="C22" s="14"/>
      <c r="D22" s="14"/>
      <c r="E22" s="199"/>
      <c r="F22" s="198"/>
      <c r="G22" s="14"/>
      <c r="H22" s="14"/>
      <c r="I22" s="199"/>
      <c r="J22" s="198"/>
      <c r="K22" s="14"/>
      <c r="L22" s="14"/>
      <c r="M22" s="199"/>
      <c r="N22" s="198"/>
      <c r="O22" s="14"/>
      <c r="P22" s="14"/>
      <c r="Q22" s="199"/>
      <c r="R22" s="198"/>
      <c r="S22" s="14"/>
      <c r="T22" s="14"/>
      <c r="U22" s="199"/>
      <c r="V22" s="198"/>
      <c r="W22" s="14"/>
      <c r="X22" s="14"/>
      <c r="Y22" s="199"/>
      <c r="Z22" s="198"/>
      <c r="AA22" s="14"/>
      <c r="AB22" s="14"/>
      <c r="AC22" s="199"/>
      <c r="AD22" s="198"/>
      <c r="AE22" s="14"/>
      <c r="AF22" s="14"/>
      <c r="AG22" s="199"/>
      <c r="AH22" s="198"/>
      <c r="AI22" s="14"/>
      <c r="AJ22" s="14"/>
      <c r="AK22" s="199"/>
      <c r="AL22" s="198"/>
      <c r="AM22" s="14"/>
      <c r="AN22" s="14"/>
      <c r="AO22" s="14"/>
      <c r="AP22" s="198"/>
      <c r="AQ22" s="14"/>
      <c r="AR22" s="14"/>
      <c r="AS22" s="199"/>
    </row>
    <row r="23" spans="1:60" x14ac:dyDescent="0.35">
      <c r="A23" s="192" t="s">
        <v>390</v>
      </c>
      <c r="B23" s="200">
        <f>(No_sows_DK+No_recruit_sows_DK)*B6*$B$20*365</f>
        <v>0.2967234809783606</v>
      </c>
      <c r="C23" s="201">
        <f>No_boars_DK*C6*$C$20*365</f>
        <v>2.3245916720283887E-3</v>
      </c>
      <c r="D23">
        <f>No_fattening_pigs_DK*D6*$D$20*Time_fattening_days_DK</f>
        <v>0.35522314645211339</v>
      </c>
      <c r="E23" s="202">
        <f>No_piglets_DK*E6*$ES$20*Time_piglet_system_DK</f>
        <v>0</v>
      </c>
      <c r="F23" s="200">
        <f>(No_sows_FR+No_recruit_sows_FR)*F6*$F$20*365</f>
        <v>6.7248897282974687</v>
      </c>
      <c r="G23" s="201">
        <f>No_boars_FR*G6*$G$20*365</f>
        <v>5.2684144194337028E-2</v>
      </c>
      <c r="H23">
        <f>No_fattening_pigs_FR*H6*$H$20*Time_fattening_days_FR</f>
        <v>37.410919254811461</v>
      </c>
      <c r="I23" s="202">
        <f>No_piglets_FR*I6*$I$20*Time_piglet_system_FR</f>
        <v>24.264585831968997</v>
      </c>
      <c r="J23" s="200">
        <f>(No_sows_DE+No_recruit_sows_DE)*J6*$J$20*365</f>
        <v>6.8059168813691491</v>
      </c>
      <c r="K23" s="201">
        <f>No_boars_DE*K6*$K$20*365</f>
        <v>5.3318927274589159E-2</v>
      </c>
      <c r="L23">
        <f>No_fattening_pigs_DE*L6*$L$20*Time_fattening_days_DE</f>
        <v>37.984095914687011</v>
      </c>
      <c r="M23" s="202">
        <f>No_piglets_DE*M6*$M$20*Time_piglet_system_DE</f>
        <v>24.634848615337493</v>
      </c>
      <c r="N23" s="200">
        <f>(No_sows_GR+No_recruit_sows_GR)*N6*$N$20*365</f>
        <v>39.036749999999998</v>
      </c>
      <c r="O23" s="201">
        <f>No_boars_GR*O6*$O$20*365</f>
        <v>0.19944898878619149</v>
      </c>
      <c r="P23">
        <f>No_fattening_pigs_GR*P6*$P$20*Time_fattening_days_GR</f>
        <v>114.81626124338625</v>
      </c>
      <c r="Q23" s="202">
        <f>No_piglets_GR*Q6*$Q$20*Time_piglet_system_GR</f>
        <v>8.8581981481481478</v>
      </c>
      <c r="R23" s="200">
        <f>(No_sows_HU+No_recruit_sows_HU)*R6*$R$20*365</f>
        <v>61.471700061970736</v>
      </c>
      <c r="S23" s="201">
        <f>No_boars_HU*S6*$S$20*365</f>
        <v>0.48158171223363777</v>
      </c>
      <c r="T23">
        <f>No_fattening_pigs_HU*T6*$T$20*Time_fattening_days_HU</f>
        <v>212.80149170816449</v>
      </c>
      <c r="U23" s="202">
        <f>No_piglets_HU*U6*$U$20*Time_piglet_system_HU</f>
        <v>137.92906705065766</v>
      </c>
      <c r="V23" s="200">
        <f>(No_sows_IE+No_recruit_sows_IE)*V6*$V$20*365</f>
        <v>0</v>
      </c>
      <c r="W23" s="201">
        <f>No_boars_IE*W6*$W$20*365</f>
        <v>0</v>
      </c>
      <c r="X23">
        <f>No_fattening_pigs_IE*X6*$X$20*Time_fattening_days_IE</f>
        <v>0</v>
      </c>
      <c r="Y23" s="202">
        <f>No_piglets_IE*Y6*$Y$20*Time_piglet_system_IE</f>
        <v>0</v>
      </c>
      <c r="Z23" s="200">
        <f>(No_sows_IT+No_recruit_sows_IT)*Z6*$Z$20*365</f>
        <v>0</v>
      </c>
      <c r="AA23" s="201">
        <f>No_boars_IT*AA6*$AA$20*365</f>
        <v>0</v>
      </c>
      <c r="AB23">
        <f>No_fattening_pigs_IT*AB6*$AB$20*Time_fattening_days_IT</f>
        <v>0</v>
      </c>
      <c r="AC23" s="202">
        <f>No_piglets_IT*AC6*$AC$20*Time_piglet_system_IT</f>
        <v>0</v>
      </c>
      <c r="AD23" s="200">
        <f>(No_sows_NL+No_recruit_sows_NL)*AD6*$AD$20*365</f>
        <v>1.607057971014493</v>
      </c>
      <c r="AE23" s="201">
        <f>No_boars_NL*AE6*$AE$20*365</f>
        <v>0.37230477906755743</v>
      </c>
      <c r="AF23">
        <f>No_fattening_pigs_NL*AF6*$AF$20*Time_fattening_days_NL</f>
        <v>0</v>
      </c>
      <c r="AG23" s="202">
        <f>No_piglets_NL*AG6*$AG$20*Time_piglet_system_NL</f>
        <v>183.39921495327107</v>
      </c>
      <c r="AH23" s="200">
        <f>(No_sows_PL+No_recruit_sows_PL)*AH6*$AH$20*365</f>
        <v>132.76455250000001</v>
      </c>
      <c r="AI23" s="201">
        <f>No_boars_PL*AI6*$AI$20*365</f>
        <v>1.0401043155212344</v>
      </c>
      <c r="AJ23">
        <f>No_fattening_pigs_PL*AJ6*$AJ$20*Time_fattening_days_PL</f>
        <v>728.21437908068788</v>
      </c>
      <c r="AK23" s="202">
        <f>No_piglets_PL*AK6*$AK$20*Time_piglet_system_PL</f>
        <v>472.44394532407415</v>
      </c>
      <c r="AL23" s="200">
        <f>(No_sows_ES+No_recruit_sows_ES)*AL6*$AL$20*365</f>
        <v>8.4048325309843293</v>
      </c>
      <c r="AM23" s="201">
        <f>No_boars_ES*AM6*$AM$20*365</f>
        <v>6.5845155367883768E-2</v>
      </c>
      <c r="AN23" s="201">
        <f>No_fattening_pigs_ES*AN6*$AN$20*Time_fattening_days_ES</f>
        <v>41.830354586495645</v>
      </c>
      <c r="AO23" s="201">
        <f>No_piglets_ES*AO6*$AO$20*Time_piglet_system_ES</f>
        <v>27.191275993739808</v>
      </c>
      <c r="AP23" s="200">
        <f>(No_sows_SE+No_recruit_sows_SE)*AP6*$AP$20*365</f>
        <v>78.073499999999996</v>
      </c>
      <c r="AQ23" s="201">
        <f>No_boars_SE*AQ6*$AQ$20*365</f>
        <v>0.39889797757238299</v>
      </c>
      <c r="AR23">
        <f>No_fattening_pigs_SE*AR6*$AR$20*Time_fattening_days_SE</f>
        <v>0</v>
      </c>
      <c r="AS23" s="202">
        <f>No_piglets_SE*AS6*$AS$20*Time_piglet_system_SE</f>
        <v>16.742615053763444</v>
      </c>
    </row>
    <row r="24" spans="1:60" x14ac:dyDescent="0.35">
      <c r="A24" s="192" t="s">
        <v>391</v>
      </c>
      <c r="B24" s="200">
        <f>(No_sows_DK+No_recruit_sows_DK)*B7*$B$20*365</f>
        <v>258.11975610307684</v>
      </c>
      <c r="C24" s="201">
        <f>No_boars_DK*C7*$C$20*365</f>
        <v>2.0221622954975023</v>
      </c>
      <c r="D24">
        <f>No_fattening_pigs_DK*D7*$D$20*Time_fattening_days_DK</f>
        <v>309.00861509869458</v>
      </c>
      <c r="E24" s="202">
        <f>No_piglets_DK*E7*$ES$20*Time_piglet_system_DK</f>
        <v>0</v>
      </c>
      <c r="F24" s="200">
        <f>(No_sows_FR+No_recruit_sows_FR)*F7*$F$20*365</f>
        <v>101.24695090936758</v>
      </c>
      <c r="G24" s="201">
        <f>No_boars_FR*G7*$G$20*365</f>
        <v>0.79318905981474064</v>
      </c>
      <c r="H24" s="201">
        <f>No_fattening_pigs_FR*H7*$H$20*Time_fattening_days_FR</f>
        <v>563.24217322521679</v>
      </c>
      <c r="I24" s="202">
        <f>No_piglets_FR*I7*$I$20*Time_piglet_system_FR</f>
        <v>365.31682002575542</v>
      </c>
      <c r="J24" s="200">
        <f>(No_sows_DE+No_recruit_sows_DE)*J7*$J$20*365</f>
        <v>180.14055585001793</v>
      </c>
      <c r="K24" s="201">
        <f>No_boars_DE*K7*$K$20*365</f>
        <v>1.4112574931474844</v>
      </c>
      <c r="L24">
        <f>No_fattening_pigs_DE*L7*$L$20*Time_fattening_days_DE</f>
        <v>1005.3716891934196</v>
      </c>
      <c r="M24" s="202">
        <f>No_piglets_DE*M7*$M$20*Time_piglet_system_DE</f>
        <v>652.04077572501888</v>
      </c>
      <c r="N24" s="200">
        <f>(No_sows_GR+No_recruit_sows_GR)*N7*$N$20*365</f>
        <v>351.33074999999997</v>
      </c>
      <c r="O24" s="201">
        <f>No_boars_GR*O7*$O$20*365</f>
        <v>1.7950408990757232</v>
      </c>
      <c r="P24">
        <f>No_fattening_pigs_GR*P7*$P$20*Time_fattening_days_GR</f>
        <v>1033.3463511904761</v>
      </c>
      <c r="Q24" s="202">
        <f>No_piglets_GR*Q7*$Q$20*Time_piglet_system_GR</f>
        <v>79.72378333333333</v>
      </c>
      <c r="R24" s="200">
        <f>(No_sows_HU+No_recruit_sows_HU)*R7*$R$20*365</f>
        <v>195.42975366659795</v>
      </c>
      <c r="S24" s="201">
        <f>No_boars_HU*S7*$S$20*365</f>
        <v>1.5310361564309896</v>
      </c>
      <c r="T24">
        <f>No_fattening_pigs_HU*T7*$T$20*Time_fattening_days_HU</f>
        <v>676.53478043531936</v>
      </c>
      <c r="U24" s="202">
        <f>No_piglets_HU*U7*$U$20*Time_piglet_system_HU</f>
        <v>438.50167751989022</v>
      </c>
      <c r="V24" s="200">
        <f>(No_sows_IE+No_recruit_sows_IE)*V7*$V$20*365</f>
        <v>390.36749999999995</v>
      </c>
      <c r="W24" s="201">
        <f>No_boars_IE*W7*$W$20*365</f>
        <v>1.9944898878619146</v>
      </c>
      <c r="X24">
        <f>No_fattening_pigs_IE*X7*$X$20*Time_fattening_days_IE</f>
        <v>1145.7049999999999</v>
      </c>
      <c r="Y24" s="202">
        <f>No_piglets_IE*Y7*$Y$20*Time_piglet_system_IE</f>
        <v>88.396000000000001</v>
      </c>
      <c r="Z24" s="200">
        <f>(No_sows_IT+No_recruit_sows_IT)*Z7*$Z$20*365</f>
        <v>186.69750000000002</v>
      </c>
      <c r="AA24" s="201">
        <f>No_boars_IT*AA7*$AA$20*365</f>
        <v>1.4626259177654042</v>
      </c>
      <c r="AB24">
        <f>No_fattening_pigs_IT*AB7*$AB$20*Time_fattening_days_IT</f>
        <v>1582.2172413793105</v>
      </c>
      <c r="AC24" s="202">
        <f>No_piglets_IT*AC7*$AC$20*Time_piglet_system_IT</f>
        <v>566.48103448275867</v>
      </c>
      <c r="AD24" s="200">
        <f>(No_sows_NL+No_recruit_sows_NL)*AD7*$AD$20*365</f>
        <v>121.24678442028993</v>
      </c>
      <c r="AE24" s="201">
        <f>No_boars_NL*AE7*$AE$20*365</f>
        <v>1.1727600540628056</v>
      </c>
      <c r="AF24">
        <f>No_fattening_pigs_NL*AF7*$AF$20*Time_fattening_days_NL</f>
        <v>1415.5838317757011</v>
      </c>
      <c r="AG24" s="202">
        <f>No_piglets_NL*AG7*$AG$20*Time_piglet_system_NL</f>
        <v>577.70752710280385</v>
      </c>
      <c r="AH24" s="200">
        <f>(No_sows_PL+No_recruit_sows_PL)*AH7*$AH$20*365</f>
        <v>42.6179475</v>
      </c>
      <c r="AI24" s="201">
        <f>No_boars_PL*AI7*$AI$20*365</f>
        <v>0.33387760722808446</v>
      </c>
      <c r="AJ24">
        <f>No_fattening_pigs_PL*AJ7*$AJ$20*Time_fattening_days_PL</f>
        <v>233.75970160714286</v>
      </c>
      <c r="AK24" s="202">
        <f>No_piglets_PL*AK7*$AK$20*Time_piglet_system_PL</f>
        <v>151.65637875000002</v>
      </c>
      <c r="AL24" s="200">
        <f>(No_sows_ES+No_recruit_sows_ES)*AL7*$AL$20*365</f>
        <v>49.657122810611604</v>
      </c>
      <c r="AM24" s="201">
        <f>No_boars_ES*AM7*$AM$20*365</f>
        <v>0.38902392814290593</v>
      </c>
      <c r="AN24" s="201">
        <f>No_fattening_pigs_ES*AN7*$AN$20*Time_fattening_days_ES</f>
        <v>247.14056434266357</v>
      </c>
      <c r="AO24" s="201">
        <f>No_piglets_ES*AO7*$AO$20*Time_piglet_system_ES</f>
        <v>160.65049796301409</v>
      </c>
      <c r="AP24" s="200">
        <f>(No_sows_SE+No_recruit_sows_SE)*AP7*$AP$20*365</f>
        <v>245.93152499999999</v>
      </c>
      <c r="AQ24" s="201">
        <f>No_boars_SE*AQ7*$AQ$20*365</f>
        <v>1.2565286293530062</v>
      </c>
      <c r="AR24" s="201">
        <f>No_fattening_pigs_SE*AR7*$AR$20*Time_fattening_days_SE</f>
        <v>1083.823494623656</v>
      </c>
      <c r="AS24" s="202">
        <f>No_piglets_SE*AS7*$AS$20*Time_piglet_system_SE</f>
        <v>52.739237419354843</v>
      </c>
    </row>
    <row r="25" spans="1:60" x14ac:dyDescent="0.35">
      <c r="A25" s="192" t="s">
        <v>392</v>
      </c>
      <c r="B25" s="200">
        <f>(No_sows_DK+No_recruit_sows_DK)*B8*$B$20*365</f>
        <v>9.4951513913075658</v>
      </c>
      <c r="C25" s="201">
        <f>No_boars_DK*C8*$C$20*365</f>
        <v>7.4386933504908631E-2</v>
      </c>
      <c r="D25">
        <f>No_fattening_pigs_DK*D8*$D$20*Time_fattening_days_DK</f>
        <v>11.367140686467661</v>
      </c>
      <c r="E25" s="202">
        <f>No_piglets_DK*E8*$ES$20*Time_piglet_system_DK</f>
        <v>0</v>
      </c>
      <c r="F25" s="200">
        <f>(No_sows_FR+No_recruit_sows_FR)*F8*$F$20*365</f>
        <v>0</v>
      </c>
      <c r="G25" s="201">
        <f>No_boars_FR*G8*$G$20*365</f>
        <v>0</v>
      </c>
      <c r="H25">
        <f>No_fattening_pigs_FR*H8*$H$20*Time_fattening_days_FR</f>
        <v>0</v>
      </c>
      <c r="I25" s="202">
        <f>No_piglets_FR*I8*$I$20*Time_piglet_system_FR</f>
        <v>0</v>
      </c>
      <c r="J25" s="200">
        <f>(No_sows_DE+No_recruit_sows_DE)*J8*$J$20*365</f>
        <v>2.9135697686128865</v>
      </c>
      <c r="K25" s="201">
        <f>No_boars_DE*K8*$K$20*365</f>
        <v>2.2825493950325841E-2</v>
      </c>
      <c r="L25">
        <f>No_fattening_pigs_DE*L8*$L$20*Time_fattening_days_DE</f>
        <v>16.26075009056839</v>
      </c>
      <c r="M25" s="202">
        <f>No_piglets_DE*M8*$M$20*Time_piglet_system_DE</f>
        <v>10.546022149709721</v>
      </c>
      <c r="N25" s="200">
        <f>(No_sows_GR+No_recruit_sows_GR)*N8*$N$20*365</f>
        <v>0</v>
      </c>
      <c r="O25" s="201">
        <f>No_boars_GR*O8*$O$20*365</f>
        <v>0</v>
      </c>
      <c r="P25">
        <f>No_fattening_pigs_GR*P8*$P$20*Time_fattening_days_GR</f>
        <v>0</v>
      </c>
      <c r="Q25" s="202">
        <f>No_piglets_GR*Q8*$Q$20*Time_piglet_system_GR</f>
        <v>0</v>
      </c>
      <c r="R25" s="200">
        <f>(No_sows_HU+No_recruit_sows_HU)*R8*$R$20*365</f>
        <v>25.973546271431513</v>
      </c>
      <c r="S25" s="201">
        <f>No_boars_HU*S8*$S$20*365</f>
        <v>0.20348200673750155</v>
      </c>
      <c r="T25">
        <f>No_fattening_pigs_HU*T8*$T$20*Time_fattening_days_HU</f>
        <v>89.914698730303215</v>
      </c>
      <c r="U25" s="202">
        <f>No_piglets_HU*U8*$U$20*Time_piglet_system_HU</f>
        <v>58.278964167316758</v>
      </c>
      <c r="V25" s="200">
        <f>(No_sows_IE+No_recruit_sows_IE)*V8*$V$20*365</f>
        <v>0</v>
      </c>
      <c r="W25" s="201">
        <f>No_boars_IE*W8*$W$20*365</f>
        <v>0</v>
      </c>
      <c r="X25">
        <f>No_fattening_pigs_IE*X8*$X$20*Time_fattening_days_IE</f>
        <v>0</v>
      </c>
      <c r="Y25" s="202">
        <f>No_piglets_IE*Y8*$Y$20*Time_piglet_system_IE</f>
        <v>0</v>
      </c>
      <c r="Z25" s="200">
        <f>(No_sows_IT+No_recruit_sows_IT)*Z8*$Z$20*365</f>
        <v>0</v>
      </c>
      <c r="AA25" s="201">
        <f>No_boars_IT*AA8*$AA$20*365</f>
        <v>0</v>
      </c>
      <c r="AB25">
        <f>No_fattening_pigs_IT*AB8*$AB$20*Time_fattening_days_IT</f>
        <v>0</v>
      </c>
      <c r="AC25" s="202">
        <f>No_piglets_IT*AC8*$AC$20*Time_piglet_system_IT</f>
        <v>0</v>
      </c>
      <c r="AD25" s="200">
        <f>(No_sows_NL+No_recruit_sows_NL)*AD8*$AD$20*365</f>
        <v>114.76115760869574</v>
      </c>
      <c r="AE25" s="201">
        <f>No_boars_NL*AE8*$AE$20*365</f>
        <v>0.31645906220742376</v>
      </c>
      <c r="AF25">
        <f>No_fattening_pigs_NL*AF8*$AF$20*Time_fattening_days_NL</f>
        <v>0</v>
      </c>
      <c r="AG25" s="202">
        <f>No_piglets_NL*AG8*$AG$20*Time_piglet_system_NL</f>
        <v>155.8893327102804</v>
      </c>
      <c r="AH25" s="200">
        <f>(No_sows_PL+No_recruit_sows_PL)*AH8*$AH$20*365</f>
        <v>0</v>
      </c>
      <c r="AI25" s="201">
        <f>No_boars_PL*AI8*$AI$20*365</f>
        <v>0</v>
      </c>
      <c r="AJ25">
        <f>No_fattening_pigs_PL*AJ8*$AJ$20*Time_fattening_days_PL</f>
        <v>0</v>
      </c>
      <c r="AK25" s="202">
        <f>No_piglets_PL*AK8*$AK$20*Time_piglet_system_PL</f>
        <v>0</v>
      </c>
      <c r="AL25" s="200">
        <f>(No_sows_ES+No_recruit_sows_ES)*AL8*$AL$20*365</f>
        <v>151.26554465840422</v>
      </c>
      <c r="AM25" s="201">
        <f>No_boars_ES*AM8*$AM$20*365</f>
        <v>1.1850448242867857</v>
      </c>
      <c r="AN25" s="201">
        <f>No_fattening_pigs_ES*AN8*$AN$20*Time_fattening_days_ES</f>
        <v>752.83967246869076</v>
      </c>
      <c r="AO25" s="201">
        <f>No_piglets_ES*AO8*$AO$20*Time_piglet_system_ES</f>
        <v>489.37360238733254</v>
      </c>
      <c r="AP25" s="200">
        <f>(No_sows_SE+No_recruit_sows_SE)*AP8*$AP$20*365</f>
        <v>66.362475000000003</v>
      </c>
      <c r="AQ25" s="201">
        <f>No_boars_SE*AQ8*$AQ$20*365</f>
        <v>0.33906328093652549</v>
      </c>
      <c r="AR25">
        <f>No_fattening_pigs_SE*AR8*$AR$20*Time_fattening_days_SE</f>
        <v>0</v>
      </c>
      <c r="AS25" s="202">
        <f>No_piglets_SE*AS8*$AS$20*Time_piglet_system_SE</f>
        <v>14.231222795698926</v>
      </c>
    </row>
    <row r="26" spans="1:60" x14ac:dyDescent="0.35">
      <c r="A26" s="172"/>
      <c r="B26" s="200"/>
      <c r="C26" s="203"/>
      <c r="E26" s="191"/>
      <c r="F26" s="200"/>
      <c r="G26" s="203"/>
      <c r="I26" s="191"/>
      <c r="J26" s="200">
        <f>SUM(J23:J25)-J21</f>
        <v>0</v>
      </c>
      <c r="K26" s="203"/>
      <c r="M26" s="191"/>
      <c r="N26" s="200"/>
      <c r="O26" s="203"/>
      <c r="Q26" s="191"/>
      <c r="R26" s="200"/>
      <c r="S26" s="203"/>
      <c r="U26" s="191"/>
      <c r="V26" s="200"/>
      <c r="W26" s="203"/>
      <c r="Y26" s="191"/>
      <c r="Z26" s="200"/>
      <c r="AA26" s="203"/>
      <c r="AC26" s="191"/>
      <c r="AD26" s="200"/>
      <c r="AE26" s="203"/>
      <c r="AG26" s="191"/>
      <c r="AH26" s="200"/>
      <c r="AI26" s="203"/>
      <c r="AK26" s="191"/>
      <c r="AL26" s="200"/>
      <c r="AM26" s="203"/>
      <c r="AP26" s="200"/>
      <c r="AQ26" s="203"/>
      <c r="AS26" s="191"/>
    </row>
    <row r="27" spans="1:60" x14ac:dyDescent="0.35">
      <c r="A27" s="204" t="s">
        <v>393</v>
      </c>
      <c r="B27" s="198"/>
      <c r="C27" s="205"/>
      <c r="D27" s="14"/>
      <c r="E27" s="199"/>
      <c r="F27" s="198"/>
      <c r="G27" s="205"/>
      <c r="H27" s="14"/>
      <c r="I27" s="199"/>
      <c r="J27" s="198"/>
      <c r="K27" s="205"/>
      <c r="L27" s="14"/>
      <c r="M27" s="199"/>
      <c r="N27" s="198"/>
      <c r="O27" s="205"/>
      <c r="P27" s="14"/>
      <c r="Q27" s="199"/>
      <c r="R27" s="198"/>
      <c r="S27" s="205"/>
      <c r="T27" s="14"/>
      <c r="U27" s="199"/>
      <c r="V27" s="198"/>
      <c r="W27" s="205"/>
      <c r="X27" s="14"/>
      <c r="Y27" s="199"/>
      <c r="Z27" s="198"/>
      <c r="AA27" s="205"/>
      <c r="AB27" s="14"/>
      <c r="AC27" s="199"/>
      <c r="AD27" s="198"/>
      <c r="AE27" s="205"/>
      <c r="AF27" s="14"/>
      <c r="AG27" s="199"/>
      <c r="AH27" s="198"/>
      <c r="AI27" s="205"/>
      <c r="AJ27" s="14"/>
      <c r="AK27" s="199"/>
      <c r="AL27" s="198"/>
      <c r="AM27" s="205"/>
      <c r="AN27" s="14"/>
      <c r="AO27" s="14"/>
      <c r="AP27" s="198"/>
      <c r="AQ27" s="205"/>
      <c r="AR27" s="14"/>
      <c r="AS27" s="199"/>
    </row>
    <row r="28" spans="1:60" x14ac:dyDescent="0.35">
      <c r="A28" s="192" t="s">
        <v>390</v>
      </c>
      <c r="B28" s="206">
        <f>B23*$B$18*0.67*B12</f>
        <v>1.7892425902995147E-3</v>
      </c>
      <c r="C28" s="49">
        <f>C23*$B$18*0.67*B12</f>
        <v>1.4017287782331185E-5</v>
      </c>
      <c r="D28" s="49">
        <f>D23*$B$18*0.67*B12</f>
        <v>2.1419955731062442E-3</v>
      </c>
      <c r="E28" s="207">
        <f>E23*$B$18*0.67*B12</f>
        <v>0</v>
      </c>
      <c r="F28" s="206">
        <f>F23*$F$18*0.67*F12</f>
        <v>7.9271739200346469E-2</v>
      </c>
      <c r="G28" s="49">
        <f>G23*$F$18*0.67*F12</f>
        <v>6.2103081348580808E-4</v>
      </c>
      <c r="H28" s="49">
        <f>H23*$F$18*0.67*F12</f>
        <v>0.44099290162835708</v>
      </c>
      <c r="I28" s="207">
        <f>I23*$F$18*0.67*F12</f>
        <v>0.28602638817740689</v>
      </c>
      <c r="J28" s="206">
        <f>J23*$J$18*0.67*J12</f>
        <v>4.1039678794655969E-2</v>
      </c>
      <c r="K28" s="49">
        <f>K23*$J$18*0.67*J12</f>
        <v>3.2151313146577262E-4</v>
      </c>
      <c r="L28" s="49">
        <f>L23*$J$18*0.67*J12</f>
        <v>0.22904409836556269</v>
      </c>
      <c r="M28" s="207">
        <f>M23*$J$18*0.67*J12</f>
        <v>0.14854813715048507</v>
      </c>
      <c r="N28" s="206">
        <f>N23*$N$18*0.67*N12</f>
        <v>0.47078320499999998</v>
      </c>
      <c r="O28" s="49">
        <f>O23*$N$18*0.67*N12</f>
        <v>2.4053548047614699E-3</v>
      </c>
      <c r="P28" s="49">
        <f>P23*$N$18*0.67*N12</f>
        <v>1.3846841105952385</v>
      </c>
      <c r="Q28" s="207">
        <f>Q23*$N$18*0.67*N12</f>
        <v>0.10682986966666669</v>
      </c>
      <c r="R28" s="206">
        <f>R23*$R$18*0.67*R12</f>
        <v>0.3706743513736836</v>
      </c>
      <c r="S28" s="49">
        <f>S23*$R$18*0.67*R12</f>
        <v>2.9039377247688366E-3</v>
      </c>
      <c r="T28" s="49">
        <f>T23*$R$18*0.67*R12</f>
        <v>1.2831929950002319</v>
      </c>
      <c r="U28" s="207">
        <f>U23*$R$18*0.67*R12</f>
        <v>0.8317122743154659</v>
      </c>
      <c r="V28" s="206">
        <f>V23*$V$18*0.67*V12</f>
        <v>0</v>
      </c>
      <c r="W28" s="49">
        <f>W23*$V$18*0.67*V12</f>
        <v>0</v>
      </c>
      <c r="X28" s="49">
        <f>X23*$V$18*0.67*V12</f>
        <v>0</v>
      </c>
      <c r="Y28" s="207">
        <f>Y23*$V$18*0.67*V12</f>
        <v>0</v>
      </c>
      <c r="Z28" s="206">
        <f>Z23*$Z$18*0.67*Z12</f>
        <v>0</v>
      </c>
      <c r="AA28" s="49">
        <f>AA23*$Z$18*0.67*Z12</f>
        <v>0</v>
      </c>
      <c r="AB28" s="49">
        <f>AB23*$Z$18*0.67*Z12</f>
        <v>0</v>
      </c>
      <c r="AC28" s="207">
        <f>AC23*$Z$18*0.67*Z12</f>
        <v>0</v>
      </c>
      <c r="AD28" s="206">
        <f>AD23*$AD$18*0.67*AD12</f>
        <v>6.6757188115942039E-3</v>
      </c>
      <c r="AE28" s="49">
        <f>AE23*$AD$18*0.67*AD12</f>
        <v>1.5465540522466338E-3</v>
      </c>
      <c r="AF28" s="49">
        <f>AF23*$AD$18*0.67*AD12</f>
        <v>0</v>
      </c>
      <c r="AG28" s="207">
        <f>AG23*$AD$18*0.67*AD12</f>
        <v>0.76184033891588809</v>
      </c>
      <c r="AH28" s="206">
        <f>AH23*$AH$18*0.67*AH12</f>
        <v>0.80057025157500006</v>
      </c>
      <c r="AI28" s="49">
        <f>AI23*$AH$18*0.67*AH12</f>
        <v>6.2718290225930442E-3</v>
      </c>
      <c r="AJ28" s="49">
        <f>AJ23*$AH$18*0.67*AH12</f>
        <v>4.3911327058565481</v>
      </c>
      <c r="AK28" s="207">
        <f>AK23*$AH$18*0.67*AH12</f>
        <v>2.8488369903041675</v>
      </c>
      <c r="AL28" s="206">
        <f>AL23*$AL$18*0.67*AL12</f>
        <v>5.9825724456852525E-2</v>
      </c>
      <c r="AM28" s="49">
        <f>AM23*$AL$18*0.67*AL12</f>
        <v>4.6868680694537478E-4</v>
      </c>
      <c r="AN28" s="49">
        <f>AN23*$AL$18*0.67*AL12</f>
        <v>0.29774909353619716</v>
      </c>
      <c r="AO28" s="207">
        <f>AO23*$AL$18*0.67*AL12</f>
        <v>0.19354791177989022</v>
      </c>
      <c r="AP28" s="206">
        <f>AP23*$AP$18*0.67*AP12</f>
        <v>0.47078320499999998</v>
      </c>
      <c r="AQ28" s="49">
        <f>AQ23*$AP$18*0.67*AP12</f>
        <v>2.4053548047614699E-3</v>
      </c>
      <c r="AR28" s="49">
        <f>AR23*$AP$18*0.67*AP12</f>
        <v>0</v>
      </c>
      <c r="AS28" s="207">
        <f>AS23*$AP$18*0.67*AP12</f>
        <v>0.10095796877419357</v>
      </c>
      <c r="AV28" s="49"/>
      <c r="AW28" s="208" t="s">
        <v>394</v>
      </c>
      <c r="AX28" s="49"/>
      <c r="AY28" s="49"/>
      <c r="AZ28" s="49"/>
    </row>
    <row r="29" spans="1:60" x14ac:dyDescent="0.35">
      <c r="A29" s="192" t="s">
        <v>391</v>
      </c>
      <c r="B29" s="206">
        <f>B24*$B$18*0.67*B13</f>
        <v>10.875779128494605</v>
      </c>
      <c r="C29" s="49">
        <f>C24*$B$18*0.67*B13</f>
        <v>8.5203050009926465E-2</v>
      </c>
      <c r="D29" s="49">
        <f>D24*$B$18*0.67*B13</f>
        <v>13.019962118952837</v>
      </c>
      <c r="E29" s="207">
        <f>E24*$B$18*0.67*B13</f>
        <v>0</v>
      </c>
      <c r="F29" s="206">
        <f>F24*$F$18*0.67*F13</f>
        <v>11.515491432796468</v>
      </c>
      <c r="G29" s="49">
        <f>G24*$F$18*0.67*F13</f>
        <v>9.0214685389004026E-2</v>
      </c>
      <c r="H29" s="49">
        <f>H24*$F$18*0.67*F13</f>
        <v>64.06129134862222</v>
      </c>
      <c r="I29" s="207">
        <f>I24*$F$18*0.67*F13</f>
        <v>41.549920007258351</v>
      </c>
      <c r="J29" s="206">
        <f>J24*$J$18*0.67*J13</f>
        <v>8.3568644983270133</v>
      </c>
      <c r="K29" s="49">
        <f>K24*$J$18*0.67*J13</f>
        <v>6.5469364113106318E-2</v>
      </c>
      <c r="L29" s="49">
        <f>L24*$J$18*0.67*J13</f>
        <v>46.639996959034093</v>
      </c>
      <c r="M29" s="207">
        <f>M24*$J$18*0.67*J13</f>
        <v>30.248693218504208</v>
      </c>
      <c r="N29" s="206">
        <f>N24*$N$18*0.67*N13</f>
        <v>58.259421618750011</v>
      </c>
      <c r="O29" s="49">
        <f>O24*$N$18*0.67*N13</f>
        <v>0.29766265708923184</v>
      </c>
      <c r="P29" s="49">
        <f>P24*$N$18*0.67*N13</f>
        <v>171.35465868616072</v>
      </c>
      <c r="Q29" s="207">
        <f>Q24*$N$18*0.67*N13</f>
        <v>13.220196371250003</v>
      </c>
      <c r="R29" s="206">
        <f>R24*$R$18*0.67*R13</f>
        <v>8.0723236900756632</v>
      </c>
      <c r="S29" s="49">
        <f>S24*$R$18*0.67*R13</f>
        <v>6.3240213959460251E-2</v>
      </c>
      <c r="T29" s="49">
        <f>T24*$R$18*0.67*R13</f>
        <v>27.94460737327109</v>
      </c>
      <c r="U29" s="207">
        <f>U24*$R$18*0.67*R13</f>
        <v>18.112531040797826</v>
      </c>
      <c r="V29" s="206">
        <f>V24*$V$18*0.67*V13</f>
        <v>4.1193530437500003</v>
      </c>
      <c r="W29" s="49">
        <f>W24*$V$18*0.67*V13</f>
        <v>2.1046854541662857E-2</v>
      </c>
      <c r="X29" s="49">
        <f>X24*$V$18*0.67*V13</f>
        <v>12.090052012500001</v>
      </c>
      <c r="Y29" s="207">
        <f>Y24*$V$18*0.67*V13</f>
        <v>0.9327987900000001</v>
      </c>
      <c r="Z29" s="206">
        <f>Z24*$Z$18*0.67*Z13</f>
        <v>13.119293679026772</v>
      </c>
      <c r="AA29" s="49">
        <f>AA24*$Z$18*0.67*Z13</f>
        <v>0.10277919606700889</v>
      </c>
      <c r="AB29" s="49">
        <f>AB24*$Z$18*0.67*Z13</f>
        <v>111.18291703785407</v>
      </c>
      <c r="AC29" s="207">
        <f>AC24*$Z$18*0.67*Z13</f>
        <v>39.806805420416453</v>
      </c>
      <c r="AD29" s="206">
        <f>AD24*$AD$18*0.67*AD13</f>
        <v>9.0658645646739195</v>
      </c>
      <c r="AE29" s="49">
        <f>AE24*$AD$18*0.67*AD13</f>
        <v>8.7689614762384099E-2</v>
      </c>
      <c r="AF29" s="49">
        <f>AF24*$AD$18*0.67*AD13</f>
        <v>105.84603426953272</v>
      </c>
      <c r="AG29" s="207">
        <f>AG24*$AD$18*0.67*AD13</f>
        <v>43.196347216530853</v>
      </c>
      <c r="AH29" s="206">
        <f>AH24*$AH$18*0.67*AH13</f>
        <v>1.2849311171250002</v>
      </c>
      <c r="AI29" s="49">
        <f>AI24*$AH$18*0.67*AH13</f>
        <v>1.0066409857926749E-2</v>
      </c>
      <c r="AJ29" s="49">
        <f>AJ24*$AH$18*0.67*AH13</f>
        <v>7.047855003455358</v>
      </c>
      <c r="AK29" s="207">
        <f>AK24*$AH$18*0.67*AH13</f>
        <v>4.5724398193125015</v>
      </c>
      <c r="AL29" s="206">
        <f>AL24*$AL$18*0.67*AL13</f>
        <v>2.9634128886398523</v>
      </c>
      <c r="AM29" s="49">
        <f>AM24*$AL$18*0.67*AL13</f>
        <v>2.3215975018223013E-2</v>
      </c>
      <c r="AN29" s="49">
        <f>AN24*$AL$18*0.67*AL13</f>
        <v>14.748730740442099</v>
      </c>
      <c r="AO29" s="207">
        <f>AO24*$AL$18*0.67*AL13</f>
        <v>9.5872199049009446</v>
      </c>
      <c r="AP29" s="206">
        <f>AP24*$AP$18*0.67*AP13</f>
        <v>2.5951924175625001</v>
      </c>
      <c r="AQ29" s="49">
        <f>AQ24*$AP$18*0.67*AP13</f>
        <v>1.3259518361247599E-2</v>
      </c>
      <c r="AR29" s="49">
        <f>AR24*$AP$18*0.67*AP13</f>
        <v>11.437047427016131</v>
      </c>
      <c r="AS29" s="207">
        <f>AS24*$AP$18*0.67*AP13</f>
        <v>0.55653080286774204</v>
      </c>
      <c r="AV29" s="49"/>
      <c r="AW29" s="49"/>
      <c r="AX29" s="49"/>
      <c r="AY29" s="49"/>
      <c r="AZ29" s="49"/>
    </row>
    <row r="30" spans="1:60" x14ac:dyDescent="0.35">
      <c r="A30" s="192" t="s">
        <v>395</v>
      </c>
      <c r="B30" s="206">
        <f>B25*$B$18*0.67*B14</f>
        <v>0.51415675074847</v>
      </c>
      <c r="C30" s="49">
        <f>C25*$B$18*0.67*B14</f>
        <v>4.0280078171307009E-3</v>
      </c>
      <c r="D30" s="49">
        <f>D25*$B$18*0.67*B14</f>
        <v>0.615523847887812</v>
      </c>
      <c r="E30" s="207">
        <f>E25*$B$18*0.67*B14</f>
        <v>0</v>
      </c>
      <c r="F30" s="206">
        <f>F25*$F$18*0.67*F14</f>
        <v>0</v>
      </c>
      <c r="G30" s="49">
        <f>G25*$F$18*0.67*F14</f>
        <v>0</v>
      </c>
      <c r="H30" s="49">
        <f>H25*$F$18*0.67*F14</f>
        <v>0</v>
      </c>
      <c r="I30" s="207">
        <f>I25*$F$18*0.67*F14</f>
        <v>0</v>
      </c>
      <c r="J30" s="206">
        <f>J25*$J$18*0.67*J14</f>
        <v>0.14640688087279757</v>
      </c>
      <c r="K30" s="49">
        <f>K25*$J$18*0.67*J14</f>
        <v>1.1469810710038734E-3</v>
      </c>
      <c r="L30" s="49">
        <f>L25*$J$18*0.67*J14</f>
        <v>0.81710269205106167</v>
      </c>
      <c r="M30" s="207">
        <f>M25*$J$18*0.67*J14</f>
        <v>0.52993761302291342</v>
      </c>
      <c r="N30" s="206">
        <f>N25*$N$18*0.67*N14</f>
        <v>0</v>
      </c>
      <c r="O30" s="49">
        <f>O25*$N$18*0.67*N14</f>
        <v>0</v>
      </c>
      <c r="P30" s="49">
        <f>P25*$N$18*0.67*N14</f>
        <v>0</v>
      </c>
      <c r="Q30" s="207">
        <f>Q25*$N$18*0.67*N14</f>
        <v>0</v>
      </c>
      <c r="R30" s="206">
        <f>R25*$R$18*0.67*R14</f>
        <v>1.4565705013556078</v>
      </c>
      <c r="S30" s="49">
        <f>S25*$R$18*0.67*R14</f>
        <v>1.1411067455832351E-2</v>
      </c>
      <c r="T30" s="49">
        <f>T25*$R$18*0.67*R14</f>
        <v>5.0423263900966742</v>
      </c>
      <c r="U30" s="207">
        <f>U25*$R$18*0.67*R14</f>
        <v>3.2682260315389566</v>
      </c>
      <c r="V30" s="206">
        <f>V25*$V$18*0.67*V14</f>
        <v>0</v>
      </c>
      <c r="W30" s="49">
        <f>W25*$V$18*0.67*V14</f>
        <v>0</v>
      </c>
      <c r="X30" s="49">
        <f>X25*$V$18*0.67*V14</f>
        <v>0</v>
      </c>
      <c r="Y30" s="207">
        <f>Y25*$V$18*0.67*V14</f>
        <v>0</v>
      </c>
      <c r="Z30" s="206">
        <f>Z25*$Z$18*0.67*Z14</f>
        <v>0</v>
      </c>
      <c r="AA30" s="49">
        <f>AA25*$Z$18*0.67*Z14</f>
        <v>0</v>
      </c>
      <c r="AB30" s="49">
        <f>AB25*$Z$18*0.67*Z14</f>
        <v>0</v>
      </c>
      <c r="AC30" s="207">
        <f>AC25*$Z$18*0.67*Z14</f>
        <v>0</v>
      </c>
      <c r="AD30" s="206">
        <f>AD25*$AD$18*0.67*AD14</f>
        <v>0.47671784870652212</v>
      </c>
      <c r="AE30" s="49">
        <f>AE25*$AD$18*0.67*AD14</f>
        <v>1.3145709444096381E-3</v>
      </c>
      <c r="AF30" s="49">
        <f>AF25*$AD$18*0.67*AD14</f>
        <v>0</v>
      </c>
      <c r="AG30" s="207">
        <f>AG25*$AD$18*0.67*AD14</f>
        <v>0.64756428807850486</v>
      </c>
      <c r="AH30" s="206">
        <f>AH25*$AH$18*0.67*AH14</f>
        <v>0</v>
      </c>
      <c r="AI30" s="49">
        <f>AI25*$AH$18*0.67*AH14</f>
        <v>0</v>
      </c>
      <c r="AJ30" s="49">
        <f>AJ25*$AH$18*0.67*AH14</f>
        <v>0</v>
      </c>
      <c r="AK30" s="207">
        <f>AK25*$AH$18*0.67*AH14</f>
        <v>0</v>
      </c>
      <c r="AL30" s="206">
        <f>AL25*$AL$18*0.67*AL14</f>
        <v>7.6667060868199144</v>
      </c>
      <c r="AM30" s="49">
        <f>AM25*$AL$18*0.67*AL14</f>
        <v>6.0062523742806344E-2</v>
      </c>
      <c r="AN30" s="49">
        <f>AN25*$AL$18*0.67*AL14</f>
        <v>38.156742914253243</v>
      </c>
      <c r="AO30" s="207">
        <f>AO25*$AL$18*0.67*AL14</f>
        <v>24.803292677289143</v>
      </c>
      <c r="AP30" s="206">
        <f>AP25*$AP$18*0.67*AP14</f>
        <v>3.401408656125001</v>
      </c>
      <c r="AQ30" s="49">
        <f>AQ25*$AP$18*0.67*AP14</f>
        <v>1.7378688464401618E-2</v>
      </c>
      <c r="AR30" s="49">
        <f>AR25*$AP$18*0.67*AP14</f>
        <v>0</v>
      </c>
      <c r="AS30" s="207">
        <f>AS25*$AP$18*0.67*AP14</f>
        <v>0.72942132439354856</v>
      </c>
      <c r="AV30" s="49"/>
      <c r="AW30" s="49"/>
      <c r="AX30" s="49"/>
      <c r="AY30" s="49"/>
      <c r="AZ30" s="49"/>
    </row>
    <row r="31" spans="1:60" x14ac:dyDescent="0.35">
      <c r="A31" s="192" t="s">
        <v>396</v>
      </c>
      <c r="B31" s="206"/>
      <c r="C31" s="49"/>
      <c r="D31" s="49"/>
      <c r="E31" s="207">
        <f>SUM(B28:E30)</f>
        <v>25.118598159361966</v>
      </c>
      <c r="F31" s="206"/>
      <c r="G31" s="49"/>
      <c r="H31" s="49"/>
      <c r="I31" s="207">
        <f>SUM(F28:I30)</f>
        <v>118.02382953388565</v>
      </c>
      <c r="J31" s="206"/>
      <c r="K31" s="49"/>
      <c r="L31" s="49"/>
      <c r="M31" s="207">
        <f>SUM(J28:M30)</f>
        <v>87.224571634438362</v>
      </c>
      <c r="N31" s="206"/>
      <c r="O31" s="49"/>
      <c r="P31" s="49"/>
      <c r="Q31" s="207">
        <f>SUM(N28:Q30)</f>
        <v>245.09664187331666</v>
      </c>
      <c r="R31" s="206"/>
      <c r="S31" s="49"/>
      <c r="T31" s="49"/>
      <c r="U31" s="207">
        <f>SUM(R28:U30)</f>
        <v>66.459719866965258</v>
      </c>
      <c r="V31" s="206"/>
      <c r="W31" s="49"/>
      <c r="X31" s="49"/>
      <c r="Y31" s="207">
        <f>SUM(V28:Y30)</f>
        <v>17.163250700791664</v>
      </c>
      <c r="Z31" s="206"/>
      <c r="AA31" s="49"/>
      <c r="AB31" s="49"/>
      <c r="AC31" s="207">
        <f>SUM(Z28:AC30)</f>
        <v>164.21179533336431</v>
      </c>
      <c r="AD31" s="206"/>
      <c r="AE31" s="49"/>
      <c r="AF31" s="49"/>
      <c r="AG31" s="207">
        <f>SUM(AD28:AG30)</f>
        <v>160.09159498500904</v>
      </c>
      <c r="AH31" s="206"/>
      <c r="AI31" s="49"/>
      <c r="AJ31" s="49"/>
      <c r="AK31" s="207">
        <f>SUM(AH28:AK30)</f>
        <v>20.962104126509097</v>
      </c>
      <c r="AL31" s="206"/>
      <c r="AM31" s="49"/>
      <c r="AN31" s="49"/>
      <c r="AO31" s="49">
        <f>SUM(AL28:AO30)</f>
        <v>98.560975127686106</v>
      </c>
      <c r="AP31" s="206"/>
      <c r="AQ31" s="49"/>
      <c r="AR31" s="49"/>
      <c r="AS31" s="207">
        <f>SUM(AP28:AS30)</f>
        <v>19.324385363369526</v>
      </c>
      <c r="AV31" s="49"/>
      <c r="AW31" s="49"/>
      <c r="AX31" s="49"/>
      <c r="AY31" s="49"/>
      <c r="AZ31" s="49"/>
    </row>
    <row r="32" spans="1:60" x14ac:dyDescent="0.35">
      <c r="A32" s="192" t="s">
        <v>397</v>
      </c>
      <c r="B32" s="206"/>
      <c r="C32" s="49"/>
      <c r="D32" s="49"/>
      <c r="E32" s="209">
        <f>E31/Production!B40</f>
        <v>1.2929160959644789E-2</v>
      </c>
      <c r="F32" s="206"/>
      <c r="G32" s="49"/>
      <c r="H32" s="49"/>
      <c r="I32" s="209">
        <f>I31/Production!C40</f>
        <v>6.430398809975317E-2</v>
      </c>
      <c r="J32" s="206"/>
      <c r="K32" s="49"/>
      <c r="L32" s="49"/>
      <c r="M32" s="209">
        <f>M31/Production!D40</f>
        <v>4.5487895892035675E-2</v>
      </c>
      <c r="N32" s="206"/>
      <c r="O32" s="49"/>
      <c r="P32" s="49"/>
      <c r="Q32" s="209">
        <f>Q31/Production!E40</f>
        <v>0.1350245641252722</v>
      </c>
      <c r="R32" s="206"/>
      <c r="S32" s="49"/>
      <c r="T32" s="49"/>
      <c r="U32" s="209">
        <f>U31/Production!F40</f>
        <v>3.6592691529963785E-2</v>
      </c>
      <c r="V32" s="206"/>
      <c r="W32" s="49"/>
      <c r="X32" s="49"/>
      <c r="Y32" s="209">
        <f>Y31/Production!G40</f>
        <v>9.503413501119537E-3</v>
      </c>
      <c r="Z32" s="206"/>
      <c r="AA32" s="49"/>
      <c r="AB32" s="49"/>
      <c r="AC32" s="209">
        <f>AC31/Production!H40</f>
        <v>7.4770797454376828E-2</v>
      </c>
      <c r="AD32" s="206"/>
      <c r="AE32" s="49"/>
      <c r="AF32" s="49"/>
      <c r="AG32" s="209">
        <f>AG31/Production!I40</f>
        <v>7.6780610947541281E-2</v>
      </c>
      <c r="AH32" s="206"/>
      <c r="AI32" s="49"/>
      <c r="AJ32" s="49"/>
      <c r="AK32" s="209">
        <f>AK31/Production!J40</f>
        <v>1.1548093646641684E-2</v>
      </c>
      <c r="AL32" s="206"/>
      <c r="AM32" s="49"/>
      <c r="AN32" s="49"/>
      <c r="AO32" s="13">
        <f>AO31/Production!K40</f>
        <v>6.3249855601656205E-2</v>
      </c>
      <c r="AP32" s="206"/>
      <c r="AQ32" s="49"/>
      <c r="AR32" s="49"/>
      <c r="AS32" s="209">
        <f>AS31/Production!L40</f>
        <v>1.1137668391553727E-2</v>
      </c>
      <c r="AV32" s="13"/>
      <c r="AW32" s="13"/>
      <c r="AX32" s="13"/>
      <c r="AY32" s="13"/>
      <c r="AZ32" s="13"/>
    </row>
    <row r="33" spans="1:59" x14ac:dyDescent="0.35">
      <c r="A33" s="192"/>
      <c r="B33" s="196"/>
      <c r="E33" s="191"/>
      <c r="F33" s="196"/>
      <c r="I33" s="191"/>
      <c r="J33" s="196"/>
      <c r="M33" s="191"/>
      <c r="N33" s="196"/>
      <c r="Q33" s="191"/>
      <c r="R33" s="196"/>
      <c r="U33" s="191"/>
      <c r="V33" s="196"/>
      <c r="Y33" s="191"/>
      <c r="Z33" s="196"/>
      <c r="AC33" s="191"/>
      <c r="AD33" s="196"/>
      <c r="AG33" s="191"/>
      <c r="AH33" s="196"/>
      <c r="AK33" s="191"/>
      <c r="AL33" s="196"/>
      <c r="AP33" s="196"/>
      <c r="AS33" s="191"/>
    </row>
    <row r="34" spans="1:59" x14ac:dyDescent="0.35">
      <c r="A34" s="181" t="s">
        <v>398</v>
      </c>
      <c r="B34" s="182"/>
      <c r="C34" s="183"/>
      <c r="D34" s="183"/>
      <c r="E34" s="183"/>
      <c r="F34" s="182"/>
      <c r="G34" s="183"/>
      <c r="H34" s="183"/>
      <c r="I34" s="183"/>
      <c r="J34" s="182"/>
      <c r="K34" s="183"/>
      <c r="L34" s="183"/>
      <c r="M34" s="183"/>
      <c r="N34" s="182"/>
      <c r="O34" s="183"/>
      <c r="P34" s="183"/>
      <c r="Q34" s="183"/>
      <c r="R34" s="182"/>
      <c r="S34" s="183"/>
      <c r="T34" s="183"/>
      <c r="U34" s="183"/>
      <c r="V34" s="182"/>
      <c r="W34" s="183"/>
      <c r="X34" s="183"/>
      <c r="Y34" s="183"/>
      <c r="Z34" s="182"/>
      <c r="AA34" s="183"/>
      <c r="AB34" s="183"/>
      <c r="AC34" s="183"/>
      <c r="AD34" s="182"/>
      <c r="AE34" s="183"/>
      <c r="AF34" s="183"/>
      <c r="AG34" s="183"/>
      <c r="AH34" s="182"/>
      <c r="AI34" s="183"/>
      <c r="AJ34" s="183"/>
      <c r="AK34" s="183"/>
      <c r="AL34" s="182"/>
      <c r="AM34" s="183"/>
      <c r="AN34" s="183"/>
      <c r="AO34" s="183"/>
      <c r="AP34" s="182"/>
      <c r="AQ34" s="183"/>
      <c r="AR34" s="183"/>
      <c r="AS34" s="184"/>
    </row>
    <row r="35" spans="1:59" x14ac:dyDescent="0.35">
      <c r="A35" s="204" t="s">
        <v>399</v>
      </c>
      <c r="B35" s="198"/>
      <c r="C35" s="14"/>
      <c r="D35" s="14"/>
      <c r="E35" s="199"/>
      <c r="F35" s="198"/>
      <c r="G35" s="14"/>
      <c r="H35" s="14"/>
      <c r="I35" s="199"/>
      <c r="J35" s="198"/>
      <c r="K35" s="14"/>
      <c r="L35" s="14"/>
      <c r="M35" s="199"/>
      <c r="N35" s="198"/>
      <c r="O35" s="14"/>
      <c r="P35" s="14"/>
      <c r="Q35" s="199"/>
      <c r="R35" s="198"/>
      <c r="S35" s="14"/>
      <c r="T35" s="14"/>
      <c r="U35" s="199"/>
      <c r="V35" s="198"/>
      <c r="W35" s="14"/>
      <c r="X35" s="14"/>
      <c r="Y35" s="199"/>
      <c r="Z35" s="198"/>
      <c r="AA35" s="14"/>
      <c r="AB35" s="14"/>
      <c r="AC35" s="199"/>
      <c r="AD35" s="198"/>
      <c r="AE35" s="14"/>
      <c r="AF35" s="14"/>
      <c r="AG35" s="199"/>
      <c r="AH35" s="198"/>
      <c r="AI35" s="14"/>
      <c r="AJ35" s="14"/>
      <c r="AK35" s="199"/>
      <c r="AL35" s="198"/>
      <c r="AM35" s="14"/>
      <c r="AN35" s="14"/>
      <c r="AO35" s="14"/>
      <c r="AP35" s="198"/>
      <c r="AQ35" s="14"/>
      <c r="AR35" s="14"/>
      <c r="AS35" s="199"/>
      <c r="AU35" s="22" t="s">
        <v>400</v>
      </c>
    </row>
    <row r="36" spans="1:59" x14ac:dyDescent="0.35">
      <c r="A36" s="192" t="s">
        <v>401</v>
      </c>
      <c r="B36" s="179">
        <v>7.12</v>
      </c>
      <c r="C36" s="177">
        <v>7.12</v>
      </c>
      <c r="D36" s="177">
        <v>7.12</v>
      </c>
      <c r="E36" s="178">
        <v>7.12</v>
      </c>
      <c r="F36" s="179">
        <v>9.49</v>
      </c>
      <c r="G36" s="177">
        <v>9.49</v>
      </c>
      <c r="H36" s="177">
        <v>9.49</v>
      </c>
      <c r="I36" s="178">
        <v>9.49</v>
      </c>
      <c r="J36" s="179">
        <v>12.61</v>
      </c>
      <c r="K36" s="177">
        <v>12.61</v>
      </c>
      <c r="L36" s="177">
        <v>12.61</v>
      </c>
      <c r="M36" s="178">
        <v>12.61</v>
      </c>
      <c r="N36" s="179">
        <v>13.51</v>
      </c>
      <c r="O36" s="177">
        <v>13.51</v>
      </c>
      <c r="P36" s="177">
        <v>13.51</v>
      </c>
      <c r="Q36" s="178">
        <v>13.51</v>
      </c>
      <c r="R36" s="179">
        <v>9.31</v>
      </c>
      <c r="S36" s="177">
        <v>9.31</v>
      </c>
      <c r="T36" s="177">
        <v>9.31</v>
      </c>
      <c r="U36" s="178">
        <v>9.31</v>
      </c>
      <c r="V36" s="179">
        <v>20</v>
      </c>
      <c r="W36" s="177">
        <v>16</v>
      </c>
      <c r="X36" s="177">
        <v>9.1999999999999993</v>
      </c>
      <c r="Y36" s="178">
        <v>3</v>
      </c>
      <c r="Z36" s="179">
        <v>12.14</v>
      </c>
      <c r="AA36" s="177">
        <v>12.14</v>
      </c>
      <c r="AB36" s="177">
        <v>12.14</v>
      </c>
      <c r="AC36" s="178">
        <v>12.14</v>
      </c>
      <c r="AD36" s="179">
        <v>7.81</v>
      </c>
      <c r="AE36" s="177">
        <v>7.81</v>
      </c>
      <c r="AF36" s="177">
        <v>7.81</v>
      </c>
      <c r="AG36" s="178">
        <v>7.81</v>
      </c>
      <c r="AH36" s="179">
        <v>10.93</v>
      </c>
      <c r="AI36" s="177">
        <v>10.93</v>
      </c>
      <c r="AJ36" s="177">
        <v>10.93</v>
      </c>
      <c r="AK36" s="178">
        <v>10.93</v>
      </c>
      <c r="AL36" s="179">
        <v>8.41</v>
      </c>
      <c r="AM36" s="177">
        <v>8.41</v>
      </c>
      <c r="AN36" s="177">
        <v>8.41</v>
      </c>
      <c r="AO36" s="177">
        <v>8.41</v>
      </c>
      <c r="AP36" s="179">
        <v>22.5</v>
      </c>
      <c r="AQ36" s="177">
        <v>13</v>
      </c>
      <c r="AR36" s="177">
        <v>10.8</v>
      </c>
      <c r="AS36" s="178">
        <v>1.2</v>
      </c>
    </row>
    <row r="37" spans="1:59" x14ac:dyDescent="0.35">
      <c r="A37" s="192" t="s">
        <v>402</v>
      </c>
      <c r="B37" s="210">
        <v>0.7</v>
      </c>
      <c r="C37" s="211">
        <v>0.7</v>
      </c>
      <c r="D37" s="211">
        <v>0.7</v>
      </c>
      <c r="E37" s="212">
        <v>0.7</v>
      </c>
      <c r="F37" s="210">
        <v>0.7</v>
      </c>
      <c r="G37" s="211">
        <v>0.7</v>
      </c>
      <c r="H37" s="211">
        <v>0.7</v>
      </c>
      <c r="I37" s="212">
        <v>0.7</v>
      </c>
      <c r="J37" s="210">
        <v>0.7</v>
      </c>
      <c r="K37" s="211">
        <v>0.7</v>
      </c>
      <c r="L37" s="211">
        <v>0.7</v>
      </c>
      <c r="M37" s="212">
        <v>0.7</v>
      </c>
      <c r="N37" s="210">
        <v>0.7</v>
      </c>
      <c r="O37" s="211">
        <v>0.7</v>
      </c>
      <c r="P37" s="211">
        <v>0.7</v>
      </c>
      <c r="Q37" s="212">
        <v>0.7</v>
      </c>
      <c r="R37" s="210">
        <v>0.7</v>
      </c>
      <c r="S37" s="211">
        <v>0.7</v>
      </c>
      <c r="T37" s="211">
        <v>0.7</v>
      </c>
      <c r="U37" s="212">
        <v>0.7</v>
      </c>
      <c r="V37" s="210">
        <v>0.7</v>
      </c>
      <c r="W37" s="211">
        <v>0.7</v>
      </c>
      <c r="X37" s="211">
        <v>0.7</v>
      </c>
      <c r="Y37" s="212">
        <v>0.7</v>
      </c>
      <c r="Z37" s="210">
        <v>0.7</v>
      </c>
      <c r="AA37" s="211">
        <v>0.7</v>
      </c>
      <c r="AB37" s="211">
        <v>0.7</v>
      </c>
      <c r="AC37" s="212">
        <v>0.7</v>
      </c>
      <c r="AD37" s="210">
        <v>0.7</v>
      </c>
      <c r="AE37" s="211">
        <v>0.7</v>
      </c>
      <c r="AF37" s="211">
        <v>0.7</v>
      </c>
      <c r="AG37" s="212">
        <v>0.7</v>
      </c>
      <c r="AH37" s="210">
        <v>0.7</v>
      </c>
      <c r="AI37" s="211">
        <v>0.7</v>
      </c>
      <c r="AJ37" s="211">
        <v>0.7</v>
      </c>
      <c r="AK37" s="212">
        <v>0.7</v>
      </c>
      <c r="AL37" s="210">
        <v>0.7</v>
      </c>
      <c r="AM37" s="211">
        <v>0.7</v>
      </c>
      <c r="AN37" s="211">
        <v>0.7</v>
      </c>
      <c r="AO37" s="211">
        <v>0.7</v>
      </c>
      <c r="AP37" s="210">
        <v>0.7</v>
      </c>
      <c r="AQ37" s="211">
        <v>0.7</v>
      </c>
      <c r="AR37" s="211">
        <v>0.7</v>
      </c>
      <c r="AS37" s="212">
        <v>0.7</v>
      </c>
      <c r="AU37" s="112" t="s">
        <v>403</v>
      </c>
    </row>
    <row r="38" spans="1:59" x14ac:dyDescent="0.35">
      <c r="A38" s="192"/>
      <c r="B38" s="210"/>
      <c r="C38" s="211"/>
      <c r="D38" s="211"/>
      <c r="E38" s="212"/>
      <c r="F38" s="210"/>
      <c r="G38" s="211"/>
      <c r="H38" s="211"/>
      <c r="I38" s="212"/>
      <c r="J38" s="210"/>
      <c r="K38" s="211"/>
      <c r="L38" s="211"/>
      <c r="M38" s="212"/>
      <c r="N38" s="210"/>
      <c r="O38" s="211"/>
      <c r="P38" s="211"/>
      <c r="Q38" s="212"/>
      <c r="R38" s="210"/>
      <c r="S38" s="211"/>
      <c r="T38" s="211"/>
      <c r="U38" s="212"/>
      <c r="V38" s="210"/>
      <c r="W38" s="211"/>
      <c r="X38" s="211"/>
      <c r="Y38" s="212"/>
      <c r="Z38" s="210"/>
      <c r="AA38" s="211"/>
      <c r="AB38" s="211"/>
      <c r="AC38" s="212"/>
      <c r="AD38" s="210"/>
      <c r="AE38" s="211"/>
      <c r="AF38" s="211"/>
      <c r="AG38" s="212"/>
      <c r="AH38" s="210"/>
      <c r="AI38" s="211"/>
      <c r="AJ38" s="211"/>
      <c r="AK38" s="212"/>
      <c r="AL38" s="210"/>
      <c r="AM38" s="211"/>
      <c r="AN38" s="211"/>
      <c r="AO38" s="211"/>
      <c r="AP38" s="210"/>
      <c r="AQ38" s="211"/>
      <c r="AR38" s="211"/>
      <c r="AS38" s="212"/>
      <c r="AU38" s="112"/>
    </row>
    <row r="39" spans="1:59" x14ac:dyDescent="0.35">
      <c r="A39" s="204" t="s">
        <v>404</v>
      </c>
      <c r="B39" s="198"/>
      <c r="C39" s="14"/>
      <c r="D39" s="14"/>
      <c r="E39" s="199"/>
      <c r="F39" s="198"/>
      <c r="G39" s="14"/>
      <c r="H39" s="14"/>
      <c r="I39" s="199"/>
      <c r="J39" s="198"/>
      <c r="K39" s="14"/>
      <c r="L39" s="14"/>
      <c r="M39" s="199"/>
      <c r="N39" s="198"/>
      <c r="O39" s="14"/>
      <c r="P39" s="14"/>
      <c r="Q39" s="199"/>
      <c r="R39" s="198"/>
      <c r="S39" s="14"/>
      <c r="T39" s="14"/>
      <c r="U39" s="199"/>
      <c r="V39" s="198"/>
      <c r="W39" s="14"/>
      <c r="X39" s="14"/>
      <c r="Y39" s="199"/>
      <c r="Z39" s="198"/>
      <c r="AA39" s="14"/>
      <c r="AB39" s="14"/>
      <c r="AC39" s="199"/>
      <c r="AD39" s="198"/>
      <c r="AE39" s="14"/>
      <c r="AF39" s="14"/>
      <c r="AG39" s="199"/>
      <c r="AH39" s="198"/>
      <c r="AI39" s="14"/>
      <c r="AJ39" s="14"/>
      <c r="AK39" s="199"/>
      <c r="AL39" s="198"/>
      <c r="AM39" s="14"/>
      <c r="AN39" s="14"/>
      <c r="AO39" s="14"/>
      <c r="AP39" s="198"/>
      <c r="AQ39" s="14"/>
      <c r="AR39" s="14"/>
      <c r="AS39" s="199"/>
    </row>
    <row r="40" spans="1:59" x14ac:dyDescent="0.35">
      <c r="A40" s="192" t="s">
        <v>390</v>
      </c>
      <c r="B40" s="213">
        <f>(No_sows_DK+No_recruit_sows_DK)*B6*B36</f>
        <v>1.2222837523535235E-2</v>
      </c>
      <c r="C40" s="52">
        <f>No_boars_DK*C6*C36</f>
        <v>9.5756177509383585E-5</v>
      </c>
      <c r="D40" s="49">
        <f>No_fattening_pigs_DK*Time_fattening_days_DK/365*D6*D36</f>
        <v>7.5884430837013531E-2</v>
      </c>
      <c r="E40" s="207">
        <f>No_piglets_DK*Time_piglet_system_DK/365*E6*$E$36</f>
        <v>4.9121871837625022E-2</v>
      </c>
      <c r="F40" s="213">
        <f>(No_sows_FR+No_recruit_sows_FR)*F6*F36</f>
        <v>0.91616262975778473</v>
      </c>
      <c r="G40" s="52">
        <f>No_boars_FR*G6*$G$36</f>
        <v>7.1774030566657179E-3</v>
      </c>
      <c r="H40" s="49">
        <f>No_fattening_pigs_FR*Time_fattening_days_FR/365*H6*$H$36</f>
        <v>5.0966614399521823</v>
      </c>
      <c r="I40" s="207">
        <f>No_piglets_FR*Time_piglet_system_FR/365*I6*$I$36</f>
        <v>3.3056760280035431</v>
      </c>
      <c r="J40" s="213">
        <f>(No_sows_DE+No_recruit_sows_DE)*J7*J36</f>
        <v>18.544909123606274</v>
      </c>
      <c r="K40" s="52">
        <f>No_boars_DE*K6*$K$36</f>
        <v>5.4890174853167552E-3</v>
      </c>
      <c r="L40" s="49">
        <f>No_fattening_pigs_DE*Time_fattening_days_DE/365*L6*$L$36</f>
        <v>3.910344361692192</v>
      </c>
      <c r="M40" s="207">
        <f>No_piglets_DE*Time_piglet_system_DE/365*M6*$M$36</f>
        <v>2.5360809324114579</v>
      </c>
      <c r="N40" s="213">
        <f>(No_sows_GR+No_recruit_sows_GR)*N6*N36</f>
        <v>2.0940500000000002</v>
      </c>
      <c r="O40" s="52">
        <f>No_boars_GR*O6*$O$36</f>
        <v>1.6405210584483694E-2</v>
      </c>
      <c r="P40" s="49">
        <f>No_fattening_pigs_GR*Time_fattening_days_GR/365*P6*$P$36</f>
        <v>11.485877004058851</v>
      </c>
      <c r="Q40" s="207">
        <f>No_piglets_GR*Time_piglet_system_GR/365*Q6*$Q$36</f>
        <v>7.451697196854389</v>
      </c>
      <c r="R40" s="213">
        <f>(No_sows_HU+No_recruit_sows_HU)*R6*R36</f>
        <v>3.1358987812435486</v>
      </c>
      <c r="S40" s="52">
        <f>No_boars_HU*S6*$S$36</f>
        <v>2.4567264333672154E-2</v>
      </c>
      <c r="T40" s="49">
        <f>No_fattening_pigs_HU*Time_fattening_days_HU/365*T6*$T$36</f>
        <v>18.092985276739832</v>
      </c>
      <c r="U40" s="207">
        <f>No_piglets_HU*Time_piglet_system_HU/365*U6*$U$36</f>
        <v>11.72711976476368</v>
      </c>
      <c r="V40" s="213">
        <f>(No_sows_IE+No_recruit_sows_IE)*V6*V36</f>
        <v>0</v>
      </c>
      <c r="W40" s="52">
        <f>No_boars_IE*W6*$W$36</f>
        <v>0</v>
      </c>
      <c r="X40" s="49">
        <f>No_fattening_pigs_IE*Time_fattening_days_IE/365*X6*$X$36</f>
        <v>0</v>
      </c>
      <c r="Y40" s="207">
        <f>No_piglets_IE*Time_piglet_system_IE/365*Y6*$Y$36</f>
        <v>0</v>
      </c>
      <c r="Z40" s="213">
        <f>(No_sows_IT+No_recruit_sows_IT)*Z6*Z36</f>
        <v>0</v>
      </c>
      <c r="AA40" s="52">
        <f>No_boars_IT*AA6*$AA$36</f>
        <v>0</v>
      </c>
      <c r="AB40" s="49">
        <f>No_fattening_pigs_IT*Time_fattening_days_IT/365*AB6*$AB$36</f>
        <v>0</v>
      </c>
      <c r="AC40" s="207">
        <f>No_piglets_IT*Time_piglet_system_IT/365*AC6*$AC$36</f>
        <v>0</v>
      </c>
      <c r="AD40" s="213">
        <f>(No_sows_NL+No_recruit_sows_NL)*AD6*AD36</f>
        <v>8.1872946859903387E-2</v>
      </c>
      <c r="AE40" s="52">
        <f>No_boars_NL*AE6*$AE$36</f>
        <v>1.8967386330839029E-2</v>
      </c>
      <c r="AF40" s="49">
        <f>No_fattening_pigs_NL*Time_fattening_days_NL/365*AF6*$AFR$36</f>
        <v>0</v>
      </c>
      <c r="AG40" s="207">
        <f>No_piglets_NL*Time_piglet_system_NL/365*AG6*$AG$36</f>
        <v>9.3434303247556887</v>
      </c>
      <c r="AH40" s="213">
        <f>(No_sows_PL+No_recruit_sows_PL)*AH6*AH36</f>
        <v>12.824715500000002</v>
      </c>
      <c r="AI40" s="52">
        <f>No_boars_PL*AI6*$AI$36</f>
        <v>0.10047141112370386</v>
      </c>
      <c r="AJ40" s="49">
        <f>No_fattening_pigs_PL*Time_fattening_days_PL/365*AJ6*$AJ$36</f>
        <v>70.34364262794449</v>
      </c>
      <c r="AK40" s="207">
        <f>No_piglets_PL*Time_piglet_system_PL/365*AK6*$AK$36</f>
        <v>45.636874258878741</v>
      </c>
      <c r="AL40" s="213">
        <f>(No_sows_ES+No_recruit_sows_ES)*AL6*AL36</f>
        <v>0.52339608726825781</v>
      </c>
      <c r="AM40" s="52">
        <f>No_boars_ES*AM6*$AM$36</f>
        <v>4.1003906452713994E-3</v>
      </c>
      <c r="AN40" s="49">
        <f>No_fattening_pigs_ES*Time_fattening_days_ES/365*AN6*$AN$36</f>
        <v>2.604911381506319</v>
      </c>
      <c r="AO40" s="49">
        <f>No_piglets_ES*Time_piglet_system_ES/365*AO6*$AO$36</f>
        <v>1.6932886420388877</v>
      </c>
      <c r="AP40" s="213">
        <f>(No_sows_SE+No_recruit_sows_SE)*AP6*AP36</f>
        <v>6.9750000000000014</v>
      </c>
      <c r="AQ40" s="52">
        <f>No_boars_SE*AQ6*$AQ$36</f>
        <v>3.1571833841345376E-2</v>
      </c>
      <c r="AR40" s="49">
        <f>No_fattening_pigs_SE*Time_fattening_days_SE/365*AR6*$AR$36</f>
        <v>0</v>
      </c>
      <c r="AS40" s="207">
        <f>No_piglets_SE*Time_piglet_system_SE/365*AS6*$AS$36</f>
        <v>1.2510048608042423</v>
      </c>
      <c r="AW40" s="112" t="s">
        <v>405</v>
      </c>
      <c r="AX40" s="112" t="s">
        <v>405</v>
      </c>
      <c r="AY40" s="112" t="s">
        <v>405</v>
      </c>
      <c r="AZ40" s="112" t="s">
        <v>405</v>
      </c>
      <c r="BA40" s="112" t="s">
        <v>405</v>
      </c>
      <c r="BB40" s="112" t="s">
        <v>405</v>
      </c>
      <c r="BC40" s="112" t="s">
        <v>405</v>
      </c>
      <c r="BD40" s="112" t="s">
        <v>405</v>
      </c>
      <c r="BE40" s="112" t="s">
        <v>405</v>
      </c>
      <c r="BF40" s="112" t="s">
        <v>405</v>
      </c>
      <c r="BG40" s="112" t="s">
        <v>406</v>
      </c>
    </row>
    <row r="41" spans="1:59" x14ac:dyDescent="0.35">
      <c r="A41" s="192" t="s">
        <v>391</v>
      </c>
      <c r="B41" s="213">
        <f>(No_sows_DK+No_recruit_sows_DK)*B7*B36</f>
        <v>10.63264636172334</v>
      </c>
      <c r="C41" s="52">
        <f>No_boars_DK*C7*C36</f>
        <v>8.3298298815413077E-2</v>
      </c>
      <c r="D41" s="49">
        <f>No_fattening_pigs_DK*Time_fattening_days_DK/365*D7*D36</f>
        <v>66.011866385118296</v>
      </c>
      <c r="E41" s="207">
        <f>No_piglets_DK*Time_piglet_system_DK/365*E7*$E$36</f>
        <v>42.731116311550167</v>
      </c>
      <c r="F41" s="213">
        <f>(No_sows_FR+No_recruit_sows_FR)*F7*F36</f>
        <v>13.793337370242224</v>
      </c>
      <c r="G41" s="52">
        <f>No_boars_FR*G7*$G$36</f>
        <v>0.10805979046424495</v>
      </c>
      <c r="H41" s="49">
        <f>No_fattening_pigs_FR*Time_fattening_days_FR/365*H7*$H$36</f>
        <v>76.733069457057837</v>
      </c>
      <c r="I41" s="207">
        <f>No_piglets_FR*Time_piglet_system_FR/365*I7*$I$36</f>
        <v>49.768789088275561</v>
      </c>
      <c r="J41" s="213">
        <f>(No_sows_DE+No_recruit_sows_DE)*J8*J37</f>
        <v>1.6650281740798523E-2</v>
      </c>
      <c r="K41" s="52">
        <f>No_boars_DE*K7*$K$36</f>
        <v>0.14528456313978838</v>
      </c>
      <c r="L41" s="49">
        <f>No_fattening_pigs_DE*Time_fattening_days_DE/365*L7*$L$36</f>
        <v>103.49988387435435</v>
      </c>
      <c r="M41" s="207">
        <f>No_piglets_DE*Time_piglet_system_DE/365*M7*$M$36</f>
        <v>67.125566886636264</v>
      </c>
      <c r="N41" s="213">
        <f>(No_sows_GR+No_recruit_sows_GR)*N7*N36</f>
        <v>18.846450000000001</v>
      </c>
      <c r="O41" s="52">
        <f>No_boars_GR*O7*$O$36</f>
        <v>0.14764689526035324</v>
      </c>
      <c r="P41" s="49">
        <f>No_fattening_pigs_GR*Time_fattening_days_GR/365*P7*$P$36</f>
        <v>103.37289303652967</v>
      </c>
      <c r="Q41" s="207">
        <f>No_piglets_GR*Time_piglet_system_GR/365*Q7*$Q$36</f>
        <v>67.065274771689502</v>
      </c>
      <c r="R41" s="213">
        <f>(No_sows_HU+No_recruit_sows_HU)*R7*R36</f>
        <v>9.9695945569097368</v>
      </c>
      <c r="S41" s="52">
        <f>No_boars_HU*S7*$S$36</f>
        <v>7.8103817076013771E-2</v>
      </c>
      <c r="T41" s="49">
        <f>No_fattening_pigs_HU*Time_fattening_days_HU/365*T7*$T$36</f>
        <v>57.520902336555473</v>
      </c>
      <c r="U41" s="207">
        <f>No_piglets_HU*Time_piglet_system_HU/365*U7*$U$36</f>
        <v>37.28265404301532</v>
      </c>
      <c r="V41" s="213">
        <f>(No_sows_IE+No_recruit_sows_IE)*V7*V36</f>
        <v>31</v>
      </c>
      <c r="W41" s="52">
        <f>No_boars_IE*W7*$W$36</f>
        <v>0.19428820825443308</v>
      </c>
      <c r="X41" s="49">
        <f>No_fattening_pigs_IE*Time_fattening_days_IE/365*X7*$X$36</f>
        <v>78.048767123287661</v>
      </c>
      <c r="Y41" s="207">
        <f>No_piglets_IE*Time_piglet_system_IE/365*Y7*$Y$36</f>
        <v>16.512328767123286</v>
      </c>
      <c r="Z41" s="213">
        <f>(No_sows_IT+No_recruit_sows_IT)*Z7*Z36</f>
        <v>18.817</v>
      </c>
      <c r="AA41" s="52">
        <f>No_boars_IT*AA7*$AA$36</f>
        <v>0.1474161780130511</v>
      </c>
      <c r="AB41" s="49">
        <f>No_fattening_pigs_IT*Time_fattening_days_IT/365*AB7*$AB$36</f>
        <v>159.46963312864119</v>
      </c>
      <c r="AC41" s="207">
        <f>No_piglets_IT*Time_piglet_system_IT/365*AC7*$AC$36</f>
        <v>57.09489214296962</v>
      </c>
      <c r="AD41" s="213">
        <f>(No_sows_NL+No_recruit_sows_NL)*AD7*AD37</f>
        <v>0.55363828502415491</v>
      </c>
      <c r="AE41" s="52">
        <f>No_boars_NL*AE7*$AE$36</f>
        <v>5.974726694214294E-2</v>
      </c>
      <c r="AF41" s="49">
        <f>No_fattening_pigs_NL*Time_fattening_days_NL/365*AF7*$AF$36</f>
        <v>72.118132590790779</v>
      </c>
      <c r="AG41" s="207">
        <f>No_piglets_NL*Time_piglet_system_NL/365*AG7*$AG$36</f>
        <v>29.431805522980415</v>
      </c>
      <c r="AH41" s="213">
        <f>(No_sows_PL+No_recruit_sows_PL)*AH7*AH36</f>
        <v>4.1167844999999996</v>
      </c>
      <c r="AI41" s="52">
        <f>No_boars_PL*AI7*$AI$36</f>
        <v>3.225172114010573E-2</v>
      </c>
      <c r="AJ41" s="49">
        <f>No_fattening_pigs_PL*Time_fattening_days_PL/365*AJ7*$AJ$36</f>
        <v>22.580588056262233</v>
      </c>
      <c r="AK41" s="207">
        <f>No_piglets_PL*Time_piglet_system_PL/365*AK7*$AK$36</f>
        <v>14.649617496575344</v>
      </c>
      <c r="AL41" s="213">
        <f>(No_sows_ES+No_recruit_sows_ES)*AL7*AL36</f>
        <v>3.0923095360032846</v>
      </c>
      <c r="AM41" s="52">
        <f>No_boars_ES*AM7*$AM$36</f>
        <v>2.4225777383797397E-2</v>
      </c>
      <c r="AN41" s="49">
        <f>No_fattening_pigs_ES*Time_fattening_days_ES/365*AN7*$AN$36</f>
        <v>15.390241733593488</v>
      </c>
      <c r="AO41" s="49">
        <f>No_piglets_ES*Time_piglet_system_ES/365*AO7*$AO$36</f>
        <v>10.004225752454264</v>
      </c>
      <c r="AP41" s="213">
        <f>(No_sows_SE+No_recruit_sows_SE)*AP7*AP36</f>
        <v>21.971250000000001</v>
      </c>
      <c r="AQ41" s="52">
        <f>No_boars_SE*AQ7*$AQ$36</f>
        <v>9.9451276600237934E-2</v>
      </c>
      <c r="AR41" s="49">
        <f>No_fattening_pigs_SE*Time_fattening_days_SE/365*AR7*$AR$36</f>
        <v>86.67377817057006</v>
      </c>
      <c r="AS41" s="207">
        <f>No_piglets_SE*Time_piglet_system_SE/365*AS7*$AS$36</f>
        <v>3.9406653115333627</v>
      </c>
    </row>
    <row r="42" spans="1:59" x14ac:dyDescent="0.35">
      <c r="A42" s="192" t="s">
        <v>392</v>
      </c>
      <c r="B42" s="213">
        <f>(No_sows_DK+No_recruit_sows_DK)*B8*B36</f>
        <v>0.39113080075312862</v>
      </c>
      <c r="C42" s="52">
        <f>No_boars_DK*C8*C36</f>
        <v>3.0641976803002825E-3</v>
      </c>
      <c r="D42" s="49">
        <f>No_fattening_pigs_DK*Time_fattening_days_DK/365*D8*D36</f>
        <v>2.4283017867844396</v>
      </c>
      <c r="E42" s="207">
        <f>No_piglets_DK*Time_piglet_system_DK/365*E8*$E$36</f>
        <v>1.5718998988040052</v>
      </c>
      <c r="F42" s="213">
        <f>(No_sows_FR+No_recruit_sows_FR)*F8*F36</f>
        <v>0</v>
      </c>
      <c r="G42" s="52">
        <f>No_boars_FR*G8*$G$36</f>
        <v>0</v>
      </c>
      <c r="H42" s="49">
        <f>No_fattening_pigs_FR*Time_fattening_days_FR/365*H8*$H$36</f>
        <v>0</v>
      </c>
      <c r="I42" s="207">
        <f>No_piglets_FR*Time_piglet_system_FR/365*I8*$I$36</f>
        <v>0</v>
      </c>
      <c r="J42" s="213">
        <f>(No_sows_DE+No_recruit_sows_DE)*J9*J38</f>
        <v>0</v>
      </c>
      <c r="K42" s="52">
        <f>No_boars_DE*K8*$K$36</f>
        <v>2.349813505419887E-3</v>
      </c>
      <c r="L42" s="49">
        <f>No_fattening_pigs_DE*Time_fattening_days_DE/365*L8*$L$36</f>
        <v>1.6739935728983335</v>
      </c>
      <c r="M42" s="207">
        <f>No_piglets_DE*Time_piglet_system_DE/365*M8*$M$36</f>
        <v>1.0856801316008939</v>
      </c>
      <c r="N42" s="213">
        <f>(No_sows_GR+No_recruit_sows_GR)*N8*N36</f>
        <v>0</v>
      </c>
      <c r="O42" s="52">
        <f>No_boars_GR*O8*$O$36</f>
        <v>0</v>
      </c>
      <c r="P42" s="49">
        <f>No_fattening_pigs_GR*Time_fattening_days_GR/365*P8*$P$36</f>
        <v>0</v>
      </c>
      <c r="Q42" s="207">
        <f>No_piglets_GR*Time_piglet_system_GR/365*Q8*$Q$36</f>
        <v>0</v>
      </c>
      <c r="R42" s="213">
        <f>(No_sows_HU+No_recruit_sows_HU)*R8*R36</f>
        <v>1.3250066618467253</v>
      </c>
      <c r="S42" s="52">
        <f>No_boars_HU*S8*$S$36</f>
        <v>1.0380369768362409E-2</v>
      </c>
      <c r="T42" s="49">
        <f>No_fattening_pigs_HU*Time_fattening_days_HU/365*T8*$T$36</f>
        <v>7.6448022390787482</v>
      </c>
      <c r="U42" s="207">
        <f>No_piglets_HU*Time_piglet_system_HU/365*U8*$U$36</f>
        <v>4.9550425241800831</v>
      </c>
      <c r="V42" s="213">
        <f>(No_sows_IE+No_recruit_sows_IE)*V8*V36</f>
        <v>0</v>
      </c>
      <c r="W42" s="52">
        <f>No_boars_IE*W8*$W$36</f>
        <v>0</v>
      </c>
      <c r="X42" s="49">
        <f>No_fattening_pigs_IE*Time_fattening_days_IE/365*X8*$X$36</f>
        <v>0</v>
      </c>
      <c r="Y42" s="207">
        <f>No_piglets_IE*Time_piglet_system_IE/365*Y8*$Y$36</f>
        <v>0</v>
      </c>
      <c r="Z42" s="213">
        <f>(No_sows_IT+No_recruit_sows_IT)*Z8*Z36</f>
        <v>0</v>
      </c>
      <c r="AA42" s="52">
        <f>No_boars_IT*AA8*$AA$36</f>
        <v>0</v>
      </c>
      <c r="AB42" s="49">
        <f>No_fattening_pigs_IT*Time_fattening_days_IT/365*AB8*$AB$36</f>
        <v>0</v>
      </c>
      <c r="AC42" s="207">
        <f>No_piglets_IT*Time_piglet_system_IT/365*AC8*$AC$36</f>
        <v>0</v>
      </c>
      <c r="AD42" s="213">
        <f>(No_sows_NL+No_recruit_sows_NL)*AD8*AD38</f>
        <v>0</v>
      </c>
      <c r="AE42" s="52">
        <f>No_boars_NL*AE8*$AE$36</f>
        <v>1.6122278381213172E-2</v>
      </c>
      <c r="AF42" s="49">
        <f>No_fattening_pigs_NL*Time_fattening_days_NL/365*AF8*$AFR$36</f>
        <v>0</v>
      </c>
      <c r="AG42" s="207">
        <f>No_piglets_NL*Time_piglet_system_NL/365*AG8*$AG$36</f>
        <v>7.941915776042336</v>
      </c>
      <c r="AH42" s="213">
        <f>(No_sows_PL+No_recruit_sows_PL)*AH8*AH36</f>
        <v>0</v>
      </c>
      <c r="AI42" s="52">
        <f>No_boars_PL*AI8*$AI$36</f>
        <v>0</v>
      </c>
      <c r="AJ42" s="49">
        <f>No_fattening_pigs_PL*Time_fattening_days_PL/365*AJ8*$AJ$36</f>
        <v>0</v>
      </c>
      <c r="AK42" s="207">
        <f>No_piglets_PL*Time_piglet_system_PL/365*AK8*$AK$36</f>
        <v>0</v>
      </c>
      <c r="AL42" s="213">
        <f>(No_sows_ES+No_recruit_sows_ES)*AL8*AL36</f>
        <v>9.4197943767284666</v>
      </c>
      <c r="AM42" s="52">
        <f>No_boars_ES*AM8*$AM$36</f>
        <v>7.3796571434667654E-2</v>
      </c>
      <c r="AN42" s="49">
        <f>No_fattening_pigs_ES*Time_fattening_days_ES/365*AN8*$AN$36</f>
        <v>46.881759685018068</v>
      </c>
      <c r="AO42" s="49">
        <f>No_piglets_ES*Time_piglet_system_ES/365*AO8*$AO$36</f>
        <v>30.474875942817224</v>
      </c>
      <c r="AP42" s="213">
        <f>(No_sows_SE+No_recruit_sows_SE)*AP8*AP36</f>
        <v>5.92875</v>
      </c>
      <c r="AQ42" s="52">
        <f>No_boars_SE*AQ8*$AQ$36</f>
        <v>2.6836058765143569E-2</v>
      </c>
      <c r="AR42" s="49">
        <f>No_fattening_pigs_SE*Time_fattening_days_SE/365*AR8*$AR$36</f>
        <v>0</v>
      </c>
      <c r="AS42" s="207">
        <f>No_piglets_SE*Time_piglet_system_SE/365*AS8*$AS$36</f>
        <v>1.0633541316836059</v>
      </c>
    </row>
    <row r="43" spans="1:59" x14ac:dyDescent="0.35">
      <c r="A43" s="172"/>
      <c r="B43" s="196"/>
      <c r="E43" s="191"/>
      <c r="F43" s="196"/>
      <c r="I43" s="191"/>
      <c r="J43" s="196"/>
      <c r="M43" s="191"/>
      <c r="N43" s="196"/>
      <c r="Q43" s="191"/>
      <c r="R43" s="196"/>
      <c r="U43" s="191"/>
      <c r="V43" s="196"/>
      <c r="Y43" s="191"/>
      <c r="Z43" s="196"/>
      <c r="AC43" s="191"/>
      <c r="AD43" s="196"/>
      <c r="AG43" s="191"/>
      <c r="AH43" s="196"/>
      <c r="AK43" s="191"/>
      <c r="AL43" s="196"/>
      <c r="AP43" s="196"/>
      <c r="AS43" s="191"/>
    </row>
    <row r="44" spans="1:59" x14ac:dyDescent="0.35">
      <c r="A44" s="204" t="s">
        <v>407</v>
      </c>
      <c r="B44" s="198"/>
      <c r="C44" s="14"/>
      <c r="D44" s="14"/>
      <c r="E44" s="199"/>
      <c r="F44" s="14"/>
      <c r="G44" s="14"/>
      <c r="H44" s="14"/>
      <c r="I44" s="199"/>
      <c r="J44" s="14"/>
      <c r="K44" s="14"/>
      <c r="L44" s="14"/>
      <c r="M44" s="199"/>
      <c r="N44" s="14"/>
      <c r="O44" s="14"/>
      <c r="P44" s="14"/>
      <c r="Q44" s="199"/>
      <c r="R44" s="14"/>
      <c r="S44" s="14"/>
      <c r="T44" s="14"/>
      <c r="U44" s="199"/>
      <c r="V44" s="14"/>
      <c r="W44" s="14"/>
      <c r="X44" s="14"/>
      <c r="Y44" s="199"/>
      <c r="Z44" s="198"/>
      <c r="AA44" s="14"/>
      <c r="AB44" s="14"/>
      <c r="AC44" s="199"/>
      <c r="AD44" s="14"/>
      <c r="AE44" s="14"/>
      <c r="AF44" s="14"/>
      <c r="AG44" s="199"/>
      <c r="AH44" s="198"/>
      <c r="AI44" s="14"/>
      <c r="AJ44" s="14"/>
      <c r="AK44" s="199"/>
      <c r="AL44" s="198"/>
      <c r="AM44" s="14"/>
      <c r="AN44" s="14"/>
      <c r="AO44" s="14"/>
      <c r="AP44" s="198"/>
      <c r="AQ44" s="14"/>
      <c r="AR44" s="14"/>
      <c r="AS44" s="199"/>
    </row>
    <row r="45" spans="1:59" x14ac:dyDescent="0.35">
      <c r="A45" s="192" t="s">
        <v>390</v>
      </c>
      <c r="B45" s="56">
        <f>B40*$B$37</f>
        <v>8.5559862664746633E-3</v>
      </c>
      <c r="C45" s="56">
        <f>C40*$C$37</f>
        <v>6.7029324256568507E-5</v>
      </c>
      <c r="D45" s="56">
        <f>D40*$D$37</f>
        <v>5.3119101585909469E-2</v>
      </c>
      <c r="E45" s="214">
        <f>E40*$E$37</f>
        <v>3.4385310286337512E-2</v>
      </c>
      <c r="F45" s="56">
        <f>F40*$F$37</f>
        <v>0.64131384083044929</v>
      </c>
      <c r="G45" s="56">
        <f>G40*$G$37</f>
        <v>5.0241821396660022E-3</v>
      </c>
      <c r="H45" s="56">
        <f>H40*$H$37</f>
        <v>3.5676630079665275</v>
      </c>
      <c r="I45" s="214">
        <f>I40*$I$37</f>
        <v>2.31397321960248</v>
      </c>
      <c r="J45" s="56">
        <f>J40*$J$37</f>
        <v>12.981436386524392</v>
      </c>
      <c r="K45" s="56">
        <f>K40*$K$37</f>
        <v>3.8423122397217282E-3</v>
      </c>
      <c r="L45" s="56">
        <f>L40*$L$37</f>
        <v>2.7372410531845341</v>
      </c>
      <c r="M45" s="214">
        <f>M40*$M$37</f>
        <v>1.7752566526880205</v>
      </c>
      <c r="N45" s="56">
        <f>N40*$N$37</f>
        <v>1.465835</v>
      </c>
      <c r="O45" s="56">
        <f>O40*$O$37</f>
        <v>1.1483647409138585E-2</v>
      </c>
      <c r="P45" s="56">
        <f>P40*$P$37</f>
        <v>8.0401139028411954</v>
      </c>
      <c r="Q45" s="214">
        <f>Q40*$Q$37</f>
        <v>5.2161880377980721</v>
      </c>
      <c r="R45" s="56">
        <f>R40*$R$37</f>
        <v>2.1951291468704839</v>
      </c>
      <c r="S45" s="56">
        <f>S40*$S$37</f>
        <v>1.7197085033570508E-2</v>
      </c>
      <c r="T45" s="56">
        <f>T40*$T$37</f>
        <v>12.665089693717881</v>
      </c>
      <c r="U45" s="214">
        <f>U40*$U$37</f>
        <v>8.2089838353345748</v>
      </c>
      <c r="V45" s="56">
        <f>V40*$V$37</f>
        <v>0</v>
      </c>
      <c r="W45" s="56">
        <f>W40*$W$37</f>
        <v>0</v>
      </c>
      <c r="X45" s="56">
        <f>X40*$X$37</f>
        <v>0</v>
      </c>
      <c r="Y45" s="214">
        <f>Y40*$Y$37</f>
        <v>0</v>
      </c>
      <c r="Z45" s="56">
        <f>Z40*$Z$37</f>
        <v>0</v>
      </c>
      <c r="AA45" s="56">
        <f>AA40*$AA$37</f>
        <v>0</v>
      </c>
      <c r="AB45" s="56">
        <f>AB40*$AB$37</f>
        <v>0</v>
      </c>
      <c r="AC45" s="214">
        <f>AC40*$AC$37</f>
        <v>0</v>
      </c>
      <c r="AD45" s="56">
        <f>AD40*$AD$37</f>
        <v>5.7311062801932364E-2</v>
      </c>
      <c r="AE45" s="56">
        <f>AE40*$AE$37</f>
        <v>1.3277170431587319E-2</v>
      </c>
      <c r="AF45" s="56">
        <f>AF40*$AF$37</f>
        <v>0</v>
      </c>
      <c r="AG45" s="214">
        <f>AG40*$AG$37</f>
        <v>6.5404012273289815</v>
      </c>
      <c r="AH45" s="56">
        <f>AH40*$AH$37</f>
        <v>8.9773008500000007</v>
      </c>
      <c r="AI45" s="56">
        <f>AI40*$AI$37</f>
        <v>7.0329987786592704E-2</v>
      </c>
      <c r="AJ45" s="56">
        <f>AJ40*$AJ$37</f>
        <v>49.24054983956114</v>
      </c>
      <c r="AK45" s="214">
        <f>AK40*$AK$37</f>
        <v>31.945811981215115</v>
      </c>
      <c r="AL45" s="56">
        <f>AL40*$AL$37</f>
        <v>0.36637726108778046</v>
      </c>
      <c r="AM45" s="56">
        <f>AM40*$AM$37</f>
        <v>2.8702734516899793E-3</v>
      </c>
      <c r="AN45" s="56">
        <f>AN40*$AN$37</f>
        <v>1.8234379670544232</v>
      </c>
      <c r="AO45" s="214">
        <f>AO40*$AO$37</f>
        <v>1.1853020494272213</v>
      </c>
      <c r="AP45" s="56">
        <f>AP40*$AP$37</f>
        <v>4.8825000000000003</v>
      </c>
      <c r="AQ45" s="56">
        <f>AQ40*$AQ$37</f>
        <v>2.2100283688941763E-2</v>
      </c>
      <c r="AR45" s="56">
        <f>AR40*$AR$37</f>
        <v>0</v>
      </c>
      <c r="AS45" s="214">
        <f>AS40*$AS$37</f>
        <v>0.87570340256296952</v>
      </c>
    </row>
    <row r="46" spans="1:59" x14ac:dyDescent="0.35">
      <c r="A46" s="192" t="s">
        <v>391</v>
      </c>
      <c r="B46" s="56">
        <f>B41*$B$37</f>
        <v>7.4428524532063376</v>
      </c>
      <c r="C46" s="56">
        <f>C41*$C$37</f>
        <v>5.830880917078915E-2</v>
      </c>
      <c r="D46" s="56">
        <f>D41*$D$37</f>
        <v>46.208306469582801</v>
      </c>
      <c r="E46" s="214">
        <f>E41*$E$37</f>
        <v>29.911781418085116</v>
      </c>
      <c r="F46" s="56">
        <f>F41*$F$37</f>
        <v>9.6553361591695559</v>
      </c>
      <c r="G46" s="56">
        <f>G41*$G$37</f>
        <v>7.5641853324971461E-2</v>
      </c>
      <c r="H46" s="56">
        <f>H41*$H$37</f>
        <v>53.713148619940483</v>
      </c>
      <c r="I46" s="214">
        <f>I41*$I$37</f>
        <v>34.838152361792893</v>
      </c>
      <c r="J46" s="56">
        <f>J41*$J$37</f>
        <v>1.1655197218558965E-2</v>
      </c>
      <c r="K46" s="56">
        <f>K41*$K$37</f>
        <v>0.10169919419785187</v>
      </c>
      <c r="L46" s="56">
        <f>L41*$L$37</f>
        <v>72.449918712048046</v>
      </c>
      <c r="M46" s="214">
        <f>M41*$M$37</f>
        <v>46.987896820645382</v>
      </c>
      <c r="N46" s="56">
        <f>N41*$N$37</f>
        <v>13.192515</v>
      </c>
      <c r="O46" s="56">
        <f>O41*$O$37</f>
        <v>0.10335282668224727</v>
      </c>
      <c r="P46" s="56">
        <f>P41*$P$37</f>
        <v>72.361025125570762</v>
      </c>
      <c r="Q46" s="214">
        <f>Q41*$Q$37</f>
        <v>46.945692340182646</v>
      </c>
      <c r="R46" s="56">
        <f>R41*$R$37</f>
        <v>6.9787161898368151</v>
      </c>
      <c r="S46" s="56">
        <f>S41*$S$37</f>
        <v>5.4672671953209635E-2</v>
      </c>
      <c r="T46" s="56">
        <f>T41*$T$37</f>
        <v>40.264631635588827</v>
      </c>
      <c r="U46" s="214">
        <f>U41*$U$37</f>
        <v>26.097857830110723</v>
      </c>
      <c r="V46" s="56">
        <f>V41*$V$37</f>
        <v>21.7</v>
      </c>
      <c r="W46" s="56">
        <f>W41*$W$37</f>
        <v>0.13600174577810314</v>
      </c>
      <c r="X46" s="56">
        <f>X41*$X$37</f>
        <v>54.634136986301357</v>
      </c>
      <c r="Y46" s="214">
        <f>Y41*$Y$37</f>
        <v>11.558630136986299</v>
      </c>
      <c r="Z46" s="56">
        <f>Z41*$Z$37</f>
        <v>13.171899999999999</v>
      </c>
      <c r="AA46" s="56">
        <f>AA41*$AA$37</f>
        <v>0.10319132460913576</v>
      </c>
      <c r="AB46" s="56">
        <f>AB41*$AB$37</f>
        <v>111.62874319004882</v>
      </c>
      <c r="AC46" s="214">
        <f>AC41*$AC$37</f>
        <v>39.96642450007873</v>
      </c>
      <c r="AD46" s="56">
        <f>AD41*$AD$37</f>
        <v>0.3875467995169084</v>
      </c>
      <c r="AE46" s="56">
        <f>AE41*$AE$37</f>
        <v>4.1823086859500057E-2</v>
      </c>
      <c r="AF46" s="56">
        <f>AF41*$AF$37</f>
        <v>50.482692813553541</v>
      </c>
      <c r="AG46" s="214">
        <f>AG41*$AG$37</f>
        <v>20.60226386608629</v>
      </c>
      <c r="AH46" s="56">
        <f>AH41*$AH$37</f>
        <v>2.8817491499999996</v>
      </c>
      <c r="AI46" s="56">
        <f>AI41*$AI$37</f>
        <v>2.2576204798074009E-2</v>
      </c>
      <c r="AJ46" s="56">
        <f>AJ41*$AJ$37</f>
        <v>15.806411639383562</v>
      </c>
      <c r="AK46" s="214">
        <f>AK41*$AK$37</f>
        <v>10.254732247602741</v>
      </c>
      <c r="AL46" s="56">
        <f>AL41*$AL$37</f>
        <v>2.1646166752022991</v>
      </c>
      <c r="AM46" s="56">
        <f>AM41*$AM$37</f>
        <v>1.6958044168658176E-2</v>
      </c>
      <c r="AN46" s="56">
        <f>AN41*$AN$37</f>
        <v>10.773169213515441</v>
      </c>
      <c r="AO46" s="214">
        <f>AO41*$AO$37</f>
        <v>7.0029580267179847</v>
      </c>
      <c r="AP46" s="56">
        <f>AP41*$AP$37</f>
        <v>15.379875</v>
      </c>
      <c r="AQ46" s="56">
        <f>AQ41*$AQ$37</f>
        <v>6.9615893620166555E-2</v>
      </c>
      <c r="AR46" s="56">
        <f>AR41*$AR$37</f>
        <v>60.67164471939904</v>
      </c>
      <c r="AS46" s="214">
        <f>AS41*$AS$37</f>
        <v>2.7584657180733538</v>
      </c>
    </row>
    <row r="47" spans="1:59" x14ac:dyDescent="0.35">
      <c r="A47" s="192" t="s">
        <v>392</v>
      </c>
      <c r="B47" s="56">
        <f>B42*$B$37</f>
        <v>0.27379156052719</v>
      </c>
      <c r="C47" s="56">
        <f>C42*$C$37</f>
        <v>2.1449383762101974E-3</v>
      </c>
      <c r="D47" s="56">
        <f>D42*$D$37</f>
        <v>1.6998112507491077</v>
      </c>
      <c r="E47" s="214">
        <f>E42*$E$37</f>
        <v>1.1003299291628035</v>
      </c>
      <c r="F47" s="56">
        <f>F42*$F$37</f>
        <v>0</v>
      </c>
      <c r="G47" s="56">
        <f>G42*$G$37</f>
        <v>0</v>
      </c>
      <c r="H47" s="56">
        <f>H42*$H$37</f>
        <v>0</v>
      </c>
      <c r="I47" s="214">
        <f>I42*$I$37</f>
        <v>0</v>
      </c>
      <c r="J47" s="56">
        <f>J42*$J$37</f>
        <v>0</v>
      </c>
      <c r="K47" s="56">
        <f>K42*$K$37</f>
        <v>1.6448694537939208E-3</v>
      </c>
      <c r="L47" s="56">
        <f>L42*$L$37</f>
        <v>1.1717955010288335</v>
      </c>
      <c r="M47" s="214">
        <f>M42*$M$37</f>
        <v>0.75997609212062567</v>
      </c>
      <c r="N47" s="56">
        <f>N42*$N$37</f>
        <v>0</v>
      </c>
      <c r="O47" s="56">
        <f>O42*$O$37</f>
        <v>0</v>
      </c>
      <c r="P47" s="56">
        <f>P42*$P$37</f>
        <v>0</v>
      </c>
      <c r="Q47" s="214">
        <f>Q42*$Q$37</f>
        <v>0</v>
      </c>
      <c r="R47" s="56">
        <f>R42*$R$37</f>
        <v>0.92750466329270764</v>
      </c>
      <c r="S47" s="56">
        <f>S42*$S$37</f>
        <v>7.266258837853686E-3</v>
      </c>
      <c r="T47" s="56">
        <f>T42*$T$37</f>
        <v>5.3513615673551236</v>
      </c>
      <c r="U47" s="214">
        <f>U42*$U$37</f>
        <v>3.468529766926058</v>
      </c>
      <c r="V47" s="56">
        <f>V42*$V$37</f>
        <v>0</v>
      </c>
      <c r="W47" s="56">
        <f>W42*$W$37</f>
        <v>0</v>
      </c>
      <c r="X47" s="56">
        <f>X42*$X$37</f>
        <v>0</v>
      </c>
      <c r="Y47" s="214">
        <f>Y42*$Y$37</f>
        <v>0</v>
      </c>
      <c r="Z47" s="56">
        <f>Z42*$Z$37</f>
        <v>0</v>
      </c>
      <c r="AA47" s="56">
        <f>AA42*$AA$37</f>
        <v>0</v>
      </c>
      <c r="AB47" s="56">
        <f>AB42*$AB$37</f>
        <v>0</v>
      </c>
      <c r="AC47" s="214">
        <f>AC42*$AC$37</f>
        <v>0</v>
      </c>
      <c r="AD47" s="56">
        <f>AD42*$AD$37</f>
        <v>0</v>
      </c>
      <c r="AE47" s="56">
        <f>AE42*$AE$37</f>
        <v>1.128559486684922E-2</v>
      </c>
      <c r="AF47" s="56">
        <f>AF42*$AF$37</f>
        <v>0</v>
      </c>
      <c r="AG47" s="214">
        <f>AG42*$AG$37</f>
        <v>5.5593410432296348</v>
      </c>
      <c r="AH47" s="56">
        <f>AH42*$AH$37</f>
        <v>0</v>
      </c>
      <c r="AI47" s="56">
        <f>AI42*$AI$37</f>
        <v>0</v>
      </c>
      <c r="AJ47" s="56">
        <f>AJ42*$AJ$37</f>
        <v>0</v>
      </c>
      <c r="AK47" s="214">
        <f>AK42*$AK$37</f>
        <v>0</v>
      </c>
      <c r="AL47" s="56">
        <f>AL42*$AL$37</f>
        <v>6.5938560637099259</v>
      </c>
      <c r="AM47" s="56">
        <f>AM42*$AM$37</f>
        <v>5.1657600004267355E-2</v>
      </c>
      <c r="AN47" s="56">
        <f>AN42*$AN$37</f>
        <v>32.817231779512646</v>
      </c>
      <c r="AO47" s="214">
        <f>AO42*$AO$37</f>
        <v>21.332413159972056</v>
      </c>
      <c r="AP47" s="56">
        <f>AP42*$AP$37</f>
        <v>4.1501250000000001</v>
      </c>
      <c r="AQ47" s="56">
        <f>AQ42*$AQ$37</f>
        <v>1.8785241135600497E-2</v>
      </c>
      <c r="AR47" s="56">
        <f>AR42*$AR$37</f>
        <v>0</v>
      </c>
      <c r="AS47" s="214">
        <f>AS42*$AS$37</f>
        <v>0.74434789217852415</v>
      </c>
    </row>
    <row r="48" spans="1:59" x14ac:dyDescent="0.35">
      <c r="A48" s="172"/>
      <c r="B48" s="196"/>
      <c r="E48" s="191"/>
      <c r="I48" s="191"/>
      <c r="M48" s="191"/>
      <c r="Q48" s="191"/>
      <c r="U48" s="191"/>
      <c r="Y48" s="191"/>
      <c r="AC48" s="191"/>
      <c r="AG48" s="191"/>
      <c r="AK48" s="191"/>
      <c r="AO48" s="191"/>
      <c r="AS48" s="191"/>
    </row>
    <row r="49" spans="1:47" x14ac:dyDescent="0.35">
      <c r="A49" s="204" t="s">
        <v>408</v>
      </c>
      <c r="B49" s="198"/>
      <c r="C49" s="14"/>
      <c r="D49" s="14"/>
      <c r="E49" s="199"/>
      <c r="F49" s="14"/>
      <c r="G49" s="14"/>
      <c r="H49" s="14"/>
      <c r="I49" s="199"/>
      <c r="J49" s="14"/>
      <c r="K49" s="14"/>
      <c r="L49" s="14"/>
      <c r="M49" s="199"/>
      <c r="N49" s="14"/>
      <c r="O49" s="14"/>
      <c r="P49" s="14"/>
      <c r="Q49" s="199"/>
      <c r="R49" s="14"/>
      <c r="S49" s="14"/>
      <c r="T49" s="14"/>
      <c r="U49" s="199"/>
      <c r="V49" s="14"/>
      <c r="W49" s="14"/>
      <c r="X49" s="14"/>
      <c r="Y49" s="199"/>
      <c r="Z49" s="14"/>
      <c r="AA49" s="14"/>
      <c r="AB49" s="14"/>
      <c r="AC49" s="199"/>
      <c r="AD49" s="14"/>
      <c r="AE49" s="14"/>
      <c r="AF49" s="14"/>
      <c r="AG49" s="199"/>
      <c r="AH49" s="14"/>
      <c r="AI49" s="14"/>
      <c r="AJ49" s="14"/>
      <c r="AK49" s="199"/>
      <c r="AL49" s="198"/>
      <c r="AM49" s="14"/>
      <c r="AN49" s="14"/>
      <c r="AO49" s="14"/>
      <c r="AP49" s="198"/>
      <c r="AQ49" s="14"/>
      <c r="AR49" s="14"/>
      <c r="AS49" s="199"/>
      <c r="AU49" s="126" t="s">
        <v>409</v>
      </c>
    </row>
    <row r="50" spans="1:47" x14ac:dyDescent="0.35">
      <c r="A50" s="192" t="s">
        <v>390</v>
      </c>
      <c r="B50" s="215">
        <f t="shared" ref="B50:AS50" si="0">B45*B56</f>
        <v>2.0534367039539191E-3</v>
      </c>
      <c r="C50" s="56">
        <f t="shared" si="0"/>
        <v>1.6087037821576441E-5</v>
      </c>
      <c r="D50" s="56">
        <f t="shared" si="0"/>
        <v>1.2217393364759178E-2</v>
      </c>
      <c r="E50" s="214">
        <f t="shared" si="0"/>
        <v>8.2524744687210022E-3</v>
      </c>
      <c r="F50" s="56">
        <f t="shared" si="0"/>
        <v>0.15391532179930784</v>
      </c>
      <c r="G50" s="56">
        <f t="shared" si="0"/>
        <v>1.2058037135198405E-3</v>
      </c>
      <c r="H50" s="56">
        <f t="shared" si="0"/>
        <v>0.82056249183230134</v>
      </c>
      <c r="I50" s="214">
        <f t="shared" si="0"/>
        <v>0.55535357270459518</v>
      </c>
      <c r="J50" s="56">
        <f t="shared" si="0"/>
        <v>3.1155447327658541</v>
      </c>
      <c r="K50" s="56">
        <f t="shared" si="0"/>
        <v>9.221549375332147E-4</v>
      </c>
      <c r="L50" s="56">
        <f t="shared" si="0"/>
        <v>0.62956544223244293</v>
      </c>
      <c r="M50" s="214">
        <f t="shared" si="0"/>
        <v>0.42606159664512488</v>
      </c>
      <c r="N50" s="56">
        <f t="shared" si="0"/>
        <v>0.35180040000000001</v>
      </c>
      <c r="O50" s="56">
        <f t="shared" si="0"/>
        <v>2.7560753781932603E-3</v>
      </c>
      <c r="P50" s="56">
        <f t="shared" si="0"/>
        <v>1.849226197653475</v>
      </c>
      <c r="Q50" s="214">
        <f t="shared" si="0"/>
        <v>1.2518851290715372</v>
      </c>
      <c r="R50" s="215">
        <f t="shared" si="0"/>
        <v>0.52683099524891608</v>
      </c>
      <c r="S50" s="56">
        <f t="shared" si="0"/>
        <v>4.127300408056922E-3</v>
      </c>
      <c r="T50" s="56">
        <f t="shared" si="0"/>
        <v>2.912970629555113</v>
      </c>
      <c r="U50" s="214">
        <f t="shared" si="0"/>
        <v>1.970156120480298</v>
      </c>
      <c r="V50" s="215">
        <f t="shared" si="0"/>
        <v>0</v>
      </c>
      <c r="W50" s="56">
        <f t="shared" si="0"/>
        <v>0</v>
      </c>
      <c r="X50" s="56">
        <f t="shared" si="0"/>
        <v>0</v>
      </c>
      <c r="Y50" s="214">
        <f t="shared" si="0"/>
        <v>0</v>
      </c>
      <c r="Z50" s="56">
        <f t="shared" si="0"/>
        <v>0</v>
      </c>
      <c r="AA50" s="56">
        <f t="shared" si="0"/>
        <v>0</v>
      </c>
      <c r="AB50" s="56">
        <f t="shared" si="0"/>
        <v>0</v>
      </c>
      <c r="AC50" s="214">
        <f t="shared" si="0"/>
        <v>0</v>
      </c>
      <c r="AD50" s="56">
        <f t="shared" si="0"/>
        <v>1.3754655072463767E-2</v>
      </c>
      <c r="AE50" s="56">
        <f t="shared" si="0"/>
        <v>3.1865209035809566E-3</v>
      </c>
      <c r="AF50" s="56">
        <f t="shared" si="0"/>
        <v>0</v>
      </c>
      <c r="AG50" s="214">
        <f t="shared" si="0"/>
        <v>1.5696962945589554</v>
      </c>
      <c r="AH50" s="56">
        <f t="shared" si="0"/>
        <v>2.1545522040000002</v>
      </c>
      <c r="AI50" s="56">
        <f t="shared" si="0"/>
        <v>1.6879197068782249E-2</v>
      </c>
      <c r="AJ50" s="56">
        <f t="shared" si="0"/>
        <v>11.325326463099064</v>
      </c>
      <c r="AK50" s="214">
        <f t="shared" si="0"/>
        <v>7.6669948754916275</v>
      </c>
      <c r="AL50" s="215">
        <f t="shared" si="0"/>
        <v>8.7930542661067312E-2</v>
      </c>
      <c r="AM50" s="56">
        <f t="shared" si="0"/>
        <v>6.8886562840559501E-4</v>
      </c>
      <c r="AN50" s="56">
        <f t="shared" si="0"/>
        <v>0.41939073242251734</v>
      </c>
      <c r="AO50" s="56">
        <f t="shared" si="0"/>
        <v>0.28447249186253309</v>
      </c>
      <c r="AP50" s="215">
        <f t="shared" si="0"/>
        <v>1.1718</v>
      </c>
      <c r="AQ50" s="56">
        <f t="shared" si="0"/>
        <v>5.3040680853460231E-3</v>
      </c>
      <c r="AR50" s="56">
        <f t="shared" si="0"/>
        <v>0</v>
      </c>
      <c r="AS50" s="214">
        <f t="shared" si="0"/>
        <v>0.21016881661511269</v>
      </c>
    </row>
    <row r="51" spans="1:47" x14ac:dyDescent="0.35">
      <c r="A51" s="192" t="s">
        <v>391</v>
      </c>
      <c r="B51" s="215">
        <f t="shared" ref="B51:AS51" si="1">B46*B57</f>
        <v>2.6049983586222178</v>
      </c>
      <c r="C51" s="56">
        <f t="shared" si="1"/>
        <v>2.04080832097762E-2</v>
      </c>
      <c r="D51" s="56">
        <f t="shared" si="1"/>
        <v>12.476242746787356</v>
      </c>
      <c r="E51" s="214">
        <f t="shared" si="1"/>
        <v>10.469123496329789</v>
      </c>
      <c r="F51" s="215">
        <f t="shared" si="1"/>
        <v>3.3793676557093444</v>
      </c>
      <c r="G51" s="56">
        <f t="shared" si="1"/>
        <v>2.6474648663740011E-2</v>
      </c>
      <c r="H51" s="56">
        <f t="shared" si="1"/>
        <v>14.502550127383932</v>
      </c>
      <c r="I51" s="214">
        <f t="shared" si="1"/>
        <v>12.193353326627513</v>
      </c>
      <c r="J51" s="215">
        <f t="shared" si="1"/>
        <v>4.0793190264956378E-3</v>
      </c>
      <c r="K51" s="56">
        <f t="shared" si="1"/>
        <v>3.5594717969248152E-2</v>
      </c>
      <c r="L51" s="56">
        <f t="shared" si="1"/>
        <v>19.561478052252973</v>
      </c>
      <c r="M51" s="214">
        <f t="shared" si="1"/>
        <v>16.445763887225883</v>
      </c>
      <c r="N51" s="215">
        <f t="shared" si="1"/>
        <v>4.6173802500000001</v>
      </c>
      <c r="O51" s="56">
        <f t="shared" si="1"/>
        <v>3.6173489338786544E-2</v>
      </c>
      <c r="P51" s="56">
        <f t="shared" si="1"/>
        <v>19.537476783904108</v>
      </c>
      <c r="Q51" s="214">
        <f t="shared" si="1"/>
        <v>16.430992319063925</v>
      </c>
      <c r="R51" s="215">
        <f t="shared" si="1"/>
        <v>2.4425506664428851</v>
      </c>
      <c r="S51" s="56">
        <f t="shared" si="1"/>
        <v>1.9135435183623373E-2</v>
      </c>
      <c r="T51" s="56">
        <f t="shared" si="1"/>
        <v>10.871450541608985</v>
      </c>
      <c r="U51" s="214">
        <f t="shared" si="1"/>
        <v>9.1342502405387531</v>
      </c>
      <c r="V51" s="215">
        <f t="shared" si="1"/>
        <v>7.5949999999999989</v>
      </c>
      <c r="W51" s="56">
        <f t="shared" si="1"/>
        <v>4.7600611022336099E-2</v>
      </c>
      <c r="X51" s="56">
        <f t="shared" si="1"/>
        <v>14.751216986301367</v>
      </c>
      <c r="Y51" s="214">
        <f t="shared" si="1"/>
        <v>4.0455205479452045</v>
      </c>
      <c r="Z51" s="56">
        <f t="shared" si="1"/>
        <v>4.6101649999999994</v>
      </c>
      <c r="AA51" s="56">
        <f t="shared" si="1"/>
        <v>3.6116963613197516E-2</v>
      </c>
      <c r="AB51" s="56">
        <f t="shared" si="1"/>
        <v>30.139760661313183</v>
      </c>
      <c r="AC51" s="214">
        <f t="shared" si="1"/>
        <v>13.988248575027555</v>
      </c>
      <c r="AD51" s="215">
        <f t="shared" si="1"/>
        <v>0.13564137983091792</v>
      </c>
      <c r="AE51" s="56">
        <f t="shared" si="1"/>
        <v>1.4638080400825019E-2</v>
      </c>
      <c r="AF51" s="56">
        <f t="shared" si="1"/>
        <v>13.630327059659457</v>
      </c>
      <c r="AG51" s="214">
        <f t="shared" si="1"/>
        <v>7.2107923531302012</v>
      </c>
      <c r="AH51" s="215">
        <f t="shared" si="1"/>
        <v>1.0086122024999997</v>
      </c>
      <c r="AI51" s="56">
        <f t="shared" si="1"/>
        <v>7.9016716793259018E-3</v>
      </c>
      <c r="AJ51" s="56">
        <f t="shared" si="1"/>
        <v>4.2677311426335622</v>
      </c>
      <c r="AK51" s="214">
        <f t="shared" si="1"/>
        <v>3.589156286660959</v>
      </c>
      <c r="AL51" s="215">
        <f t="shared" si="1"/>
        <v>0.75761583632080465</v>
      </c>
      <c r="AM51" s="56">
        <f t="shared" si="1"/>
        <v>5.9353154590303615E-3</v>
      </c>
      <c r="AN51" s="56">
        <f t="shared" si="1"/>
        <v>2.9087556876491694</v>
      </c>
      <c r="AO51" s="56">
        <f t="shared" si="1"/>
        <v>2.4510353093512944</v>
      </c>
      <c r="AP51" s="215">
        <f t="shared" si="1"/>
        <v>5.3829562499999994</v>
      </c>
      <c r="AQ51" s="56">
        <f t="shared" si="1"/>
        <v>2.4365562767058292E-2</v>
      </c>
      <c r="AR51" s="56">
        <f t="shared" si="1"/>
        <v>16.381344074237742</v>
      </c>
      <c r="AS51" s="214">
        <f t="shared" si="1"/>
        <v>0.96546300132567375</v>
      </c>
    </row>
    <row r="52" spans="1:47" x14ac:dyDescent="0.35">
      <c r="A52" s="192" t="s">
        <v>392</v>
      </c>
      <c r="B52" s="215">
        <f t="shared" ref="B52:AS52" si="2">B47*B56</f>
        <v>6.5709974526525605E-2</v>
      </c>
      <c r="C52" s="56">
        <f t="shared" si="2"/>
        <v>5.1478521029044741E-4</v>
      </c>
      <c r="D52" s="56">
        <f t="shared" si="2"/>
        <v>0.3909565876722948</v>
      </c>
      <c r="E52" s="214">
        <f t="shared" si="2"/>
        <v>0.26407918299907285</v>
      </c>
      <c r="F52" s="215">
        <f t="shared" si="2"/>
        <v>0</v>
      </c>
      <c r="G52" s="56">
        <f t="shared" si="2"/>
        <v>0</v>
      </c>
      <c r="H52" s="56">
        <f t="shared" si="2"/>
        <v>0</v>
      </c>
      <c r="I52" s="214">
        <f t="shared" si="2"/>
        <v>0</v>
      </c>
      <c r="J52" s="215">
        <f t="shared" si="2"/>
        <v>0</v>
      </c>
      <c r="K52" s="56">
        <f t="shared" si="2"/>
        <v>3.9476866891054098E-4</v>
      </c>
      <c r="L52" s="56">
        <f t="shared" si="2"/>
        <v>0.26951296523663171</v>
      </c>
      <c r="M52" s="214">
        <f t="shared" si="2"/>
        <v>0.18239426210895016</v>
      </c>
      <c r="N52" s="215">
        <f t="shared" si="2"/>
        <v>0</v>
      </c>
      <c r="O52" s="56">
        <f t="shared" si="2"/>
        <v>0</v>
      </c>
      <c r="P52" s="56">
        <f t="shared" si="2"/>
        <v>0</v>
      </c>
      <c r="Q52" s="214">
        <f t="shared" si="2"/>
        <v>0</v>
      </c>
      <c r="R52" s="215">
        <f t="shared" si="2"/>
        <v>0.22260111919024983</v>
      </c>
      <c r="S52" s="56">
        <f t="shared" si="2"/>
        <v>1.7439021210848846E-3</v>
      </c>
      <c r="T52" s="56">
        <f t="shared" si="2"/>
        <v>1.2308131604916785</v>
      </c>
      <c r="U52" s="214">
        <f t="shared" si="2"/>
        <v>0.83244714406225384</v>
      </c>
      <c r="V52" s="215">
        <f t="shared" si="2"/>
        <v>0</v>
      </c>
      <c r="W52" s="56">
        <f t="shared" si="2"/>
        <v>0</v>
      </c>
      <c r="X52" s="56">
        <f t="shared" si="2"/>
        <v>0</v>
      </c>
      <c r="Y52" s="214">
        <f t="shared" si="2"/>
        <v>0</v>
      </c>
      <c r="Z52" s="56">
        <f t="shared" si="2"/>
        <v>0</v>
      </c>
      <c r="AA52" s="56">
        <f t="shared" si="2"/>
        <v>0</v>
      </c>
      <c r="AB52" s="56">
        <f t="shared" si="2"/>
        <v>0</v>
      </c>
      <c r="AC52" s="214">
        <f t="shared" si="2"/>
        <v>0</v>
      </c>
      <c r="AD52" s="215">
        <f t="shared" si="2"/>
        <v>0</v>
      </c>
      <c r="AE52" s="56">
        <f t="shared" si="2"/>
        <v>2.708542768043813E-3</v>
      </c>
      <c r="AF52" s="56">
        <f t="shared" si="2"/>
        <v>0</v>
      </c>
      <c r="AG52" s="214">
        <f t="shared" si="2"/>
        <v>1.3342418503751123</v>
      </c>
      <c r="AH52" s="215">
        <f t="shared" si="2"/>
        <v>0</v>
      </c>
      <c r="AI52" s="56">
        <f t="shared" si="2"/>
        <v>0</v>
      </c>
      <c r="AJ52" s="56">
        <f t="shared" si="2"/>
        <v>0</v>
      </c>
      <c r="AK52" s="214">
        <f t="shared" si="2"/>
        <v>0</v>
      </c>
      <c r="AL52" s="215">
        <f t="shared" si="2"/>
        <v>1.5825254552903822</v>
      </c>
      <c r="AM52" s="56">
        <f t="shared" si="2"/>
        <v>1.2397824001024165E-2</v>
      </c>
      <c r="AN52" s="56">
        <f t="shared" si="2"/>
        <v>7.5479633092879093</v>
      </c>
      <c r="AO52" s="56">
        <f t="shared" si="2"/>
        <v>5.1197791583932935</v>
      </c>
      <c r="AP52" s="215">
        <f t="shared" si="2"/>
        <v>0.99602999999999997</v>
      </c>
      <c r="AQ52" s="56">
        <f t="shared" si="2"/>
        <v>4.508457872544119E-3</v>
      </c>
      <c r="AR52" s="56">
        <f t="shared" si="2"/>
        <v>0</v>
      </c>
      <c r="AS52" s="214">
        <f t="shared" si="2"/>
        <v>0.1786434941228458</v>
      </c>
      <c r="AU52" s="106" t="s">
        <v>410</v>
      </c>
    </row>
    <row r="53" spans="1:47" x14ac:dyDescent="0.35">
      <c r="A53" s="192" t="s">
        <v>396</v>
      </c>
      <c r="B53" s="215"/>
      <c r="C53" s="56"/>
      <c r="D53" s="56"/>
      <c r="E53" s="214">
        <f>SUM(B50:E52)</f>
        <v>26.314572606932579</v>
      </c>
      <c r="F53" s="215"/>
      <c r="G53" s="56"/>
      <c r="H53" s="56"/>
      <c r="I53" s="214">
        <f>SUM(F50:I52)</f>
        <v>31.632782948434254</v>
      </c>
      <c r="J53" s="215"/>
      <c r="K53" s="56"/>
      <c r="L53" s="56"/>
      <c r="M53" s="214">
        <f>SUM(J50:M52)</f>
        <v>40.671311899070041</v>
      </c>
      <c r="N53" s="215"/>
      <c r="O53" s="56"/>
      <c r="P53" s="56"/>
      <c r="Q53" s="214">
        <f>SUM(N50:Q52)</f>
        <v>44.077690644410026</v>
      </c>
      <c r="R53" s="215"/>
      <c r="S53" s="56"/>
      <c r="T53" s="56"/>
      <c r="U53" s="214">
        <f>SUM(R50:U52)</f>
        <v>30.169077255331896</v>
      </c>
      <c r="V53" s="215"/>
      <c r="W53" s="56"/>
      <c r="X53" s="56"/>
      <c r="Y53" s="214">
        <f>SUM(V50:Y52)</f>
        <v>26.439338145268909</v>
      </c>
      <c r="Z53" s="215"/>
      <c r="AA53" s="56"/>
      <c r="AB53" s="56"/>
      <c r="AC53" s="214">
        <f>SUM(Z50:AC52)</f>
        <v>48.774291199953936</v>
      </c>
      <c r="AD53" s="215"/>
      <c r="AE53" s="56"/>
      <c r="AF53" s="56"/>
      <c r="AG53" s="214">
        <f>SUM(AD50:AG52)</f>
        <v>23.914986736699557</v>
      </c>
      <c r="AH53" s="215"/>
      <c r="AI53" s="56"/>
      <c r="AJ53" s="56"/>
      <c r="AK53" s="214">
        <f>SUM(AH50:AK52)</f>
        <v>30.03715404313332</v>
      </c>
      <c r="AL53" s="215"/>
      <c r="AM53" s="56"/>
      <c r="AN53" s="56"/>
      <c r="AO53" s="56">
        <f>SUM(AL50:AO52)</f>
        <v>21.17849052832743</v>
      </c>
      <c r="AP53" s="215"/>
      <c r="AQ53" s="56"/>
      <c r="AR53" s="56"/>
      <c r="AS53" s="214">
        <f>SUM(AP50:AS52)</f>
        <v>25.320583725026321</v>
      </c>
      <c r="AU53" s="106"/>
    </row>
    <row r="54" spans="1:47" x14ac:dyDescent="0.35">
      <c r="A54" s="192" t="s">
        <v>397</v>
      </c>
      <c r="B54" s="215"/>
      <c r="C54" s="56"/>
      <c r="D54" s="56"/>
      <c r="E54" s="209">
        <f>E53/Production!B40</f>
        <v>1.3544758455896764E-2</v>
      </c>
      <c r="F54" s="215"/>
      <c r="G54" s="56"/>
      <c r="H54" s="56"/>
      <c r="I54" s="209">
        <f>I53/Production!C40</f>
        <v>1.7234774590110889E-2</v>
      </c>
      <c r="J54" s="215"/>
      <c r="K54" s="56"/>
      <c r="L54" s="56"/>
      <c r="M54" s="209">
        <f>M53/Production!D40</f>
        <v>2.1210220546694719E-2</v>
      </c>
      <c r="N54" s="215"/>
      <c r="O54" s="56"/>
      <c r="P54" s="56"/>
      <c r="Q54" s="209">
        <f>Q53/Production!E40</f>
        <v>2.4282547983608224E-2</v>
      </c>
      <c r="R54" s="215"/>
      <c r="S54" s="56"/>
      <c r="T54" s="56"/>
      <c r="U54" s="209">
        <f>U53/Production!F40</f>
        <v>1.6611080214569925E-2</v>
      </c>
      <c r="V54" s="215"/>
      <c r="W54" s="56"/>
      <c r="X54" s="56"/>
      <c r="Y54" s="209">
        <f>Y53/Production!G40</f>
        <v>1.463964883288826E-2</v>
      </c>
      <c r="Z54" s="215"/>
      <c r="AA54" s="56"/>
      <c r="AB54" s="56"/>
      <c r="AC54" s="209">
        <f>AC53/Production!H40</f>
        <v>2.2208469500555907E-2</v>
      </c>
      <c r="AD54" s="215"/>
      <c r="AE54" s="56"/>
      <c r="AF54" s="56"/>
      <c r="AG54" s="209">
        <f>AG53/Production!I40</f>
        <v>1.1469729517143487E-2</v>
      </c>
      <c r="AH54" s="215"/>
      <c r="AI54" s="56"/>
      <c r="AJ54" s="56"/>
      <c r="AK54" s="209">
        <f>AK53/Production!J40</f>
        <v>1.6547569159817518E-2</v>
      </c>
      <c r="AL54" s="215"/>
      <c r="AM54" s="56"/>
      <c r="AN54" s="56"/>
      <c r="AO54" s="13">
        <f>AO53/Production!K40</f>
        <v>1.3590941709356864E-2</v>
      </c>
      <c r="AP54" s="215"/>
      <c r="AQ54" s="56"/>
      <c r="AR54" s="56"/>
      <c r="AS54" s="209">
        <f>AS53/Production!L40</f>
        <v>1.4593595589564556E-2</v>
      </c>
      <c r="AU54" s="106"/>
    </row>
    <row r="55" spans="1:47" x14ac:dyDescent="0.35">
      <c r="A55" s="192"/>
      <c r="B55" s="216"/>
      <c r="E55" s="191"/>
      <c r="F55" s="216"/>
      <c r="I55" s="191"/>
      <c r="J55" s="216"/>
      <c r="M55" s="191"/>
      <c r="N55" s="216"/>
      <c r="Q55" s="191"/>
      <c r="R55" s="216"/>
      <c r="U55" s="191"/>
      <c r="V55" s="216"/>
      <c r="Y55" s="191"/>
      <c r="Z55" s="216"/>
      <c r="AC55" s="191"/>
      <c r="AD55" s="216"/>
      <c r="AG55" s="191"/>
      <c r="AH55" s="216"/>
      <c r="AK55" s="191"/>
      <c r="AL55" s="216"/>
      <c r="AP55" s="216"/>
      <c r="AS55" s="191"/>
    </row>
    <row r="56" spans="1:47" x14ac:dyDescent="0.35">
      <c r="A56" s="217" t="s">
        <v>411</v>
      </c>
      <c r="B56" s="194">
        <v>0.24</v>
      </c>
      <c r="C56" s="129">
        <v>0.24</v>
      </c>
      <c r="D56" s="118">
        <v>0.23</v>
      </c>
      <c r="E56" s="195">
        <v>0.24</v>
      </c>
      <c r="F56" s="194">
        <v>0.24</v>
      </c>
      <c r="G56" s="129">
        <v>0.24</v>
      </c>
      <c r="H56" s="118">
        <v>0.23</v>
      </c>
      <c r="I56" s="195">
        <v>0.24</v>
      </c>
      <c r="J56" s="194">
        <v>0.24</v>
      </c>
      <c r="K56" s="129">
        <v>0.24</v>
      </c>
      <c r="L56" s="118">
        <v>0.23</v>
      </c>
      <c r="M56" s="195">
        <v>0.24</v>
      </c>
      <c r="N56" s="194">
        <v>0.24</v>
      </c>
      <c r="O56" s="129">
        <v>0.24</v>
      </c>
      <c r="P56" s="118">
        <v>0.23</v>
      </c>
      <c r="Q56" s="195">
        <v>0.24</v>
      </c>
      <c r="R56" s="194">
        <v>0.24</v>
      </c>
      <c r="S56" s="129">
        <v>0.24</v>
      </c>
      <c r="T56" s="118">
        <v>0.23</v>
      </c>
      <c r="U56" s="195">
        <v>0.24</v>
      </c>
      <c r="V56" s="194">
        <v>0.24</v>
      </c>
      <c r="W56" s="129">
        <v>0.24</v>
      </c>
      <c r="X56" s="118">
        <v>0.23</v>
      </c>
      <c r="Y56" s="195">
        <v>0.24</v>
      </c>
      <c r="Z56" s="194">
        <v>0.24</v>
      </c>
      <c r="AA56" s="129">
        <v>0.24</v>
      </c>
      <c r="AB56" s="118">
        <v>0.23</v>
      </c>
      <c r="AC56" s="195">
        <v>0.24</v>
      </c>
      <c r="AD56" s="194">
        <v>0.24</v>
      </c>
      <c r="AE56" s="129">
        <v>0.24</v>
      </c>
      <c r="AF56" s="118">
        <v>0.23</v>
      </c>
      <c r="AG56" s="195">
        <v>0.24</v>
      </c>
      <c r="AH56" s="194">
        <v>0.24</v>
      </c>
      <c r="AI56" s="129">
        <v>0.24</v>
      </c>
      <c r="AJ56" s="118">
        <v>0.23</v>
      </c>
      <c r="AK56" s="195">
        <v>0.24</v>
      </c>
      <c r="AL56" s="194">
        <v>0.24</v>
      </c>
      <c r="AM56" s="129">
        <v>0.24</v>
      </c>
      <c r="AN56" s="118">
        <v>0.23</v>
      </c>
      <c r="AO56" s="129">
        <v>0.24</v>
      </c>
      <c r="AP56" s="194">
        <v>0.24</v>
      </c>
      <c r="AQ56" s="129">
        <v>0.24</v>
      </c>
      <c r="AR56" s="118">
        <v>0.23</v>
      </c>
      <c r="AS56" s="195">
        <v>0.24</v>
      </c>
      <c r="AU56" s="112" t="s">
        <v>412</v>
      </c>
    </row>
    <row r="57" spans="1:47" x14ac:dyDescent="0.35">
      <c r="A57" s="217" t="s">
        <v>413</v>
      </c>
      <c r="B57" s="194">
        <v>0.35</v>
      </c>
      <c r="C57" s="129">
        <v>0.35</v>
      </c>
      <c r="D57" s="118">
        <v>0.27</v>
      </c>
      <c r="E57" s="195">
        <v>0.35</v>
      </c>
      <c r="F57" s="194">
        <v>0.35</v>
      </c>
      <c r="G57" s="129">
        <v>0.35</v>
      </c>
      <c r="H57" s="118">
        <v>0.27</v>
      </c>
      <c r="I57" s="195">
        <v>0.35</v>
      </c>
      <c r="J57" s="194">
        <v>0.35</v>
      </c>
      <c r="K57" s="129">
        <v>0.35</v>
      </c>
      <c r="L57" s="118">
        <v>0.27</v>
      </c>
      <c r="M57" s="195">
        <v>0.35</v>
      </c>
      <c r="N57" s="194">
        <v>0.35</v>
      </c>
      <c r="O57" s="129">
        <v>0.35</v>
      </c>
      <c r="P57" s="118">
        <v>0.27</v>
      </c>
      <c r="Q57" s="195">
        <v>0.35</v>
      </c>
      <c r="R57" s="194">
        <v>0.35</v>
      </c>
      <c r="S57" s="129">
        <v>0.35</v>
      </c>
      <c r="T57" s="118">
        <v>0.27</v>
      </c>
      <c r="U57" s="195">
        <v>0.35</v>
      </c>
      <c r="V57" s="194">
        <v>0.35</v>
      </c>
      <c r="W57" s="129">
        <v>0.35</v>
      </c>
      <c r="X57" s="118">
        <v>0.27</v>
      </c>
      <c r="Y57" s="195">
        <v>0.35</v>
      </c>
      <c r="Z57" s="194">
        <v>0.35</v>
      </c>
      <c r="AA57" s="129">
        <v>0.35</v>
      </c>
      <c r="AB57" s="118">
        <v>0.27</v>
      </c>
      <c r="AC57" s="195">
        <v>0.35</v>
      </c>
      <c r="AD57" s="194">
        <v>0.35</v>
      </c>
      <c r="AE57" s="129">
        <v>0.35</v>
      </c>
      <c r="AF57" s="118">
        <v>0.27</v>
      </c>
      <c r="AG57" s="195">
        <v>0.35</v>
      </c>
      <c r="AH57" s="194">
        <v>0.35</v>
      </c>
      <c r="AI57" s="129">
        <v>0.35</v>
      </c>
      <c r="AJ57" s="118">
        <v>0.27</v>
      </c>
      <c r="AK57" s="195">
        <v>0.35</v>
      </c>
      <c r="AL57" s="194">
        <v>0.35</v>
      </c>
      <c r="AM57" s="129">
        <v>0.35</v>
      </c>
      <c r="AN57" s="118">
        <v>0.27</v>
      </c>
      <c r="AO57" s="129">
        <v>0.35</v>
      </c>
      <c r="AP57" s="194">
        <v>0.35</v>
      </c>
      <c r="AQ57" s="129">
        <v>0.35</v>
      </c>
      <c r="AR57" s="118">
        <v>0.27</v>
      </c>
      <c r="AS57" s="195">
        <v>0.35</v>
      </c>
    </row>
    <row r="58" spans="1:47" x14ac:dyDescent="0.35">
      <c r="A58" s="172"/>
      <c r="B58" s="196"/>
      <c r="E58" s="191"/>
      <c r="F58" s="196"/>
      <c r="I58" s="191"/>
      <c r="J58" s="196"/>
      <c r="M58" s="191"/>
      <c r="N58" s="196"/>
      <c r="Q58" s="191"/>
      <c r="R58" s="196"/>
      <c r="U58" s="191"/>
      <c r="V58" s="196"/>
      <c r="Y58" s="191"/>
      <c r="Z58" s="196"/>
      <c r="AC58" s="191"/>
      <c r="AD58" s="196"/>
      <c r="AG58" s="191"/>
      <c r="AH58" s="196"/>
      <c r="AK58" s="191"/>
      <c r="AL58" s="196"/>
      <c r="AP58" s="196"/>
      <c r="AS58" s="191"/>
    </row>
    <row r="59" spans="1:47" x14ac:dyDescent="0.35">
      <c r="A59" s="218" t="s">
        <v>414</v>
      </c>
      <c r="B59" s="219"/>
      <c r="C59" s="22"/>
      <c r="D59" s="22"/>
      <c r="E59" s="220"/>
      <c r="F59" s="219"/>
      <c r="G59" s="22"/>
      <c r="H59" s="22"/>
      <c r="I59" s="220"/>
      <c r="J59" s="219"/>
      <c r="K59" s="22"/>
      <c r="L59" s="22"/>
      <c r="M59" s="220"/>
      <c r="N59" s="219"/>
      <c r="O59" s="22"/>
      <c r="P59" s="22"/>
      <c r="Q59" s="220"/>
      <c r="R59" s="219"/>
      <c r="S59" s="22"/>
      <c r="T59" s="22"/>
      <c r="U59" s="220"/>
      <c r="V59" s="219"/>
      <c r="W59" s="22"/>
      <c r="X59" s="22"/>
      <c r="Y59" s="220"/>
      <c r="Z59" s="219"/>
      <c r="AA59" s="22"/>
      <c r="AB59" s="22"/>
      <c r="AC59" s="220"/>
      <c r="AD59" s="219"/>
      <c r="AE59" s="22"/>
      <c r="AF59" s="22"/>
      <c r="AG59" s="220"/>
      <c r="AH59" s="219"/>
      <c r="AI59" s="22"/>
      <c r="AJ59" s="22"/>
      <c r="AK59" s="220"/>
      <c r="AL59" s="219"/>
      <c r="AM59" s="22"/>
      <c r="AN59" s="22"/>
      <c r="AO59" s="22"/>
      <c r="AP59" s="219"/>
      <c r="AQ59" s="22"/>
      <c r="AR59" s="22"/>
      <c r="AS59" s="220"/>
      <c r="AT59" s="22"/>
      <c r="AU59" s="221" t="s">
        <v>415</v>
      </c>
    </row>
    <row r="60" spans="1:47" x14ac:dyDescent="0.35">
      <c r="A60" s="172"/>
      <c r="B60" s="196"/>
      <c r="E60" s="191"/>
      <c r="F60" s="196"/>
      <c r="I60" s="191"/>
      <c r="J60" s="196"/>
      <c r="M60" s="191"/>
      <c r="N60" s="196"/>
      <c r="Q60" s="191"/>
      <c r="R60" s="196"/>
      <c r="U60" s="191"/>
      <c r="V60" s="196"/>
      <c r="Y60" s="191"/>
      <c r="Z60" s="196"/>
      <c r="AC60" s="191"/>
      <c r="AD60" s="196"/>
      <c r="AG60" s="191"/>
      <c r="AH60" s="196"/>
      <c r="AK60" s="191"/>
      <c r="AL60" s="196"/>
      <c r="AP60" s="196"/>
      <c r="AS60" s="191"/>
    </row>
    <row r="61" spans="1:47" x14ac:dyDescent="0.35">
      <c r="A61" s="204" t="s">
        <v>416</v>
      </c>
      <c r="B61" s="198"/>
      <c r="C61" s="14"/>
      <c r="D61" s="14"/>
      <c r="E61" s="199"/>
      <c r="F61" s="198"/>
      <c r="G61" s="14"/>
      <c r="H61" s="14"/>
      <c r="I61" s="199"/>
      <c r="J61" s="198"/>
      <c r="K61" s="14"/>
      <c r="L61" s="14"/>
      <c r="M61" s="199"/>
      <c r="N61" s="198"/>
      <c r="O61" s="14"/>
      <c r="P61" s="14"/>
      <c r="Q61" s="199"/>
      <c r="R61" s="198"/>
      <c r="S61" s="14"/>
      <c r="T61" s="14"/>
      <c r="U61" s="199"/>
      <c r="V61" s="198"/>
      <c r="W61" s="14"/>
      <c r="X61" s="14"/>
      <c r="Y61" s="199"/>
      <c r="Z61" s="198"/>
      <c r="AA61" s="14"/>
      <c r="AB61" s="14"/>
      <c r="AC61" s="199"/>
      <c r="AD61" s="198"/>
      <c r="AE61" s="14"/>
      <c r="AF61" s="14"/>
      <c r="AG61" s="199"/>
      <c r="AH61" s="198"/>
      <c r="AI61" s="14"/>
      <c r="AJ61" s="14"/>
      <c r="AK61" s="199"/>
      <c r="AL61" s="198"/>
      <c r="AM61" s="14"/>
      <c r="AN61" s="14"/>
      <c r="AO61" s="14"/>
      <c r="AP61" s="198"/>
      <c r="AQ61" s="14"/>
      <c r="AR61" s="14"/>
      <c r="AS61" s="199"/>
    </row>
    <row r="62" spans="1:47" x14ac:dyDescent="0.35">
      <c r="A62" s="192" t="s">
        <v>390</v>
      </c>
      <c r="B62" s="215">
        <f t="shared" ref="B62:AS62" si="3">B45-B50</f>
        <v>6.5025495625207442E-3</v>
      </c>
      <c r="C62" s="49">
        <f t="shared" si="3"/>
        <v>5.0942286434992066E-5</v>
      </c>
      <c r="D62" s="49">
        <f t="shared" si="3"/>
        <v>4.0901708221150287E-2</v>
      </c>
      <c r="E62" s="214">
        <f t="shared" si="3"/>
        <v>2.6132835817616509E-2</v>
      </c>
      <c r="F62" s="215">
        <f t="shared" si="3"/>
        <v>0.48739851903114145</v>
      </c>
      <c r="G62" s="49">
        <f t="shared" si="3"/>
        <v>3.8183784261461616E-3</v>
      </c>
      <c r="H62" s="49">
        <f t="shared" si="3"/>
        <v>2.7471005161342261</v>
      </c>
      <c r="I62" s="214">
        <f t="shared" si="3"/>
        <v>1.758619646897885</v>
      </c>
      <c r="J62" s="215">
        <f t="shared" si="3"/>
        <v>9.8658916537585384</v>
      </c>
      <c r="K62" s="49">
        <f t="shared" si="3"/>
        <v>2.9201573021885134E-3</v>
      </c>
      <c r="L62" s="49">
        <f t="shared" si="3"/>
        <v>2.1076756109520911</v>
      </c>
      <c r="M62" s="214">
        <f t="shared" si="3"/>
        <v>1.3491950560428956</v>
      </c>
      <c r="N62" s="215">
        <f t="shared" si="3"/>
        <v>1.1140346000000001</v>
      </c>
      <c r="O62" s="49">
        <f t="shared" si="3"/>
        <v>8.7275720309453256E-3</v>
      </c>
      <c r="P62" s="49">
        <f t="shared" si="3"/>
        <v>6.1908877051877207</v>
      </c>
      <c r="Q62" s="214">
        <f t="shared" si="3"/>
        <v>3.9643029087265349</v>
      </c>
      <c r="R62" s="215">
        <f t="shared" si="3"/>
        <v>1.6682981516215678</v>
      </c>
      <c r="S62" s="49">
        <f t="shared" si="3"/>
        <v>1.3069784625513586E-2</v>
      </c>
      <c r="T62" s="49">
        <f t="shared" si="3"/>
        <v>9.752119064162768</v>
      </c>
      <c r="U62" s="214">
        <f t="shared" si="3"/>
        <v>6.2388277148542768</v>
      </c>
      <c r="V62" s="215">
        <f t="shared" si="3"/>
        <v>0</v>
      </c>
      <c r="W62" s="49">
        <f t="shared" si="3"/>
        <v>0</v>
      </c>
      <c r="X62" s="49">
        <f t="shared" si="3"/>
        <v>0</v>
      </c>
      <c r="Y62" s="214">
        <f t="shared" si="3"/>
        <v>0</v>
      </c>
      <c r="Z62" s="215">
        <f t="shared" si="3"/>
        <v>0</v>
      </c>
      <c r="AA62" s="49">
        <f t="shared" si="3"/>
        <v>0</v>
      </c>
      <c r="AB62" s="49">
        <f t="shared" si="3"/>
        <v>0</v>
      </c>
      <c r="AC62" s="214">
        <f t="shared" si="3"/>
        <v>0</v>
      </c>
      <c r="AD62" s="215">
        <f t="shared" si="3"/>
        <v>4.3556407729468595E-2</v>
      </c>
      <c r="AE62" s="49">
        <f t="shared" si="3"/>
        <v>1.0090649528006363E-2</v>
      </c>
      <c r="AF62" s="49">
        <f t="shared" si="3"/>
        <v>0</v>
      </c>
      <c r="AG62" s="214">
        <f t="shared" si="3"/>
        <v>4.9707049327700261</v>
      </c>
      <c r="AH62" s="215">
        <f t="shared" si="3"/>
        <v>6.8227486460000009</v>
      </c>
      <c r="AI62" s="49">
        <f t="shared" si="3"/>
        <v>5.3450790717810455E-2</v>
      </c>
      <c r="AJ62" s="49">
        <f t="shared" si="3"/>
        <v>37.91522337646208</v>
      </c>
      <c r="AK62" s="214">
        <f t="shared" si="3"/>
        <v>24.278817105723487</v>
      </c>
      <c r="AL62" s="215">
        <f t="shared" si="3"/>
        <v>0.27844671842671315</v>
      </c>
      <c r="AM62" s="49">
        <f t="shared" si="3"/>
        <v>2.181407823284384E-3</v>
      </c>
      <c r="AN62" s="49">
        <f t="shared" si="3"/>
        <v>1.4040472346319057</v>
      </c>
      <c r="AO62" s="56">
        <f t="shared" si="3"/>
        <v>0.90082955756468819</v>
      </c>
      <c r="AP62" s="215">
        <f t="shared" si="3"/>
        <v>3.7107000000000001</v>
      </c>
      <c r="AQ62" s="49">
        <f t="shared" si="3"/>
        <v>1.6796215603595739E-2</v>
      </c>
      <c r="AR62" s="49">
        <f t="shared" si="3"/>
        <v>0</v>
      </c>
      <c r="AS62" s="214">
        <f t="shared" si="3"/>
        <v>0.66553458594785686</v>
      </c>
    </row>
    <row r="63" spans="1:47" x14ac:dyDescent="0.35">
      <c r="A63" s="192" t="s">
        <v>391</v>
      </c>
      <c r="B63" s="215">
        <f t="shared" ref="B63:AS63" si="4">B46-B51</f>
        <v>4.8378540945841202</v>
      </c>
      <c r="C63" s="49">
        <f t="shared" si="4"/>
        <v>3.7900725961012946E-2</v>
      </c>
      <c r="D63" s="56">
        <f t="shared" si="4"/>
        <v>33.732063722795445</v>
      </c>
      <c r="E63" s="214">
        <f t="shared" si="4"/>
        <v>19.442657921755327</v>
      </c>
      <c r="F63" s="215">
        <f t="shared" si="4"/>
        <v>6.2759685034602111</v>
      </c>
      <c r="G63" s="49">
        <f t="shared" si="4"/>
        <v>4.9167204661231451E-2</v>
      </c>
      <c r="H63" s="56">
        <f t="shared" si="4"/>
        <v>39.210598492556549</v>
      </c>
      <c r="I63" s="214">
        <f t="shared" si="4"/>
        <v>22.644799035165381</v>
      </c>
      <c r="J63" s="215">
        <f t="shared" si="4"/>
        <v>7.5758781920633273E-3</v>
      </c>
      <c r="K63" s="49">
        <f t="shared" si="4"/>
        <v>6.6104476228603715E-2</v>
      </c>
      <c r="L63" s="56">
        <f t="shared" si="4"/>
        <v>52.888440659795073</v>
      </c>
      <c r="M63" s="214">
        <f t="shared" si="4"/>
        <v>30.542132933419499</v>
      </c>
      <c r="N63" s="215">
        <f t="shared" si="4"/>
        <v>8.5751347500000001</v>
      </c>
      <c r="O63" s="49">
        <f t="shared" si="4"/>
        <v>6.7179337343460724E-2</v>
      </c>
      <c r="P63" s="56">
        <f t="shared" si="4"/>
        <v>52.823548341666651</v>
      </c>
      <c r="Q63" s="214">
        <f t="shared" si="4"/>
        <v>30.51470002111872</v>
      </c>
      <c r="R63" s="215">
        <f t="shared" si="4"/>
        <v>4.5361655233939295</v>
      </c>
      <c r="S63" s="49">
        <f t="shared" si="4"/>
        <v>3.5537236769586263E-2</v>
      </c>
      <c r="T63" s="56">
        <f t="shared" si="4"/>
        <v>29.393181093979841</v>
      </c>
      <c r="U63" s="214">
        <f t="shared" si="4"/>
        <v>16.963607589571971</v>
      </c>
      <c r="V63" s="215">
        <f t="shared" si="4"/>
        <v>14.105</v>
      </c>
      <c r="W63" s="49">
        <f t="shared" si="4"/>
        <v>8.8401134755767052E-2</v>
      </c>
      <c r="X63" s="56">
        <f t="shared" si="4"/>
        <v>39.882919999999991</v>
      </c>
      <c r="Y63" s="214">
        <f t="shared" si="4"/>
        <v>7.5131095890410942</v>
      </c>
      <c r="Z63" s="215">
        <f t="shared" si="4"/>
        <v>8.5617349999999988</v>
      </c>
      <c r="AA63" s="49">
        <f t="shared" si="4"/>
        <v>6.7074360995938248E-2</v>
      </c>
      <c r="AB63" s="56">
        <f t="shared" si="4"/>
        <v>81.488982528735647</v>
      </c>
      <c r="AC63" s="214">
        <f t="shared" si="4"/>
        <v>25.978175925051175</v>
      </c>
      <c r="AD63" s="215">
        <f t="shared" si="4"/>
        <v>0.25190541968599045</v>
      </c>
      <c r="AE63" s="49">
        <f t="shared" si="4"/>
        <v>2.718500645867504E-2</v>
      </c>
      <c r="AF63" s="56">
        <f t="shared" si="4"/>
        <v>36.852365753894084</v>
      </c>
      <c r="AG63" s="214">
        <f t="shared" si="4"/>
        <v>13.391471512956088</v>
      </c>
      <c r="AH63" s="215">
        <f t="shared" si="4"/>
        <v>1.8731369474999999</v>
      </c>
      <c r="AI63" s="49">
        <f t="shared" si="4"/>
        <v>1.4674533118748107E-2</v>
      </c>
      <c r="AJ63" s="56">
        <f t="shared" si="4"/>
        <v>11.538680496750001</v>
      </c>
      <c r="AK63" s="214">
        <f t="shared" si="4"/>
        <v>6.6655759609417817</v>
      </c>
      <c r="AL63" s="215">
        <f t="shared" si="4"/>
        <v>1.4070008388814945</v>
      </c>
      <c r="AM63" s="49">
        <f t="shared" si="4"/>
        <v>1.1022728709627814E-2</v>
      </c>
      <c r="AN63" s="56">
        <f t="shared" si="4"/>
        <v>7.8644135258662722</v>
      </c>
      <c r="AO63" s="56">
        <f t="shared" si="4"/>
        <v>4.5519227173666899</v>
      </c>
      <c r="AP63" s="215">
        <f t="shared" si="4"/>
        <v>9.9969187500000007</v>
      </c>
      <c r="AQ63" s="49">
        <f t="shared" si="4"/>
        <v>4.5250330853108263E-2</v>
      </c>
      <c r="AR63" s="56">
        <f t="shared" si="4"/>
        <v>44.290300645161295</v>
      </c>
      <c r="AS63" s="214">
        <f t="shared" si="4"/>
        <v>1.7930027167476801</v>
      </c>
    </row>
    <row r="64" spans="1:47" x14ac:dyDescent="0.35">
      <c r="A64" s="192" t="s">
        <v>392</v>
      </c>
      <c r="B64" s="215">
        <f t="shared" ref="B64:AS64" si="5">B47-B52</f>
        <v>0.2080815860006644</v>
      </c>
      <c r="C64" s="49">
        <f t="shared" si="5"/>
        <v>1.63015316591975E-3</v>
      </c>
      <c r="D64" s="56">
        <f t="shared" si="5"/>
        <v>1.3088546630768128</v>
      </c>
      <c r="E64" s="214">
        <f t="shared" si="5"/>
        <v>0.83625074616373063</v>
      </c>
      <c r="F64" s="215">
        <f t="shared" si="5"/>
        <v>0</v>
      </c>
      <c r="G64" s="49">
        <f t="shared" si="5"/>
        <v>0</v>
      </c>
      <c r="H64" s="56">
        <f t="shared" si="5"/>
        <v>0</v>
      </c>
      <c r="I64" s="214">
        <f t="shared" si="5"/>
        <v>0</v>
      </c>
      <c r="J64" s="215">
        <f t="shared" si="5"/>
        <v>0</v>
      </c>
      <c r="K64" s="49">
        <f t="shared" si="5"/>
        <v>1.2501007848833797E-3</v>
      </c>
      <c r="L64" s="56">
        <f t="shared" si="5"/>
        <v>0.90228253579220175</v>
      </c>
      <c r="M64" s="214">
        <f t="shared" si="5"/>
        <v>0.57758183001167551</v>
      </c>
      <c r="N64" s="215">
        <f t="shared" si="5"/>
        <v>0</v>
      </c>
      <c r="O64" s="49">
        <f t="shared" si="5"/>
        <v>0</v>
      </c>
      <c r="P64" s="56">
        <f t="shared" si="5"/>
        <v>0</v>
      </c>
      <c r="Q64" s="214">
        <f t="shared" si="5"/>
        <v>0</v>
      </c>
      <c r="R64" s="215">
        <f t="shared" si="5"/>
        <v>0.70490354410245781</v>
      </c>
      <c r="S64" s="49">
        <f t="shared" si="5"/>
        <v>5.5223567167688014E-3</v>
      </c>
      <c r="T64" s="56">
        <f t="shared" si="5"/>
        <v>4.1205484068634455</v>
      </c>
      <c r="U64" s="214">
        <f t="shared" si="5"/>
        <v>2.6360826228638041</v>
      </c>
      <c r="V64" s="215">
        <f t="shared" si="5"/>
        <v>0</v>
      </c>
      <c r="W64" s="49">
        <f t="shared" si="5"/>
        <v>0</v>
      </c>
      <c r="X64" s="56">
        <f t="shared" si="5"/>
        <v>0</v>
      </c>
      <c r="Y64" s="214">
        <f t="shared" si="5"/>
        <v>0</v>
      </c>
      <c r="Z64" s="215">
        <f t="shared" si="5"/>
        <v>0</v>
      </c>
      <c r="AA64" s="49">
        <f t="shared" si="5"/>
        <v>0</v>
      </c>
      <c r="AB64" s="56">
        <f t="shared" si="5"/>
        <v>0</v>
      </c>
      <c r="AC64" s="214">
        <f t="shared" si="5"/>
        <v>0</v>
      </c>
      <c r="AD64" s="215">
        <f t="shared" si="5"/>
        <v>0</v>
      </c>
      <c r="AE64" s="49">
        <f t="shared" si="5"/>
        <v>8.5770520988054065E-3</v>
      </c>
      <c r="AF64" s="56">
        <f t="shared" si="5"/>
        <v>0</v>
      </c>
      <c r="AG64" s="214">
        <f t="shared" si="5"/>
        <v>4.2250991928545227</v>
      </c>
      <c r="AH64" s="215">
        <f t="shared" si="5"/>
        <v>0</v>
      </c>
      <c r="AI64" s="49">
        <f t="shared" si="5"/>
        <v>0</v>
      </c>
      <c r="AJ64" s="56">
        <f t="shared" si="5"/>
        <v>0</v>
      </c>
      <c r="AK64" s="214">
        <f t="shared" si="5"/>
        <v>0</v>
      </c>
      <c r="AL64" s="215">
        <f t="shared" si="5"/>
        <v>5.0113306084195433</v>
      </c>
      <c r="AM64" s="49">
        <f t="shared" si="5"/>
        <v>3.9259776003243194E-2</v>
      </c>
      <c r="AN64" s="56">
        <f t="shared" si="5"/>
        <v>25.269268470224738</v>
      </c>
      <c r="AO64" s="56">
        <f t="shared" si="5"/>
        <v>16.212634001578763</v>
      </c>
      <c r="AP64" s="215">
        <f t="shared" si="5"/>
        <v>3.1540949999999999</v>
      </c>
      <c r="AQ64" s="49">
        <f t="shared" si="5"/>
        <v>1.4276783263056378E-2</v>
      </c>
      <c r="AR64" s="56">
        <f t="shared" si="5"/>
        <v>0</v>
      </c>
      <c r="AS64" s="214">
        <f t="shared" si="5"/>
        <v>0.5657043980556784</v>
      </c>
    </row>
    <row r="65" spans="1:48" x14ac:dyDescent="0.35">
      <c r="A65" s="172"/>
      <c r="B65" s="196"/>
      <c r="E65" s="191"/>
      <c r="F65" s="196"/>
      <c r="I65" s="191"/>
      <c r="J65" s="196"/>
      <c r="M65" s="191"/>
      <c r="N65" s="196"/>
      <c r="Q65" s="191"/>
      <c r="R65" s="196"/>
      <c r="U65" s="191"/>
      <c r="V65" s="196"/>
      <c r="Y65" s="191"/>
      <c r="Z65" s="196"/>
      <c r="AC65" s="191"/>
      <c r="AD65" s="196"/>
      <c r="AG65" s="191"/>
      <c r="AH65" s="196"/>
      <c r="AK65" s="191"/>
      <c r="AL65" s="196"/>
      <c r="AP65" s="196"/>
      <c r="AS65" s="191"/>
    </row>
    <row r="66" spans="1:48" x14ac:dyDescent="0.35">
      <c r="A66" s="204" t="s">
        <v>417</v>
      </c>
      <c r="B66" s="222"/>
      <c r="C66" s="14"/>
      <c r="D66" s="14"/>
      <c r="E66" s="199"/>
      <c r="F66" s="222"/>
      <c r="G66" s="14"/>
      <c r="H66" s="14"/>
      <c r="I66" s="199"/>
      <c r="J66" s="222"/>
      <c r="K66" s="14"/>
      <c r="L66" s="14"/>
      <c r="M66" s="199"/>
      <c r="N66" s="222"/>
      <c r="O66" s="14"/>
      <c r="P66" s="14"/>
      <c r="Q66" s="199"/>
      <c r="R66" s="222"/>
      <c r="S66" s="14"/>
      <c r="T66" s="14"/>
      <c r="U66" s="199"/>
      <c r="V66" s="222"/>
      <c r="W66" s="14"/>
      <c r="X66" s="14"/>
      <c r="Y66" s="199"/>
      <c r="Z66" s="222"/>
      <c r="AA66" s="14"/>
      <c r="AB66" s="14"/>
      <c r="AC66" s="199"/>
      <c r="AD66" s="222"/>
      <c r="AE66" s="14"/>
      <c r="AF66" s="14"/>
      <c r="AG66" s="199"/>
      <c r="AH66" s="222"/>
      <c r="AI66" s="14"/>
      <c r="AJ66" s="14"/>
      <c r="AK66" s="199"/>
      <c r="AL66" s="222"/>
      <c r="AM66" s="14"/>
      <c r="AN66" s="14"/>
      <c r="AO66" s="14"/>
      <c r="AP66" s="222"/>
      <c r="AQ66" s="14"/>
      <c r="AR66" s="14"/>
      <c r="AS66" s="199"/>
      <c r="AU66" s="126" t="s">
        <v>418</v>
      </c>
    </row>
    <row r="67" spans="1:48" x14ac:dyDescent="0.35">
      <c r="A67" s="192" t="s">
        <v>390</v>
      </c>
      <c r="B67" s="223">
        <f t="shared" ref="B67:AS67" si="6">B62</f>
        <v>6.5025495625207442E-3</v>
      </c>
      <c r="C67" s="52">
        <f t="shared" si="6"/>
        <v>5.0942286434992066E-5</v>
      </c>
      <c r="D67" s="57">
        <f t="shared" si="6"/>
        <v>4.0901708221150287E-2</v>
      </c>
      <c r="E67" s="224">
        <f t="shared" si="6"/>
        <v>2.6132835817616509E-2</v>
      </c>
      <c r="F67" s="223">
        <f t="shared" si="6"/>
        <v>0.48739851903114145</v>
      </c>
      <c r="G67" s="52">
        <f t="shared" si="6"/>
        <v>3.8183784261461616E-3</v>
      </c>
      <c r="H67" s="57">
        <f t="shared" si="6"/>
        <v>2.7471005161342261</v>
      </c>
      <c r="I67" s="224">
        <f t="shared" si="6"/>
        <v>1.758619646897885</v>
      </c>
      <c r="J67" s="223">
        <f t="shared" si="6"/>
        <v>9.8658916537585384</v>
      </c>
      <c r="K67" s="52">
        <f t="shared" si="6"/>
        <v>2.9201573021885134E-3</v>
      </c>
      <c r="L67" s="57">
        <f t="shared" si="6"/>
        <v>2.1076756109520911</v>
      </c>
      <c r="M67" s="224">
        <f t="shared" si="6"/>
        <v>1.3491950560428956</v>
      </c>
      <c r="N67" s="223">
        <f t="shared" si="6"/>
        <v>1.1140346000000001</v>
      </c>
      <c r="O67" s="52">
        <f t="shared" si="6"/>
        <v>8.7275720309453256E-3</v>
      </c>
      <c r="P67" s="57">
        <f t="shared" si="6"/>
        <v>6.1908877051877207</v>
      </c>
      <c r="Q67" s="224">
        <f t="shared" si="6"/>
        <v>3.9643029087265349</v>
      </c>
      <c r="R67" s="223">
        <f t="shared" si="6"/>
        <v>1.6682981516215678</v>
      </c>
      <c r="S67" s="52">
        <f t="shared" si="6"/>
        <v>1.3069784625513586E-2</v>
      </c>
      <c r="T67" s="57">
        <f t="shared" si="6"/>
        <v>9.752119064162768</v>
      </c>
      <c r="U67" s="224">
        <f t="shared" si="6"/>
        <v>6.2388277148542768</v>
      </c>
      <c r="V67" s="223">
        <f t="shared" si="6"/>
        <v>0</v>
      </c>
      <c r="W67" s="52">
        <f t="shared" si="6"/>
        <v>0</v>
      </c>
      <c r="X67" s="57">
        <f t="shared" si="6"/>
        <v>0</v>
      </c>
      <c r="Y67" s="224">
        <f t="shared" si="6"/>
        <v>0</v>
      </c>
      <c r="Z67" s="223">
        <f t="shared" si="6"/>
        <v>0</v>
      </c>
      <c r="AA67" s="52">
        <f t="shared" si="6"/>
        <v>0</v>
      </c>
      <c r="AB67" s="57">
        <f t="shared" si="6"/>
        <v>0</v>
      </c>
      <c r="AC67" s="224">
        <f t="shared" si="6"/>
        <v>0</v>
      </c>
      <c r="AD67" s="223">
        <f t="shared" si="6"/>
        <v>4.3556407729468595E-2</v>
      </c>
      <c r="AE67" s="52">
        <f t="shared" si="6"/>
        <v>1.0090649528006363E-2</v>
      </c>
      <c r="AF67" s="57">
        <f t="shared" si="6"/>
        <v>0</v>
      </c>
      <c r="AG67" s="224">
        <f t="shared" si="6"/>
        <v>4.9707049327700261</v>
      </c>
      <c r="AH67" s="223">
        <f t="shared" si="6"/>
        <v>6.8227486460000009</v>
      </c>
      <c r="AI67" s="52">
        <f t="shared" si="6"/>
        <v>5.3450790717810455E-2</v>
      </c>
      <c r="AJ67" s="57">
        <f t="shared" si="6"/>
        <v>37.91522337646208</v>
      </c>
      <c r="AK67" s="224">
        <f t="shared" si="6"/>
        <v>24.278817105723487</v>
      </c>
      <c r="AL67" s="223">
        <f t="shared" si="6"/>
        <v>0.27844671842671315</v>
      </c>
      <c r="AM67" s="52">
        <f t="shared" si="6"/>
        <v>2.181407823284384E-3</v>
      </c>
      <c r="AN67" s="57">
        <f t="shared" si="6"/>
        <v>1.4040472346319057</v>
      </c>
      <c r="AO67" s="57">
        <f t="shared" si="6"/>
        <v>0.90082955756468819</v>
      </c>
      <c r="AP67" s="223">
        <f t="shared" si="6"/>
        <v>3.7107000000000001</v>
      </c>
      <c r="AQ67" s="52">
        <f t="shared" si="6"/>
        <v>1.6796215603595739E-2</v>
      </c>
      <c r="AR67" s="57">
        <f t="shared" si="6"/>
        <v>0</v>
      </c>
      <c r="AS67" s="224">
        <f t="shared" si="6"/>
        <v>0.66553458594785686</v>
      </c>
    </row>
    <row r="68" spans="1:48" x14ac:dyDescent="0.35">
      <c r="A68" s="192" t="s">
        <v>391</v>
      </c>
      <c r="B68" s="215">
        <f t="shared" ref="B68:AS68" si="7">B63+((B41-B46)*B71)</f>
        <v>5.1568334854358202</v>
      </c>
      <c r="C68" s="49">
        <f t="shared" si="7"/>
        <v>4.0399674925475339E-2</v>
      </c>
      <c r="D68" s="56">
        <f t="shared" si="7"/>
        <v>35.712419714348997</v>
      </c>
      <c r="E68" s="214">
        <f t="shared" si="7"/>
        <v>20.724591411101834</v>
      </c>
      <c r="F68" s="215">
        <f t="shared" si="7"/>
        <v>6.6897686245674777</v>
      </c>
      <c r="G68" s="49">
        <f t="shared" si="7"/>
        <v>5.2408998375158798E-2</v>
      </c>
      <c r="H68" s="56">
        <f t="shared" si="7"/>
        <v>41.512590576268288</v>
      </c>
      <c r="I68" s="214">
        <f t="shared" si="7"/>
        <v>24.137862707813646</v>
      </c>
      <c r="J68" s="215">
        <f t="shared" si="7"/>
        <v>8.0753866442872836E-3</v>
      </c>
      <c r="K68" s="49">
        <f t="shared" si="7"/>
        <v>7.0463013122797361E-2</v>
      </c>
      <c r="L68" s="56">
        <f t="shared" si="7"/>
        <v>55.993437176025701</v>
      </c>
      <c r="M68" s="214">
        <f t="shared" si="7"/>
        <v>32.555899940018584</v>
      </c>
      <c r="N68" s="215">
        <f t="shared" si="7"/>
        <v>9.1405282500000009</v>
      </c>
      <c r="O68" s="49">
        <f t="shared" si="7"/>
        <v>7.1608744201271321E-2</v>
      </c>
      <c r="P68" s="56">
        <f t="shared" si="7"/>
        <v>55.924735132762542</v>
      </c>
      <c r="Q68" s="214">
        <f t="shared" si="7"/>
        <v>32.526658264269408</v>
      </c>
      <c r="R68" s="215">
        <f t="shared" si="7"/>
        <v>4.8352533601012215</v>
      </c>
      <c r="S68" s="49">
        <f t="shared" si="7"/>
        <v>3.7880351281866675E-2</v>
      </c>
      <c r="T68" s="56">
        <f t="shared" si="7"/>
        <v>31.118808164076505</v>
      </c>
      <c r="U68" s="214">
        <f t="shared" si="7"/>
        <v>18.082087210862433</v>
      </c>
      <c r="V68" s="215">
        <f t="shared" si="7"/>
        <v>15.035</v>
      </c>
      <c r="W68" s="49">
        <f t="shared" si="7"/>
        <v>9.4229781003400043E-2</v>
      </c>
      <c r="X68" s="56">
        <f t="shared" si="7"/>
        <v>42.22438301369862</v>
      </c>
      <c r="Y68" s="214">
        <f t="shared" si="7"/>
        <v>8.0084794520547931</v>
      </c>
      <c r="Z68" s="215">
        <f t="shared" si="7"/>
        <v>9.1262449999999991</v>
      </c>
      <c r="AA68" s="49">
        <f t="shared" si="7"/>
        <v>7.1496846336329786E-2</v>
      </c>
      <c r="AB68" s="56">
        <f t="shared" si="7"/>
        <v>86.27307152259489</v>
      </c>
      <c r="AC68" s="214">
        <f t="shared" si="7"/>
        <v>27.691022689340265</v>
      </c>
      <c r="AD68" s="215">
        <f t="shared" si="7"/>
        <v>0.2685145682367151</v>
      </c>
      <c r="AE68" s="49">
        <f t="shared" si="7"/>
        <v>2.8977424466939329E-2</v>
      </c>
      <c r="AF68" s="56">
        <f t="shared" si="7"/>
        <v>39.015909731617811</v>
      </c>
      <c r="AG68" s="214">
        <f t="shared" si="7"/>
        <v>14.2744256786455</v>
      </c>
      <c r="AH68" s="215">
        <f t="shared" si="7"/>
        <v>1.9966404824999999</v>
      </c>
      <c r="AI68" s="49">
        <f t="shared" si="7"/>
        <v>1.5642084752951278E-2</v>
      </c>
      <c r="AJ68" s="56">
        <f t="shared" si="7"/>
        <v>12.216098138437868</v>
      </c>
      <c r="AK68" s="214">
        <f t="shared" si="7"/>
        <v>7.1050644858390424</v>
      </c>
      <c r="AL68" s="215">
        <f t="shared" si="7"/>
        <v>1.4997701249615931</v>
      </c>
      <c r="AM68" s="49">
        <f t="shared" si="7"/>
        <v>1.1749502031141735E-2</v>
      </c>
      <c r="AN68" s="56">
        <f t="shared" si="7"/>
        <v>8.3261207778740776</v>
      </c>
      <c r="AO68" s="56">
        <f t="shared" si="7"/>
        <v>4.8520494899403177</v>
      </c>
      <c r="AP68" s="215">
        <f t="shared" si="7"/>
        <v>10.656056250000001</v>
      </c>
      <c r="AQ68" s="49">
        <f t="shared" si="7"/>
        <v>4.8233869151115404E-2</v>
      </c>
      <c r="AR68" s="56">
        <f t="shared" si="7"/>
        <v>46.8905139902784</v>
      </c>
      <c r="AS68" s="214">
        <f t="shared" si="7"/>
        <v>1.911222676093681</v>
      </c>
      <c r="AU68" t="s">
        <v>419</v>
      </c>
    </row>
    <row r="69" spans="1:48" x14ac:dyDescent="0.35">
      <c r="A69" s="192" t="s">
        <v>395</v>
      </c>
      <c r="B69" s="215">
        <f t="shared" ref="B69:AS69" si="8">B64</f>
        <v>0.2080815860006644</v>
      </c>
      <c r="C69" s="49">
        <f t="shared" si="8"/>
        <v>1.63015316591975E-3</v>
      </c>
      <c r="D69" s="56">
        <f t="shared" si="8"/>
        <v>1.3088546630768128</v>
      </c>
      <c r="E69" s="214">
        <f t="shared" si="8"/>
        <v>0.83625074616373063</v>
      </c>
      <c r="F69" s="215">
        <f t="shared" si="8"/>
        <v>0</v>
      </c>
      <c r="G69" s="49">
        <f t="shared" si="8"/>
        <v>0</v>
      </c>
      <c r="H69" s="56">
        <f t="shared" si="8"/>
        <v>0</v>
      </c>
      <c r="I69" s="214">
        <f t="shared" si="8"/>
        <v>0</v>
      </c>
      <c r="J69" s="215">
        <f t="shared" si="8"/>
        <v>0</v>
      </c>
      <c r="K69" s="49">
        <f t="shared" si="8"/>
        <v>1.2501007848833797E-3</v>
      </c>
      <c r="L69" s="56">
        <f t="shared" si="8"/>
        <v>0.90228253579220175</v>
      </c>
      <c r="M69" s="214">
        <f t="shared" si="8"/>
        <v>0.57758183001167551</v>
      </c>
      <c r="N69" s="215">
        <f t="shared" si="8"/>
        <v>0</v>
      </c>
      <c r="O69" s="49">
        <f t="shared" si="8"/>
        <v>0</v>
      </c>
      <c r="P69" s="56">
        <f t="shared" si="8"/>
        <v>0</v>
      </c>
      <c r="Q69" s="214">
        <f t="shared" si="8"/>
        <v>0</v>
      </c>
      <c r="R69" s="215">
        <f t="shared" si="8"/>
        <v>0.70490354410245781</v>
      </c>
      <c r="S69" s="49">
        <f t="shared" si="8"/>
        <v>5.5223567167688014E-3</v>
      </c>
      <c r="T69" s="56">
        <f t="shared" si="8"/>
        <v>4.1205484068634455</v>
      </c>
      <c r="U69" s="214">
        <f t="shared" si="8"/>
        <v>2.6360826228638041</v>
      </c>
      <c r="V69" s="215">
        <f t="shared" si="8"/>
        <v>0</v>
      </c>
      <c r="W69" s="49">
        <f t="shared" si="8"/>
        <v>0</v>
      </c>
      <c r="X69" s="56">
        <f t="shared" si="8"/>
        <v>0</v>
      </c>
      <c r="Y69" s="214">
        <f t="shared" si="8"/>
        <v>0</v>
      </c>
      <c r="Z69" s="215">
        <f t="shared" si="8"/>
        <v>0</v>
      </c>
      <c r="AA69" s="49">
        <f t="shared" si="8"/>
        <v>0</v>
      </c>
      <c r="AB69" s="56">
        <f t="shared" si="8"/>
        <v>0</v>
      </c>
      <c r="AC69" s="214">
        <f t="shared" si="8"/>
        <v>0</v>
      </c>
      <c r="AD69" s="215">
        <f t="shared" si="8"/>
        <v>0</v>
      </c>
      <c r="AE69" s="49">
        <f t="shared" si="8"/>
        <v>8.5770520988054065E-3</v>
      </c>
      <c r="AF69" s="56">
        <f t="shared" si="8"/>
        <v>0</v>
      </c>
      <c r="AG69" s="214">
        <f t="shared" si="8"/>
        <v>4.2250991928545227</v>
      </c>
      <c r="AH69" s="215">
        <f t="shared" si="8"/>
        <v>0</v>
      </c>
      <c r="AI69" s="49">
        <f t="shared" si="8"/>
        <v>0</v>
      </c>
      <c r="AJ69" s="56">
        <f t="shared" si="8"/>
        <v>0</v>
      </c>
      <c r="AK69" s="214">
        <f t="shared" si="8"/>
        <v>0</v>
      </c>
      <c r="AL69" s="215">
        <f t="shared" si="8"/>
        <v>5.0113306084195433</v>
      </c>
      <c r="AM69" s="49">
        <f t="shared" si="8"/>
        <v>3.9259776003243194E-2</v>
      </c>
      <c r="AN69" s="56">
        <f t="shared" si="8"/>
        <v>25.269268470224738</v>
      </c>
      <c r="AO69" s="56">
        <f t="shared" si="8"/>
        <v>16.212634001578763</v>
      </c>
      <c r="AP69" s="215">
        <f t="shared" si="8"/>
        <v>3.1540949999999999</v>
      </c>
      <c r="AQ69" s="49">
        <f t="shared" si="8"/>
        <v>1.4276783263056378E-2</v>
      </c>
      <c r="AR69" s="56">
        <f t="shared" si="8"/>
        <v>0</v>
      </c>
      <c r="AS69" s="214">
        <f t="shared" si="8"/>
        <v>0.5657043980556784</v>
      </c>
    </row>
    <row r="70" spans="1:48" x14ac:dyDescent="0.35">
      <c r="A70" s="172"/>
      <c r="B70" s="196"/>
      <c r="E70" s="191"/>
      <c r="F70" s="196"/>
      <c r="I70" s="191"/>
      <c r="J70" s="196"/>
      <c r="M70" s="191"/>
      <c r="N70" s="196"/>
      <c r="Q70" s="191"/>
      <c r="R70" s="196"/>
      <c r="U70" s="191"/>
      <c r="V70" s="196"/>
      <c r="Y70" s="191"/>
      <c r="Z70" s="196"/>
      <c r="AC70" s="191"/>
      <c r="AD70" s="196"/>
      <c r="AG70" s="191"/>
      <c r="AH70" s="196"/>
      <c r="AK70" s="191"/>
      <c r="AL70" s="196"/>
      <c r="AP70" s="196"/>
      <c r="AS70" s="191"/>
    </row>
    <row r="71" spans="1:48" x14ac:dyDescent="0.35">
      <c r="A71" s="192" t="s">
        <v>420</v>
      </c>
      <c r="B71" s="225">
        <v>0.1</v>
      </c>
      <c r="C71" s="118">
        <v>0.1</v>
      </c>
      <c r="D71" s="118">
        <v>0.1</v>
      </c>
      <c r="E71" s="226">
        <v>0.1</v>
      </c>
      <c r="F71" s="225">
        <v>0.1</v>
      </c>
      <c r="G71" s="118">
        <v>0.1</v>
      </c>
      <c r="H71" s="118">
        <v>0.1</v>
      </c>
      <c r="I71" s="226">
        <v>0.1</v>
      </c>
      <c r="J71" s="225">
        <v>0.1</v>
      </c>
      <c r="K71" s="118">
        <v>0.1</v>
      </c>
      <c r="L71" s="118">
        <v>0.1</v>
      </c>
      <c r="M71" s="226">
        <v>0.1</v>
      </c>
      <c r="N71" s="225">
        <v>0.1</v>
      </c>
      <c r="O71" s="118">
        <v>0.1</v>
      </c>
      <c r="P71" s="118">
        <v>0.1</v>
      </c>
      <c r="Q71" s="226">
        <v>0.1</v>
      </c>
      <c r="R71" s="225">
        <v>0.1</v>
      </c>
      <c r="S71" s="118">
        <v>0.1</v>
      </c>
      <c r="T71" s="118">
        <v>0.1</v>
      </c>
      <c r="U71" s="226">
        <v>0.1</v>
      </c>
      <c r="V71" s="225">
        <v>0.1</v>
      </c>
      <c r="W71" s="118">
        <v>0.1</v>
      </c>
      <c r="X71" s="118">
        <v>0.1</v>
      </c>
      <c r="Y71" s="226">
        <v>0.1</v>
      </c>
      <c r="Z71" s="225">
        <v>0.1</v>
      </c>
      <c r="AA71" s="118">
        <v>0.1</v>
      </c>
      <c r="AB71" s="118">
        <v>0.1</v>
      </c>
      <c r="AC71" s="226">
        <v>0.1</v>
      </c>
      <c r="AD71" s="225">
        <v>0.1</v>
      </c>
      <c r="AE71" s="118">
        <v>0.1</v>
      </c>
      <c r="AF71" s="118">
        <v>0.1</v>
      </c>
      <c r="AG71" s="226">
        <v>0.1</v>
      </c>
      <c r="AH71" s="225">
        <v>0.1</v>
      </c>
      <c r="AI71" s="118">
        <v>0.1</v>
      </c>
      <c r="AJ71" s="118">
        <v>0.1</v>
      </c>
      <c r="AK71" s="226">
        <v>0.1</v>
      </c>
      <c r="AL71" s="225">
        <v>0.1</v>
      </c>
      <c r="AM71" s="118">
        <v>0.1</v>
      </c>
      <c r="AN71" s="118">
        <v>0.1</v>
      </c>
      <c r="AO71" s="118">
        <v>0.1</v>
      </c>
      <c r="AP71" s="225">
        <v>0.1</v>
      </c>
      <c r="AQ71" s="118">
        <v>0.1</v>
      </c>
      <c r="AR71" s="118">
        <v>0.1</v>
      </c>
      <c r="AS71" s="226">
        <v>0.1</v>
      </c>
      <c r="AT71" s="118"/>
      <c r="AU71" s="112" t="s">
        <v>421</v>
      </c>
    </row>
    <row r="72" spans="1:48" x14ac:dyDescent="0.35">
      <c r="A72" s="172"/>
      <c r="B72" s="196"/>
      <c r="E72" s="191"/>
      <c r="F72" s="196"/>
      <c r="I72" s="191"/>
      <c r="J72" s="196"/>
      <c r="M72" s="191"/>
      <c r="N72" s="196"/>
      <c r="Q72" s="191"/>
      <c r="R72" s="196"/>
      <c r="U72" s="191"/>
      <c r="V72" s="196"/>
      <c r="Y72" s="191"/>
      <c r="Z72" s="196"/>
      <c r="AC72" s="191"/>
      <c r="AD72" s="196"/>
      <c r="AG72" s="191"/>
      <c r="AH72" s="196"/>
      <c r="AK72" s="191"/>
      <c r="AL72" s="196"/>
      <c r="AP72" s="196"/>
      <c r="AS72" s="191"/>
    </row>
    <row r="73" spans="1:48" x14ac:dyDescent="0.35">
      <c r="A73" s="227" t="s">
        <v>422</v>
      </c>
      <c r="B73" s="198"/>
      <c r="C73" s="14"/>
      <c r="D73" s="14"/>
      <c r="E73" s="199"/>
      <c r="F73" s="198"/>
      <c r="G73" s="14"/>
      <c r="H73" s="14"/>
      <c r="I73" s="199"/>
      <c r="J73" s="198"/>
      <c r="K73" s="14"/>
      <c r="L73" s="14"/>
      <c r="M73" s="199"/>
      <c r="N73" s="198"/>
      <c r="O73" s="14"/>
      <c r="P73" s="14"/>
      <c r="Q73" s="199"/>
      <c r="R73" s="198"/>
      <c r="S73" s="14"/>
      <c r="T73" s="14"/>
      <c r="U73" s="199"/>
      <c r="V73" s="198"/>
      <c r="W73" s="14"/>
      <c r="X73" s="14"/>
      <c r="Y73" s="199"/>
      <c r="Z73" s="198"/>
      <c r="AA73" s="14"/>
      <c r="AB73" s="14"/>
      <c r="AC73" s="199"/>
      <c r="AD73" s="198"/>
      <c r="AE73" s="14"/>
      <c r="AF73" s="14"/>
      <c r="AG73" s="199"/>
      <c r="AH73" s="198"/>
      <c r="AI73" s="14"/>
      <c r="AJ73" s="14"/>
      <c r="AK73" s="199"/>
      <c r="AL73" s="198"/>
      <c r="AM73" s="14"/>
      <c r="AN73" s="14"/>
      <c r="AO73" s="14"/>
      <c r="AP73" s="198"/>
      <c r="AQ73" s="14"/>
      <c r="AR73" s="14"/>
      <c r="AS73" s="199"/>
      <c r="AU73" s="126" t="s">
        <v>423</v>
      </c>
      <c r="AV73" s="106" t="s">
        <v>424</v>
      </c>
    </row>
    <row r="74" spans="1:48" x14ac:dyDescent="0.35">
      <c r="A74" s="192" t="s">
        <v>390</v>
      </c>
      <c r="B74" s="228">
        <f t="shared" ref="B74:AS74" si="9">B67*B80</f>
        <v>1.8857393731310157E-3</v>
      </c>
      <c r="C74" s="13">
        <f t="shared" si="9"/>
        <v>1.4773263066147698E-5</v>
      </c>
      <c r="D74" s="13">
        <f t="shared" si="9"/>
        <v>1.1861495384133582E-2</v>
      </c>
      <c r="E74" s="209">
        <f t="shared" si="9"/>
        <v>7.5785223871087876E-3</v>
      </c>
      <c r="F74" s="228">
        <f t="shared" si="9"/>
        <v>0.14134557051903102</v>
      </c>
      <c r="G74" s="13">
        <f t="shared" si="9"/>
        <v>1.1073297435823868E-3</v>
      </c>
      <c r="H74" s="13">
        <f t="shared" si="9"/>
        <v>0.79665914967892548</v>
      </c>
      <c r="I74" s="209">
        <f t="shared" si="9"/>
        <v>0.50999969760038666</v>
      </c>
      <c r="J74" s="228">
        <f t="shared" si="9"/>
        <v>2.8611085795899758</v>
      </c>
      <c r="K74" s="13">
        <f t="shared" si="9"/>
        <v>8.4684561763466882E-4</v>
      </c>
      <c r="L74" s="13">
        <f t="shared" si="9"/>
        <v>0.61122592717610635</v>
      </c>
      <c r="M74" s="209">
        <f t="shared" si="9"/>
        <v>0.39126656625243972</v>
      </c>
      <c r="N74" s="228">
        <f t="shared" si="9"/>
        <v>0.32307003400000001</v>
      </c>
      <c r="O74" s="13">
        <f t="shared" si="9"/>
        <v>2.5309958889741442E-3</v>
      </c>
      <c r="P74" s="13">
        <f t="shared" si="9"/>
        <v>1.795357434504439</v>
      </c>
      <c r="Q74" s="209">
        <f t="shared" si="9"/>
        <v>1.1496478435306949</v>
      </c>
      <c r="R74" s="228">
        <f t="shared" si="9"/>
        <v>0.48380646397025462</v>
      </c>
      <c r="S74" s="13">
        <f t="shared" si="9"/>
        <v>3.7902375413989397E-3</v>
      </c>
      <c r="T74" s="13">
        <f t="shared" si="9"/>
        <v>2.8281145286072027</v>
      </c>
      <c r="U74" s="209">
        <f t="shared" si="9"/>
        <v>1.8092600373077401</v>
      </c>
      <c r="V74" s="228">
        <f t="shared" si="9"/>
        <v>0</v>
      </c>
      <c r="W74" s="13">
        <f t="shared" si="9"/>
        <v>0</v>
      </c>
      <c r="X74" s="13">
        <f t="shared" si="9"/>
        <v>0</v>
      </c>
      <c r="Y74" s="209">
        <f t="shared" si="9"/>
        <v>0</v>
      </c>
      <c r="Z74" s="228">
        <f t="shared" si="9"/>
        <v>0</v>
      </c>
      <c r="AA74" s="13">
        <f t="shared" si="9"/>
        <v>0</v>
      </c>
      <c r="AB74" s="13">
        <f t="shared" si="9"/>
        <v>0</v>
      </c>
      <c r="AC74" s="209">
        <f t="shared" si="9"/>
        <v>0</v>
      </c>
      <c r="AD74" s="228">
        <f t="shared" si="9"/>
        <v>1.2631358241545891E-2</v>
      </c>
      <c r="AE74" s="13">
        <f t="shared" si="9"/>
        <v>2.9262883631218451E-3</v>
      </c>
      <c r="AF74" s="13">
        <f t="shared" si="9"/>
        <v>0</v>
      </c>
      <c r="AG74" s="209">
        <f t="shared" si="9"/>
        <v>1.4415044305033076</v>
      </c>
      <c r="AH74" s="228">
        <f t="shared" si="9"/>
        <v>1.9785971073400002</v>
      </c>
      <c r="AI74" s="13">
        <f t="shared" si="9"/>
        <v>1.5500729308165031E-2</v>
      </c>
      <c r="AJ74" s="13">
        <f t="shared" si="9"/>
        <v>10.995414779174002</v>
      </c>
      <c r="AK74" s="209">
        <f t="shared" si="9"/>
        <v>7.040856960659811</v>
      </c>
      <c r="AL74" s="228">
        <f t="shared" si="9"/>
        <v>8.0749548343746813E-2</v>
      </c>
      <c r="AM74" s="13">
        <f t="shared" si="9"/>
        <v>6.3260826875247134E-4</v>
      </c>
      <c r="AN74" s="13">
        <f t="shared" si="9"/>
        <v>0.40717369804325265</v>
      </c>
      <c r="AO74" s="13">
        <f t="shared" si="9"/>
        <v>0.26124057169375958</v>
      </c>
      <c r="AP74" s="228">
        <f t="shared" si="9"/>
        <v>1.076103</v>
      </c>
      <c r="AQ74" s="13">
        <f t="shared" si="9"/>
        <v>4.8709025250427643E-3</v>
      </c>
      <c r="AR74" s="13">
        <f t="shared" si="9"/>
        <v>0</v>
      </c>
      <c r="AS74" s="209">
        <f t="shared" si="9"/>
        <v>0.19300502992487847</v>
      </c>
    </row>
    <row r="75" spans="1:48" x14ac:dyDescent="0.35">
      <c r="A75" s="192" t="s">
        <v>391</v>
      </c>
      <c r="B75" s="228">
        <f t="shared" ref="B75:AS75" si="10">B68*B81</f>
        <v>0.56725168339794019</v>
      </c>
      <c r="C75" s="13">
        <f t="shared" si="10"/>
        <v>4.4439642418022873E-3</v>
      </c>
      <c r="D75" s="13">
        <f t="shared" si="10"/>
        <v>3.9283661685783895</v>
      </c>
      <c r="E75" s="209">
        <f t="shared" si="10"/>
        <v>2.2797050552212017</v>
      </c>
      <c r="F75" s="228">
        <f t="shared" si="10"/>
        <v>0.73587454870242253</v>
      </c>
      <c r="G75" s="13">
        <f t="shared" si="10"/>
        <v>5.764989821267468E-3</v>
      </c>
      <c r="H75" s="13">
        <f t="shared" si="10"/>
        <v>4.5663849633895115</v>
      </c>
      <c r="I75" s="209">
        <f t="shared" si="10"/>
        <v>2.655164897859501</v>
      </c>
      <c r="J75" s="228">
        <f t="shared" si="10"/>
        <v>8.8829253087160118E-4</v>
      </c>
      <c r="K75" s="13">
        <f t="shared" si="10"/>
        <v>7.7509314435077097E-3</v>
      </c>
      <c r="L75" s="13">
        <f t="shared" si="10"/>
        <v>6.1592780893628269</v>
      </c>
      <c r="M75" s="209">
        <f t="shared" si="10"/>
        <v>3.5811489934020444</v>
      </c>
      <c r="N75" s="228">
        <f t="shared" si="10"/>
        <v>1.0054581075000002</v>
      </c>
      <c r="O75" s="13">
        <f t="shared" si="10"/>
        <v>7.8769618621398457E-3</v>
      </c>
      <c r="P75" s="13">
        <f t="shared" si="10"/>
        <v>6.1517208646038801</v>
      </c>
      <c r="Q75" s="209">
        <f t="shared" si="10"/>
        <v>3.5779324090696347</v>
      </c>
      <c r="R75" s="228">
        <f t="shared" si="10"/>
        <v>0.53187786961113437</v>
      </c>
      <c r="S75" s="13">
        <f t="shared" si="10"/>
        <v>4.1668386410053347E-3</v>
      </c>
      <c r="T75" s="13">
        <f t="shared" si="10"/>
        <v>3.4230688980484154</v>
      </c>
      <c r="U75" s="209">
        <f t="shared" si="10"/>
        <v>1.9890295931948676</v>
      </c>
      <c r="V75" s="228">
        <f t="shared" si="10"/>
        <v>1.65385</v>
      </c>
      <c r="W75" s="13">
        <f t="shared" si="10"/>
        <v>1.0365275910374006E-2</v>
      </c>
      <c r="X75" s="13">
        <f t="shared" si="10"/>
        <v>4.6446821315068485</v>
      </c>
      <c r="Y75" s="209">
        <f t="shared" si="10"/>
        <v>0.88093273972602726</v>
      </c>
      <c r="Z75" s="228">
        <f t="shared" si="10"/>
        <v>1.0038869499999998</v>
      </c>
      <c r="AA75" s="13">
        <f t="shared" si="10"/>
        <v>7.8646530969962766E-3</v>
      </c>
      <c r="AB75" s="13">
        <f t="shared" si="10"/>
        <v>9.4900378674854373</v>
      </c>
      <c r="AC75" s="209">
        <f t="shared" si="10"/>
        <v>3.0460124958274291</v>
      </c>
      <c r="AD75" s="228">
        <f t="shared" si="10"/>
        <v>2.9536602506038661E-2</v>
      </c>
      <c r="AE75" s="13">
        <f t="shared" si="10"/>
        <v>3.187516691363326E-3</v>
      </c>
      <c r="AF75" s="13">
        <f t="shared" si="10"/>
        <v>4.291750070477959</v>
      </c>
      <c r="AG75" s="209">
        <f t="shared" si="10"/>
        <v>1.5701868246510049</v>
      </c>
      <c r="AH75" s="228">
        <f t="shared" si="10"/>
        <v>0.21963045307499998</v>
      </c>
      <c r="AI75" s="13">
        <f t="shared" si="10"/>
        <v>1.7206293228246407E-3</v>
      </c>
      <c r="AJ75" s="13">
        <f t="shared" si="10"/>
        <v>1.3437707952281654</v>
      </c>
      <c r="AK75" s="209">
        <f t="shared" si="10"/>
        <v>0.78155709344229463</v>
      </c>
      <c r="AL75" s="228">
        <f t="shared" si="10"/>
        <v>0.16497471374577524</v>
      </c>
      <c r="AM75" s="13">
        <f t="shared" si="10"/>
        <v>1.2924452234255909E-3</v>
      </c>
      <c r="AN75" s="13">
        <f t="shared" si="10"/>
        <v>0.91587328556614855</v>
      </c>
      <c r="AO75" s="13">
        <f t="shared" si="10"/>
        <v>0.5337254438934349</v>
      </c>
      <c r="AP75" s="228">
        <f t="shared" si="10"/>
        <v>1.1721661875</v>
      </c>
      <c r="AQ75" s="13">
        <f t="shared" si="10"/>
        <v>5.3057256066226946E-3</v>
      </c>
      <c r="AR75" s="13">
        <f t="shared" si="10"/>
        <v>5.1579565389306241</v>
      </c>
      <c r="AS75" s="209">
        <f t="shared" si="10"/>
        <v>0.21023449437030492</v>
      </c>
    </row>
    <row r="76" spans="1:48" x14ac:dyDescent="0.35">
      <c r="A76" s="192" t="s">
        <v>392</v>
      </c>
      <c r="B76" s="228">
        <f t="shared" ref="B76:AS76" si="11">B69*B80</f>
        <v>6.0343659940192675E-2</v>
      </c>
      <c r="C76" s="13">
        <f t="shared" si="11"/>
        <v>4.7274441811672748E-4</v>
      </c>
      <c r="D76" s="13">
        <f t="shared" si="11"/>
        <v>0.37956785229227569</v>
      </c>
      <c r="E76" s="209">
        <f t="shared" si="11"/>
        <v>0.24251271638748187</v>
      </c>
      <c r="F76" s="228">
        <f t="shared" si="11"/>
        <v>0</v>
      </c>
      <c r="G76" s="13">
        <f t="shared" si="11"/>
        <v>0</v>
      </c>
      <c r="H76" s="13">
        <f t="shared" si="11"/>
        <v>0</v>
      </c>
      <c r="I76" s="209">
        <f t="shared" si="11"/>
        <v>0</v>
      </c>
      <c r="J76" s="228">
        <f t="shared" si="11"/>
        <v>0</v>
      </c>
      <c r="K76" s="13">
        <f t="shared" si="11"/>
        <v>3.6252922761618008E-4</v>
      </c>
      <c r="L76" s="13">
        <f t="shared" si="11"/>
        <v>0.26166193537973848</v>
      </c>
      <c r="M76" s="209">
        <f t="shared" si="11"/>
        <v>0.16749873070338589</v>
      </c>
      <c r="N76" s="228">
        <f t="shared" si="11"/>
        <v>0</v>
      </c>
      <c r="O76" s="13">
        <f t="shared" si="11"/>
        <v>0</v>
      </c>
      <c r="P76" s="13">
        <f t="shared" si="11"/>
        <v>0</v>
      </c>
      <c r="Q76" s="209">
        <f t="shared" si="11"/>
        <v>0</v>
      </c>
      <c r="R76" s="228">
        <f t="shared" si="11"/>
        <v>0.20442202778971275</v>
      </c>
      <c r="S76" s="13">
        <f t="shared" si="11"/>
        <v>1.6014834478629524E-3</v>
      </c>
      <c r="T76" s="13">
        <f t="shared" si="11"/>
        <v>1.1949590379903992</v>
      </c>
      <c r="U76" s="209">
        <f t="shared" si="11"/>
        <v>0.76446396063050315</v>
      </c>
      <c r="V76" s="228">
        <f t="shared" si="11"/>
        <v>0</v>
      </c>
      <c r="W76" s="13">
        <f t="shared" si="11"/>
        <v>0</v>
      </c>
      <c r="X76" s="13">
        <f t="shared" si="11"/>
        <v>0</v>
      </c>
      <c r="Y76" s="209">
        <f t="shared" si="11"/>
        <v>0</v>
      </c>
      <c r="Z76" s="228">
        <f t="shared" si="11"/>
        <v>0</v>
      </c>
      <c r="AA76" s="13">
        <f t="shared" si="11"/>
        <v>0</v>
      </c>
      <c r="AB76" s="13">
        <f t="shared" si="11"/>
        <v>0</v>
      </c>
      <c r="AC76" s="209">
        <f t="shared" si="11"/>
        <v>0</v>
      </c>
      <c r="AD76" s="228">
        <f t="shared" si="11"/>
        <v>0</v>
      </c>
      <c r="AE76" s="13">
        <f t="shared" si="11"/>
        <v>2.4873451086535677E-3</v>
      </c>
      <c r="AF76" s="13">
        <f t="shared" si="11"/>
        <v>0</v>
      </c>
      <c r="AG76" s="209">
        <f t="shared" si="11"/>
        <v>1.2252787659278115</v>
      </c>
      <c r="AH76" s="228">
        <f t="shared" si="11"/>
        <v>0</v>
      </c>
      <c r="AI76" s="13">
        <f t="shared" si="11"/>
        <v>0</v>
      </c>
      <c r="AJ76" s="13">
        <f t="shared" si="11"/>
        <v>0</v>
      </c>
      <c r="AK76" s="209">
        <f t="shared" si="11"/>
        <v>0</v>
      </c>
      <c r="AL76" s="228">
        <f t="shared" si="11"/>
        <v>1.4532858764416674</v>
      </c>
      <c r="AM76" s="13">
        <f t="shared" si="11"/>
        <v>1.1385335040940525E-2</v>
      </c>
      <c r="AN76" s="13">
        <f t="shared" si="11"/>
        <v>7.3280878563651735</v>
      </c>
      <c r="AO76" s="13">
        <f t="shared" si="11"/>
        <v>4.7016638604578409</v>
      </c>
      <c r="AP76" s="228">
        <f t="shared" si="11"/>
        <v>0.9146875499999999</v>
      </c>
      <c r="AQ76" s="13">
        <f t="shared" si="11"/>
        <v>4.1402671462863498E-3</v>
      </c>
      <c r="AR76" s="13">
        <f t="shared" si="11"/>
        <v>0</v>
      </c>
      <c r="AS76" s="209">
        <f t="shared" si="11"/>
        <v>0.16405427543614673</v>
      </c>
      <c r="AU76" s="106" t="s">
        <v>410</v>
      </c>
    </row>
    <row r="77" spans="1:48" x14ac:dyDescent="0.35">
      <c r="A77" s="192" t="s">
        <v>396</v>
      </c>
      <c r="B77" s="200"/>
      <c r="C77" s="201"/>
      <c r="D77" s="201"/>
      <c r="E77" s="207">
        <f>SUM(B74:E76)</f>
        <v>7.4840043748848402</v>
      </c>
      <c r="F77" s="200"/>
      <c r="G77" s="201"/>
      <c r="H77" s="201"/>
      <c r="I77" s="207">
        <f>SUM(F74:I76)</f>
        <v>9.4123011473146274</v>
      </c>
      <c r="J77" s="200"/>
      <c r="K77" s="201"/>
      <c r="L77" s="201"/>
      <c r="M77" s="207">
        <f>SUM(J74:M76)</f>
        <v>14.043037420686147</v>
      </c>
      <c r="N77" s="200"/>
      <c r="O77" s="201"/>
      <c r="P77" s="201"/>
      <c r="Q77" s="207">
        <f>SUM(N74:Q76)</f>
        <v>14.013594650959764</v>
      </c>
      <c r="R77" s="200"/>
      <c r="S77" s="201"/>
      <c r="T77" s="201"/>
      <c r="U77" s="207">
        <f>SUM(R74:U76)</f>
        <v>13.238560976780496</v>
      </c>
      <c r="V77" s="200"/>
      <c r="W77" s="201"/>
      <c r="X77" s="201"/>
      <c r="Y77" s="207">
        <f>SUM(V74:Y76)</f>
        <v>7.1898301471432502</v>
      </c>
      <c r="Z77" s="200"/>
      <c r="AA77" s="201"/>
      <c r="AB77" s="201"/>
      <c r="AC77" s="207">
        <f>SUM(Z74:AC76)</f>
        <v>13.547801966409864</v>
      </c>
      <c r="AD77" s="200"/>
      <c r="AE77" s="201"/>
      <c r="AF77" s="201"/>
      <c r="AG77" s="207">
        <f>SUM(AD74:AG76)</f>
        <v>8.5794892024708069</v>
      </c>
      <c r="AH77" s="200"/>
      <c r="AI77" s="201"/>
      <c r="AJ77" s="201"/>
      <c r="AK77" s="207">
        <f>SUM(AH74:AK76)</f>
        <v>22.377048547550267</v>
      </c>
      <c r="AL77" s="200"/>
      <c r="AM77" s="201"/>
      <c r="AN77" s="201"/>
      <c r="AO77" s="49">
        <f>SUM(AL74:AO76)</f>
        <v>15.860085243083919</v>
      </c>
      <c r="AP77" s="200"/>
      <c r="AQ77" s="201"/>
      <c r="AR77" s="201"/>
      <c r="AS77" s="207">
        <f>SUM(AP74:AS76)</f>
        <v>8.9025239714399067</v>
      </c>
      <c r="AU77" s="106"/>
    </row>
    <row r="78" spans="1:48" x14ac:dyDescent="0.35">
      <c r="A78" s="192" t="s">
        <v>397</v>
      </c>
      <c r="B78" s="200"/>
      <c r="C78" s="201"/>
      <c r="D78" s="201"/>
      <c r="E78" s="209">
        <f>E77/Production!B40</f>
        <v>3.8522013279434423E-3</v>
      </c>
      <c r="F78" s="200"/>
      <c r="G78" s="201"/>
      <c r="H78" s="201"/>
      <c r="I78" s="209">
        <f>I77/Production!C40</f>
        <v>5.1281889713165165E-3</v>
      </c>
      <c r="J78" s="200"/>
      <c r="K78" s="201"/>
      <c r="L78" s="201"/>
      <c r="M78" s="209">
        <f>M77/Production!D40</f>
        <v>7.3234893818374877E-3</v>
      </c>
      <c r="N78" s="200"/>
      <c r="O78" s="201"/>
      <c r="P78" s="201"/>
      <c r="Q78" s="209">
        <f>Q77/Production!E40</f>
        <v>7.7201364127710117E-3</v>
      </c>
      <c r="R78" s="200"/>
      <c r="S78" s="201"/>
      <c r="T78" s="201"/>
      <c r="U78" s="209">
        <f>U77/Production!F40</f>
        <v>7.2891456523388048E-3</v>
      </c>
      <c r="V78" s="200"/>
      <c r="W78" s="201"/>
      <c r="X78" s="201"/>
      <c r="Y78" s="209">
        <f>Y77/Production!G40</f>
        <v>3.9810598867477806E-3</v>
      </c>
      <c r="Z78" s="200"/>
      <c r="AA78" s="201"/>
      <c r="AB78" s="201"/>
      <c r="AC78" s="209">
        <f>AC77/Production!H40</f>
        <v>6.1687405263793757E-3</v>
      </c>
      <c r="AD78" s="200"/>
      <c r="AE78" s="201"/>
      <c r="AF78" s="201"/>
      <c r="AG78" s="209">
        <f>AG77/Production!I40</f>
        <v>4.1147595702649255E-3</v>
      </c>
      <c r="AH78" s="200"/>
      <c r="AI78" s="201"/>
      <c r="AJ78" s="201"/>
      <c r="AK78" s="209">
        <f>AK77/Production!J40</f>
        <v>1.2327591285827288E-2</v>
      </c>
      <c r="AL78" s="200"/>
      <c r="AM78" s="201"/>
      <c r="AN78" s="201"/>
      <c r="AO78" s="13">
        <f>AO77/Production!K40</f>
        <v>1.0177944162539324E-2</v>
      </c>
      <c r="AP78" s="200"/>
      <c r="AQ78" s="201"/>
      <c r="AR78" s="201"/>
      <c r="AS78" s="209">
        <f>AS77/Production!L40</f>
        <v>5.1309968196818542E-3</v>
      </c>
      <c r="AU78" s="106"/>
    </row>
    <row r="79" spans="1:48" x14ac:dyDescent="0.35">
      <c r="A79" s="172"/>
      <c r="B79" s="196"/>
      <c r="E79" s="191"/>
      <c r="F79" s="196"/>
      <c r="I79" s="191"/>
      <c r="J79" s="196"/>
      <c r="M79" s="191"/>
      <c r="N79" s="196"/>
      <c r="Q79" s="191"/>
      <c r="R79" s="196"/>
      <c r="U79" s="191"/>
      <c r="V79" s="196"/>
      <c r="Y79" s="191"/>
      <c r="Z79" s="196"/>
      <c r="AC79" s="191"/>
      <c r="AD79" s="196"/>
      <c r="AG79" s="191"/>
      <c r="AH79" s="196"/>
      <c r="AK79" s="191"/>
      <c r="AL79" s="196"/>
      <c r="AP79" s="196"/>
      <c r="AS79" s="191"/>
    </row>
    <row r="80" spans="1:48" x14ac:dyDescent="0.35">
      <c r="A80" s="217" t="s">
        <v>425</v>
      </c>
      <c r="B80" s="194">
        <v>0.28999999999999998</v>
      </c>
      <c r="C80" s="129">
        <v>0.28999999999999998</v>
      </c>
      <c r="D80" s="129">
        <v>0.28999999999999998</v>
      </c>
      <c r="E80" s="195">
        <v>0.28999999999999998</v>
      </c>
      <c r="F80" s="194">
        <v>0.28999999999999998</v>
      </c>
      <c r="G80" s="129">
        <v>0.28999999999999998</v>
      </c>
      <c r="H80" s="129">
        <v>0.28999999999999998</v>
      </c>
      <c r="I80" s="195">
        <v>0.28999999999999998</v>
      </c>
      <c r="J80" s="194">
        <v>0.28999999999999998</v>
      </c>
      <c r="K80" s="129">
        <v>0.28999999999999998</v>
      </c>
      <c r="L80" s="129">
        <v>0.28999999999999998</v>
      </c>
      <c r="M80" s="195">
        <v>0.28999999999999998</v>
      </c>
      <c r="N80" s="194">
        <v>0.28999999999999998</v>
      </c>
      <c r="O80" s="129">
        <v>0.28999999999999998</v>
      </c>
      <c r="P80" s="129">
        <v>0.28999999999999998</v>
      </c>
      <c r="Q80" s="195">
        <v>0.28999999999999998</v>
      </c>
      <c r="R80" s="194">
        <v>0.28999999999999998</v>
      </c>
      <c r="S80" s="129">
        <v>0.28999999999999998</v>
      </c>
      <c r="T80" s="129">
        <v>0.28999999999999998</v>
      </c>
      <c r="U80" s="195">
        <v>0.28999999999999998</v>
      </c>
      <c r="V80" s="194">
        <v>0.28999999999999998</v>
      </c>
      <c r="W80" s="129">
        <v>0.28999999999999998</v>
      </c>
      <c r="X80" s="129">
        <v>0.28999999999999998</v>
      </c>
      <c r="Y80" s="195">
        <v>0.28999999999999998</v>
      </c>
      <c r="Z80" s="194">
        <v>0.28999999999999998</v>
      </c>
      <c r="AA80" s="129">
        <v>0.28999999999999998</v>
      </c>
      <c r="AB80" s="129">
        <v>0.28999999999999998</v>
      </c>
      <c r="AC80" s="195">
        <v>0.28999999999999998</v>
      </c>
      <c r="AD80" s="194">
        <v>0.28999999999999998</v>
      </c>
      <c r="AE80" s="129">
        <v>0.28999999999999998</v>
      </c>
      <c r="AF80" s="129">
        <v>0.28999999999999998</v>
      </c>
      <c r="AG80" s="195">
        <v>0.28999999999999998</v>
      </c>
      <c r="AH80" s="194">
        <v>0.28999999999999998</v>
      </c>
      <c r="AI80" s="129">
        <v>0.28999999999999998</v>
      </c>
      <c r="AJ80" s="129">
        <v>0.28999999999999998</v>
      </c>
      <c r="AK80" s="195">
        <v>0.28999999999999998</v>
      </c>
      <c r="AL80" s="194">
        <v>0.28999999999999998</v>
      </c>
      <c r="AM80" s="129">
        <v>0.28999999999999998</v>
      </c>
      <c r="AN80" s="129">
        <v>0.28999999999999998</v>
      </c>
      <c r="AO80" s="129">
        <v>0.28999999999999998</v>
      </c>
      <c r="AP80" s="194">
        <v>0.28999999999999998</v>
      </c>
      <c r="AQ80" s="129">
        <v>0.28999999999999998</v>
      </c>
      <c r="AR80" s="129">
        <v>0.28999999999999998</v>
      </c>
      <c r="AS80" s="195">
        <v>0.28999999999999998</v>
      </c>
      <c r="AU80" s="112" t="s">
        <v>403</v>
      </c>
    </row>
    <row r="81" spans="1:53" x14ac:dyDescent="0.35">
      <c r="A81" s="217" t="s">
        <v>426</v>
      </c>
      <c r="B81" s="194">
        <v>0.11</v>
      </c>
      <c r="C81" s="129">
        <v>0.11</v>
      </c>
      <c r="D81" s="129">
        <v>0.11</v>
      </c>
      <c r="E81" s="195">
        <v>0.11</v>
      </c>
      <c r="F81" s="194">
        <v>0.11</v>
      </c>
      <c r="G81" s="129">
        <v>0.11</v>
      </c>
      <c r="H81" s="129">
        <v>0.11</v>
      </c>
      <c r="I81" s="195">
        <v>0.11</v>
      </c>
      <c r="J81" s="194">
        <v>0.11</v>
      </c>
      <c r="K81" s="129">
        <v>0.11</v>
      </c>
      <c r="L81" s="129">
        <v>0.11</v>
      </c>
      <c r="M81" s="195">
        <v>0.11</v>
      </c>
      <c r="N81" s="194">
        <v>0.11</v>
      </c>
      <c r="O81" s="129">
        <v>0.11</v>
      </c>
      <c r="P81" s="129">
        <v>0.11</v>
      </c>
      <c r="Q81" s="195">
        <v>0.11</v>
      </c>
      <c r="R81" s="194">
        <v>0.11</v>
      </c>
      <c r="S81" s="129">
        <v>0.11</v>
      </c>
      <c r="T81" s="129">
        <v>0.11</v>
      </c>
      <c r="U81" s="195">
        <v>0.11</v>
      </c>
      <c r="V81" s="194">
        <v>0.11</v>
      </c>
      <c r="W81" s="129">
        <v>0.11</v>
      </c>
      <c r="X81" s="129">
        <v>0.11</v>
      </c>
      <c r="Y81" s="195">
        <v>0.11</v>
      </c>
      <c r="Z81" s="194">
        <v>0.11</v>
      </c>
      <c r="AA81" s="129">
        <v>0.11</v>
      </c>
      <c r="AB81" s="129">
        <v>0.11</v>
      </c>
      <c r="AC81" s="195">
        <v>0.11</v>
      </c>
      <c r="AD81" s="194">
        <v>0.11</v>
      </c>
      <c r="AE81" s="129">
        <v>0.11</v>
      </c>
      <c r="AF81" s="129">
        <v>0.11</v>
      </c>
      <c r="AG81" s="195">
        <v>0.11</v>
      </c>
      <c r="AH81" s="194">
        <v>0.11</v>
      </c>
      <c r="AI81" s="129">
        <v>0.11</v>
      </c>
      <c r="AJ81" s="129">
        <v>0.11</v>
      </c>
      <c r="AK81" s="195">
        <v>0.11</v>
      </c>
      <c r="AL81" s="194">
        <v>0.11</v>
      </c>
      <c r="AM81" s="129">
        <v>0.11</v>
      </c>
      <c r="AN81" s="129">
        <v>0.11</v>
      </c>
      <c r="AO81" s="129">
        <v>0.11</v>
      </c>
      <c r="AP81" s="194">
        <v>0.11</v>
      </c>
      <c r="AQ81" s="129">
        <v>0.11</v>
      </c>
      <c r="AR81" s="129">
        <v>0.11</v>
      </c>
      <c r="AS81" s="195">
        <v>0.11</v>
      </c>
      <c r="AU81" s="112" t="s">
        <v>403</v>
      </c>
    </row>
    <row r="82" spans="1:53" x14ac:dyDescent="0.35">
      <c r="A82" s="172"/>
      <c r="B82" s="196"/>
      <c r="E82" s="191"/>
      <c r="F82" s="196"/>
      <c r="I82" s="191"/>
      <c r="J82" s="196"/>
      <c r="M82" s="191"/>
      <c r="N82" s="196"/>
      <c r="Q82" s="191"/>
      <c r="R82" s="196"/>
      <c r="U82" s="191"/>
      <c r="V82" s="196"/>
      <c r="Y82" s="191"/>
      <c r="Z82" s="196"/>
      <c r="AC82" s="191"/>
      <c r="AD82" s="196"/>
      <c r="AG82" s="191"/>
      <c r="AH82" s="196"/>
      <c r="AK82" s="191"/>
      <c r="AL82" s="196"/>
      <c r="AP82" s="196"/>
      <c r="AS82" s="191"/>
    </row>
    <row r="83" spans="1:53" x14ac:dyDescent="0.35">
      <c r="A83" s="227" t="s">
        <v>427</v>
      </c>
      <c r="B83" s="198"/>
      <c r="C83" s="14"/>
      <c r="D83" s="14"/>
      <c r="E83" s="199"/>
      <c r="F83" s="198"/>
      <c r="G83" s="14"/>
      <c r="H83" s="14"/>
      <c r="I83" s="199"/>
      <c r="J83" s="198"/>
      <c r="K83" s="14"/>
      <c r="L83" s="14"/>
      <c r="M83" s="199"/>
      <c r="N83" s="198"/>
      <c r="O83" s="14"/>
      <c r="P83" s="14"/>
      <c r="Q83" s="199"/>
      <c r="R83" s="198"/>
      <c r="S83" s="14"/>
      <c r="T83" s="14"/>
      <c r="U83" s="199"/>
      <c r="V83" s="198"/>
      <c r="W83" s="14"/>
      <c r="X83" s="14"/>
      <c r="Y83" s="199"/>
      <c r="Z83" s="198"/>
      <c r="AA83" s="14"/>
      <c r="AB83" s="14"/>
      <c r="AC83" s="199"/>
      <c r="AD83" s="198"/>
      <c r="AE83" s="14"/>
      <c r="AF83" s="14"/>
      <c r="AG83" s="199"/>
      <c r="AH83" s="198"/>
      <c r="AI83" s="14"/>
      <c r="AJ83" s="14"/>
      <c r="AK83" s="199"/>
      <c r="AL83" s="198"/>
      <c r="AM83" s="14"/>
      <c r="AN83" s="14"/>
      <c r="AO83" s="14"/>
      <c r="AP83" s="198"/>
      <c r="AQ83" s="14"/>
      <c r="AR83" s="14"/>
      <c r="AS83" s="199"/>
    </row>
    <row r="84" spans="1:53" x14ac:dyDescent="0.35">
      <c r="A84" s="192" t="s">
        <v>390</v>
      </c>
      <c r="B84" s="206">
        <f t="shared" ref="B84:AS84" si="12">B67*B90</f>
        <v>6.5025495625207442E-5</v>
      </c>
      <c r="C84" s="49">
        <f t="shared" si="12"/>
        <v>5.0942286434992062E-7</v>
      </c>
      <c r="D84" s="49">
        <f t="shared" si="12"/>
        <v>4.0901708221150287E-4</v>
      </c>
      <c r="E84" s="207">
        <f t="shared" si="12"/>
        <v>2.6132835817616512E-4</v>
      </c>
      <c r="F84" s="206">
        <f t="shared" si="12"/>
        <v>4.873985190311415E-3</v>
      </c>
      <c r="G84" s="49">
        <f t="shared" si="12"/>
        <v>3.8183784261461617E-5</v>
      </c>
      <c r="H84" s="49">
        <f t="shared" si="12"/>
        <v>2.7471005161342262E-2</v>
      </c>
      <c r="I84" s="207">
        <f t="shared" si="12"/>
        <v>1.7586196468978851E-2</v>
      </c>
      <c r="J84" s="206">
        <f t="shared" si="12"/>
        <v>9.8658916537585392E-2</v>
      </c>
      <c r="K84" s="49">
        <f t="shared" si="12"/>
        <v>2.9201573021885134E-5</v>
      </c>
      <c r="L84" s="49">
        <f t="shared" si="12"/>
        <v>2.1076756109520912E-2</v>
      </c>
      <c r="M84" s="207">
        <f t="shared" si="12"/>
        <v>1.3491950560428956E-2</v>
      </c>
      <c r="N84" s="206">
        <f t="shared" si="12"/>
        <v>1.1140346000000001E-2</v>
      </c>
      <c r="O84" s="49">
        <f t="shared" si="12"/>
        <v>8.7275720309453258E-5</v>
      </c>
      <c r="P84" s="49">
        <f t="shared" si="12"/>
        <v>6.1908877051877205E-2</v>
      </c>
      <c r="Q84" s="207">
        <f t="shared" si="12"/>
        <v>3.9643029087265351E-2</v>
      </c>
      <c r="R84" s="206">
        <f t="shared" si="12"/>
        <v>1.6682981516215677E-2</v>
      </c>
      <c r="S84" s="49">
        <f t="shared" si="12"/>
        <v>1.3069784625513586E-4</v>
      </c>
      <c r="T84" s="49">
        <f t="shared" si="12"/>
        <v>9.7521190641627675E-2</v>
      </c>
      <c r="U84" s="207">
        <f t="shared" si="12"/>
        <v>6.2388277148542767E-2</v>
      </c>
      <c r="V84" s="206">
        <f t="shared" si="12"/>
        <v>0</v>
      </c>
      <c r="W84" s="49">
        <f t="shared" si="12"/>
        <v>0</v>
      </c>
      <c r="X84" s="49">
        <f t="shared" si="12"/>
        <v>0</v>
      </c>
      <c r="Y84" s="207">
        <f t="shared" si="12"/>
        <v>0</v>
      </c>
      <c r="Z84" s="206">
        <f t="shared" si="12"/>
        <v>0</v>
      </c>
      <c r="AA84" s="49">
        <f t="shared" si="12"/>
        <v>0</v>
      </c>
      <c r="AB84" s="49">
        <f t="shared" si="12"/>
        <v>0</v>
      </c>
      <c r="AC84" s="207">
        <f t="shared" si="12"/>
        <v>0</v>
      </c>
      <c r="AD84" s="206">
        <f t="shared" si="12"/>
        <v>4.3556407729468594E-4</v>
      </c>
      <c r="AE84" s="49">
        <f t="shared" si="12"/>
        <v>1.0090649528006362E-4</v>
      </c>
      <c r="AF84" s="49">
        <f t="shared" si="12"/>
        <v>0</v>
      </c>
      <c r="AG84" s="207">
        <f t="shared" si="12"/>
        <v>4.9707049327700259E-2</v>
      </c>
      <c r="AH84" s="206">
        <f t="shared" si="12"/>
        <v>6.8227486460000014E-2</v>
      </c>
      <c r="AI84" s="49">
        <f t="shared" si="12"/>
        <v>5.3450790717810459E-4</v>
      </c>
      <c r="AJ84" s="49">
        <f t="shared" si="12"/>
        <v>0.37915223376462082</v>
      </c>
      <c r="AK84" s="207">
        <f t="shared" si="12"/>
        <v>0.24278817105723488</v>
      </c>
      <c r="AL84" s="206">
        <f t="shared" si="12"/>
        <v>2.7844671842671316E-3</v>
      </c>
      <c r="AM84" s="49">
        <f t="shared" si="12"/>
        <v>2.181407823284384E-5</v>
      </c>
      <c r="AN84" s="49">
        <f t="shared" si="12"/>
        <v>1.4040472346319057E-2</v>
      </c>
      <c r="AO84" s="49">
        <f t="shared" si="12"/>
        <v>9.0082955756468821E-3</v>
      </c>
      <c r="AP84" s="206">
        <f t="shared" si="12"/>
        <v>3.7107000000000001E-2</v>
      </c>
      <c r="AQ84" s="49">
        <f t="shared" si="12"/>
        <v>1.6796215603595739E-4</v>
      </c>
      <c r="AR84" s="49">
        <f t="shared" si="12"/>
        <v>0</v>
      </c>
      <c r="AS84" s="207">
        <f t="shared" si="12"/>
        <v>6.6553458594785691E-3</v>
      </c>
    </row>
    <row r="85" spans="1:53" x14ac:dyDescent="0.35">
      <c r="A85" s="192" t="s">
        <v>391</v>
      </c>
      <c r="B85" s="206">
        <f t="shared" ref="B85:AS85" si="13">B68*B91</f>
        <v>5.1568334854358203E-2</v>
      </c>
      <c r="C85" s="49">
        <f t="shared" si="13"/>
        <v>4.039967492547534E-4</v>
      </c>
      <c r="D85" s="49">
        <f t="shared" si="13"/>
        <v>0.35712419714348997</v>
      </c>
      <c r="E85" s="207">
        <f t="shared" si="13"/>
        <v>0.20724591411101834</v>
      </c>
      <c r="F85" s="206">
        <f t="shared" si="13"/>
        <v>6.6897686245674784E-2</v>
      </c>
      <c r="G85" s="49">
        <f t="shared" si="13"/>
        <v>5.2408998375158805E-4</v>
      </c>
      <c r="H85" s="49">
        <f t="shared" si="13"/>
        <v>0.41512590576268288</v>
      </c>
      <c r="I85" s="207">
        <f t="shared" si="13"/>
        <v>0.24137862707813645</v>
      </c>
      <c r="J85" s="206">
        <f t="shared" si="13"/>
        <v>8.0753866442872843E-5</v>
      </c>
      <c r="K85" s="49">
        <f t="shared" si="13"/>
        <v>7.0463013122797362E-4</v>
      </c>
      <c r="L85" s="49">
        <f t="shared" si="13"/>
        <v>0.55993437176025707</v>
      </c>
      <c r="M85" s="207">
        <f t="shared" si="13"/>
        <v>0.32555899940018584</v>
      </c>
      <c r="N85" s="206">
        <f t="shared" si="13"/>
        <v>9.1405282500000004E-2</v>
      </c>
      <c r="O85" s="49">
        <f t="shared" si="13"/>
        <v>7.1608744201271323E-4</v>
      </c>
      <c r="P85" s="49">
        <f t="shared" si="13"/>
        <v>0.55924735132762549</v>
      </c>
      <c r="Q85" s="207">
        <f t="shared" si="13"/>
        <v>0.32526658264269409</v>
      </c>
      <c r="R85" s="206">
        <f t="shared" si="13"/>
        <v>4.8352533601012215E-2</v>
      </c>
      <c r="S85" s="49">
        <f t="shared" si="13"/>
        <v>3.7880351281866675E-4</v>
      </c>
      <c r="T85" s="49">
        <f t="shared" si="13"/>
        <v>0.31118808164076506</v>
      </c>
      <c r="U85" s="207">
        <f t="shared" si="13"/>
        <v>0.18082087210862433</v>
      </c>
      <c r="V85" s="206">
        <f t="shared" si="13"/>
        <v>0.15035000000000001</v>
      </c>
      <c r="W85" s="49">
        <f t="shared" si="13"/>
        <v>9.4229781003400041E-4</v>
      </c>
      <c r="X85" s="49">
        <f t="shared" si="13"/>
        <v>0.42224383013698619</v>
      </c>
      <c r="Y85" s="207">
        <f t="shared" si="13"/>
        <v>8.0084794520547939E-2</v>
      </c>
      <c r="Z85" s="206">
        <f t="shared" si="13"/>
        <v>9.1262449999999995E-2</v>
      </c>
      <c r="AA85" s="49">
        <f t="shared" si="13"/>
        <v>7.1496846336329789E-4</v>
      </c>
      <c r="AB85" s="49">
        <f t="shared" si="13"/>
        <v>0.86273071522594891</v>
      </c>
      <c r="AC85" s="207">
        <f t="shared" si="13"/>
        <v>0.27691022689340267</v>
      </c>
      <c r="AD85" s="206">
        <f t="shared" si="13"/>
        <v>2.685145682367151E-3</v>
      </c>
      <c r="AE85" s="49">
        <f t="shared" si="13"/>
        <v>2.8977424466939327E-4</v>
      </c>
      <c r="AF85" s="49">
        <f t="shared" si="13"/>
        <v>0.39015909731617809</v>
      </c>
      <c r="AG85" s="207">
        <f t="shared" si="13"/>
        <v>0.142744256786455</v>
      </c>
      <c r="AH85" s="206">
        <f t="shared" si="13"/>
        <v>1.9966404824999999E-2</v>
      </c>
      <c r="AI85" s="49">
        <f t="shared" si="13"/>
        <v>1.5642084752951279E-4</v>
      </c>
      <c r="AJ85" s="49">
        <f t="shared" si="13"/>
        <v>0.12216098138437868</v>
      </c>
      <c r="AK85" s="207">
        <f t="shared" si="13"/>
        <v>7.1050644858390424E-2</v>
      </c>
      <c r="AL85" s="206">
        <f t="shared" si="13"/>
        <v>1.4997701249615931E-2</v>
      </c>
      <c r="AM85" s="49">
        <f t="shared" si="13"/>
        <v>1.1749502031141736E-4</v>
      </c>
      <c r="AN85" s="49">
        <f t="shared" si="13"/>
        <v>8.3261207778740784E-2</v>
      </c>
      <c r="AO85" s="49">
        <f t="shared" si="13"/>
        <v>4.8520494899403181E-2</v>
      </c>
      <c r="AP85" s="206">
        <f t="shared" si="13"/>
        <v>0.10656056250000001</v>
      </c>
      <c r="AQ85" s="49">
        <f t="shared" si="13"/>
        <v>4.8233869151115407E-4</v>
      </c>
      <c r="AR85" s="49">
        <f t="shared" si="13"/>
        <v>0.46890513990278399</v>
      </c>
      <c r="AS85" s="207">
        <f t="shared" si="13"/>
        <v>1.911222676093681E-2</v>
      </c>
    </row>
    <row r="86" spans="1:53" x14ac:dyDescent="0.35">
      <c r="A86" s="192" t="s">
        <v>392</v>
      </c>
      <c r="B86" s="206">
        <f t="shared" ref="B86:AS86" si="14">B69*B90</f>
        <v>2.0808158600066442E-3</v>
      </c>
      <c r="C86" s="49">
        <f t="shared" si="14"/>
        <v>1.63015316591975E-5</v>
      </c>
      <c r="D86" s="49">
        <f t="shared" si="14"/>
        <v>1.3088546630768128E-2</v>
      </c>
      <c r="E86" s="207">
        <f t="shared" si="14"/>
        <v>8.3625074616373064E-3</v>
      </c>
      <c r="F86" s="206">
        <f t="shared" si="14"/>
        <v>0</v>
      </c>
      <c r="G86" s="49">
        <f t="shared" si="14"/>
        <v>0</v>
      </c>
      <c r="H86" s="49">
        <f t="shared" si="14"/>
        <v>0</v>
      </c>
      <c r="I86" s="207">
        <f t="shared" si="14"/>
        <v>0</v>
      </c>
      <c r="J86" s="206">
        <f t="shared" si="14"/>
        <v>0</v>
      </c>
      <c r="K86" s="49">
        <f t="shared" si="14"/>
        <v>1.2501007848833797E-5</v>
      </c>
      <c r="L86" s="49">
        <f t="shared" si="14"/>
        <v>9.0228253579220184E-3</v>
      </c>
      <c r="M86" s="207">
        <f t="shared" si="14"/>
        <v>5.7758183001167555E-3</v>
      </c>
      <c r="N86" s="206">
        <f t="shared" si="14"/>
        <v>0</v>
      </c>
      <c r="O86" s="49">
        <f t="shared" si="14"/>
        <v>0</v>
      </c>
      <c r="P86" s="49">
        <f t="shared" si="14"/>
        <v>0</v>
      </c>
      <c r="Q86" s="207">
        <f t="shared" si="14"/>
        <v>0</v>
      </c>
      <c r="R86" s="206">
        <f t="shared" si="14"/>
        <v>7.0490354410245783E-3</v>
      </c>
      <c r="S86" s="49">
        <f t="shared" si="14"/>
        <v>5.5223567167688015E-5</v>
      </c>
      <c r="T86" s="49">
        <f t="shared" si="14"/>
        <v>4.1205484068634453E-2</v>
      </c>
      <c r="U86" s="207">
        <f t="shared" si="14"/>
        <v>2.6360826228638043E-2</v>
      </c>
      <c r="V86" s="206">
        <f t="shared" si="14"/>
        <v>0</v>
      </c>
      <c r="W86" s="49">
        <f t="shared" si="14"/>
        <v>0</v>
      </c>
      <c r="X86" s="49">
        <f t="shared" si="14"/>
        <v>0</v>
      </c>
      <c r="Y86" s="207">
        <f t="shared" si="14"/>
        <v>0</v>
      </c>
      <c r="Z86" s="206">
        <f t="shared" si="14"/>
        <v>0</v>
      </c>
      <c r="AA86" s="49">
        <f t="shared" si="14"/>
        <v>0</v>
      </c>
      <c r="AB86" s="49">
        <f t="shared" si="14"/>
        <v>0</v>
      </c>
      <c r="AC86" s="207">
        <f t="shared" si="14"/>
        <v>0</v>
      </c>
      <c r="AD86" s="206">
        <f t="shared" si="14"/>
        <v>0</v>
      </c>
      <c r="AE86" s="49">
        <f t="shared" si="14"/>
        <v>8.5770520988054063E-5</v>
      </c>
      <c r="AF86" s="49">
        <f t="shared" si="14"/>
        <v>0</v>
      </c>
      <c r="AG86" s="207">
        <f t="shared" si="14"/>
        <v>4.2250991928545228E-2</v>
      </c>
      <c r="AH86" s="206">
        <f t="shared" si="14"/>
        <v>0</v>
      </c>
      <c r="AI86" s="49">
        <f t="shared" si="14"/>
        <v>0</v>
      </c>
      <c r="AJ86" s="49">
        <f t="shared" si="14"/>
        <v>0</v>
      </c>
      <c r="AK86" s="207">
        <f t="shared" si="14"/>
        <v>0</v>
      </c>
      <c r="AL86" s="206">
        <f t="shared" si="14"/>
        <v>5.0113306084195432E-2</v>
      </c>
      <c r="AM86" s="49">
        <f t="shared" si="14"/>
        <v>3.9259776003243196E-4</v>
      </c>
      <c r="AN86" s="49">
        <f t="shared" si="14"/>
        <v>0.25269268470224737</v>
      </c>
      <c r="AO86" s="49">
        <f t="shared" si="14"/>
        <v>0.16212634001578763</v>
      </c>
      <c r="AP86" s="206">
        <f t="shared" si="14"/>
        <v>3.1540949999999998E-2</v>
      </c>
      <c r="AQ86" s="49">
        <f t="shared" si="14"/>
        <v>1.4276783263056378E-4</v>
      </c>
      <c r="AR86" s="49">
        <f t="shared" si="14"/>
        <v>0</v>
      </c>
      <c r="AS86" s="207">
        <f t="shared" si="14"/>
        <v>5.6570439805567838E-3</v>
      </c>
    </row>
    <row r="87" spans="1:53" x14ac:dyDescent="0.35">
      <c r="A87" s="192" t="s">
        <v>396</v>
      </c>
      <c r="B87" s="196"/>
      <c r="E87" s="207">
        <f>SUM(B84:E86)</f>
        <v>0.6406264947010698</v>
      </c>
      <c r="F87" s="196"/>
      <c r="I87" s="207">
        <f>SUM(F84:I86)</f>
        <v>0.77389567967513972</v>
      </c>
      <c r="J87" s="196"/>
      <c r="M87" s="207">
        <f>SUM(J84:M86)</f>
        <v>1.0343467246045588</v>
      </c>
      <c r="N87" s="196"/>
      <c r="Q87" s="207">
        <f>SUM(N84:Q86)</f>
        <v>1.0894148317717842</v>
      </c>
      <c r="R87" s="196"/>
      <c r="U87" s="207">
        <f>SUM(R84:U86)</f>
        <v>0.79213400732132611</v>
      </c>
      <c r="V87" s="196"/>
      <c r="Y87" s="207">
        <f>SUM(V84:Y86)</f>
        <v>0.65362092246756809</v>
      </c>
      <c r="Z87" s="196"/>
      <c r="AC87" s="207">
        <f>SUM(Z84:AC86)</f>
        <v>1.2316183605827149</v>
      </c>
      <c r="AD87" s="196"/>
      <c r="AG87" s="207">
        <f>SUM(AD84:AG86)</f>
        <v>0.6284585563794779</v>
      </c>
      <c r="AH87" s="196"/>
      <c r="AK87" s="207">
        <f>SUM(AH84:AK86)</f>
        <v>0.90403685110433241</v>
      </c>
      <c r="AL87" s="196"/>
      <c r="AO87" s="49">
        <f>SUM(AL84:AO86)</f>
        <v>0.63807687669480007</v>
      </c>
      <c r="AP87" s="196"/>
      <c r="AS87" s="207">
        <f>SUM(AP84:AS86)</f>
        <v>0.67633133768393383</v>
      </c>
    </row>
    <row r="88" spans="1:53" x14ac:dyDescent="0.35">
      <c r="A88" s="192" t="s">
        <v>428</v>
      </c>
      <c r="B88" s="196"/>
      <c r="E88" s="191">
        <f>E87/Production!B40</f>
        <v>3.297462307591432E-4</v>
      </c>
      <c r="F88" s="196"/>
      <c r="I88" s="191">
        <f>I87/Production!C40</f>
        <v>4.2164856684295902E-4</v>
      </c>
      <c r="J88" s="196"/>
      <c r="M88" s="191">
        <f>M87/Production!D40</f>
        <v>5.3941515840593356E-4</v>
      </c>
      <c r="N88" s="196"/>
      <c r="Q88" s="191">
        <f>Q87/Production!E40</f>
        <v>6.0016229389067872E-4</v>
      </c>
      <c r="R88" s="196"/>
      <c r="U88" s="191">
        <f>U87/Production!F40</f>
        <v>4.3614862413393071E-4</v>
      </c>
      <c r="V88" s="196"/>
      <c r="Y88" s="191">
        <f>Y87/Production!G40</f>
        <v>3.6191453515888906E-4</v>
      </c>
      <c r="Z88" s="196"/>
      <c r="AC88" s="191">
        <f>AC87/Production!H40</f>
        <v>5.6079459330721595E-4</v>
      </c>
      <c r="AD88" s="196"/>
      <c r="AG88" s="191">
        <f>AG87/Production!I40</f>
        <v>3.0141140088300438E-4</v>
      </c>
      <c r="AH88" s="196"/>
      <c r="AK88" s="191">
        <f>AK87/Production!J40</f>
        <v>4.9803694102279483E-4</v>
      </c>
      <c r="AL88" s="196"/>
      <c r="AO88">
        <f>AO87/Production!K40</f>
        <v>4.0947515242637975E-4</v>
      </c>
      <c r="AP88" s="196"/>
      <c r="AS88" s="191">
        <f>AS87/Production!L40</f>
        <v>3.8980562746478679E-4</v>
      </c>
    </row>
    <row r="89" spans="1:53" x14ac:dyDescent="0.35">
      <c r="A89" s="172"/>
      <c r="B89" s="196"/>
      <c r="E89" s="191"/>
      <c r="F89" s="196"/>
      <c r="I89" s="191"/>
      <c r="J89" s="196"/>
      <c r="M89" s="191"/>
      <c r="N89" s="196"/>
      <c r="Q89" s="191"/>
      <c r="R89" s="196"/>
      <c r="U89" s="191"/>
      <c r="V89" s="196"/>
      <c r="Y89" s="191"/>
      <c r="Z89" s="196"/>
      <c r="AC89" s="191"/>
      <c r="AD89" s="196"/>
      <c r="AG89" s="191"/>
      <c r="AH89" s="196"/>
      <c r="AK89" s="191"/>
      <c r="AL89" s="196"/>
      <c r="AP89" s="196"/>
      <c r="AS89" s="191"/>
    </row>
    <row r="90" spans="1:53" x14ac:dyDescent="0.35">
      <c r="A90" s="217" t="s">
        <v>429</v>
      </c>
      <c r="B90" s="194">
        <v>0.01</v>
      </c>
      <c r="C90" s="129">
        <v>0.01</v>
      </c>
      <c r="D90" s="129">
        <v>0.01</v>
      </c>
      <c r="E90" s="195">
        <v>0.01</v>
      </c>
      <c r="F90" s="194">
        <v>0.01</v>
      </c>
      <c r="G90" s="129">
        <v>0.01</v>
      </c>
      <c r="H90" s="129">
        <v>0.01</v>
      </c>
      <c r="I90" s="195">
        <v>0.01</v>
      </c>
      <c r="J90" s="194">
        <v>0.01</v>
      </c>
      <c r="K90" s="129">
        <v>0.01</v>
      </c>
      <c r="L90" s="129">
        <v>0.01</v>
      </c>
      <c r="M90" s="195">
        <v>0.01</v>
      </c>
      <c r="N90" s="194">
        <v>0.01</v>
      </c>
      <c r="O90" s="129">
        <v>0.01</v>
      </c>
      <c r="P90" s="129">
        <v>0.01</v>
      </c>
      <c r="Q90" s="195">
        <v>0.01</v>
      </c>
      <c r="R90" s="194">
        <v>0.01</v>
      </c>
      <c r="S90" s="129">
        <v>0.01</v>
      </c>
      <c r="T90" s="129">
        <v>0.01</v>
      </c>
      <c r="U90" s="195">
        <v>0.01</v>
      </c>
      <c r="V90" s="194">
        <v>0.01</v>
      </c>
      <c r="W90" s="129">
        <v>0.01</v>
      </c>
      <c r="X90" s="129">
        <v>0.01</v>
      </c>
      <c r="Y90" s="195">
        <v>0.01</v>
      </c>
      <c r="Z90" s="194">
        <v>0.01</v>
      </c>
      <c r="AA90" s="129">
        <v>0.01</v>
      </c>
      <c r="AB90" s="129">
        <v>0.01</v>
      </c>
      <c r="AC90" s="195">
        <v>0.01</v>
      </c>
      <c r="AD90" s="194">
        <v>0.01</v>
      </c>
      <c r="AE90" s="129">
        <v>0.01</v>
      </c>
      <c r="AF90" s="129">
        <v>0.01</v>
      </c>
      <c r="AG90" s="195">
        <v>0.01</v>
      </c>
      <c r="AH90" s="194">
        <v>0.01</v>
      </c>
      <c r="AI90" s="129">
        <v>0.01</v>
      </c>
      <c r="AJ90" s="129">
        <v>0.01</v>
      </c>
      <c r="AK90" s="195">
        <v>0.01</v>
      </c>
      <c r="AL90" s="194">
        <v>0.01</v>
      </c>
      <c r="AM90" s="129">
        <v>0.01</v>
      </c>
      <c r="AN90" s="129">
        <v>0.01</v>
      </c>
      <c r="AO90" s="195">
        <v>0.01</v>
      </c>
      <c r="AP90" s="194">
        <v>0.01</v>
      </c>
      <c r="AQ90" s="129">
        <v>0.01</v>
      </c>
      <c r="AR90" s="129">
        <v>0.01</v>
      </c>
      <c r="AS90" s="195">
        <v>0.01</v>
      </c>
      <c r="AT90" s="129"/>
      <c r="AU90" s="112" t="s">
        <v>430</v>
      </c>
      <c r="AX90" s="22"/>
      <c r="AY90" s="22"/>
      <c r="BA90" s="106" t="s">
        <v>431</v>
      </c>
    </row>
    <row r="91" spans="1:53" x14ac:dyDescent="0.35">
      <c r="A91" s="217" t="s">
        <v>432</v>
      </c>
      <c r="B91" s="194">
        <v>0.01</v>
      </c>
      <c r="C91" s="129">
        <v>0.01</v>
      </c>
      <c r="D91" s="129">
        <v>0.01</v>
      </c>
      <c r="E91" s="195">
        <v>0.01</v>
      </c>
      <c r="F91" s="194">
        <v>0.01</v>
      </c>
      <c r="G91" s="129">
        <v>0.01</v>
      </c>
      <c r="H91" s="129">
        <v>0.01</v>
      </c>
      <c r="I91" s="195">
        <v>0.01</v>
      </c>
      <c r="J91" s="194">
        <v>0.01</v>
      </c>
      <c r="K91" s="129">
        <v>0.01</v>
      </c>
      <c r="L91" s="129">
        <v>0.01</v>
      </c>
      <c r="M91" s="195">
        <v>0.01</v>
      </c>
      <c r="N91" s="194">
        <v>0.01</v>
      </c>
      <c r="O91" s="129">
        <v>0.01</v>
      </c>
      <c r="P91" s="129">
        <v>0.01</v>
      </c>
      <c r="Q91" s="195">
        <v>0.01</v>
      </c>
      <c r="R91" s="194">
        <v>0.01</v>
      </c>
      <c r="S91" s="129">
        <v>0.01</v>
      </c>
      <c r="T91" s="129">
        <v>0.01</v>
      </c>
      <c r="U91" s="195">
        <v>0.01</v>
      </c>
      <c r="V91" s="194">
        <v>0.01</v>
      </c>
      <c r="W91" s="129">
        <v>0.01</v>
      </c>
      <c r="X91" s="129">
        <v>0.01</v>
      </c>
      <c r="Y91" s="195">
        <v>0.01</v>
      </c>
      <c r="Z91" s="194">
        <v>0.01</v>
      </c>
      <c r="AA91" s="129">
        <v>0.01</v>
      </c>
      <c r="AB91" s="129">
        <v>0.01</v>
      </c>
      <c r="AC91" s="195">
        <v>0.01</v>
      </c>
      <c r="AD91" s="194">
        <v>0.01</v>
      </c>
      <c r="AE91" s="129">
        <v>0.01</v>
      </c>
      <c r="AF91" s="129">
        <v>0.01</v>
      </c>
      <c r="AG91" s="195">
        <v>0.01</v>
      </c>
      <c r="AH91" s="194">
        <v>0.01</v>
      </c>
      <c r="AI91" s="129">
        <v>0.01</v>
      </c>
      <c r="AJ91" s="129">
        <v>0.01</v>
      </c>
      <c r="AK91" s="195">
        <v>0.01</v>
      </c>
      <c r="AL91" s="194">
        <v>0.01</v>
      </c>
      <c r="AM91" s="129">
        <v>0.01</v>
      </c>
      <c r="AN91" s="129">
        <v>0.01</v>
      </c>
      <c r="AO91" s="195">
        <v>0.01</v>
      </c>
      <c r="AP91" s="194">
        <v>0.01</v>
      </c>
      <c r="AQ91" s="129">
        <v>0.01</v>
      </c>
      <c r="AR91" s="129">
        <v>0.01</v>
      </c>
      <c r="AS91" s="195">
        <v>0.01</v>
      </c>
      <c r="AT91" s="142"/>
      <c r="AU91" s="108" t="s">
        <v>433</v>
      </c>
    </row>
    <row r="92" spans="1:53" x14ac:dyDescent="0.35">
      <c r="A92" s="172"/>
      <c r="B92" s="196"/>
      <c r="E92" s="191"/>
      <c r="F92" s="196"/>
      <c r="I92" s="191"/>
      <c r="J92" s="196"/>
      <c r="M92" s="191"/>
      <c r="N92" s="196"/>
      <c r="Q92" s="191"/>
      <c r="R92" s="196"/>
      <c r="U92" s="191"/>
      <c r="V92" s="196"/>
      <c r="Y92" s="191"/>
      <c r="Z92" s="196"/>
      <c r="AC92" s="191"/>
      <c r="AD92" s="196"/>
      <c r="AG92" s="191"/>
      <c r="AH92" s="196"/>
      <c r="AK92" s="191"/>
      <c r="AL92" s="196"/>
      <c r="AP92" s="196"/>
      <c r="AS92" s="191"/>
    </row>
    <row r="93" spans="1:53" x14ac:dyDescent="0.35">
      <c r="A93" s="227" t="s">
        <v>434</v>
      </c>
      <c r="B93" s="198"/>
      <c r="C93" s="14"/>
      <c r="D93" s="14"/>
      <c r="E93" s="199"/>
      <c r="F93" s="198"/>
      <c r="G93" s="14"/>
      <c r="H93" s="14"/>
      <c r="I93" s="199"/>
      <c r="J93" s="198"/>
      <c r="K93" s="14"/>
      <c r="L93" s="14"/>
      <c r="M93" s="199"/>
      <c r="N93" s="198"/>
      <c r="O93" s="14"/>
      <c r="P93" s="14"/>
      <c r="Q93" s="199"/>
      <c r="R93" s="198"/>
      <c r="S93" s="14"/>
      <c r="T93" s="14"/>
      <c r="U93" s="199"/>
      <c r="V93" s="198"/>
      <c r="W93" s="14"/>
      <c r="X93" s="14"/>
      <c r="Y93" s="199"/>
      <c r="Z93" s="198"/>
      <c r="AA93" s="14"/>
      <c r="AB93" s="14"/>
      <c r="AC93" s="199"/>
      <c r="AD93" s="198"/>
      <c r="AE93" s="14"/>
      <c r="AF93" s="14"/>
      <c r="AG93" s="199"/>
      <c r="AH93" s="198"/>
      <c r="AI93" s="14"/>
      <c r="AJ93" s="14"/>
      <c r="AK93" s="199"/>
      <c r="AL93" s="198"/>
      <c r="AM93" s="14"/>
      <c r="AN93" s="14"/>
      <c r="AO93" s="14"/>
      <c r="AP93" s="198"/>
      <c r="AQ93" s="14"/>
      <c r="AR93" s="14"/>
      <c r="AS93" s="199"/>
    </row>
    <row r="94" spans="1:53" x14ac:dyDescent="0.35">
      <c r="A94" s="192" t="s">
        <v>390</v>
      </c>
      <c r="B94" s="206">
        <f t="shared" ref="B94:AS94" si="15">B67*(B98+B100)</f>
        <v>2.0157903643814308E-3</v>
      </c>
      <c r="C94" s="49">
        <f t="shared" si="15"/>
        <v>1.5792108794847541E-5</v>
      </c>
      <c r="D94" s="49">
        <f t="shared" si="15"/>
        <v>1.2679529548556589E-2</v>
      </c>
      <c r="E94" s="207">
        <f t="shared" si="15"/>
        <v>8.1011791034611182E-3</v>
      </c>
      <c r="F94" s="206">
        <f t="shared" si="15"/>
        <v>0.15109354089965385</v>
      </c>
      <c r="G94" s="49">
        <f t="shared" si="15"/>
        <v>1.1836973121053102E-3</v>
      </c>
      <c r="H94" s="49">
        <f t="shared" si="15"/>
        <v>0.85160116000161012</v>
      </c>
      <c r="I94" s="207">
        <f t="shared" si="15"/>
        <v>0.54517209053834437</v>
      </c>
      <c r="J94" s="206">
        <f t="shared" si="15"/>
        <v>3.0584264126651468</v>
      </c>
      <c r="K94" s="49">
        <f t="shared" si="15"/>
        <v>9.0524876367843916E-4</v>
      </c>
      <c r="L94" s="49">
        <f t="shared" si="15"/>
        <v>0.6533794393951482</v>
      </c>
      <c r="M94" s="207">
        <f t="shared" si="15"/>
        <v>0.41825046737329763</v>
      </c>
      <c r="N94" s="206">
        <f t="shared" si="15"/>
        <v>0.34535072600000005</v>
      </c>
      <c r="O94" s="49">
        <f t="shared" si="15"/>
        <v>2.7055473295930508E-3</v>
      </c>
      <c r="P94" s="49">
        <f t="shared" si="15"/>
        <v>1.9191751886081934</v>
      </c>
      <c r="Q94" s="207">
        <f t="shared" si="15"/>
        <v>1.2289339017052259</v>
      </c>
      <c r="R94" s="206">
        <f t="shared" si="15"/>
        <v>0.51717242700268606</v>
      </c>
      <c r="S94" s="49">
        <f t="shared" si="15"/>
        <v>4.0516332339092121E-3</v>
      </c>
      <c r="T94" s="49">
        <f t="shared" si="15"/>
        <v>3.0231569098904583</v>
      </c>
      <c r="U94" s="207">
        <f t="shared" si="15"/>
        <v>1.9340365916048259</v>
      </c>
      <c r="V94" s="206">
        <f t="shared" si="15"/>
        <v>0</v>
      </c>
      <c r="W94" s="49">
        <f t="shared" si="15"/>
        <v>0</v>
      </c>
      <c r="X94" s="49">
        <f t="shared" si="15"/>
        <v>0</v>
      </c>
      <c r="Y94" s="207">
        <f t="shared" si="15"/>
        <v>0</v>
      </c>
      <c r="Z94" s="206">
        <f t="shared" si="15"/>
        <v>0</v>
      </c>
      <c r="AA94" s="49">
        <f t="shared" si="15"/>
        <v>0</v>
      </c>
      <c r="AB94" s="49">
        <f t="shared" si="15"/>
        <v>0</v>
      </c>
      <c r="AC94" s="207">
        <f t="shared" si="15"/>
        <v>0</v>
      </c>
      <c r="AD94" s="206">
        <f t="shared" si="15"/>
        <v>1.3502486396135265E-2</v>
      </c>
      <c r="AE94" s="49">
        <f t="shared" si="15"/>
        <v>3.1281013536819725E-3</v>
      </c>
      <c r="AF94" s="49">
        <f t="shared" si="15"/>
        <v>0</v>
      </c>
      <c r="AG94" s="207">
        <f t="shared" si="15"/>
        <v>1.5409185291587082</v>
      </c>
      <c r="AH94" s="206">
        <f t="shared" si="15"/>
        <v>2.1150520802600004</v>
      </c>
      <c r="AI94" s="49">
        <f t="shared" si="15"/>
        <v>1.656974512252124E-2</v>
      </c>
      <c r="AJ94" s="49">
        <f t="shared" si="15"/>
        <v>11.753719246703245</v>
      </c>
      <c r="AK94" s="207">
        <f t="shared" si="15"/>
        <v>7.5264333027742811</v>
      </c>
      <c r="AL94" s="206">
        <f t="shared" si="15"/>
        <v>8.6318482712281069E-2</v>
      </c>
      <c r="AM94" s="49">
        <f t="shared" si="15"/>
        <v>6.7623642521815906E-4</v>
      </c>
      <c r="AN94" s="49">
        <f t="shared" si="15"/>
        <v>0.43525464273589076</v>
      </c>
      <c r="AO94" s="49">
        <f t="shared" si="15"/>
        <v>0.27925716284505336</v>
      </c>
      <c r="AP94" s="206">
        <f t="shared" si="15"/>
        <v>1.150317</v>
      </c>
      <c r="AQ94" s="49">
        <f t="shared" si="15"/>
        <v>5.2068268371146791E-3</v>
      </c>
      <c r="AR94" s="49">
        <f t="shared" si="15"/>
        <v>0</v>
      </c>
      <c r="AS94" s="207">
        <f t="shared" si="15"/>
        <v>0.20631572164383563</v>
      </c>
    </row>
    <row r="95" spans="1:53" x14ac:dyDescent="0.35">
      <c r="A95" s="192" t="s">
        <v>391</v>
      </c>
      <c r="B95" s="206">
        <f t="shared" ref="B95:AS95" si="16">B68*(B99+B101)</f>
        <v>1.5986183804851041E-2</v>
      </c>
      <c r="C95" s="49">
        <f t="shared" si="16"/>
        <v>1.2523899226897354E-4</v>
      </c>
      <c r="D95" s="49">
        <f t="shared" si="16"/>
        <v>0.11070850111448188</v>
      </c>
      <c r="E95" s="207">
        <f t="shared" si="16"/>
        <v>6.4246233374415679E-2</v>
      </c>
      <c r="F95" s="206">
        <f t="shared" si="16"/>
        <v>2.0738282736159179E-2</v>
      </c>
      <c r="G95" s="49">
        <f t="shared" si="16"/>
        <v>1.6246789496299227E-4</v>
      </c>
      <c r="H95" s="49">
        <f t="shared" si="16"/>
        <v>0.12868903078643168</v>
      </c>
      <c r="I95" s="207">
        <f t="shared" si="16"/>
        <v>7.4827374394222296E-2</v>
      </c>
      <c r="J95" s="206">
        <f t="shared" si="16"/>
        <v>2.5033698597290577E-5</v>
      </c>
      <c r="K95" s="49">
        <f t="shared" si="16"/>
        <v>2.184353406806718E-4</v>
      </c>
      <c r="L95" s="49">
        <f t="shared" si="16"/>
        <v>0.17357965524567967</v>
      </c>
      <c r="M95" s="207">
        <f t="shared" si="16"/>
        <v>0.10092328981405761</v>
      </c>
      <c r="N95" s="206">
        <f t="shared" si="16"/>
        <v>2.8335637575000003E-2</v>
      </c>
      <c r="O95" s="49">
        <f t="shared" si="16"/>
        <v>2.2198710702394107E-4</v>
      </c>
      <c r="P95" s="49">
        <f t="shared" si="16"/>
        <v>0.17336667891156388</v>
      </c>
      <c r="Q95" s="207">
        <f t="shared" si="16"/>
        <v>0.10083264061923516</v>
      </c>
      <c r="R95" s="206">
        <f t="shared" si="16"/>
        <v>1.4989285416313787E-2</v>
      </c>
      <c r="S95" s="49">
        <f t="shared" si="16"/>
        <v>1.1742908897378669E-4</v>
      </c>
      <c r="T95" s="49">
        <f t="shared" si="16"/>
        <v>9.6468305308637162E-2</v>
      </c>
      <c r="U95" s="207">
        <f t="shared" si="16"/>
        <v>5.6054470353673537E-2</v>
      </c>
      <c r="V95" s="206">
        <f t="shared" si="16"/>
        <v>4.6608499999999997E-2</v>
      </c>
      <c r="W95" s="49">
        <f t="shared" si="16"/>
        <v>2.9211232111054015E-4</v>
      </c>
      <c r="X95" s="49">
        <f t="shared" si="16"/>
        <v>0.13089558734246573</v>
      </c>
      <c r="Y95" s="207">
        <f t="shared" si="16"/>
        <v>2.4826286301369859E-2</v>
      </c>
      <c r="Z95" s="206">
        <f t="shared" si="16"/>
        <v>2.8291359499999995E-2</v>
      </c>
      <c r="AA95" s="49">
        <f t="shared" si="16"/>
        <v>2.2164022364262232E-4</v>
      </c>
      <c r="AB95" s="49">
        <f t="shared" si="16"/>
        <v>0.26744652172004413</v>
      </c>
      <c r="AC95" s="207">
        <f t="shared" si="16"/>
        <v>8.5842170336954821E-2</v>
      </c>
      <c r="AD95" s="206">
        <f t="shared" si="16"/>
        <v>8.323951615338168E-4</v>
      </c>
      <c r="AE95" s="49">
        <f t="shared" si="16"/>
        <v>8.9830015847511914E-5</v>
      </c>
      <c r="AF95" s="49">
        <f t="shared" si="16"/>
        <v>0.12094932016801521</v>
      </c>
      <c r="AG95" s="207">
        <f t="shared" si="16"/>
        <v>4.4250719603801045E-2</v>
      </c>
      <c r="AH95" s="206">
        <f t="shared" si="16"/>
        <v>6.1895854957499993E-3</v>
      </c>
      <c r="AI95" s="49">
        <f t="shared" si="16"/>
        <v>4.8490462734148963E-5</v>
      </c>
      <c r="AJ95" s="49">
        <f t="shared" si="16"/>
        <v>3.786990422915739E-2</v>
      </c>
      <c r="AK95" s="207">
        <f t="shared" si="16"/>
        <v>2.202569990610103E-2</v>
      </c>
      <c r="AL95" s="206">
        <f t="shared" si="16"/>
        <v>4.6492873873809383E-3</v>
      </c>
      <c r="AM95" s="49">
        <f t="shared" si="16"/>
        <v>3.6423456296539378E-5</v>
      </c>
      <c r="AN95" s="49">
        <f t="shared" si="16"/>
        <v>2.5810974411409639E-2</v>
      </c>
      <c r="AO95" s="49">
        <f t="shared" si="16"/>
        <v>1.5041353418814985E-2</v>
      </c>
      <c r="AP95" s="206">
        <f t="shared" si="16"/>
        <v>3.3033774374999998E-2</v>
      </c>
      <c r="AQ95" s="49">
        <f t="shared" si="16"/>
        <v>1.4952499436845775E-4</v>
      </c>
      <c r="AR95" s="49">
        <f t="shared" si="16"/>
        <v>0.14536059336986304</v>
      </c>
      <c r="AS95" s="207">
        <f t="shared" si="16"/>
        <v>5.9247902958904112E-3</v>
      </c>
    </row>
    <row r="96" spans="1:53" x14ac:dyDescent="0.35">
      <c r="A96" s="192" t="s">
        <v>392</v>
      </c>
      <c r="B96" s="206">
        <f t="shared" ref="B96:AS96" si="17">B69*(B98+B100)</f>
        <v>6.4505291660205966E-2</v>
      </c>
      <c r="C96" s="49">
        <f t="shared" si="17"/>
        <v>5.0534748143512252E-4</v>
      </c>
      <c r="D96" s="49">
        <f t="shared" si="17"/>
        <v>0.40574494555381196</v>
      </c>
      <c r="E96" s="207">
        <f t="shared" si="17"/>
        <v>0.2592377313107565</v>
      </c>
      <c r="F96" s="206">
        <f t="shared" si="17"/>
        <v>0</v>
      </c>
      <c r="G96" s="49">
        <f t="shared" si="17"/>
        <v>0</v>
      </c>
      <c r="H96" s="49">
        <f t="shared" si="17"/>
        <v>0</v>
      </c>
      <c r="I96" s="207">
        <f t="shared" si="17"/>
        <v>0</v>
      </c>
      <c r="J96" s="206">
        <f t="shared" si="17"/>
        <v>0</v>
      </c>
      <c r="K96" s="49">
        <f t="shared" si="17"/>
        <v>3.8753124331384773E-4</v>
      </c>
      <c r="L96" s="49">
        <f t="shared" si="17"/>
        <v>0.27970758609558255</v>
      </c>
      <c r="M96" s="207">
        <f t="shared" si="17"/>
        <v>0.1790503673036194</v>
      </c>
      <c r="N96" s="206">
        <f t="shared" si="17"/>
        <v>0</v>
      </c>
      <c r="O96" s="49">
        <f t="shared" si="17"/>
        <v>0</v>
      </c>
      <c r="P96" s="49">
        <f t="shared" si="17"/>
        <v>0</v>
      </c>
      <c r="Q96" s="207">
        <f t="shared" si="17"/>
        <v>0</v>
      </c>
      <c r="R96" s="206">
        <f t="shared" si="17"/>
        <v>0.21852009867176192</v>
      </c>
      <c r="S96" s="49">
        <f t="shared" si="17"/>
        <v>1.7119305821983284E-3</v>
      </c>
      <c r="T96" s="49">
        <f t="shared" si="17"/>
        <v>1.277370006127668</v>
      </c>
      <c r="U96" s="207">
        <f t="shared" si="17"/>
        <v>0.81718561308777926</v>
      </c>
      <c r="V96" s="206">
        <f t="shared" si="17"/>
        <v>0</v>
      </c>
      <c r="W96" s="49">
        <f t="shared" si="17"/>
        <v>0</v>
      </c>
      <c r="X96" s="49">
        <f t="shared" si="17"/>
        <v>0</v>
      </c>
      <c r="Y96" s="207">
        <f t="shared" si="17"/>
        <v>0</v>
      </c>
      <c r="Z96" s="206">
        <f t="shared" si="17"/>
        <v>0</v>
      </c>
      <c r="AA96" s="49">
        <f t="shared" si="17"/>
        <v>0</v>
      </c>
      <c r="AB96" s="49">
        <f t="shared" si="17"/>
        <v>0</v>
      </c>
      <c r="AC96" s="207">
        <f t="shared" si="17"/>
        <v>0</v>
      </c>
      <c r="AD96" s="206">
        <f t="shared" si="17"/>
        <v>0</v>
      </c>
      <c r="AE96" s="49">
        <f t="shared" si="17"/>
        <v>2.6588861506296759E-3</v>
      </c>
      <c r="AF96" s="49">
        <f t="shared" si="17"/>
        <v>0</v>
      </c>
      <c r="AG96" s="207">
        <f t="shared" si="17"/>
        <v>1.3097807497849021</v>
      </c>
      <c r="AH96" s="206">
        <f t="shared" si="17"/>
        <v>0</v>
      </c>
      <c r="AI96" s="49">
        <f t="shared" si="17"/>
        <v>0</v>
      </c>
      <c r="AJ96" s="49">
        <f t="shared" si="17"/>
        <v>0</v>
      </c>
      <c r="AK96" s="207">
        <f t="shared" si="17"/>
        <v>0</v>
      </c>
      <c r="AL96" s="206">
        <f t="shared" si="17"/>
        <v>1.5535124886100584</v>
      </c>
      <c r="AM96" s="49">
        <f t="shared" si="17"/>
        <v>1.217053056100539E-2</v>
      </c>
      <c r="AN96" s="49">
        <f t="shared" si="17"/>
        <v>7.8334732257696684</v>
      </c>
      <c r="AO96" s="49">
        <f t="shared" si="17"/>
        <v>5.0259165404894164</v>
      </c>
      <c r="AP96" s="206">
        <f t="shared" si="17"/>
        <v>0.97776944999999993</v>
      </c>
      <c r="AQ96" s="49">
        <f t="shared" si="17"/>
        <v>4.4258028115474772E-3</v>
      </c>
      <c r="AR96" s="49">
        <f t="shared" si="17"/>
        <v>0</v>
      </c>
      <c r="AS96" s="207">
        <f t="shared" si="17"/>
        <v>0.17536836339726031</v>
      </c>
    </row>
    <row r="97" spans="1:47" x14ac:dyDescent="0.35">
      <c r="A97" s="172"/>
      <c r="B97" s="196"/>
      <c r="E97" s="191"/>
      <c r="F97" s="196"/>
      <c r="I97" s="191"/>
      <c r="J97" s="196"/>
      <c r="M97" s="191"/>
      <c r="N97" s="196"/>
      <c r="Q97" s="191"/>
      <c r="R97" s="196"/>
      <c r="U97" s="191"/>
      <c r="V97" s="196"/>
      <c r="Y97" s="191"/>
      <c r="Z97" s="196"/>
      <c r="AC97" s="191"/>
      <c r="AD97" s="196"/>
      <c r="AG97" s="191"/>
      <c r="AH97" s="196"/>
      <c r="AK97" s="191"/>
      <c r="AL97" s="196"/>
      <c r="AP97" s="196"/>
      <c r="AS97" s="191"/>
    </row>
    <row r="98" spans="1:47" x14ac:dyDescent="0.35">
      <c r="A98" s="217" t="s">
        <v>435</v>
      </c>
      <c r="B98" s="194">
        <v>0.01</v>
      </c>
      <c r="C98" s="129">
        <v>0.01</v>
      </c>
      <c r="D98" s="129">
        <v>0.01</v>
      </c>
      <c r="E98" s="195">
        <v>0.01</v>
      </c>
      <c r="F98" s="194">
        <v>0.01</v>
      </c>
      <c r="G98" s="129">
        <v>0.01</v>
      </c>
      <c r="H98" s="129">
        <v>0.01</v>
      </c>
      <c r="I98" s="195">
        <v>0.01</v>
      </c>
      <c r="J98" s="194">
        <v>0.01</v>
      </c>
      <c r="K98" s="129">
        <v>0.01</v>
      </c>
      <c r="L98" s="129">
        <v>0.01</v>
      </c>
      <c r="M98" s="195">
        <v>0.01</v>
      </c>
      <c r="N98" s="194">
        <v>0.01</v>
      </c>
      <c r="O98" s="129">
        <v>0.01</v>
      </c>
      <c r="P98" s="129">
        <v>0.01</v>
      </c>
      <c r="Q98" s="195">
        <v>0.01</v>
      </c>
      <c r="R98" s="194">
        <v>0.01</v>
      </c>
      <c r="S98" s="129">
        <v>0.01</v>
      </c>
      <c r="T98" s="129">
        <v>0.01</v>
      </c>
      <c r="U98" s="195">
        <v>0.01</v>
      </c>
      <c r="V98" s="194">
        <v>0.01</v>
      </c>
      <c r="W98" s="129">
        <v>0.01</v>
      </c>
      <c r="X98" s="129">
        <v>0.01</v>
      </c>
      <c r="Y98" s="195">
        <v>0.01</v>
      </c>
      <c r="Z98" s="194">
        <v>0.01</v>
      </c>
      <c r="AA98" s="129">
        <v>0.01</v>
      </c>
      <c r="AB98" s="129">
        <v>0.01</v>
      </c>
      <c r="AC98" s="195">
        <v>0.01</v>
      </c>
      <c r="AD98" s="194">
        <v>0.01</v>
      </c>
      <c r="AE98" s="129">
        <v>0.01</v>
      </c>
      <c r="AF98" s="129">
        <v>0.01</v>
      </c>
      <c r="AG98" s="195">
        <v>0.01</v>
      </c>
      <c r="AH98" s="194">
        <v>0.01</v>
      </c>
      <c r="AI98" s="129">
        <v>0.01</v>
      </c>
      <c r="AJ98" s="129">
        <v>0.01</v>
      </c>
      <c r="AK98" s="195">
        <v>0.01</v>
      </c>
      <c r="AL98" s="194">
        <v>0.01</v>
      </c>
      <c r="AM98" s="129">
        <v>0.01</v>
      </c>
      <c r="AN98" s="129">
        <v>0.01</v>
      </c>
      <c r="AO98" s="129">
        <v>0.01</v>
      </c>
      <c r="AP98" s="194">
        <v>0.01</v>
      </c>
      <c r="AQ98" s="129">
        <v>0.01</v>
      </c>
      <c r="AR98" s="129">
        <v>0.01</v>
      </c>
      <c r="AS98" s="195">
        <v>0.01</v>
      </c>
      <c r="AU98" s="112" t="s">
        <v>436</v>
      </c>
    </row>
    <row r="99" spans="1:47" x14ac:dyDescent="0.35">
      <c r="A99" s="217" t="s">
        <v>437</v>
      </c>
      <c r="B99" s="229">
        <v>1E-4</v>
      </c>
      <c r="C99" s="230">
        <v>1E-4</v>
      </c>
      <c r="D99" s="230">
        <v>1E-4</v>
      </c>
      <c r="E99" s="231">
        <v>1E-4</v>
      </c>
      <c r="F99" s="229">
        <v>1E-4</v>
      </c>
      <c r="G99" s="230">
        <v>1E-4</v>
      </c>
      <c r="H99" s="230">
        <v>1E-4</v>
      </c>
      <c r="I99" s="231">
        <v>1E-4</v>
      </c>
      <c r="J99" s="229">
        <v>1E-4</v>
      </c>
      <c r="K99" s="230">
        <v>1E-4</v>
      </c>
      <c r="L99" s="230">
        <v>1E-4</v>
      </c>
      <c r="M99" s="231">
        <v>1E-4</v>
      </c>
      <c r="N99" s="229">
        <v>1E-4</v>
      </c>
      <c r="O99" s="230">
        <v>1E-4</v>
      </c>
      <c r="P99" s="230">
        <v>1E-4</v>
      </c>
      <c r="Q99" s="231">
        <v>1E-4</v>
      </c>
      <c r="R99" s="229">
        <v>1E-4</v>
      </c>
      <c r="S99" s="230">
        <v>1E-4</v>
      </c>
      <c r="T99" s="230">
        <v>1E-4</v>
      </c>
      <c r="U99" s="231">
        <v>1E-4</v>
      </c>
      <c r="V99" s="229">
        <v>1E-4</v>
      </c>
      <c r="W99" s="230">
        <v>1E-4</v>
      </c>
      <c r="X99" s="230">
        <v>1E-4</v>
      </c>
      <c r="Y99" s="231">
        <v>1E-4</v>
      </c>
      <c r="Z99" s="229">
        <v>1E-4</v>
      </c>
      <c r="AA99" s="230">
        <v>1E-4</v>
      </c>
      <c r="AB99" s="230">
        <v>1E-4</v>
      </c>
      <c r="AC99" s="231">
        <v>1E-4</v>
      </c>
      <c r="AD99" s="229">
        <v>1E-4</v>
      </c>
      <c r="AE99" s="230">
        <v>1E-4</v>
      </c>
      <c r="AF99" s="230">
        <v>1E-4</v>
      </c>
      <c r="AG99" s="231">
        <v>1E-4</v>
      </c>
      <c r="AH99" s="229">
        <v>1E-4</v>
      </c>
      <c r="AI99" s="230">
        <v>1E-4</v>
      </c>
      <c r="AJ99" s="230">
        <v>1E-4</v>
      </c>
      <c r="AK99" s="231">
        <v>1E-4</v>
      </c>
      <c r="AL99" s="229">
        <v>1E-4</v>
      </c>
      <c r="AM99" s="230">
        <v>1E-4</v>
      </c>
      <c r="AN99" s="230">
        <v>1E-4</v>
      </c>
      <c r="AO99" s="230">
        <v>1E-4</v>
      </c>
      <c r="AP99" s="229">
        <v>1E-4</v>
      </c>
      <c r="AQ99" s="230">
        <v>1E-4</v>
      </c>
      <c r="AR99" s="230">
        <v>1E-4</v>
      </c>
      <c r="AS99" s="231">
        <v>1E-4</v>
      </c>
      <c r="AU99" s="112" t="s">
        <v>436</v>
      </c>
    </row>
    <row r="100" spans="1:47" x14ac:dyDescent="0.35">
      <c r="A100" s="217" t="s">
        <v>438</v>
      </c>
      <c r="B100" s="225">
        <v>0.3</v>
      </c>
      <c r="C100" s="118">
        <v>0.3</v>
      </c>
      <c r="D100" s="118">
        <v>0.3</v>
      </c>
      <c r="E100" s="226">
        <v>0.3</v>
      </c>
      <c r="F100" s="225">
        <v>0.3</v>
      </c>
      <c r="G100" s="118">
        <v>0.3</v>
      </c>
      <c r="H100" s="118">
        <v>0.3</v>
      </c>
      <c r="I100" s="226">
        <v>0.3</v>
      </c>
      <c r="J100" s="225">
        <v>0.3</v>
      </c>
      <c r="K100" s="118">
        <v>0.3</v>
      </c>
      <c r="L100" s="118">
        <v>0.3</v>
      </c>
      <c r="M100" s="226">
        <v>0.3</v>
      </c>
      <c r="N100" s="225">
        <v>0.3</v>
      </c>
      <c r="O100" s="118">
        <v>0.3</v>
      </c>
      <c r="P100" s="118">
        <v>0.3</v>
      </c>
      <c r="Q100" s="226">
        <v>0.3</v>
      </c>
      <c r="R100" s="225">
        <v>0.3</v>
      </c>
      <c r="S100" s="118">
        <v>0.3</v>
      </c>
      <c r="T100" s="118">
        <v>0.3</v>
      </c>
      <c r="U100" s="226">
        <v>0.3</v>
      </c>
      <c r="V100" s="225">
        <v>0.3</v>
      </c>
      <c r="W100" s="118">
        <v>0.3</v>
      </c>
      <c r="X100" s="118">
        <v>0.3</v>
      </c>
      <c r="Y100" s="226">
        <v>0.3</v>
      </c>
      <c r="Z100" s="225">
        <v>0.3</v>
      </c>
      <c r="AA100" s="118">
        <v>0.3</v>
      </c>
      <c r="AB100" s="118">
        <v>0.3</v>
      </c>
      <c r="AC100" s="226">
        <v>0.3</v>
      </c>
      <c r="AD100" s="225">
        <v>0.3</v>
      </c>
      <c r="AE100" s="118">
        <v>0.3</v>
      </c>
      <c r="AF100" s="118">
        <v>0.3</v>
      </c>
      <c r="AG100" s="226">
        <v>0.3</v>
      </c>
      <c r="AH100" s="225">
        <v>0.3</v>
      </c>
      <c r="AI100" s="118">
        <v>0.3</v>
      </c>
      <c r="AJ100" s="118">
        <v>0.3</v>
      </c>
      <c r="AK100" s="226">
        <v>0.3</v>
      </c>
      <c r="AL100" s="225">
        <v>0.3</v>
      </c>
      <c r="AM100" s="118">
        <v>0.3</v>
      </c>
      <c r="AN100" s="118">
        <v>0.3</v>
      </c>
      <c r="AO100" s="118">
        <v>0.3</v>
      </c>
      <c r="AP100" s="225">
        <v>0.3</v>
      </c>
      <c r="AQ100" s="118">
        <v>0.3</v>
      </c>
      <c r="AR100" s="118">
        <v>0.3</v>
      </c>
      <c r="AS100" s="226">
        <v>0.3</v>
      </c>
      <c r="AU100" s="112" t="s">
        <v>436</v>
      </c>
    </row>
    <row r="101" spans="1:47" x14ac:dyDescent="0.35">
      <c r="A101" s="217" t="s">
        <v>439</v>
      </c>
      <c r="B101" s="225">
        <v>3.0000000000000001E-3</v>
      </c>
      <c r="C101" s="118">
        <v>3.0000000000000001E-3</v>
      </c>
      <c r="D101" s="118">
        <v>3.0000000000000001E-3</v>
      </c>
      <c r="E101" s="226">
        <v>3.0000000000000001E-3</v>
      </c>
      <c r="F101" s="225">
        <v>3.0000000000000001E-3</v>
      </c>
      <c r="G101" s="118">
        <v>3.0000000000000001E-3</v>
      </c>
      <c r="H101" s="118">
        <v>3.0000000000000001E-3</v>
      </c>
      <c r="I101" s="226">
        <v>3.0000000000000001E-3</v>
      </c>
      <c r="J101" s="225">
        <v>3.0000000000000001E-3</v>
      </c>
      <c r="K101" s="118">
        <v>3.0000000000000001E-3</v>
      </c>
      <c r="L101" s="118">
        <v>3.0000000000000001E-3</v>
      </c>
      <c r="M101" s="226">
        <v>3.0000000000000001E-3</v>
      </c>
      <c r="N101" s="225">
        <v>3.0000000000000001E-3</v>
      </c>
      <c r="O101" s="118">
        <v>3.0000000000000001E-3</v>
      </c>
      <c r="P101" s="118">
        <v>3.0000000000000001E-3</v>
      </c>
      <c r="Q101" s="226">
        <v>3.0000000000000001E-3</v>
      </c>
      <c r="R101" s="225">
        <v>3.0000000000000001E-3</v>
      </c>
      <c r="S101" s="118">
        <v>3.0000000000000001E-3</v>
      </c>
      <c r="T101" s="118">
        <v>3.0000000000000001E-3</v>
      </c>
      <c r="U101" s="226">
        <v>3.0000000000000001E-3</v>
      </c>
      <c r="V101" s="225">
        <v>3.0000000000000001E-3</v>
      </c>
      <c r="W101" s="118">
        <v>3.0000000000000001E-3</v>
      </c>
      <c r="X101" s="118">
        <v>3.0000000000000001E-3</v>
      </c>
      <c r="Y101" s="226">
        <v>3.0000000000000001E-3</v>
      </c>
      <c r="Z101" s="225">
        <v>3.0000000000000001E-3</v>
      </c>
      <c r="AA101" s="118">
        <v>3.0000000000000001E-3</v>
      </c>
      <c r="AB101" s="118">
        <v>3.0000000000000001E-3</v>
      </c>
      <c r="AC101" s="226">
        <v>3.0000000000000001E-3</v>
      </c>
      <c r="AD101" s="225">
        <v>3.0000000000000001E-3</v>
      </c>
      <c r="AE101" s="118">
        <v>3.0000000000000001E-3</v>
      </c>
      <c r="AF101" s="118">
        <v>3.0000000000000001E-3</v>
      </c>
      <c r="AG101" s="226">
        <v>3.0000000000000001E-3</v>
      </c>
      <c r="AH101" s="225">
        <v>3.0000000000000001E-3</v>
      </c>
      <c r="AI101" s="118">
        <v>3.0000000000000001E-3</v>
      </c>
      <c r="AJ101" s="118">
        <v>3.0000000000000001E-3</v>
      </c>
      <c r="AK101" s="226">
        <v>3.0000000000000001E-3</v>
      </c>
      <c r="AL101" s="225">
        <v>3.0000000000000001E-3</v>
      </c>
      <c r="AM101" s="118">
        <v>3.0000000000000001E-3</v>
      </c>
      <c r="AN101" s="118">
        <v>3.0000000000000001E-3</v>
      </c>
      <c r="AO101" s="118">
        <v>3.0000000000000001E-3</v>
      </c>
      <c r="AP101" s="225">
        <v>3.0000000000000001E-3</v>
      </c>
      <c r="AQ101" s="118">
        <v>3.0000000000000001E-3</v>
      </c>
      <c r="AR101" s="118">
        <v>3.0000000000000001E-3</v>
      </c>
      <c r="AS101" s="226">
        <v>3.0000000000000001E-3</v>
      </c>
      <c r="AU101" s="112" t="s">
        <v>436</v>
      </c>
    </row>
    <row r="102" spans="1:47" x14ac:dyDescent="0.35">
      <c r="A102" s="172"/>
      <c r="B102" s="196"/>
      <c r="E102" s="191"/>
      <c r="F102" s="196"/>
      <c r="I102" s="191"/>
      <c r="J102" s="196"/>
      <c r="M102" s="191"/>
      <c r="N102" s="196"/>
      <c r="Q102" s="191"/>
      <c r="R102" s="196"/>
      <c r="U102" s="191"/>
      <c r="V102" s="196"/>
      <c r="Y102" s="191"/>
      <c r="Z102" s="196"/>
      <c r="AC102" s="191"/>
      <c r="AD102" s="196"/>
      <c r="AG102" s="191"/>
      <c r="AH102" s="196"/>
      <c r="AK102" s="191"/>
      <c r="AL102" s="196"/>
      <c r="AP102" s="196"/>
      <c r="AS102" s="191"/>
    </row>
    <row r="103" spans="1:47" x14ac:dyDescent="0.35">
      <c r="A103" s="204" t="s">
        <v>440</v>
      </c>
      <c r="B103" s="198"/>
      <c r="C103" s="14"/>
      <c r="D103" s="14"/>
      <c r="E103" s="199"/>
      <c r="F103" s="198"/>
      <c r="G103" s="14"/>
      <c r="H103" s="14"/>
      <c r="I103" s="199"/>
      <c r="J103" s="198"/>
      <c r="K103" s="14"/>
      <c r="L103" s="14"/>
      <c r="M103" s="199"/>
      <c r="N103" s="198"/>
      <c r="O103" s="14"/>
      <c r="P103" s="14"/>
      <c r="Q103" s="199"/>
      <c r="R103" s="198"/>
      <c r="S103" s="14"/>
      <c r="T103" s="14"/>
      <c r="U103" s="199"/>
      <c r="V103" s="198"/>
      <c r="W103" s="14"/>
      <c r="X103" s="14"/>
      <c r="Y103" s="199"/>
      <c r="Z103" s="198"/>
      <c r="AA103" s="14"/>
      <c r="AB103" s="14"/>
      <c r="AC103" s="199"/>
      <c r="AD103" s="198"/>
      <c r="AE103" s="14"/>
      <c r="AF103" s="14"/>
      <c r="AG103" s="199"/>
      <c r="AH103" s="198"/>
      <c r="AI103" s="14"/>
      <c r="AJ103" s="14"/>
      <c r="AK103" s="199"/>
      <c r="AL103" s="198"/>
      <c r="AM103" s="14"/>
      <c r="AN103" s="14"/>
      <c r="AO103" s="14"/>
      <c r="AP103" s="198"/>
      <c r="AQ103" s="14"/>
      <c r="AR103" s="14"/>
      <c r="AS103" s="199"/>
    </row>
    <row r="104" spans="1:47" x14ac:dyDescent="0.35">
      <c r="A104" s="192" t="s">
        <v>390</v>
      </c>
      <c r="B104" s="215">
        <f t="shared" ref="B104:AS104" si="18">B67-B74-B84-B94</f>
        <v>2.5359943293830904E-3</v>
      </c>
      <c r="C104" s="56">
        <f t="shared" si="18"/>
        <v>1.9867491709646908E-5</v>
      </c>
      <c r="D104" s="56">
        <f t="shared" si="18"/>
        <v>1.5951666206248612E-2</v>
      </c>
      <c r="E104" s="214">
        <f t="shared" si="18"/>
        <v>1.019180596887044E-2</v>
      </c>
      <c r="F104" s="215">
        <f t="shared" si="18"/>
        <v>0.19008542242214518</v>
      </c>
      <c r="G104" s="56">
        <f t="shared" si="18"/>
        <v>1.4891675861970031E-3</v>
      </c>
      <c r="H104" s="56">
        <f t="shared" si="18"/>
        <v>1.0713692012923484</v>
      </c>
      <c r="I104" s="214">
        <f t="shared" si="18"/>
        <v>0.6858616622901752</v>
      </c>
      <c r="J104" s="215">
        <f t="shared" si="18"/>
        <v>3.8476977449658301</v>
      </c>
      <c r="K104" s="56">
        <f t="shared" si="18"/>
        <v>1.1388613478535204E-3</v>
      </c>
      <c r="L104" s="56">
        <f t="shared" si="18"/>
        <v>0.8219934882713158</v>
      </c>
      <c r="M104" s="214">
        <f t="shared" si="18"/>
        <v>0.52618607185672928</v>
      </c>
      <c r="N104" s="215">
        <f t="shared" si="18"/>
        <v>0.43447349400000002</v>
      </c>
      <c r="O104" s="56">
        <f t="shared" si="18"/>
        <v>3.403753092068678E-3</v>
      </c>
      <c r="P104" s="56">
        <f t="shared" si="18"/>
        <v>2.4144462050232116</v>
      </c>
      <c r="Q104" s="214">
        <f t="shared" si="18"/>
        <v>1.5460781344033487</v>
      </c>
      <c r="R104" s="215">
        <f t="shared" si="18"/>
        <v>0.6506362791324114</v>
      </c>
      <c r="S104" s="56">
        <f t="shared" si="18"/>
        <v>5.0972160039502983E-3</v>
      </c>
      <c r="T104" s="56">
        <f t="shared" si="18"/>
        <v>3.8033264350234797</v>
      </c>
      <c r="U104" s="214">
        <f t="shared" si="18"/>
        <v>2.4331428087931681</v>
      </c>
      <c r="V104" s="215">
        <f t="shared" si="18"/>
        <v>0</v>
      </c>
      <c r="W104" s="56">
        <f t="shared" si="18"/>
        <v>0</v>
      </c>
      <c r="X104" s="56">
        <f t="shared" si="18"/>
        <v>0</v>
      </c>
      <c r="Y104" s="214">
        <f t="shared" si="18"/>
        <v>0</v>
      </c>
      <c r="Z104" s="215">
        <f t="shared" si="18"/>
        <v>0</v>
      </c>
      <c r="AA104" s="56">
        <f t="shared" si="18"/>
        <v>0</v>
      </c>
      <c r="AB104" s="56">
        <f t="shared" si="18"/>
        <v>0</v>
      </c>
      <c r="AC104" s="214">
        <f t="shared" si="18"/>
        <v>0</v>
      </c>
      <c r="AD104" s="215">
        <f t="shared" si="18"/>
        <v>1.6986999014492753E-2</v>
      </c>
      <c r="AE104" s="56">
        <f t="shared" si="18"/>
        <v>3.9353533159224817E-3</v>
      </c>
      <c r="AF104" s="56">
        <f t="shared" si="18"/>
        <v>0</v>
      </c>
      <c r="AG104" s="214">
        <f t="shared" si="18"/>
        <v>1.9385749237803098</v>
      </c>
      <c r="AH104" s="215">
        <f t="shared" si="18"/>
        <v>2.6608719719400002</v>
      </c>
      <c r="AI104" s="56">
        <f t="shared" si="18"/>
        <v>2.0845808379946075E-2</v>
      </c>
      <c r="AJ104" s="56">
        <f t="shared" si="18"/>
        <v>14.786937116820212</v>
      </c>
      <c r="AK104" s="214">
        <f t="shared" si="18"/>
        <v>9.468738671232158</v>
      </c>
      <c r="AL104" s="215">
        <f t="shared" si="18"/>
        <v>0.10859422018641812</v>
      </c>
      <c r="AM104" s="56">
        <f t="shared" si="18"/>
        <v>8.5074905108090972E-4</v>
      </c>
      <c r="AN104" s="56">
        <f t="shared" si="18"/>
        <v>0.5475784215064432</v>
      </c>
      <c r="AO104" s="56">
        <f t="shared" si="18"/>
        <v>0.35132352745022838</v>
      </c>
      <c r="AP104" s="215">
        <f t="shared" si="18"/>
        <v>1.4471730000000005</v>
      </c>
      <c r="AQ104" s="56">
        <f t="shared" si="18"/>
        <v>6.5505240854023383E-3</v>
      </c>
      <c r="AR104" s="56">
        <f t="shared" si="18"/>
        <v>0</v>
      </c>
      <c r="AS104" s="214">
        <f t="shared" si="18"/>
        <v>0.25955848851966423</v>
      </c>
    </row>
    <row r="105" spans="1:47" x14ac:dyDescent="0.35">
      <c r="A105" s="192" t="s">
        <v>391</v>
      </c>
      <c r="B105" s="215">
        <f t="shared" ref="B105:AS105" si="19">B68-B75-B85-B95</f>
        <v>4.5220272833786712</v>
      </c>
      <c r="C105" s="56">
        <f t="shared" si="19"/>
        <v>3.5426474942149323E-2</v>
      </c>
      <c r="D105" s="56">
        <f t="shared" si="19"/>
        <v>31.316220847512636</v>
      </c>
      <c r="E105" s="214">
        <f t="shared" si="19"/>
        <v>18.173394208395198</v>
      </c>
      <c r="F105" s="215">
        <f t="shared" si="19"/>
        <v>5.8662581068832207</v>
      </c>
      <c r="G105" s="56">
        <f t="shared" si="19"/>
        <v>4.5957450675176752E-2</v>
      </c>
      <c r="H105" s="56">
        <f t="shared" si="19"/>
        <v>36.402390676329659</v>
      </c>
      <c r="I105" s="214">
        <f t="shared" si="19"/>
        <v>21.166491808481787</v>
      </c>
      <c r="J105" s="215">
        <f t="shared" si="19"/>
        <v>7.0813065483755194E-3</v>
      </c>
      <c r="K105" s="56">
        <f t="shared" si="19"/>
        <v>6.178901620738101E-2</v>
      </c>
      <c r="L105" s="56">
        <f t="shared" si="19"/>
        <v>49.100645059656934</v>
      </c>
      <c r="M105" s="214">
        <f t="shared" si="19"/>
        <v>28.548268657402293</v>
      </c>
      <c r="N105" s="215">
        <f t="shared" si="19"/>
        <v>8.0153292224250006</v>
      </c>
      <c r="O105" s="56">
        <f t="shared" si="19"/>
        <v>6.2793707790094827E-2</v>
      </c>
      <c r="P105" s="56">
        <f t="shared" si="19"/>
        <v>49.040400237919471</v>
      </c>
      <c r="Q105" s="214">
        <f t="shared" si="19"/>
        <v>28.522626631937843</v>
      </c>
      <c r="R105" s="215">
        <f t="shared" si="19"/>
        <v>4.2400336714727613</v>
      </c>
      <c r="S105" s="56">
        <f t="shared" si="19"/>
        <v>3.3217280039068882E-2</v>
      </c>
      <c r="T105" s="56">
        <f t="shared" si="19"/>
        <v>27.288082879078686</v>
      </c>
      <c r="U105" s="214">
        <f t="shared" si="19"/>
        <v>15.856182275205267</v>
      </c>
      <c r="V105" s="215">
        <f t="shared" si="19"/>
        <v>13.184191500000001</v>
      </c>
      <c r="W105" s="56">
        <f t="shared" si="19"/>
        <v>8.2630094961881492E-2</v>
      </c>
      <c r="X105" s="56">
        <f t="shared" si="19"/>
        <v>37.026561464712323</v>
      </c>
      <c r="Y105" s="214">
        <f t="shared" si="19"/>
        <v>7.022635631506847</v>
      </c>
      <c r="Z105" s="215">
        <f t="shared" si="19"/>
        <v>8.0028042404999979</v>
      </c>
      <c r="AA105" s="56">
        <f t="shared" si="19"/>
        <v>6.2695584552327585E-2</v>
      </c>
      <c r="AB105" s="56">
        <f t="shared" si="19"/>
        <v>75.652856418163452</v>
      </c>
      <c r="AC105" s="214">
        <f t="shared" si="19"/>
        <v>24.282257796282476</v>
      </c>
      <c r="AD105" s="215">
        <f t="shared" si="19"/>
        <v>0.23546042488677546</v>
      </c>
      <c r="AE105" s="56">
        <f t="shared" si="19"/>
        <v>2.5410303515059098E-2</v>
      </c>
      <c r="AF105" s="56">
        <f t="shared" si="19"/>
        <v>34.213051243655656</v>
      </c>
      <c r="AG105" s="214">
        <f t="shared" si="19"/>
        <v>12.517243877604239</v>
      </c>
      <c r="AH105" s="215">
        <f t="shared" si="19"/>
        <v>1.75085403910425</v>
      </c>
      <c r="AI105" s="56">
        <f t="shared" si="19"/>
        <v>1.3716544119862976E-2</v>
      </c>
      <c r="AJ105" s="56">
        <f t="shared" si="19"/>
        <v>10.712296457596166</v>
      </c>
      <c r="AK105" s="214">
        <f t="shared" si="19"/>
        <v>6.2304310476322557</v>
      </c>
      <c r="AL105" s="215">
        <f t="shared" si="19"/>
        <v>1.315148422578821</v>
      </c>
      <c r="AM105" s="56">
        <f t="shared" si="19"/>
        <v>1.0303138331108188E-2</v>
      </c>
      <c r="AN105" s="56">
        <f t="shared" si="19"/>
        <v>7.3011753101177783</v>
      </c>
      <c r="AO105" s="56">
        <f t="shared" si="19"/>
        <v>4.254762197728664</v>
      </c>
      <c r="AP105" s="215">
        <f t="shared" si="19"/>
        <v>9.3442957256250008</v>
      </c>
      <c r="AQ105" s="56">
        <f t="shared" si="19"/>
        <v>4.2296279858613096E-2</v>
      </c>
      <c r="AR105" s="56">
        <f t="shared" si="19"/>
        <v>41.11829171807512</v>
      </c>
      <c r="AS105" s="214">
        <f t="shared" si="19"/>
        <v>1.675951164666549</v>
      </c>
    </row>
    <row r="106" spans="1:47" x14ac:dyDescent="0.35">
      <c r="A106" s="192" t="s">
        <v>392</v>
      </c>
      <c r="B106" s="215">
        <f t="shared" ref="B106:AS106" si="20">B69-B76-B86-B96</f>
        <v>8.115181854025913E-2</v>
      </c>
      <c r="C106" s="56">
        <f t="shared" si="20"/>
        <v>6.3575973470870247E-4</v>
      </c>
      <c r="D106" s="56">
        <f t="shared" si="20"/>
        <v>0.51045331859995713</v>
      </c>
      <c r="E106" s="214">
        <f t="shared" si="20"/>
        <v>0.32613779100385493</v>
      </c>
      <c r="F106" s="215">
        <f t="shared" si="20"/>
        <v>0</v>
      </c>
      <c r="G106" s="56">
        <f t="shared" si="20"/>
        <v>0</v>
      </c>
      <c r="H106" s="56">
        <f t="shared" si="20"/>
        <v>0</v>
      </c>
      <c r="I106" s="214">
        <f t="shared" si="20"/>
        <v>0</v>
      </c>
      <c r="J106" s="215">
        <f t="shared" si="20"/>
        <v>0</v>
      </c>
      <c r="K106" s="56">
        <f t="shared" si="20"/>
        <v>4.8753930610451803E-4</v>
      </c>
      <c r="L106" s="56">
        <f t="shared" si="20"/>
        <v>0.35189018895895874</v>
      </c>
      <c r="M106" s="214">
        <f t="shared" si="20"/>
        <v>0.22525691370455347</v>
      </c>
      <c r="N106" s="215">
        <f t="shared" si="20"/>
        <v>0</v>
      </c>
      <c r="O106" s="56">
        <f t="shared" si="20"/>
        <v>0</v>
      </c>
      <c r="P106" s="56">
        <f t="shared" si="20"/>
        <v>0</v>
      </c>
      <c r="Q106" s="214">
        <f t="shared" si="20"/>
        <v>0</v>
      </c>
      <c r="R106" s="215">
        <f t="shared" si="20"/>
        <v>0.27491238219995856</v>
      </c>
      <c r="S106" s="56">
        <f t="shared" si="20"/>
        <v>2.153719119539833E-3</v>
      </c>
      <c r="T106" s="56">
        <f t="shared" si="20"/>
        <v>1.6070138786767436</v>
      </c>
      <c r="U106" s="214">
        <f t="shared" si="20"/>
        <v>1.0280722229168835</v>
      </c>
      <c r="V106" s="215">
        <f t="shared" si="20"/>
        <v>0</v>
      </c>
      <c r="W106" s="56">
        <f t="shared" si="20"/>
        <v>0</v>
      </c>
      <c r="X106" s="56">
        <f t="shared" si="20"/>
        <v>0</v>
      </c>
      <c r="Y106" s="214">
        <f t="shared" si="20"/>
        <v>0</v>
      </c>
      <c r="Z106" s="215">
        <f t="shared" si="20"/>
        <v>0</v>
      </c>
      <c r="AA106" s="56">
        <f t="shared" si="20"/>
        <v>0</v>
      </c>
      <c r="AB106" s="56">
        <f t="shared" si="20"/>
        <v>0</v>
      </c>
      <c r="AC106" s="214">
        <f t="shared" si="20"/>
        <v>0</v>
      </c>
      <c r="AD106" s="215">
        <f t="shared" si="20"/>
        <v>0</v>
      </c>
      <c r="AE106" s="56">
        <f t="shared" si="20"/>
        <v>3.3450503185341097E-3</v>
      </c>
      <c r="AF106" s="56">
        <f t="shared" si="20"/>
        <v>0</v>
      </c>
      <c r="AG106" s="214">
        <f t="shared" si="20"/>
        <v>1.6477886852132642</v>
      </c>
      <c r="AH106" s="215">
        <f t="shared" si="20"/>
        <v>0</v>
      </c>
      <c r="AI106" s="56">
        <f t="shared" si="20"/>
        <v>0</v>
      </c>
      <c r="AJ106" s="56">
        <f t="shared" si="20"/>
        <v>0</v>
      </c>
      <c r="AK106" s="214">
        <f t="shared" si="20"/>
        <v>0</v>
      </c>
      <c r="AL106" s="215">
        <f t="shared" si="20"/>
        <v>1.954418937283622</v>
      </c>
      <c r="AM106" s="56">
        <f t="shared" si="20"/>
        <v>1.5311312641264847E-2</v>
      </c>
      <c r="AN106" s="56">
        <f t="shared" si="20"/>
        <v>9.8550147033876492</v>
      </c>
      <c r="AO106" s="56">
        <f t="shared" si="20"/>
        <v>6.3229272606157183</v>
      </c>
      <c r="AP106" s="215">
        <f t="shared" si="20"/>
        <v>1.2300970499999999</v>
      </c>
      <c r="AQ106" s="56">
        <f t="shared" si="20"/>
        <v>5.5679454725919885E-3</v>
      </c>
      <c r="AR106" s="56">
        <f t="shared" si="20"/>
        <v>0</v>
      </c>
      <c r="AS106" s="214">
        <f t="shared" si="20"/>
        <v>0.22062471524171462</v>
      </c>
    </row>
    <row r="107" spans="1:47" x14ac:dyDescent="0.35">
      <c r="A107" s="172"/>
      <c r="B107" s="215"/>
      <c r="C107" s="56"/>
      <c r="D107" s="56"/>
      <c r="E107" s="214"/>
      <c r="F107" s="215"/>
      <c r="G107" s="56"/>
      <c r="H107" s="56"/>
      <c r="I107" s="214"/>
      <c r="J107" s="215"/>
      <c r="K107" s="56"/>
      <c r="L107" s="56"/>
      <c r="M107" s="214"/>
      <c r="N107" s="215"/>
      <c r="O107" s="56"/>
      <c r="P107" s="56"/>
      <c r="Q107" s="214"/>
      <c r="R107" s="215"/>
      <c r="S107" s="56"/>
      <c r="T107" s="56"/>
      <c r="U107" s="214"/>
      <c r="V107" s="215"/>
      <c r="W107" s="56"/>
      <c r="X107" s="56"/>
      <c r="Y107" s="214"/>
      <c r="Z107" s="215"/>
      <c r="AA107" s="56"/>
      <c r="AB107" s="56"/>
      <c r="AC107" s="214"/>
      <c r="AD107" s="215"/>
      <c r="AE107" s="56"/>
      <c r="AF107" s="56"/>
      <c r="AG107" s="214"/>
      <c r="AH107" s="215"/>
      <c r="AI107" s="56"/>
      <c r="AJ107" s="56"/>
      <c r="AK107" s="214"/>
      <c r="AL107" s="215"/>
      <c r="AM107" s="56"/>
      <c r="AN107" s="56"/>
      <c r="AO107" s="56"/>
      <c r="AP107" s="215"/>
      <c r="AQ107" s="56"/>
      <c r="AR107" s="56"/>
      <c r="AS107" s="214"/>
    </row>
    <row r="108" spans="1:47" x14ac:dyDescent="0.35">
      <c r="A108" s="227" t="s">
        <v>441</v>
      </c>
      <c r="B108" s="232"/>
      <c r="C108" s="166"/>
      <c r="D108" s="166"/>
      <c r="E108" s="233"/>
      <c r="F108" s="232"/>
      <c r="G108" s="166"/>
      <c r="H108" s="166"/>
      <c r="I108" s="233"/>
      <c r="J108" s="232"/>
      <c r="K108" s="166"/>
      <c r="L108" s="166"/>
      <c r="M108" s="233"/>
      <c r="N108" s="232"/>
      <c r="O108" s="166"/>
      <c r="P108" s="166"/>
      <c r="Q108" s="233"/>
      <c r="R108" s="232"/>
      <c r="S108" s="166"/>
      <c r="T108" s="166"/>
      <c r="U108" s="233"/>
      <c r="V108" s="232"/>
      <c r="W108" s="166"/>
      <c r="X108" s="166"/>
      <c r="Y108" s="233"/>
      <c r="Z108" s="232"/>
      <c r="AA108" s="166"/>
      <c r="AB108" s="166"/>
      <c r="AC108" s="233"/>
      <c r="AD108" s="232"/>
      <c r="AE108" s="166"/>
      <c r="AF108" s="166"/>
      <c r="AG108" s="233"/>
      <c r="AH108" s="232"/>
      <c r="AI108" s="166"/>
      <c r="AJ108" s="166"/>
      <c r="AK108" s="233"/>
      <c r="AL108" s="232"/>
      <c r="AM108" s="166"/>
      <c r="AN108" s="166"/>
      <c r="AO108" s="166"/>
      <c r="AP108" s="232"/>
      <c r="AQ108" s="166"/>
      <c r="AR108" s="166"/>
      <c r="AS108" s="233"/>
      <c r="AU108" s="126" t="s">
        <v>442</v>
      </c>
    </row>
    <row r="109" spans="1:47" x14ac:dyDescent="0.35">
      <c r="A109" s="192" t="s">
        <v>390</v>
      </c>
      <c r="B109" s="215">
        <f t="shared" ref="B109:AS109" si="21">B104*B115</f>
        <v>1.1411974482223907E-3</v>
      </c>
      <c r="C109" s="56">
        <f t="shared" si="21"/>
        <v>8.9403712693411093E-6</v>
      </c>
      <c r="D109" s="56">
        <f t="shared" si="21"/>
        <v>7.1782497928118754E-3</v>
      </c>
      <c r="E109" s="214">
        <f t="shared" si="21"/>
        <v>4.5863126859916987E-3</v>
      </c>
      <c r="F109" s="215">
        <f t="shared" si="21"/>
        <v>8.5538440089965334E-2</v>
      </c>
      <c r="G109" s="56">
        <f t="shared" si="21"/>
        <v>6.7012541378865139E-4</v>
      </c>
      <c r="H109" s="56">
        <f t="shared" si="21"/>
        <v>0.48211614058155677</v>
      </c>
      <c r="I109" s="214">
        <f t="shared" si="21"/>
        <v>0.30863774803057886</v>
      </c>
      <c r="J109" s="215">
        <f t="shared" si="21"/>
        <v>1.7314639852346236</v>
      </c>
      <c r="K109" s="56">
        <f t="shared" si="21"/>
        <v>5.1248760653408419E-4</v>
      </c>
      <c r="L109" s="56">
        <f t="shared" si="21"/>
        <v>0.36989706972209213</v>
      </c>
      <c r="M109" s="214">
        <f t="shared" si="21"/>
        <v>0.23678373233552819</v>
      </c>
      <c r="N109" s="215">
        <f t="shared" si="21"/>
        <v>0.19551307230000001</v>
      </c>
      <c r="O109" s="56">
        <f t="shared" si="21"/>
        <v>1.5316888914309052E-3</v>
      </c>
      <c r="P109" s="56">
        <f t="shared" si="21"/>
        <v>1.0865007922604453</v>
      </c>
      <c r="Q109" s="214">
        <f t="shared" si="21"/>
        <v>0.69573516048150696</v>
      </c>
      <c r="R109" s="215">
        <f t="shared" si="21"/>
        <v>0.29278632560958512</v>
      </c>
      <c r="S109" s="56">
        <f t="shared" si="21"/>
        <v>2.2937472017776342E-3</v>
      </c>
      <c r="T109" s="56">
        <f t="shared" si="21"/>
        <v>1.7114968957605659</v>
      </c>
      <c r="U109" s="214">
        <f t="shared" si="21"/>
        <v>1.0949142639569256</v>
      </c>
      <c r="V109" s="215">
        <f t="shared" si="21"/>
        <v>0</v>
      </c>
      <c r="W109" s="56">
        <f t="shared" si="21"/>
        <v>0</v>
      </c>
      <c r="X109" s="56">
        <f t="shared" si="21"/>
        <v>0</v>
      </c>
      <c r="Y109" s="214">
        <f t="shared" si="21"/>
        <v>0</v>
      </c>
      <c r="Z109" s="215">
        <f t="shared" si="21"/>
        <v>0</v>
      </c>
      <c r="AA109" s="56">
        <f t="shared" si="21"/>
        <v>0</v>
      </c>
      <c r="AB109" s="56">
        <f t="shared" si="21"/>
        <v>0</v>
      </c>
      <c r="AC109" s="214">
        <f t="shared" si="21"/>
        <v>0</v>
      </c>
      <c r="AD109" s="215">
        <f t="shared" si="21"/>
        <v>7.6441495565217395E-3</v>
      </c>
      <c r="AE109" s="56">
        <f t="shared" si="21"/>
        <v>1.7709089921651168E-3</v>
      </c>
      <c r="AF109" s="56">
        <f t="shared" si="21"/>
        <v>0</v>
      </c>
      <c r="AG109" s="214">
        <f t="shared" si="21"/>
        <v>0.87235871570113943</v>
      </c>
      <c r="AH109" s="215">
        <f t="shared" si="21"/>
        <v>1.1973923873730001</v>
      </c>
      <c r="AI109" s="56">
        <f t="shared" si="21"/>
        <v>9.3806137709757341E-3</v>
      </c>
      <c r="AJ109" s="56">
        <f t="shared" si="21"/>
        <v>6.6541217025690953</v>
      </c>
      <c r="AK109" s="214">
        <f t="shared" si="21"/>
        <v>4.260932402054471</v>
      </c>
      <c r="AL109" s="215">
        <f t="shared" si="21"/>
        <v>4.8867399083888159E-2</v>
      </c>
      <c r="AM109" s="56">
        <f t="shared" si="21"/>
        <v>3.8283707298640936E-4</v>
      </c>
      <c r="AN109" s="56">
        <f t="shared" si="21"/>
        <v>0.24641028967789944</v>
      </c>
      <c r="AO109" s="56">
        <f t="shared" si="21"/>
        <v>0.15809558735260276</v>
      </c>
      <c r="AP109" s="215">
        <f t="shared" si="21"/>
        <v>0.65122785000000027</v>
      </c>
      <c r="AQ109" s="56">
        <f t="shared" si="21"/>
        <v>2.9477358384310524E-3</v>
      </c>
      <c r="AR109" s="56">
        <f t="shared" si="21"/>
        <v>0</v>
      </c>
      <c r="AS109" s="214">
        <f t="shared" si="21"/>
        <v>0.11680131983384891</v>
      </c>
    </row>
    <row r="110" spans="1:47" x14ac:dyDescent="0.35">
      <c r="A110" s="192" t="s">
        <v>391</v>
      </c>
      <c r="B110" s="215">
        <f t="shared" ref="B110:AS110" si="22">B105*B116</f>
        <v>1.3113879121798147</v>
      </c>
      <c r="C110" s="56">
        <f t="shared" si="22"/>
        <v>1.0273677733223303E-2</v>
      </c>
      <c r="D110" s="56">
        <f t="shared" si="22"/>
        <v>12.526488339005056</v>
      </c>
      <c r="E110" s="214">
        <f t="shared" si="22"/>
        <v>5.270284320434607</v>
      </c>
      <c r="F110" s="215">
        <f t="shared" si="22"/>
        <v>1.7012148509961338</v>
      </c>
      <c r="G110" s="56">
        <f t="shared" si="22"/>
        <v>1.3327660695801257E-2</v>
      </c>
      <c r="H110" s="56">
        <f t="shared" si="22"/>
        <v>14.560956270531864</v>
      </c>
      <c r="I110" s="214">
        <f t="shared" si="22"/>
        <v>6.138282624459718</v>
      </c>
      <c r="J110" s="215">
        <f t="shared" si="22"/>
        <v>2.0535788990289003E-3</v>
      </c>
      <c r="K110" s="56">
        <f t="shared" si="22"/>
        <v>1.7918814700140492E-2</v>
      </c>
      <c r="L110" s="56">
        <f t="shared" si="22"/>
        <v>19.640258023862774</v>
      </c>
      <c r="M110" s="214">
        <f t="shared" si="22"/>
        <v>8.2789979106466642</v>
      </c>
      <c r="N110" s="215">
        <f t="shared" si="22"/>
        <v>2.3244454745032499</v>
      </c>
      <c r="O110" s="56">
        <f t="shared" si="22"/>
        <v>1.8210175259127499E-2</v>
      </c>
      <c r="P110" s="56">
        <f t="shared" si="22"/>
        <v>19.616160095167789</v>
      </c>
      <c r="Q110" s="214">
        <f t="shared" si="22"/>
        <v>8.2715617232619731</v>
      </c>
      <c r="R110" s="215">
        <f t="shared" si="22"/>
        <v>1.2296097647271007</v>
      </c>
      <c r="S110" s="56">
        <f t="shared" si="22"/>
        <v>9.6330112113299747E-3</v>
      </c>
      <c r="T110" s="56">
        <f t="shared" si="22"/>
        <v>10.915233151631476</v>
      </c>
      <c r="U110" s="214">
        <f t="shared" si="22"/>
        <v>4.5982928598095274</v>
      </c>
      <c r="V110" s="215">
        <f t="shared" si="22"/>
        <v>3.8234155350000001</v>
      </c>
      <c r="W110" s="56">
        <f t="shared" si="22"/>
        <v>2.3962727538945631E-2</v>
      </c>
      <c r="X110" s="56">
        <f t="shared" si="22"/>
        <v>14.810624585884931</v>
      </c>
      <c r="Y110" s="214">
        <f t="shared" si="22"/>
        <v>2.0365643331369854</v>
      </c>
      <c r="Z110" s="215">
        <f t="shared" si="22"/>
        <v>2.3208132297449993</v>
      </c>
      <c r="AA110" s="56">
        <f t="shared" si="22"/>
        <v>1.8181719520174999E-2</v>
      </c>
      <c r="AB110" s="56">
        <f t="shared" si="22"/>
        <v>30.261142567265381</v>
      </c>
      <c r="AC110" s="214">
        <f t="shared" si="22"/>
        <v>7.0418547609219173</v>
      </c>
      <c r="AD110" s="215">
        <f t="shared" si="22"/>
        <v>6.8283523217164882E-2</v>
      </c>
      <c r="AE110" s="56">
        <f t="shared" si="22"/>
        <v>7.368988019367138E-3</v>
      </c>
      <c r="AF110" s="56">
        <f t="shared" si="22"/>
        <v>13.685220497462263</v>
      </c>
      <c r="AG110" s="214">
        <f t="shared" si="22"/>
        <v>3.630000724505229</v>
      </c>
      <c r="AH110" s="215">
        <f t="shared" si="22"/>
        <v>0.50774767134023246</v>
      </c>
      <c r="AI110" s="56">
        <f t="shared" si="22"/>
        <v>3.9777977947602627E-3</v>
      </c>
      <c r="AJ110" s="56">
        <f t="shared" si="22"/>
        <v>4.2849185830384666</v>
      </c>
      <c r="AK110" s="214">
        <f t="shared" si="22"/>
        <v>1.806825003813354</v>
      </c>
      <c r="AL110" s="215">
        <f t="shared" si="22"/>
        <v>0.38139304254785805</v>
      </c>
      <c r="AM110" s="56">
        <f t="shared" si="22"/>
        <v>2.9879101160213742E-3</v>
      </c>
      <c r="AN110" s="56">
        <f t="shared" si="22"/>
        <v>2.9204701240471116</v>
      </c>
      <c r="AO110" s="56">
        <f t="shared" si="22"/>
        <v>1.2338810373413125</v>
      </c>
      <c r="AP110" s="215">
        <f t="shared" si="22"/>
        <v>2.70984576043125</v>
      </c>
      <c r="AQ110" s="56">
        <f t="shared" si="22"/>
        <v>1.2265921158997797E-2</v>
      </c>
      <c r="AR110" s="56">
        <f t="shared" si="22"/>
        <v>16.44731668723005</v>
      </c>
      <c r="AS110" s="214">
        <f t="shared" si="22"/>
        <v>0.48602583775329916</v>
      </c>
    </row>
    <row r="111" spans="1:47" x14ac:dyDescent="0.35">
      <c r="A111" s="192" t="s">
        <v>392</v>
      </c>
      <c r="B111" s="215">
        <f t="shared" ref="B111:AS111" si="23">B106*B115</f>
        <v>3.6518318343116613E-2</v>
      </c>
      <c r="C111" s="56">
        <f t="shared" si="23"/>
        <v>2.8609188061891609E-4</v>
      </c>
      <c r="D111" s="56">
        <f t="shared" si="23"/>
        <v>0.22970399336998071</v>
      </c>
      <c r="E111" s="214">
        <f t="shared" si="23"/>
        <v>0.14676200595173472</v>
      </c>
      <c r="F111" s="215">
        <f t="shared" si="23"/>
        <v>0</v>
      </c>
      <c r="G111" s="56">
        <f t="shared" si="23"/>
        <v>0</v>
      </c>
      <c r="H111" s="56">
        <f t="shared" si="23"/>
        <v>0</v>
      </c>
      <c r="I111" s="214">
        <f t="shared" si="23"/>
        <v>0</v>
      </c>
      <c r="J111" s="215">
        <f t="shared" si="23"/>
        <v>0</v>
      </c>
      <c r="K111" s="56">
        <f t="shared" si="23"/>
        <v>2.1939268774703313E-4</v>
      </c>
      <c r="L111" s="56">
        <f t="shared" si="23"/>
        <v>0.15835058503153143</v>
      </c>
      <c r="M111" s="214">
        <f t="shared" si="23"/>
        <v>0.10136561116704906</v>
      </c>
      <c r="N111" s="215">
        <f t="shared" si="23"/>
        <v>0</v>
      </c>
      <c r="O111" s="56">
        <f t="shared" si="23"/>
        <v>0</v>
      </c>
      <c r="P111" s="56">
        <f t="shared" si="23"/>
        <v>0</v>
      </c>
      <c r="Q111" s="214">
        <f t="shared" si="23"/>
        <v>0</v>
      </c>
      <c r="R111" s="215">
        <f t="shared" si="23"/>
        <v>0.12371057198998135</v>
      </c>
      <c r="S111" s="56">
        <f t="shared" si="23"/>
        <v>9.6917360379292488E-4</v>
      </c>
      <c r="T111" s="56">
        <f t="shared" si="23"/>
        <v>0.7231562454045346</v>
      </c>
      <c r="U111" s="214">
        <f t="shared" si="23"/>
        <v>0.46263250031259756</v>
      </c>
      <c r="V111" s="215">
        <f t="shared" si="23"/>
        <v>0</v>
      </c>
      <c r="W111" s="56">
        <f t="shared" si="23"/>
        <v>0</v>
      </c>
      <c r="X111" s="56">
        <f t="shared" si="23"/>
        <v>0</v>
      </c>
      <c r="Y111" s="214">
        <f t="shared" si="23"/>
        <v>0</v>
      </c>
      <c r="Z111" s="215">
        <f t="shared" si="23"/>
        <v>0</v>
      </c>
      <c r="AA111" s="56">
        <f t="shared" si="23"/>
        <v>0</v>
      </c>
      <c r="AB111" s="56">
        <f t="shared" si="23"/>
        <v>0</v>
      </c>
      <c r="AC111" s="214">
        <f t="shared" si="23"/>
        <v>0</v>
      </c>
      <c r="AD111" s="215">
        <f t="shared" si="23"/>
        <v>0</v>
      </c>
      <c r="AE111" s="56">
        <f t="shared" si="23"/>
        <v>1.5052726433403493E-3</v>
      </c>
      <c r="AF111" s="56">
        <f t="shared" si="23"/>
        <v>0</v>
      </c>
      <c r="AG111" s="214">
        <f t="shared" si="23"/>
        <v>0.74150490834596894</v>
      </c>
      <c r="AH111" s="215">
        <f t="shared" si="23"/>
        <v>0</v>
      </c>
      <c r="AI111" s="56">
        <f t="shared" si="23"/>
        <v>0</v>
      </c>
      <c r="AJ111" s="56">
        <f t="shared" si="23"/>
        <v>0</v>
      </c>
      <c r="AK111" s="214">
        <f t="shared" si="23"/>
        <v>0</v>
      </c>
      <c r="AL111" s="215">
        <f t="shared" si="23"/>
        <v>0.87948852177762993</v>
      </c>
      <c r="AM111" s="56">
        <f t="shared" si="23"/>
        <v>6.8900906885691815E-3</v>
      </c>
      <c r="AN111" s="56">
        <f t="shared" si="23"/>
        <v>4.4347566165244423</v>
      </c>
      <c r="AO111" s="56">
        <f t="shared" si="23"/>
        <v>2.8453172672770735</v>
      </c>
      <c r="AP111" s="215">
        <f t="shared" si="23"/>
        <v>0.55354367250000003</v>
      </c>
      <c r="AQ111" s="56">
        <f t="shared" si="23"/>
        <v>2.5055754626663947E-3</v>
      </c>
      <c r="AR111" s="56">
        <f t="shared" si="23"/>
        <v>0</v>
      </c>
      <c r="AS111" s="214">
        <f t="shared" si="23"/>
        <v>9.9281121858771582E-2</v>
      </c>
    </row>
    <row r="112" spans="1:47" x14ac:dyDescent="0.35">
      <c r="A112" s="192" t="s">
        <v>396</v>
      </c>
      <c r="B112" s="215"/>
      <c r="C112" s="56"/>
      <c r="D112" s="56"/>
      <c r="E112" s="214">
        <f>SUM(B109:E111)</f>
        <v>19.544619359196446</v>
      </c>
      <c r="F112" s="215"/>
      <c r="G112" s="56"/>
      <c r="H112" s="56"/>
      <c r="I112" s="214">
        <f>SUM(F109:I111)</f>
        <v>23.29074386079941</v>
      </c>
      <c r="J112" s="215"/>
      <c r="K112" s="56"/>
      <c r="L112" s="56"/>
      <c r="M112" s="214">
        <f>SUM(J109:M111)</f>
        <v>30.537821191893713</v>
      </c>
      <c r="N112" s="215"/>
      <c r="O112" s="56"/>
      <c r="P112" s="56"/>
      <c r="Q112" s="214">
        <f>SUM(N109:Q111)</f>
        <v>32.209658182125523</v>
      </c>
      <c r="R112" s="215"/>
      <c r="S112" s="56"/>
      <c r="T112" s="56"/>
      <c r="U112" s="214">
        <f>SUM(R109:U111)</f>
        <v>21.164728511219195</v>
      </c>
      <c r="V112" s="215"/>
      <c r="W112" s="56"/>
      <c r="X112" s="56"/>
      <c r="Y112" s="214">
        <f>SUM(V109:Y111)</f>
        <v>20.694567181560863</v>
      </c>
      <c r="Z112" s="215"/>
      <c r="AA112" s="56"/>
      <c r="AB112" s="56"/>
      <c r="AC112" s="214">
        <f>SUM(Z109:AC111)</f>
        <v>39.641992277452466</v>
      </c>
      <c r="AD112" s="215"/>
      <c r="AE112" s="56"/>
      <c r="AF112" s="56"/>
      <c r="AG112" s="214">
        <f>SUM(AD109:AG111)</f>
        <v>19.015657688443159</v>
      </c>
      <c r="AH112" s="215"/>
      <c r="AI112" s="56"/>
      <c r="AJ112" s="56"/>
      <c r="AK112" s="214">
        <f>SUM(AH109:AK111)</f>
        <v>18.725296161754354</v>
      </c>
      <c r="AL112" s="215"/>
      <c r="AM112" s="56"/>
      <c r="AN112" s="56"/>
      <c r="AO112" s="56">
        <f>SUM(AL109:AO111)</f>
        <v>13.158940723507394</v>
      </c>
      <c r="AP112" s="215"/>
      <c r="AQ112" s="56"/>
      <c r="AR112" s="56"/>
      <c r="AS112" s="214">
        <f>SUM(AP109:AS111)</f>
        <v>21.081761482067318</v>
      </c>
    </row>
    <row r="113" spans="1:50" x14ac:dyDescent="0.35">
      <c r="A113" s="192" t="s">
        <v>443</v>
      </c>
      <c r="B113" s="215"/>
      <c r="C113" s="56"/>
      <c r="D113" s="56"/>
      <c r="E113" s="209">
        <f>E112/Production!B40</f>
        <v>1.0060096824943956E-2</v>
      </c>
      <c r="F113" s="215"/>
      <c r="G113" s="56"/>
      <c r="H113" s="56"/>
      <c r="I113" s="209">
        <f>I112/Production!C40</f>
        <v>1.2689706154884982E-2</v>
      </c>
      <c r="J113" s="215"/>
      <c r="K113" s="56"/>
      <c r="L113" s="56"/>
      <c r="M113" s="209">
        <f>M112/Production!D40</f>
        <v>1.5925572405998626E-2</v>
      </c>
      <c r="N113" s="215"/>
      <c r="O113" s="56"/>
      <c r="P113" s="56"/>
      <c r="Q113" s="209">
        <f>Q112/Production!E40</f>
        <v>1.7744408994854476E-2</v>
      </c>
      <c r="R113" s="215"/>
      <c r="S113" s="56"/>
      <c r="T113" s="56"/>
      <c r="U113" s="209">
        <f>U112/Production!F40</f>
        <v>1.1653289891633098E-2</v>
      </c>
      <c r="V113" s="215"/>
      <c r="W113" s="56"/>
      <c r="X113" s="56"/>
      <c r="Y113" s="209">
        <f>Y112/Production!G40</f>
        <v>1.1458728453112866E-2</v>
      </c>
      <c r="Z113" s="215"/>
      <c r="AA113" s="56"/>
      <c r="AB113" s="56"/>
      <c r="AC113" s="209">
        <f>AC112/Production!H40</f>
        <v>1.8050246446962358E-2</v>
      </c>
      <c r="AD113" s="215"/>
      <c r="AE113" s="56"/>
      <c r="AF113" s="56"/>
      <c r="AG113" s="209">
        <f>AG112/Production!I40</f>
        <v>9.1199904343803543E-3</v>
      </c>
      <c r="AH113" s="215"/>
      <c r="AI113" s="56"/>
      <c r="AJ113" s="56"/>
      <c r="AK113" s="209">
        <f>AK112/Production!J40</f>
        <v>1.031582861777583E-2</v>
      </c>
      <c r="AL113" s="215"/>
      <c r="AM113" s="56"/>
      <c r="AN113" s="56"/>
      <c r="AO113" s="13">
        <f>AO112/Production!K40</f>
        <v>8.4445298918192201E-3</v>
      </c>
      <c r="AP113" s="215"/>
      <c r="AQ113" s="56"/>
      <c r="AR113" s="56"/>
      <c r="AS113" s="209">
        <f>AS112/Production!L40</f>
        <v>1.2150537472833468E-2</v>
      </c>
    </row>
    <row r="114" spans="1:50" x14ac:dyDescent="0.35">
      <c r="A114" s="172"/>
      <c r="B114" s="196"/>
      <c r="E114" s="191"/>
      <c r="F114" s="196"/>
      <c r="I114" s="191"/>
      <c r="J114" s="196"/>
      <c r="M114" s="191"/>
      <c r="N114" s="196"/>
      <c r="Q114" s="191"/>
      <c r="R114" s="196"/>
      <c r="U114" s="191"/>
      <c r="V114" s="196"/>
      <c r="Y114" s="191"/>
      <c r="Z114" s="196"/>
      <c r="AC114" s="191"/>
      <c r="AD114" s="196"/>
      <c r="AG114" s="191"/>
      <c r="AH114" s="196"/>
      <c r="AK114" s="191"/>
      <c r="AL114" s="196"/>
      <c r="AP114" s="196"/>
      <c r="AS114" s="191"/>
    </row>
    <row r="115" spans="1:50" x14ac:dyDescent="0.35">
      <c r="A115" s="217" t="s">
        <v>444</v>
      </c>
      <c r="B115" s="194">
        <v>0.45</v>
      </c>
      <c r="C115" s="129">
        <v>0.45</v>
      </c>
      <c r="D115" s="129">
        <v>0.45</v>
      </c>
      <c r="E115" s="195">
        <v>0.45</v>
      </c>
      <c r="F115" s="194">
        <v>0.45</v>
      </c>
      <c r="G115" s="129">
        <v>0.45</v>
      </c>
      <c r="H115" s="129">
        <v>0.45</v>
      </c>
      <c r="I115" s="195">
        <v>0.45</v>
      </c>
      <c r="J115" s="194">
        <v>0.45</v>
      </c>
      <c r="K115" s="129">
        <v>0.45</v>
      </c>
      <c r="L115" s="129">
        <v>0.45</v>
      </c>
      <c r="M115" s="195">
        <v>0.45</v>
      </c>
      <c r="N115" s="194">
        <v>0.45</v>
      </c>
      <c r="O115" s="129">
        <v>0.45</v>
      </c>
      <c r="P115" s="129">
        <v>0.45</v>
      </c>
      <c r="Q115" s="195">
        <v>0.45</v>
      </c>
      <c r="R115" s="194">
        <v>0.45</v>
      </c>
      <c r="S115" s="129">
        <v>0.45</v>
      </c>
      <c r="T115" s="129">
        <v>0.45</v>
      </c>
      <c r="U115" s="195">
        <v>0.45</v>
      </c>
      <c r="V115" s="194">
        <v>0.45</v>
      </c>
      <c r="W115" s="129">
        <v>0.45</v>
      </c>
      <c r="X115" s="129">
        <v>0.45</v>
      </c>
      <c r="Y115" s="195">
        <v>0.45</v>
      </c>
      <c r="Z115" s="194">
        <v>0.45</v>
      </c>
      <c r="AA115" s="129">
        <v>0.45</v>
      </c>
      <c r="AB115" s="129">
        <v>0.45</v>
      </c>
      <c r="AC115" s="195">
        <v>0.45</v>
      </c>
      <c r="AD115" s="194">
        <v>0.45</v>
      </c>
      <c r="AE115" s="129">
        <v>0.45</v>
      </c>
      <c r="AF115" s="129">
        <v>0.45</v>
      </c>
      <c r="AG115" s="195">
        <v>0.45</v>
      </c>
      <c r="AH115" s="194">
        <v>0.45</v>
      </c>
      <c r="AI115" s="129">
        <v>0.45</v>
      </c>
      <c r="AJ115" s="129">
        <v>0.45</v>
      </c>
      <c r="AK115" s="195">
        <v>0.45</v>
      </c>
      <c r="AL115" s="194">
        <v>0.45</v>
      </c>
      <c r="AM115" s="129">
        <v>0.45</v>
      </c>
      <c r="AN115" s="129">
        <v>0.45</v>
      </c>
      <c r="AO115" s="129">
        <v>0.45</v>
      </c>
      <c r="AP115" s="194">
        <v>0.45</v>
      </c>
      <c r="AQ115" s="129">
        <v>0.45</v>
      </c>
      <c r="AR115" s="129">
        <v>0.45</v>
      </c>
      <c r="AS115" s="195">
        <v>0.45</v>
      </c>
      <c r="AU115" s="112" t="s">
        <v>403</v>
      </c>
    </row>
    <row r="116" spans="1:50" x14ac:dyDescent="0.35">
      <c r="A116" s="217" t="s">
        <v>445</v>
      </c>
      <c r="B116" s="194">
        <v>0.28999999999999998</v>
      </c>
      <c r="C116" s="129">
        <v>0.28999999999999998</v>
      </c>
      <c r="D116" s="129">
        <v>0.4</v>
      </c>
      <c r="E116" s="195">
        <v>0.28999999999999998</v>
      </c>
      <c r="F116" s="194">
        <v>0.28999999999999998</v>
      </c>
      <c r="G116" s="129">
        <v>0.28999999999999998</v>
      </c>
      <c r="H116" s="129">
        <v>0.4</v>
      </c>
      <c r="I116" s="195">
        <v>0.28999999999999998</v>
      </c>
      <c r="J116" s="194">
        <v>0.28999999999999998</v>
      </c>
      <c r="K116" s="129">
        <v>0.28999999999999998</v>
      </c>
      <c r="L116" s="129">
        <v>0.4</v>
      </c>
      <c r="M116" s="195">
        <v>0.28999999999999998</v>
      </c>
      <c r="N116" s="194">
        <v>0.28999999999999998</v>
      </c>
      <c r="O116" s="129">
        <v>0.28999999999999998</v>
      </c>
      <c r="P116" s="129">
        <v>0.4</v>
      </c>
      <c r="Q116" s="195">
        <v>0.28999999999999998</v>
      </c>
      <c r="R116" s="194">
        <v>0.28999999999999998</v>
      </c>
      <c r="S116" s="129">
        <v>0.28999999999999998</v>
      </c>
      <c r="T116" s="129">
        <v>0.4</v>
      </c>
      <c r="U116" s="195">
        <v>0.28999999999999998</v>
      </c>
      <c r="V116" s="194">
        <v>0.28999999999999998</v>
      </c>
      <c r="W116" s="129">
        <v>0.28999999999999998</v>
      </c>
      <c r="X116" s="129">
        <v>0.4</v>
      </c>
      <c r="Y116" s="195">
        <v>0.28999999999999998</v>
      </c>
      <c r="Z116" s="194">
        <v>0.28999999999999998</v>
      </c>
      <c r="AA116" s="129">
        <v>0.28999999999999998</v>
      </c>
      <c r="AB116" s="129">
        <v>0.4</v>
      </c>
      <c r="AC116" s="195">
        <v>0.28999999999999998</v>
      </c>
      <c r="AD116" s="194">
        <v>0.28999999999999998</v>
      </c>
      <c r="AE116" s="129">
        <v>0.28999999999999998</v>
      </c>
      <c r="AF116" s="129">
        <v>0.4</v>
      </c>
      <c r="AG116" s="195">
        <v>0.28999999999999998</v>
      </c>
      <c r="AH116" s="194">
        <v>0.28999999999999998</v>
      </c>
      <c r="AI116" s="129">
        <v>0.28999999999999998</v>
      </c>
      <c r="AJ116" s="129">
        <v>0.4</v>
      </c>
      <c r="AK116" s="195">
        <v>0.28999999999999998</v>
      </c>
      <c r="AL116" s="194">
        <v>0.28999999999999998</v>
      </c>
      <c r="AM116" s="129">
        <v>0.28999999999999998</v>
      </c>
      <c r="AN116" s="129">
        <v>0.4</v>
      </c>
      <c r="AO116" s="129">
        <v>0.28999999999999998</v>
      </c>
      <c r="AP116" s="194">
        <v>0.28999999999999998</v>
      </c>
      <c r="AQ116" s="129">
        <v>0.28999999999999998</v>
      </c>
      <c r="AR116" s="129">
        <v>0.4</v>
      </c>
      <c r="AS116" s="195">
        <v>0.28999999999999998</v>
      </c>
      <c r="AU116" s="108" t="s">
        <v>403</v>
      </c>
      <c r="AX116" t="s">
        <v>446</v>
      </c>
    </row>
    <row r="117" spans="1:50" x14ac:dyDescent="0.35">
      <c r="A117" s="192" t="s">
        <v>447</v>
      </c>
      <c r="B117" s="225">
        <v>0.01</v>
      </c>
      <c r="E117" s="191"/>
      <c r="F117" s="225">
        <v>0.01</v>
      </c>
      <c r="I117" s="191"/>
      <c r="J117" s="225">
        <v>0.01</v>
      </c>
      <c r="M117" s="191"/>
      <c r="N117" s="225">
        <v>0.01</v>
      </c>
      <c r="Q117" s="191"/>
      <c r="R117" s="225">
        <v>0.01</v>
      </c>
      <c r="U117" s="191"/>
      <c r="V117" s="225">
        <v>0.01</v>
      </c>
      <c r="Y117" s="191"/>
      <c r="Z117" s="225">
        <v>0.01</v>
      </c>
      <c r="AC117" s="191"/>
      <c r="AD117" s="225">
        <v>0.01</v>
      </c>
      <c r="AG117" s="191"/>
      <c r="AH117" s="225">
        <v>0.01</v>
      </c>
      <c r="AK117" s="191"/>
      <c r="AL117" s="225">
        <v>0.01</v>
      </c>
      <c r="AP117" s="225">
        <v>0.01</v>
      </c>
      <c r="AS117" s="191"/>
      <c r="AU117" s="112" t="s">
        <v>448</v>
      </c>
    </row>
    <row r="118" spans="1:50" x14ac:dyDescent="0.35">
      <c r="A118" s="172"/>
      <c r="B118" s="196"/>
      <c r="E118" s="191"/>
      <c r="F118" s="196"/>
      <c r="I118" s="191"/>
      <c r="J118" s="196"/>
      <c r="M118" s="191"/>
      <c r="N118" s="196"/>
      <c r="Q118" s="191"/>
      <c r="R118" s="196"/>
      <c r="U118" s="191"/>
      <c r="V118" s="196"/>
      <c r="Y118" s="191"/>
      <c r="Z118" s="196"/>
      <c r="AC118" s="191"/>
      <c r="AD118" s="196"/>
      <c r="AG118" s="191"/>
      <c r="AH118" s="196"/>
      <c r="AK118" s="191"/>
      <c r="AL118" s="196"/>
      <c r="AP118" s="196"/>
      <c r="AS118" s="191"/>
    </row>
    <row r="119" spans="1:50" x14ac:dyDescent="0.35">
      <c r="A119" s="204" t="s">
        <v>449</v>
      </c>
      <c r="B119" s="198"/>
      <c r="C119" s="14"/>
      <c r="D119" s="14"/>
      <c r="E119" s="199"/>
      <c r="F119" s="198"/>
      <c r="G119" s="14"/>
      <c r="H119" s="14"/>
      <c r="I119" s="199"/>
      <c r="J119" s="198"/>
      <c r="K119" s="14"/>
      <c r="L119" s="14"/>
      <c r="M119" s="199"/>
      <c r="N119" s="198"/>
      <c r="O119" s="14"/>
      <c r="P119" s="14"/>
      <c r="Q119" s="199"/>
      <c r="R119" s="198"/>
      <c r="S119" s="14"/>
      <c r="T119" s="14"/>
      <c r="U119" s="199"/>
      <c r="V119" s="198"/>
      <c r="W119" s="14"/>
      <c r="X119" s="14"/>
      <c r="Y119" s="199"/>
      <c r="Z119" s="198"/>
      <c r="AA119" s="14"/>
      <c r="AB119" s="14"/>
      <c r="AC119" s="199"/>
      <c r="AD119" s="198"/>
      <c r="AE119" s="14"/>
      <c r="AF119" s="14"/>
      <c r="AG119" s="199"/>
      <c r="AH119" s="198"/>
      <c r="AI119" s="14"/>
      <c r="AJ119" s="14"/>
      <c r="AK119" s="199"/>
      <c r="AL119" s="198"/>
      <c r="AM119" s="14"/>
      <c r="AN119" s="14"/>
      <c r="AO119" s="14"/>
      <c r="AP119" s="198"/>
      <c r="AQ119" s="14"/>
      <c r="AR119" s="14"/>
      <c r="AS119" s="199"/>
    </row>
    <row r="120" spans="1:50" x14ac:dyDescent="0.35">
      <c r="A120" s="192" t="s">
        <v>390</v>
      </c>
      <c r="B120" s="215">
        <f t="shared" ref="B120:AS120" si="24">B104-B109</f>
        <v>1.3947968811606998E-3</v>
      </c>
      <c r="C120" s="56">
        <f t="shared" si="24"/>
        <v>1.0927120440305799E-5</v>
      </c>
      <c r="D120" s="56">
        <f t="shared" si="24"/>
        <v>8.7734164134367354E-3</v>
      </c>
      <c r="E120" s="214">
        <f t="shared" si="24"/>
        <v>5.6054932828787417E-3</v>
      </c>
      <c r="F120" s="215">
        <f t="shared" si="24"/>
        <v>0.10454698233217985</v>
      </c>
      <c r="G120" s="56">
        <f t="shared" si="24"/>
        <v>8.1904217240835167E-4</v>
      </c>
      <c r="H120" s="56">
        <f t="shared" si="24"/>
        <v>0.58925306071079153</v>
      </c>
      <c r="I120" s="214">
        <f t="shared" si="24"/>
        <v>0.37722391425959634</v>
      </c>
      <c r="J120" s="215">
        <f t="shared" si="24"/>
        <v>2.1162337597312062</v>
      </c>
      <c r="K120" s="56">
        <f t="shared" si="24"/>
        <v>6.2637374131943623E-4</v>
      </c>
      <c r="L120" s="56">
        <f t="shared" si="24"/>
        <v>0.45209641854922367</v>
      </c>
      <c r="M120" s="214">
        <f t="shared" si="24"/>
        <v>0.28940233952120109</v>
      </c>
      <c r="N120" s="215">
        <f t="shared" si="24"/>
        <v>0.23896042170000001</v>
      </c>
      <c r="O120" s="56">
        <f t="shared" si="24"/>
        <v>1.8720642006377728E-3</v>
      </c>
      <c r="P120" s="56">
        <f t="shared" si="24"/>
        <v>1.3279454127627663</v>
      </c>
      <c r="Q120" s="214">
        <f t="shared" si="24"/>
        <v>0.85034297392184177</v>
      </c>
      <c r="R120" s="215">
        <f t="shared" si="24"/>
        <v>0.35784995352282628</v>
      </c>
      <c r="S120" s="56">
        <f t="shared" si="24"/>
        <v>2.8034688021726642E-3</v>
      </c>
      <c r="T120" s="56">
        <f t="shared" si="24"/>
        <v>2.091829539262914</v>
      </c>
      <c r="U120" s="214">
        <f t="shared" si="24"/>
        <v>1.3382285448362425</v>
      </c>
      <c r="V120" s="215">
        <f t="shared" si="24"/>
        <v>0</v>
      </c>
      <c r="W120" s="56">
        <f t="shared" si="24"/>
        <v>0</v>
      </c>
      <c r="X120" s="56">
        <f t="shared" si="24"/>
        <v>0</v>
      </c>
      <c r="Y120" s="214">
        <f t="shared" si="24"/>
        <v>0</v>
      </c>
      <c r="Z120" s="215">
        <f t="shared" si="24"/>
        <v>0</v>
      </c>
      <c r="AA120" s="56">
        <f t="shared" si="24"/>
        <v>0</v>
      </c>
      <c r="AB120" s="56">
        <f t="shared" si="24"/>
        <v>0</v>
      </c>
      <c r="AC120" s="214">
        <f t="shared" si="24"/>
        <v>0</v>
      </c>
      <c r="AD120" s="215">
        <f t="shared" si="24"/>
        <v>9.3428494579710138E-3</v>
      </c>
      <c r="AE120" s="56">
        <f t="shared" si="24"/>
        <v>2.1644443237573648E-3</v>
      </c>
      <c r="AF120" s="56">
        <f t="shared" si="24"/>
        <v>0</v>
      </c>
      <c r="AG120" s="214">
        <f t="shared" si="24"/>
        <v>1.0662162080791704</v>
      </c>
      <c r="AH120" s="215">
        <f t="shared" si="24"/>
        <v>1.4634795845670001</v>
      </c>
      <c r="AI120" s="56">
        <f t="shared" si="24"/>
        <v>1.1465194608970341E-2</v>
      </c>
      <c r="AJ120" s="56">
        <f t="shared" si="24"/>
        <v>8.132815414251116</v>
      </c>
      <c r="AK120" s="214">
        <f t="shared" si="24"/>
        <v>5.207806269177687</v>
      </c>
      <c r="AL120" s="215">
        <f t="shared" si="24"/>
        <v>5.9726821102529963E-2</v>
      </c>
      <c r="AM120" s="56">
        <f t="shared" si="24"/>
        <v>4.6791197809450036E-4</v>
      </c>
      <c r="AN120" s="56">
        <f t="shared" si="24"/>
        <v>0.30116813182854374</v>
      </c>
      <c r="AO120" s="56">
        <f t="shared" si="24"/>
        <v>0.19322794009762562</v>
      </c>
      <c r="AP120" s="215">
        <f t="shared" si="24"/>
        <v>0.79594515000000021</v>
      </c>
      <c r="AQ120" s="56">
        <f t="shared" si="24"/>
        <v>3.6027882469712859E-3</v>
      </c>
      <c r="AR120" s="56">
        <f t="shared" si="24"/>
        <v>0</v>
      </c>
      <c r="AS120" s="214">
        <f t="shared" si="24"/>
        <v>0.14275716868581534</v>
      </c>
    </row>
    <row r="121" spans="1:50" x14ac:dyDescent="0.35">
      <c r="A121" s="192" t="s">
        <v>391</v>
      </c>
      <c r="B121" s="215">
        <f t="shared" ref="B121:AS121" si="25">B105-B110</f>
        <v>3.2106393711988566</v>
      </c>
      <c r="C121" s="56">
        <f t="shared" si="25"/>
        <v>2.515279720892602E-2</v>
      </c>
      <c r="D121" s="56">
        <f t="shared" si="25"/>
        <v>18.78973250850758</v>
      </c>
      <c r="E121" s="214">
        <f t="shared" si="25"/>
        <v>12.903109887960591</v>
      </c>
      <c r="F121" s="215">
        <f t="shared" si="25"/>
        <v>4.1650432558870865</v>
      </c>
      <c r="G121" s="56">
        <f t="shared" si="25"/>
        <v>3.2629789979375497E-2</v>
      </c>
      <c r="H121" s="56">
        <f t="shared" si="25"/>
        <v>21.841434405797795</v>
      </c>
      <c r="I121" s="214">
        <f t="shared" si="25"/>
        <v>15.028209184022069</v>
      </c>
      <c r="J121" s="215">
        <f t="shared" si="25"/>
        <v>5.0277276493466191E-3</v>
      </c>
      <c r="K121" s="56">
        <f t="shared" si="25"/>
        <v>4.3870201507240518E-2</v>
      </c>
      <c r="L121" s="56">
        <f t="shared" si="25"/>
        <v>29.46038703579416</v>
      </c>
      <c r="M121" s="214">
        <f t="shared" si="25"/>
        <v>20.26927074675563</v>
      </c>
      <c r="N121" s="215">
        <f t="shared" si="25"/>
        <v>5.6908837479217507</v>
      </c>
      <c r="O121" s="56">
        <f t="shared" si="25"/>
        <v>4.4583532530967328E-2</v>
      </c>
      <c r="P121" s="56">
        <f t="shared" si="25"/>
        <v>29.424240142751682</v>
      </c>
      <c r="Q121" s="214">
        <f t="shared" si="25"/>
        <v>20.251064908675872</v>
      </c>
      <c r="R121" s="215">
        <f t="shared" si="25"/>
        <v>3.0104239067456606</v>
      </c>
      <c r="S121" s="56">
        <f t="shared" si="25"/>
        <v>2.3584268827738907E-2</v>
      </c>
      <c r="T121" s="56">
        <f t="shared" si="25"/>
        <v>16.37284972744721</v>
      </c>
      <c r="U121" s="214">
        <f t="shared" si="25"/>
        <v>11.25788941539574</v>
      </c>
      <c r="V121" s="215">
        <f t="shared" si="25"/>
        <v>9.3607759650000002</v>
      </c>
      <c r="W121" s="56">
        <f t="shared" si="25"/>
        <v>5.8667367422935865E-2</v>
      </c>
      <c r="X121" s="56">
        <f t="shared" si="25"/>
        <v>22.215936878827392</v>
      </c>
      <c r="Y121" s="214">
        <f t="shared" si="25"/>
        <v>4.9860712983698612</v>
      </c>
      <c r="Z121" s="215">
        <f t="shared" si="25"/>
        <v>5.6819910107549987</v>
      </c>
      <c r="AA121" s="56">
        <f t="shared" si="25"/>
        <v>4.4513865032152586E-2</v>
      </c>
      <c r="AB121" s="56">
        <f t="shared" si="25"/>
        <v>45.391713850898071</v>
      </c>
      <c r="AC121" s="214">
        <f t="shared" si="25"/>
        <v>17.240403035360558</v>
      </c>
      <c r="AD121" s="215">
        <f t="shared" si="25"/>
        <v>0.16717690166961058</v>
      </c>
      <c r="AE121" s="56">
        <f t="shared" si="25"/>
        <v>1.8041315495691962E-2</v>
      </c>
      <c r="AF121" s="56">
        <f t="shared" si="25"/>
        <v>20.527830746193395</v>
      </c>
      <c r="AG121" s="214">
        <f t="shared" si="25"/>
        <v>8.8872431530990106</v>
      </c>
      <c r="AH121" s="215">
        <f t="shared" si="25"/>
        <v>1.2431063677640175</v>
      </c>
      <c r="AI121" s="56">
        <f t="shared" si="25"/>
        <v>9.7387463251027134E-3</v>
      </c>
      <c r="AJ121" s="56">
        <f t="shared" si="25"/>
        <v>6.427377874557699</v>
      </c>
      <c r="AK121" s="214">
        <f t="shared" si="25"/>
        <v>4.4236060438189018</v>
      </c>
      <c r="AL121" s="215">
        <f t="shared" si="25"/>
        <v>0.93375538003096303</v>
      </c>
      <c r="AM121" s="56">
        <f t="shared" si="25"/>
        <v>7.315228215086813E-3</v>
      </c>
      <c r="AN121" s="56">
        <f t="shared" si="25"/>
        <v>4.3807051860706672</v>
      </c>
      <c r="AO121" s="56">
        <f t="shared" si="25"/>
        <v>3.0208811603873515</v>
      </c>
      <c r="AP121" s="215">
        <f t="shared" si="25"/>
        <v>6.6344499651937507</v>
      </c>
      <c r="AQ121" s="56">
        <f t="shared" si="25"/>
        <v>3.00303586996153E-2</v>
      </c>
      <c r="AR121" s="56">
        <f t="shared" si="25"/>
        <v>24.670975030845071</v>
      </c>
      <c r="AS121" s="214">
        <f t="shared" si="25"/>
        <v>1.1899253269132499</v>
      </c>
    </row>
    <row r="122" spans="1:50" x14ac:dyDescent="0.35">
      <c r="A122" s="192" t="s">
        <v>392</v>
      </c>
      <c r="B122" s="215">
        <f t="shared" ref="B122:AS122" si="26">B106-B111</f>
        <v>4.4633500197142517E-2</v>
      </c>
      <c r="C122" s="56">
        <f t="shared" si="26"/>
        <v>3.4966785408978637E-4</v>
      </c>
      <c r="D122" s="56">
        <f t="shared" si="26"/>
        <v>0.28074932522997642</v>
      </c>
      <c r="E122" s="214">
        <f t="shared" si="26"/>
        <v>0.17937578505212021</v>
      </c>
      <c r="F122" s="215">
        <f t="shared" si="26"/>
        <v>0</v>
      </c>
      <c r="G122" s="56">
        <f t="shared" si="26"/>
        <v>0</v>
      </c>
      <c r="H122" s="56">
        <f t="shared" si="26"/>
        <v>0</v>
      </c>
      <c r="I122" s="214">
        <f t="shared" si="26"/>
        <v>0</v>
      </c>
      <c r="J122" s="215">
        <f t="shared" si="26"/>
        <v>0</v>
      </c>
      <c r="K122" s="56">
        <f t="shared" si="26"/>
        <v>2.6814661835748493E-4</v>
      </c>
      <c r="L122" s="56">
        <f t="shared" si="26"/>
        <v>0.19353960392742731</v>
      </c>
      <c r="M122" s="214">
        <f t="shared" si="26"/>
        <v>0.12389130253750441</v>
      </c>
      <c r="N122" s="215">
        <f t="shared" si="26"/>
        <v>0</v>
      </c>
      <c r="O122" s="56">
        <f t="shared" si="26"/>
        <v>0</v>
      </c>
      <c r="P122" s="56">
        <f t="shared" si="26"/>
        <v>0</v>
      </c>
      <c r="Q122" s="214">
        <f t="shared" si="26"/>
        <v>0</v>
      </c>
      <c r="R122" s="215">
        <f t="shared" si="26"/>
        <v>0.15120181020997719</v>
      </c>
      <c r="S122" s="56">
        <f t="shared" si="26"/>
        <v>1.1845455157469082E-3</v>
      </c>
      <c r="T122" s="56">
        <f t="shared" si="26"/>
        <v>0.88385763327220901</v>
      </c>
      <c r="U122" s="214">
        <f t="shared" si="26"/>
        <v>0.56543972260428599</v>
      </c>
      <c r="V122" s="215">
        <f t="shared" si="26"/>
        <v>0</v>
      </c>
      <c r="W122" s="56">
        <f t="shared" si="26"/>
        <v>0</v>
      </c>
      <c r="X122" s="56">
        <f t="shared" si="26"/>
        <v>0</v>
      </c>
      <c r="Y122" s="214">
        <f t="shared" si="26"/>
        <v>0</v>
      </c>
      <c r="Z122" s="215">
        <f t="shared" si="26"/>
        <v>0</v>
      </c>
      <c r="AA122" s="56">
        <f t="shared" si="26"/>
        <v>0</v>
      </c>
      <c r="AB122" s="56">
        <f t="shared" si="26"/>
        <v>0</v>
      </c>
      <c r="AC122" s="214">
        <f t="shared" si="26"/>
        <v>0</v>
      </c>
      <c r="AD122" s="215">
        <f t="shared" si="26"/>
        <v>0</v>
      </c>
      <c r="AE122" s="56">
        <f t="shared" si="26"/>
        <v>1.8397776751937604E-3</v>
      </c>
      <c r="AF122" s="56">
        <f t="shared" si="26"/>
        <v>0</v>
      </c>
      <c r="AG122" s="214">
        <f t="shared" si="26"/>
        <v>0.90628377686729522</v>
      </c>
      <c r="AH122" s="215">
        <f t="shared" si="26"/>
        <v>0</v>
      </c>
      <c r="AI122" s="56">
        <f t="shared" si="26"/>
        <v>0</v>
      </c>
      <c r="AJ122" s="56">
        <f t="shared" si="26"/>
        <v>0</v>
      </c>
      <c r="AK122" s="214">
        <f t="shared" si="26"/>
        <v>0</v>
      </c>
      <c r="AL122" s="215">
        <f t="shared" si="26"/>
        <v>1.074930415505992</v>
      </c>
      <c r="AM122" s="56">
        <f t="shared" si="26"/>
        <v>8.421221952695665E-3</v>
      </c>
      <c r="AN122" s="56">
        <f t="shared" si="26"/>
        <v>5.4202580868632069</v>
      </c>
      <c r="AO122" s="56">
        <f t="shared" si="26"/>
        <v>3.4776099933386448</v>
      </c>
      <c r="AP122" s="215">
        <f t="shared" si="26"/>
        <v>0.67655337749999989</v>
      </c>
      <c r="AQ122" s="56">
        <f t="shared" si="26"/>
        <v>3.0623700099255938E-3</v>
      </c>
      <c r="AR122" s="56">
        <f t="shared" si="26"/>
        <v>0</v>
      </c>
      <c r="AS122" s="214">
        <f t="shared" si="26"/>
        <v>0.12134359338294304</v>
      </c>
    </row>
    <row r="123" spans="1:50" x14ac:dyDescent="0.35">
      <c r="A123" s="172"/>
      <c r="B123" s="215"/>
      <c r="C123" s="56"/>
      <c r="D123" s="56"/>
      <c r="E123" s="214"/>
      <c r="F123" s="215"/>
      <c r="G123" s="56"/>
      <c r="H123" s="56"/>
      <c r="I123" s="214"/>
      <c r="J123" s="215"/>
      <c r="K123" s="56"/>
      <c r="L123" s="56"/>
      <c r="M123" s="214"/>
      <c r="N123" s="215"/>
      <c r="O123" s="56"/>
      <c r="P123" s="56"/>
      <c r="Q123" s="214"/>
      <c r="R123" s="215"/>
      <c r="S123" s="56"/>
      <c r="T123" s="56"/>
      <c r="U123" s="214"/>
      <c r="V123" s="215"/>
      <c r="W123" s="56"/>
      <c r="X123" s="56"/>
      <c r="Y123" s="214"/>
      <c r="Z123" s="215"/>
      <c r="AA123" s="56"/>
      <c r="AB123" s="56"/>
      <c r="AC123" s="214"/>
      <c r="AD123" s="215"/>
      <c r="AE123" s="56"/>
      <c r="AF123" s="56"/>
      <c r="AG123" s="214"/>
      <c r="AH123" s="215"/>
      <c r="AI123" s="56"/>
      <c r="AJ123" s="56"/>
      <c r="AK123" s="214"/>
      <c r="AL123" s="215"/>
      <c r="AM123" s="56"/>
      <c r="AN123" s="56"/>
      <c r="AO123" s="56"/>
      <c r="AP123" s="215"/>
      <c r="AQ123" s="56"/>
      <c r="AR123" s="56"/>
      <c r="AS123" s="214"/>
    </row>
    <row r="124" spans="1:50" x14ac:dyDescent="0.35">
      <c r="A124" s="204" t="s">
        <v>450</v>
      </c>
      <c r="B124" s="232"/>
      <c r="C124" s="166"/>
      <c r="D124" s="166"/>
      <c r="E124" s="233"/>
      <c r="F124" s="232"/>
      <c r="G124" s="166"/>
      <c r="H124" s="166"/>
      <c r="I124" s="233"/>
      <c r="J124" s="232"/>
      <c r="K124" s="166"/>
      <c r="L124" s="166"/>
      <c r="M124" s="233"/>
      <c r="N124" s="232"/>
      <c r="O124" s="166"/>
      <c r="P124" s="166"/>
      <c r="Q124" s="233"/>
      <c r="R124" s="232"/>
      <c r="S124" s="166"/>
      <c r="T124" s="166"/>
      <c r="U124" s="233"/>
      <c r="V124" s="232"/>
      <c r="W124" s="166"/>
      <c r="X124" s="166"/>
      <c r="Y124" s="233"/>
      <c r="Z124" s="232"/>
      <c r="AA124" s="166"/>
      <c r="AB124" s="166"/>
      <c r="AC124" s="233"/>
      <c r="AD124" s="232"/>
      <c r="AE124" s="166"/>
      <c r="AF124" s="166"/>
      <c r="AG124" s="233"/>
      <c r="AH124" s="232"/>
      <c r="AI124" s="166"/>
      <c r="AJ124" s="166"/>
      <c r="AK124" s="233"/>
      <c r="AL124" s="232"/>
      <c r="AM124" s="166"/>
      <c r="AN124" s="166"/>
      <c r="AO124" s="166"/>
      <c r="AP124" s="232"/>
      <c r="AQ124" s="166"/>
      <c r="AR124" s="166"/>
      <c r="AS124" s="233"/>
    </row>
    <row r="125" spans="1:50" x14ac:dyDescent="0.35">
      <c r="A125" s="192" t="s">
        <v>390</v>
      </c>
      <c r="B125" s="215">
        <f t="shared" ref="B125:AS125" si="27">B50+B74+B84+B94+B109</f>
        <v>7.161189385313964E-3</v>
      </c>
      <c r="C125" s="56">
        <f t="shared" si="27"/>
        <v>5.6102203816262708E-5</v>
      </c>
      <c r="D125" s="56">
        <f t="shared" si="27"/>
        <v>4.4345685172472726E-2</v>
      </c>
      <c r="E125" s="214">
        <f t="shared" si="27"/>
        <v>2.8779817003458771E-2</v>
      </c>
      <c r="F125" s="215">
        <f t="shared" si="27"/>
        <v>0.53676685849826944</v>
      </c>
      <c r="G125" s="56">
        <f t="shared" si="27"/>
        <v>4.2051399672576508E-3</v>
      </c>
      <c r="H125" s="56">
        <f t="shared" si="27"/>
        <v>2.9784099472557357</v>
      </c>
      <c r="I125" s="214">
        <f t="shared" si="27"/>
        <v>1.9367493053428839</v>
      </c>
      <c r="J125" s="215">
        <f t="shared" si="27"/>
        <v>10.865202626793186</v>
      </c>
      <c r="K125" s="56">
        <f t="shared" si="27"/>
        <v>3.2159384984022919E-3</v>
      </c>
      <c r="L125" s="56">
        <f t="shared" si="27"/>
        <v>2.2851446346353104</v>
      </c>
      <c r="M125" s="214">
        <f t="shared" si="27"/>
        <v>1.4858543131668194</v>
      </c>
      <c r="N125" s="215">
        <f t="shared" si="27"/>
        <v>1.2268745783000001</v>
      </c>
      <c r="O125" s="56">
        <f t="shared" si="27"/>
        <v>9.6115832085008138E-3</v>
      </c>
      <c r="P125" s="56">
        <f t="shared" si="27"/>
        <v>6.7121684900784295</v>
      </c>
      <c r="Q125" s="214">
        <f t="shared" si="27"/>
        <v>4.3658450638762307</v>
      </c>
      <c r="R125" s="215">
        <f t="shared" si="27"/>
        <v>1.8372791933476575</v>
      </c>
      <c r="S125" s="56">
        <f t="shared" si="27"/>
        <v>1.4393616231397843E-2</v>
      </c>
      <c r="T125" s="56">
        <f t="shared" si="27"/>
        <v>10.573260154454967</v>
      </c>
      <c r="U125" s="214">
        <f t="shared" si="27"/>
        <v>6.8707552904983329</v>
      </c>
      <c r="V125" s="215">
        <f t="shared" si="27"/>
        <v>0</v>
      </c>
      <c r="W125" s="56">
        <f t="shared" si="27"/>
        <v>0</v>
      </c>
      <c r="X125" s="56">
        <f t="shared" si="27"/>
        <v>0</v>
      </c>
      <c r="Y125" s="214">
        <f t="shared" si="27"/>
        <v>0</v>
      </c>
      <c r="Z125" s="215">
        <f t="shared" si="27"/>
        <v>0</v>
      </c>
      <c r="AA125" s="56">
        <f t="shared" si="27"/>
        <v>0</v>
      </c>
      <c r="AB125" s="56">
        <f t="shared" si="27"/>
        <v>0</v>
      </c>
      <c r="AC125" s="214">
        <f t="shared" si="27"/>
        <v>0</v>
      </c>
      <c r="AD125" s="215">
        <f t="shared" si="27"/>
        <v>4.7968213343961348E-2</v>
      </c>
      <c r="AE125" s="56">
        <f t="shared" si="27"/>
        <v>1.1112726107829955E-2</v>
      </c>
      <c r="AF125" s="56">
        <f t="shared" si="27"/>
        <v>0</v>
      </c>
      <c r="AG125" s="214">
        <f t="shared" si="27"/>
        <v>5.4741850192498109</v>
      </c>
      <c r="AH125" s="215">
        <f t="shared" si="27"/>
        <v>7.5138212654330001</v>
      </c>
      <c r="AI125" s="56">
        <f t="shared" si="27"/>
        <v>5.886479317762236E-2</v>
      </c>
      <c r="AJ125" s="56">
        <f t="shared" si="27"/>
        <v>41.107734425310021</v>
      </c>
      <c r="AK125" s="214">
        <f t="shared" si="27"/>
        <v>26.738005712037427</v>
      </c>
      <c r="AL125" s="215">
        <f t="shared" si="27"/>
        <v>0.30665043998525049</v>
      </c>
      <c r="AM125" s="56">
        <f t="shared" si="27"/>
        <v>2.4023614735954788E-3</v>
      </c>
      <c r="AN125" s="56">
        <f t="shared" si="27"/>
        <v>1.5222698352258792</v>
      </c>
      <c r="AO125" s="56">
        <f t="shared" si="27"/>
        <v>0.99207410932959561</v>
      </c>
      <c r="AP125" s="215">
        <f t="shared" si="27"/>
        <v>4.0865548500000006</v>
      </c>
      <c r="AQ125" s="56">
        <f t="shared" si="27"/>
        <v>1.8497495441970477E-2</v>
      </c>
      <c r="AR125" s="56">
        <f t="shared" si="27"/>
        <v>0</v>
      </c>
      <c r="AS125" s="214">
        <f t="shared" si="27"/>
        <v>0.7329462338771543</v>
      </c>
    </row>
    <row r="126" spans="1:50" x14ac:dyDescent="0.35">
      <c r="A126" s="192" t="s">
        <v>391</v>
      </c>
      <c r="B126" s="215">
        <f t="shared" ref="B126:AS126" si="28">B51+B75+B85+B95+B110</f>
        <v>4.5511924728591815</v>
      </c>
      <c r="C126" s="56">
        <f t="shared" si="28"/>
        <v>3.5654960926325516E-2</v>
      </c>
      <c r="D126" s="56">
        <f t="shared" si="28"/>
        <v>29.398929952628773</v>
      </c>
      <c r="E126" s="214">
        <f t="shared" si="28"/>
        <v>18.29060501947103</v>
      </c>
      <c r="F126" s="215">
        <f t="shared" si="28"/>
        <v>5.9040930243897343</v>
      </c>
      <c r="G126" s="56">
        <f t="shared" si="28"/>
        <v>4.6253857059523312E-2</v>
      </c>
      <c r="H126" s="56">
        <f t="shared" si="28"/>
        <v>34.173706297854423</v>
      </c>
      <c r="I126" s="214">
        <f t="shared" si="28"/>
        <v>21.303006850419091</v>
      </c>
      <c r="J126" s="215">
        <f t="shared" si="28"/>
        <v>7.1269780214363032E-3</v>
      </c>
      <c r="K126" s="56">
        <f t="shared" si="28"/>
        <v>6.2187529584805001E-2</v>
      </c>
      <c r="L126" s="56">
        <f t="shared" si="28"/>
        <v>46.09452819248451</v>
      </c>
      <c r="M126" s="214">
        <f t="shared" si="28"/>
        <v>28.732393080488841</v>
      </c>
      <c r="N126" s="215">
        <f t="shared" si="28"/>
        <v>8.0670247520782503</v>
      </c>
      <c r="O126" s="56">
        <f t="shared" si="28"/>
        <v>6.3198701009090544E-2</v>
      </c>
      <c r="P126" s="56">
        <f t="shared" si="28"/>
        <v>46.037971773914961</v>
      </c>
      <c r="Q126" s="214">
        <f t="shared" si="28"/>
        <v>28.706585674657461</v>
      </c>
      <c r="R126" s="215">
        <f t="shared" si="28"/>
        <v>4.267380119798446</v>
      </c>
      <c r="S126" s="56">
        <f t="shared" si="28"/>
        <v>3.3431517637751137E-2</v>
      </c>
      <c r="T126" s="56">
        <f t="shared" si="28"/>
        <v>25.617408978238277</v>
      </c>
      <c r="U126" s="214">
        <f t="shared" si="28"/>
        <v>15.958448036005446</v>
      </c>
      <c r="V126" s="215">
        <f t="shared" si="28"/>
        <v>13.269224034999999</v>
      </c>
      <c r="W126" s="56">
        <f t="shared" si="28"/>
        <v>8.316302460280027E-2</v>
      </c>
      <c r="X126" s="56">
        <f t="shared" si="28"/>
        <v>34.759663121172593</v>
      </c>
      <c r="Y126" s="214">
        <f t="shared" si="28"/>
        <v>7.0679287016301355</v>
      </c>
      <c r="Z126" s="215">
        <f t="shared" si="28"/>
        <v>8.0544189892449989</v>
      </c>
      <c r="AA126" s="56">
        <f t="shared" si="28"/>
        <v>6.3099944917374709E-2</v>
      </c>
      <c r="AB126" s="56">
        <f t="shared" si="28"/>
        <v>71.021118333009994</v>
      </c>
      <c r="AC126" s="214">
        <f t="shared" si="28"/>
        <v>24.438868229007262</v>
      </c>
      <c r="AD126" s="215">
        <f t="shared" si="28"/>
        <v>0.23697904639802245</v>
      </c>
      <c r="AE126" s="56">
        <f t="shared" si="28"/>
        <v>2.5574189372072391E-2</v>
      </c>
      <c r="AF126" s="56">
        <f t="shared" si="28"/>
        <v>32.118406045083873</v>
      </c>
      <c r="AG126" s="214">
        <f t="shared" si="28"/>
        <v>12.597974878676691</v>
      </c>
      <c r="AH126" s="215">
        <f t="shared" si="28"/>
        <v>1.7621463172359821</v>
      </c>
      <c r="AI126" s="56">
        <f t="shared" si="28"/>
        <v>1.3805010107174468E-2</v>
      </c>
      <c r="AJ126" s="56">
        <f t="shared" si="28"/>
        <v>10.05645140651373</v>
      </c>
      <c r="AK126" s="214">
        <f t="shared" si="28"/>
        <v>6.2706147286810996</v>
      </c>
      <c r="AL126" s="215">
        <f t="shared" si="28"/>
        <v>1.3236305812514348</v>
      </c>
      <c r="AM126" s="56">
        <f t="shared" si="28"/>
        <v>1.0369589275085283E-2</v>
      </c>
      <c r="AN126" s="56">
        <f t="shared" si="28"/>
        <v>6.8541712794525793</v>
      </c>
      <c r="AO126" s="56">
        <f t="shared" si="28"/>
        <v>4.2822036389042601</v>
      </c>
      <c r="AP126" s="215">
        <f t="shared" si="28"/>
        <v>9.4045625348062494</v>
      </c>
      <c r="AQ126" s="56">
        <f t="shared" si="28"/>
        <v>4.2569073218558393E-2</v>
      </c>
      <c r="AR126" s="56">
        <f t="shared" si="28"/>
        <v>38.60088303367106</v>
      </c>
      <c r="AS126" s="214">
        <f t="shared" si="28"/>
        <v>1.6867603505061048</v>
      </c>
    </row>
    <row r="127" spans="1:50" x14ac:dyDescent="0.35">
      <c r="A127" s="192" t="s">
        <v>392</v>
      </c>
      <c r="B127" s="215">
        <f t="shared" ref="B127:AS127" si="29">B52+B76+B86+B96+B111</f>
        <v>0.22915806033004749</v>
      </c>
      <c r="C127" s="56">
        <f t="shared" si="29"/>
        <v>1.7952705221204112E-3</v>
      </c>
      <c r="D127" s="56">
        <f t="shared" si="29"/>
        <v>1.4190619255191312</v>
      </c>
      <c r="E127" s="214">
        <f t="shared" si="29"/>
        <v>0.92095414411068321</v>
      </c>
      <c r="F127" s="215">
        <f t="shared" si="29"/>
        <v>0</v>
      </c>
      <c r="G127" s="56">
        <f t="shared" si="29"/>
        <v>0</v>
      </c>
      <c r="H127" s="56">
        <f t="shared" si="29"/>
        <v>0</v>
      </c>
      <c r="I127" s="214">
        <f t="shared" si="29"/>
        <v>0</v>
      </c>
      <c r="J127" s="215">
        <f t="shared" si="29"/>
        <v>0</v>
      </c>
      <c r="K127" s="56">
        <f t="shared" si="29"/>
        <v>1.3767228354364357E-3</v>
      </c>
      <c r="L127" s="56">
        <f t="shared" si="29"/>
        <v>0.97825589710140615</v>
      </c>
      <c r="M127" s="214">
        <f t="shared" si="29"/>
        <v>0.6360847895831212</v>
      </c>
      <c r="N127" s="215">
        <f t="shared" si="29"/>
        <v>0</v>
      </c>
      <c r="O127" s="56">
        <f t="shared" si="29"/>
        <v>0</v>
      </c>
      <c r="P127" s="56">
        <f t="shared" si="29"/>
        <v>0</v>
      </c>
      <c r="Q127" s="214">
        <f t="shared" si="29"/>
        <v>0</v>
      </c>
      <c r="R127" s="215">
        <f t="shared" si="29"/>
        <v>0.7763028530827305</v>
      </c>
      <c r="S127" s="56">
        <f t="shared" si="29"/>
        <v>6.0817133221067778E-3</v>
      </c>
      <c r="T127" s="56">
        <f t="shared" si="29"/>
        <v>4.4675039340829148</v>
      </c>
      <c r="U127" s="214">
        <f t="shared" si="29"/>
        <v>2.9030900443217722</v>
      </c>
      <c r="V127" s="215">
        <f t="shared" si="29"/>
        <v>0</v>
      </c>
      <c r="W127" s="56">
        <f t="shared" si="29"/>
        <v>0</v>
      </c>
      <c r="X127" s="56">
        <f t="shared" si="29"/>
        <v>0</v>
      </c>
      <c r="Y127" s="214">
        <f t="shared" si="29"/>
        <v>0</v>
      </c>
      <c r="Z127" s="215">
        <f t="shared" si="29"/>
        <v>0</v>
      </c>
      <c r="AA127" s="56">
        <f t="shared" si="29"/>
        <v>0</v>
      </c>
      <c r="AB127" s="56">
        <f t="shared" si="29"/>
        <v>0</v>
      </c>
      <c r="AC127" s="214">
        <f t="shared" si="29"/>
        <v>0</v>
      </c>
      <c r="AD127" s="215">
        <f t="shared" si="29"/>
        <v>0</v>
      </c>
      <c r="AE127" s="56">
        <f t="shared" si="29"/>
        <v>9.445817191655461E-3</v>
      </c>
      <c r="AF127" s="56">
        <f t="shared" si="29"/>
        <v>0</v>
      </c>
      <c r="AG127" s="214">
        <f t="shared" si="29"/>
        <v>4.6530572663623397</v>
      </c>
      <c r="AH127" s="215">
        <f t="shared" si="29"/>
        <v>0</v>
      </c>
      <c r="AI127" s="56">
        <f t="shared" si="29"/>
        <v>0</v>
      </c>
      <c r="AJ127" s="56">
        <f t="shared" si="29"/>
        <v>0</v>
      </c>
      <c r="AK127" s="214">
        <f t="shared" si="29"/>
        <v>0</v>
      </c>
      <c r="AL127" s="215">
        <f t="shared" si="29"/>
        <v>5.5189256482039335</v>
      </c>
      <c r="AM127" s="56">
        <f t="shared" si="29"/>
        <v>4.323637805157169E-2</v>
      </c>
      <c r="AN127" s="56">
        <f t="shared" si="29"/>
        <v>27.396973692649439</v>
      </c>
      <c r="AO127" s="56">
        <f t="shared" si="29"/>
        <v>17.854803166633413</v>
      </c>
      <c r="AP127" s="215">
        <f t="shared" si="29"/>
        <v>3.4735716224999997</v>
      </c>
      <c r="AQ127" s="56">
        <f t="shared" si="29"/>
        <v>1.5722871125674904E-2</v>
      </c>
      <c r="AR127" s="56">
        <f t="shared" si="29"/>
        <v>0</v>
      </c>
      <c r="AS127" s="214">
        <f t="shared" si="29"/>
        <v>0.62300429879558117</v>
      </c>
    </row>
    <row r="128" spans="1:50" x14ac:dyDescent="0.35">
      <c r="A128" s="192" t="s">
        <v>451</v>
      </c>
      <c r="B128" s="234">
        <f>B125/B40</f>
        <v>0.58588600000000002</v>
      </c>
      <c r="C128" s="235">
        <f>C125/C40</f>
        <v>0.58588600000000002</v>
      </c>
      <c r="D128" s="235"/>
      <c r="E128" s="236">
        <f>E125/E40</f>
        <v>0.58588599999999991</v>
      </c>
      <c r="F128" s="234">
        <f>F125/F40</f>
        <v>0.58588600000000002</v>
      </c>
      <c r="G128" s="235">
        <f>G125/G40</f>
        <v>0.58588600000000002</v>
      </c>
      <c r="H128" s="235"/>
      <c r="I128" s="236">
        <f>I125/I40</f>
        <v>0.58588600000000002</v>
      </c>
      <c r="J128" s="234">
        <f>J125/J40</f>
        <v>0.58588600000000002</v>
      </c>
      <c r="K128" s="235">
        <f>K125/K40</f>
        <v>0.58588599999999991</v>
      </c>
      <c r="L128" s="235"/>
      <c r="M128" s="236">
        <f>M125/M40</f>
        <v>0.58588600000000002</v>
      </c>
      <c r="N128" s="234">
        <f>N125/N40</f>
        <v>0.58588600000000002</v>
      </c>
      <c r="O128" s="235">
        <f>O125/O40</f>
        <v>0.58588600000000002</v>
      </c>
      <c r="P128" s="235"/>
      <c r="Q128" s="236">
        <f>Q125/Q40</f>
        <v>0.58588600000000002</v>
      </c>
      <c r="R128" s="234">
        <f>R125/R40</f>
        <v>0.58588599999999991</v>
      </c>
      <c r="S128" s="235">
        <f>S125/S40</f>
        <v>0.58588600000000002</v>
      </c>
      <c r="T128" s="235"/>
      <c r="U128" s="236">
        <f>U125/U40</f>
        <v>0.58588599999999991</v>
      </c>
      <c r="V128" s="234" t="str">
        <f>IF(V40=0,"",V125/V40)</f>
        <v/>
      </c>
      <c r="W128" s="235" t="str">
        <f>IF(W40=0,"",W125/W40)</f>
        <v/>
      </c>
      <c r="X128" s="235"/>
      <c r="Y128" s="235" t="str">
        <f>IF(Y40=0,"",Y125/Y40)</f>
        <v/>
      </c>
      <c r="Z128" s="234" t="str">
        <f>IF(Z40=0,"",Z125/Z40)</f>
        <v/>
      </c>
      <c r="AA128" s="235" t="str">
        <f>IF(AA40=0,"",AA125/AA40)</f>
        <v/>
      </c>
      <c r="AB128" s="235"/>
      <c r="AC128" s="235" t="str">
        <f>IF(AC40=0,"",AC125/AC40)</f>
        <v/>
      </c>
      <c r="AD128" s="234">
        <f>IF(AD40=0,"",AD125/AD40)</f>
        <v>0.58588599999999991</v>
      </c>
      <c r="AE128" s="235">
        <f>IF(AE40=0,"",AE125/AE40)</f>
        <v>0.58588600000000002</v>
      </c>
      <c r="AF128" s="235"/>
      <c r="AG128" s="235">
        <f>IF(AG40=0,"",AG125/AG40)</f>
        <v>0.58588599999999991</v>
      </c>
      <c r="AH128" s="234">
        <f>IF(AH40=0,"",AH125/AH40)</f>
        <v>0.58588599999999991</v>
      </c>
      <c r="AI128" s="235">
        <f>IF(AI40=0,"",AI125/AI40)</f>
        <v>0.58588600000000002</v>
      </c>
      <c r="AJ128" s="235"/>
      <c r="AK128" s="235">
        <f>IF(AK40=0,"",AK125/AK40)</f>
        <v>0.58588599999999991</v>
      </c>
      <c r="AL128" s="234">
        <f>IF(AL40=0,"",AL125/AL40)</f>
        <v>0.58588600000000002</v>
      </c>
      <c r="AM128" s="235">
        <f>IF(AM40=0,"",AM125/AM40)</f>
        <v>0.58588599999999991</v>
      </c>
      <c r="AN128" s="235"/>
      <c r="AO128" s="235">
        <f>IF(AO40=0,"",AO125/AO40)</f>
        <v>0.58588599999999991</v>
      </c>
      <c r="AP128" s="234">
        <f>IF(AP40=0,"",AP125/AP40)</f>
        <v>0.58588600000000002</v>
      </c>
      <c r="AQ128" s="235">
        <f>IF(AQ40=0,"",AQ125/AQ40)</f>
        <v>0.58588600000000002</v>
      </c>
      <c r="AR128" s="235"/>
      <c r="AS128" s="235">
        <f>IF(AS40=0,"",AS125/AS40)</f>
        <v>0.58588600000000002</v>
      </c>
      <c r="AT128" s="196"/>
    </row>
    <row r="129" spans="1:46" x14ac:dyDescent="0.35">
      <c r="A129" s="192"/>
      <c r="B129" s="234">
        <f>IF(B41=0,"",B126/B41)</f>
        <v>0.42803948499999994</v>
      </c>
      <c r="C129" s="235">
        <f>IF(C41=0,"",C126/C41)</f>
        <v>0.42803948499999989</v>
      </c>
      <c r="D129" s="235"/>
      <c r="E129" s="235">
        <f t="shared" ref="E129:G130" si="30">IF(E41=0,"",E126/E41)</f>
        <v>0.42803948499999994</v>
      </c>
      <c r="F129" s="234">
        <f t="shared" si="30"/>
        <v>0.42803948499999989</v>
      </c>
      <c r="G129" s="235">
        <f t="shared" si="30"/>
        <v>0.42803948499999994</v>
      </c>
      <c r="H129" s="235"/>
      <c r="I129" s="235">
        <f t="shared" ref="I129:K130" si="31">IF(I41=0,"",I126/I41)</f>
        <v>0.428039485</v>
      </c>
      <c r="J129" s="234">
        <f t="shared" si="31"/>
        <v>0.428039485</v>
      </c>
      <c r="K129" s="235">
        <f t="shared" si="31"/>
        <v>0.428039485</v>
      </c>
      <c r="L129" s="235"/>
      <c r="M129" s="235">
        <f t="shared" ref="M129:O130" si="32">IF(M41=0,"",M126/M41)</f>
        <v>0.428039485</v>
      </c>
      <c r="N129" s="234">
        <f t="shared" si="32"/>
        <v>0.428039485</v>
      </c>
      <c r="O129" s="235">
        <f t="shared" si="32"/>
        <v>0.428039485</v>
      </c>
      <c r="P129" s="235"/>
      <c r="Q129" s="235">
        <f t="shared" ref="Q129:S130" si="33">IF(Q41=0,"",Q126/Q41)</f>
        <v>0.42803948499999989</v>
      </c>
      <c r="R129" s="234">
        <f t="shared" si="33"/>
        <v>0.42803948499999989</v>
      </c>
      <c r="S129" s="235">
        <f t="shared" si="33"/>
        <v>0.42803948499999994</v>
      </c>
      <c r="T129" s="235"/>
      <c r="U129" s="235">
        <f>IF(U41=0,"",U126/U41)</f>
        <v>0.428039485</v>
      </c>
      <c r="V129" s="234">
        <f t="shared" ref="V129:AS129" si="34">V126/V41</f>
        <v>0.42803948499999994</v>
      </c>
      <c r="W129" s="235">
        <f t="shared" si="34"/>
        <v>0.42803948499999994</v>
      </c>
      <c r="X129" s="235">
        <f t="shared" si="34"/>
        <v>0.44535825999999995</v>
      </c>
      <c r="Y129" s="236">
        <f t="shared" si="34"/>
        <v>0.42803948499999994</v>
      </c>
      <c r="Z129" s="234">
        <f t="shared" si="34"/>
        <v>0.42803948499999994</v>
      </c>
      <c r="AA129" s="235">
        <f t="shared" si="34"/>
        <v>0.42803948499999994</v>
      </c>
      <c r="AB129" s="235">
        <f t="shared" si="34"/>
        <v>0.44535826000000001</v>
      </c>
      <c r="AC129" s="236">
        <f t="shared" si="34"/>
        <v>0.428039485</v>
      </c>
      <c r="AD129" s="234">
        <f t="shared" si="34"/>
        <v>0.42803948499999994</v>
      </c>
      <c r="AE129" s="235">
        <f t="shared" si="34"/>
        <v>0.42803948500000005</v>
      </c>
      <c r="AF129" s="235">
        <f t="shared" si="34"/>
        <v>0.44535826000000001</v>
      </c>
      <c r="AG129" s="236">
        <f t="shared" si="34"/>
        <v>0.42803948499999994</v>
      </c>
      <c r="AH129" s="234">
        <f t="shared" si="34"/>
        <v>0.42803948499999994</v>
      </c>
      <c r="AI129" s="235">
        <f t="shared" si="34"/>
        <v>0.428039485</v>
      </c>
      <c r="AJ129" s="235">
        <f t="shared" si="34"/>
        <v>0.44535826000000001</v>
      </c>
      <c r="AK129" s="236">
        <f t="shared" si="34"/>
        <v>0.428039485</v>
      </c>
      <c r="AL129" s="234">
        <f t="shared" si="34"/>
        <v>0.428039485</v>
      </c>
      <c r="AM129" s="235">
        <f t="shared" si="34"/>
        <v>0.42803948499999989</v>
      </c>
      <c r="AN129" s="235">
        <f t="shared" si="34"/>
        <v>0.44535826000000001</v>
      </c>
      <c r="AO129" s="235">
        <f t="shared" si="34"/>
        <v>0.42803948499999994</v>
      </c>
      <c r="AP129" s="234">
        <f t="shared" si="34"/>
        <v>0.42803948499999994</v>
      </c>
      <c r="AQ129" s="235">
        <f t="shared" si="34"/>
        <v>0.42803948499999994</v>
      </c>
      <c r="AR129" s="235">
        <f t="shared" si="34"/>
        <v>0.44535825999999995</v>
      </c>
      <c r="AS129" s="235">
        <f t="shared" si="34"/>
        <v>0.42803948499999994</v>
      </c>
      <c r="AT129" s="196"/>
    </row>
    <row r="130" spans="1:46" x14ac:dyDescent="0.35">
      <c r="A130" s="192"/>
      <c r="B130" s="234">
        <f>IF(B42=0,"",B127/B42)</f>
        <v>0.58588599999999991</v>
      </c>
      <c r="C130" s="235">
        <f>IF(C42=0,"",C127/C42)</f>
        <v>0.58588599999999991</v>
      </c>
      <c r="D130" s="235"/>
      <c r="E130" s="235">
        <f t="shared" si="30"/>
        <v>0.58588599999999991</v>
      </c>
      <c r="F130" s="234" t="str">
        <f t="shared" si="30"/>
        <v/>
      </c>
      <c r="G130" s="235" t="str">
        <f t="shared" si="30"/>
        <v/>
      </c>
      <c r="H130" s="235"/>
      <c r="I130" s="235" t="str">
        <f t="shared" si="31"/>
        <v/>
      </c>
      <c r="J130" s="234" t="str">
        <f t="shared" si="31"/>
        <v/>
      </c>
      <c r="K130" s="235">
        <f t="shared" si="31"/>
        <v>0.58588599999999991</v>
      </c>
      <c r="L130" s="235"/>
      <c r="M130" s="235">
        <f t="shared" si="32"/>
        <v>0.58588599999999991</v>
      </c>
      <c r="N130" s="234" t="str">
        <f t="shared" si="32"/>
        <v/>
      </c>
      <c r="O130" s="235" t="str">
        <f t="shared" si="32"/>
        <v/>
      </c>
      <c r="P130" s="235"/>
      <c r="Q130" s="235" t="str">
        <f t="shared" si="33"/>
        <v/>
      </c>
      <c r="R130" s="234">
        <f t="shared" si="33"/>
        <v>0.58588600000000002</v>
      </c>
      <c r="S130" s="235">
        <f t="shared" si="33"/>
        <v>0.58588599999999991</v>
      </c>
      <c r="T130" s="235"/>
      <c r="U130" s="235">
        <f>IF(U42=0,"",U127/U42)</f>
        <v>0.58588600000000002</v>
      </c>
      <c r="V130" s="234" t="str">
        <f>IF(V42=0,"",V127/V42)</f>
        <v/>
      </c>
      <c r="W130" s="235" t="str">
        <f>IF(W42=0,"",W127/W42)</f>
        <v/>
      </c>
      <c r="X130" s="235"/>
      <c r="Y130" s="235" t="str">
        <f>IF(Y42=0,"",Y127/Y42)</f>
        <v/>
      </c>
      <c r="Z130" s="234" t="str">
        <f>IF(Z42=0,"",Z127/Z42)</f>
        <v/>
      </c>
      <c r="AA130" s="235" t="str">
        <f>IF(AA42=0,"",AA127/AA42)</f>
        <v/>
      </c>
      <c r="AB130" s="235"/>
      <c r="AC130" s="235" t="str">
        <f>IF(AC42=0,"",AC127/AC42)</f>
        <v/>
      </c>
      <c r="AD130" s="234" t="str">
        <f>IF(AD42=0,"",AD127/AD42)</f>
        <v/>
      </c>
      <c r="AE130" s="235">
        <f>IF(AE42=0,"",AE127/AE42)</f>
        <v>0.58588600000000002</v>
      </c>
      <c r="AF130" s="235"/>
      <c r="AG130" s="235">
        <f>IF(AG42=0,"",AG127/AG42)</f>
        <v>0.58588599999999991</v>
      </c>
      <c r="AH130" s="234" t="str">
        <f>IF(AH42=0,"",AH127/AH42)</f>
        <v/>
      </c>
      <c r="AI130" s="235" t="str">
        <f>IF(AI42=0,"",AI127/AI42)</f>
        <v/>
      </c>
      <c r="AJ130" s="235"/>
      <c r="AK130" s="235" t="str">
        <f>IF(AK42=0,"",AK127/AK42)</f>
        <v/>
      </c>
      <c r="AL130" s="234">
        <f>IF(AL42=0,"",AL127/AL42)</f>
        <v>0.58588599999999991</v>
      </c>
      <c r="AM130" s="235">
        <f>IF(AM42=0,"",AM127/AM42)</f>
        <v>0.58588599999999991</v>
      </c>
      <c r="AN130" s="235"/>
      <c r="AO130" s="235">
        <f>IF(AO42=0,"",AO127/AO42)</f>
        <v>0.58588600000000002</v>
      </c>
      <c r="AP130" s="234">
        <f>IF(AP42=0,"",AP127/AP42)</f>
        <v>0.58588599999999991</v>
      </c>
      <c r="AQ130" s="235">
        <f>IF(AQ42=0,"",AQ127/AQ42)</f>
        <v>0.58588599999999991</v>
      </c>
      <c r="AR130" s="235"/>
      <c r="AS130" s="235">
        <f>IF(AS42=0,"",AS127/AS42)</f>
        <v>0.58588600000000002</v>
      </c>
      <c r="AT130" s="196"/>
    </row>
    <row r="131" spans="1:46" x14ac:dyDescent="0.35">
      <c r="A131" s="192"/>
      <c r="B131" s="196"/>
      <c r="E131" s="191"/>
      <c r="F131" s="196"/>
      <c r="I131" s="191"/>
      <c r="J131" s="196"/>
      <c r="M131" s="191"/>
      <c r="N131" s="196"/>
      <c r="Q131" s="191"/>
      <c r="R131" s="196"/>
      <c r="U131" s="191"/>
      <c r="V131" s="196"/>
      <c r="Y131" s="191"/>
      <c r="Z131" s="196"/>
      <c r="AC131" s="191"/>
      <c r="AD131" s="196"/>
      <c r="AG131" s="191"/>
      <c r="AH131" s="196"/>
      <c r="AK131" s="191"/>
      <c r="AL131" s="196"/>
      <c r="AP131" s="196"/>
      <c r="AT131" s="196"/>
    </row>
    <row r="132" spans="1:46" x14ac:dyDescent="0.35">
      <c r="A132" s="204" t="s">
        <v>452</v>
      </c>
      <c r="B132" s="198"/>
      <c r="C132" s="14"/>
      <c r="D132" s="14"/>
      <c r="E132" s="199"/>
      <c r="F132" s="198"/>
      <c r="G132" s="14"/>
      <c r="H132" s="14"/>
      <c r="I132" s="199"/>
      <c r="J132" s="198"/>
      <c r="K132" s="14"/>
      <c r="L132" s="14"/>
      <c r="M132" s="199"/>
      <c r="N132" s="198"/>
      <c r="O132" s="14"/>
      <c r="P132" s="14"/>
      <c r="Q132" s="199"/>
      <c r="R132" s="198"/>
      <c r="S132" s="14"/>
      <c r="T132" s="14"/>
      <c r="U132" s="199"/>
      <c r="V132" s="198"/>
      <c r="W132" s="14"/>
      <c r="X132" s="14"/>
      <c r="Y132" s="199"/>
      <c r="Z132" s="198"/>
      <c r="AA132" s="14"/>
      <c r="AB132" s="14"/>
      <c r="AC132" s="199"/>
      <c r="AD132" s="198"/>
      <c r="AE132" s="14"/>
      <c r="AF132" s="14"/>
      <c r="AG132" s="199"/>
      <c r="AH132" s="198"/>
      <c r="AI132" s="14"/>
      <c r="AJ132" s="14"/>
      <c r="AK132" s="199"/>
      <c r="AL132" s="198"/>
      <c r="AM132" s="14"/>
      <c r="AN132" s="14"/>
      <c r="AO132" s="14"/>
      <c r="AP132" s="198"/>
      <c r="AQ132" s="14"/>
      <c r="AR132" s="14"/>
      <c r="AS132" s="199"/>
    </row>
    <row r="133" spans="1:46" x14ac:dyDescent="0.35">
      <c r="A133" s="192" t="s">
        <v>390</v>
      </c>
      <c r="B133" s="215">
        <f t="shared" ref="B133:AS133" si="35">B40-B125</f>
        <v>5.0616481382212706E-3</v>
      </c>
      <c r="C133" s="56">
        <f t="shared" si="35"/>
        <v>3.9653973693120877E-5</v>
      </c>
      <c r="D133" s="56">
        <f t="shared" si="35"/>
        <v>3.1538745664540804E-2</v>
      </c>
      <c r="E133" s="214">
        <f t="shared" si="35"/>
        <v>2.0342054834166252E-2</v>
      </c>
      <c r="F133" s="215">
        <f t="shared" si="35"/>
        <v>0.37939577125951529</v>
      </c>
      <c r="G133" s="56">
        <f t="shared" si="35"/>
        <v>2.972263089408067E-3</v>
      </c>
      <c r="H133" s="56">
        <f t="shared" si="35"/>
        <v>2.1182514926964466</v>
      </c>
      <c r="I133" s="214">
        <f t="shared" si="35"/>
        <v>1.3689267226606592</v>
      </c>
      <c r="J133" s="215">
        <f t="shared" si="35"/>
        <v>7.6797064968130879</v>
      </c>
      <c r="K133" s="56">
        <f t="shared" si="35"/>
        <v>2.2730789869144633E-3</v>
      </c>
      <c r="L133" s="56">
        <f t="shared" si="35"/>
        <v>1.6251997270568816</v>
      </c>
      <c r="M133" s="214">
        <f t="shared" si="35"/>
        <v>1.0502266192446386</v>
      </c>
      <c r="N133" s="215">
        <f t="shared" si="35"/>
        <v>0.86717542170000006</v>
      </c>
      <c r="O133" s="56">
        <f t="shared" si="35"/>
        <v>6.7936273759828802E-3</v>
      </c>
      <c r="P133" s="56">
        <f t="shared" si="35"/>
        <v>4.7737085139804218</v>
      </c>
      <c r="Q133" s="214">
        <f t="shared" si="35"/>
        <v>3.0858521329781583</v>
      </c>
      <c r="R133" s="215">
        <f t="shared" si="35"/>
        <v>1.298619587895891</v>
      </c>
      <c r="S133" s="56">
        <f t="shared" si="35"/>
        <v>1.0173648102274311E-2</v>
      </c>
      <c r="T133" s="56">
        <f t="shared" si="35"/>
        <v>7.5197251222848642</v>
      </c>
      <c r="U133" s="214">
        <f t="shared" si="35"/>
        <v>4.8563644742653471</v>
      </c>
      <c r="V133" s="215">
        <f t="shared" si="35"/>
        <v>0</v>
      </c>
      <c r="W133" s="56">
        <f t="shared" si="35"/>
        <v>0</v>
      </c>
      <c r="X133" s="56">
        <f t="shared" si="35"/>
        <v>0</v>
      </c>
      <c r="Y133" s="214">
        <f t="shared" si="35"/>
        <v>0</v>
      </c>
      <c r="Z133" s="215">
        <f t="shared" si="35"/>
        <v>0</v>
      </c>
      <c r="AA133" s="56">
        <f t="shared" si="35"/>
        <v>0</v>
      </c>
      <c r="AB133" s="56">
        <f t="shared" si="35"/>
        <v>0</v>
      </c>
      <c r="AC133" s="214">
        <f t="shared" si="35"/>
        <v>0</v>
      </c>
      <c r="AD133" s="215">
        <f t="shared" si="35"/>
        <v>3.3904733515942038E-2</v>
      </c>
      <c r="AE133" s="56">
        <f t="shared" si="35"/>
        <v>7.8546602230090742E-3</v>
      </c>
      <c r="AF133" s="56">
        <f t="shared" si="35"/>
        <v>0</v>
      </c>
      <c r="AG133" s="214">
        <f t="shared" si="35"/>
        <v>3.8692453055058778</v>
      </c>
      <c r="AH133" s="215">
        <f t="shared" si="35"/>
        <v>5.3108942345670016</v>
      </c>
      <c r="AI133" s="56">
        <f t="shared" si="35"/>
        <v>4.1606617946081503E-2</v>
      </c>
      <c r="AJ133" s="56">
        <f t="shared" si="35"/>
        <v>29.235908202634469</v>
      </c>
      <c r="AK133" s="214">
        <f t="shared" si="35"/>
        <v>18.898868546841314</v>
      </c>
      <c r="AL133" s="215">
        <f t="shared" si="35"/>
        <v>0.21674564728300733</v>
      </c>
      <c r="AM133" s="56">
        <f t="shared" si="35"/>
        <v>1.6980291716759206E-3</v>
      </c>
      <c r="AN133" s="56">
        <f t="shared" si="35"/>
        <v>1.0826415462804397</v>
      </c>
      <c r="AO133" s="56">
        <f t="shared" si="35"/>
        <v>0.70121453270929213</v>
      </c>
      <c r="AP133" s="215">
        <f t="shared" si="35"/>
        <v>2.8884451500000008</v>
      </c>
      <c r="AQ133" s="56">
        <f t="shared" si="35"/>
        <v>1.3074338399374899E-2</v>
      </c>
      <c r="AR133" s="56">
        <f t="shared" si="35"/>
        <v>0</v>
      </c>
      <c r="AS133" s="214">
        <f t="shared" si="35"/>
        <v>0.51805862692708804</v>
      </c>
    </row>
    <row r="134" spans="1:46" x14ac:dyDescent="0.35">
      <c r="A134" s="192" t="s">
        <v>391</v>
      </c>
      <c r="B134" s="215">
        <f t="shared" ref="B134:AS134" si="36">B41-B126</f>
        <v>6.0814538888641589</v>
      </c>
      <c r="C134" s="56">
        <f t="shared" si="36"/>
        <v>4.7643337889087561E-2</v>
      </c>
      <c r="D134" s="56">
        <f t="shared" si="36"/>
        <v>36.612936432489519</v>
      </c>
      <c r="E134" s="214">
        <f t="shared" si="36"/>
        <v>24.440511292079137</v>
      </c>
      <c r="F134" s="215">
        <f t="shared" si="36"/>
        <v>7.8892443458524895</v>
      </c>
      <c r="G134" s="56">
        <f t="shared" si="36"/>
        <v>6.1805933404721639E-2</v>
      </c>
      <c r="H134" s="56">
        <f t="shared" si="36"/>
        <v>42.559363159203414</v>
      </c>
      <c r="I134" s="214">
        <f t="shared" si="36"/>
        <v>28.46578223785647</v>
      </c>
      <c r="J134" s="215">
        <f t="shared" si="36"/>
        <v>9.5233037193622194E-3</v>
      </c>
      <c r="K134" s="56">
        <f t="shared" si="36"/>
        <v>8.3097033554983379E-2</v>
      </c>
      <c r="L134" s="56">
        <f t="shared" si="36"/>
        <v>57.405355681869842</v>
      </c>
      <c r="M134" s="214">
        <f t="shared" si="36"/>
        <v>38.393173806147423</v>
      </c>
      <c r="N134" s="215">
        <f t="shared" si="36"/>
        <v>10.77942524792175</v>
      </c>
      <c r="O134" s="56">
        <f t="shared" si="36"/>
        <v>8.4448194251262695E-2</v>
      </c>
      <c r="P134" s="56">
        <f t="shared" si="36"/>
        <v>57.334921262614714</v>
      </c>
      <c r="Q134" s="214">
        <f t="shared" si="36"/>
        <v>38.358689097032041</v>
      </c>
      <c r="R134" s="215">
        <f t="shared" si="36"/>
        <v>5.7022144371112908</v>
      </c>
      <c r="S134" s="56">
        <f t="shared" si="36"/>
        <v>4.4672299438262633E-2</v>
      </c>
      <c r="T134" s="56">
        <f t="shared" si="36"/>
        <v>31.903493358317196</v>
      </c>
      <c r="U134" s="214">
        <f t="shared" si="36"/>
        <v>21.324206007009874</v>
      </c>
      <c r="V134" s="215">
        <f t="shared" si="36"/>
        <v>17.730775964999999</v>
      </c>
      <c r="W134" s="56">
        <f t="shared" si="36"/>
        <v>0.11112518365163281</v>
      </c>
      <c r="X134" s="56">
        <f t="shared" si="36"/>
        <v>43.289104002115067</v>
      </c>
      <c r="Y134" s="214">
        <f t="shared" si="36"/>
        <v>9.4444000654931504</v>
      </c>
      <c r="Z134" s="215">
        <f t="shared" si="36"/>
        <v>10.762581010755001</v>
      </c>
      <c r="AA134" s="56">
        <f t="shared" si="36"/>
        <v>8.4316233095676388E-2</v>
      </c>
      <c r="AB134" s="56">
        <f t="shared" si="36"/>
        <v>88.448514795631198</v>
      </c>
      <c r="AC134" s="214">
        <f t="shared" si="36"/>
        <v>32.656023913962358</v>
      </c>
      <c r="AD134" s="215">
        <f t="shared" si="36"/>
        <v>0.31665923862613243</v>
      </c>
      <c r="AE134" s="56">
        <f t="shared" si="36"/>
        <v>3.4173077570070549E-2</v>
      </c>
      <c r="AF134" s="56">
        <f t="shared" si="36"/>
        <v>39.999726545706906</v>
      </c>
      <c r="AG134" s="214">
        <f t="shared" si="36"/>
        <v>16.833830644303724</v>
      </c>
      <c r="AH134" s="215">
        <f t="shared" si="36"/>
        <v>2.3546381827640177</v>
      </c>
      <c r="AI134" s="56">
        <f t="shared" si="36"/>
        <v>1.8446711032931259E-2</v>
      </c>
      <c r="AJ134" s="56">
        <f t="shared" si="36"/>
        <v>12.524136649748502</v>
      </c>
      <c r="AK134" s="214">
        <f t="shared" si="36"/>
        <v>8.379002767894244</v>
      </c>
      <c r="AL134" s="215">
        <f t="shared" si="36"/>
        <v>1.7686789547518498</v>
      </c>
      <c r="AM134" s="56">
        <f t="shared" si="36"/>
        <v>1.3856188108712114E-2</v>
      </c>
      <c r="AN134" s="56">
        <f t="shared" si="36"/>
        <v>8.5360704541409085</v>
      </c>
      <c r="AO134" s="56">
        <f t="shared" si="36"/>
        <v>5.722022113550004</v>
      </c>
      <c r="AP134" s="215">
        <f t="shared" si="36"/>
        <v>12.566687465193752</v>
      </c>
      <c r="AQ134" s="56">
        <f t="shared" si="36"/>
        <v>5.6882203381679541E-2</v>
      </c>
      <c r="AR134" s="56">
        <f t="shared" si="36"/>
        <v>48.072895136899</v>
      </c>
      <c r="AS134" s="214">
        <f t="shared" si="36"/>
        <v>2.2539049610272581</v>
      </c>
    </row>
    <row r="135" spans="1:46" x14ac:dyDescent="0.35">
      <c r="A135" s="192" t="s">
        <v>392</v>
      </c>
      <c r="B135" s="215">
        <f t="shared" ref="B135:AS135" si="37">B42-B127</f>
        <v>0.16197274042308113</v>
      </c>
      <c r="C135" s="56">
        <f t="shared" si="37"/>
        <v>1.2689271581798713E-3</v>
      </c>
      <c r="D135" s="56">
        <f t="shared" si="37"/>
        <v>1.0092398612653084</v>
      </c>
      <c r="E135" s="214">
        <f t="shared" si="37"/>
        <v>0.65094575469332194</v>
      </c>
      <c r="F135" s="215">
        <f t="shared" si="37"/>
        <v>0</v>
      </c>
      <c r="G135" s="56">
        <f t="shared" si="37"/>
        <v>0</v>
      </c>
      <c r="H135" s="56">
        <f t="shared" si="37"/>
        <v>0</v>
      </c>
      <c r="I135" s="214">
        <f t="shared" si="37"/>
        <v>0</v>
      </c>
      <c r="J135" s="215">
        <f t="shared" si="37"/>
        <v>0</v>
      </c>
      <c r="K135" s="56">
        <f t="shared" si="37"/>
        <v>9.7309066998345134E-4</v>
      </c>
      <c r="L135" s="56">
        <f t="shared" si="37"/>
        <v>0.69573767579692736</v>
      </c>
      <c r="M135" s="214">
        <f t="shared" si="37"/>
        <v>0.44959534201777274</v>
      </c>
      <c r="N135" s="215">
        <f t="shared" si="37"/>
        <v>0</v>
      </c>
      <c r="O135" s="56">
        <f t="shared" si="37"/>
        <v>0</v>
      </c>
      <c r="P135" s="56">
        <f t="shared" si="37"/>
        <v>0</v>
      </c>
      <c r="Q135" s="214">
        <f t="shared" si="37"/>
        <v>0</v>
      </c>
      <c r="R135" s="215">
        <f t="shared" si="37"/>
        <v>0.54870380876399483</v>
      </c>
      <c r="S135" s="56">
        <f t="shared" si="37"/>
        <v>4.2986564462556311E-3</v>
      </c>
      <c r="T135" s="56">
        <f t="shared" si="37"/>
        <v>3.1772983049958334</v>
      </c>
      <c r="U135" s="214">
        <f t="shared" si="37"/>
        <v>2.0519524798583109</v>
      </c>
      <c r="V135" s="215">
        <f t="shared" si="37"/>
        <v>0</v>
      </c>
      <c r="W135" s="56">
        <f t="shared" si="37"/>
        <v>0</v>
      </c>
      <c r="X135" s="56">
        <f t="shared" si="37"/>
        <v>0</v>
      </c>
      <c r="Y135" s="214">
        <f t="shared" si="37"/>
        <v>0</v>
      </c>
      <c r="Z135" s="215">
        <f t="shared" si="37"/>
        <v>0</v>
      </c>
      <c r="AA135" s="56">
        <f t="shared" si="37"/>
        <v>0</v>
      </c>
      <c r="AB135" s="56">
        <f t="shared" si="37"/>
        <v>0</v>
      </c>
      <c r="AC135" s="214">
        <f t="shared" si="37"/>
        <v>0</v>
      </c>
      <c r="AD135" s="215">
        <f t="shared" si="37"/>
        <v>0</v>
      </c>
      <c r="AE135" s="56">
        <f t="shared" si="37"/>
        <v>6.6764611895577114E-3</v>
      </c>
      <c r="AF135" s="56">
        <f t="shared" si="37"/>
        <v>0</v>
      </c>
      <c r="AG135" s="214">
        <f t="shared" si="37"/>
        <v>3.2888585096799963</v>
      </c>
      <c r="AH135" s="215">
        <f t="shared" si="37"/>
        <v>0</v>
      </c>
      <c r="AI135" s="56">
        <f t="shared" si="37"/>
        <v>0</v>
      </c>
      <c r="AJ135" s="56">
        <f t="shared" si="37"/>
        <v>0</v>
      </c>
      <c r="AK135" s="214">
        <f t="shared" si="37"/>
        <v>0</v>
      </c>
      <c r="AL135" s="215">
        <f t="shared" si="37"/>
        <v>3.9008687285245331</v>
      </c>
      <c r="AM135" s="56">
        <f t="shared" si="37"/>
        <v>3.0560193383095964E-2</v>
      </c>
      <c r="AN135" s="56">
        <f t="shared" si="37"/>
        <v>19.484785992368629</v>
      </c>
      <c r="AO135" s="56">
        <f t="shared" si="37"/>
        <v>12.620072776183811</v>
      </c>
      <c r="AP135" s="215">
        <f t="shared" si="37"/>
        <v>2.4551783775000002</v>
      </c>
      <c r="AQ135" s="56">
        <f t="shared" si="37"/>
        <v>1.1113187639468666E-2</v>
      </c>
      <c r="AR135" s="56">
        <f t="shared" si="37"/>
        <v>0</v>
      </c>
      <c r="AS135" s="214">
        <f t="shared" si="37"/>
        <v>0.44034983288802476</v>
      </c>
    </row>
    <row r="136" spans="1:46" x14ac:dyDescent="0.35">
      <c r="A136" s="217" t="s">
        <v>453</v>
      </c>
      <c r="B136" s="237"/>
      <c r="E136" s="202">
        <f>SUM(B133:E135)</f>
        <v>69.062954337472434</v>
      </c>
      <c r="F136" s="237"/>
      <c r="I136" s="202">
        <f>SUM(F133:I135)</f>
        <v>82.845741926023123</v>
      </c>
      <c r="J136" s="237"/>
      <c r="M136" s="202">
        <f>SUM(J133:M135)</f>
        <v>107.39486185587783</v>
      </c>
      <c r="N136" s="237"/>
      <c r="Q136" s="202">
        <f>SUM(N133:Q135)</f>
        <v>115.29101349785434</v>
      </c>
      <c r="R136" s="237"/>
      <c r="U136" s="202">
        <f>SUM(R133:U135)</f>
        <v>78.441722184489379</v>
      </c>
      <c r="V136" s="237"/>
      <c r="Y136" s="202">
        <f>SUM(V133:Y135)</f>
        <v>70.575405216259853</v>
      </c>
      <c r="Z136" s="237"/>
      <c r="AC136" s="202">
        <f>SUM(Z133:AC135)</f>
        <v>131.95143595344422</v>
      </c>
      <c r="AD136" s="237"/>
      <c r="AG136" s="202">
        <f>SUM(AD133:AG135)</f>
        <v>64.390929176321208</v>
      </c>
      <c r="AH136" s="237"/>
      <c r="AK136" s="202">
        <f>SUM(AH133:AK135)</f>
        <v>76.76350191342857</v>
      </c>
      <c r="AL136" s="237"/>
      <c r="AO136" s="201">
        <f>SUM(AL133:AO135)</f>
        <v>54.079215156455952</v>
      </c>
      <c r="AP136" s="237"/>
      <c r="AS136" s="202">
        <f>SUM(AP133:AS135)</f>
        <v>69.276589279855656</v>
      </c>
    </row>
    <row r="137" spans="1:46" x14ac:dyDescent="0.35">
      <c r="A137" s="172"/>
      <c r="B137" s="196"/>
      <c r="E137" s="191"/>
      <c r="F137" s="196"/>
      <c r="I137" s="191"/>
      <c r="J137" s="196"/>
      <c r="M137" s="191"/>
      <c r="N137" s="196"/>
      <c r="Q137" s="191"/>
      <c r="R137" s="196"/>
      <c r="U137" s="191"/>
      <c r="V137" s="196"/>
      <c r="Y137" s="191"/>
      <c r="Z137" s="196"/>
      <c r="AC137" s="191"/>
      <c r="AD137" s="196"/>
      <c r="AG137" s="191"/>
      <c r="AH137" s="196"/>
      <c r="AK137" s="191"/>
      <c r="AL137" s="196"/>
      <c r="AP137" s="196"/>
      <c r="AS137" s="191"/>
    </row>
    <row r="138" spans="1:46" x14ac:dyDescent="0.35">
      <c r="A138" s="204" t="s">
        <v>454</v>
      </c>
      <c r="B138" s="198"/>
      <c r="C138" s="14"/>
      <c r="D138" s="14"/>
      <c r="E138" s="199"/>
      <c r="F138" s="198"/>
      <c r="G138" s="14"/>
      <c r="H138" s="14"/>
      <c r="I138" s="199"/>
      <c r="J138" s="198"/>
      <c r="K138" s="14"/>
      <c r="L138" s="14"/>
      <c r="M138" s="199"/>
      <c r="N138" s="198"/>
      <c r="O138" s="14"/>
      <c r="P138" s="14"/>
      <c r="Q138" s="199"/>
      <c r="R138" s="198"/>
      <c r="S138" s="14"/>
      <c r="T138" s="14"/>
      <c r="U138" s="199"/>
      <c r="V138" s="198"/>
      <c r="W138" s="14"/>
      <c r="X138" s="14"/>
      <c r="Y138" s="199"/>
      <c r="Z138" s="198"/>
      <c r="AA138" s="14"/>
      <c r="AB138" s="14"/>
      <c r="AC138" s="199"/>
      <c r="AD138" s="198"/>
      <c r="AE138" s="14"/>
      <c r="AF138" s="14"/>
      <c r="AG138" s="199"/>
      <c r="AH138" s="198"/>
      <c r="AI138" s="14"/>
      <c r="AJ138" s="14"/>
      <c r="AK138" s="199"/>
      <c r="AL138" s="198"/>
      <c r="AM138" s="14"/>
      <c r="AN138" s="14"/>
      <c r="AO138" s="14"/>
      <c r="AP138" s="198"/>
      <c r="AQ138" s="14"/>
      <c r="AR138" s="14"/>
      <c r="AS138" s="199"/>
    </row>
    <row r="139" spans="1:46" x14ac:dyDescent="0.35">
      <c r="A139" s="192" t="s">
        <v>455</v>
      </c>
      <c r="B139" s="228">
        <f>E136/Production!B40</f>
        <v>3.5548403112017471E-2</v>
      </c>
      <c r="E139" s="191"/>
      <c r="F139" s="228">
        <f>I136/Production!C40</f>
        <v>4.513759317898338E-2</v>
      </c>
      <c r="I139" s="191"/>
      <c r="J139" s="228">
        <f>M136/Production!D40</f>
        <v>5.6006767403956423E-2</v>
      </c>
      <c r="M139" s="191"/>
      <c r="N139" s="228">
        <f>Q136/Production!E40</f>
        <v>6.3514206992500724E-2</v>
      </c>
      <c r="Q139" s="191"/>
      <c r="R139" s="228">
        <f>U136/Production!F40</f>
        <v>4.3189976556053861E-2</v>
      </c>
      <c r="U139" s="191"/>
      <c r="V139" s="228">
        <f>Y136/Production!G40</f>
        <v>3.9078101839312367E-2</v>
      </c>
      <c r="Y139" s="191"/>
      <c r="Z139" s="228">
        <f>AC136/Production!H40</f>
        <v>6.0081640733907572E-2</v>
      </c>
      <c r="AC139" s="191"/>
      <c r="AD139" s="228">
        <f>AG136/Production!I40</f>
        <v>3.088216393934208E-2</v>
      </c>
      <c r="AG139" s="191"/>
      <c r="AH139" s="228">
        <f>AK136/Production!J40</f>
        <v>4.2289271315057574E-2</v>
      </c>
      <c r="AK139" s="191"/>
      <c r="AL139" s="228">
        <f>AO136/Production!K40</f>
        <v>3.4704430889258786E-2</v>
      </c>
      <c r="AP139" s="228">
        <f>AS136/Production!L40</f>
        <v>3.9927773338626925E-2</v>
      </c>
      <c r="AS139" s="191"/>
    </row>
    <row r="140" spans="1:46" x14ac:dyDescent="0.35">
      <c r="A140" s="192"/>
      <c r="B140" s="228"/>
      <c r="E140" s="191"/>
      <c r="F140" s="228"/>
      <c r="I140" s="191"/>
      <c r="J140" s="228"/>
      <c r="M140" s="191"/>
      <c r="N140" s="228"/>
      <c r="Q140" s="191"/>
      <c r="R140" s="228"/>
      <c r="U140" s="191"/>
      <c r="V140" s="228"/>
      <c r="Y140" s="191"/>
      <c r="Z140" s="228"/>
      <c r="AC140" s="191"/>
      <c r="AD140" s="228"/>
      <c r="AG140" s="191"/>
      <c r="AH140" s="228"/>
      <c r="AK140" s="191"/>
      <c r="AL140" s="228"/>
      <c r="AP140" s="228"/>
      <c r="AS140" s="191"/>
    </row>
    <row r="141" spans="1:46" x14ac:dyDescent="0.35">
      <c r="A141" s="204" t="s">
        <v>456</v>
      </c>
      <c r="B141" s="238"/>
      <c r="C141" s="14"/>
      <c r="D141" s="14"/>
      <c r="E141" s="199"/>
      <c r="F141" s="238"/>
      <c r="G141" s="14"/>
      <c r="H141" s="14"/>
      <c r="I141" s="199"/>
      <c r="J141" s="238"/>
      <c r="K141" s="14"/>
      <c r="L141" s="14"/>
      <c r="M141" s="199"/>
      <c r="N141" s="238"/>
      <c r="O141" s="14"/>
      <c r="P141" s="14"/>
      <c r="Q141" s="199"/>
      <c r="R141" s="238"/>
      <c r="S141" s="14"/>
      <c r="T141" s="14"/>
      <c r="U141" s="199"/>
      <c r="V141" s="238"/>
      <c r="W141" s="14"/>
      <c r="X141" s="14"/>
      <c r="Y141" s="199"/>
      <c r="Z141" s="238"/>
      <c r="AA141" s="14"/>
      <c r="AB141" s="14"/>
      <c r="AC141" s="199"/>
      <c r="AD141" s="238"/>
      <c r="AE141" s="14"/>
      <c r="AF141" s="14"/>
      <c r="AG141" s="199"/>
      <c r="AH141" s="238"/>
      <c r="AI141" s="14"/>
      <c r="AJ141" s="14"/>
      <c r="AK141" s="199"/>
      <c r="AL141" s="238"/>
      <c r="AM141" s="14"/>
      <c r="AN141" s="14"/>
      <c r="AO141" s="14"/>
      <c r="AP141" s="238"/>
      <c r="AQ141" s="14"/>
      <c r="AR141" s="14"/>
      <c r="AS141" s="199"/>
    </row>
    <row r="142" spans="1:46" x14ac:dyDescent="0.35">
      <c r="A142" s="192" t="s">
        <v>457</v>
      </c>
      <c r="B142" s="228"/>
      <c r="E142" s="209">
        <f>(E54+E78+E113)*17/14</f>
        <v>3.3340711596380766E-2</v>
      </c>
      <c r="F142" s="228"/>
      <c r="I142" s="209">
        <f>(I54+I78+I113)*17/14</f>
        <v>4.2563956084093614E-2</v>
      </c>
      <c r="J142" s="228"/>
      <c r="M142" s="209">
        <f>(M54+M78+M113)*17/14</f>
        <v>5.3986271406216021E-2</v>
      </c>
      <c r="N142" s="228"/>
      <c r="Q142" s="209">
        <f>(Q54+Q78+Q113)*17/14</f>
        <v>6.0407184832212371E-2</v>
      </c>
      <c r="R142" s="228"/>
      <c r="U142" s="209">
        <f>(U54+U78+U113)*17/14</f>
        <v>4.3172126278229361E-2</v>
      </c>
      <c r="V142" s="228"/>
      <c r="Y142" s="209">
        <f>(Y54+Y78+Y113)*17/14</f>
        <v>3.6525030852623666E-2</v>
      </c>
      <c r="Z142" s="228"/>
      <c r="AC142" s="209">
        <f>(AC54+AC78+AC113)*17/14</f>
        <v>5.6376197146875709E-2</v>
      </c>
      <c r="AD142" s="228"/>
      <c r="AG142" s="209">
        <f>(AG54+AG78+AG113)*17/14</f>
        <v>2.9998296562172073E-2</v>
      </c>
      <c r="AH142" s="228"/>
      <c r="AK142" s="209">
        <f>(AK54+AK78+AK113)*17/14</f>
        <v>4.7589058148439348E-2</v>
      </c>
      <c r="AL142" s="228"/>
      <c r="AO142" s="209">
        <f>(AO54+AO78+AO113)*17/14</f>
        <v>3.9116290570225851E-2</v>
      </c>
      <c r="AP142" s="228"/>
      <c r="AS142" s="209">
        <f>(AS54+AS78+AS113)*17/14</f>
        <v>3.8705514856811278E-2</v>
      </c>
    </row>
    <row r="143" spans="1:46" x14ac:dyDescent="0.35">
      <c r="A143" s="239"/>
      <c r="B143" s="240"/>
      <c r="C143" s="241"/>
      <c r="D143" s="241"/>
      <c r="E143" s="242"/>
      <c r="F143" s="240"/>
      <c r="G143" s="241"/>
      <c r="H143" s="241"/>
      <c r="I143" s="242"/>
      <c r="J143" s="240"/>
      <c r="K143" s="241"/>
      <c r="L143" s="241"/>
      <c r="M143" s="242"/>
      <c r="N143" s="240"/>
      <c r="O143" s="241"/>
      <c r="P143" s="241"/>
      <c r="Q143" s="242"/>
      <c r="R143" s="240"/>
      <c r="S143" s="241"/>
      <c r="T143" s="241"/>
      <c r="U143" s="242"/>
      <c r="V143" s="240"/>
      <c r="W143" s="241"/>
      <c r="X143" s="241"/>
      <c r="Y143" s="242"/>
      <c r="Z143" s="240"/>
      <c r="AA143" s="241"/>
      <c r="AB143" s="241"/>
      <c r="AC143" s="242"/>
      <c r="AD143" s="240"/>
      <c r="AE143" s="241"/>
      <c r="AF143" s="241"/>
      <c r="AG143" s="242"/>
      <c r="AH143" s="240"/>
      <c r="AI143" s="241"/>
      <c r="AJ143" s="241"/>
      <c r="AK143" s="242"/>
      <c r="AL143" s="240"/>
      <c r="AM143" s="241"/>
      <c r="AN143" s="241"/>
      <c r="AO143" s="241"/>
      <c r="AP143" s="240"/>
      <c r="AQ143" s="241"/>
      <c r="AR143" s="241"/>
      <c r="AS143" s="242"/>
    </row>
    <row r="144" spans="1:46" x14ac:dyDescent="0.35">
      <c r="A144" s="243"/>
      <c r="AP144" s="18"/>
    </row>
    <row r="145" spans="2:25" x14ac:dyDescent="0.35">
      <c r="B145" s="99"/>
      <c r="C145" s="99"/>
      <c r="D145" s="99"/>
      <c r="E145" s="99"/>
      <c r="V145" s="112"/>
      <c r="W145" s="112"/>
      <c r="X145" s="112"/>
      <c r="Y145" s="11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DEEBF7"/>
  </sheetPr>
  <dimension ref="A2:S137"/>
  <sheetViews>
    <sheetView topLeftCell="C1" zoomScale="80" zoomScaleNormal="80" workbookViewId="0">
      <selection activeCell="R1" sqref="R1"/>
    </sheetView>
  </sheetViews>
  <sheetFormatPr defaultColWidth="8.6328125" defaultRowHeight="14.5" x14ac:dyDescent="0.35"/>
  <cols>
    <col min="1" max="1" width="8.54296875" customWidth="1"/>
    <col min="2" max="2" width="30.453125" customWidth="1"/>
    <col min="3" max="3" width="19" customWidth="1"/>
    <col min="4" max="4" width="12.54296875" customWidth="1"/>
    <col min="5" max="5" width="10.453125" customWidth="1"/>
    <col min="6" max="6" width="12.54296875" style="16" customWidth="1"/>
    <col min="7" max="11" width="12.54296875" customWidth="1"/>
    <col min="12" max="12" width="14.453125" customWidth="1"/>
    <col min="13" max="18" width="12.54296875" customWidth="1"/>
  </cols>
  <sheetData>
    <row r="2" spans="1:19" ht="21" customHeight="1" x14ac:dyDescent="0.5">
      <c r="A2" s="8" t="s">
        <v>458</v>
      </c>
      <c r="G2" t="s">
        <v>459</v>
      </c>
    </row>
    <row r="3" spans="1:19" x14ac:dyDescent="0.35">
      <c r="I3" s="23"/>
      <c r="J3" s="23"/>
      <c r="K3" s="23"/>
      <c r="L3" s="23"/>
      <c r="M3" s="23"/>
      <c r="N3" s="23"/>
      <c r="O3" s="23"/>
      <c r="P3" s="23"/>
    </row>
    <row r="4" spans="1:19" ht="28.5" customHeight="1" x14ac:dyDescent="0.35">
      <c r="A4" s="244" t="s">
        <v>460</v>
      </c>
      <c r="B4" s="245"/>
      <c r="C4" s="245"/>
      <c r="D4" s="245"/>
      <c r="E4" s="245"/>
      <c r="F4" s="246" t="s">
        <v>106</v>
      </c>
      <c r="G4" s="247" t="s">
        <v>107</v>
      </c>
      <c r="H4" s="248"/>
      <c r="I4" s="247" t="s">
        <v>108</v>
      </c>
      <c r="J4" s="249"/>
      <c r="K4" s="247" t="s">
        <v>109</v>
      </c>
      <c r="L4" s="249"/>
      <c r="M4" s="249"/>
      <c r="N4" s="249"/>
      <c r="O4" s="250" t="s">
        <v>110</v>
      </c>
      <c r="P4" s="250" t="s">
        <v>111</v>
      </c>
      <c r="Q4" s="251" t="s">
        <v>112</v>
      </c>
      <c r="R4" s="247" t="s">
        <v>461</v>
      </c>
    </row>
    <row r="5" spans="1:19" ht="47.25" customHeight="1" x14ac:dyDescent="0.35">
      <c r="A5" s="252" t="s">
        <v>14</v>
      </c>
      <c r="B5" s="252" t="s">
        <v>460</v>
      </c>
      <c r="C5" s="252" t="s">
        <v>462</v>
      </c>
      <c r="D5" s="252" t="s">
        <v>17</v>
      </c>
      <c r="E5" s="253" t="s">
        <v>18</v>
      </c>
      <c r="F5" s="254"/>
      <c r="G5" s="255" t="s">
        <v>68</v>
      </c>
      <c r="H5" s="255" t="s">
        <v>69</v>
      </c>
      <c r="I5" s="255" t="s">
        <v>463</v>
      </c>
      <c r="J5" s="255" t="s">
        <v>464</v>
      </c>
      <c r="K5" s="255" t="s">
        <v>118</v>
      </c>
      <c r="L5" s="255" t="s">
        <v>119</v>
      </c>
      <c r="M5" s="255" t="s">
        <v>120</v>
      </c>
      <c r="N5" s="255" t="s">
        <v>121</v>
      </c>
      <c r="O5" s="255" t="s">
        <v>122</v>
      </c>
      <c r="P5" s="255"/>
      <c r="Q5" s="253" t="s">
        <v>465</v>
      </c>
      <c r="R5" s="255"/>
    </row>
    <row r="6" spans="1:19" x14ac:dyDescent="0.35">
      <c r="A6" s="256" t="s">
        <v>466</v>
      </c>
      <c r="B6" s="16" t="s">
        <v>226</v>
      </c>
      <c r="C6" s="16" t="s">
        <v>467</v>
      </c>
      <c r="D6" s="257" t="s">
        <v>83</v>
      </c>
      <c r="E6" s="257" t="s">
        <v>39</v>
      </c>
      <c r="F6" s="258">
        <f t="shared" ref="F6:F16" si="0">SUM(G6:Q6)</f>
        <v>0.19835268831988837</v>
      </c>
      <c r="G6" s="259">
        <v>9.5923455349377004E-2</v>
      </c>
      <c r="H6" s="259">
        <v>2.7E-2</v>
      </c>
      <c r="I6" s="259">
        <v>0</v>
      </c>
      <c r="J6" s="259"/>
      <c r="K6" s="259">
        <v>3.3556503358935202E-2</v>
      </c>
      <c r="L6" s="259">
        <v>0</v>
      </c>
      <c r="M6" s="259">
        <v>0</v>
      </c>
      <c r="N6" s="259">
        <v>4.0440240704547999E-2</v>
      </c>
      <c r="O6" s="259">
        <v>1.43248890702816E-3</v>
      </c>
      <c r="P6" s="259"/>
      <c r="R6" s="260">
        <f>'Parameters, country spec'!B54</f>
        <v>0.32616215478819699</v>
      </c>
    </row>
    <row r="7" spans="1:19" x14ac:dyDescent="0.35">
      <c r="A7" s="256" t="s">
        <v>468</v>
      </c>
      <c r="B7" s="16" t="s">
        <v>229</v>
      </c>
      <c r="C7" s="16" t="s">
        <v>467</v>
      </c>
      <c r="D7" s="257" t="s">
        <v>83</v>
      </c>
      <c r="E7" s="257" t="s">
        <v>39</v>
      </c>
      <c r="F7" s="258">
        <f t="shared" si="0"/>
        <v>0.11879102667902652</v>
      </c>
      <c r="G7" s="259">
        <v>1.8958167491456901E-2</v>
      </c>
      <c r="H7" s="259">
        <v>2.7E-2</v>
      </c>
      <c r="I7" s="259">
        <v>0</v>
      </c>
      <c r="J7" s="259"/>
      <c r="K7" s="259">
        <v>2.4386625784786099E-2</v>
      </c>
      <c r="L7" s="259">
        <v>0</v>
      </c>
      <c r="M7" s="259">
        <v>0</v>
      </c>
      <c r="N7" s="259">
        <v>4.0440240704547999E-2</v>
      </c>
      <c r="O7" s="259">
        <v>8.0059926982355405E-3</v>
      </c>
      <c r="P7" s="259"/>
      <c r="R7" s="260">
        <f>'Parameters, country spec'!B55</f>
        <v>0</v>
      </c>
    </row>
    <row r="8" spans="1:19" x14ac:dyDescent="0.35">
      <c r="A8" s="256" t="s">
        <v>469</v>
      </c>
      <c r="B8" s="16" t="s">
        <v>232</v>
      </c>
      <c r="C8" s="16" t="s">
        <v>467</v>
      </c>
      <c r="D8" s="257" t="s">
        <v>83</v>
      </c>
      <c r="E8" s="257" t="s">
        <v>39</v>
      </c>
      <c r="F8" s="258">
        <f t="shared" si="0"/>
        <v>0.21014937397186484</v>
      </c>
      <c r="G8" s="259">
        <v>9.3216390865701701E-2</v>
      </c>
      <c r="H8" s="259">
        <v>2.7E-2</v>
      </c>
      <c r="I8" s="259">
        <v>0</v>
      </c>
      <c r="J8" s="259"/>
      <c r="K8" s="259">
        <v>3.6803932914955199E-2</v>
      </c>
      <c r="L8" s="259">
        <v>0</v>
      </c>
      <c r="M8" s="259">
        <v>4.9511763574970203E-7</v>
      </c>
      <c r="N8" s="259">
        <v>4.0440240704547999E-2</v>
      </c>
      <c r="O8" s="259">
        <v>1.2688314369024199E-2</v>
      </c>
      <c r="P8" s="259"/>
      <c r="R8" s="260">
        <f>'Parameters, country spec'!B56</f>
        <v>0</v>
      </c>
    </row>
    <row r="9" spans="1:19" x14ac:dyDescent="0.35">
      <c r="A9" s="256" t="s">
        <v>470</v>
      </c>
      <c r="B9" s="16" t="s">
        <v>235</v>
      </c>
      <c r="C9" s="16" t="s">
        <v>467</v>
      </c>
      <c r="D9" s="257" t="s">
        <v>83</v>
      </c>
      <c r="E9" s="257" t="s">
        <v>39</v>
      </c>
      <c r="F9" s="258">
        <f t="shared" si="0"/>
        <v>0.1902811689127652</v>
      </c>
      <c r="G9" s="259">
        <v>7.9062197914838997E-2</v>
      </c>
      <c r="H9" s="259">
        <v>2.7E-2</v>
      </c>
      <c r="I9" s="259">
        <v>0</v>
      </c>
      <c r="J9" s="259"/>
      <c r="K9" s="259">
        <v>3.2116032674916598E-2</v>
      </c>
      <c r="L9" s="259">
        <v>0</v>
      </c>
      <c r="M9" s="259">
        <v>1.8594204821412199E-4</v>
      </c>
      <c r="N9" s="259">
        <v>4.0440240704547999E-2</v>
      </c>
      <c r="O9" s="259">
        <v>1.14767555702475E-2</v>
      </c>
      <c r="P9" s="259"/>
      <c r="R9" s="260">
        <f>'Parameters, country spec'!B57</f>
        <v>0</v>
      </c>
    </row>
    <row r="10" spans="1:19" x14ac:dyDescent="0.35">
      <c r="A10" s="256" t="s">
        <v>471</v>
      </c>
      <c r="B10" s="16" t="s">
        <v>237</v>
      </c>
      <c r="C10" s="16" t="s">
        <v>467</v>
      </c>
      <c r="D10" s="257" t="s">
        <v>83</v>
      </c>
      <c r="E10" s="257" t="s">
        <v>39</v>
      </c>
      <c r="F10" s="258">
        <f t="shared" si="0"/>
        <v>0.17213603280221426</v>
      </c>
      <c r="G10" s="259">
        <v>7.8082582640392695E-2</v>
      </c>
      <c r="H10" s="259">
        <v>2.7E-2</v>
      </c>
      <c r="I10" s="259">
        <v>0</v>
      </c>
      <c r="J10" s="259"/>
      <c r="K10" s="259">
        <v>2.5110163258381502E-2</v>
      </c>
      <c r="L10" s="259">
        <v>0</v>
      </c>
      <c r="M10" s="259">
        <v>1.46976759244913E-4</v>
      </c>
      <c r="N10" s="259">
        <v>4.0440240704547999E-2</v>
      </c>
      <c r="O10" s="259">
        <v>1.3560694396471599E-3</v>
      </c>
      <c r="P10" s="259"/>
      <c r="R10" s="260">
        <f>'Parameters, country spec'!B58</f>
        <v>0.37907027616944244</v>
      </c>
    </row>
    <row r="11" spans="1:19" x14ac:dyDescent="0.35">
      <c r="A11" s="256" t="s">
        <v>472</v>
      </c>
      <c r="B11" s="16" t="s">
        <v>239</v>
      </c>
      <c r="C11" s="16" t="s">
        <v>473</v>
      </c>
      <c r="D11" s="257" t="s">
        <v>83</v>
      </c>
      <c r="E11" s="257" t="s">
        <v>39</v>
      </c>
      <c r="F11" s="258">
        <f t="shared" si="0"/>
        <v>0.16649179682173021</v>
      </c>
      <c r="G11" s="261">
        <v>0</v>
      </c>
      <c r="H11" s="259">
        <v>2.7E-2</v>
      </c>
      <c r="I11" s="259">
        <v>0</v>
      </c>
      <c r="J11" s="259"/>
      <c r="K11" s="259">
        <v>4.9539466455450903E-2</v>
      </c>
      <c r="L11" s="259">
        <v>0</v>
      </c>
      <c r="M11" s="259">
        <v>1.42568630868594E-2</v>
      </c>
      <c r="N11" s="259">
        <v>4.0440240704547999E-2</v>
      </c>
      <c r="O11" s="259">
        <v>3.5255226574871901E-2</v>
      </c>
      <c r="P11" s="259"/>
      <c r="R11" s="260">
        <f>'Parameters, country spec'!B59</f>
        <v>0</v>
      </c>
    </row>
    <row r="12" spans="1:19" x14ac:dyDescent="0.35">
      <c r="A12" s="256" t="s">
        <v>474</v>
      </c>
      <c r="B12" s="16" t="s">
        <v>241</v>
      </c>
      <c r="C12" s="16" t="s">
        <v>473</v>
      </c>
      <c r="D12" s="257" t="s">
        <v>83</v>
      </c>
      <c r="E12" s="257" t="s">
        <v>39</v>
      </c>
      <c r="F12" s="258">
        <f t="shared" si="0"/>
        <v>0.2328017021900203</v>
      </c>
      <c r="G12" s="259">
        <v>0</v>
      </c>
      <c r="H12" s="259">
        <v>2.7E-2</v>
      </c>
      <c r="I12" s="259">
        <v>0</v>
      </c>
      <c r="J12" s="259"/>
      <c r="K12" s="259">
        <v>4.6022206218492699E-2</v>
      </c>
      <c r="L12" s="259">
        <v>0</v>
      </c>
      <c r="M12" s="259">
        <v>1.9421122100326E-2</v>
      </c>
      <c r="N12" s="259">
        <v>4.0440240704547999E-2</v>
      </c>
      <c r="O12" s="259">
        <v>9.99181331666536E-2</v>
      </c>
      <c r="P12" s="259"/>
      <c r="R12" s="260">
        <f>'Parameters, country spec'!B60</f>
        <v>0</v>
      </c>
    </row>
    <row r="13" spans="1:19" x14ac:dyDescent="0.35">
      <c r="B13" s="18" t="s">
        <v>242</v>
      </c>
      <c r="C13" s="16" t="s">
        <v>475</v>
      </c>
      <c r="D13" s="257" t="s">
        <v>476</v>
      </c>
      <c r="E13" s="257"/>
      <c r="F13" s="258">
        <f t="shared" si="0"/>
        <v>0.27085685084992933</v>
      </c>
      <c r="G13" s="53">
        <f>'Off-farm feed'!$F$74</f>
        <v>0.11176753125767698</v>
      </c>
      <c r="H13" s="53">
        <f>'Off-farm feed'!$G$74</f>
        <v>1.3034482758620692E-2</v>
      </c>
      <c r="I13" s="53">
        <f>'Off-farm feed'!$H$74</f>
        <v>0</v>
      </c>
      <c r="J13" s="53"/>
      <c r="K13" s="53">
        <f>'Off-farm feed'!$J$74</f>
        <v>2.4688740026345465E-2</v>
      </c>
      <c r="L13" s="53"/>
      <c r="M13" s="115">
        <f>'Off-farm feed'!$L$74</f>
        <v>1.9317593037941337E-4</v>
      </c>
      <c r="N13" s="53">
        <f>'Off-farm feed'!$M$74</f>
        <v>3.6802128767029069E-2</v>
      </c>
      <c r="O13" s="53">
        <f>'Off-farm feed'!$N$74</f>
        <v>0</v>
      </c>
      <c r="P13" s="53">
        <f>'Off-farm feed'!$O$74</f>
        <v>2.1170792109877701E-2</v>
      </c>
      <c r="Q13" s="53">
        <f>'Off-farm feed'!$P$74</f>
        <v>6.3200000000000006E-2</v>
      </c>
      <c r="R13" s="260">
        <f>'Parameters, country spec'!B61</f>
        <v>4.4767569042360608E-2</v>
      </c>
    </row>
    <row r="14" spans="1:19" x14ac:dyDescent="0.35">
      <c r="B14" s="18" t="s">
        <v>477</v>
      </c>
      <c r="C14" s="16" t="s">
        <v>475</v>
      </c>
      <c r="D14" s="257" t="s">
        <v>478</v>
      </c>
      <c r="E14" s="257"/>
      <c r="F14" s="258">
        <f t="shared" si="0"/>
        <v>0.7061171705997602</v>
      </c>
      <c r="G14" s="53">
        <f>'Off-farm feed'!$F$23</f>
        <v>7.2632670993099079E-3</v>
      </c>
      <c r="H14" s="53">
        <f>'Off-farm feed'!$G$23</f>
        <v>2.1402439024390246E-2</v>
      </c>
      <c r="I14" s="53">
        <f>'Off-farm feed'!$H$23</f>
        <v>0</v>
      </c>
      <c r="J14" s="53"/>
      <c r="K14" s="53">
        <f>'Off-farm feed'!$J$23</f>
        <v>4.3083619664332357E-2</v>
      </c>
      <c r="L14" s="53"/>
      <c r="M14" s="115">
        <f>'Off-farm feed'!$L$23</f>
        <v>1.7842060425123844E-4</v>
      </c>
      <c r="N14" s="53">
        <f>'Off-farm feed'!$M$23</f>
        <v>3.0432604948959392E-2</v>
      </c>
      <c r="O14" s="53">
        <f>'Off-farm feed'!$N$23</f>
        <v>0.31761120248475611</v>
      </c>
      <c r="P14" s="53">
        <f>'Off-farm feed'!$O$23</f>
        <v>3.5145616773760872E-2</v>
      </c>
      <c r="Q14" s="53">
        <f>'Off-farm feed'!$P$23</f>
        <v>0.251</v>
      </c>
      <c r="R14" s="260">
        <f>'Parameters, country spec'!B62</f>
        <v>0.10953513808472121</v>
      </c>
    </row>
    <row r="15" spans="1:19" x14ac:dyDescent="0.35">
      <c r="B15" s="16" t="s">
        <v>244</v>
      </c>
      <c r="C15" s="16" t="s">
        <v>479</v>
      </c>
      <c r="D15" s="257" t="s">
        <v>83</v>
      </c>
      <c r="E15" s="257" t="s">
        <v>39</v>
      </c>
      <c r="F15" s="258">
        <f t="shared" si="0"/>
        <v>0.55277306375924962</v>
      </c>
      <c r="G15" s="133">
        <v>7.0274324376353404E-3</v>
      </c>
      <c r="H15" s="129">
        <v>2.4299999999999999E-3</v>
      </c>
      <c r="I15" s="129"/>
      <c r="J15" s="118"/>
      <c r="K15" s="133">
        <v>2.2599146932543398E-3</v>
      </c>
      <c r="L15" s="118">
        <v>0</v>
      </c>
      <c r="M15" s="118">
        <v>1.32279083320422E-5</v>
      </c>
      <c r="N15" s="133">
        <v>3.6396216634093201E-3</v>
      </c>
      <c r="O15" s="118">
        <v>1.22046249568244E-4</v>
      </c>
      <c r="P15" s="129">
        <v>0.52550926010708199</v>
      </c>
      <c r="Q15" s="129">
        <v>1.1771560699968301E-2</v>
      </c>
      <c r="R15" s="260">
        <f>'Parameters, country spec'!B63</f>
        <v>4.78486464364591E-2</v>
      </c>
      <c r="S15" t="s">
        <v>480</v>
      </c>
    </row>
    <row r="16" spans="1:19" x14ac:dyDescent="0.35">
      <c r="A16" s="262"/>
      <c r="B16" s="16" t="s">
        <v>481</v>
      </c>
      <c r="C16" s="263" t="s">
        <v>482</v>
      </c>
      <c r="D16" s="257" t="s">
        <v>83</v>
      </c>
      <c r="E16" s="257" t="s">
        <v>39</v>
      </c>
      <c r="F16" s="258">
        <f t="shared" si="0"/>
        <v>0.13922521022213191</v>
      </c>
      <c r="G16" s="264">
        <f t="shared" ref="G16:N16" si="1">SUMPRODUCT(G6:G14,$R$126:$R$134)</f>
        <v>6.0703696155848738E-2</v>
      </c>
      <c r="H16" s="264">
        <f t="shared" si="1"/>
        <v>2.0813743455718032E-2</v>
      </c>
      <c r="I16" s="264">
        <f t="shared" si="1"/>
        <v>0</v>
      </c>
      <c r="J16" s="264">
        <f t="shared" si="1"/>
        <v>0</v>
      </c>
      <c r="K16" s="264">
        <f t="shared" si="1"/>
        <v>2.4853633768465756E-2</v>
      </c>
      <c r="L16" s="264">
        <f t="shared" si="1"/>
        <v>0</v>
      </c>
      <c r="M16" s="264">
        <f t="shared" si="1"/>
        <v>1.2308429789121788E-3</v>
      </c>
      <c r="N16" s="264">
        <f t="shared" si="1"/>
        <v>3.1623293863187206E-2</v>
      </c>
      <c r="O16" s="264"/>
      <c r="P16" s="264"/>
      <c r="Q16" s="264"/>
      <c r="R16" s="260">
        <f>'Parameters, country spec'!B64</f>
        <v>9.2616215478819708E-2</v>
      </c>
    </row>
    <row r="17" spans="1:18" x14ac:dyDescent="0.35">
      <c r="A17" s="265"/>
      <c r="B17" s="266" t="s">
        <v>483</v>
      </c>
      <c r="C17" s="267"/>
      <c r="D17" s="268"/>
      <c r="E17" s="268"/>
      <c r="F17" s="269">
        <f>SUMPRODUCT(F6:F16,$R$6:$R$16)</f>
        <v>0.2587609932375835</v>
      </c>
      <c r="G17" s="269">
        <f t="shared" ref="G17:Q17" si="2">SUMPRODUCT(G6:G16,$R$126:$R$136)</f>
        <v>6.7188721852927694E-2</v>
      </c>
      <c r="H17" s="269">
        <f t="shared" si="2"/>
        <v>2.3039583836229033E-2</v>
      </c>
      <c r="I17" s="269">
        <f t="shared" si="2"/>
        <v>0</v>
      </c>
      <c r="J17" s="269">
        <f t="shared" si="2"/>
        <v>0</v>
      </c>
      <c r="K17" s="269">
        <f t="shared" si="2"/>
        <v>2.74396891260523E-2</v>
      </c>
      <c r="L17" s="269">
        <f t="shared" si="2"/>
        <v>0</v>
      </c>
      <c r="M17" s="269">
        <f t="shared" si="2"/>
        <v>1.347869793239962E-3</v>
      </c>
      <c r="N17" s="269">
        <f t="shared" si="2"/>
        <v>3.4999254405619747E-2</v>
      </c>
      <c r="O17" s="269">
        <f t="shared" si="2"/>
        <v>1.9840659087795205E-2</v>
      </c>
      <c r="P17" s="269">
        <f t="shared" si="2"/>
        <v>6.0794683117427951E-2</v>
      </c>
      <c r="Q17" s="269">
        <f t="shared" si="2"/>
        <v>1.290418009780704E-2</v>
      </c>
      <c r="R17" s="270"/>
    </row>
    <row r="18" spans="1:18" x14ac:dyDescent="0.35">
      <c r="A18" s="256" t="s">
        <v>466</v>
      </c>
      <c r="B18" s="16" t="s">
        <v>226</v>
      </c>
      <c r="C18" s="16" t="s">
        <v>467</v>
      </c>
      <c r="D18" s="257" t="s">
        <v>40</v>
      </c>
      <c r="E18" s="257" t="s">
        <v>41</v>
      </c>
      <c r="F18" s="258">
        <f t="shared" ref="F18:F28" si="3">SUM(G18:Q18)</f>
        <v>0.14554169956945451</v>
      </c>
      <c r="G18" s="133">
        <v>5.0091678279701103E-2</v>
      </c>
      <c r="H18" s="118">
        <v>2.7E-2</v>
      </c>
      <c r="I18" s="129">
        <v>0</v>
      </c>
      <c r="J18" s="118"/>
      <c r="K18" s="133">
        <v>3.2251149506205098E-2</v>
      </c>
      <c r="L18" s="118">
        <v>0</v>
      </c>
      <c r="M18" s="118">
        <v>2.14172233739949E-7</v>
      </c>
      <c r="N18" s="133">
        <v>3.4771853907349999E-2</v>
      </c>
      <c r="O18" s="118">
        <v>1.42680370396456E-3</v>
      </c>
      <c r="P18" s="118"/>
      <c r="R18" s="260">
        <f>'Parameters, country spec'!C54</f>
        <v>0.12622280592168414</v>
      </c>
    </row>
    <row r="19" spans="1:18" x14ac:dyDescent="0.35">
      <c r="A19" s="256" t="s">
        <v>468</v>
      </c>
      <c r="B19" s="16" t="s">
        <v>229</v>
      </c>
      <c r="C19" s="16" t="s">
        <v>467</v>
      </c>
      <c r="D19" s="257" t="s">
        <v>40</v>
      </c>
      <c r="E19" s="257" t="s">
        <v>41</v>
      </c>
      <c r="F19" s="258">
        <f t="shared" si="3"/>
        <v>0.13477267534421772</v>
      </c>
      <c r="G19" s="133">
        <v>4.7382930338829898E-2</v>
      </c>
      <c r="H19" s="118">
        <v>2.7E-2</v>
      </c>
      <c r="I19" s="129">
        <v>0</v>
      </c>
      <c r="J19" s="118"/>
      <c r="K19" s="133">
        <v>1.8104396956838902E-2</v>
      </c>
      <c r="L19" s="118">
        <v>0</v>
      </c>
      <c r="M19" s="118">
        <v>3.20452980210324E-3</v>
      </c>
      <c r="N19" s="133">
        <v>3.4771853907349999E-2</v>
      </c>
      <c r="O19" s="118">
        <v>4.3089643390956597E-3</v>
      </c>
      <c r="P19" s="118"/>
      <c r="R19" s="260">
        <f>'Parameters, country spec'!C55</f>
        <v>0.20760674280157457</v>
      </c>
    </row>
    <row r="20" spans="1:18" x14ac:dyDescent="0.35">
      <c r="A20" s="256" t="s">
        <v>469</v>
      </c>
      <c r="B20" s="16" t="s">
        <v>232</v>
      </c>
      <c r="C20" s="16" t="s">
        <v>467</v>
      </c>
      <c r="D20" s="257" t="s">
        <v>40</v>
      </c>
      <c r="E20" s="257" t="s">
        <v>41</v>
      </c>
      <c r="F20" s="258">
        <f t="shared" si="3"/>
        <v>0.17820546959520445</v>
      </c>
      <c r="G20" s="133">
        <v>5.5122444595226201E-2</v>
      </c>
      <c r="H20" s="118">
        <v>2.7E-2</v>
      </c>
      <c r="I20" s="129">
        <v>0</v>
      </c>
      <c r="J20" s="118"/>
      <c r="K20" s="133">
        <v>4.47731716871737E-2</v>
      </c>
      <c r="L20" s="118">
        <v>0</v>
      </c>
      <c r="M20" s="118">
        <v>1.2132968108574599E-3</v>
      </c>
      <c r="N20" s="133">
        <v>3.4771853907349999E-2</v>
      </c>
      <c r="O20" s="118">
        <v>1.53247025945971E-2</v>
      </c>
      <c r="P20" s="118"/>
      <c r="R20" s="260">
        <f>'Parameters, country spec'!C56</f>
        <v>1.430319903702894E-2</v>
      </c>
    </row>
    <row r="21" spans="1:18" x14ac:dyDescent="0.35">
      <c r="A21" s="256" t="s">
        <v>470</v>
      </c>
      <c r="B21" s="16" t="s">
        <v>235</v>
      </c>
      <c r="C21" s="16" t="s">
        <v>467</v>
      </c>
      <c r="D21" s="257" t="s">
        <v>40</v>
      </c>
      <c r="E21" s="257" t="s">
        <v>41</v>
      </c>
      <c r="F21" s="258">
        <f t="shared" si="3"/>
        <v>0.23086931651797959</v>
      </c>
      <c r="G21" s="133">
        <v>7.3795450330937706E-2</v>
      </c>
      <c r="H21" s="118">
        <v>2.7E-2</v>
      </c>
      <c r="I21" s="118">
        <v>0</v>
      </c>
      <c r="J21" s="118"/>
      <c r="K21" s="133">
        <v>4.7010620238752597E-2</v>
      </c>
      <c r="L21" s="118">
        <v>0</v>
      </c>
      <c r="M21" s="118">
        <v>2.75986968179931E-5</v>
      </c>
      <c r="N21" s="133">
        <v>3.4771853907349999E-2</v>
      </c>
      <c r="O21" s="118">
        <v>4.82637933441213E-2</v>
      </c>
      <c r="P21" s="118"/>
      <c r="R21" s="260">
        <f>'Parameters, country spec'!C57</f>
        <v>2.1965459245194179E-3</v>
      </c>
    </row>
    <row r="22" spans="1:18" x14ac:dyDescent="0.35">
      <c r="A22" s="256" t="s">
        <v>471</v>
      </c>
      <c r="B22" s="16" t="s">
        <v>237</v>
      </c>
      <c r="C22" s="16" t="s">
        <v>467</v>
      </c>
      <c r="D22" s="257" t="s">
        <v>40</v>
      </c>
      <c r="E22" s="257" t="s">
        <v>41</v>
      </c>
      <c r="F22" s="258">
        <f t="shared" si="3"/>
        <v>0.16491186327352214</v>
      </c>
      <c r="G22" s="133">
        <v>7.2003559292666594E-2</v>
      </c>
      <c r="H22" s="118">
        <v>2.7E-2</v>
      </c>
      <c r="I22" s="118">
        <v>0</v>
      </c>
      <c r="J22" s="118"/>
      <c r="K22" s="133">
        <v>2.8481968630283801E-2</v>
      </c>
      <c r="L22" s="118">
        <v>0</v>
      </c>
      <c r="M22" s="118">
        <v>1.7811290586034401E-5</v>
      </c>
      <c r="N22" s="133">
        <v>3.4771853907349999E-2</v>
      </c>
      <c r="O22" s="118">
        <v>2.6366701526357099E-3</v>
      </c>
      <c r="P22" s="118"/>
      <c r="R22" s="260">
        <f>'Parameters, country spec'!C58</f>
        <v>0.30750391777337582</v>
      </c>
    </row>
    <row r="23" spans="1:18" x14ac:dyDescent="0.35">
      <c r="A23" s="256" t="s">
        <v>472</v>
      </c>
      <c r="B23" s="16" t="s">
        <v>239</v>
      </c>
      <c r="C23" s="16" t="s">
        <v>473</v>
      </c>
      <c r="D23" s="257" t="s">
        <v>40</v>
      </c>
      <c r="E23" s="257" t="s">
        <v>41</v>
      </c>
      <c r="F23" s="258">
        <f t="shared" si="3"/>
        <v>0.14636810260852107</v>
      </c>
      <c r="G23" s="133">
        <v>0</v>
      </c>
      <c r="H23" s="118">
        <v>2.7E-2</v>
      </c>
      <c r="I23" s="129">
        <v>0</v>
      </c>
      <c r="J23" s="118"/>
      <c r="K23" s="133">
        <v>5.9912817690818299E-2</v>
      </c>
      <c r="L23" s="129">
        <v>0</v>
      </c>
      <c r="M23" s="118">
        <v>4.6529167754077701E-3</v>
      </c>
      <c r="N23" s="133">
        <v>3.4771853907349999E-2</v>
      </c>
      <c r="O23" s="118">
        <v>2.0030514234945E-2</v>
      </c>
      <c r="P23" s="118"/>
      <c r="R23" s="260">
        <f>'Parameters, country spec'!C59</f>
        <v>0</v>
      </c>
    </row>
    <row r="24" spans="1:18" x14ac:dyDescent="0.35">
      <c r="A24" s="256" t="s">
        <v>474</v>
      </c>
      <c r="B24" s="16" t="s">
        <v>241</v>
      </c>
      <c r="C24" s="16" t="s">
        <v>473</v>
      </c>
      <c r="D24" s="257" t="s">
        <v>40</v>
      </c>
      <c r="E24" s="257" t="s">
        <v>41</v>
      </c>
      <c r="F24" s="258">
        <f t="shared" si="3"/>
        <v>0.17963284345534819</v>
      </c>
      <c r="G24" s="133">
        <v>2.6496130610184302E-3</v>
      </c>
      <c r="H24" s="118">
        <v>2.7E-2</v>
      </c>
      <c r="I24" s="129">
        <v>0</v>
      </c>
      <c r="J24" s="118"/>
      <c r="K24" s="133">
        <v>7.3497297252248101E-2</v>
      </c>
      <c r="L24" s="118">
        <v>0</v>
      </c>
      <c r="M24" s="118">
        <v>5.3099924240375502E-3</v>
      </c>
      <c r="N24" s="133">
        <v>3.4771853907349999E-2</v>
      </c>
      <c r="O24" s="118">
        <v>3.6404086810694097E-2</v>
      </c>
      <c r="P24" s="118"/>
      <c r="R24" s="260">
        <f>'Parameters, country spec'!C60</f>
        <v>0</v>
      </c>
    </row>
    <row r="25" spans="1:18" x14ac:dyDescent="0.35">
      <c r="B25" s="18" t="s">
        <v>242</v>
      </c>
      <c r="C25" s="16" t="s">
        <v>475</v>
      </c>
      <c r="D25" s="257" t="s">
        <v>476</v>
      </c>
      <c r="E25" s="257"/>
      <c r="F25" s="258">
        <f t="shared" si="3"/>
        <v>0.27085685084992933</v>
      </c>
      <c r="G25" s="53">
        <f>'Off-farm feed'!$F$74</f>
        <v>0.11176753125767698</v>
      </c>
      <c r="H25" s="53">
        <f>'Off-farm feed'!$G$74</f>
        <v>1.3034482758620692E-2</v>
      </c>
      <c r="I25" s="53">
        <f>'Off-farm feed'!$H$74</f>
        <v>0</v>
      </c>
      <c r="J25" s="53"/>
      <c r="K25" s="53">
        <f>'Off-farm feed'!$J$74</f>
        <v>2.4688740026345465E-2</v>
      </c>
      <c r="L25" s="53"/>
      <c r="M25" s="115">
        <f>'Off-farm feed'!$L$74</f>
        <v>1.9317593037941337E-4</v>
      </c>
      <c r="N25" s="53">
        <f>'Off-farm feed'!$M$74</f>
        <v>3.6802128767029069E-2</v>
      </c>
      <c r="O25" s="53">
        <f>'Off-farm feed'!$N$74</f>
        <v>0</v>
      </c>
      <c r="P25" s="53">
        <f>'Off-farm feed'!$O$74</f>
        <v>2.1170792109877701E-2</v>
      </c>
      <c r="Q25" s="53">
        <f>'Off-farm feed'!$P$74</f>
        <v>6.3200000000000006E-2</v>
      </c>
      <c r="R25" s="260">
        <f>'Parameters, country spec'!C61</f>
        <v>6.6952456561795479E-2</v>
      </c>
    </row>
    <row r="26" spans="1:18" x14ac:dyDescent="0.35">
      <c r="B26" s="18" t="s">
        <v>477</v>
      </c>
      <c r="C26" s="16" t="s">
        <v>475</v>
      </c>
      <c r="D26" s="257" t="s">
        <v>478</v>
      </c>
      <c r="E26" s="257"/>
      <c r="F26" s="258">
        <f t="shared" si="3"/>
        <v>0.7061171705997602</v>
      </c>
      <c r="G26" s="53">
        <f>'Off-farm feed'!$F$23</f>
        <v>7.2632670993099079E-3</v>
      </c>
      <c r="H26" s="53">
        <f>'Off-farm feed'!$G$23</f>
        <v>2.1402439024390246E-2</v>
      </c>
      <c r="I26" s="53">
        <f>'Off-farm feed'!$H$23</f>
        <v>0</v>
      </c>
      <c r="J26" s="53"/>
      <c r="K26" s="53">
        <f>'Off-farm feed'!$J$23</f>
        <v>4.3083619664332357E-2</v>
      </c>
      <c r="L26" s="53"/>
      <c r="M26" s="115">
        <f>'Off-farm feed'!$L$23</f>
        <v>1.7842060425123844E-4</v>
      </c>
      <c r="N26" s="53">
        <f>'Off-farm feed'!$M$23</f>
        <v>3.0432604948959392E-2</v>
      </c>
      <c r="O26" s="53">
        <f>'Off-farm feed'!$N$23</f>
        <v>0.31761120248475611</v>
      </c>
      <c r="P26" s="53">
        <f>'Off-farm feed'!$O$23</f>
        <v>3.5145616773760872E-2</v>
      </c>
      <c r="Q26" s="53">
        <f>'Off-farm feed'!$P$23</f>
        <v>0.251</v>
      </c>
      <c r="R26" s="260">
        <f>'Parameters, country spec'!C62</f>
        <v>6.0321391027524533E-2</v>
      </c>
    </row>
    <row r="27" spans="1:18" x14ac:dyDescent="0.35">
      <c r="B27" s="16" t="s">
        <v>244</v>
      </c>
      <c r="C27" s="16" t="s">
        <v>479</v>
      </c>
      <c r="D27" s="257" t="s">
        <v>40</v>
      </c>
      <c r="E27" s="257" t="s">
        <v>41</v>
      </c>
      <c r="F27" s="258">
        <f t="shared" si="3"/>
        <v>0.12240806147995828</v>
      </c>
      <c r="G27" s="133">
        <v>6.4803203363399996E-3</v>
      </c>
      <c r="H27" s="129">
        <v>2.4299999999999999E-3</v>
      </c>
      <c r="I27" s="129"/>
      <c r="J27" s="118"/>
      <c r="K27" s="133">
        <v>2.5633771767255399E-3</v>
      </c>
      <c r="L27" s="118">
        <v>0</v>
      </c>
      <c r="M27" s="118">
        <v>1.6030161527431E-6</v>
      </c>
      <c r="N27" s="133">
        <v>3.1294668516615E-3</v>
      </c>
      <c r="O27" s="118">
        <v>2.3730031373721399E-4</v>
      </c>
      <c r="P27" s="129">
        <v>0.102505251885267</v>
      </c>
      <c r="Q27" s="129">
        <v>5.06074190007427E-3</v>
      </c>
      <c r="R27" s="260">
        <f>'Parameters, country spec'!C63</f>
        <v>0.13292166735094296</v>
      </c>
    </row>
    <row r="28" spans="1:18" x14ac:dyDescent="0.35">
      <c r="A28" s="262"/>
      <c r="B28" s="16" t="s">
        <v>481</v>
      </c>
      <c r="C28" s="263" t="s">
        <v>482</v>
      </c>
      <c r="D28" s="257" t="s">
        <v>40</v>
      </c>
      <c r="E28" s="257" t="s">
        <v>41</v>
      </c>
      <c r="F28" s="258">
        <f t="shared" si="3"/>
        <v>0.14897253836283209</v>
      </c>
      <c r="G28" s="264">
        <f>AVERAGE(G18:G26)</f>
        <v>4.6675163806151859E-2</v>
      </c>
      <c r="H28" s="264">
        <f>AVERAGE(H18:H26)</f>
        <v>2.4826324642556769E-2</v>
      </c>
      <c r="I28" s="264">
        <f>AVERAGE(I18:I26)</f>
        <v>0</v>
      </c>
      <c r="J28" s="264"/>
      <c r="K28" s="264">
        <f>AVERAGE(K18:K26)</f>
        <v>4.131153129477759E-2</v>
      </c>
      <c r="L28" s="264"/>
      <c r="M28" s="264">
        <f>AVERAGE(M18:M26)</f>
        <v>1.6442173896304934E-3</v>
      </c>
      <c r="N28" s="264">
        <f>AVERAGE(N18:N26)</f>
        <v>3.4515301229715384E-2</v>
      </c>
      <c r="O28" s="264"/>
      <c r="P28" s="264"/>
      <c r="Q28" s="264"/>
      <c r="R28" s="260">
        <f>'Parameters, country spec'!C64</f>
        <v>8.1971273601554581E-2</v>
      </c>
    </row>
    <row r="29" spans="1:18" x14ac:dyDescent="0.35">
      <c r="A29" s="265"/>
      <c r="B29" s="266" t="s">
        <v>483</v>
      </c>
      <c r="C29" s="267"/>
      <c r="D29" s="268"/>
      <c r="E29" s="268"/>
      <c r="F29" s="269">
        <f>SUMPRODUCT(F18:F28,$R$18:$R$28)</f>
        <v>0.18932811907681393</v>
      </c>
      <c r="G29" s="269">
        <f>SUMPRODUCT(G18:G28,$R$18:$R$28)</f>
        <v>5.186026574928624E-2</v>
      </c>
      <c r="H29" s="269">
        <f>SUMPRODUCT(H18:H28,$R$18:$R$28)</f>
        <v>2.2283257344864787E-2</v>
      </c>
      <c r="I29" s="269">
        <f>SUMPRODUCT(I18:I28,$R$18:$R$28)</f>
        <v>0</v>
      </c>
      <c r="J29" s="269"/>
      <c r="K29" s="269">
        <f>SUMPRODUCT(K18:K28,$R$18:$R$28)</f>
        <v>2.5310325845510746E-2</v>
      </c>
      <c r="L29" s="269"/>
      <c r="M29" s="269">
        <f>SUMPRODUCT(M18:M28,$R$18:$R$28)</f>
        <v>8.4688856827259767E-4</v>
      </c>
      <c r="N29" s="269">
        <f>SUMPRODUCT(N18:N28,$R$18:$R$28)</f>
        <v>3.041904746737871E-2</v>
      </c>
      <c r="O29" s="269">
        <f>SUMPRODUCT(O18:O28,$R$18:$R$28)</f>
        <v>2.1400949423249025E-2</v>
      </c>
      <c r="P29" s="269">
        <f>SUMPRODUCT(P18:P28,$R$18:$R$28)</f>
        <v>1.7162638024247022E-2</v>
      </c>
      <c r="Q29" s="269">
        <f>SUMPRODUCT(Q18:Q28,$R$18:$R$28)</f>
        <v>2.0044746654004783E-2</v>
      </c>
      <c r="R29" s="270"/>
    </row>
    <row r="30" spans="1:18" x14ac:dyDescent="0.35">
      <c r="A30" s="256" t="s">
        <v>466</v>
      </c>
      <c r="B30" s="16" t="s">
        <v>226</v>
      </c>
      <c r="C30" s="16" t="s">
        <v>467</v>
      </c>
      <c r="D30" s="257" t="s">
        <v>42</v>
      </c>
      <c r="E30" s="257" t="s">
        <v>43</v>
      </c>
      <c r="F30" s="258">
        <f t="shared" ref="F30:F40" si="4">SUM(G30:Q30)</f>
        <v>0.14473841159423895</v>
      </c>
      <c r="G30" s="133">
        <v>4.4980950411589199E-2</v>
      </c>
      <c r="H30" s="118">
        <v>2.7E-2</v>
      </c>
      <c r="I30" s="129">
        <v>0</v>
      </c>
      <c r="J30" s="118"/>
      <c r="K30" s="133">
        <v>2.87029909570167E-2</v>
      </c>
      <c r="L30" s="118">
        <v>0</v>
      </c>
      <c r="M30" s="118">
        <v>3.26422856216014E-5</v>
      </c>
      <c r="N30" s="133">
        <v>4.2299667932672001E-2</v>
      </c>
      <c r="O30" s="118">
        <v>1.7221600073394499E-3</v>
      </c>
      <c r="P30" s="118"/>
      <c r="R30" s="260">
        <f>'Parameters, country spec'!D54</f>
        <v>0.11936785974964652</v>
      </c>
    </row>
    <row r="31" spans="1:18" x14ac:dyDescent="0.35">
      <c r="A31" s="256" t="s">
        <v>468</v>
      </c>
      <c r="B31" s="16" t="s">
        <v>229</v>
      </c>
      <c r="C31" s="16" t="s">
        <v>467</v>
      </c>
      <c r="D31" s="257" t="s">
        <v>42</v>
      </c>
      <c r="E31" s="257" t="s">
        <v>43</v>
      </c>
      <c r="F31" s="258">
        <f t="shared" si="4"/>
        <v>0.13403161558339008</v>
      </c>
      <c r="G31" s="133">
        <v>4.40602108280801E-2</v>
      </c>
      <c r="H31" s="118">
        <v>2.7E-2</v>
      </c>
      <c r="I31" s="129">
        <v>0</v>
      </c>
      <c r="J31" s="118"/>
      <c r="K31" s="133">
        <v>1.6685054495430798E-2</v>
      </c>
      <c r="L31" s="118">
        <v>0</v>
      </c>
      <c r="M31" s="118">
        <v>5.39925016942717E-4</v>
      </c>
      <c r="N31" s="133">
        <v>4.2299667932672001E-2</v>
      </c>
      <c r="O31" s="118">
        <v>3.44675731026444E-3</v>
      </c>
      <c r="P31" s="118"/>
      <c r="R31" s="260">
        <f>'Parameters, country spec'!D55</f>
        <v>0.17771722156372172</v>
      </c>
    </row>
    <row r="32" spans="1:18" x14ac:dyDescent="0.35">
      <c r="A32" s="256" t="s">
        <v>469</v>
      </c>
      <c r="B32" s="16" t="s">
        <v>232</v>
      </c>
      <c r="C32" s="16" t="s">
        <v>467</v>
      </c>
      <c r="D32" s="257" t="s">
        <v>42</v>
      </c>
      <c r="E32" s="257" t="s">
        <v>43</v>
      </c>
      <c r="F32" s="258">
        <f t="shared" si="4"/>
        <v>0.21056371914571581</v>
      </c>
      <c r="G32" s="133">
        <v>5.3373617708358002E-2</v>
      </c>
      <c r="H32" s="118">
        <v>2.7E-2</v>
      </c>
      <c r="I32" s="129">
        <v>0</v>
      </c>
      <c r="J32" s="118"/>
      <c r="K32" s="133">
        <v>4.2966991135923699E-2</v>
      </c>
      <c r="L32" s="118">
        <v>0</v>
      </c>
      <c r="M32" s="118">
        <v>2.3078315408886199E-5</v>
      </c>
      <c r="N32" s="133">
        <v>4.2299667932672001E-2</v>
      </c>
      <c r="O32" s="118">
        <v>4.4900364053353202E-2</v>
      </c>
      <c r="P32" s="118"/>
      <c r="R32" s="260">
        <f>'Parameters, country spec'!D56</f>
        <v>2.3760624502985962E-5</v>
      </c>
    </row>
    <row r="33" spans="1:18" x14ac:dyDescent="0.35">
      <c r="A33" s="256" t="s">
        <v>470</v>
      </c>
      <c r="B33" s="16" t="s">
        <v>235</v>
      </c>
      <c r="C33" s="16" t="s">
        <v>467</v>
      </c>
      <c r="D33" s="257" t="s">
        <v>42</v>
      </c>
      <c r="E33" s="257" t="s">
        <v>43</v>
      </c>
      <c r="F33" s="258">
        <f t="shared" si="4"/>
        <v>0.18078165437145743</v>
      </c>
      <c r="G33" s="133">
        <v>5.8746625069878398E-2</v>
      </c>
      <c r="H33" s="118">
        <v>2.7E-2</v>
      </c>
      <c r="I33" s="118">
        <v>0</v>
      </c>
      <c r="J33" s="118"/>
      <c r="K33" s="133">
        <v>3.7090973020071097E-2</v>
      </c>
      <c r="L33" s="118">
        <v>0</v>
      </c>
      <c r="M33" s="118">
        <v>1.0681729263934599E-9</v>
      </c>
      <c r="N33" s="133">
        <v>4.2299667932672001E-2</v>
      </c>
      <c r="O33" s="118">
        <v>1.5644387280662999E-2</v>
      </c>
      <c r="P33" s="118"/>
      <c r="R33" s="260">
        <f>'Parameters, country spec'!D57</f>
        <v>1.9498589966513394E-2</v>
      </c>
    </row>
    <row r="34" spans="1:18" x14ac:dyDescent="0.35">
      <c r="A34" s="256" t="s">
        <v>471</v>
      </c>
      <c r="B34" s="16" t="s">
        <v>237</v>
      </c>
      <c r="C34" s="16" t="s">
        <v>467</v>
      </c>
      <c r="D34" s="257" t="s">
        <v>42</v>
      </c>
      <c r="E34" s="257" t="s">
        <v>43</v>
      </c>
      <c r="F34" s="258">
        <f t="shared" si="4"/>
        <v>0.16349228978032743</v>
      </c>
      <c r="G34" s="133">
        <v>6.5941156527055095E-2</v>
      </c>
      <c r="H34" s="118">
        <v>2.7E-2</v>
      </c>
      <c r="I34" s="118">
        <v>0</v>
      </c>
      <c r="J34" s="118"/>
      <c r="K34" s="133">
        <v>2.5851842974340501E-2</v>
      </c>
      <c r="L34" s="118">
        <v>0</v>
      </c>
      <c r="M34" s="118">
        <v>7.1947622038905602E-10</v>
      </c>
      <c r="N34" s="133">
        <v>4.2299667932672001E-2</v>
      </c>
      <c r="O34" s="118">
        <v>2.39962162678361E-3</v>
      </c>
      <c r="P34" s="118"/>
      <c r="R34" s="260">
        <f>'Parameters, country spec'!D58</f>
        <v>0.39870895550051916</v>
      </c>
    </row>
    <row r="35" spans="1:18" x14ac:dyDescent="0.35">
      <c r="A35" s="256" t="s">
        <v>472</v>
      </c>
      <c r="B35" s="16" t="s">
        <v>239</v>
      </c>
      <c r="C35" s="16" t="s">
        <v>473</v>
      </c>
      <c r="D35" s="257" t="s">
        <v>42</v>
      </c>
      <c r="E35" s="257" t="s">
        <v>43</v>
      </c>
      <c r="F35" s="258">
        <f t="shared" si="4"/>
        <v>0.19853035044256107</v>
      </c>
      <c r="G35" s="133">
        <v>0</v>
      </c>
      <c r="H35" s="118">
        <v>2.7E-2</v>
      </c>
      <c r="I35" s="129">
        <v>0</v>
      </c>
      <c r="J35" s="118"/>
      <c r="K35" s="133">
        <v>5.9424727096304697E-2</v>
      </c>
      <c r="L35" s="129">
        <v>0</v>
      </c>
      <c r="M35" s="118">
        <v>3.67360914877965E-3</v>
      </c>
      <c r="N35" s="133">
        <v>4.2299667932672001E-2</v>
      </c>
      <c r="O35" s="118">
        <v>6.6132346264804701E-2</v>
      </c>
      <c r="P35" s="118"/>
      <c r="R35" s="260">
        <f>'Parameters, country spec'!D59</f>
        <v>1.0321755831089459E-3</v>
      </c>
    </row>
    <row r="36" spans="1:18" x14ac:dyDescent="0.35">
      <c r="A36" s="256" t="s">
        <v>474</v>
      </c>
      <c r="B36" s="16" t="s">
        <v>241</v>
      </c>
      <c r="C36" s="16" t="s">
        <v>473</v>
      </c>
      <c r="D36" s="257" t="s">
        <v>42</v>
      </c>
      <c r="E36" s="257" t="s">
        <v>43</v>
      </c>
      <c r="F36" s="258">
        <f t="shared" si="4"/>
        <v>0.14615124952666306</v>
      </c>
      <c r="G36" s="133">
        <v>1.7380422848296E-3</v>
      </c>
      <c r="H36" s="118">
        <v>2.7E-2</v>
      </c>
      <c r="I36" s="129">
        <v>0</v>
      </c>
      <c r="J36" s="118"/>
      <c r="K36" s="133">
        <v>4.7782422262316902E-2</v>
      </c>
      <c r="L36" s="118">
        <v>0</v>
      </c>
      <c r="M36" s="118">
        <v>2.27535607308224E-3</v>
      </c>
      <c r="N36" s="133">
        <v>4.2299667932672001E-2</v>
      </c>
      <c r="O36" s="118">
        <v>2.50557609737623E-2</v>
      </c>
      <c r="P36" s="118"/>
      <c r="R36" s="260">
        <f>'Parameters, country spec'!D60</f>
        <v>1.0139365657568411E-3</v>
      </c>
    </row>
    <row r="37" spans="1:18" x14ac:dyDescent="0.35">
      <c r="B37" s="18" t="s">
        <v>242</v>
      </c>
      <c r="C37" s="16" t="s">
        <v>475</v>
      </c>
      <c r="D37" s="257" t="s">
        <v>476</v>
      </c>
      <c r="E37" s="257"/>
      <c r="F37" s="258">
        <f t="shared" si="4"/>
        <v>0.27085685084992933</v>
      </c>
      <c r="G37" s="53">
        <f>'Off-farm feed'!$F$74</f>
        <v>0.11176753125767698</v>
      </c>
      <c r="H37" s="53">
        <f>'Off-farm feed'!$G$74</f>
        <v>1.3034482758620692E-2</v>
      </c>
      <c r="I37" s="53">
        <f>'Off-farm feed'!$H$74</f>
        <v>0</v>
      </c>
      <c r="J37" s="53"/>
      <c r="K37" s="53">
        <f>'Off-farm feed'!$J$74</f>
        <v>2.4688740026345465E-2</v>
      </c>
      <c r="L37" s="53"/>
      <c r="M37" s="115">
        <f>'Off-farm feed'!$L$74</f>
        <v>1.9317593037941337E-4</v>
      </c>
      <c r="N37" s="53">
        <f>'Off-farm feed'!$M$74</f>
        <v>3.6802128767029069E-2</v>
      </c>
      <c r="O37" s="53">
        <f>'Off-farm feed'!$N$74</f>
        <v>0</v>
      </c>
      <c r="P37" s="53">
        <f>'Off-farm feed'!$O$74</f>
        <v>2.1170792109877701E-2</v>
      </c>
      <c r="Q37" s="53">
        <f>'Off-farm feed'!$P$74</f>
        <v>6.3200000000000006E-2</v>
      </c>
      <c r="R37" s="260">
        <f>'Parameters, country spec'!D61</f>
        <v>0.10437666551754406</v>
      </c>
    </row>
    <row r="38" spans="1:18" x14ac:dyDescent="0.35">
      <c r="B38" s="18" t="s">
        <v>477</v>
      </c>
      <c r="C38" s="16" t="s">
        <v>475</v>
      </c>
      <c r="D38" s="257" t="s">
        <v>478</v>
      </c>
      <c r="E38" s="257"/>
      <c r="F38" s="258">
        <f t="shared" si="4"/>
        <v>0.7061171705997602</v>
      </c>
      <c r="G38" s="53">
        <f>'Off-farm feed'!$F$23</f>
        <v>7.2632670993099079E-3</v>
      </c>
      <c r="H38" s="53">
        <f>'Off-farm feed'!$G$23</f>
        <v>2.1402439024390246E-2</v>
      </c>
      <c r="I38" s="53">
        <f>'Off-farm feed'!$H$23</f>
        <v>0</v>
      </c>
      <c r="J38" s="53"/>
      <c r="K38" s="53">
        <f>'Off-farm feed'!$J$23</f>
        <v>4.3083619664332357E-2</v>
      </c>
      <c r="L38" s="53"/>
      <c r="M38" s="115">
        <f>'Off-farm feed'!$L$23</f>
        <v>1.7842060425123844E-4</v>
      </c>
      <c r="N38" s="53">
        <f>'Off-farm feed'!$M$23</f>
        <v>3.0432604948959392E-2</v>
      </c>
      <c r="O38" s="53">
        <f>'Off-farm feed'!$N$23</f>
        <v>0.31761120248475611</v>
      </c>
      <c r="P38" s="53">
        <f>'Off-farm feed'!$O$23</f>
        <v>3.5145616773760872E-2</v>
      </c>
      <c r="Q38" s="53">
        <f>'Off-farm feed'!$P$23</f>
        <v>0.251</v>
      </c>
      <c r="R38" s="260">
        <f>'Parameters, country spec'!D62</f>
        <v>0.10029152187678458</v>
      </c>
    </row>
    <row r="39" spans="1:18" x14ac:dyDescent="0.35">
      <c r="B39" s="16" t="s">
        <v>244</v>
      </c>
      <c r="C39" s="16" t="s">
        <v>479</v>
      </c>
      <c r="D39" s="257" t="s">
        <v>42</v>
      </c>
      <c r="E39" s="257" t="s">
        <v>43</v>
      </c>
      <c r="F39" s="258">
        <f t="shared" si="4"/>
        <v>0.55199512688727981</v>
      </c>
      <c r="G39" s="133">
        <v>5.9347040874349602E-3</v>
      </c>
      <c r="H39" s="129">
        <v>2.4299999999999999E-3</v>
      </c>
      <c r="I39" s="129"/>
      <c r="J39" s="118"/>
      <c r="K39" s="133">
        <v>2.3266658676906501E-3</v>
      </c>
      <c r="L39" s="118">
        <v>0</v>
      </c>
      <c r="M39" s="118">
        <v>6.4752859835014994E-11</v>
      </c>
      <c r="N39" s="133">
        <v>3.8069701139404801E-3</v>
      </c>
      <c r="O39" s="118">
        <v>2.1596594641052499E-4</v>
      </c>
      <c r="P39" s="129">
        <v>0.52550926010708199</v>
      </c>
      <c r="Q39" s="129">
        <v>1.1771560699968301E-2</v>
      </c>
      <c r="R39" s="260">
        <f>'Parameters, country spec'!D63</f>
        <v>5.7362554731062478E-2</v>
      </c>
    </row>
    <row r="40" spans="1:18" x14ac:dyDescent="0.35">
      <c r="A40" s="262"/>
      <c r="B40" s="16" t="s">
        <v>481</v>
      </c>
      <c r="C40" s="263" t="s">
        <v>482</v>
      </c>
      <c r="D40" s="257" t="s">
        <v>42</v>
      </c>
      <c r="E40" s="257" t="s">
        <v>43</v>
      </c>
      <c r="F40" s="258">
        <f t="shared" si="4"/>
        <v>0.14531492255651976</v>
      </c>
      <c r="G40" s="264">
        <f>AVERAGE(G30:G38)</f>
        <v>4.3096822354086364E-2</v>
      </c>
      <c r="H40" s="264">
        <f>AVERAGE(H30:H38)</f>
        <v>2.4826324642556769E-2</v>
      </c>
      <c r="I40" s="264">
        <f>AVERAGE(I30:I38)</f>
        <v>0</v>
      </c>
      <c r="J40" s="264"/>
      <c r="K40" s="264">
        <f>AVERAGE(K30:K38)</f>
        <v>3.6253040181342469E-2</v>
      </c>
      <c r="L40" s="264"/>
      <c r="M40" s="264">
        <f>AVERAGE(M30:M38)</f>
        <v>7.6846768467943262E-4</v>
      </c>
      <c r="N40" s="264">
        <f>AVERAGE(N30:N38)</f>
        <v>4.0370267693854718E-2</v>
      </c>
      <c r="O40" s="264"/>
      <c r="P40" s="264"/>
      <c r="Q40" s="264"/>
      <c r="R40" s="260">
        <f>'Parameters, country spec'!D64</f>
        <v>2.0606758320839205E-2</v>
      </c>
    </row>
    <row r="41" spans="1:18" x14ac:dyDescent="0.35">
      <c r="A41" s="265"/>
      <c r="B41" s="266" t="s">
        <v>483</v>
      </c>
      <c r="C41" s="267"/>
      <c r="D41" s="268"/>
      <c r="E41" s="268"/>
      <c r="F41" s="269">
        <f>SUMPRODUCT(F30:F40,$R$30:$R$40)</f>
        <v>0.24391279833719026</v>
      </c>
      <c r="G41" s="269">
        <f>SUMPRODUCT(G30:G40,$R$30:$R$40)</f>
        <v>5.4262256410347681E-2</v>
      </c>
      <c r="H41" s="269">
        <f>SUMPRODUCT(H30:H40,$R$30:$R$40)</f>
        <v>2.3526747596574051E-2</v>
      </c>
      <c r="I41" s="269">
        <f>SUMPRODUCT(I30:I40,$R$30:$R$40)</f>
        <v>0</v>
      </c>
      <c r="J41" s="269"/>
      <c r="K41" s="269">
        <f>SUMPRODUCT(K30:K40,$R$30:$R$40)</f>
        <v>2.5311196409441034E-2</v>
      </c>
      <c r="L41" s="269"/>
      <c r="M41" s="269">
        <f>SUMPRODUCT(M30:M40,$R$30:$R$40)</f>
        <v>1.5984291104406608E-4</v>
      </c>
      <c r="N41" s="269">
        <f>SUMPRODUCT(N30:N40,$R$30:$R$40)</f>
        <v>3.8287889149367184E-2</v>
      </c>
      <c r="O41" s="269">
        <f>SUMPRODUCT(O30:O40,$R$30:$R$40)</f>
        <v>3.4040744038807039E-2</v>
      </c>
      <c r="P41" s="269">
        <f>SUMPRODUCT(P30:P40,$R$30:$R$40)</f>
        <v>3.5879097774905527E-2</v>
      </c>
      <c r="Q41" s="269">
        <f>SUMPRODUCT(Q30:Q40,$R$30:$R$40)</f>
        <v>3.2445024046703672E-2</v>
      </c>
      <c r="R41" s="270"/>
    </row>
    <row r="42" spans="1:18" x14ac:dyDescent="0.35">
      <c r="A42" s="256" t="s">
        <v>466</v>
      </c>
      <c r="B42" s="16" t="s">
        <v>226</v>
      </c>
      <c r="C42" s="16" t="s">
        <v>467</v>
      </c>
      <c r="D42" s="257" t="s">
        <v>44</v>
      </c>
      <c r="E42" s="257" t="s">
        <v>45</v>
      </c>
      <c r="F42" s="258">
        <f t="shared" ref="F42:F52" si="5">SUM(G42:Q42)</f>
        <v>0.25451304867723556</v>
      </c>
      <c r="G42" s="133">
        <v>0.11185874155109</v>
      </c>
      <c r="H42" s="118">
        <v>2.7E-2</v>
      </c>
      <c r="I42" s="129">
        <v>0</v>
      </c>
      <c r="J42" s="118"/>
      <c r="K42" s="133">
        <v>6.7519492441362697E-2</v>
      </c>
      <c r="L42" s="118">
        <v>0</v>
      </c>
      <c r="M42" s="118">
        <v>0</v>
      </c>
      <c r="N42" s="133">
        <v>4.5828859604041997E-2</v>
      </c>
      <c r="O42" s="118">
        <v>2.3059550807408998E-3</v>
      </c>
      <c r="P42" s="118"/>
      <c r="R42" s="260">
        <f>'Parameters, country spec'!E54</f>
        <v>0.10548579258005962</v>
      </c>
    </row>
    <row r="43" spans="1:18" x14ac:dyDescent="0.35">
      <c r="A43" s="256" t="s">
        <v>468</v>
      </c>
      <c r="B43" s="16" t="s">
        <v>229</v>
      </c>
      <c r="C43" s="16" t="s">
        <v>467</v>
      </c>
      <c r="D43" s="257" t="s">
        <v>44</v>
      </c>
      <c r="E43" s="257" t="s">
        <v>45</v>
      </c>
      <c r="F43" s="258">
        <f t="shared" si="5"/>
        <v>0.15043530566815122</v>
      </c>
      <c r="G43" s="133">
        <v>4.2682640226656403E-2</v>
      </c>
      <c r="H43" s="118">
        <v>2.7E-2</v>
      </c>
      <c r="I43" s="129">
        <v>0</v>
      </c>
      <c r="J43" s="118"/>
      <c r="K43" s="133">
        <v>1.5289491701264601E-2</v>
      </c>
      <c r="L43" s="118">
        <v>0</v>
      </c>
      <c r="M43" s="118">
        <v>1.17496484986656E-2</v>
      </c>
      <c r="N43" s="133">
        <v>4.5828859604041997E-2</v>
      </c>
      <c r="O43" s="118">
        <v>7.8846656375225997E-3</v>
      </c>
      <c r="P43" s="118"/>
      <c r="R43" s="260">
        <f>'Parameters, country spec'!E55</f>
        <v>0.31549865616441614</v>
      </c>
    </row>
    <row r="44" spans="1:18" x14ac:dyDescent="0.35">
      <c r="A44" s="256" t="s">
        <v>469</v>
      </c>
      <c r="B44" s="16" t="s">
        <v>232</v>
      </c>
      <c r="C44" s="16" t="s">
        <v>467</v>
      </c>
      <c r="D44" s="257" t="s">
        <v>44</v>
      </c>
      <c r="E44" s="257" t="s">
        <v>45</v>
      </c>
      <c r="F44" s="258">
        <f t="shared" si="5"/>
        <v>0.47128235421275838</v>
      </c>
      <c r="G44" s="133">
        <v>0.207906423369177</v>
      </c>
      <c r="H44" s="118">
        <v>2.7E-2</v>
      </c>
      <c r="I44" s="129">
        <v>0</v>
      </c>
      <c r="J44" s="118"/>
      <c r="K44" s="133">
        <v>0.15832041591101401</v>
      </c>
      <c r="L44" s="118">
        <v>0</v>
      </c>
      <c r="M44" s="118">
        <v>1.51442683263855E-4</v>
      </c>
      <c r="N44" s="133">
        <v>4.5828859604041997E-2</v>
      </c>
      <c r="O44" s="118">
        <v>3.20752126452616E-2</v>
      </c>
      <c r="P44" s="118"/>
      <c r="R44" s="260">
        <f>'Parameters, country spec'!E56</f>
        <v>2.8667693691623947E-2</v>
      </c>
    </row>
    <row r="45" spans="1:18" x14ac:dyDescent="0.35">
      <c r="A45" s="256" t="s">
        <v>470</v>
      </c>
      <c r="B45" s="16" t="s">
        <v>235</v>
      </c>
      <c r="C45" s="16" t="s">
        <v>467</v>
      </c>
      <c r="D45" s="257" t="s">
        <v>44</v>
      </c>
      <c r="E45" s="257" t="s">
        <v>45</v>
      </c>
      <c r="F45" s="258">
        <f t="shared" si="5"/>
        <v>0.40386400928447763</v>
      </c>
      <c r="G45" s="133">
        <v>0.16799296124068799</v>
      </c>
      <c r="H45" s="118">
        <v>2.7E-2</v>
      </c>
      <c r="I45" s="118">
        <v>0</v>
      </c>
      <c r="J45" s="118"/>
      <c r="K45" s="133">
        <v>0.100331453362256</v>
      </c>
      <c r="L45" s="118">
        <v>0</v>
      </c>
      <c r="M45" s="118">
        <v>9.2555094180597395E-4</v>
      </c>
      <c r="N45" s="133">
        <v>4.5828859604041997E-2</v>
      </c>
      <c r="O45" s="118">
        <v>6.1785184135685699E-2</v>
      </c>
      <c r="P45" s="118"/>
      <c r="R45" s="260">
        <f>'Parameters, country spec'!E57</f>
        <v>6.3230823420726045E-3</v>
      </c>
    </row>
    <row r="46" spans="1:18" x14ac:dyDescent="0.35">
      <c r="A46" s="256" t="s">
        <v>471</v>
      </c>
      <c r="B46" s="16" t="s">
        <v>237</v>
      </c>
      <c r="C46" s="16" t="s">
        <v>467</v>
      </c>
      <c r="D46" s="257" t="s">
        <v>44</v>
      </c>
      <c r="E46" s="257" t="s">
        <v>45</v>
      </c>
      <c r="F46" s="258">
        <f t="shared" si="5"/>
        <v>0.3223575090577927</v>
      </c>
      <c r="G46" s="133">
        <v>0.173617725501517</v>
      </c>
      <c r="H46" s="118">
        <v>2.7E-2</v>
      </c>
      <c r="I46" s="118">
        <v>0</v>
      </c>
      <c r="J46" s="118"/>
      <c r="K46" s="133">
        <v>6.4385744975605799E-2</v>
      </c>
      <c r="L46" s="118">
        <v>0</v>
      </c>
      <c r="M46" s="118">
        <v>7.0103993031324298E-4</v>
      </c>
      <c r="N46" s="133">
        <v>4.5828859604041997E-2</v>
      </c>
      <c r="O46" s="118">
        <v>1.08241390463147E-2</v>
      </c>
      <c r="P46" s="118"/>
      <c r="R46" s="260">
        <f>'Parameters, country spec'!E58</f>
        <v>4.5344513724963568E-3</v>
      </c>
    </row>
    <row r="47" spans="1:18" x14ac:dyDescent="0.35">
      <c r="A47" s="256" t="s">
        <v>472</v>
      </c>
      <c r="B47" s="16" t="s">
        <v>239</v>
      </c>
      <c r="C47" s="16" t="s">
        <v>473</v>
      </c>
      <c r="D47" s="257" t="s">
        <v>44</v>
      </c>
      <c r="E47" s="257" t="s">
        <v>45</v>
      </c>
      <c r="F47" s="258">
        <f t="shared" si="5"/>
        <v>0.71026464172261994</v>
      </c>
      <c r="G47" s="133">
        <v>0</v>
      </c>
      <c r="H47" s="118">
        <v>2.7E-2</v>
      </c>
      <c r="I47" s="129">
        <v>0</v>
      </c>
      <c r="J47" s="118"/>
      <c r="K47" s="133">
        <v>0.110267541918302</v>
      </c>
      <c r="L47" s="129">
        <v>0</v>
      </c>
      <c r="M47" s="118">
        <v>4.92852554943079E-2</v>
      </c>
      <c r="N47" s="133">
        <v>4.5828859604041997E-2</v>
      </c>
      <c r="O47" s="118">
        <v>0.47788298470596802</v>
      </c>
      <c r="P47" s="118"/>
      <c r="R47" s="260">
        <f>'Parameters, country spec'!E59</f>
        <v>5.9748390404603421E-4</v>
      </c>
    </row>
    <row r="48" spans="1:18" x14ac:dyDescent="0.35">
      <c r="A48" s="256" t="s">
        <v>474</v>
      </c>
      <c r="B48" s="16" t="s">
        <v>241</v>
      </c>
      <c r="C48" s="16" t="s">
        <v>473</v>
      </c>
      <c r="D48" s="257" t="s">
        <v>44</v>
      </c>
      <c r="E48" s="257" t="s">
        <v>45</v>
      </c>
      <c r="F48" s="258">
        <f t="shared" si="5"/>
        <v>0.32471646869837811</v>
      </c>
      <c r="G48" s="133">
        <v>2.4057723922364499E-3</v>
      </c>
      <c r="H48" s="118">
        <v>2.7E-2</v>
      </c>
      <c r="I48" s="129">
        <v>0</v>
      </c>
      <c r="J48" s="118"/>
      <c r="K48" s="133">
        <v>6.2563793470395507E-2</v>
      </c>
      <c r="L48" s="118">
        <v>0</v>
      </c>
      <c r="M48" s="118">
        <v>3.9600271687539199E-2</v>
      </c>
      <c r="N48" s="133">
        <v>4.5828859604041997E-2</v>
      </c>
      <c r="O48" s="118">
        <v>0.147317771544165</v>
      </c>
      <c r="P48" s="118"/>
      <c r="R48" s="260">
        <f>'Parameters, country spec'!E60</f>
        <v>5.8692609068954191E-4</v>
      </c>
    </row>
    <row r="49" spans="1:18" x14ac:dyDescent="0.35">
      <c r="B49" s="18" t="s">
        <v>242</v>
      </c>
      <c r="C49" s="16" t="s">
        <v>475</v>
      </c>
      <c r="D49" s="257" t="s">
        <v>476</v>
      </c>
      <c r="E49" s="257"/>
      <c r="F49" s="258">
        <f t="shared" si="5"/>
        <v>0.27085685084992933</v>
      </c>
      <c r="G49" s="53">
        <f>'Off-farm feed'!$F$74</f>
        <v>0.11176753125767698</v>
      </c>
      <c r="H49" s="53">
        <f>'Off-farm feed'!$G$74</f>
        <v>1.3034482758620692E-2</v>
      </c>
      <c r="I49" s="53">
        <f>'Off-farm feed'!$H$74</f>
        <v>0</v>
      </c>
      <c r="J49" s="53"/>
      <c r="K49" s="53">
        <f>'Off-farm feed'!$J$74</f>
        <v>2.4688740026345465E-2</v>
      </c>
      <c r="L49" s="53"/>
      <c r="M49" s="115">
        <f>'Off-farm feed'!$L$74</f>
        <v>1.9317593037941337E-4</v>
      </c>
      <c r="N49" s="53">
        <f>'Off-farm feed'!$M$74</f>
        <v>3.6802128767029069E-2</v>
      </c>
      <c r="O49" s="53">
        <f>'Off-farm feed'!$N$74</f>
        <v>0</v>
      </c>
      <c r="P49" s="53">
        <f>'Off-farm feed'!$O$74</f>
        <v>2.1170792109877701E-2</v>
      </c>
      <c r="Q49" s="53">
        <f>'Off-farm feed'!$P$74</f>
        <v>6.3200000000000006E-2</v>
      </c>
      <c r="R49" s="260">
        <f>'Parameters, country spec'!E61</f>
        <v>6.5204011883002286E-4</v>
      </c>
    </row>
    <row r="50" spans="1:18" x14ac:dyDescent="0.35">
      <c r="B50" s="18" t="s">
        <v>477</v>
      </c>
      <c r="C50" s="16" t="s">
        <v>475</v>
      </c>
      <c r="D50" s="257" t="s">
        <v>478</v>
      </c>
      <c r="E50" s="257"/>
      <c r="F50" s="258">
        <f t="shared" si="5"/>
        <v>0.7061171705997602</v>
      </c>
      <c r="G50" s="53">
        <f>'Off-farm feed'!$F$23</f>
        <v>7.2632670993099079E-3</v>
      </c>
      <c r="H50" s="53">
        <f>'Off-farm feed'!$G$23</f>
        <v>2.1402439024390246E-2</v>
      </c>
      <c r="I50" s="53">
        <f>'Off-farm feed'!$H$23</f>
        <v>0</v>
      </c>
      <c r="J50" s="53"/>
      <c r="K50" s="53">
        <f>'Off-farm feed'!$J$23</f>
        <v>4.3083619664332357E-2</v>
      </c>
      <c r="L50" s="53"/>
      <c r="M50" s="115">
        <f>'Off-farm feed'!$L$23</f>
        <v>1.7842060425123844E-4</v>
      </c>
      <c r="N50" s="53">
        <f>'Off-farm feed'!$M$23</f>
        <v>3.0432604948959392E-2</v>
      </c>
      <c r="O50" s="53">
        <f>'Off-farm feed'!$N$23</f>
        <v>0.31761120248475611</v>
      </c>
      <c r="P50" s="53">
        <f>'Off-farm feed'!$O$23</f>
        <v>3.5145616773760872E-2</v>
      </c>
      <c r="Q50" s="53">
        <f>'Off-farm feed'!$P$23</f>
        <v>0.251</v>
      </c>
      <c r="R50" s="260">
        <f>'Parameters, country spec'!E62</f>
        <v>0.11489366774251643</v>
      </c>
    </row>
    <row r="51" spans="1:18" x14ac:dyDescent="0.35">
      <c r="B51" s="16" t="s">
        <v>244</v>
      </c>
      <c r="C51" s="16" t="s">
        <v>479</v>
      </c>
      <c r="D51" s="257" t="s">
        <v>44</v>
      </c>
      <c r="E51" s="257" t="s">
        <v>45</v>
      </c>
      <c r="F51" s="258">
        <f t="shared" si="5"/>
        <v>0.78743380346145797</v>
      </c>
      <c r="G51" s="133">
        <v>1.5625595295136501E-2</v>
      </c>
      <c r="H51" s="129">
        <v>2.4299999999999999E-3</v>
      </c>
      <c r="K51" s="129">
        <v>5.7947170478045299E-3</v>
      </c>
      <c r="L51">
        <v>0</v>
      </c>
      <c r="M51">
        <v>6.3093593728191896E-5</v>
      </c>
      <c r="N51" s="271">
        <v>4.1245973643637803E-3</v>
      </c>
      <c r="O51" s="22">
        <v>9.7417251416832698E-4</v>
      </c>
      <c r="P51" s="129">
        <v>0.72382210600774899</v>
      </c>
      <c r="Q51" s="129">
        <v>3.4599521638507699E-2</v>
      </c>
      <c r="R51" s="260">
        <f>'Parameters, country spec'!E63</f>
        <v>0.20323754818805212</v>
      </c>
    </row>
    <row r="52" spans="1:18" x14ac:dyDescent="0.35">
      <c r="A52" s="262"/>
      <c r="B52" s="16" t="s">
        <v>481</v>
      </c>
      <c r="C52" s="263" t="s">
        <v>482</v>
      </c>
      <c r="D52" s="257" t="s">
        <v>44</v>
      </c>
      <c r="E52" s="257" t="s">
        <v>45</v>
      </c>
      <c r="F52" s="258">
        <f t="shared" si="5"/>
        <v>0.24291153717856112</v>
      </c>
      <c r="G52" s="264">
        <f>AVERAGE(G42:G50)</f>
        <v>9.1721673626483535E-2</v>
      </c>
      <c r="H52" s="264">
        <f>AVERAGE(H42:H50)</f>
        <v>2.4826324642556769E-2</v>
      </c>
      <c r="I52" s="264">
        <f>AVERAGE(I42:I50)</f>
        <v>0</v>
      </c>
      <c r="J52" s="264"/>
      <c r="K52" s="264">
        <f>AVERAGE(K42:K50)</f>
        <v>7.1827810385653168E-2</v>
      </c>
      <c r="L52" s="264"/>
      <c r="M52" s="264">
        <f>AVERAGE(M42:M50)</f>
        <v>1.1420533974502937E-2</v>
      </c>
      <c r="N52" s="264">
        <f>AVERAGE(N42:N50)</f>
        <v>4.3115194549364709E-2</v>
      </c>
      <c r="O52" s="264"/>
      <c r="P52" s="264"/>
      <c r="Q52" s="264"/>
      <c r="R52" s="260">
        <f>'Parameters, country spec'!E64</f>
        <v>0.21952265780519725</v>
      </c>
    </row>
    <row r="53" spans="1:18" x14ac:dyDescent="0.35">
      <c r="A53" s="265"/>
      <c r="B53" s="266" t="s">
        <v>483</v>
      </c>
      <c r="C53" s="267"/>
      <c r="D53" s="268"/>
      <c r="E53" s="268"/>
      <c r="F53" s="269">
        <f>SUMPRODUCT(F42:F52,$R$42:$R$52)</f>
        <v>0.3871162646544658</v>
      </c>
      <c r="G53" s="269">
        <f>SUMPRODUCT(G42:G52,$R$42:$R$52)</f>
        <v>5.7295001336126257E-2</v>
      </c>
      <c r="H53" s="269">
        <f>SUMPRODUCT(H42:H52,$R$42:$R$52)</f>
        <v>2.0877052060926188E-2</v>
      </c>
      <c r="I53" s="269">
        <f>SUMPRODUCT(I42:I52,$R$42:$R$52)</f>
        <v>0</v>
      </c>
      <c r="J53" s="269"/>
      <c r="K53" s="269">
        <f>SUMPRODUCT(K42:K52,$R$42:$R$52)</f>
        <v>3.9425472980637234E-2</v>
      </c>
      <c r="L53" s="269"/>
      <c r="M53" s="269">
        <f>SUMPRODUCT(M42:M52,$R$42:$R$52)</f>
        <v>6.3135748850093433E-3</v>
      </c>
      <c r="N53" s="269">
        <f>SUMPRODUCT(N42:N52,$R$42:$R$52)</f>
        <v>3.4982458674794548E-2</v>
      </c>
      <c r="O53" s="269">
        <f>SUMPRODUCT(O42:O52,$R$42:$R$52)</f>
        <v>4.1151620060460116E-2</v>
      </c>
      <c r="P53" s="269">
        <f>SUMPRODUCT(P42:P52,$R$30:$R$40)</f>
        <v>4.7254829251755302E-2</v>
      </c>
      <c r="Q53" s="269">
        <f>SUMPRODUCT(Q42:Q52,$R$42:$R$52)</f>
        <v>3.591144148517144E-2</v>
      </c>
      <c r="R53" s="270"/>
    </row>
    <row r="54" spans="1:18" x14ac:dyDescent="0.35">
      <c r="A54" s="256" t="s">
        <v>466</v>
      </c>
      <c r="B54" s="16" t="s">
        <v>226</v>
      </c>
      <c r="C54" s="16" t="s">
        <v>467</v>
      </c>
      <c r="D54" s="257" t="s">
        <v>82</v>
      </c>
      <c r="E54" s="257" t="s">
        <v>47</v>
      </c>
      <c r="F54" s="258">
        <f t="shared" ref="F54:F64" si="6">SUM(G54:Q54)</f>
        <v>0.16331952151499937</v>
      </c>
      <c r="G54" s="133">
        <v>5.3517509155759403E-2</v>
      </c>
      <c r="H54" s="118">
        <v>2.7E-2</v>
      </c>
      <c r="I54" s="129">
        <v>0</v>
      </c>
      <c r="J54" s="118"/>
      <c r="K54" s="133">
        <v>3.4751291896792803E-2</v>
      </c>
      <c r="L54" s="118">
        <v>0</v>
      </c>
      <c r="M54" s="118">
        <v>0</v>
      </c>
      <c r="N54" s="133">
        <v>4.1772636956010002E-2</v>
      </c>
      <c r="O54" s="118">
        <v>6.2780835064371703E-3</v>
      </c>
      <c r="P54" s="118"/>
      <c r="R54" s="260">
        <f>'Parameters, country spec'!F54</f>
        <v>8.1251536473470068E-2</v>
      </c>
    </row>
    <row r="55" spans="1:18" x14ac:dyDescent="0.35">
      <c r="A55" s="256" t="s">
        <v>468</v>
      </c>
      <c r="B55" s="16" t="s">
        <v>229</v>
      </c>
      <c r="C55" s="16" t="s">
        <v>467</v>
      </c>
      <c r="D55" s="257" t="s">
        <v>82</v>
      </c>
      <c r="E55" s="257" t="s">
        <v>47</v>
      </c>
      <c r="F55" s="258">
        <f t="shared" si="6"/>
        <v>0.16765006836412538</v>
      </c>
      <c r="G55" s="133">
        <v>6.4801609246117706E-2</v>
      </c>
      <c r="H55" s="118">
        <v>2.7E-2</v>
      </c>
      <c r="I55" s="129">
        <v>0</v>
      </c>
      <c r="J55" s="118"/>
      <c r="K55" s="133">
        <v>2.49714283934428E-2</v>
      </c>
      <c r="L55" s="118">
        <v>0</v>
      </c>
      <c r="M55" s="118">
        <v>8.2736751041397505E-5</v>
      </c>
      <c r="N55" s="133">
        <v>4.1772636956010002E-2</v>
      </c>
      <c r="O55" s="118">
        <v>9.0216570175134791E-3</v>
      </c>
      <c r="P55" s="118"/>
      <c r="R55" s="260">
        <f>'Parameters, country spec'!F55</f>
        <v>0.48193637626933306</v>
      </c>
    </row>
    <row r="56" spans="1:18" x14ac:dyDescent="0.35">
      <c r="A56" s="256" t="s">
        <v>469</v>
      </c>
      <c r="B56" s="16" t="s">
        <v>232</v>
      </c>
      <c r="C56" s="16" t="s">
        <v>467</v>
      </c>
      <c r="D56" s="257" t="s">
        <v>82</v>
      </c>
      <c r="E56" s="257" t="s">
        <v>47</v>
      </c>
      <c r="F56" s="258">
        <f t="shared" si="6"/>
        <v>0.23008300750098509</v>
      </c>
      <c r="G56" s="133">
        <v>7.9395983086191696E-2</v>
      </c>
      <c r="H56" s="118">
        <v>2.7E-2</v>
      </c>
      <c r="I56" s="129">
        <v>0</v>
      </c>
      <c r="J56" s="118"/>
      <c r="K56" s="133">
        <v>6.5040424601935695E-2</v>
      </c>
      <c r="L56" s="118">
        <v>0</v>
      </c>
      <c r="M56" s="118">
        <v>0</v>
      </c>
      <c r="N56" s="133">
        <v>4.1772636956010002E-2</v>
      </c>
      <c r="O56" s="118">
        <v>1.68739628568477E-2</v>
      </c>
      <c r="P56" s="118"/>
      <c r="R56" s="260">
        <f>'Parameters, country spec'!F56</f>
        <v>4.3518886440683656E-2</v>
      </c>
    </row>
    <row r="57" spans="1:18" x14ac:dyDescent="0.35">
      <c r="A57" s="256" t="s">
        <v>470</v>
      </c>
      <c r="B57" s="16" t="s">
        <v>235</v>
      </c>
      <c r="C57" s="16" t="s">
        <v>467</v>
      </c>
      <c r="D57" s="257" t="s">
        <v>82</v>
      </c>
      <c r="E57" s="257" t="s">
        <v>47</v>
      </c>
      <c r="F57" s="258">
        <f t="shared" si="6"/>
        <v>0.22458257739258536</v>
      </c>
      <c r="G57" s="133">
        <v>9.4845757046005702E-2</v>
      </c>
      <c r="H57" s="118">
        <v>2.7E-2</v>
      </c>
      <c r="I57" s="118">
        <v>0</v>
      </c>
      <c r="J57" s="118"/>
      <c r="K57" s="133">
        <v>6.0936814502337198E-2</v>
      </c>
      <c r="L57" s="118">
        <v>0</v>
      </c>
      <c r="M57" s="118">
        <v>0</v>
      </c>
      <c r="N57" s="133">
        <v>4.1772636956010002E-2</v>
      </c>
      <c r="O57" s="118">
        <v>2.73688882324494E-5</v>
      </c>
      <c r="P57" s="118"/>
      <c r="R57" s="260">
        <f>'Parameters, country spec'!F57</f>
        <v>1.6914287828800331E-2</v>
      </c>
    </row>
    <row r="58" spans="1:18" x14ac:dyDescent="0.35">
      <c r="A58" s="256" t="s">
        <v>471</v>
      </c>
      <c r="B58" s="16" t="s">
        <v>237</v>
      </c>
      <c r="C58" s="16" t="s">
        <v>467</v>
      </c>
      <c r="D58" s="257" t="s">
        <v>82</v>
      </c>
      <c r="E58" s="257" t="s">
        <v>47</v>
      </c>
      <c r="F58" s="258">
        <f t="shared" si="6"/>
        <v>0.1928250291602443</v>
      </c>
      <c r="G58" s="133">
        <v>8.8667749084816894E-2</v>
      </c>
      <c r="H58" s="118">
        <v>2.7E-2</v>
      </c>
      <c r="I58" s="118">
        <v>0</v>
      </c>
      <c r="J58" s="118"/>
      <c r="K58" s="133">
        <v>3.5373429617754797E-2</v>
      </c>
      <c r="L58" s="118">
        <v>0</v>
      </c>
      <c r="M58" s="118">
        <v>0</v>
      </c>
      <c r="N58" s="133">
        <v>4.1772636956010002E-2</v>
      </c>
      <c r="O58" s="118">
        <v>1.1213501662600699E-5</v>
      </c>
      <c r="P58" s="118"/>
      <c r="R58" s="260">
        <f>'Parameters, country spec'!F58</f>
        <v>7.6091634538062169E-2</v>
      </c>
    </row>
    <row r="59" spans="1:18" x14ac:dyDescent="0.35">
      <c r="A59" s="256" t="s">
        <v>472</v>
      </c>
      <c r="B59" s="16" t="s">
        <v>239</v>
      </c>
      <c r="C59" s="16" t="s">
        <v>473</v>
      </c>
      <c r="D59" s="257" t="s">
        <v>82</v>
      </c>
      <c r="E59" s="257" t="s">
        <v>47</v>
      </c>
      <c r="F59" s="258">
        <f t="shared" si="6"/>
        <v>0.17814967754875929</v>
      </c>
      <c r="G59" s="133">
        <v>0</v>
      </c>
      <c r="H59" s="118">
        <v>2.7E-2</v>
      </c>
      <c r="I59" s="129">
        <v>0</v>
      </c>
      <c r="J59" s="118"/>
      <c r="K59" s="133">
        <v>7.5868402171388294E-2</v>
      </c>
      <c r="L59" s="129">
        <v>0</v>
      </c>
      <c r="M59" s="118">
        <v>2.5612929536489099E-2</v>
      </c>
      <c r="N59" s="133">
        <v>4.1772636956010002E-2</v>
      </c>
      <c r="O59" s="118">
        <v>7.8957088848718993E-3</v>
      </c>
      <c r="P59" s="118"/>
      <c r="R59" s="260">
        <f>'Parameters, country spec'!F59</f>
        <v>1.2507448813783284E-3</v>
      </c>
    </row>
    <row r="60" spans="1:18" x14ac:dyDescent="0.35">
      <c r="A60" s="256" t="s">
        <v>474</v>
      </c>
      <c r="B60" s="16" t="s">
        <v>241</v>
      </c>
      <c r="C60" s="16" t="s">
        <v>473</v>
      </c>
      <c r="D60" s="257" t="s">
        <v>82</v>
      </c>
      <c r="E60" s="257" t="s">
        <v>47</v>
      </c>
      <c r="F60" s="258">
        <f t="shared" si="6"/>
        <v>0.88309240535499323</v>
      </c>
      <c r="G60" s="133">
        <v>4.2783747869422697E-3</v>
      </c>
      <c r="H60" s="118">
        <v>2.7E-2</v>
      </c>
      <c r="I60" s="129">
        <v>0</v>
      </c>
      <c r="J60" s="118"/>
      <c r="K60" s="133">
        <v>0.119691465798046</v>
      </c>
      <c r="L60" s="118">
        <v>0</v>
      </c>
      <c r="M60" s="118">
        <v>3.2454409978343902E-2</v>
      </c>
      <c r="N60" s="133">
        <v>4.1772636956010002E-2</v>
      </c>
      <c r="O60" s="118">
        <v>0.65789551783565103</v>
      </c>
      <c r="P60" s="118"/>
      <c r="R60" s="260">
        <f>'Parameters, country spec'!F60</f>
        <v>1.2286436428647813E-3</v>
      </c>
    </row>
    <row r="61" spans="1:18" x14ac:dyDescent="0.35">
      <c r="B61" s="18" t="s">
        <v>242</v>
      </c>
      <c r="C61" s="16" t="s">
        <v>475</v>
      </c>
      <c r="D61" s="257" t="s">
        <v>476</v>
      </c>
      <c r="E61" s="257"/>
      <c r="F61" s="258">
        <f t="shared" si="6"/>
        <v>0.27085685084992933</v>
      </c>
      <c r="G61" s="53">
        <f>'Off-farm feed'!$F$74</f>
        <v>0.11176753125767698</v>
      </c>
      <c r="H61" s="53">
        <f>'Off-farm feed'!$G$74</f>
        <v>1.3034482758620692E-2</v>
      </c>
      <c r="I61" s="53">
        <f>'Off-farm feed'!$H$74</f>
        <v>0</v>
      </c>
      <c r="J61" s="53"/>
      <c r="K61" s="53">
        <f>'Off-farm feed'!$J$74</f>
        <v>2.4688740026345465E-2</v>
      </c>
      <c r="L61" s="53"/>
      <c r="M61" s="115">
        <f>'Off-farm feed'!$L$74</f>
        <v>1.9317593037941337E-4</v>
      </c>
      <c r="N61" s="53">
        <f>'Off-farm feed'!$M$74</f>
        <v>3.6802128767029069E-2</v>
      </c>
      <c r="O61" s="53">
        <f>'Off-farm feed'!$N$74</f>
        <v>0</v>
      </c>
      <c r="P61" s="53">
        <f>'Off-farm feed'!$O$74</f>
        <v>2.1170792109877701E-2</v>
      </c>
      <c r="Q61" s="53">
        <f>'Off-farm feed'!$P$74</f>
        <v>6.3200000000000006E-2</v>
      </c>
      <c r="R61" s="260">
        <f>'Parameters, country spec'!F61</f>
        <v>5.3981077846432604E-4</v>
      </c>
    </row>
    <row r="62" spans="1:18" x14ac:dyDescent="0.35">
      <c r="B62" s="18" t="s">
        <v>477</v>
      </c>
      <c r="C62" s="16" t="s">
        <v>475</v>
      </c>
      <c r="D62" s="257" t="s">
        <v>478</v>
      </c>
      <c r="E62" s="257"/>
      <c r="F62" s="258">
        <f t="shared" si="6"/>
        <v>0.7061171705997602</v>
      </c>
      <c r="G62" s="53">
        <f>'Off-farm feed'!$F$23</f>
        <v>7.2632670993099079E-3</v>
      </c>
      <c r="H62" s="53">
        <f>'Off-farm feed'!$G$23</f>
        <v>2.1402439024390246E-2</v>
      </c>
      <c r="I62" s="53">
        <f>'Off-farm feed'!$H$23</f>
        <v>0</v>
      </c>
      <c r="J62" s="53"/>
      <c r="K62" s="53">
        <f>'Off-farm feed'!$J$23</f>
        <v>4.3083619664332357E-2</v>
      </c>
      <c r="L62" s="53"/>
      <c r="M62" s="115">
        <f>'Off-farm feed'!$L$23</f>
        <v>1.7842060425123844E-4</v>
      </c>
      <c r="N62" s="53">
        <f>'Off-farm feed'!$M$23</f>
        <v>3.0432604948959392E-2</v>
      </c>
      <c r="O62" s="53">
        <f>'Off-farm feed'!$N$23</f>
        <v>0.31761120248475611</v>
      </c>
      <c r="P62" s="53">
        <f>'Off-farm feed'!$O$23</f>
        <v>3.5145616773760872E-2</v>
      </c>
      <c r="Q62" s="53">
        <f>'Off-farm feed'!$P$23</f>
        <v>0.251</v>
      </c>
      <c r="R62" s="260">
        <f>'Parameters, country spec'!F62</f>
        <v>0.10293137633845451</v>
      </c>
    </row>
    <row r="63" spans="1:18" x14ac:dyDescent="0.35">
      <c r="B63" s="16" t="s">
        <v>244</v>
      </c>
      <c r="C63" s="16" t="s">
        <v>479</v>
      </c>
      <c r="D63" s="257" t="s">
        <v>82</v>
      </c>
      <c r="E63" s="257" t="s">
        <v>47</v>
      </c>
      <c r="F63" s="258">
        <f t="shared" si="6"/>
        <v>0.51672853709651922</v>
      </c>
      <c r="G63" s="133">
        <v>7.98009741763352E-3</v>
      </c>
      <c r="H63" s="129">
        <v>2.4299999999999999E-3</v>
      </c>
      <c r="K63" s="129">
        <v>3.1836086655979302E-3</v>
      </c>
      <c r="L63">
        <v>0</v>
      </c>
      <c r="M63">
        <v>0</v>
      </c>
      <c r="N63" s="271">
        <v>3.7595373260408999E-3</v>
      </c>
      <c r="O63" s="22">
        <v>1.00921514963407E-6</v>
      </c>
      <c r="P63" s="129">
        <v>0.49589425967864798</v>
      </c>
      <c r="Q63" s="129">
        <v>3.4800247934492399E-3</v>
      </c>
      <c r="R63" s="260">
        <f>'Parameters, country spec'!F63</f>
        <v>9.5470428327137938E-2</v>
      </c>
    </row>
    <row r="64" spans="1:18" x14ac:dyDescent="0.35">
      <c r="A64" s="262"/>
      <c r="B64" s="16" t="s">
        <v>481</v>
      </c>
      <c r="C64" s="263" t="s">
        <v>482</v>
      </c>
      <c r="D64" s="257" t="s">
        <v>82</v>
      </c>
      <c r="E64" s="257" t="s">
        <v>47</v>
      </c>
      <c r="F64" s="258">
        <f t="shared" si="6"/>
        <v>0.18117168715853005</v>
      </c>
      <c r="G64" s="264">
        <f>AVERAGE(G54:G62)</f>
        <v>5.605975341809117E-2</v>
      </c>
      <c r="H64" s="264">
        <f>AVERAGE(H54:H62)</f>
        <v>2.4826324642556769E-2</v>
      </c>
      <c r="I64" s="264">
        <f>AVERAGE(I54:I62)</f>
        <v>0</v>
      </c>
      <c r="J64" s="264"/>
      <c r="K64" s="264">
        <f>AVERAGE(K54:K62)</f>
        <v>5.3822846296930606E-2</v>
      </c>
      <c r="L64" s="264"/>
      <c r="M64" s="264">
        <f>AVERAGE(M54:M62)</f>
        <v>6.5024080889450062E-3</v>
      </c>
      <c r="N64" s="264">
        <f>AVERAGE(N54:N62)</f>
        <v>3.9960354712006506E-2</v>
      </c>
      <c r="O64" s="264"/>
      <c r="P64" s="264"/>
      <c r="Q64" s="264"/>
      <c r="R64" s="260">
        <f>'Parameters, country spec'!F64</f>
        <v>9.8866274481350727E-2</v>
      </c>
    </row>
    <row r="65" spans="1:19" x14ac:dyDescent="0.35">
      <c r="A65" s="265"/>
      <c r="B65" s="266" t="s">
        <v>483</v>
      </c>
      <c r="C65" s="267"/>
      <c r="D65" s="268"/>
      <c r="E65" s="268"/>
      <c r="F65" s="269">
        <f>SUMPRODUCT(F54:F64,$R$54:$R$64)</f>
        <v>0.26393032462438692</v>
      </c>
      <c r="G65" s="269">
        <f>SUMPRODUCT(G54:G64,$R$54:$R$64)</f>
        <v>5.4502470030727633E-2</v>
      </c>
      <c r="H65" s="269">
        <f>SUMPRODUCT(H54:H64,$R$54:$R$64)</f>
        <v>2.385568499938823E-2</v>
      </c>
      <c r="I65" s="269">
        <f>SUMPRODUCT(I54:I64,$R$54:$R$64)</f>
        <v>0</v>
      </c>
      <c r="J65" s="269"/>
      <c r="K65" s="269">
        <f>SUMPRODUCT(K54:K64,$R$54:$R$64)</f>
        <v>3.1726185792445544E-2</v>
      </c>
      <c r="L65" s="269"/>
      <c r="M65" s="269">
        <f>SUMPRODUCT(M54:M64,$R$54:$R$64)</f>
        <v>7.7312221472234581E-4</v>
      </c>
      <c r="N65" s="269">
        <f>SUMPRODUCT(N54:N64,$R$54:$R$64)</f>
        <v>3.679440822241864E-2</v>
      </c>
      <c r="O65" s="269">
        <f>SUMPRODUCT(O54:O64,$R$54:$R$64)</f>
        <v>3.910407009986773E-2</v>
      </c>
      <c r="P65" s="269">
        <f>SUMPRODUCT(P54:P64,$R$30:$R$40)</f>
        <v>3.4180305691969046E-2</v>
      </c>
      <c r="Q65" s="269">
        <f>SUMPRODUCT(Q54:Q64,$R$54:$R$64)</f>
        <v>2.6202130959770684E-2</v>
      </c>
      <c r="R65" s="270"/>
    </row>
    <row r="66" spans="1:19" x14ac:dyDescent="0.35">
      <c r="A66" s="256" t="s">
        <v>466</v>
      </c>
      <c r="B66" s="16" t="s">
        <v>226</v>
      </c>
      <c r="C66" s="16" t="s">
        <v>467</v>
      </c>
      <c r="D66" s="257" t="s">
        <v>48</v>
      </c>
      <c r="E66" s="257" t="s">
        <v>49</v>
      </c>
      <c r="F66" s="258">
        <f t="shared" ref="F66:F76" si="7">SUM(G66:Q66)</f>
        <v>0.13899539970355879</v>
      </c>
      <c r="G66" s="133">
        <v>4.0744992936689602E-2</v>
      </c>
      <c r="H66" s="118">
        <v>2.7E-2</v>
      </c>
      <c r="I66" s="129">
        <v>0</v>
      </c>
      <c r="J66" s="118"/>
      <c r="K66" s="133">
        <v>2.6038309182143501E-2</v>
      </c>
      <c r="L66" s="118">
        <v>0</v>
      </c>
      <c r="M66" s="118">
        <v>0</v>
      </c>
      <c r="N66" s="133">
        <v>4.0867040202494799E-2</v>
      </c>
      <c r="O66" s="118">
        <v>4.34505738223088E-3</v>
      </c>
      <c r="P66" s="118"/>
      <c r="R66" s="260">
        <f>'Parameters, country spec'!G54</f>
        <v>0.32325200471026871</v>
      </c>
    </row>
    <row r="67" spans="1:19" x14ac:dyDescent="0.35">
      <c r="A67" s="256" t="s">
        <v>468</v>
      </c>
      <c r="B67" s="16" t="s">
        <v>229</v>
      </c>
      <c r="C67" s="16" t="s">
        <v>467</v>
      </c>
      <c r="D67" s="257" t="s">
        <v>48</v>
      </c>
      <c r="E67" s="257" t="s">
        <v>49</v>
      </c>
      <c r="F67" s="258">
        <f t="shared" si="7"/>
        <v>0.13477267534421772</v>
      </c>
      <c r="G67" s="133">
        <v>4.7382930338829898E-2</v>
      </c>
      <c r="H67" s="118">
        <v>2.7E-2</v>
      </c>
      <c r="I67" s="129">
        <v>0</v>
      </c>
      <c r="J67" s="118"/>
      <c r="K67" s="133">
        <v>1.8104396956838902E-2</v>
      </c>
      <c r="L67" s="118">
        <v>0</v>
      </c>
      <c r="M67" s="118">
        <v>3.20452980210324E-3</v>
      </c>
      <c r="N67" s="133">
        <v>3.4771853907349999E-2</v>
      </c>
      <c r="O67" s="118">
        <v>4.3089643390956597E-3</v>
      </c>
      <c r="P67" s="118"/>
      <c r="R67" s="260">
        <f>'Parameters, country spec'!G55</f>
        <v>8.9094558301539284E-2</v>
      </c>
      <c r="S67" s="22" t="s">
        <v>484</v>
      </c>
    </row>
    <row r="68" spans="1:19" x14ac:dyDescent="0.35">
      <c r="A68" s="256" t="s">
        <v>469</v>
      </c>
      <c r="B68" s="16" t="s">
        <v>232</v>
      </c>
      <c r="C68" s="16" t="s">
        <v>467</v>
      </c>
      <c r="D68" s="257" t="s">
        <v>48</v>
      </c>
      <c r="E68" s="257" t="s">
        <v>49</v>
      </c>
      <c r="F68" s="258">
        <f t="shared" si="7"/>
        <v>0.1552540990960054</v>
      </c>
      <c r="G68" s="133">
        <v>2.97198252686579E-2</v>
      </c>
      <c r="H68" s="118">
        <v>2.7E-2</v>
      </c>
      <c r="I68" s="129">
        <v>0</v>
      </c>
      <c r="J68" s="118"/>
      <c r="K68" s="133">
        <v>2.3960427332777399E-2</v>
      </c>
      <c r="L68" s="118">
        <v>0</v>
      </c>
      <c r="M68" s="118">
        <v>0</v>
      </c>
      <c r="N68" s="133">
        <v>4.0867040202494799E-2</v>
      </c>
      <c r="O68" s="118">
        <v>3.37068062920753E-2</v>
      </c>
      <c r="P68" s="118"/>
      <c r="R68" s="260">
        <f>'Parameters, country spec'!G56</f>
        <v>1.8632243854911967E-2</v>
      </c>
    </row>
    <row r="69" spans="1:19" x14ac:dyDescent="0.35">
      <c r="A69" s="256" t="s">
        <v>470</v>
      </c>
      <c r="B69" s="16" t="s">
        <v>235</v>
      </c>
      <c r="C69" s="16" t="s">
        <v>467</v>
      </c>
      <c r="D69" s="257" t="s">
        <v>48</v>
      </c>
      <c r="E69" s="257" t="s">
        <v>49</v>
      </c>
      <c r="F69" s="258">
        <f t="shared" si="7"/>
        <v>0.23086931651797959</v>
      </c>
      <c r="G69" s="133">
        <v>7.3795450330937706E-2</v>
      </c>
      <c r="H69" s="118">
        <v>2.7E-2</v>
      </c>
      <c r="I69" s="118">
        <v>0</v>
      </c>
      <c r="J69" s="118"/>
      <c r="K69" s="133">
        <v>4.7010620238752597E-2</v>
      </c>
      <c r="L69" s="118">
        <v>0</v>
      </c>
      <c r="M69" s="118">
        <v>2.75986968179931E-5</v>
      </c>
      <c r="N69" s="133">
        <v>3.4771853907349999E-2</v>
      </c>
      <c r="O69" s="118">
        <v>4.82637933441213E-2</v>
      </c>
      <c r="P69" s="118"/>
      <c r="R69" s="260">
        <f>'Parameters, country spec'!G57</f>
        <v>0</v>
      </c>
    </row>
    <row r="70" spans="1:19" x14ac:dyDescent="0.35">
      <c r="A70" s="256" t="s">
        <v>471</v>
      </c>
      <c r="B70" s="16" t="s">
        <v>237</v>
      </c>
      <c r="C70" s="16" t="s">
        <v>467</v>
      </c>
      <c r="D70" s="257" t="s">
        <v>48</v>
      </c>
      <c r="E70" s="257" t="s">
        <v>49</v>
      </c>
      <c r="F70" s="258">
        <f t="shared" si="7"/>
        <v>0.15433738131583741</v>
      </c>
      <c r="G70" s="133">
        <v>5.4362852263661499E-2</v>
      </c>
      <c r="H70" s="118">
        <v>2.7E-2</v>
      </c>
      <c r="I70" s="118">
        <v>0</v>
      </c>
      <c r="J70" s="118"/>
      <c r="K70" s="133">
        <v>2.1344067728924599E-2</v>
      </c>
      <c r="L70" s="118">
        <v>0</v>
      </c>
      <c r="M70" s="118">
        <v>0</v>
      </c>
      <c r="N70" s="133">
        <v>4.0867040202494799E-2</v>
      </c>
      <c r="O70" s="118">
        <v>1.0763421120756501E-2</v>
      </c>
      <c r="P70" s="118"/>
      <c r="R70" s="260">
        <f>'Parameters, country spec'!G58</f>
        <v>0.13883686885903021</v>
      </c>
    </row>
    <row r="71" spans="1:19" x14ac:dyDescent="0.35">
      <c r="A71" s="256" t="s">
        <v>472</v>
      </c>
      <c r="B71" s="16" t="s">
        <v>239</v>
      </c>
      <c r="C71" s="16" t="s">
        <v>473</v>
      </c>
      <c r="D71" s="257" t="s">
        <v>48</v>
      </c>
      <c r="E71" s="257" t="s">
        <v>49</v>
      </c>
      <c r="F71" s="258">
        <f t="shared" si="7"/>
        <v>0.16414133778056922</v>
      </c>
      <c r="G71" s="133">
        <v>0</v>
      </c>
      <c r="H71" s="118">
        <v>2.7E-2</v>
      </c>
      <c r="I71" s="129">
        <v>0</v>
      </c>
      <c r="J71" s="118"/>
      <c r="K71" s="133">
        <v>3.8482609473523402E-2</v>
      </c>
      <c r="L71" s="129">
        <v>0</v>
      </c>
      <c r="M71" s="118">
        <v>0</v>
      </c>
      <c r="N71" s="133">
        <v>4.0867040202494799E-2</v>
      </c>
      <c r="O71" s="118">
        <v>5.7791688104551001E-2</v>
      </c>
      <c r="P71" s="118"/>
      <c r="R71" s="260">
        <f>'Parameters, country spec'!G59</f>
        <v>1.1573790749521788E-3</v>
      </c>
    </row>
    <row r="72" spans="1:19" x14ac:dyDescent="0.35">
      <c r="A72" s="256" t="s">
        <v>474</v>
      </c>
      <c r="B72" s="16" t="s">
        <v>241</v>
      </c>
      <c r="C72" s="16" t="s">
        <v>473</v>
      </c>
      <c r="D72" s="257" t="s">
        <v>48</v>
      </c>
      <c r="E72" s="257" t="s">
        <v>49</v>
      </c>
      <c r="F72" s="258">
        <f t="shared" si="7"/>
        <v>0.13212813840286639</v>
      </c>
      <c r="G72" s="133">
        <v>1.30084565805609E-3</v>
      </c>
      <c r="H72" s="118">
        <v>2.7E-2</v>
      </c>
      <c r="I72" s="129">
        <v>0</v>
      </c>
      <c r="J72" s="118"/>
      <c r="K72" s="133">
        <v>3.5815713015120099E-2</v>
      </c>
      <c r="L72" s="118">
        <v>0</v>
      </c>
      <c r="M72" s="118">
        <v>0</v>
      </c>
      <c r="N72" s="133">
        <v>4.0867040202494799E-2</v>
      </c>
      <c r="O72" s="118">
        <v>2.7144539527195401E-2</v>
      </c>
      <c r="P72" s="118"/>
      <c r="R72" s="260">
        <f>'Parameters, country spec'!G60</f>
        <v>1.1369276536260728E-3</v>
      </c>
    </row>
    <row r="73" spans="1:19" x14ac:dyDescent="0.35">
      <c r="B73" s="18" t="s">
        <v>242</v>
      </c>
      <c r="C73" s="16" t="s">
        <v>475</v>
      </c>
      <c r="D73" s="257" t="s">
        <v>476</v>
      </c>
      <c r="E73" s="257"/>
      <c r="F73" s="258">
        <f t="shared" si="7"/>
        <v>0.27085685084992933</v>
      </c>
      <c r="G73" s="53">
        <f>'Off-farm feed'!$F$74</f>
        <v>0.11176753125767698</v>
      </c>
      <c r="H73" s="53">
        <f>'Off-farm feed'!$G$74</f>
        <v>1.3034482758620692E-2</v>
      </c>
      <c r="I73" s="53">
        <f>'Off-farm feed'!$H$74</f>
        <v>0</v>
      </c>
      <c r="J73" s="53"/>
      <c r="K73" s="53">
        <f>'Off-farm feed'!$J$74</f>
        <v>2.4688740026345465E-2</v>
      </c>
      <c r="L73" s="53"/>
      <c r="M73" s="115">
        <f>'Off-farm feed'!$L$74</f>
        <v>1.9317593037941337E-4</v>
      </c>
      <c r="N73" s="53">
        <f>'Off-farm feed'!$M$74</f>
        <v>3.6802128767029069E-2</v>
      </c>
      <c r="O73" s="53">
        <f>'Off-farm feed'!$N$74</f>
        <v>0</v>
      </c>
      <c r="P73" s="53">
        <f>'Off-farm feed'!$O$74</f>
        <v>2.1170792109877701E-2</v>
      </c>
      <c r="Q73" s="53">
        <f>'Off-farm feed'!$P$74</f>
        <v>6.3200000000000006E-2</v>
      </c>
      <c r="R73" s="260">
        <f>'Parameters, country spec'!G61</f>
        <v>6.196353147498361E-2</v>
      </c>
    </row>
    <row r="74" spans="1:19" x14ac:dyDescent="0.35">
      <c r="B74" s="18" t="s">
        <v>477</v>
      </c>
      <c r="C74" s="16" t="s">
        <v>475</v>
      </c>
      <c r="D74" s="257" t="s">
        <v>478</v>
      </c>
      <c r="E74" s="257"/>
      <c r="F74" s="258">
        <f t="shared" si="7"/>
        <v>0.7061171705997602</v>
      </c>
      <c r="G74" s="53">
        <f>'Off-farm feed'!$F$23</f>
        <v>7.2632670993099079E-3</v>
      </c>
      <c r="H74" s="53">
        <f>'Off-farm feed'!$G$23</f>
        <v>2.1402439024390246E-2</v>
      </c>
      <c r="I74" s="53">
        <f>'Off-farm feed'!$H$23</f>
        <v>0</v>
      </c>
      <c r="J74" s="53"/>
      <c r="K74" s="53">
        <f>'Off-farm feed'!$J$23</f>
        <v>4.3083619664332357E-2</v>
      </c>
      <c r="L74" s="53"/>
      <c r="M74" s="115">
        <f>'Off-farm feed'!$L$23</f>
        <v>1.7842060425123844E-4</v>
      </c>
      <c r="N74" s="53">
        <f>'Off-farm feed'!$M$23</f>
        <v>3.0432604948959392E-2</v>
      </c>
      <c r="O74" s="53">
        <f>'Off-farm feed'!$N$23</f>
        <v>0.31761120248475611</v>
      </c>
      <c r="P74" s="53">
        <f>'Off-farm feed'!$O$23</f>
        <v>3.5145616773760872E-2</v>
      </c>
      <c r="Q74" s="53">
        <f>'Off-farm feed'!$P$23</f>
        <v>0.251</v>
      </c>
      <c r="R74" s="260">
        <f>'Parameters, country spec'!G62</f>
        <v>0.11791110099805442</v>
      </c>
    </row>
    <row r="75" spans="1:19" x14ac:dyDescent="0.35">
      <c r="B75" s="16" t="s">
        <v>244</v>
      </c>
      <c r="C75" s="16" t="s">
        <v>479</v>
      </c>
      <c r="D75" s="257" t="s">
        <v>48</v>
      </c>
      <c r="E75" s="257" t="s">
        <v>49</v>
      </c>
      <c r="F75" s="258">
        <f t="shared" si="7"/>
        <v>0.48845036407378517</v>
      </c>
      <c r="G75" s="133">
        <v>4.8926567037295299E-3</v>
      </c>
      <c r="H75" s="129">
        <v>2.4299999999999999E-3</v>
      </c>
      <c r="K75" s="129">
        <v>1.9209660956032101E-3</v>
      </c>
      <c r="L75">
        <v>0</v>
      </c>
      <c r="M75">
        <v>0</v>
      </c>
      <c r="N75" s="271">
        <v>3.67803361822453E-3</v>
      </c>
      <c r="O75" s="22">
        <v>9.6870790086808301E-4</v>
      </c>
      <c r="P75" s="129">
        <v>0.44500683667895402</v>
      </c>
      <c r="Q75" s="129">
        <v>2.9553163076405799E-2</v>
      </c>
      <c r="R75" s="260">
        <f>'Parameters, country spec'!G63</f>
        <v>0.11645641995705991</v>
      </c>
    </row>
    <row r="76" spans="1:19" x14ac:dyDescent="0.35">
      <c r="A76" s="262"/>
      <c r="B76" s="16" t="s">
        <v>481</v>
      </c>
      <c r="C76" s="263" t="s">
        <v>482</v>
      </c>
      <c r="D76" s="257" t="s">
        <v>48</v>
      </c>
      <c r="E76" s="257" t="s">
        <v>49</v>
      </c>
      <c r="F76" s="258">
        <f t="shared" si="7"/>
        <v>0.13478005423692258</v>
      </c>
      <c r="G76" s="264">
        <f>AVERAGE(G66:G74)</f>
        <v>4.07041883504244E-2</v>
      </c>
      <c r="H76" s="264">
        <f>AVERAGE(H66:H74)</f>
        <v>2.4826324642556769E-2</v>
      </c>
      <c r="I76" s="264">
        <f>AVERAGE(I66:I74)</f>
        <v>0</v>
      </c>
      <c r="J76" s="264"/>
      <c r="K76" s="264">
        <f>AVERAGE(K66:K74)</f>
        <v>3.0947611513195375E-2</v>
      </c>
      <c r="L76" s="264"/>
      <c r="M76" s="264">
        <f>AVERAGE(M66:M74)</f>
        <v>4.004138926168761E-4</v>
      </c>
      <c r="N76" s="264">
        <f>AVERAGE(N66:N74)</f>
        <v>3.790151583812916E-2</v>
      </c>
      <c r="O76" s="264"/>
      <c r="P76" s="264"/>
      <c r="Q76" s="264"/>
      <c r="R76" s="260">
        <f>'Parameters, country spec'!G64</f>
        <v>0.13155896511557413</v>
      </c>
    </row>
    <row r="77" spans="1:19" x14ac:dyDescent="0.35">
      <c r="A77" s="265"/>
      <c r="B77" s="266" t="s">
        <v>483</v>
      </c>
      <c r="C77" s="267"/>
      <c r="D77" s="268"/>
      <c r="E77" s="268"/>
      <c r="F77" s="269">
        <f>SUMPRODUCT(F66:F76,$R$66:$R$76)</f>
        <v>0.25625570367055833</v>
      </c>
      <c r="G77" s="269">
        <f>SUMPRODUCT(G66:G76,$R$66:$R$76)</f>
        <v>3.9201969028462215E-2</v>
      </c>
      <c r="H77" s="269">
        <f>SUMPRODUCT(H66:H76,$R$66:$R$76)</f>
        <v>2.232733193644407E-2</v>
      </c>
      <c r="I77" s="269">
        <f>SUMPRODUCT(I66:I76,$R$66:$R$76)</f>
        <v>0</v>
      </c>
      <c r="J77" s="269"/>
      <c r="K77" s="269">
        <f>SUMPRODUCT(K66:K76,$R$66:$R$76)</f>
        <v>2.4429960918356239E-2</v>
      </c>
      <c r="L77" s="269"/>
      <c r="M77" s="269">
        <f>SUMPRODUCT(M66:M76,$R$66:$R$76)</f>
        <v>3.7119183734335784E-4</v>
      </c>
      <c r="N77" s="269">
        <f>SUMPRODUCT(N66:N76,$R$66:$R$76)</f>
        <v>3.4120740370086909E-2</v>
      </c>
      <c r="O77" s="269">
        <f>SUMPRODUCT(O66:O76,$R$66:$R$76)</f>
        <v>4.1571294001501904E-2</v>
      </c>
      <c r="P77" s="269">
        <f>SUMPRODUCT(P66:P76,$R$30:$R$40)</f>
        <v>3.1261273105026376E-2</v>
      </c>
      <c r="Q77" s="269">
        <f>SUMPRODUCT(Q66:Q76,$R$66:$R$76)</f>
        <v>3.6953437110016016E-2</v>
      </c>
      <c r="R77" s="270"/>
    </row>
    <row r="78" spans="1:19" x14ac:dyDescent="0.35">
      <c r="A78" s="256" t="s">
        <v>466</v>
      </c>
      <c r="B78" s="16" t="s">
        <v>226</v>
      </c>
      <c r="C78" s="16" t="s">
        <v>467</v>
      </c>
      <c r="D78" s="257" t="s">
        <v>50</v>
      </c>
      <c r="E78" s="257" t="s">
        <v>51</v>
      </c>
      <c r="F78" s="258">
        <f t="shared" ref="F78:F88" si="8">SUM(G78:Q78)</f>
        <v>0.21010835271971048</v>
      </c>
      <c r="G78" s="133">
        <v>7.7894511100415106E-2</v>
      </c>
      <c r="H78" s="118">
        <v>2.7E-2</v>
      </c>
      <c r="I78" s="129">
        <v>0</v>
      </c>
      <c r="J78" s="118"/>
      <c r="K78" s="133">
        <v>4.6073379627412502E-2</v>
      </c>
      <c r="L78" s="118">
        <v>0</v>
      </c>
      <c r="M78" s="118">
        <v>0</v>
      </c>
      <c r="N78" s="133">
        <v>4.0589126687164002E-2</v>
      </c>
      <c r="O78" s="118">
        <v>1.8551335304718902E-2</v>
      </c>
      <c r="P78" s="118"/>
      <c r="R78" s="260">
        <f>'Parameters, country spec'!H54</f>
        <v>7.5639149668143751E-2</v>
      </c>
    </row>
    <row r="79" spans="1:19" x14ac:dyDescent="0.35">
      <c r="A79" s="256" t="s">
        <v>468</v>
      </c>
      <c r="B79" s="16" t="s">
        <v>229</v>
      </c>
      <c r="C79" s="16" t="s">
        <v>467</v>
      </c>
      <c r="D79" s="257" t="s">
        <v>50</v>
      </c>
      <c r="E79" s="257" t="s">
        <v>51</v>
      </c>
      <c r="F79" s="258">
        <f t="shared" si="8"/>
        <v>0.13129895998357821</v>
      </c>
      <c r="G79" s="133">
        <v>4.51070489112637E-2</v>
      </c>
      <c r="H79" s="118">
        <v>2.7E-2</v>
      </c>
      <c r="I79" s="129">
        <v>0</v>
      </c>
      <c r="J79" s="118"/>
      <c r="K79" s="133">
        <v>1.5833253348974698E-2</v>
      </c>
      <c r="L79" s="118">
        <v>0</v>
      </c>
      <c r="M79" s="118">
        <v>2.7675134446790901E-3</v>
      </c>
      <c r="N79" s="133">
        <v>4.0589126687164002E-2</v>
      </c>
      <c r="O79" s="118">
        <v>2.01759149672033E-6</v>
      </c>
      <c r="P79" s="118"/>
      <c r="R79" s="260">
        <f>'Parameters, country spec'!H55</f>
        <v>0.4945946495860658</v>
      </c>
    </row>
    <row r="80" spans="1:19" x14ac:dyDescent="0.35">
      <c r="A80" s="256" t="s">
        <v>469</v>
      </c>
      <c r="B80" s="16" t="s">
        <v>232</v>
      </c>
      <c r="C80" s="16" t="s">
        <v>467</v>
      </c>
      <c r="D80" s="257" t="s">
        <v>50</v>
      </c>
      <c r="E80" s="257" t="s">
        <v>51</v>
      </c>
      <c r="F80" s="258">
        <f t="shared" si="8"/>
        <v>0.25293210451323705</v>
      </c>
      <c r="G80" s="133">
        <v>0.104941269604442</v>
      </c>
      <c r="H80" s="118">
        <v>2.7E-2</v>
      </c>
      <c r="I80" s="129">
        <v>0</v>
      </c>
      <c r="J80" s="118"/>
      <c r="K80" s="133">
        <v>7.8306768726079806E-2</v>
      </c>
      <c r="L80" s="118">
        <v>0</v>
      </c>
      <c r="M80" s="118">
        <v>0</v>
      </c>
      <c r="N80" s="133">
        <v>4.0589126687164002E-2</v>
      </c>
      <c r="O80" s="118">
        <v>2.0949394955512199E-3</v>
      </c>
      <c r="P80" s="118"/>
      <c r="R80" s="260">
        <f>'Parameters, country spec'!H56</f>
        <v>1.5708249677942241E-2</v>
      </c>
    </row>
    <row r="81" spans="1:18" x14ac:dyDescent="0.35">
      <c r="A81" s="256" t="s">
        <v>470</v>
      </c>
      <c r="B81" s="16" t="s">
        <v>235</v>
      </c>
      <c r="C81" s="16" t="s">
        <v>467</v>
      </c>
      <c r="D81" s="257" t="s">
        <v>50</v>
      </c>
      <c r="E81" s="257" t="s">
        <v>51</v>
      </c>
      <c r="F81" s="258">
        <f t="shared" si="8"/>
        <v>0.23098021053624562</v>
      </c>
      <c r="G81" s="133">
        <v>0.10252301427971</v>
      </c>
      <c r="H81" s="118">
        <v>2.7E-2</v>
      </c>
      <c r="I81" s="118">
        <v>0</v>
      </c>
      <c r="J81" s="118"/>
      <c r="K81" s="133">
        <v>6.0000014967912497E-2</v>
      </c>
      <c r="L81" s="118">
        <v>0</v>
      </c>
      <c r="M81" s="118">
        <v>8.5266518907149398E-4</v>
      </c>
      <c r="N81" s="133">
        <v>4.0589126687164002E-2</v>
      </c>
      <c r="O81" s="118">
        <v>1.5389412387661699E-5</v>
      </c>
      <c r="P81" s="118"/>
      <c r="R81" s="260">
        <f>'Parameters, country spec'!H57</f>
        <v>1.2515759679726465E-3</v>
      </c>
    </row>
    <row r="82" spans="1:18" x14ac:dyDescent="0.35">
      <c r="A82" s="256" t="s">
        <v>471</v>
      </c>
      <c r="B82" s="16" t="s">
        <v>237</v>
      </c>
      <c r="C82" s="16" t="s">
        <v>467</v>
      </c>
      <c r="D82" s="257" t="s">
        <v>50</v>
      </c>
      <c r="E82" s="257" t="s">
        <v>51</v>
      </c>
      <c r="F82" s="258">
        <f t="shared" si="8"/>
        <v>0.25729159901647192</v>
      </c>
      <c r="G82" s="133">
        <v>0.137735454905831</v>
      </c>
      <c r="H82" s="118">
        <v>2.7E-2</v>
      </c>
      <c r="I82" s="118">
        <v>0</v>
      </c>
      <c r="J82" s="118"/>
      <c r="K82" s="133">
        <v>5.0052455127204597E-2</v>
      </c>
      <c r="L82" s="118">
        <v>0</v>
      </c>
      <c r="M82" s="118">
        <v>6.8496619331236098E-4</v>
      </c>
      <c r="N82" s="133">
        <v>4.0589126687164002E-2</v>
      </c>
      <c r="O82" s="118">
        <v>1.2295961029599499E-3</v>
      </c>
      <c r="P82" s="118"/>
      <c r="R82" s="260">
        <f>'Parameters, country spec'!H58</f>
        <v>7.1646219701035879E-2</v>
      </c>
    </row>
    <row r="83" spans="1:18" x14ac:dyDescent="0.35">
      <c r="A83" s="256" t="s">
        <v>472</v>
      </c>
      <c r="B83" s="16" t="s">
        <v>239</v>
      </c>
      <c r="C83" s="16" t="s">
        <v>473</v>
      </c>
      <c r="D83" s="257" t="s">
        <v>50</v>
      </c>
      <c r="E83" s="257" t="s">
        <v>51</v>
      </c>
      <c r="F83" s="258">
        <f t="shared" si="8"/>
        <v>0.27382788366606919</v>
      </c>
      <c r="G83" s="133">
        <v>0</v>
      </c>
      <c r="H83" s="118">
        <v>2.7E-2</v>
      </c>
      <c r="I83" s="129">
        <v>0</v>
      </c>
      <c r="J83" s="118"/>
      <c r="K83" s="133">
        <v>6.2984260482655693E-2</v>
      </c>
      <c r="L83" s="129">
        <v>0</v>
      </c>
      <c r="M83" s="118">
        <v>1.02082282460499E-4</v>
      </c>
      <c r="N83" s="133">
        <v>4.0589126687164002E-2</v>
      </c>
      <c r="O83" s="118">
        <v>0.14315241421378899</v>
      </c>
      <c r="P83" s="118"/>
      <c r="R83" s="260">
        <f>'Parameters, country spec'!H59</f>
        <v>2.6243338101171946E-3</v>
      </c>
    </row>
    <row r="84" spans="1:18" x14ac:dyDescent="0.35">
      <c r="A84" s="256" t="s">
        <v>474</v>
      </c>
      <c r="B84" s="16" t="s">
        <v>241</v>
      </c>
      <c r="C84" s="16" t="s">
        <v>473</v>
      </c>
      <c r="D84" s="257" t="s">
        <v>50</v>
      </c>
      <c r="E84" s="257" t="s">
        <v>51</v>
      </c>
      <c r="F84" s="258">
        <f t="shared" si="8"/>
        <v>0.42216039934343069</v>
      </c>
      <c r="G84" s="133">
        <v>3.5018880441687302E-3</v>
      </c>
      <c r="H84" s="118">
        <v>2.7E-2</v>
      </c>
      <c r="I84" s="129">
        <v>0</v>
      </c>
      <c r="J84" s="118"/>
      <c r="K84" s="133">
        <v>8.9239015209009995E-2</v>
      </c>
      <c r="L84" s="118">
        <v>0</v>
      </c>
      <c r="M84" s="118">
        <v>1.4196643495394999E-4</v>
      </c>
      <c r="N84" s="133">
        <v>4.0589126687164002E-2</v>
      </c>
      <c r="O84" s="118">
        <v>0.261688402968134</v>
      </c>
      <c r="P84" s="118"/>
      <c r="R84" s="260">
        <f>'Parameters, country spec'!H60</f>
        <v>2.5779606221648438E-3</v>
      </c>
    </row>
    <row r="85" spans="1:18" x14ac:dyDescent="0.35">
      <c r="B85" s="18" t="s">
        <v>242</v>
      </c>
      <c r="C85" s="16" t="s">
        <v>475</v>
      </c>
      <c r="D85" s="257" t="s">
        <v>476</v>
      </c>
      <c r="E85" s="257"/>
      <c r="F85" s="258">
        <f t="shared" si="8"/>
        <v>0.27085685084992933</v>
      </c>
      <c r="G85" s="53">
        <f>'Off-farm feed'!$F$74</f>
        <v>0.11176753125767698</v>
      </c>
      <c r="H85" s="53">
        <f>'Off-farm feed'!$G$74</f>
        <v>1.3034482758620692E-2</v>
      </c>
      <c r="I85" s="53">
        <f>'Off-farm feed'!$H$74</f>
        <v>0</v>
      </c>
      <c r="J85" s="53"/>
      <c r="K85" s="53">
        <f>'Off-farm feed'!$J$74</f>
        <v>2.4688740026345465E-2</v>
      </c>
      <c r="L85" s="53"/>
      <c r="M85" s="115">
        <f>'Off-farm feed'!$L$74</f>
        <v>1.9317593037941337E-4</v>
      </c>
      <c r="N85" s="53">
        <f>'Off-farm feed'!$M$74</f>
        <v>3.6802128767029069E-2</v>
      </c>
      <c r="O85" s="53">
        <f>'Off-farm feed'!$N$74</f>
        <v>0</v>
      </c>
      <c r="P85" s="53">
        <f>'Off-farm feed'!$O$74</f>
        <v>2.1170792109877701E-2</v>
      </c>
      <c r="Q85" s="53">
        <f>'Off-farm feed'!$P$74</f>
        <v>6.3200000000000006E-2</v>
      </c>
      <c r="R85" s="260">
        <f>'Parameters, country spec'!H61</f>
        <v>4.4205096143040447E-3</v>
      </c>
    </row>
    <row r="86" spans="1:18" x14ac:dyDescent="0.35">
      <c r="B86" s="18" t="s">
        <v>477</v>
      </c>
      <c r="C86" s="16" t="s">
        <v>475</v>
      </c>
      <c r="D86" s="257" t="s">
        <v>478</v>
      </c>
      <c r="E86" s="257"/>
      <c r="F86" s="258">
        <f t="shared" si="8"/>
        <v>0.7061171705997602</v>
      </c>
      <c r="G86" s="53">
        <f>'Off-farm feed'!$F$23</f>
        <v>7.2632670993099079E-3</v>
      </c>
      <c r="H86" s="53">
        <f>'Off-farm feed'!$G$23</f>
        <v>2.1402439024390246E-2</v>
      </c>
      <c r="I86" s="53">
        <f>'Off-farm feed'!$H$23</f>
        <v>0</v>
      </c>
      <c r="J86" s="53"/>
      <c r="K86" s="53">
        <f>'Off-farm feed'!$J$23</f>
        <v>4.3083619664332357E-2</v>
      </c>
      <c r="L86" s="53"/>
      <c r="M86" s="115">
        <f>'Off-farm feed'!$L$23</f>
        <v>1.7842060425123844E-4</v>
      </c>
      <c r="N86" s="53">
        <f>'Off-farm feed'!$M$23</f>
        <v>3.0432604948959392E-2</v>
      </c>
      <c r="O86" s="53">
        <f>'Off-farm feed'!$N$23</f>
        <v>0.31761120248475611</v>
      </c>
      <c r="P86" s="53">
        <f>'Off-farm feed'!$O$23</f>
        <v>3.5145616773760872E-2</v>
      </c>
      <c r="Q86" s="53">
        <f>'Off-farm feed'!$P$23</f>
        <v>0.251</v>
      </c>
      <c r="R86" s="260">
        <f>'Parameters, country spec'!H62</f>
        <v>0.10913728039586229</v>
      </c>
    </row>
    <row r="87" spans="1:18" x14ac:dyDescent="0.35">
      <c r="B87" s="16" t="s">
        <v>244</v>
      </c>
      <c r="C87" s="16" t="s">
        <v>479</v>
      </c>
      <c r="D87" s="257" t="s">
        <v>50</v>
      </c>
      <c r="E87" s="257" t="s">
        <v>51</v>
      </c>
      <c r="F87" s="258">
        <f t="shared" si="8"/>
        <v>0.48727386522204608</v>
      </c>
      <c r="G87" s="133">
        <v>1.23961909415248E-2</v>
      </c>
      <c r="H87" s="129">
        <v>2.4299999999999999E-3</v>
      </c>
      <c r="K87" s="129">
        <v>4.5047209614484203E-3</v>
      </c>
      <c r="L87">
        <v>0</v>
      </c>
      <c r="M87">
        <v>6.1646957398112502E-5</v>
      </c>
      <c r="N87">
        <v>3.6530214018447599E-3</v>
      </c>
      <c r="O87">
        <v>1.10663649266396E-4</v>
      </c>
      <c r="P87" s="129">
        <v>0.429390280461106</v>
      </c>
      <c r="Q87" s="129">
        <v>3.4727340849457597E-2</v>
      </c>
      <c r="R87" s="260">
        <f>'Parameters, country spec'!H63</f>
        <v>0.11521206449276877</v>
      </c>
    </row>
    <row r="88" spans="1:18" x14ac:dyDescent="0.35">
      <c r="A88" s="262"/>
      <c r="B88" s="16" t="s">
        <v>481</v>
      </c>
      <c r="C88" s="263" t="s">
        <v>482</v>
      </c>
      <c r="D88" s="257" t="s">
        <v>50</v>
      </c>
      <c r="E88" s="257" t="s">
        <v>51</v>
      </c>
      <c r="F88" s="258">
        <f t="shared" si="8"/>
        <v>0.1823013138634445</v>
      </c>
      <c r="G88" s="264">
        <f>AVERAGE(G78:G86)</f>
        <v>6.5637109466979704E-2</v>
      </c>
      <c r="H88" s="264">
        <f>AVERAGE(H78:H86)</f>
        <v>2.4826324642556769E-2</v>
      </c>
      <c r="I88" s="264">
        <f>AVERAGE(I78:I86)</f>
        <v>0</v>
      </c>
      <c r="J88" s="264"/>
      <c r="K88" s="264">
        <f>AVERAGE(K78:K86)</f>
        <v>5.2251278575547518E-2</v>
      </c>
      <c r="L88" s="264"/>
      <c r="M88" s="264">
        <f>AVERAGE(M78:M86)</f>
        <v>5.4675445323422748E-4</v>
      </c>
      <c r="N88" s="264">
        <f>AVERAGE(N78:N86)</f>
        <v>3.9039846725126268E-2</v>
      </c>
      <c r="O88" s="264"/>
      <c r="P88" s="264"/>
      <c r="Q88" s="264"/>
      <c r="R88" s="260">
        <f>'Parameters, country spec'!H64</f>
        <v>0.10718800646362231</v>
      </c>
    </row>
    <row r="89" spans="1:18" x14ac:dyDescent="0.35">
      <c r="A89" s="265"/>
      <c r="B89" s="266" t="s">
        <v>483</v>
      </c>
      <c r="C89" s="267"/>
      <c r="D89" s="268"/>
      <c r="E89" s="268"/>
      <c r="F89" s="269">
        <f>SUMPRODUCT(F78:F88,$R$78:$R$88)</f>
        <v>0.25927666460888521</v>
      </c>
      <c r="G89" s="269">
        <f>SUMPRODUCT(G78:G88,$R$78:$R$88)</f>
        <v>4.9606055359687748E-2</v>
      </c>
      <c r="H89" s="269">
        <f>SUMPRODUCT(H78:H88,$R$78:$R$88)</f>
        <v>2.326361036218692E-2</v>
      </c>
      <c r="I89" s="269">
        <f>SUMPRODUCT(I78:I88,$R$78:$R$88)</f>
        <v>0</v>
      </c>
      <c r="J89" s="269"/>
      <c r="K89" s="269">
        <f>SUMPRODUCT(K78:K88,$R$78:$R$88)</f>
        <v>2.753344056885906E-2</v>
      </c>
      <c r="L89" s="269"/>
      <c r="M89" s="269">
        <f>SUMPRODUCT(M78:M88,$R$78:$R$88)</f>
        <v>1.5056079065641243E-3</v>
      </c>
      <c r="N89" s="269">
        <f>SUMPRODUCT(N78:N88,$R$78:$R$88)</f>
        <v>3.5042381890830823E-2</v>
      </c>
      <c r="O89" s="269">
        <f>SUMPRODUCT(O78:O88,$R$78:$R$88)</f>
        <v>3.7251502892520404E-2</v>
      </c>
      <c r="P89" s="269">
        <f>SUMPRODUCT(P78:P88,$R$30:$R$40)</f>
        <v>3.0365467544269352E-2</v>
      </c>
      <c r="Q89" s="269">
        <f>SUMPRODUCT(Q78:Q88,$R$78:$R$88)</f>
        <v>3.1673842220595522E-2</v>
      </c>
      <c r="R89" s="270"/>
    </row>
    <row r="90" spans="1:18" x14ac:dyDescent="0.35">
      <c r="A90" s="256" t="s">
        <v>466</v>
      </c>
      <c r="B90" s="16" t="s">
        <v>226</v>
      </c>
      <c r="C90" s="16" t="s">
        <v>467</v>
      </c>
      <c r="D90" s="257" t="s">
        <v>52</v>
      </c>
      <c r="E90" s="257" t="s">
        <v>53</v>
      </c>
      <c r="F90" s="258">
        <f t="shared" ref="F90:F100" si="9">SUM(G90:Q90)</f>
        <v>0.1431111373616365</v>
      </c>
      <c r="G90" s="133">
        <v>4.4406099320232699E-2</v>
      </c>
      <c r="H90" s="118">
        <v>2.7E-2</v>
      </c>
      <c r="I90" s="129">
        <v>0</v>
      </c>
      <c r="J90" s="118"/>
      <c r="K90" s="133">
        <v>2.8739432176656199E-2</v>
      </c>
      <c r="L90" s="118">
        <v>0</v>
      </c>
      <c r="M90" s="118">
        <v>1.36800051961635E-6</v>
      </c>
      <c r="N90" s="133">
        <v>4.2964237864227997E-2</v>
      </c>
      <c r="O90" s="118">
        <v>0</v>
      </c>
      <c r="P90" s="118"/>
      <c r="R90" s="260">
        <f>'Parameters, country spec'!I54</f>
        <v>9.2949044996403496E-2</v>
      </c>
    </row>
    <row r="91" spans="1:18" x14ac:dyDescent="0.35">
      <c r="A91" s="256" t="s">
        <v>468</v>
      </c>
      <c r="B91" s="16" t="s">
        <v>229</v>
      </c>
      <c r="C91" s="16" t="s">
        <v>467</v>
      </c>
      <c r="D91" s="257" t="s">
        <v>52</v>
      </c>
      <c r="E91" s="257" t="s">
        <v>53</v>
      </c>
      <c r="F91" s="258">
        <f t="shared" si="9"/>
        <v>0.13349668018929536</v>
      </c>
      <c r="G91" s="133">
        <v>4.5357172887487598E-2</v>
      </c>
      <c r="H91" s="118">
        <v>2.7E-2</v>
      </c>
      <c r="I91" s="129">
        <v>0</v>
      </c>
      <c r="J91" s="118"/>
      <c r="K91" s="133">
        <v>1.7420638404206799E-2</v>
      </c>
      <c r="L91" s="118">
        <v>0</v>
      </c>
      <c r="M91" s="118">
        <v>7.5463103337298197E-4</v>
      </c>
      <c r="N91" s="133">
        <v>4.2964237864227997E-2</v>
      </c>
      <c r="O91" s="118">
        <v>0</v>
      </c>
      <c r="P91" s="118"/>
      <c r="R91" s="260">
        <f>'Parameters, country spec'!I55</f>
        <v>0.27914438878544884</v>
      </c>
    </row>
    <row r="92" spans="1:18" x14ac:dyDescent="0.35">
      <c r="A92" s="256" t="s">
        <v>469</v>
      </c>
      <c r="B92" s="16" t="s">
        <v>232</v>
      </c>
      <c r="C92" s="16" t="s">
        <v>467</v>
      </c>
      <c r="D92" s="257" t="s">
        <v>52</v>
      </c>
      <c r="E92" s="257" t="s">
        <v>53</v>
      </c>
      <c r="F92" s="258">
        <f t="shared" si="9"/>
        <v>0.15534923816677168</v>
      </c>
      <c r="G92" s="133">
        <v>4.6682126200482899E-2</v>
      </c>
      <c r="H92" s="118">
        <v>2.7E-2</v>
      </c>
      <c r="I92" s="129">
        <v>0</v>
      </c>
      <c r="J92" s="118"/>
      <c r="K92" s="133">
        <v>3.8115003201796303E-2</v>
      </c>
      <c r="L92" s="118">
        <v>0</v>
      </c>
      <c r="M92" s="118">
        <v>5.8787090026448405E-4</v>
      </c>
      <c r="N92" s="133">
        <v>4.2964237864227997E-2</v>
      </c>
      <c r="O92" s="118">
        <v>0</v>
      </c>
      <c r="P92" s="118"/>
      <c r="R92" s="260">
        <f>'Parameters, country spec'!I56</f>
        <v>3.0531645384754033E-3</v>
      </c>
    </row>
    <row r="93" spans="1:18" x14ac:dyDescent="0.35">
      <c r="A93" s="256" t="s">
        <v>470</v>
      </c>
      <c r="B93" s="16" t="s">
        <v>235</v>
      </c>
      <c r="C93" s="16" t="s">
        <v>467</v>
      </c>
      <c r="D93" s="257" t="s">
        <v>52</v>
      </c>
      <c r="E93" s="257" t="s">
        <v>53</v>
      </c>
      <c r="F93" s="258">
        <f t="shared" si="9"/>
        <v>0.20760760089613001</v>
      </c>
      <c r="G93" s="133">
        <v>8.3910600877136393E-2</v>
      </c>
      <c r="H93" s="118">
        <v>2.7E-2</v>
      </c>
      <c r="I93" s="118">
        <v>0</v>
      </c>
      <c r="J93" s="118"/>
      <c r="K93" s="133">
        <v>5.37327621547656E-2</v>
      </c>
      <c r="L93" s="118">
        <v>0</v>
      </c>
      <c r="M93" s="118">
        <v>0</v>
      </c>
      <c r="N93" s="133">
        <v>4.2964237864227997E-2</v>
      </c>
      <c r="O93" s="118">
        <v>0</v>
      </c>
      <c r="P93" s="118"/>
      <c r="R93" s="260">
        <f>'Parameters, country spec'!I57</f>
        <v>1.1489015097402086E-2</v>
      </c>
    </row>
    <row r="94" spans="1:18" x14ac:dyDescent="0.35">
      <c r="A94" s="256" t="s">
        <v>471</v>
      </c>
      <c r="B94" s="16" t="s">
        <v>237</v>
      </c>
      <c r="C94" s="16" t="s">
        <v>467</v>
      </c>
      <c r="D94" s="257" t="s">
        <v>52</v>
      </c>
      <c r="E94" s="257" t="s">
        <v>53</v>
      </c>
      <c r="F94" s="258">
        <f t="shared" si="9"/>
        <v>0.15163483331060859</v>
      </c>
      <c r="G94" s="133">
        <v>5.8435336021816997E-2</v>
      </c>
      <c r="H94" s="118">
        <v>2.7E-2</v>
      </c>
      <c r="I94" s="118">
        <v>0</v>
      </c>
      <c r="J94" s="118"/>
      <c r="K94" s="133">
        <v>2.3235259424563601E-2</v>
      </c>
      <c r="L94" s="118">
        <v>0</v>
      </c>
      <c r="M94" s="118">
        <v>0</v>
      </c>
      <c r="N94" s="133">
        <v>4.2964237864227997E-2</v>
      </c>
      <c r="O94" s="118">
        <v>0</v>
      </c>
      <c r="P94" s="118"/>
      <c r="R94" s="260">
        <f>'Parameters, country spec'!I58</f>
        <v>0.31451111490386796</v>
      </c>
    </row>
    <row r="95" spans="1:18" x14ac:dyDescent="0.35">
      <c r="A95" s="256" t="s">
        <v>472</v>
      </c>
      <c r="B95" s="16" t="s">
        <v>239</v>
      </c>
      <c r="C95" s="16" t="s">
        <v>473</v>
      </c>
      <c r="D95" s="257" t="s">
        <v>52</v>
      </c>
      <c r="E95" s="257" t="s">
        <v>53</v>
      </c>
      <c r="F95" s="258">
        <f t="shared" si="9"/>
        <v>0.14636810260852107</v>
      </c>
      <c r="G95" s="133">
        <v>0</v>
      </c>
      <c r="H95" s="118">
        <v>2.7E-2</v>
      </c>
      <c r="I95" s="129">
        <v>0</v>
      </c>
      <c r="J95" s="118"/>
      <c r="K95" s="133">
        <v>5.9912817690818299E-2</v>
      </c>
      <c r="L95" s="129">
        <v>0</v>
      </c>
      <c r="M95" s="118">
        <v>4.6529167754077701E-3</v>
      </c>
      <c r="N95" s="133">
        <v>3.4771853907349999E-2</v>
      </c>
      <c r="O95" s="118">
        <v>2.0030514234945E-2</v>
      </c>
      <c r="P95" s="118"/>
      <c r="R95" s="260">
        <f>'Parameters, country spec'!I59</f>
        <v>0</v>
      </c>
    </row>
    <row r="96" spans="1:18" x14ac:dyDescent="0.35">
      <c r="A96" s="256" t="s">
        <v>474</v>
      </c>
      <c r="B96" s="16" t="s">
        <v>241</v>
      </c>
      <c r="C96" s="16" t="s">
        <v>473</v>
      </c>
      <c r="D96" s="257" t="s">
        <v>52</v>
      </c>
      <c r="E96" s="257" t="s">
        <v>53</v>
      </c>
      <c r="F96" s="258">
        <f t="shared" si="9"/>
        <v>0.12189748854700576</v>
      </c>
      <c r="G96" s="133">
        <v>1.7980343901417999E-3</v>
      </c>
      <c r="H96" s="118">
        <v>2.7E-2</v>
      </c>
      <c r="I96" s="129">
        <v>0</v>
      </c>
      <c r="J96" s="118"/>
      <c r="K96" s="133">
        <v>5.0135211150169098E-2</v>
      </c>
      <c r="L96" s="118">
        <v>0</v>
      </c>
      <c r="M96" s="118">
        <v>5.1424668685509601E-9</v>
      </c>
      <c r="N96" s="133">
        <v>4.2964237864227997E-2</v>
      </c>
      <c r="O96" s="118">
        <v>0</v>
      </c>
      <c r="P96" s="118"/>
      <c r="R96" s="260">
        <f>'Parameters, country spec'!I60</f>
        <v>0</v>
      </c>
    </row>
    <row r="97" spans="1:19" x14ac:dyDescent="0.35">
      <c r="B97" s="18" t="s">
        <v>242</v>
      </c>
      <c r="C97" s="16" t="s">
        <v>475</v>
      </c>
      <c r="D97" s="257" t="s">
        <v>476</v>
      </c>
      <c r="E97" s="257"/>
      <c r="F97" s="258">
        <f t="shared" si="9"/>
        <v>0.27085685084992933</v>
      </c>
      <c r="G97" s="53">
        <f>'Off-farm feed'!$F$74</f>
        <v>0.11176753125767698</v>
      </c>
      <c r="H97" s="53">
        <f>'Off-farm feed'!$G$74</f>
        <v>1.3034482758620692E-2</v>
      </c>
      <c r="I97" s="53">
        <f>'Off-farm feed'!$H$74</f>
        <v>0</v>
      </c>
      <c r="J97" s="53"/>
      <c r="K97" s="53">
        <f>'Off-farm feed'!$J$74</f>
        <v>2.4688740026345465E-2</v>
      </c>
      <c r="L97" s="53"/>
      <c r="M97" s="115">
        <f>'Off-farm feed'!$L$74</f>
        <v>1.9317593037941337E-4</v>
      </c>
      <c r="N97" s="53">
        <f>'Off-farm feed'!$M$74</f>
        <v>3.6802128767029069E-2</v>
      </c>
      <c r="O97" s="53">
        <f>'Off-farm feed'!$N$74</f>
        <v>0</v>
      </c>
      <c r="P97" s="53">
        <f>'Off-farm feed'!$O$74</f>
        <v>2.1170792109877701E-2</v>
      </c>
      <c r="Q97" s="53">
        <f>'Off-farm feed'!$P$74</f>
        <v>6.3200000000000006E-2</v>
      </c>
      <c r="R97" s="260">
        <f>'Parameters, country spec'!I61</f>
        <v>0.10008651776935426</v>
      </c>
    </row>
    <row r="98" spans="1:19" x14ac:dyDescent="0.35">
      <c r="B98" s="18" t="s">
        <v>477</v>
      </c>
      <c r="C98" s="16" t="s">
        <v>475</v>
      </c>
      <c r="D98" s="257" t="s">
        <v>478</v>
      </c>
      <c r="E98" s="257"/>
      <c r="F98" s="258">
        <f t="shared" si="9"/>
        <v>0.7061171705997602</v>
      </c>
      <c r="G98" s="53">
        <f>'Off-farm feed'!$F$23</f>
        <v>7.2632670993099079E-3</v>
      </c>
      <c r="H98" s="53">
        <f>'Off-farm feed'!$G$23</f>
        <v>2.1402439024390246E-2</v>
      </c>
      <c r="I98" s="53">
        <f>'Off-farm feed'!$H$23</f>
        <v>0</v>
      </c>
      <c r="J98" s="53"/>
      <c r="K98" s="53">
        <f>'Off-farm feed'!$J$23</f>
        <v>4.3083619664332357E-2</v>
      </c>
      <c r="L98" s="53"/>
      <c r="M98" s="115">
        <f>'Off-farm feed'!$L$23</f>
        <v>1.7842060425123844E-4</v>
      </c>
      <c r="N98" s="53">
        <f>'Off-farm feed'!$M$23</f>
        <v>3.0432604948959392E-2</v>
      </c>
      <c r="O98" s="53">
        <f>'Off-farm feed'!$N$23</f>
        <v>0.31761120248475611</v>
      </c>
      <c r="P98" s="53">
        <f>'Off-farm feed'!$O$23</f>
        <v>3.5145616773760872E-2</v>
      </c>
      <c r="Q98" s="53">
        <f>'Off-farm feed'!$P$23</f>
        <v>0.251</v>
      </c>
      <c r="R98" s="260">
        <f>'Parameters, country spec'!I62</f>
        <v>0.12925684634820819</v>
      </c>
    </row>
    <row r="99" spans="1:19" x14ac:dyDescent="0.35">
      <c r="B99" s="16" t="s">
        <v>244</v>
      </c>
      <c r="C99" s="16" t="s">
        <v>479</v>
      </c>
      <c r="D99" s="257" t="s">
        <v>52</v>
      </c>
      <c r="E99" s="257" t="s">
        <v>53</v>
      </c>
      <c r="F99" s="258">
        <f t="shared" si="9"/>
        <v>0.55092795580500509</v>
      </c>
      <c r="G99" s="133">
        <v>5.2591802419635304E-3</v>
      </c>
      <c r="H99" s="129">
        <v>2.4299999999999999E-3</v>
      </c>
      <c r="I99" s="129"/>
      <c r="J99" s="118"/>
      <c r="K99" s="133">
        <v>2.0911733482107302E-3</v>
      </c>
      <c r="L99" s="118">
        <v>0</v>
      </c>
      <c r="M99" s="118">
        <v>0</v>
      </c>
      <c r="N99" s="133">
        <v>3.86678140778052E-3</v>
      </c>
      <c r="O99" s="118">
        <v>0</v>
      </c>
      <c r="P99" s="129">
        <v>0.52550926010708199</v>
      </c>
      <c r="Q99" s="129">
        <v>1.1771560699968301E-2</v>
      </c>
      <c r="R99" s="260">
        <f>'Parameters, country spec'!I63</f>
        <v>1.4083067834104707E-2</v>
      </c>
      <c r="S99" t="s">
        <v>480</v>
      </c>
    </row>
    <row r="100" spans="1:19" x14ac:dyDescent="0.35">
      <c r="A100" s="262"/>
      <c r="B100" s="16" t="s">
        <v>481</v>
      </c>
      <c r="C100" s="263" t="s">
        <v>482</v>
      </c>
      <c r="D100" s="257" t="s">
        <v>52</v>
      </c>
      <c r="E100" s="257" t="s">
        <v>53</v>
      </c>
      <c r="F100" s="258">
        <f t="shared" si="9"/>
        <v>0.1475867752140354</v>
      </c>
      <c r="G100" s="264">
        <f>AVERAGE(G90:G98)</f>
        <v>4.4402240894920592E-2</v>
      </c>
      <c r="H100" s="264">
        <f>AVERAGE(H90:H98)</f>
        <v>2.4826324642556769E-2</v>
      </c>
      <c r="I100" s="264">
        <f>AVERAGE(I90:I98)</f>
        <v>0</v>
      </c>
      <c r="J100" s="264"/>
      <c r="K100" s="264">
        <f>AVERAGE(K90:K98)</f>
        <v>3.7673720432628191E-2</v>
      </c>
      <c r="L100" s="264"/>
      <c r="M100" s="264">
        <f>AVERAGE(M90:M98)</f>
        <v>7.0759870962915257E-4</v>
      </c>
      <c r="N100" s="264">
        <f>AVERAGE(N90:N98)</f>
        <v>3.9976890534300709E-2</v>
      </c>
      <c r="O100" s="264"/>
      <c r="P100" s="264"/>
      <c r="Q100" s="264"/>
      <c r="R100" s="260">
        <f>'Parameters, country spec'!I64</f>
        <v>5.5426839726735837E-2</v>
      </c>
    </row>
    <row r="101" spans="1:19" x14ac:dyDescent="0.35">
      <c r="A101" s="265"/>
      <c r="B101" s="266" t="s">
        <v>483</v>
      </c>
      <c r="C101" s="267"/>
      <c r="D101" s="268"/>
      <c r="E101" s="268"/>
      <c r="F101" s="269">
        <f>SUMPRODUCT(F90:F100,$R$90:$R$100)</f>
        <v>0.23543586881977149</v>
      </c>
      <c r="G101" s="269">
        <f>SUMPRODUCT(G90:G100,$R$90:$R$100)</f>
        <v>5.0934237165543877E-2</v>
      </c>
      <c r="H101" s="269">
        <f>SUMPRODUCT(H90:H100,$R$90:$R$100)</f>
        <v>2.4412215999174456E-2</v>
      </c>
      <c r="I101" s="269">
        <f>SUMPRODUCT(I90:I100,$R$90:$R$100)</f>
        <v>0</v>
      </c>
      <c r="J101" s="269"/>
      <c r="K101" s="269">
        <f>SUMPRODUCT(K90:K100,$R$90:$R$100)</f>
        <v>2.5733079697506551E-2</v>
      </c>
      <c r="L101" s="269"/>
      <c r="M101" s="269">
        <f>SUMPRODUCT(M90:M100,$R$90:$R$100)</f>
        <v>2.9418939058422239E-4</v>
      </c>
      <c r="N101" s="269">
        <f>SUMPRODUCT(N90:N100,$R$90:$R$100)</f>
        <v>4.0011503119272429E-2</v>
      </c>
      <c r="O101" s="269">
        <f>SUMPRODUCT(O90:O100,$R$90:$R$100)</f>
        <v>4.1053422398041758E-2</v>
      </c>
      <c r="P101" s="269">
        <f>SUMPRODUCT(P90:P100,$R$30:$R$40)</f>
        <v>3.5879097774905527E-2</v>
      </c>
      <c r="Q101" s="269">
        <f>SUMPRODUCT(Q90:Q100,$R$90:$R$100)</f>
        <v>3.8934716044274377E-2</v>
      </c>
      <c r="R101" s="270"/>
    </row>
    <row r="102" spans="1:19" x14ac:dyDescent="0.35">
      <c r="A102" s="256" t="s">
        <v>466</v>
      </c>
      <c r="B102" s="16" t="s">
        <v>226</v>
      </c>
      <c r="C102" s="16" t="s">
        <v>467</v>
      </c>
      <c r="D102" s="257" t="s">
        <v>54</v>
      </c>
      <c r="E102" s="257" t="s">
        <v>55</v>
      </c>
      <c r="F102" s="258">
        <f t="shared" ref="F102:F112" si="10">SUM(G102:Q102)</f>
        <v>0.19778401533184728</v>
      </c>
      <c r="G102" s="133">
        <v>6.6974674658077701E-2</v>
      </c>
      <c r="H102" s="118">
        <v>2.7E-2</v>
      </c>
      <c r="I102" s="129">
        <v>0</v>
      </c>
      <c r="J102" s="118"/>
      <c r="K102" s="133">
        <v>4.479189511323E-2</v>
      </c>
      <c r="L102" s="118">
        <v>0</v>
      </c>
      <c r="M102" s="118">
        <v>9.414416162111999E-10</v>
      </c>
      <c r="N102" s="133">
        <v>5.2538621212229998E-2</v>
      </c>
      <c r="O102" s="118">
        <v>6.4788234068679897E-3</v>
      </c>
      <c r="P102" s="118"/>
      <c r="R102" s="260">
        <f>'Parameters, country spec'!J54</f>
        <v>0.15537879618298778</v>
      </c>
    </row>
    <row r="103" spans="1:19" x14ac:dyDescent="0.35">
      <c r="A103" s="256" t="s">
        <v>468</v>
      </c>
      <c r="B103" s="16" t="s">
        <v>229</v>
      </c>
      <c r="C103" s="16" t="s">
        <v>467</v>
      </c>
      <c r="D103" s="257" t="s">
        <v>54</v>
      </c>
      <c r="E103" s="257" t="s">
        <v>55</v>
      </c>
      <c r="F103" s="258">
        <f t="shared" si="10"/>
        <v>0.21676807042422677</v>
      </c>
      <c r="G103" s="133">
        <v>5.6481038667633099E-2</v>
      </c>
      <c r="H103" s="118">
        <v>2.7E-2</v>
      </c>
      <c r="I103" s="129">
        <v>0</v>
      </c>
      <c r="J103" s="118"/>
      <c r="K103" s="133">
        <v>2.24168213846326E-2</v>
      </c>
      <c r="L103" s="118">
        <v>0</v>
      </c>
      <c r="M103" s="118">
        <v>7.8565565286555606E-5</v>
      </c>
      <c r="N103" s="133">
        <v>5.2538621212229998E-2</v>
      </c>
      <c r="O103" s="118">
        <v>5.8253023594444502E-2</v>
      </c>
      <c r="P103" s="118"/>
      <c r="R103" s="260">
        <f>'Parameters, country spec'!J55</f>
        <v>0.21285188977616532</v>
      </c>
    </row>
    <row r="104" spans="1:19" x14ac:dyDescent="0.35">
      <c r="A104" s="256" t="s">
        <v>469</v>
      </c>
      <c r="B104" s="16" t="s">
        <v>232</v>
      </c>
      <c r="C104" s="16" t="s">
        <v>467</v>
      </c>
      <c r="D104" s="257" t="s">
        <v>54</v>
      </c>
      <c r="E104" s="257" t="s">
        <v>55</v>
      </c>
      <c r="F104" s="258">
        <f t="shared" si="10"/>
        <v>0.22833778477683531</v>
      </c>
      <c r="G104" s="133">
        <v>6.9247588887104E-2</v>
      </c>
      <c r="H104" s="118">
        <v>2.7E-2</v>
      </c>
      <c r="I104" s="129">
        <v>0</v>
      </c>
      <c r="J104" s="118"/>
      <c r="K104" s="133">
        <v>5.84256101167712E-2</v>
      </c>
      <c r="L104" s="118">
        <v>0</v>
      </c>
      <c r="M104" s="118">
        <v>4.1031532346544501E-9</v>
      </c>
      <c r="N104" s="133">
        <v>5.2538621212229998E-2</v>
      </c>
      <c r="O104" s="118">
        <v>2.1125960457576899E-2</v>
      </c>
      <c r="P104" s="118"/>
      <c r="R104" s="260">
        <f>'Parameters, country spec'!J56</f>
        <v>4.6535021524768639E-3</v>
      </c>
    </row>
    <row r="105" spans="1:19" x14ac:dyDescent="0.35">
      <c r="A105" s="256" t="s">
        <v>470</v>
      </c>
      <c r="B105" s="16" t="s">
        <v>235</v>
      </c>
      <c r="C105" s="16" t="s">
        <v>467</v>
      </c>
      <c r="D105" s="257" t="s">
        <v>54</v>
      </c>
      <c r="E105" s="257" t="s">
        <v>55</v>
      </c>
      <c r="F105" s="258">
        <f t="shared" si="10"/>
        <v>0.22905734672402878</v>
      </c>
      <c r="G105" s="133">
        <v>8.4491992987339795E-2</v>
      </c>
      <c r="H105" s="118">
        <v>2.7E-2</v>
      </c>
      <c r="I105" s="118">
        <v>0</v>
      </c>
      <c r="J105" s="118"/>
      <c r="K105" s="133">
        <v>5.5910214328885599E-2</v>
      </c>
      <c r="L105" s="118">
        <v>0</v>
      </c>
      <c r="M105" s="118">
        <v>3.0569525446393402E-10</v>
      </c>
      <c r="N105" s="133">
        <v>5.2538621212229998E-2</v>
      </c>
      <c r="O105" s="118">
        <v>9.1165178898781202E-3</v>
      </c>
      <c r="P105" s="118"/>
      <c r="R105" s="260">
        <f>'Parameters, country spec'!J57</f>
        <v>6.0757670649699391E-2</v>
      </c>
    </row>
    <row r="106" spans="1:19" x14ac:dyDescent="0.35">
      <c r="A106" s="256" t="s">
        <v>471</v>
      </c>
      <c r="B106" s="16" t="s">
        <v>237</v>
      </c>
      <c r="C106" s="16" t="s">
        <v>467</v>
      </c>
      <c r="D106" s="257" t="s">
        <v>54</v>
      </c>
      <c r="E106" s="257" t="s">
        <v>55</v>
      </c>
      <c r="F106" s="258">
        <f t="shared" si="10"/>
        <v>0.20938329626454633</v>
      </c>
      <c r="G106" s="133">
        <v>9.0625939340276698E-2</v>
      </c>
      <c r="H106" s="118">
        <v>2.7E-2</v>
      </c>
      <c r="I106" s="118">
        <v>0</v>
      </c>
      <c r="J106" s="118"/>
      <c r="K106" s="133">
        <v>3.7237264426631202E-2</v>
      </c>
      <c r="L106" s="118">
        <v>0</v>
      </c>
      <c r="M106" s="118">
        <v>1.8815089803987399E-10</v>
      </c>
      <c r="N106" s="133">
        <v>5.2538621212229998E-2</v>
      </c>
      <c r="O106" s="118">
        <v>1.98147109725751E-3</v>
      </c>
      <c r="P106" s="118"/>
      <c r="R106" s="260">
        <f>'Parameters, country spec'!J58</f>
        <v>0.24429473309456204</v>
      </c>
    </row>
    <row r="107" spans="1:19" x14ac:dyDescent="0.35">
      <c r="A107" s="256" t="s">
        <v>472</v>
      </c>
      <c r="B107" s="16" t="s">
        <v>239</v>
      </c>
      <c r="C107" s="16" t="s">
        <v>473</v>
      </c>
      <c r="D107" s="257" t="s">
        <v>54</v>
      </c>
      <c r="E107" s="257" t="s">
        <v>55</v>
      </c>
      <c r="F107" s="258">
        <f t="shared" si="10"/>
        <v>0.17634972946846228</v>
      </c>
      <c r="G107" s="133">
        <v>0</v>
      </c>
      <c r="H107" s="118">
        <v>2.7E-2</v>
      </c>
      <c r="I107" s="129">
        <v>0</v>
      </c>
      <c r="J107" s="118"/>
      <c r="K107" s="133">
        <v>8.3714945321992695E-2</v>
      </c>
      <c r="L107" s="129">
        <v>0</v>
      </c>
      <c r="M107" s="118">
        <v>2.4148435539825202E-6</v>
      </c>
      <c r="N107" s="133">
        <v>5.2538621212229998E-2</v>
      </c>
      <c r="O107" s="118">
        <v>1.30937480906856E-2</v>
      </c>
      <c r="P107" s="118"/>
      <c r="R107" s="260">
        <f>'Parameters, country spec'!J59</f>
        <v>3.0603451734342534E-3</v>
      </c>
    </row>
    <row r="108" spans="1:19" x14ac:dyDescent="0.35">
      <c r="A108" s="256" t="s">
        <v>474</v>
      </c>
      <c r="B108" s="16" t="s">
        <v>241</v>
      </c>
      <c r="C108" s="16" t="s">
        <v>473</v>
      </c>
      <c r="D108" s="257" t="s">
        <v>54</v>
      </c>
      <c r="E108" s="257" t="s">
        <v>55</v>
      </c>
      <c r="F108" s="258">
        <f t="shared" si="10"/>
        <v>0.18407428350603985</v>
      </c>
      <c r="G108" s="133">
        <v>2.25145992179658E-3</v>
      </c>
      <c r="H108" s="118">
        <v>2.7E-2</v>
      </c>
      <c r="I108" s="129">
        <v>0</v>
      </c>
      <c r="J108" s="118"/>
      <c r="K108" s="133">
        <v>6.48727550922827E-2</v>
      </c>
      <c r="L108" s="118">
        <v>0</v>
      </c>
      <c r="M108" s="118">
        <v>1.6757553987597499E-6</v>
      </c>
      <c r="N108" s="133">
        <v>5.2538621212229998E-2</v>
      </c>
      <c r="O108" s="118">
        <v>3.7409771524331802E-2</v>
      </c>
      <c r="P108" s="118"/>
      <c r="R108" s="260">
        <f>'Parameters, country spec'!J60</f>
        <v>3.0062674660528534E-3</v>
      </c>
    </row>
    <row r="109" spans="1:19" x14ac:dyDescent="0.35">
      <c r="B109" s="18" t="s">
        <v>242</v>
      </c>
      <c r="C109" s="16" t="s">
        <v>475</v>
      </c>
      <c r="D109" s="257" t="s">
        <v>476</v>
      </c>
      <c r="E109" s="257"/>
      <c r="F109" s="258">
        <f t="shared" si="10"/>
        <v>0.27085685084992933</v>
      </c>
      <c r="G109" s="53">
        <f>'Off-farm feed'!$F$74</f>
        <v>0.11176753125767698</v>
      </c>
      <c r="H109" s="53">
        <f>'Off-farm feed'!$G$74</f>
        <v>1.3034482758620692E-2</v>
      </c>
      <c r="I109" s="53">
        <f>'Off-farm feed'!$H$74</f>
        <v>0</v>
      </c>
      <c r="J109" s="53"/>
      <c r="K109" s="53">
        <f>'Off-farm feed'!$J$74</f>
        <v>2.4688740026345465E-2</v>
      </c>
      <c r="L109" s="53"/>
      <c r="M109" s="115">
        <f>'Off-farm feed'!$L$74</f>
        <v>1.9317593037941337E-4</v>
      </c>
      <c r="N109" s="53">
        <f>'Off-farm feed'!$M$74</f>
        <v>3.6802128767029069E-2</v>
      </c>
      <c r="O109" s="53">
        <f>'Off-farm feed'!$N$74</f>
        <v>0</v>
      </c>
      <c r="P109" s="53">
        <f>'Off-farm feed'!$O$74</f>
        <v>2.1170792109877701E-2</v>
      </c>
      <c r="Q109" s="53">
        <f>'Off-farm feed'!$P$74</f>
        <v>6.3200000000000006E-2</v>
      </c>
      <c r="R109" s="260">
        <f>'Parameters, country spec'!J61</f>
        <v>2.2057566041319011E-2</v>
      </c>
    </row>
    <row r="110" spans="1:19" x14ac:dyDescent="0.35">
      <c r="B110" s="18" t="s">
        <v>477</v>
      </c>
      <c r="C110" s="16" t="s">
        <v>475</v>
      </c>
      <c r="D110" s="257" t="s">
        <v>478</v>
      </c>
      <c r="E110" s="257"/>
      <c r="F110" s="258">
        <f t="shared" si="10"/>
        <v>0.7061171705997602</v>
      </c>
      <c r="G110" s="53">
        <f>'Off-farm feed'!$F$23</f>
        <v>7.2632670993099079E-3</v>
      </c>
      <c r="H110" s="53">
        <f>'Off-farm feed'!$G$23</f>
        <v>2.1402439024390246E-2</v>
      </c>
      <c r="I110" s="53">
        <f>'Off-farm feed'!$H$23</f>
        <v>0</v>
      </c>
      <c r="J110" s="53"/>
      <c r="K110" s="53">
        <f>'Off-farm feed'!$J$23</f>
        <v>4.3083619664332357E-2</v>
      </c>
      <c r="L110" s="53"/>
      <c r="M110" s="115">
        <f>'Off-farm feed'!$L$23</f>
        <v>1.7842060425123844E-4</v>
      </c>
      <c r="N110" s="53">
        <f>'Off-farm feed'!$M$23</f>
        <v>3.0432604948959392E-2</v>
      </c>
      <c r="O110" s="53">
        <f>'Off-farm feed'!$N$23</f>
        <v>0.31761120248475611</v>
      </c>
      <c r="P110" s="53">
        <f>'Off-farm feed'!$O$23</f>
        <v>3.5145616773760872E-2</v>
      </c>
      <c r="Q110" s="53">
        <f>'Off-farm feed'!$P$23</f>
        <v>0.251</v>
      </c>
      <c r="R110" s="260">
        <f>'Parameters, country spec'!J62</f>
        <v>7.6936029566743946E-2</v>
      </c>
    </row>
    <row r="111" spans="1:19" x14ac:dyDescent="0.35">
      <c r="B111" s="16" t="s">
        <v>244</v>
      </c>
      <c r="C111" s="16" t="s">
        <v>479</v>
      </c>
      <c r="D111" s="257" t="s">
        <v>54</v>
      </c>
      <c r="E111" s="257" t="s">
        <v>55</v>
      </c>
      <c r="F111" s="258">
        <f t="shared" si="10"/>
        <v>1.1238832732952029</v>
      </c>
      <c r="G111" s="133">
        <v>8.1563345406249002E-3</v>
      </c>
      <c r="H111" s="129">
        <v>2.4299999999999999E-3</v>
      </c>
      <c r="K111" s="129">
        <v>3.3513537983968001E-3</v>
      </c>
      <c r="L111">
        <v>0</v>
      </c>
      <c r="M111">
        <v>1.6933580823588599E-11</v>
      </c>
      <c r="N111" s="271">
        <v>4.7284759091007003E-3</v>
      </c>
      <c r="O111" s="22">
        <v>1.78332398753176E-4</v>
      </c>
      <c r="P111" s="129">
        <v>1.10085799516881</v>
      </c>
      <c r="Q111" s="129">
        <v>4.1807814625837696E-3</v>
      </c>
      <c r="R111" s="260">
        <f>'Parameters, country spec'!J63</f>
        <v>9.266442137782821E-2</v>
      </c>
    </row>
    <row r="112" spans="1:19" x14ac:dyDescent="0.35">
      <c r="A112" s="262"/>
      <c r="B112" s="16" t="s">
        <v>481</v>
      </c>
      <c r="C112" s="263" t="s">
        <v>482</v>
      </c>
      <c r="D112" s="257" t="s">
        <v>54</v>
      </c>
      <c r="E112" s="257" t="s">
        <v>55</v>
      </c>
      <c r="F112" s="258">
        <f t="shared" si="10"/>
        <v>0.17590462450180433</v>
      </c>
      <c r="G112" s="264">
        <f>AVERAGE(G102:G110)</f>
        <v>5.4344832535468304E-2</v>
      </c>
      <c r="H112" s="264">
        <f>AVERAGE(H102:H110)</f>
        <v>2.4826324642556769E-2</v>
      </c>
      <c r="I112" s="264">
        <f>AVERAGE(I102:I110)</f>
        <v>0</v>
      </c>
      <c r="J112" s="264"/>
      <c r="K112" s="264">
        <f>AVERAGE(K102:K110)</f>
        <v>4.8349096163900422E-2</v>
      </c>
      <c r="L112" s="264"/>
      <c r="M112" s="264">
        <f>AVERAGE(M102:M110)</f>
        <v>5.0473137478994785E-5</v>
      </c>
      <c r="N112" s="264">
        <f>AVERAGE(N102:N110)</f>
        <v>4.8333898022399832E-2</v>
      </c>
      <c r="O112" s="264"/>
      <c r="P112" s="264"/>
      <c r="Q112" s="264"/>
      <c r="R112" s="260">
        <f>'Parameters, country spec'!J64</f>
        <v>0.12433877851873028</v>
      </c>
    </row>
    <row r="113" spans="1:18" x14ac:dyDescent="0.35">
      <c r="A113" s="265"/>
      <c r="B113" s="266" t="s">
        <v>483</v>
      </c>
      <c r="C113" s="267"/>
      <c r="D113" s="268"/>
      <c r="E113" s="268"/>
      <c r="F113" s="269">
        <f>SUMPRODUCT(F102:F112,$R$102:$R$112)</f>
        <v>0.33041085464588088</v>
      </c>
      <c r="G113" s="269">
        <f>SUMPRODUCT(G102:G112,$R$102:$R$112)</f>
        <v>6.056762753106925E-2</v>
      </c>
      <c r="H113" s="269">
        <f>SUMPRODUCT(H102:H112,$R$102:$R$112)</f>
        <v>2.3714263592331936E-2</v>
      </c>
      <c r="I113" s="269">
        <f>SUMPRODUCT(I102:I112,$R$102:$R$112)</f>
        <v>0</v>
      </c>
      <c r="J113" s="269"/>
      <c r="K113" s="269">
        <f>SUMPRODUCT(K102:K112,$R$102:$R$112)</f>
        <v>3.5129595652742283E-2</v>
      </c>
      <c r="L113" s="269"/>
      <c r="M113" s="269">
        <f>SUMPRODUCT(M102:M112,$R$102:$R$112)</f>
        <v>4.0999220535243237E-5</v>
      </c>
      <c r="N113" s="269">
        <f>SUMPRODUCT(N102:N112,$R$102:$R$112)</f>
        <v>4.5537653774090123E-2</v>
      </c>
      <c r="O113" s="269">
        <f>SUMPRODUCT(O102:O112,$R$102:$R$112)</f>
        <v>3.9147014087078505E-2</v>
      </c>
      <c r="P113" s="269">
        <f>SUMPRODUCT(P102:P112,$R$30:$R$40)</f>
        <v>6.8882571079331462E-2</v>
      </c>
      <c r="Q113" s="269">
        <f>SUMPRODUCT(Q102:Q112,$R$102:$R$112)</f>
        <v>2.1092391290201566E-2</v>
      </c>
      <c r="R113" s="270"/>
    </row>
    <row r="114" spans="1:18" x14ac:dyDescent="0.35">
      <c r="A114" s="256" t="s">
        <v>466</v>
      </c>
      <c r="B114" s="16" t="s">
        <v>226</v>
      </c>
      <c r="C114" s="16" t="s">
        <v>467</v>
      </c>
      <c r="D114" s="257" t="s">
        <v>56</v>
      </c>
      <c r="E114" s="257" t="s">
        <v>57</v>
      </c>
      <c r="F114" s="258">
        <f t="shared" ref="F114:F124" si="11">SUM(G114:Q114)</f>
        <v>0.22941747708670257</v>
      </c>
      <c r="G114" s="133">
        <v>9.9982930263453701E-2</v>
      </c>
      <c r="H114" s="118">
        <v>2.7E-2</v>
      </c>
      <c r="I114" s="129">
        <v>0</v>
      </c>
      <c r="J114" s="118"/>
      <c r="K114" s="133">
        <v>6.1349494949495001E-2</v>
      </c>
      <c r="L114" s="118">
        <v>0</v>
      </c>
      <c r="M114" s="118">
        <v>9.4126417879238501E-4</v>
      </c>
      <c r="N114" s="133">
        <v>3.8391901627918001E-2</v>
      </c>
      <c r="O114" s="118">
        <v>1.7518860670434899E-3</v>
      </c>
      <c r="P114" s="118"/>
      <c r="R114" s="260">
        <f>'Parameters, country spec'!K54</f>
        <v>0.23308111745751758</v>
      </c>
    </row>
    <row r="115" spans="1:18" x14ac:dyDescent="0.35">
      <c r="A115" s="256" t="s">
        <v>468</v>
      </c>
      <c r="B115" s="16" t="s">
        <v>229</v>
      </c>
      <c r="C115" s="16" t="s">
        <v>467</v>
      </c>
      <c r="D115" s="257" t="s">
        <v>56</v>
      </c>
      <c r="E115" s="257" t="s">
        <v>57</v>
      </c>
      <c r="F115" s="258">
        <f t="shared" si="11"/>
        <v>0.1397596159422505</v>
      </c>
      <c r="G115" s="133">
        <v>3.6422323265829101E-2</v>
      </c>
      <c r="H115" s="118">
        <v>2.7E-2</v>
      </c>
      <c r="I115" s="129">
        <v>0</v>
      </c>
      <c r="J115" s="118"/>
      <c r="K115" s="133">
        <v>1.32628026548263E-2</v>
      </c>
      <c r="L115" s="118">
        <v>0</v>
      </c>
      <c r="M115" s="118">
        <v>2.30959332519068E-2</v>
      </c>
      <c r="N115" s="133">
        <v>3.8391901627918001E-2</v>
      </c>
      <c r="O115" s="118">
        <v>1.5866551417703101E-3</v>
      </c>
      <c r="P115" s="118"/>
      <c r="R115" s="260">
        <f>'Parameters, country spec'!K55</f>
        <v>0.30741311484903272</v>
      </c>
    </row>
    <row r="116" spans="1:18" x14ac:dyDescent="0.35">
      <c r="A116" s="256" t="s">
        <v>469</v>
      </c>
      <c r="B116" s="16" t="s">
        <v>232</v>
      </c>
      <c r="C116" s="16" t="s">
        <v>467</v>
      </c>
      <c r="D116" s="257" t="s">
        <v>56</v>
      </c>
      <c r="E116" s="257" t="s">
        <v>57</v>
      </c>
      <c r="F116" s="258">
        <f t="shared" si="11"/>
        <v>0.27809828671256548</v>
      </c>
      <c r="G116" s="133">
        <v>0.115661066806918</v>
      </c>
      <c r="H116" s="118">
        <v>2.7E-2</v>
      </c>
      <c r="I116" s="129">
        <v>0</v>
      </c>
      <c r="J116" s="118"/>
      <c r="K116" s="133">
        <v>8.9532786215923199E-2</v>
      </c>
      <c r="L116" s="118">
        <v>0</v>
      </c>
      <c r="M116" s="118">
        <v>1.3686923606236899E-3</v>
      </c>
      <c r="N116" s="133">
        <v>3.8391901627918001E-2</v>
      </c>
      <c r="O116" s="118">
        <v>6.1438397011825399E-3</v>
      </c>
      <c r="P116" s="118"/>
      <c r="R116" s="260">
        <f>'Parameters, country spec'!K56</f>
        <v>3.6341430093052865E-2</v>
      </c>
    </row>
    <row r="117" spans="1:18" x14ac:dyDescent="0.35">
      <c r="A117" s="256" t="s">
        <v>470</v>
      </c>
      <c r="B117" s="16" t="s">
        <v>235</v>
      </c>
      <c r="C117" s="16" t="s">
        <v>467</v>
      </c>
      <c r="D117" s="257" t="s">
        <v>56</v>
      </c>
      <c r="E117" s="257" t="s">
        <v>57</v>
      </c>
      <c r="F117" s="258">
        <f t="shared" si="11"/>
        <v>0.29893090047224069</v>
      </c>
      <c r="G117" s="133">
        <v>0.14048313981866201</v>
      </c>
      <c r="H117" s="118">
        <v>2.7E-2</v>
      </c>
      <c r="I117" s="118">
        <v>0</v>
      </c>
      <c r="J117" s="118"/>
      <c r="K117" s="133">
        <v>8.5289607177368595E-2</v>
      </c>
      <c r="L117" s="118">
        <v>0</v>
      </c>
      <c r="M117" s="118">
        <v>1.7956752415814799E-3</v>
      </c>
      <c r="N117" s="133">
        <v>3.8391901627918001E-2</v>
      </c>
      <c r="O117" s="118">
        <v>5.9705766067106401E-3</v>
      </c>
      <c r="P117" s="118"/>
      <c r="R117" s="260">
        <f>'Parameters, country spec'!K57</f>
        <v>9.5925750911748202E-3</v>
      </c>
    </row>
    <row r="118" spans="1:18" x14ac:dyDescent="0.35">
      <c r="A118" s="256" t="s">
        <v>471</v>
      </c>
      <c r="B118" s="16" t="s">
        <v>237</v>
      </c>
      <c r="C118" s="16" t="s">
        <v>467</v>
      </c>
      <c r="D118" s="257" t="s">
        <v>56</v>
      </c>
      <c r="E118" s="257" t="s">
        <v>57</v>
      </c>
      <c r="F118" s="258">
        <f t="shared" si="11"/>
        <v>0.27707357530941978</v>
      </c>
      <c r="G118" s="133">
        <v>0.15016151486392401</v>
      </c>
      <c r="H118" s="118">
        <v>2.7E-2</v>
      </c>
      <c r="I118" s="118">
        <v>0</v>
      </c>
      <c r="J118" s="118"/>
      <c r="K118" s="133">
        <v>5.6608310679611702E-2</v>
      </c>
      <c r="L118" s="118">
        <v>0</v>
      </c>
      <c r="M118" s="118">
        <v>1.14595040621167E-3</v>
      </c>
      <c r="N118" s="133">
        <v>3.8391901627918001E-2</v>
      </c>
      <c r="O118" s="118">
        <v>3.76589773175438E-3</v>
      </c>
      <c r="P118" s="118"/>
      <c r="R118" s="260">
        <f>'Parameters, country spec'!K58</f>
        <v>0.19744357688386704</v>
      </c>
    </row>
    <row r="119" spans="1:18" x14ac:dyDescent="0.35">
      <c r="A119" s="256" t="s">
        <v>472</v>
      </c>
      <c r="B119" s="16" t="s">
        <v>239</v>
      </c>
      <c r="C119" s="16" t="s">
        <v>473</v>
      </c>
      <c r="D119" s="257" t="s">
        <v>56</v>
      </c>
      <c r="E119" s="257" t="s">
        <v>57</v>
      </c>
      <c r="F119" s="258">
        <f t="shared" si="11"/>
        <v>0.21283404448058676</v>
      </c>
      <c r="G119" s="133">
        <v>0</v>
      </c>
      <c r="H119" s="118">
        <v>2.7E-2</v>
      </c>
      <c r="I119" s="129">
        <v>0</v>
      </c>
      <c r="J119" s="118"/>
      <c r="K119" s="133">
        <v>0.13295843685924499</v>
      </c>
      <c r="L119" s="129">
        <v>0</v>
      </c>
      <c r="M119" s="118">
        <v>1.10406453723893E-2</v>
      </c>
      <c r="N119" s="133">
        <v>3.8391901627918001E-2</v>
      </c>
      <c r="O119" s="118">
        <v>3.4430606210344599E-3</v>
      </c>
      <c r="P119" s="118"/>
      <c r="R119" s="260">
        <f>'Parameters, country spec'!K59</f>
        <v>5.4797743342333812E-3</v>
      </c>
    </row>
    <row r="120" spans="1:18" x14ac:dyDescent="0.35">
      <c r="A120" s="256" t="s">
        <v>474</v>
      </c>
      <c r="B120" s="16" t="s">
        <v>241</v>
      </c>
      <c r="C120" s="16" t="s">
        <v>473</v>
      </c>
      <c r="D120" s="257" t="s">
        <v>56</v>
      </c>
      <c r="E120" s="257" t="s">
        <v>57</v>
      </c>
      <c r="F120" s="258">
        <f t="shared" si="11"/>
        <v>0.23344472687066423</v>
      </c>
      <c r="G120" s="133">
        <v>5.3800295208884302E-3</v>
      </c>
      <c r="H120" s="118">
        <v>2.7E-2</v>
      </c>
      <c r="I120" s="129">
        <v>0</v>
      </c>
      <c r="J120" s="118"/>
      <c r="K120" s="133">
        <v>0.14222602973905801</v>
      </c>
      <c r="L120" s="118">
        <v>0</v>
      </c>
      <c r="M120" s="118">
        <v>1.18753181517716E-2</v>
      </c>
      <c r="N120" s="133">
        <v>3.8391901627918001E-2</v>
      </c>
      <c r="O120" s="118">
        <v>8.5714478310281901E-3</v>
      </c>
      <c r="P120" s="118"/>
      <c r="R120" s="260">
        <f>'Parameters, country spec'!K60</f>
        <v>5.382944196147911E-3</v>
      </c>
    </row>
    <row r="121" spans="1:18" x14ac:dyDescent="0.35">
      <c r="B121" s="18" t="s">
        <v>242</v>
      </c>
      <c r="C121" s="16" t="s">
        <v>475</v>
      </c>
      <c r="D121" s="257" t="s">
        <v>476</v>
      </c>
      <c r="E121" s="257"/>
      <c r="F121" s="258">
        <f t="shared" si="11"/>
        <v>0.27085685084992933</v>
      </c>
      <c r="G121" s="53">
        <f>'Off-farm feed'!$F$74</f>
        <v>0.11176753125767698</v>
      </c>
      <c r="H121" s="53">
        <f>'Off-farm feed'!$G$74</f>
        <v>1.3034482758620692E-2</v>
      </c>
      <c r="I121" s="53">
        <f>'Off-farm feed'!$H$74</f>
        <v>0</v>
      </c>
      <c r="J121" s="53"/>
      <c r="K121" s="53">
        <f>'Off-farm feed'!$J$74</f>
        <v>2.4688740026345465E-2</v>
      </c>
      <c r="L121" s="53"/>
      <c r="M121" s="115">
        <f>'Off-farm feed'!$L$74</f>
        <v>1.9317593037941337E-4</v>
      </c>
      <c r="N121" s="53">
        <f>'Off-farm feed'!$M$74</f>
        <v>3.6802128767029069E-2</v>
      </c>
      <c r="O121" s="53">
        <f>'Off-farm feed'!$N$74</f>
        <v>0</v>
      </c>
      <c r="P121" s="53">
        <f>'Off-farm feed'!$O$74</f>
        <v>2.1170792109877701E-2</v>
      </c>
      <c r="Q121" s="53">
        <f>'Off-farm feed'!$P$74</f>
        <v>6.3200000000000006E-2</v>
      </c>
      <c r="R121" s="260">
        <f>'Parameters, country spec'!K61</f>
        <v>1.5869945984621978E-2</v>
      </c>
    </row>
    <row r="122" spans="1:18" x14ac:dyDescent="0.35">
      <c r="B122" s="18" t="s">
        <v>477</v>
      </c>
      <c r="C122" s="16" t="s">
        <v>475</v>
      </c>
      <c r="D122" s="257" t="s">
        <v>478</v>
      </c>
      <c r="E122" s="257"/>
      <c r="F122" s="258">
        <f t="shared" si="11"/>
        <v>0.7061171705997602</v>
      </c>
      <c r="G122" s="53">
        <f>'Off-farm feed'!$F$23</f>
        <v>7.2632670993099079E-3</v>
      </c>
      <c r="H122" s="53">
        <f>'Off-farm feed'!$G$23</f>
        <v>2.1402439024390246E-2</v>
      </c>
      <c r="I122" s="53">
        <f>'Off-farm feed'!$H$23</f>
        <v>0</v>
      </c>
      <c r="J122" s="53"/>
      <c r="K122" s="53">
        <f>'Off-farm feed'!$J$23</f>
        <v>4.3083619664332357E-2</v>
      </c>
      <c r="L122" s="53"/>
      <c r="M122" s="115">
        <f>'Off-farm feed'!$L$23</f>
        <v>1.7842060425123844E-4</v>
      </c>
      <c r="N122" s="53">
        <f>'Off-farm feed'!$M$23</f>
        <v>3.0432604948959392E-2</v>
      </c>
      <c r="O122" s="53">
        <f>'Off-farm feed'!$N$23</f>
        <v>0.31761120248475611</v>
      </c>
      <c r="P122" s="53">
        <f>'Off-farm feed'!$O$23</f>
        <v>3.5145616773760872E-2</v>
      </c>
      <c r="Q122" s="53">
        <f>'Off-farm feed'!$P$23</f>
        <v>0.251</v>
      </c>
      <c r="R122" s="260">
        <f>'Parameters, country spec'!K62</f>
        <v>0.13566182798477194</v>
      </c>
    </row>
    <row r="123" spans="1:18" x14ac:dyDescent="0.35">
      <c r="B123" s="16" t="s">
        <v>244</v>
      </c>
      <c r="C123" s="16" t="s">
        <v>479</v>
      </c>
      <c r="D123" s="257" t="s">
        <v>56</v>
      </c>
      <c r="E123" s="257" t="s">
        <v>57</v>
      </c>
      <c r="F123" s="258">
        <f t="shared" si="11"/>
        <v>0.42805643342083843</v>
      </c>
      <c r="G123" s="133">
        <v>1.3514536337753199E-2</v>
      </c>
      <c r="H123" s="129">
        <v>2.4299999999999999E-3</v>
      </c>
      <c r="K123" s="129">
        <v>5.0947479611650496E-3</v>
      </c>
      <c r="L123">
        <v>0</v>
      </c>
      <c r="M123">
        <v>1.0313553655905001E-4</v>
      </c>
      <c r="N123" s="271">
        <v>3.45527114651262E-3</v>
      </c>
      <c r="O123" s="22">
        <v>3.38930795857894E-4</v>
      </c>
      <c r="P123" s="129">
        <v>0.30592349396770402</v>
      </c>
      <c r="Q123" s="129">
        <v>9.7196317675286595E-2</v>
      </c>
      <c r="R123" s="260">
        <f>'Parameters, country spec'!K63</f>
        <v>2.2394846703331771E-2</v>
      </c>
    </row>
    <row r="124" spans="1:18" x14ac:dyDescent="0.35">
      <c r="A124" s="262"/>
      <c r="B124" s="16" t="s">
        <v>481</v>
      </c>
      <c r="C124" s="263" t="s">
        <v>482</v>
      </c>
      <c r="D124" s="257" t="s">
        <v>56</v>
      </c>
      <c r="E124" s="257" t="s">
        <v>57</v>
      </c>
      <c r="F124" s="258">
        <f t="shared" si="11"/>
        <v>0.21413018591724456</v>
      </c>
      <c r="G124" s="264">
        <f>AVERAGE(G114:G122)</f>
        <v>7.4124644766295808E-2</v>
      </c>
      <c r="H124" s="264">
        <f>AVERAGE(H114:H122)</f>
        <v>2.4826324642556769E-2</v>
      </c>
      <c r="I124" s="264">
        <f>AVERAGE(I114:I122)</f>
        <v>0</v>
      </c>
      <c r="J124" s="264"/>
      <c r="K124" s="264">
        <f>AVERAGE(K114:K122)</f>
        <v>7.2111091996245075E-2</v>
      </c>
      <c r="L124" s="264"/>
      <c r="M124" s="264">
        <f>AVERAGE(M114:M122)</f>
        <v>5.7372306108786197E-3</v>
      </c>
      <c r="N124" s="264">
        <f>AVERAGE(N114:N122)</f>
        <v>3.7330893901268279E-2</v>
      </c>
      <c r="O124" s="264"/>
      <c r="P124" s="264"/>
      <c r="Q124" s="264"/>
      <c r="R124" s="260">
        <f>'Parameters, country spec'!K64</f>
        <v>3.1338846422248039E-2</v>
      </c>
    </row>
    <row r="125" spans="1:18" x14ac:dyDescent="0.35">
      <c r="A125" s="265"/>
      <c r="B125" s="266" t="s">
        <v>483</v>
      </c>
      <c r="C125" s="267"/>
      <c r="D125" s="268"/>
      <c r="E125" s="268"/>
      <c r="F125" s="269">
        <f>SUMPRODUCT(F114:F124,$R$114:$R$124)</f>
        <v>0.28292860853231294</v>
      </c>
      <c r="G125" s="269">
        <f>SUMPRODUCT(G114:G124,$R$114:$R$124)</f>
        <v>7.5113833206706643E-2</v>
      </c>
      <c r="H125" s="269">
        <f>SUMPRODUCT(H114:H124,$R$114:$R$124)</f>
        <v>2.5400630779824962E-2</v>
      </c>
      <c r="I125" s="269">
        <f>SUMPRODUCT(I114:I124,$R$114:$R$124)</f>
        <v>0</v>
      </c>
      <c r="J125" s="269"/>
      <c r="K125" s="269">
        <f>SUMPRODUCT(K114:K124,$R$114:$R$124)</f>
        <v>4.3730175227264384E-2</v>
      </c>
      <c r="L125" s="269"/>
      <c r="M125" s="269">
        <f>SUMPRODUCT(M114:M124,$R$114:$R$124)</f>
        <v>7.9464124929056208E-3</v>
      </c>
      <c r="N125" s="269">
        <f>SUMPRODUCT(N114:N124,$R$114:$R$124)</f>
        <v>3.6471248039386908E-2</v>
      </c>
      <c r="O125" s="269">
        <f>SUMPRODUCT(O114:O124,$R$114:$R$124)</f>
        <v>4.5080505046581752E-2</v>
      </c>
      <c r="P125" s="269">
        <f>SUMPRODUCT(P114:P124,$R$30:$R$40)</f>
        <v>2.3283097246573174E-2</v>
      </c>
      <c r="Q125" s="269">
        <f>SUMPRODUCT(Q114:Q124,$R$114:$R$124)</f>
        <v>3.7230796044872248E-2</v>
      </c>
      <c r="R125" s="270"/>
    </row>
    <row r="126" spans="1:18" x14ac:dyDescent="0.35">
      <c r="A126" s="256" t="s">
        <v>466</v>
      </c>
      <c r="B126" s="16" t="s">
        <v>226</v>
      </c>
      <c r="C126" s="16" t="s">
        <v>467</v>
      </c>
      <c r="D126" s="257" t="s">
        <v>58</v>
      </c>
      <c r="E126" s="257" t="s">
        <v>59</v>
      </c>
      <c r="F126" s="258">
        <f t="shared" ref="F126:F136" si="12">SUM(G126:Q126)</f>
        <v>0.17740753224089859</v>
      </c>
      <c r="G126" s="133">
        <v>6.4707685331096707E-2</v>
      </c>
      <c r="H126" s="118">
        <v>2.7E-2</v>
      </c>
      <c r="I126" s="129">
        <v>0</v>
      </c>
      <c r="J126" s="118"/>
      <c r="K126" s="133">
        <v>4.3092928170856297E-2</v>
      </c>
      <c r="L126" s="118">
        <v>0</v>
      </c>
      <c r="M126" s="118">
        <v>9.7648302092659699E-7</v>
      </c>
      <c r="N126" s="133">
        <v>3.4798606794569198E-2</v>
      </c>
      <c r="O126" s="118">
        <v>7.8073354613554897E-3</v>
      </c>
      <c r="P126" s="118"/>
      <c r="R126" s="260">
        <f>'Parameters, country spec'!L54</f>
        <v>0.26218798715146902</v>
      </c>
    </row>
    <row r="127" spans="1:18" x14ac:dyDescent="0.35">
      <c r="A127" s="256" t="s">
        <v>468</v>
      </c>
      <c r="B127" s="16" t="s">
        <v>229</v>
      </c>
      <c r="C127" s="16" t="s">
        <v>467</v>
      </c>
      <c r="D127" s="257" t="s">
        <v>58</v>
      </c>
      <c r="E127" s="257" t="s">
        <v>59</v>
      </c>
      <c r="F127" s="258">
        <f t="shared" si="12"/>
        <v>0.35998073385997809</v>
      </c>
      <c r="G127" s="133">
        <v>5.4898894569621E-2</v>
      </c>
      <c r="H127" s="118">
        <v>2.7E-2</v>
      </c>
      <c r="I127" s="129">
        <v>0</v>
      </c>
      <c r="J127" s="118"/>
      <c r="K127" s="133">
        <v>2.16968292973359E-2</v>
      </c>
      <c r="L127" s="118">
        <v>0</v>
      </c>
      <c r="M127" s="118">
        <v>0</v>
      </c>
      <c r="N127" s="133">
        <v>3.4798606794569198E-2</v>
      </c>
      <c r="O127" s="118">
        <v>0.22158640319845199</v>
      </c>
      <c r="P127" s="118"/>
      <c r="R127" s="260">
        <f>'Parameters, country spec'!L55</f>
        <v>2.7145227912969199E-3</v>
      </c>
    </row>
    <row r="128" spans="1:18" x14ac:dyDescent="0.35">
      <c r="A128" s="256" t="s">
        <v>469</v>
      </c>
      <c r="B128" s="16" t="s">
        <v>232</v>
      </c>
      <c r="C128" s="16" t="s">
        <v>467</v>
      </c>
      <c r="D128" s="257" t="s">
        <v>58</v>
      </c>
      <c r="E128" s="257" t="s">
        <v>59</v>
      </c>
      <c r="F128" s="258">
        <f t="shared" si="12"/>
        <v>0.21424851038583509</v>
      </c>
      <c r="G128" s="133">
        <v>5.5883302587627401E-2</v>
      </c>
      <c r="H128" s="118">
        <v>2.7E-2</v>
      </c>
      <c r="I128" s="129">
        <v>0</v>
      </c>
      <c r="J128" s="118"/>
      <c r="K128" s="133">
        <v>4.6950690050811303E-2</v>
      </c>
      <c r="L128" s="118">
        <v>0</v>
      </c>
      <c r="M128" s="118">
        <v>1.1717330995727201E-6</v>
      </c>
      <c r="N128" s="133">
        <v>3.4798606794569198E-2</v>
      </c>
      <c r="O128" s="118">
        <v>4.9614739219727602E-2</v>
      </c>
      <c r="P128" s="118"/>
      <c r="R128" s="260">
        <f>'Parameters, country spec'!L56</f>
        <v>4.4514084693111099E-2</v>
      </c>
    </row>
    <row r="129" spans="1:18" x14ac:dyDescent="0.35">
      <c r="A129" s="256" t="s">
        <v>470</v>
      </c>
      <c r="B129" s="16" t="s">
        <v>235</v>
      </c>
      <c r="C129" s="16" t="s">
        <v>467</v>
      </c>
      <c r="D129" s="257" t="s">
        <v>58</v>
      </c>
      <c r="E129" s="257" t="s">
        <v>59</v>
      </c>
      <c r="F129" s="258">
        <f t="shared" si="12"/>
        <v>0.24420370598103047</v>
      </c>
      <c r="G129" s="133">
        <v>5.0338186409046998E-2</v>
      </c>
      <c r="H129" s="118">
        <v>2.7E-2</v>
      </c>
      <c r="I129" s="118">
        <v>0</v>
      </c>
      <c r="J129" s="118"/>
      <c r="K129" s="133">
        <v>3.3169160753811502E-2</v>
      </c>
      <c r="L129" s="118">
        <v>0</v>
      </c>
      <c r="M129" s="118">
        <v>0</v>
      </c>
      <c r="N129" s="133">
        <v>3.4798606794569198E-2</v>
      </c>
      <c r="O129" s="118">
        <v>9.8897752023602806E-2</v>
      </c>
      <c r="P129" s="118"/>
      <c r="R129" s="260">
        <f>'Parameters, country spec'!L57</f>
        <v>2.7912717555004501E-2</v>
      </c>
    </row>
    <row r="130" spans="1:18" x14ac:dyDescent="0.35">
      <c r="A130" s="256" t="s">
        <v>471</v>
      </c>
      <c r="B130" s="16" t="s">
        <v>237</v>
      </c>
      <c r="C130" s="16" t="s">
        <v>467</v>
      </c>
      <c r="D130" s="257" t="s">
        <v>58</v>
      </c>
      <c r="E130" s="257" t="s">
        <v>59</v>
      </c>
      <c r="F130" s="258">
        <f t="shared" si="12"/>
        <v>0.18080986700633911</v>
      </c>
      <c r="G130" s="133">
        <v>7.3263598411408906E-2</v>
      </c>
      <c r="H130" s="118">
        <v>2.7E-2</v>
      </c>
      <c r="I130" s="118">
        <v>0</v>
      </c>
      <c r="J130" s="118"/>
      <c r="K130" s="133">
        <v>2.9976077920621201E-2</v>
      </c>
      <c r="L130" s="118">
        <v>0</v>
      </c>
      <c r="M130" s="118">
        <v>0</v>
      </c>
      <c r="N130" s="133">
        <v>3.4798606794569198E-2</v>
      </c>
      <c r="O130" s="118">
        <v>1.5771583879739801E-2</v>
      </c>
      <c r="P130" s="118"/>
      <c r="R130" s="260">
        <f>'Parameters, country spec'!L58</f>
        <v>0.32729029603711102</v>
      </c>
    </row>
    <row r="131" spans="1:18" x14ac:dyDescent="0.35">
      <c r="A131" s="256" t="s">
        <v>472</v>
      </c>
      <c r="B131" s="16" t="s">
        <v>239</v>
      </c>
      <c r="C131" s="16" t="s">
        <v>473</v>
      </c>
      <c r="D131" s="257" t="s">
        <v>58</v>
      </c>
      <c r="E131" s="257" t="s">
        <v>59</v>
      </c>
      <c r="F131" s="258">
        <f t="shared" si="12"/>
        <v>0.18857160448604016</v>
      </c>
      <c r="G131" s="133">
        <v>0</v>
      </c>
      <c r="H131" s="118">
        <v>2.7E-2</v>
      </c>
      <c r="I131" s="129">
        <v>0</v>
      </c>
      <c r="J131" s="118"/>
      <c r="K131" s="133">
        <v>6.1915464004380999E-2</v>
      </c>
      <c r="L131" s="129">
        <v>0</v>
      </c>
      <c r="M131" s="118">
        <v>3.46110222394324E-3</v>
      </c>
      <c r="N131" s="133">
        <v>3.4798606794569198E-2</v>
      </c>
      <c r="O131" s="118">
        <v>6.1396431463146703E-2</v>
      </c>
      <c r="P131" s="118"/>
      <c r="R131" s="260">
        <f>'Parameters, country spec'!L59</f>
        <v>4.8974646420038301E-3</v>
      </c>
    </row>
    <row r="132" spans="1:18" x14ac:dyDescent="0.35">
      <c r="A132" s="256" t="s">
        <v>474</v>
      </c>
      <c r="B132" s="16" t="s">
        <v>241</v>
      </c>
      <c r="C132" s="16" t="s">
        <v>473</v>
      </c>
      <c r="D132" s="257" t="s">
        <v>58</v>
      </c>
      <c r="E132" s="257" t="s">
        <v>59</v>
      </c>
      <c r="F132" s="258">
        <f t="shared" si="12"/>
        <v>0.25743797241278388</v>
      </c>
      <c r="G132" s="133">
        <v>2.1386473524115401E-3</v>
      </c>
      <c r="H132" s="118">
        <v>2.7E-2</v>
      </c>
      <c r="I132" s="129">
        <v>0</v>
      </c>
      <c r="J132" s="118"/>
      <c r="K132" s="133">
        <v>6.1361874212873702E-2</v>
      </c>
      <c r="L132" s="118">
        <v>0</v>
      </c>
      <c r="M132" s="118">
        <v>1.8203397236044301E-3</v>
      </c>
      <c r="N132" s="133">
        <v>3.4798606794569198E-2</v>
      </c>
      <c r="O132" s="118">
        <v>0.13031850432932501</v>
      </c>
      <c r="P132" s="118"/>
      <c r="R132" s="260">
        <f>'Parameters, country spec'!L60</f>
        <v>5.63859541846429E-2</v>
      </c>
    </row>
    <row r="133" spans="1:18" x14ac:dyDescent="0.35">
      <c r="B133" s="18" t="s">
        <v>242</v>
      </c>
      <c r="C133" s="16" t="s">
        <v>475</v>
      </c>
      <c r="D133" s="257" t="s">
        <v>476</v>
      </c>
      <c r="E133" s="257"/>
      <c r="F133" s="258">
        <f t="shared" si="12"/>
        <v>0.27085685084992933</v>
      </c>
      <c r="G133" s="53">
        <f>'Off-farm feed'!$F$74</f>
        <v>0.11176753125767698</v>
      </c>
      <c r="H133" s="53">
        <f>'Off-farm feed'!$G$74</f>
        <v>1.3034482758620692E-2</v>
      </c>
      <c r="I133" s="53">
        <f>'Off-farm feed'!$H$74</f>
        <v>0</v>
      </c>
      <c r="J133" s="53"/>
      <c r="K133" s="53">
        <f>'Off-farm feed'!$J$74</f>
        <v>2.4688740026345465E-2</v>
      </c>
      <c r="L133" s="53"/>
      <c r="M133" s="115">
        <f>'Off-farm feed'!$L$74</f>
        <v>1.9317593037941337E-4</v>
      </c>
      <c r="N133" s="53">
        <f>'Off-farm feed'!$M$74</f>
        <v>3.6802128767029069E-2</v>
      </c>
      <c r="O133" s="53">
        <f>'Off-farm feed'!$N$74</f>
        <v>0</v>
      </c>
      <c r="P133" s="53">
        <f>'Off-farm feed'!$O$74</f>
        <v>2.1170792109877701E-2</v>
      </c>
      <c r="Q133" s="53">
        <f>'Off-farm feed'!$P$74</f>
        <v>6.3200000000000006E-2</v>
      </c>
      <c r="R133" s="260">
        <f>'Parameters, country spec'!L61</f>
        <v>2.9607485666187296E-2</v>
      </c>
    </row>
    <row r="134" spans="1:18" x14ac:dyDescent="0.35">
      <c r="B134" s="18" t="s">
        <v>477</v>
      </c>
      <c r="C134" s="16" t="s">
        <v>475</v>
      </c>
      <c r="D134" s="257" t="s">
        <v>478</v>
      </c>
      <c r="E134" s="257"/>
      <c r="F134" s="258">
        <f t="shared" si="12"/>
        <v>0.7061171705997602</v>
      </c>
      <c r="G134" s="53">
        <f>'Off-farm feed'!$F$23</f>
        <v>7.2632670993099079E-3</v>
      </c>
      <c r="H134" s="53">
        <f>'Off-farm feed'!$G$23</f>
        <v>2.1402439024390246E-2</v>
      </c>
      <c r="I134" s="53">
        <f>'Off-farm feed'!$H$23</f>
        <v>0</v>
      </c>
      <c r="J134" s="53"/>
      <c r="K134" s="53">
        <f>'Off-farm feed'!$J$23</f>
        <v>4.3083619664332357E-2</v>
      </c>
      <c r="L134" s="53"/>
      <c r="M134" s="115">
        <f>'Off-farm feed'!$L$23</f>
        <v>1.7842060425123844E-4</v>
      </c>
      <c r="N134" s="53">
        <f>'Off-farm feed'!$M$23</f>
        <v>3.0432604948959392E-2</v>
      </c>
      <c r="O134" s="53">
        <f>'Off-farm feed'!$N$23</f>
        <v>0.31761120248475611</v>
      </c>
      <c r="P134" s="53">
        <f>'Off-farm feed'!$O$23</f>
        <v>3.5145616773760872E-2</v>
      </c>
      <c r="Q134" s="53">
        <f>'Off-farm feed'!$P$23</f>
        <v>0.251</v>
      </c>
      <c r="R134" s="260">
        <f>'Parameters, country spec'!L62</f>
        <v>3.8707899733140101E-2</v>
      </c>
    </row>
    <row r="135" spans="1:18" x14ac:dyDescent="0.35">
      <c r="B135" s="16" t="s">
        <v>244</v>
      </c>
      <c r="C135" s="16" t="s">
        <v>479</v>
      </c>
      <c r="D135" s="257" t="s">
        <v>58</v>
      </c>
      <c r="E135" s="257" t="s">
        <v>59</v>
      </c>
      <c r="F135" s="258">
        <f t="shared" si="12"/>
        <v>0.13915930282130612</v>
      </c>
      <c r="G135" s="133">
        <v>6.5937238570268003E-3</v>
      </c>
      <c r="H135" s="129">
        <v>2.4299999999999999E-3</v>
      </c>
      <c r="K135" s="129">
        <v>2.6978470128559101E-3</v>
      </c>
      <c r="L135">
        <v>0</v>
      </c>
      <c r="M135">
        <v>0</v>
      </c>
      <c r="N135" s="271">
        <v>3.1318746115112299E-3</v>
      </c>
      <c r="O135" s="22">
        <v>1.41944254917658E-3</v>
      </c>
      <c r="P135" s="129">
        <v>0.104008553970993</v>
      </c>
      <c r="Q135" s="129">
        <v>1.88778608197426E-2</v>
      </c>
      <c r="R135" s="260">
        <f>'Parameters, country spec'!L63</f>
        <v>0.11190565161757898</v>
      </c>
    </row>
    <row r="136" spans="1:18" x14ac:dyDescent="0.35">
      <c r="A136" s="262"/>
      <c r="B136" s="16" t="s">
        <v>481</v>
      </c>
      <c r="C136" s="263" t="s">
        <v>482</v>
      </c>
      <c r="D136" s="257" t="s">
        <v>58</v>
      </c>
      <c r="E136" s="257" t="s">
        <v>59</v>
      </c>
      <c r="F136" s="258">
        <f t="shared" si="12"/>
        <v>0.14734595409765008</v>
      </c>
      <c r="G136" s="264">
        <f>AVERAGE(G126:G134)</f>
        <v>4.6695679224244384E-2</v>
      </c>
      <c r="H136" s="264">
        <f>AVERAGE(H126:H134)</f>
        <v>2.4826324642556769E-2</v>
      </c>
      <c r="I136" s="264">
        <f>AVERAGE(I126:I134)</f>
        <v>0</v>
      </c>
      <c r="J136" s="264"/>
      <c r="K136" s="264">
        <f>AVERAGE(K126:K134)</f>
        <v>4.0659487122374299E-2</v>
      </c>
      <c r="L136" s="264"/>
      <c r="M136" s="264">
        <f>AVERAGE(M126:M134)</f>
        <v>6.2835407758875803E-4</v>
      </c>
      <c r="N136" s="264">
        <f>AVERAGE(N126:N134)</f>
        <v>3.4536109030885873E-2</v>
      </c>
      <c r="O136" s="264"/>
      <c r="P136" s="264"/>
      <c r="Q136" s="264"/>
      <c r="R136" s="260">
        <f>'Parameters, country spec'!L64</f>
        <v>9.3875935928455001E-2</v>
      </c>
    </row>
    <row r="137" spans="1:18" x14ac:dyDescent="0.35">
      <c r="A137" s="265"/>
      <c r="B137" s="266" t="s">
        <v>483</v>
      </c>
      <c r="C137" s="267"/>
      <c r="D137" s="268"/>
      <c r="E137" s="268"/>
      <c r="F137" s="269">
        <f>SUMPRODUCT(F126:F136,$R$126:$R$136)</f>
        <v>0.20321814325571569</v>
      </c>
      <c r="G137" s="269">
        <f>SUMPRODUCT(G126:G136,$R$126:$R$136)</f>
        <v>5.3818103149014376E-2</v>
      </c>
      <c r="H137" s="269">
        <f>SUMPRODUCT(H126:H136,$R$126:$R$136)</f>
        <v>2.341626865063243E-2</v>
      </c>
      <c r="I137" s="269">
        <f>SUMPRODUCT(I126:I136,$R$126:$R$136)</f>
        <v>0</v>
      </c>
      <c r="J137" s="269"/>
      <c r="K137" s="269">
        <f>SUMPRODUCT(K126:K136,$R$126:$R$136)</f>
        <v>3.4464708767138905E-2</v>
      </c>
      <c r="L137" s="269"/>
      <c r="M137" s="269">
        <f>SUMPRODUCT(M126:M136,$R$126:$R$136)</f>
        <v>1.9151346634149399E-4</v>
      </c>
      <c r="N137" s="269">
        <f>SUMPRODUCT(N126:N136,$R$126:$R$136)</f>
        <v>3.1120598758186787E-2</v>
      </c>
      <c r="O137" s="269">
        <f>SUMPRODUCT(O126:O136,$R$126:$R$136)</f>
        <v>3.2881163281102035E-2</v>
      </c>
      <c r="P137" s="269">
        <f>SUMPRODUCT(P126:P136,$R$30:$R$40)</f>
        <v>1.1700740449992643E-2</v>
      </c>
      <c r="Q137" s="269">
        <f>SUMPRODUCT(Q126:Q136,$R$126:$R$136)</f>
        <v>1.3699415243300463E-2</v>
      </c>
      <c r="R137" s="270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DEEBF7"/>
  </sheetPr>
  <dimension ref="A1:S137"/>
  <sheetViews>
    <sheetView topLeftCell="H2" zoomScale="74" zoomScaleNormal="74" workbookViewId="0">
      <selection activeCell="R2" sqref="R2"/>
    </sheetView>
  </sheetViews>
  <sheetFormatPr defaultColWidth="8.6328125" defaultRowHeight="14.5" x14ac:dyDescent="0.35"/>
  <cols>
    <col min="1" max="1" width="8.54296875" customWidth="1"/>
    <col min="2" max="2" width="30.453125" customWidth="1"/>
    <col min="3" max="3" width="19" customWidth="1"/>
    <col min="4" max="4" width="12.54296875" customWidth="1"/>
    <col min="5" max="5" width="11.453125" customWidth="1"/>
    <col min="6" max="6" width="12.54296875" style="16" customWidth="1"/>
    <col min="7" max="10" width="12.54296875" customWidth="1"/>
    <col min="11" max="11" width="14.453125" customWidth="1"/>
    <col min="12" max="18" width="12.54296875" customWidth="1"/>
  </cols>
  <sheetData>
    <row r="1" spans="1:19" x14ac:dyDescent="0.35"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spans="1:19" ht="21" customHeight="1" x14ac:dyDescent="0.5">
      <c r="A2" s="8" t="s">
        <v>485</v>
      </c>
      <c r="F2" s="16" t="s">
        <v>459</v>
      </c>
    </row>
    <row r="3" spans="1:19" x14ac:dyDescent="0.35">
      <c r="H3" s="23"/>
      <c r="I3" s="23"/>
      <c r="J3" s="23"/>
      <c r="K3" s="23"/>
      <c r="L3" s="23"/>
      <c r="M3" s="23"/>
      <c r="N3" s="23"/>
    </row>
    <row r="4" spans="1:19" ht="28.5" customHeight="1" x14ac:dyDescent="0.35">
      <c r="A4" s="244" t="s">
        <v>460</v>
      </c>
      <c r="B4" s="245"/>
      <c r="C4" s="245"/>
      <c r="D4" s="245"/>
      <c r="E4" s="245"/>
      <c r="F4" s="246" t="s">
        <v>106</v>
      </c>
      <c r="G4" s="247" t="s">
        <v>107</v>
      </c>
      <c r="H4" s="248"/>
      <c r="I4" s="247" t="s">
        <v>108</v>
      </c>
      <c r="J4" s="249"/>
      <c r="K4" s="247" t="s">
        <v>109</v>
      </c>
      <c r="L4" s="249"/>
      <c r="M4" s="249"/>
      <c r="N4" s="249"/>
      <c r="O4" s="250" t="s">
        <v>110</v>
      </c>
      <c r="P4" s="250" t="s">
        <v>111</v>
      </c>
      <c r="Q4" s="251" t="s">
        <v>112</v>
      </c>
      <c r="R4" s="247" t="s">
        <v>461</v>
      </c>
    </row>
    <row r="5" spans="1:19" ht="57" customHeight="1" x14ac:dyDescent="0.35">
      <c r="A5" s="252" t="s">
        <v>14</v>
      </c>
      <c r="B5" s="252" t="s">
        <v>460</v>
      </c>
      <c r="C5" s="252" t="s">
        <v>462</v>
      </c>
      <c r="D5" s="252" t="s">
        <v>17</v>
      </c>
      <c r="E5" s="253" t="s">
        <v>18</v>
      </c>
      <c r="F5" s="254"/>
      <c r="G5" s="255" t="s">
        <v>68</v>
      </c>
      <c r="H5" s="255" t="s">
        <v>69</v>
      </c>
      <c r="I5" s="255" t="s">
        <v>463</v>
      </c>
      <c r="J5" s="255" t="s">
        <v>464</v>
      </c>
      <c r="K5" s="255" t="s">
        <v>118</v>
      </c>
      <c r="L5" s="255" t="s">
        <v>119</v>
      </c>
      <c r="M5" s="255" t="s">
        <v>120</v>
      </c>
      <c r="N5" s="255" t="s">
        <v>121</v>
      </c>
      <c r="O5" s="255" t="s">
        <v>122</v>
      </c>
      <c r="P5" s="255" t="s">
        <v>111</v>
      </c>
      <c r="Q5" s="253" t="s">
        <v>465</v>
      </c>
      <c r="R5" s="255"/>
    </row>
    <row r="6" spans="1:19" x14ac:dyDescent="0.35">
      <c r="A6" s="256" t="s">
        <v>466</v>
      </c>
      <c r="B6" s="16" t="s">
        <v>226</v>
      </c>
      <c r="C6" s="16" t="s">
        <v>467</v>
      </c>
      <c r="D6" s="257" t="s">
        <v>83</v>
      </c>
      <c r="E6" s="257" t="s">
        <v>39</v>
      </c>
      <c r="F6" s="272">
        <f t="shared" ref="F6:F16" si="0">SUM(G6:Q6)</f>
        <v>1.3263188780202382E-4</v>
      </c>
      <c r="G6" s="273">
        <v>0</v>
      </c>
      <c r="H6" s="274">
        <v>9.5000000000000005E-5</v>
      </c>
      <c r="I6" s="129">
        <v>0</v>
      </c>
      <c r="J6" s="118"/>
      <c r="K6" s="275">
        <v>1.4864399472615801E-5</v>
      </c>
      <c r="L6" s="275">
        <v>0</v>
      </c>
      <c r="M6" s="275">
        <v>0</v>
      </c>
      <c r="N6" s="275">
        <v>2.2767488329407998E-5</v>
      </c>
      <c r="O6" s="275"/>
      <c r="P6" s="275"/>
      <c r="Q6" s="118"/>
      <c r="R6" s="260">
        <f>'Parameters, country spec'!B54</f>
        <v>0.32616215478819699</v>
      </c>
    </row>
    <row r="7" spans="1:19" x14ac:dyDescent="0.35">
      <c r="A7" s="256" t="s">
        <v>468</v>
      </c>
      <c r="B7" s="16" t="s">
        <v>229</v>
      </c>
      <c r="C7" s="16" t="s">
        <v>467</v>
      </c>
      <c r="D7" s="257" t="s">
        <v>83</v>
      </c>
      <c r="E7" s="257" t="s">
        <v>39</v>
      </c>
      <c r="F7" s="272">
        <f t="shared" si="0"/>
        <v>1.2856994124224201E-4</v>
      </c>
      <c r="G7" s="273">
        <v>0</v>
      </c>
      <c r="H7" s="274">
        <v>9.5000000000000005E-5</v>
      </c>
      <c r="I7" s="129">
        <v>0</v>
      </c>
      <c r="J7" s="118"/>
      <c r="K7" s="275">
        <v>1.0802452912833999E-5</v>
      </c>
      <c r="L7" s="275">
        <v>0</v>
      </c>
      <c r="M7" s="275">
        <v>0</v>
      </c>
      <c r="N7" s="275">
        <v>2.2767488329407998E-5</v>
      </c>
      <c r="O7" s="275"/>
      <c r="P7" s="275"/>
      <c r="Q7" s="118"/>
      <c r="R7" s="260">
        <f>'Parameters, country spec'!B55</f>
        <v>0</v>
      </c>
    </row>
    <row r="8" spans="1:19" x14ac:dyDescent="0.35">
      <c r="A8" s="256" t="s">
        <v>469</v>
      </c>
      <c r="B8" s="16" t="s">
        <v>232</v>
      </c>
      <c r="C8" s="16" t="s">
        <v>467</v>
      </c>
      <c r="D8" s="257" t="s">
        <v>83</v>
      </c>
      <c r="E8" s="257" t="s">
        <v>39</v>
      </c>
      <c r="F8" s="272">
        <f t="shared" si="0"/>
        <v>1.3407185237155131E-4</v>
      </c>
      <c r="G8" s="273">
        <v>0</v>
      </c>
      <c r="H8" s="274">
        <v>9.5000000000000005E-5</v>
      </c>
      <c r="I8" s="129">
        <v>0</v>
      </c>
      <c r="J8" s="118"/>
      <c r="K8" s="275">
        <v>1.6302901263566199E-5</v>
      </c>
      <c r="L8" s="275">
        <v>0</v>
      </c>
      <c r="M8" s="275">
        <v>1.4627785770931999E-9</v>
      </c>
      <c r="N8" s="275">
        <v>2.2767488329407998E-5</v>
      </c>
      <c r="O8" s="275"/>
      <c r="P8" s="275"/>
      <c r="Q8" s="118"/>
      <c r="R8" s="260">
        <f>'Parameters, country spec'!B56</f>
        <v>0</v>
      </c>
    </row>
    <row r="9" spans="1:19" x14ac:dyDescent="0.35">
      <c r="A9" s="256" t="s">
        <v>470</v>
      </c>
      <c r="B9" s="16" t="s">
        <v>235</v>
      </c>
      <c r="C9" s="16" t="s">
        <v>467</v>
      </c>
      <c r="D9" s="257" t="s">
        <v>83</v>
      </c>
      <c r="E9" s="257" t="s">
        <v>39</v>
      </c>
      <c r="F9" s="272">
        <f t="shared" si="0"/>
        <v>1.3254315618792918E-4</v>
      </c>
      <c r="G9" s="273">
        <v>0</v>
      </c>
      <c r="H9" s="274">
        <v>9.5000000000000005E-5</v>
      </c>
      <c r="I9" s="118">
        <v>0</v>
      </c>
      <c r="J9" s="118"/>
      <c r="K9" s="275">
        <v>1.4226319531841999E-5</v>
      </c>
      <c r="L9" s="275">
        <v>0</v>
      </c>
      <c r="M9" s="275">
        <v>5.4934832667917605E-7</v>
      </c>
      <c r="N9" s="275">
        <v>2.2767488329407998E-5</v>
      </c>
      <c r="O9" s="275"/>
      <c r="P9" s="275"/>
      <c r="Q9" s="118"/>
      <c r="R9" s="260">
        <f>'Parameters, country spec'!B57</f>
        <v>0</v>
      </c>
    </row>
    <row r="10" spans="1:19" x14ac:dyDescent="0.35">
      <c r="A10" s="256" t="s">
        <v>471</v>
      </c>
      <c r="B10" s="16" t="s">
        <v>237</v>
      </c>
      <c r="C10" s="16" t="s">
        <v>467</v>
      </c>
      <c r="D10" s="257" t="s">
        <v>83</v>
      </c>
      <c r="E10" s="257" t="s">
        <v>39</v>
      </c>
      <c r="F10" s="272">
        <f t="shared" si="0"/>
        <v>1.2932467298374753E-4</v>
      </c>
      <c r="G10" s="273">
        <v>0</v>
      </c>
      <c r="H10" s="274">
        <v>9.5000000000000005E-5</v>
      </c>
      <c r="I10" s="118">
        <v>0</v>
      </c>
      <c r="J10" s="118"/>
      <c r="K10" s="275">
        <v>1.11229556161666E-5</v>
      </c>
      <c r="L10" s="275">
        <v>0</v>
      </c>
      <c r="M10" s="275">
        <v>4.3422903817292198E-7</v>
      </c>
      <c r="N10" s="275">
        <v>2.2767488329407998E-5</v>
      </c>
      <c r="O10" s="275"/>
      <c r="P10" s="275"/>
      <c r="Q10" s="118"/>
      <c r="R10" s="260">
        <f>'Parameters, country spec'!B58</f>
        <v>0.37907027616944244</v>
      </c>
    </row>
    <row r="11" spans="1:19" x14ac:dyDescent="0.35">
      <c r="A11" s="256" t="s">
        <v>472</v>
      </c>
      <c r="B11" s="16" t="s">
        <v>239</v>
      </c>
      <c r="C11" s="16" t="s">
        <v>473</v>
      </c>
      <c r="D11" s="257" t="s">
        <v>83</v>
      </c>
      <c r="E11" s="257" t="s">
        <v>39</v>
      </c>
      <c r="F11" s="272">
        <f t="shared" si="0"/>
        <v>1.818323651815133E-4</v>
      </c>
      <c r="G11" s="273">
        <v>0</v>
      </c>
      <c r="H11" s="274">
        <v>9.5000000000000005E-5</v>
      </c>
      <c r="I11" s="129">
        <v>0</v>
      </c>
      <c r="J11" s="118"/>
      <c r="K11" s="275">
        <v>2.19443131835724E-5</v>
      </c>
      <c r="L11" s="275">
        <v>0</v>
      </c>
      <c r="M11" s="275">
        <v>4.21205636685329E-5</v>
      </c>
      <c r="N11" s="275">
        <v>2.2767488329407998E-5</v>
      </c>
      <c r="O11" s="275"/>
      <c r="P11" s="275"/>
      <c r="Q11" s="118"/>
      <c r="R11" s="260">
        <f>'Parameters, country spec'!B59</f>
        <v>0</v>
      </c>
    </row>
    <row r="12" spans="1:19" x14ac:dyDescent="0.35">
      <c r="A12" s="256" t="s">
        <v>474</v>
      </c>
      <c r="B12" s="16" t="s">
        <v>241</v>
      </c>
      <c r="C12" s="16" t="s">
        <v>473</v>
      </c>
      <c r="D12" s="257" t="s">
        <v>83</v>
      </c>
      <c r="E12" s="257" t="s">
        <v>39</v>
      </c>
      <c r="F12" s="272">
        <f t="shared" si="0"/>
        <v>1.9553165597299701E-4</v>
      </c>
      <c r="G12" s="273">
        <v>0</v>
      </c>
      <c r="H12" s="274">
        <v>9.5000000000000005E-5</v>
      </c>
      <c r="I12" s="129">
        <v>0</v>
      </c>
      <c r="J12" s="118"/>
      <c r="K12" s="275">
        <v>2.0386285499577299E-5</v>
      </c>
      <c r="L12" s="275">
        <v>0</v>
      </c>
      <c r="M12" s="275">
        <v>5.7377882144011697E-5</v>
      </c>
      <c r="N12" s="275">
        <v>2.2767488329407998E-5</v>
      </c>
      <c r="O12" s="275"/>
      <c r="P12" s="275"/>
      <c r="Q12" s="118"/>
      <c r="R12" s="260">
        <f>'Parameters, country spec'!B60</f>
        <v>0</v>
      </c>
    </row>
    <row r="13" spans="1:19" x14ac:dyDescent="0.35">
      <c r="B13" s="18" t="s">
        <v>242</v>
      </c>
      <c r="C13" s="16" t="s">
        <v>475</v>
      </c>
      <c r="D13" s="257" t="s">
        <v>476</v>
      </c>
      <c r="E13" s="257"/>
      <c r="F13" s="272">
        <f t="shared" si="0"/>
        <v>3.8246443678729514E-4</v>
      </c>
      <c r="G13" s="54">
        <f>'Off-farm feed'!$F$75</f>
        <v>1.6847747663020744E-4</v>
      </c>
      <c r="H13" s="54">
        <f>'Off-farm feed'!$G$75</f>
        <v>4.5862068965517246E-5</v>
      </c>
      <c r="I13" s="54"/>
      <c r="J13" s="54"/>
      <c r="K13" s="54">
        <f>'Off-farm feed'!$J$75</f>
        <v>1.0936279334641704E-5</v>
      </c>
      <c r="L13" s="54"/>
      <c r="M13" s="54">
        <f>'Off-farm feed'!$L$75</f>
        <v>6.4606960551724142E-7</v>
      </c>
      <c r="N13" s="54">
        <f>'Off-farm feed'!$M$75</f>
        <v>2.1884761697575211E-5</v>
      </c>
      <c r="O13" s="54"/>
      <c r="P13" s="54">
        <f>'Off-farm feed'!$O$75</f>
        <v>4.5962128379923288E-5</v>
      </c>
      <c r="Q13" s="54">
        <f>'Off-farm feed'!$P$75</f>
        <v>8.8695652173913049E-5</v>
      </c>
      <c r="R13" s="260">
        <f>'Parameters, country spec'!B61</f>
        <v>4.4767569042360608E-2</v>
      </c>
    </row>
    <row r="14" spans="1:19" x14ac:dyDescent="0.35">
      <c r="B14" s="18" t="s">
        <v>477</v>
      </c>
      <c r="C14" s="16" t="s">
        <v>475</v>
      </c>
      <c r="D14" s="257" t="s">
        <v>478</v>
      </c>
      <c r="E14" s="257"/>
      <c r="F14" s="272">
        <f t="shared" si="0"/>
        <v>4.7266553697523987E-4</v>
      </c>
      <c r="G14" s="54">
        <f>'Off-farm feed'!$F$24</f>
        <v>1.5603516238625262E-5</v>
      </c>
      <c r="H14" s="54">
        <f>'Off-farm feed'!$G$24</f>
        <v>7.5304878048780503E-5</v>
      </c>
      <c r="I14" s="54"/>
      <c r="J14" s="54"/>
      <c r="K14" s="54">
        <f>'Off-farm feed'!$J$24</f>
        <v>1.9084590744355897E-5</v>
      </c>
      <c r="L14" s="54"/>
      <c r="M14" s="54">
        <f>'Off-farm feed'!$L$24</f>
        <v>5.9672097439024396E-7</v>
      </c>
      <c r="N14" s="54">
        <f>'Off-farm feed'!$M$24</f>
        <v>2.3084271612619512E-5</v>
      </c>
      <c r="O14" s="54"/>
      <c r="P14" s="54">
        <f>'Off-farm feed'!$O$24</f>
        <v>1.2899155935646844E-4</v>
      </c>
      <c r="Q14" s="54">
        <f>'Off-farm feed'!$P$24</f>
        <v>2.1000000000000001E-4</v>
      </c>
      <c r="R14" s="260">
        <f>'Parameters, country spec'!B62</f>
        <v>0.10953513808472121</v>
      </c>
    </row>
    <row r="15" spans="1:19" x14ac:dyDescent="0.35">
      <c r="B15" s="16" t="s">
        <v>244</v>
      </c>
      <c r="C15" s="16" t="s">
        <v>479</v>
      </c>
      <c r="D15" s="257" t="s">
        <v>83</v>
      </c>
      <c r="E15" s="257" t="s">
        <v>39</v>
      </c>
      <c r="F15" s="276">
        <f t="shared" si="0"/>
        <v>1.0203306988267478E-3</v>
      </c>
      <c r="G15" s="275">
        <v>0</v>
      </c>
      <c r="H15" s="275">
        <v>8.5499999999999995E-6</v>
      </c>
      <c r="I15" s="51">
        <v>0</v>
      </c>
      <c r="J15" s="51"/>
      <c r="K15" s="275">
        <v>1.0010660054549999E-6</v>
      </c>
      <c r="L15" s="51">
        <v>0</v>
      </c>
      <c r="M15" s="51">
        <v>3.9080613435562999E-8</v>
      </c>
      <c r="N15" s="275">
        <v>2.0490739496467201E-6</v>
      </c>
      <c r="O15" s="275"/>
      <c r="P15" s="275">
        <v>9.9818289932063491E-4</v>
      </c>
      <c r="Q15" s="275">
        <v>1.05085789375756E-5</v>
      </c>
      <c r="R15" s="260">
        <f>'Parameters, country spec'!B63</f>
        <v>4.78486464364591E-2</v>
      </c>
      <c r="S15" t="s">
        <v>480</v>
      </c>
    </row>
    <row r="16" spans="1:19" x14ac:dyDescent="0.35">
      <c r="A16" s="262"/>
      <c r="B16" s="16" t="s">
        <v>481</v>
      </c>
      <c r="C16" s="263" t="s">
        <v>482</v>
      </c>
      <c r="D16" s="257" t="s">
        <v>83</v>
      </c>
      <c r="E16" s="257" t="s">
        <v>39</v>
      </c>
      <c r="F16" s="272">
        <f t="shared" si="0"/>
        <v>1.5733179617713716E-4</v>
      </c>
      <c r="G16" s="277">
        <f>AVERAGE(G6:G14)</f>
        <v>2.0453443652092523E-5</v>
      </c>
      <c r="H16" s="277">
        <f>AVERAGE(H6:H14)</f>
        <v>8.7351883001588647E-5</v>
      </c>
      <c r="I16" s="277"/>
      <c r="J16" s="277"/>
      <c r="K16" s="277">
        <f>AVERAGE(K6:K14)</f>
        <v>1.5518944173241323E-5</v>
      </c>
      <c r="L16" s="277"/>
      <c r="M16" s="277">
        <f>AVERAGE(M6:M14)</f>
        <v>1.130291961509792E-5</v>
      </c>
      <c r="N16" s="277">
        <f>AVERAGE(N6:N14)</f>
        <v>2.2704605735116747E-5</v>
      </c>
      <c r="O16" s="277"/>
      <c r="P16" s="277"/>
      <c r="Q16" s="277"/>
      <c r="R16" s="260">
        <f>'Parameters, country spec'!B64</f>
        <v>9.2616215478819708E-2</v>
      </c>
    </row>
    <row r="17" spans="1:18" x14ac:dyDescent="0.35">
      <c r="A17" s="265"/>
      <c r="B17" s="266" t="s">
        <v>483</v>
      </c>
      <c r="C17" s="267"/>
      <c r="D17" s="268"/>
      <c r="E17" s="268"/>
      <c r="F17" s="278">
        <f t="shared" ref="F17:Q17" si="1">SUMPRODUCT(F6:F16,$R$6:$R$16)</f>
        <v>2.2457104815603885E-4</v>
      </c>
      <c r="G17" s="278">
        <f t="shared" si="1"/>
        <v>1.1145780917496615E-5</v>
      </c>
      <c r="H17" s="278">
        <f t="shared" si="1"/>
        <v>8.5798051240928812E-5</v>
      </c>
      <c r="I17" s="278">
        <f t="shared" si="1"/>
        <v>0</v>
      </c>
      <c r="J17" s="278">
        <f t="shared" si="1"/>
        <v>0</v>
      </c>
      <c r="K17" s="278">
        <f t="shared" si="1"/>
        <v>1.312981587242243E-5</v>
      </c>
      <c r="L17" s="278">
        <f t="shared" si="1"/>
        <v>0</v>
      </c>
      <c r="M17" s="278">
        <f t="shared" si="1"/>
        <v>1.3075917944865345E-6</v>
      </c>
      <c r="N17" s="278">
        <f t="shared" si="1"/>
        <v>2.1765497672357408E-5</v>
      </c>
      <c r="O17" s="278">
        <f t="shared" si="1"/>
        <v>0</v>
      </c>
      <c r="P17" s="278">
        <f t="shared" si="1"/>
        <v>6.3948421649969055E-5</v>
      </c>
      <c r="Q17" s="278">
        <f t="shared" si="1"/>
        <v>2.7475889008377985E-5</v>
      </c>
      <c r="R17" s="270"/>
    </row>
    <row r="18" spans="1:18" x14ac:dyDescent="0.35">
      <c r="A18" s="256" t="s">
        <v>466</v>
      </c>
      <c r="B18" s="16" t="s">
        <v>226</v>
      </c>
      <c r="C18" s="16" t="s">
        <v>467</v>
      </c>
      <c r="D18" s="257" t="s">
        <v>40</v>
      </c>
      <c r="E18" s="257" t="s">
        <v>41</v>
      </c>
      <c r="F18" s="279">
        <f t="shared" ref="F18:F28" si="2">SUM(G18:Q18)</f>
        <v>1.2723432874739088E-4</v>
      </c>
      <c r="G18" s="280">
        <v>0</v>
      </c>
      <c r="H18" s="281">
        <v>9.5000000000000005E-5</v>
      </c>
      <c r="I18" s="282">
        <v>0</v>
      </c>
      <c r="J18" s="283"/>
      <c r="K18" s="284">
        <v>1.4286171732003099E-5</v>
      </c>
      <c r="L18" s="284">
        <v>0</v>
      </c>
      <c r="M18" s="284">
        <v>6.3275175978860003E-10</v>
      </c>
      <c r="N18" s="284">
        <v>1.7947524263628E-5</v>
      </c>
      <c r="O18" s="284"/>
      <c r="P18" s="284"/>
      <c r="Q18" s="283"/>
      <c r="R18" s="260">
        <f>'Parameters, country spec'!C54</f>
        <v>0.12622280592168414</v>
      </c>
    </row>
    <row r="19" spans="1:18" x14ac:dyDescent="0.35">
      <c r="A19" s="256" t="s">
        <v>468</v>
      </c>
      <c r="B19" s="16" t="s">
        <v>229</v>
      </c>
      <c r="C19" s="16" t="s">
        <v>467</v>
      </c>
      <c r="D19" s="257" t="s">
        <v>40</v>
      </c>
      <c r="E19" s="257" t="s">
        <v>41</v>
      </c>
      <c r="F19" s="272">
        <f t="shared" si="2"/>
        <v>1.3043464412497476E-4</v>
      </c>
      <c r="G19" s="273">
        <v>0</v>
      </c>
      <c r="H19" s="274">
        <v>9.5000000000000005E-5</v>
      </c>
      <c r="I19" s="129">
        <v>0</v>
      </c>
      <c r="J19" s="118"/>
      <c r="K19" s="275">
        <v>8.0196373769558906E-6</v>
      </c>
      <c r="L19" s="275">
        <v>0</v>
      </c>
      <c r="M19" s="275">
        <v>9.4674824843908693E-6</v>
      </c>
      <c r="N19" s="275">
        <v>1.7947524263628E-5</v>
      </c>
      <c r="O19" s="275"/>
      <c r="P19" s="275"/>
      <c r="Q19" s="118"/>
      <c r="R19" s="260">
        <f>'Parameters, country spec'!C55</f>
        <v>0.20760674280157457</v>
      </c>
    </row>
    <row r="20" spans="1:18" x14ac:dyDescent="0.35">
      <c r="A20" s="256" t="s">
        <v>469</v>
      </c>
      <c r="B20" s="16" t="s">
        <v>232</v>
      </c>
      <c r="C20" s="16" t="s">
        <v>467</v>
      </c>
      <c r="D20" s="257" t="s">
        <v>40</v>
      </c>
      <c r="E20" s="257" t="s">
        <v>41</v>
      </c>
      <c r="F20" s="272">
        <f t="shared" si="2"/>
        <v>1.3636510111587278E-4</v>
      </c>
      <c r="G20" s="273">
        <v>0</v>
      </c>
      <c r="H20" s="274">
        <v>9.5000000000000005E-5</v>
      </c>
      <c r="I20" s="129">
        <v>0</v>
      </c>
      <c r="J20" s="118"/>
      <c r="K20" s="275">
        <v>1.9833005319278798E-5</v>
      </c>
      <c r="L20" s="275">
        <v>0</v>
      </c>
      <c r="M20" s="275">
        <v>3.5845715329659699E-6</v>
      </c>
      <c r="N20" s="275">
        <v>1.7947524263628E-5</v>
      </c>
      <c r="O20" s="275"/>
      <c r="P20" s="275"/>
      <c r="Q20" s="118"/>
      <c r="R20" s="260">
        <f>'Parameters, country spec'!C56</f>
        <v>1.430319903702894E-2</v>
      </c>
    </row>
    <row r="21" spans="1:18" x14ac:dyDescent="0.35">
      <c r="A21" s="256" t="s">
        <v>470</v>
      </c>
      <c r="B21" s="16" t="s">
        <v>235</v>
      </c>
      <c r="C21" s="16" t="s">
        <v>467</v>
      </c>
      <c r="D21" s="257" t="s">
        <v>40</v>
      </c>
      <c r="E21" s="257" t="s">
        <v>41</v>
      </c>
      <c r="F21" s="272">
        <f t="shared" si="2"/>
        <v>1.3385318160415261E-4</v>
      </c>
      <c r="G21" s="273">
        <v>0</v>
      </c>
      <c r="H21" s="274">
        <v>9.5000000000000005E-5</v>
      </c>
      <c r="I21" s="118">
        <v>0</v>
      </c>
      <c r="J21" s="118"/>
      <c r="K21" s="275">
        <v>2.0824119581523299E-5</v>
      </c>
      <c r="L21" s="275">
        <v>0</v>
      </c>
      <c r="M21" s="275">
        <v>8.15377590012958E-8</v>
      </c>
      <c r="N21" s="275">
        <v>1.7947524263628E-5</v>
      </c>
      <c r="O21" s="275"/>
      <c r="P21" s="275"/>
      <c r="Q21" s="118"/>
      <c r="R21" s="260">
        <f>'Parameters, country spec'!C57</f>
        <v>2.1965459245194179E-3</v>
      </c>
    </row>
    <row r="22" spans="1:18" x14ac:dyDescent="0.35">
      <c r="A22" s="256" t="s">
        <v>471</v>
      </c>
      <c r="B22" s="16" t="s">
        <v>237</v>
      </c>
      <c r="C22" s="16" t="s">
        <v>467</v>
      </c>
      <c r="D22" s="257" t="s">
        <v>40</v>
      </c>
      <c r="E22" s="257" t="s">
        <v>41</v>
      </c>
      <c r="F22" s="272">
        <f t="shared" si="2"/>
        <v>1.2561669774931828E-4</v>
      </c>
      <c r="G22" s="273">
        <v>0</v>
      </c>
      <c r="H22" s="274">
        <v>9.5000000000000005E-5</v>
      </c>
      <c r="I22" s="118">
        <v>0</v>
      </c>
      <c r="J22" s="118"/>
      <c r="K22" s="275">
        <v>1.2616551699637E-5</v>
      </c>
      <c r="L22" s="275">
        <v>0</v>
      </c>
      <c r="M22" s="275">
        <v>5.2621786053292597E-8</v>
      </c>
      <c r="N22" s="275">
        <v>1.7947524263628E-5</v>
      </c>
      <c r="O22" s="275"/>
      <c r="P22" s="275"/>
      <c r="Q22" s="118"/>
      <c r="R22" s="260">
        <f>'Parameters, country spec'!C58</f>
        <v>0.30750391777337582</v>
      </c>
    </row>
    <row r="23" spans="1:18" x14ac:dyDescent="0.35">
      <c r="A23" s="256" t="s">
        <v>472</v>
      </c>
      <c r="B23" s="16" t="s">
        <v>239</v>
      </c>
      <c r="C23" s="16" t="s">
        <v>473</v>
      </c>
      <c r="D23" s="257" t="s">
        <v>40</v>
      </c>
      <c r="E23" s="257" t="s">
        <v>41</v>
      </c>
      <c r="F23" s="272">
        <f t="shared" si="2"/>
        <v>1.5323348809202599E-4</v>
      </c>
      <c r="G23" s="273">
        <v>0</v>
      </c>
      <c r="H23" s="274">
        <v>9.5000000000000005E-5</v>
      </c>
      <c r="I23" s="129">
        <v>0</v>
      </c>
      <c r="J23" s="118"/>
      <c r="K23" s="275">
        <v>2.6539357994497098E-5</v>
      </c>
      <c r="L23" s="275">
        <v>0</v>
      </c>
      <c r="M23" s="275">
        <v>1.3746605833900899E-5</v>
      </c>
      <c r="N23" s="275">
        <v>1.7947524263628E-5</v>
      </c>
      <c r="O23" s="275"/>
      <c r="P23" s="275"/>
      <c r="Q23" s="118"/>
      <c r="R23" s="260">
        <f>'Parameters, country spec'!C59</f>
        <v>0</v>
      </c>
    </row>
    <row r="24" spans="1:18" x14ac:dyDescent="0.35">
      <c r="A24" s="256" t="s">
        <v>474</v>
      </c>
      <c r="B24" s="16" t="s">
        <v>241</v>
      </c>
      <c r="C24" s="16" t="s">
        <v>473</v>
      </c>
      <c r="D24" s="257" t="s">
        <v>40</v>
      </c>
      <c r="E24" s="257" t="s">
        <v>41</v>
      </c>
      <c r="F24" s="272">
        <f t="shared" si="2"/>
        <v>1.6119222279590621E-4</v>
      </c>
      <c r="G24" s="273">
        <v>0</v>
      </c>
      <c r="H24" s="274">
        <v>9.5000000000000005E-5</v>
      </c>
      <c r="I24" s="129">
        <v>0</v>
      </c>
      <c r="J24" s="118"/>
      <c r="K24" s="275">
        <v>3.2556824375567801E-5</v>
      </c>
      <c r="L24" s="275">
        <v>0</v>
      </c>
      <c r="M24" s="275">
        <v>1.5687874156710401E-5</v>
      </c>
      <c r="N24" s="275">
        <v>1.7947524263628E-5</v>
      </c>
      <c r="O24" s="275"/>
      <c r="P24" s="275"/>
      <c r="Q24" s="118"/>
      <c r="R24" s="260">
        <f>'Parameters, country spec'!C60</f>
        <v>0</v>
      </c>
    </row>
    <row r="25" spans="1:18" x14ac:dyDescent="0.35">
      <c r="B25" s="18" t="s">
        <v>242</v>
      </c>
      <c r="C25" s="16" t="s">
        <v>475</v>
      </c>
      <c r="D25" s="257" t="s">
        <v>476</v>
      </c>
      <c r="E25" s="257"/>
      <c r="F25" s="272">
        <f t="shared" si="2"/>
        <v>3.8246443678729514E-4</v>
      </c>
      <c r="G25" s="54">
        <f>'Off-farm feed'!$F$75</f>
        <v>1.6847747663020744E-4</v>
      </c>
      <c r="H25" s="54">
        <f>'Off-farm feed'!$G$75</f>
        <v>4.5862068965517246E-5</v>
      </c>
      <c r="I25" s="54"/>
      <c r="J25" s="54"/>
      <c r="K25" s="54">
        <f>'Off-farm feed'!$J$75</f>
        <v>1.0936279334641704E-5</v>
      </c>
      <c r="L25" s="54"/>
      <c r="M25" s="54">
        <f>'Off-farm feed'!$L$75</f>
        <v>6.4606960551724142E-7</v>
      </c>
      <c r="N25" s="54">
        <f>'Off-farm feed'!$M$75</f>
        <v>2.1884761697575211E-5</v>
      </c>
      <c r="O25" s="54"/>
      <c r="P25" s="54">
        <f>'Off-farm feed'!$O$75</f>
        <v>4.5962128379923288E-5</v>
      </c>
      <c r="Q25" s="54">
        <f>'Off-farm feed'!$P$75</f>
        <v>8.8695652173913049E-5</v>
      </c>
      <c r="R25" s="260">
        <f>'Parameters, country spec'!C61</f>
        <v>6.6952456561795479E-2</v>
      </c>
    </row>
    <row r="26" spans="1:18" x14ac:dyDescent="0.35">
      <c r="B26" s="18" t="s">
        <v>477</v>
      </c>
      <c r="C26" s="16" t="s">
        <v>475</v>
      </c>
      <c r="D26" s="257" t="s">
        <v>478</v>
      </c>
      <c r="E26" s="257"/>
      <c r="F26" s="272">
        <f t="shared" si="2"/>
        <v>4.7266553697523987E-4</v>
      </c>
      <c r="G26" s="54">
        <f>'Off-farm feed'!$F$24</f>
        <v>1.5603516238625262E-5</v>
      </c>
      <c r="H26" s="54">
        <f>'Off-farm feed'!$G$24</f>
        <v>7.5304878048780503E-5</v>
      </c>
      <c r="I26" s="54"/>
      <c r="J26" s="54"/>
      <c r="K26" s="54">
        <f>'Off-farm feed'!$J$24</f>
        <v>1.9084590744355897E-5</v>
      </c>
      <c r="L26" s="54"/>
      <c r="M26" s="54">
        <f>'Off-farm feed'!$L$24</f>
        <v>5.9672097439024396E-7</v>
      </c>
      <c r="N26" s="54">
        <f>'Off-farm feed'!$M$24</f>
        <v>2.3084271612619512E-5</v>
      </c>
      <c r="O26" s="54"/>
      <c r="P26" s="54">
        <f>'Off-farm feed'!$O$24</f>
        <v>1.2899155935646844E-4</v>
      </c>
      <c r="Q26" s="54">
        <f>'Off-farm feed'!$P$24</f>
        <v>2.1000000000000001E-4</v>
      </c>
      <c r="R26" s="260">
        <f>'Parameters, country spec'!C62</f>
        <v>6.0321391027524533E-2</v>
      </c>
    </row>
    <row r="27" spans="1:18" x14ac:dyDescent="0.35">
      <c r="B27" s="16" t="s">
        <v>244</v>
      </c>
      <c r="C27" s="16" t="s">
        <v>479</v>
      </c>
      <c r="D27" s="257" t="s">
        <v>40</v>
      </c>
      <c r="E27" s="257" t="s">
        <v>41</v>
      </c>
      <c r="F27" s="276">
        <f t="shared" si="2"/>
        <v>3.2110107183266001E-4</v>
      </c>
      <c r="G27" s="275">
        <v>0</v>
      </c>
      <c r="H27" s="275">
        <v>8.5499999999999995E-6</v>
      </c>
      <c r="I27" s="51">
        <v>0</v>
      </c>
      <c r="J27" s="51"/>
      <c r="K27" s="275">
        <v>1.13548965296733E-6</v>
      </c>
      <c r="L27" s="51">
        <v>0</v>
      </c>
      <c r="M27" s="51">
        <v>4.7359607447963301E-9</v>
      </c>
      <c r="N27" s="275">
        <v>1.61527718372652E-6</v>
      </c>
      <c r="O27" s="275"/>
      <c r="P27" s="275">
        <v>3.05272119125027E-4</v>
      </c>
      <c r="Q27" s="275">
        <v>4.5234499101943599E-6</v>
      </c>
      <c r="R27" s="260">
        <f>'Parameters, country spec'!C63</f>
        <v>0.13292166735094296</v>
      </c>
    </row>
    <row r="28" spans="1:18" x14ac:dyDescent="0.35">
      <c r="A28" s="262"/>
      <c r="B28" s="16" t="s">
        <v>481</v>
      </c>
      <c r="C28" s="263" t="s">
        <v>482</v>
      </c>
      <c r="D28" s="257" t="s">
        <v>40</v>
      </c>
      <c r="E28" s="257" t="s">
        <v>41</v>
      </c>
      <c r="F28" s="272">
        <f t="shared" si="2"/>
        <v>1.4993447756465243E-4</v>
      </c>
      <c r="G28" s="277">
        <f>AVERAGE(G18:G26)</f>
        <v>2.0453443652092523E-5</v>
      </c>
      <c r="H28" s="277">
        <f>AVERAGE(H18:H26)</f>
        <v>8.7351883001588647E-5</v>
      </c>
      <c r="I28" s="277"/>
      <c r="J28" s="277"/>
      <c r="K28" s="277">
        <f>AVERAGE(K18:K26)</f>
        <v>1.8299615350940066E-5</v>
      </c>
      <c r="L28" s="277"/>
      <c r="M28" s="277">
        <f>AVERAGE(M18:M26)</f>
        <v>4.8737907649655555E-6</v>
      </c>
      <c r="N28" s="277">
        <f>AVERAGE(N18:N26)</f>
        <v>1.8955744795065639E-5</v>
      </c>
      <c r="O28" s="277"/>
      <c r="P28" s="277"/>
      <c r="Q28" s="277"/>
      <c r="R28" s="260">
        <f>'Parameters, country spec'!C64</f>
        <v>8.1971273601554581E-2</v>
      </c>
    </row>
    <row r="29" spans="1:18" x14ac:dyDescent="0.35">
      <c r="A29" s="265"/>
      <c r="B29" s="266" t="s">
        <v>483</v>
      </c>
      <c r="C29" s="267"/>
      <c r="D29" s="268"/>
      <c r="E29" s="268"/>
      <c r="F29" s="278">
        <f>SUMPRODUCT(F18:F28,$R$18:$R$28)</f>
        <v>1.9310147034897864E-4</v>
      </c>
      <c r="G29" s="278">
        <f>SUMPRODUCT(G18:G28,$R$18:$R$28)</f>
        <v>1.3897801565858975E-5</v>
      </c>
      <c r="H29" s="278">
        <f>SUMPRODUCT(H18:H28,$R$18:$R$28)</f>
        <v>7.8404053620820542E-5</v>
      </c>
      <c r="I29" s="278">
        <f>SUMPRODUCT(I18:I28,$R$6:$R$16)</f>
        <v>0</v>
      </c>
      <c r="J29" s="278">
        <f>SUMPRODUCT(J18:J28,$R$6:$R$16)</f>
        <v>0</v>
      </c>
      <c r="K29" s="278">
        <f t="shared" ref="K29:Q29" si="3">SUMPRODUCT(K18:K28,$R$18:$R$28)</f>
        <v>1.1211620892841479E-5</v>
      </c>
      <c r="L29" s="278">
        <f t="shared" si="3"/>
        <v>0</v>
      </c>
      <c r="M29" s="278">
        <f t="shared" si="3"/>
        <v>2.5126157502204853E-6</v>
      </c>
      <c r="N29" s="278">
        <f t="shared" si="3"/>
        <v>1.6432723334931056E-5</v>
      </c>
      <c r="O29" s="278">
        <f t="shared" si="3"/>
        <v>0</v>
      </c>
      <c r="P29" s="278">
        <f t="shared" si="3"/>
        <v>5.1435506764890425E-5</v>
      </c>
      <c r="Q29" s="278">
        <f t="shared" si="3"/>
        <v>1.9207148419415695E-5</v>
      </c>
      <c r="R29" s="270"/>
    </row>
    <row r="30" spans="1:18" x14ac:dyDescent="0.35">
      <c r="A30" s="256" t="s">
        <v>466</v>
      </c>
      <c r="B30" s="16" t="s">
        <v>226</v>
      </c>
      <c r="C30" s="16" t="s">
        <v>467</v>
      </c>
      <c r="D30" s="257" t="s">
        <v>42</v>
      </c>
      <c r="E30" s="257" t="s">
        <v>43</v>
      </c>
      <c r="F30" s="279">
        <f t="shared" ref="F30:F40" si="4">SUM(G30:Q30)</f>
        <v>1.3808951704712943E-4</v>
      </c>
      <c r="G30" s="280">
        <v>0</v>
      </c>
      <c r="H30" s="281">
        <v>9.5000000000000005E-5</v>
      </c>
      <c r="I30" s="282">
        <v>0</v>
      </c>
      <c r="J30" s="283"/>
      <c r="K30" s="284">
        <v>1.27144571375721E-5</v>
      </c>
      <c r="L30" s="284">
        <v>0</v>
      </c>
      <c r="M30" s="284">
        <v>9.6438568669313804E-8</v>
      </c>
      <c r="N30" s="284">
        <v>3.0278621340887999E-5</v>
      </c>
      <c r="O30" s="284"/>
      <c r="P30" s="284"/>
      <c r="Q30" s="283"/>
      <c r="R30" s="260">
        <f>'Parameters, country spec'!D54</f>
        <v>0.11936785974964652</v>
      </c>
    </row>
    <row r="31" spans="1:18" x14ac:dyDescent="0.35">
      <c r="A31" s="256" t="s">
        <v>468</v>
      </c>
      <c r="B31" s="16" t="s">
        <v>229</v>
      </c>
      <c r="C31" s="16" t="s">
        <v>467</v>
      </c>
      <c r="D31" s="257" t="s">
        <v>42</v>
      </c>
      <c r="E31" s="257" t="s">
        <v>43</v>
      </c>
      <c r="F31" s="272">
        <f t="shared" si="4"/>
        <v>1.3426469564591439E-4</v>
      </c>
      <c r="G31" s="273">
        <v>0</v>
      </c>
      <c r="H31" s="274">
        <v>9.5000000000000005E-5</v>
      </c>
      <c r="I31" s="129">
        <v>0</v>
      </c>
      <c r="J31" s="118"/>
      <c r="K31" s="275">
        <v>7.39091652636114E-6</v>
      </c>
      <c r="L31" s="275">
        <v>0</v>
      </c>
      <c r="M31" s="275">
        <v>1.59515777866526E-6</v>
      </c>
      <c r="N31" s="275">
        <v>3.0278621340887999E-5</v>
      </c>
      <c r="O31" s="275"/>
      <c r="P31" s="275"/>
      <c r="Q31" s="118"/>
      <c r="R31" s="260">
        <f>'Parameters, country spec'!D55</f>
        <v>0.17771722156372172</v>
      </c>
    </row>
    <row r="32" spans="1:18" x14ac:dyDescent="0.35">
      <c r="A32" s="256" t="s">
        <v>469</v>
      </c>
      <c r="B32" s="16" t="s">
        <v>232</v>
      </c>
      <c r="C32" s="16" t="s">
        <v>467</v>
      </c>
      <c r="D32" s="257" t="s">
        <v>42</v>
      </c>
      <c r="E32" s="257" t="s">
        <v>43</v>
      </c>
      <c r="F32" s="272">
        <f t="shared" si="4"/>
        <v>1.4437973229630417E-4</v>
      </c>
      <c r="G32" s="273">
        <v>0</v>
      </c>
      <c r="H32" s="274">
        <v>9.5000000000000005E-5</v>
      </c>
      <c r="I32" s="129">
        <v>0</v>
      </c>
      <c r="J32" s="118"/>
      <c r="K32" s="275">
        <v>1.9032928238950399E-5</v>
      </c>
      <c r="L32" s="275">
        <v>0</v>
      </c>
      <c r="M32" s="275">
        <v>6.8182716465758402E-8</v>
      </c>
      <c r="N32" s="275">
        <v>3.0278621340887999E-5</v>
      </c>
      <c r="O32" s="275"/>
      <c r="P32" s="275"/>
      <c r="Q32" s="118"/>
      <c r="R32" s="260">
        <f>'Parameters, country spec'!D56</f>
        <v>2.3760624502985962E-5</v>
      </c>
    </row>
    <row r="33" spans="1:18" x14ac:dyDescent="0.35">
      <c r="A33" s="256" t="s">
        <v>470</v>
      </c>
      <c r="B33" s="16" t="s">
        <v>235</v>
      </c>
      <c r="C33" s="16" t="s">
        <v>467</v>
      </c>
      <c r="D33" s="257" t="s">
        <v>42</v>
      </c>
      <c r="E33" s="257" t="s">
        <v>43</v>
      </c>
      <c r="F33" s="272">
        <f t="shared" si="4"/>
        <v>1.4170867484792954E-4</v>
      </c>
      <c r="G33" s="273">
        <v>0</v>
      </c>
      <c r="H33" s="274">
        <v>9.5000000000000005E-5</v>
      </c>
      <c r="I33" s="118">
        <v>0</v>
      </c>
      <c r="J33" s="118"/>
      <c r="K33" s="275">
        <v>1.6430050351224899E-5</v>
      </c>
      <c r="L33" s="275">
        <v>0</v>
      </c>
      <c r="M33" s="275">
        <v>3.1558166394000002E-12</v>
      </c>
      <c r="N33" s="275">
        <v>3.0278621340887999E-5</v>
      </c>
      <c r="O33" s="275"/>
      <c r="P33" s="275"/>
      <c r="Q33" s="118"/>
      <c r="R33" s="260">
        <f>'Parameters, country spec'!D57</f>
        <v>1.9498589966513394E-2</v>
      </c>
    </row>
    <row r="34" spans="1:18" x14ac:dyDescent="0.35">
      <c r="A34" s="256" t="s">
        <v>471</v>
      </c>
      <c r="B34" s="16" t="s">
        <v>237</v>
      </c>
      <c r="C34" s="16" t="s">
        <v>467</v>
      </c>
      <c r="D34" s="257" t="s">
        <v>42</v>
      </c>
      <c r="E34" s="257" t="s">
        <v>43</v>
      </c>
      <c r="F34" s="272">
        <f t="shared" si="4"/>
        <v>1.3673011818762825E-4</v>
      </c>
      <c r="G34" s="273">
        <v>0</v>
      </c>
      <c r="H34" s="274">
        <v>9.5000000000000005E-5</v>
      </c>
      <c r="I34" s="118">
        <v>0</v>
      </c>
      <c r="J34" s="118"/>
      <c r="K34" s="275">
        <v>1.14514947211153E-5</v>
      </c>
      <c r="L34" s="275">
        <v>0</v>
      </c>
      <c r="M34" s="275">
        <v>2.1256249543999999E-12</v>
      </c>
      <c r="N34" s="275">
        <v>3.0278621340887999E-5</v>
      </c>
      <c r="O34" s="275"/>
      <c r="P34" s="275"/>
      <c r="Q34" s="118"/>
      <c r="R34" s="260">
        <f>'Parameters, country spec'!D58</f>
        <v>0.39870895550051916</v>
      </c>
    </row>
    <row r="35" spans="1:18" x14ac:dyDescent="0.35">
      <c r="A35" s="256" t="s">
        <v>472</v>
      </c>
      <c r="B35" s="16" t="s">
        <v>239</v>
      </c>
      <c r="C35" s="16" t="s">
        <v>473</v>
      </c>
      <c r="D35" s="257" t="s">
        <v>42</v>
      </c>
      <c r="E35" s="257" t="s">
        <v>43</v>
      </c>
      <c r="F35" s="272">
        <f t="shared" si="4"/>
        <v>1.6245510504097222E-4</v>
      </c>
      <c r="G35" s="273">
        <v>0</v>
      </c>
      <c r="H35" s="274">
        <v>9.5000000000000005E-5</v>
      </c>
      <c r="I35" s="129">
        <v>0</v>
      </c>
      <c r="J35" s="118"/>
      <c r="K35" s="275">
        <v>2.63231503193984E-5</v>
      </c>
      <c r="L35" s="275">
        <v>0</v>
      </c>
      <c r="M35" s="275">
        <v>1.0853333380685801E-5</v>
      </c>
      <c r="N35" s="275">
        <v>3.0278621340887999E-5</v>
      </c>
      <c r="O35" s="275"/>
      <c r="P35" s="275"/>
      <c r="Q35" s="118"/>
      <c r="R35" s="260">
        <f>'Parameters, country spec'!D59</f>
        <v>1.0321755831089459E-3</v>
      </c>
    </row>
    <row r="36" spans="1:18" x14ac:dyDescent="0.35">
      <c r="A36" s="256" t="s">
        <v>474</v>
      </c>
      <c r="B36" s="16" t="s">
        <v>241</v>
      </c>
      <c r="C36" s="16" t="s">
        <v>473</v>
      </c>
      <c r="D36" s="257" t="s">
        <v>42</v>
      </c>
      <c r="E36" s="257" t="s">
        <v>43</v>
      </c>
      <c r="F36" s="272">
        <f t="shared" si="4"/>
        <v>1.5316694911939586E-4</v>
      </c>
      <c r="G36" s="273">
        <v>0</v>
      </c>
      <c r="H36" s="274">
        <v>9.5000000000000005E-5</v>
      </c>
      <c r="I36" s="129">
        <v>0</v>
      </c>
      <c r="J36" s="118"/>
      <c r="K36" s="275">
        <v>2.11660018530258E-5</v>
      </c>
      <c r="L36" s="275">
        <v>0</v>
      </c>
      <c r="M36" s="275">
        <v>6.7223259254820599E-6</v>
      </c>
      <c r="N36" s="275">
        <v>3.0278621340887999E-5</v>
      </c>
      <c r="O36" s="275"/>
      <c r="P36" s="275"/>
      <c r="Q36" s="118"/>
      <c r="R36" s="260">
        <f>'Parameters, country spec'!D60</f>
        <v>1.0139365657568411E-3</v>
      </c>
    </row>
    <row r="37" spans="1:18" x14ac:dyDescent="0.35">
      <c r="B37" s="18" t="s">
        <v>242</v>
      </c>
      <c r="C37" s="16" t="s">
        <v>475</v>
      </c>
      <c r="D37" s="257" t="s">
        <v>476</v>
      </c>
      <c r="E37" s="257"/>
      <c r="F37" s="272">
        <f t="shared" si="4"/>
        <v>3.8246443678729514E-4</v>
      </c>
      <c r="G37" s="54">
        <f>'Off-farm feed'!$F$75</f>
        <v>1.6847747663020744E-4</v>
      </c>
      <c r="H37" s="54">
        <f>'Off-farm feed'!$G$75</f>
        <v>4.5862068965517246E-5</v>
      </c>
      <c r="I37" s="54"/>
      <c r="J37" s="54"/>
      <c r="K37" s="54">
        <f>'Off-farm feed'!$J$75</f>
        <v>1.0936279334641704E-5</v>
      </c>
      <c r="L37" s="54"/>
      <c r="M37" s="54">
        <f>'Off-farm feed'!$L$75</f>
        <v>6.4606960551724142E-7</v>
      </c>
      <c r="N37" s="54">
        <f>'Off-farm feed'!$M$75</f>
        <v>2.1884761697575211E-5</v>
      </c>
      <c r="O37" s="54"/>
      <c r="P37" s="54">
        <f>'Off-farm feed'!$O$75</f>
        <v>4.5962128379923288E-5</v>
      </c>
      <c r="Q37" s="54">
        <f>'Off-farm feed'!$P$75</f>
        <v>8.8695652173913049E-5</v>
      </c>
      <c r="R37" s="260">
        <f>'Parameters, country spec'!D61</f>
        <v>0.10437666551754406</v>
      </c>
    </row>
    <row r="38" spans="1:18" x14ac:dyDescent="0.35">
      <c r="B38" s="18" t="s">
        <v>477</v>
      </c>
      <c r="C38" s="16" t="s">
        <v>475</v>
      </c>
      <c r="D38" s="257" t="s">
        <v>478</v>
      </c>
      <c r="E38" s="257"/>
      <c r="F38" s="272">
        <f t="shared" si="4"/>
        <v>4.7266553697523987E-4</v>
      </c>
      <c r="G38" s="54">
        <f>'Off-farm feed'!$F$24</f>
        <v>1.5603516238625262E-5</v>
      </c>
      <c r="H38" s="54">
        <f>'Off-farm feed'!$G$24</f>
        <v>7.5304878048780503E-5</v>
      </c>
      <c r="I38" s="54"/>
      <c r="J38" s="54"/>
      <c r="K38" s="54">
        <f>'Off-farm feed'!$J$24</f>
        <v>1.9084590744355897E-5</v>
      </c>
      <c r="L38" s="54"/>
      <c r="M38" s="54">
        <f>'Off-farm feed'!$L$24</f>
        <v>5.9672097439024396E-7</v>
      </c>
      <c r="N38" s="54">
        <f>'Off-farm feed'!$M$24</f>
        <v>2.3084271612619512E-5</v>
      </c>
      <c r="O38" s="54"/>
      <c r="P38" s="54">
        <f>'Off-farm feed'!$O$24</f>
        <v>1.2899155935646844E-4</v>
      </c>
      <c r="Q38" s="54">
        <f>'Off-farm feed'!$P$24</f>
        <v>2.1000000000000001E-4</v>
      </c>
      <c r="R38" s="260">
        <f>'Parameters, country spec'!D62</f>
        <v>0.10029152187678458</v>
      </c>
    </row>
    <row r="39" spans="1:18" x14ac:dyDescent="0.35">
      <c r="B39" s="16" t="s">
        <v>244</v>
      </c>
      <c r="C39" s="16" t="s">
        <v>479</v>
      </c>
      <c r="D39" s="257" t="s">
        <v>42</v>
      </c>
      <c r="E39" s="257" t="s">
        <v>43</v>
      </c>
      <c r="F39" s="276">
        <f t="shared" si="4"/>
        <v>1.0209971888950971E-3</v>
      </c>
      <c r="G39" s="275">
        <v>0</v>
      </c>
      <c r="H39" s="275">
        <v>8.5499999999999995E-6</v>
      </c>
      <c r="I39" s="51">
        <v>0</v>
      </c>
      <c r="J39" s="51"/>
      <c r="K39" s="275">
        <v>1.03063452490037E-6</v>
      </c>
      <c r="L39" s="51">
        <v>0</v>
      </c>
      <c r="M39" s="51">
        <v>1.9130624589599999E-13</v>
      </c>
      <c r="N39" s="275">
        <v>2.72507592067992E-6</v>
      </c>
      <c r="O39" s="275"/>
      <c r="P39" s="275">
        <v>9.9818289932063491E-4</v>
      </c>
      <c r="Q39" s="275">
        <v>1.05085789375756E-5</v>
      </c>
      <c r="R39" s="260">
        <f>'Parameters, country spec'!D63</f>
        <v>5.7362554731062478E-2</v>
      </c>
    </row>
    <row r="40" spans="1:18" x14ac:dyDescent="0.35">
      <c r="A40" s="262"/>
      <c r="B40" s="16" t="s">
        <v>481</v>
      </c>
      <c r="C40" s="263" t="s">
        <v>482</v>
      </c>
      <c r="D40" s="257" t="s">
        <v>42</v>
      </c>
      <c r="E40" s="257" t="s">
        <v>43</v>
      </c>
      <c r="F40" s="272">
        <f t="shared" si="4"/>
        <v>1.5469726955972269E-4</v>
      </c>
      <c r="G40" s="277">
        <f>AVERAGE(G30:G38)</f>
        <v>2.0453443652092523E-5</v>
      </c>
      <c r="H40" s="277">
        <f>AVERAGE(H30:H38)</f>
        <v>8.7351883001588647E-5</v>
      </c>
      <c r="I40" s="277"/>
      <c r="J40" s="277"/>
      <c r="K40" s="277">
        <f>AVERAGE(K30:K38)</f>
        <v>1.6058874358516184E-5</v>
      </c>
      <c r="L40" s="277"/>
      <c r="M40" s="277">
        <f>AVERAGE(M30:M38)</f>
        <v>2.2864704701463638E-6</v>
      </c>
      <c r="N40" s="277">
        <f>AVERAGE(N30:N38)</f>
        <v>2.8546598077378963E-5</v>
      </c>
      <c r="O40" s="277"/>
      <c r="P40" s="277"/>
      <c r="Q40" s="277"/>
      <c r="R40" s="260">
        <f>'Parameters, country spec'!D64</f>
        <v>2.0606758320839205E-2</v>
      </c>
    </row>
    <row r="41" spans="1:18" x14ac:dyDescent="0.35">
      <c r="A41" s="265"/>
      <c r="B41" s="266" t="s">
        <v>483</v>
      </c>
      <c r="C41" s="267"/>
      <c r="D41" s="268"/>
      <c r="E41" s="268"/>
      <c r="F41" s="278">
        <f t="shared" ref="F41:O41" si="5">SUMPRODUCT(F30:F40,$R$30:$R$40)</f>
        <v>2.4702918004526023E-4</v>
      </c>
      <c r="G41" s="278">
        <f t="shared" si="5"/>
        <v>1.9571496785839428E-5</v>
      </c>
      <c r="H41" s="278">
        <f t="shared" si="5"/>
        <v>8.2779297099056851E-5</v>
      </c>
      <c r="I41" s="278">
        <f t="shared" si="5"/>
        <v>0</v>
      </c>
      <c r="J41" s="278">
        <f t="shared" si="5"/>
        <v>0</v>
      </c>
      <c r="K41" s="278">
        <f t="shared" si="5"/>
        <v>1.1212006523307475E-5</v>
      </c>
      <c r="L41" s="278">
        <f t="shared" si="5"/>
        <v>0</v>
      </c>
      <c r="M41" s="278">
        <f t="shared" si="5"/>
        <v>4.8741716193017048E-7</v>
      </c>
      <c r="N41" s="278">
        <f t="shared" si="5"/>
        <v>2.7064732835336143E-5</v>
      </c>
      <c r="O41" s="278">
        <f t="shared" si="5"/>
        <v>0</v>
      </c>
      <c r="P41" s="278">
        <f>SUMPRODUCT(P30:P40,R30:R40)</f>
        <v>7.4992454691396028E-5</v>
      </c>
      <c r="Q41" s="278">
        <f>SUMPRODUCT(Q30:Q40,$R$30:$R$40)</f>
        <v>3.0921774948394088E-5</v>
      </c>
      <c r="R41" s="270"/>
    </row>
    <row r="42" spans="1:18" x14ac:dyDescent="0.35">
      <c r="A42" s="256" t="s">
        <v>466</v>
      </c>
      <c r="B42" s="16" t="s">
        <v>226</v>
      </c>
      <c r="C42" s="16" t="s">
        <v>467</v>
      </c>
      <c r="D42" s="257" t="s">
        <v>44</v>
      </c>
      <c r="E42" s="257" t="s">
        <v>45</v>
      </c>
      <c r="F42" s="279">
        <f t="shared" ref="F42:F52" si="6">SUM(G42:Q42)</f>
        <v>1.6286318293985799E-4</v>
      </c>
      <c r="G42" s="280">
        <v>0</v>
      </c>
      <c r="H42" s="281">
        <v>9.5000000000000005E-5</v>
      </c>
      <c r="I42" s="282">
        <v>0</v>
      </c>
      <c r="J42" s="283"/>
      <c r="K42" s="284">
        <v>2.9908858414160001E-5</v>
      </c>
      <c r="L42" s="284">
        <v>0</v>
      </c>
      <c r="M42" s="284">
        <v>0</v>
      </c>
      <c r="N42" s="284">
        <v>3.7954324525697998E-5</v>
      </c>
      <c r="O42" s="284"/>
      <c r="P42" s="284"/>
      <c r="Q42" s="283"/>
      <c r="R42" s="260">
        <f>'Parameters, country spec'!E54</f>
        <v>0.10548579258005962</v>
      </c>
    </row>
    <row r="43" spans="1:18" x14ac:dyDescent="0.35">
      <c r="A43" s="256" t="s">
        <v>468</v>
      </c>
      <c r="B43" s="16" t="s">
        <v>229</v>
      </c>
      <c r="C43" s="16" t="s">
        <v>467</v>
      </c>
      <c r="D43" s="257" t="s">
        <v>44</v>
      </c>
      <c r="E43" s="257" t="s">
        <v>45</v>
      </c>
      <c r="F43" s="272">
        <f t="shared" si="6"/>
        <v>1.7444028731740727E-4</v>
      </c>
      <c r="G43" s="273">
        <v>0</v>
      </c>
      <c r="H43" s="274">
        <v>9.5000000000000005E-5</v>
      </c>
      <c r="I43" s="129">
        <v>0</v>
      </c>
      <c r="J43" s="118"/>
      <c r="K43" s="275">
        <v>6.7727292665111798E-6</v>
      </c>
      <c r="L43" s="275">
        <v>0</v>
      </c>
      <c r="M43" s="275">
        <v>3.4713233525198098E-5</v>
      </c>
      <c r="N43" s="275">
        <v>3.7954324525697998E-5</v>
      </c>
      <c r="O43" s="275"/>
      <c r="P43" s="275"/>
      <c r="Q43" s="118"/>
      <c r="R43" s="260">
        <f>'Parameters, country spec'!E55</f>
        <v>0.31549865616441614</v>
      </c>
    </row>
    <row r="44" spans="1:18" x14ac:dyDescent="0.35">
      <c r="A44" s="256" t="s">
        <v>469</v>
      </c>
      <c r="B44" s="16" t="s">
        <v>232</v>
      </c>
      <c r="C44" s="16" t="s">
        <v>467</v>
      </c>
      <c r="D44" s="257" t="s">
        <v>44</v>
      </c>
      <c r="E44" s="257" t="s">
        <v>45</v>
      </c>
      <c r="F44" s="272">
        <f t="shared" si="6"/>
        <v>2.0353235344802614E-4</v>
      </c>
      <c r="G44" s="273">
        <v>0</v>
      </c>
      <c r="H44" s="274">
        <v>9.5000000000000005E-5</v>
      </c>
      <c r="I44" s="129">
        <v>0</v>
      </c>
      <c r="J44" s="118"/>
      <c r="K44" s="275">
        <v>7.0130605730866894E-5</v>
      </c>
      <c r="L44" s="275">
        <v>0</v>
      </c>
      <c r="M44" s="275">
        <v>4.4742319146124401E-7</v>
      </c>
      <c r="N44" s="275">
        <v>3.7954324525697998E-5</v>
      </c>
      <c r="O44" s="275"/>
      <c r="P44" s="275"/>
      <c r="Q44" s="118"/>
      <c r="R44" s="260">
        <f>'Parameters, country spec'!E56</f>
        <v>2.8667693691623947E-2</v>
      </c>
    </row>
    <row r="45" spans="1:18" x14ac:dyDescent="0.35">
      <c r="A45" s="256" t="s">
        <v>470</v>
      </c>
      <c r="B45" s="16" t="s">
        <v>235</v>
      </c>
      <c r="C45" s="16" t="s">
        <v>467</v>
      </c>
      <c r="D45" s="257" t="s">
        <v>44</v>
      </c>
      <c r="E45" s="257" t="s">
        <v>45</v>
      </c>
      <c r="F45" s="272">
        <f t="shared" si="6"/>
        <v>1.8013222859233324E-4</v>
      </c>
      <c r="G45" s="273">
        <v>0</v>
      </c>
      <c r="H45" s="274">
        <v>9.5000000000000005E-5</v>
      </c>
      <c r="I45" s="118">
        <v>0</v>
      </c>
      <c r="J45" s="118"/>
      <c r="K45" s="275">
        <v>4.44434506924746E-5</v>
      </c>
      <c r="L45" s="275">
        <v>0</v>
      </c>
      <c r="M45" s="275">
        <v>2.7344533741606401E-6</v>
      </c>
      <c r="N45" s="275">
        <v>3.7954324525697998E-5</v>
      </c>
      <c r="O45" s="275"/>
      <c r="P45" s="275"/>
      <c r="Q45" s="118"/>
      <c r="R45" s="260">
        <f>'Parameters, country spec'!E57</f>
        <v>6.3230823420726045E-3</v>
      </c>
    </row>
    <row r="46" spans="1:18" x14ac:dyDescent="0.35">
      <c r="A46" s="256" t="s">
        <v>471</v>
      </c>
      <c r="B46" s="16" t="s">
        <v>237</v>
      </c>
      <c r="C46" s="16" t="s">
        <v>467</v>
      </c>
      <c r="D46" s="257" t="s">
        <v>44</v>
      </c>
      <c r="E46" s="257" t="s">
        <v>45</v>
      </c>
      <c r="F46" s="272">
        <f t="shared" si="6"/>
        <v>1.6354619514759186E-4</v>
      </c>
      <c r="G46" s="273">
        <v>0</v>
      </c>
      <c r="H46" s="274">
        <v>9.5000000000000005E-5</v>
      </c>
      <c r="I46" s="118">
        <v>0</v>
      </c>
      <c r="J46" s="118"/>
      <c r="K46" s="275">
        <v>2.85207139558697E-5</v>
      </c>
      <c r="L46" s="275">
        <v>0</v>
      </c>
      <c r="M46" s="275">
        <v>2.07115666602417E-6</v>
      </c>
      <c r="N46" s="275">
        <v>3.7954324525697998E-5</v>
      </c>
      <c r="O46" s="275"/>
      <c r="P46" s="275"/>
      <c r="Q46" s="118"/>
      <c r="R46" s="260">
        <f>'Parameters, country spec'!E58</f>
        <v>4.5344513724963568E-3</v>
      </c>
    </row>
    <row r="47" spans="1:18" x14ac:dyDescent="0.35">
      <c r="A47" s="256" t="s">
        <v>472</v>
      </c>
      <c r="B47" s="16" t="s">
        <v>239</v>
      </c>
      <c r="C47" s="16" t="s">
        <v>473</v>
      </c>
      <c r="D47" s="257" t="s">
        <v>44</v>
      </c>
      <c r="E47" s="257" t="s">
        <v>45</v>
      </c>
      <c r="F47" s="272">
        <f t="shared" si="6"/>
        <v>3.2740778825431722E-4</v>
      </c>
      <c r="G47" s="273">
        <v>0</v>
      </c>
      <c r="H47" s="274">
        <v>9.5000000000000005E-5</v>
      </c>
      <c r="I47" s="129">
        <v>0</v>
      </c>
      <c r="J47" s="118"/>
      <c r="K47" s="275">
        <v>4.8844802880828202E-5</v>
      </c>
      <c r="L47" s="275">
        <v>0</v>
      </c>
      <c r="M47" s="275">
        <v>1.4560866084779099E-4</v>
      </c>
      <c r="N47" s="275">
        <v>3.7954324525697998E-5</v>
      </c>
      <c r="O47" s="275"/>
      <c r="P47" s="275"/>
      <c r="Q47" s="118"/>
      <c r="R47" s="260">
        <f>'Parameters, country spec'!E59</f>
        <v>5.9748390404603421E-4</v>
      </c>
    </row>
    <row r="48" spans="1:18" x14ac:dyDescent="0.35">
      <c r="A48" s="256" t="s">
        <v>474</v>
      </c>
      <c r="B48" s="16" t="s">
        <v>241</v>
      </c>
      <c r="C48" s="16" t="s">
        <v>473</v>
      </c>
      <c r="D48" s="257" t="s">
        <v>44</v>
      </c>
      <c r="E48" s="257" t="s">
        <v>45</v>
      </c>
      <c r="F48" s="272">
        <f t="shared" si="6"/>
        <v>2.7766326074083061E-4</v>
      </c>
      <c r="G48" s="273">
        <v>0</v>
      </c>
      <c r="H48" s="274">
        <v>9.5000000000000005E-5</v>
      </c>
      <c r="I48" s="129">
        <v>0</v>
      </c>
      <c r="J48" s="118"/>
      <c r="K48" s="275">
        <v>2.7713650874728599E-5</v>
      </c>
      <c r="L48" s="275">
        <v>0</v>
      </c>
      <c r="M48" s="275">
        <v>1.16995285340404E-4</v>
      </c>
      <c r="N48" s="275">
        <v>3.7954324525697998E-5</v>
      </c>
      <c r="O48" s="275"/>
      <c r="P48" s="275"/>
      <c r="Q48" s="118"/>
      <c r="R48" s="260">
        <f>'Parameters, country spec'!E60</f>
        <v>5.8692609068954191E-4</v>
      </c>
    </row>
    <row r="49" spans="1:18" x14ac:dyDescent="0.35">
      <c r="B49" s="18" t="s">
        <v>242</v>
      </c>
      <c r="C49" s="16" t="s">
        <v>475</v>
      </c>
      <c r="D49" s="257" t="s">
        <v>476</v>
      </c>
      <c r="E49" s="257"/>
      <c r="F49" s="272">
        <f t="shared" si="6"/>
        <v>3.8246443678729514E-4</v>
      </c>
      <c r="G49" s="54">
        <f>'Off-farm feed'!$F$75</f>
        <v>1.6847747663020744E-4</v>
      </c>
      <c r="H49" s="54">
        <f>'Off-farm feed'!$G$75</f>
        <v>4.5862068965517246E-5</v>
      </c>
      <c r="I49" s="54"/>
      <c r="J49" s="54"/>
      <c r="K49" s="54">
        <f>'Off-farm feed'!$J$75</f>
        <v>1.0936279334641704E-5</v>
      </c>
      <c r="L49" s="54"/>
      <c r="M49" s="54">
        <f>'Off-farm feed'!$L$75</f>
        <v>6.4606960551724142E-7</v>
      </c>
      <c r="N49" s="54">
        <f>'Off-farm feed'!$M$75</f>
        <v>2.1884761697575211E-5</v>
      </c>
      <c r="O49" s="54"/>
      <c r="P49" s="54">
        <f>'Off-farm feed'!$O$75</f>
        <v>4.5962128379923288E-5</v>
      </c>
      <c r="Q49" s="54">
        <f>'Off-farm feed'!$P$75</f>
        <v>8.8695652173913049E-5</v>
      </c>
      <c r="R49" s="260">
        <f>'Parameters, country spec'!E61</f>
        <v>6.5204011883002286E-4</v>
      </c>
    </row>
    <row r="50" spans="1:18" x14ac:dyDescent="0.35">
      <c r="B50" s="18" t="s">
        <v>477</v>
      </c>
      <c r="C50" s="16" t="s">
        <v>475</v>
      </c>
      <c r="D50" s="257" t="s">
        <v>478</v>
      </c>
      <c r="E50" s="257"/>
      <c r="F50" s="272">
        <f t="shared" si="6"/>
        <v>4.7266553697523987E-4</v>
      </c>
      <c r="G50" s="54">
        <f>'Off-farm feed'!$F$24</f>
        <v>1.5603516238625262E-5</v>
      </c>
      <c r="H50" s="54">
        <f>'Off-farm feed'!$G$24</f>
        <v>7.5304878048780503E-5</v>
      </c>
      <c r="I50" s="54"/>
      <c r="J50" s="54"/>
      <c r="K50" s="54">
        <f>'Off-farm feed'!$J$24</f>
        <v>1.9084590744355897E-5</v>
      </c>
      <c r="L50" s="54"/>
      <c r="M50" s="54">
        <f>'Off-farm feed'!$L$24</f>
        <v>5.9672097439024396E-7</v>
      </c>
      <c r="N50" s="54">
        <f>'Off-farm feed'!$M$24</f>
        <v>2.3084271612619512E-5</v>
      </c>
      <c r="O50" s="54"/>
      <c r="P50" s="54">
        <f>'Off-farm feed'!$O$24</f>
        <v>1.2899155935646844E-4</v>
      </c>
      <c r="Q50" s="54">
        <f>'Off-farm feed'!$P$24</f>
        <v>2.1000000000000001E-4</v>
      </c>
      <c r="R50" s="260">
        <f>'Parameters, country spec'!E62</f>
        <v>0.11489366774251643</v>
      </c>
    </row>
    <row r="51" spans="1:18" x14ac:dyDescent="0.35">
      <c r="B51" s="16" t="s">
        <v>244</v>
      </c>
      <c r="C51" s="16" t="s">
        <v>479</v>
      </c>
      <c r="D51" s="257" t="s">
        <v>44</v>
      </c>
      <c r="E51" s="257" t="s">
        <v>45</v>
      </c>
      <c r="F51" s="276">
        <f t="shared" si="6"/>
        <v>1.475044584941611E-3</v>
      </c>
      <c r="G51" s="275">
        <v>0</v>
      </c>
      <c r="H51" s="275">
        <v>8.5499999999999995E-6</v>
      </c>
      <c r="I51" s="51">
        <v>0</v>
      </c>
      <c r="J51" s="51"/>
      <c r="K51" s="275">
        <v>2.56686425602827E-6</v>
      </c>
      <c r="L51" s="51">
        <v>0</v>
      </c>
      <c r="M51" s="51">
        <v>1.8640409994217499E-7</v>
      </c>
      <c r="N51" s="275">
        <v>3.41588920731282E-6</v>
      </c>
      <c r="O51" s="275"/>
      <c r="P51" s="275">
        <v>1.4294971164590801E-3</v>
      </c>
      <c r="Q51" s="275">
        <v>3.0828310919247803E-5</v>
      </c>
      <c r="R51" s="260">
        <f>'Parameters, country spec'!E63</f>
        <v>0.20323754818805212</v>
      </c>
    </row>
    <row r="52" spans="1:18" x14ac:dyDescent="0.35">
      <c r="A52" s="262"/>
      <c r="B52" s="16" t="s">
        <v>481</v>
      </c>
      <c r="C52" s="263" t="s">
        <v>482</v>
      </c>
      <c r="D52" s="257" t="s">
        <v>44</v>
      </c>
      <c r="E52" s="257" t="s">
        <v>45</v>
      </c>
      <c r="F52" s="272">
        <f t="shared" si="6"/>
        <v>2.0789621447695497E-4</v>
      </c>
      <c r="G52" s="277">
        <f>AVERAGE(G42:G50)</f>
        <v>2.0453443652092523E-5</v>
      </c>
      <c r="H52" s="277">
        <f>AVERAGE(H42:H50)</f>
        <v>8.7351883001588647E-5</v>
      </c>
      <c r="I52" s="277"/>
      <c r="J52" s="277"/>
      <c r="K52" s="277">
        <f>AVERAGE(K42:K50)</f>
        <v>3.1817297988270754E-5</v>
      </c>
      <c r="L52" s="277"/>
      <c r="M52" s="277">
        <f>AVERAGE(M42:M50)</f>
        <v>3.3757000391660732E-5</v>
      </c>
      <c r="N52" s="277">
        <f>AVERAGE(N42:N50)</f>
        <v>3.45165894433423E-5</v>
      </c>
      <c r="O52" s="277"/>
      <c r="P52" s="277"/>
      <c r="Q52" s="277"/>
      <c r="R52" s="260">
        <f>'Parameters, country spec'!E64</f>
        <v>0.21952265780519725</v>
      </c>
    </row>
    <row r="53" spans="1:18" x14ac:dyDescent="0.35">
      <c r="A53" s="265"/>
      <c r="B53" s="266" t="s">
        <v>483</v>
      </c>
      <c r="C53" s="267"/>
      <c r="D53" s="268"/>
      <c r="E53" s="268"/>
      <c r="F53" s="278">
        <f t="shared" ref="F53:O53" si="7">SUMPRODUCT(F42:F52,$R$42:$R$52)</f>
        <v>4.8026743698428094E-4</v>
      </c>
      <c r="G53" s="278">
        <f t="shared" si="7"/>
        <v>6.3925935959939044E-6</v>
      </c>
      <c r="H53" s="278">
        <f t="shared" si="7"/>
        <v>7.3456294288443992E-5</v>
      </c>
      <c r="I53" s="278">
        <f t="shared" si="7"/>
        <v>0</v>
      </c>
      <c r="J53" s="278">
        <f t="shared" si="7"/>
        <v>0</v>
      </c>
      <c r="K53" s="278">
        <f t="shared" si="7"/>
        <v>1.7464155115105779E-5</v>
      </c>
      <c r="L53" s="278">
        <f t="shared" si="7"/>
        <v>0</v>
      </c>
      <c r="M53" s="278">
        <f t="shared" si="7"/>
        <v>1.8664444751379222E-5</v>
      </c>
      <c r="N53" s="278">
        <f t="shared" si="7"/>
        <v>2.8461203952864008E-5</v>
      </c>
      <c r="O53" s="278">
        <f t="shared" si="7"/>
        <v>0</v>
      </c>
      <c r="P53" s="278">
        <f>SUMPRODUCT(P42:P52,R42:R52)</f>
        <v>3.0537777160497557E-4</v>
      </c>
      <c r="Q53" s="278">
        <f>SUMPRODUCT(Q42:Q52,$R$42:$R$52)</f>
        <v>3.0450973675518516E-5</v>
      </c>
      <c r="R53" s="270"/>
    </row>
    <row r="54" spans="1:18" x14ac:dyDescent="0.35">
      <c r="A54" s="256" t="s">
        <v>466</v>
      </c>
      <c r="B54" s="16" t="s">
        <v>226</v>
      </c>
      <c r="C54" s="16" t="s">
        <v>467</v>
      </c>
      <c r="D54" s="257" t="s">
        <v>82</v>
      </c>
      <c r="E54" s="257" t="s">
        <v>47</v>
      </c>
      <c r="F54" s="279">
        <f t="shared" ref="F54:F64" si="8">SUM(G54:Q54)</f>
        <v>1.4501465028229771E-4</v>
      </c>
      <c r="G54" s="280">
        <v>0</v>
      </c>
      <c r="H54" s="281">
        <v>9.5000000000000005E-5</v>
      </c>
      <c r="I54" s="282">
        <v>0</v>
      </c>
      <c r="J54" s="283"/>
      <c r="K54" s="284">
        <v>1.5393650506969701E-5</v>
      </c>
      <c r="L54" s="284">
        <v>0</v>
      </c>
      <c r="M54" s="284">
        <v>0</v>
      </c>
      <c r="N54" s="284">
        <v>3.4620999775328E-5</v>
      </c>
      <c r="O54" s="284"/>
      <c r="P54" s="284"/>
      <c r="Q54" s="283"/>
      <c r="R54" s="260">
        <f>'Parameters, country spec'!F54</f>
        <v>8.1251536473470068E-2</v>
      </c>
    </row>
    <row r="55" spans="1:18" x14ac:dyDescent="0.35">
      <c r="A55" s="256" t="s">
        <v>468</v>
      </c>
      <c r="B55" s="16" t="s">
        <v>229</v>
      </c>
      <c r="C55" s="16" t="s">
        <v>467</v>
      </c>
      <c r="D55" s="257" t="s">
        <v>82</v>
      </c>
      <c r="E55" s="257" t="s">
        <v>47</v>
      </c>
      <c r="F55" s="272">
        <f t="shared" si="8"/>
        <v>1.4092693848870525E-4</v>
      </c>
      <c r="G55" s="273">
        <v>0</v>
      </c>
      <c r="H55" s="274">
        <v>9.5000000000000005E-5</v>
      </c>
      <c r="I55" s="129">
        <v>0</v>
      </c>
      <c r="J55" s="118"/>
      <c r="K55" s="275">
        <v>1.1061500749097499E-5</v>
      </c>
      <c r="L55" s="275">
        <v>0</v>
      </c>
      <c r="M55" s="275">
        <v>2.4443796427972899E-7</v>
      </c>
      <c r="N55" s="275">
        <v>3.4620999775328E-5</v>
      </c>
      <c r="O55" s="275"/>
      <c r="P55" s="275"/>
      <c r="Q55" s="118"/>
      <c r="R55" s="260">
        <f>'Parameters, country spec'!F55</f>
        <v>0.48193637626933306</v>
      </c>
    </row>
    <row r="56" spans="1:18" x14ac:dyDescent="0.35">
      <c r="A56" s="256" t="s">
        <v>469</v>
      </c>
      <c r="B56" s="16" t="s">
        <v>232</v>
      </c>
      <c r="C56" s="16" t="s">
        <v>467</v>
      </c>
      <c r="D56" s="257" t="s">
        <v>82</v>
      </c>
      <c r="E56" s="257" t="s">
        <v>47</v>
      </c>
      <c r="F56" s="272">
        <f t="shared" si="8"/>
        <v>1.5843171473005791E-4</v>
      </c>
      <c r="G56" s="273">
        <v>0</v>
      </c>
      <c r="H56" s="274">
        <v>9.5000000000000005E-5</v>
      </c>
      <c r="I56" s="129">
        <v>0</v>
      </c>
      <c r="J56" s="118"/>
      <c r="K56" s="275">
        <v>2.88107149547299E-5</v>
      </c>
      <c r="L56" s="275">
        <v>0</v>
      </c>
      <c r="M56" s="275">
        <v>0</v>
      </c>
      <c r="N56" s="275">
        <v>3.4620999775328E-5</v>
      </c>
      <c r="O56" s="275"/>
      <c r="P56" s="275"/>
      <c r="Q56" s="118"/>
      <c r="R56" s="260">
        <f>'Parameters, country spec'!F56</f>
        <v>4.3518886440683656E-2</v>
      </c>
    </row>
    <row r="57" spans="1:18" x14ac:dyDescent="0.35">
      <c r="A57" s="256" t="s">
        <v>470</v>
      </c>
      <c r="B57" s="16" t="s">
        <v>235</v>
      </c>
      <c r="C57" s="16" t="s">
        <v>467</v>
      </c>
      <c r="D57" s="257" t="s">
        <v>82</v>
      </c>
      <c r="E57" s="257" t="s">
        <v>47</v>
      </c>
      <c r="F57" s="272">
        <f t="shared" si="8"/>
        <v>1.5661395382845762E-4</v>
      </c>
      <c r="G57" s="273">
        <v>0</v>
      </c>
      <c r="H57" s="274">
        <v>9.5000000000000005E-5</v>
      </c>
      <c r="I57" s="118">
        <v>0</v>
      </c>
      <c r="J57" s="118"/>
      <c r="K57" s="275">
        <v>2.6992954053129601E-5</v>
      </c>
      <c r="L57" s="275">
        <v>0</v>
      </c>
      <c r="M57" s="275">
        <v>0</v>
      </c>
      <c r="N57" s="275">
        <v>3.4620999775328E-5</v>
      </c>
      <c r="O57" s="275"/>
      <c r="P57" s="275"/>
      <c r="Q57" s="118"/>
      <c r="R57" s="260">
        <f>'Parameters, country spec'!F57</f>
        <v>1.6914287828800331E-2</v>
      </c>
    </row>
    <row r="58" spans="1:18" x14ac:dyDescent="0.35">
      <c r="A58" s="256" t="s">
        <v>471</v>
      </c>
      <c r="B58" s="16" t="s">
        <v>237</v>
      </c>
      <c r="C58" s="16" t="s">
        <v>467</v>
      </c>
      <c r="D58" s="257" t="s">
        <v>82</v>
      </c>
      <c r="E58" s="257" t="s">
        <v>47</v>
      </c>
      <c r="F58" s="272">
        <f t="shared" si="8"/>
        <v>1.4529023631438349E-4</v>
      </c>
      <c r="G58" s="273">
        <v>0</v>
      </c>
      <c r="H58" s="274">
        <v>9.5000000000000005E-5</v>
      </c>
      <c r="I58" s="118">
        <v>0</v>
      </c>
      <c r="J58" s="118"/>
      <c r="K58" s="275">
        <v>1.5669236539055499E-5</v>
      </c>
      <c r="L58" s="275">
        <v>0</v>
      </c>
      <c r="M58" s="275">
        <v>0</v>
      </c>
      <c r="N58" s="275">
        <v>3.4620999775328E-5</v>
      </c>
      <c r="O58" s="275"/>
      <c r="P58" s="275"/>
      <c r="Q58" s="118"/>
      <c r="R58" s="260">
        <f>'Parameters, country spec'!F58</f>
        <v>7.6091634538062169E-2</v>
      </c>
    </row>
    <row r="59" spans="1:18" x14ac:dyDescent="0.35">
      <c r="A59" s="256" t="s">
        <v>472</v>
      </c>
      <c r="B59" s="16" t="s">
        <v>239</v>
      </c>
      <c r="C59" s="16" t="s">
        <v>473</v>
      </c>
      <c r="D59" s="257" t="s">
        <v>82</v>
      </c>
      <c r="E59" s="257" t="s">
        <v>47</v>
      </c>
      <c r="F59" s="272">
        <f t="shared" si="8"/>
        <v>2.3889913965334191E-4</v>
      </c>
      <c r="G59" s="273">
        <v>0</v>
      </c>
      <c r="H59" s="274">
        <v>9.5000000000000005E-5</v>
      </c>
      <c r="I59" s="129">
        <v>0</v>
      </c>
      <c r="J59" s="118"/>
      <c r="K59" s="275">
        <v>3.3607143901788602E-5</v>
      </c>
      <c r="L59" s="275">
        <v>0</v>
      </c>
      <c r="M59" s="275">
        <v>7.5670995976225307E-5</v>
      </c>
      <c r="N59" s="275">
        <v>3.4620999775328E-5</v>
      </c>
      <c r="O59" s="275"/>
      <c r="P59" s="275"/>
      <c r="Q59" s="118"/>
      <c r="R59" s="260">
        <f>'Parameters, country spec'!F59</f>
        <v>1.2507448813783284E-3</v>
      </c>
    </row>
    <row r="60" spans="1:18" x14ac:dyDescent="0.35">
      <c r="A60" s="256" t="s">
        <v>474</v>
      </c>
      <c r="B60" s="16" t="s">
        <v>241</v>
      </c>
      <c r="C60" s="16" t="s">
        <v>473</v>
      </c>
      <c r="D60" s="257" t="s">
        <v>82</v>
      </c>
      <c r="E60" s="257" t="s">
        <v>47</v>
      </c>
      <c r="F60" s="272">
        <f t="shared" si="8"/>
        <v>2.7852379088053969E-4</v>
      </c>
      <c r="G60" s="273">
        <v>0</v>
      </c>
      <c r="H60" s="274">
        <v>9.5000000000000005E-5</v>
      </c>
      <c r="I60" s="129">
        <v>0</v>
      </c>
      <c r="J60" s="118"/>
      <c r="K60" s="275">
        <v>5.3019283387622201E-5</v>
      </c>
      <c r="L60" s="275">
        <v>0</v>
      </c>
      <c r="M60" s="275">
        <v>9.5883507717589505E-5</v>
      </c>
      <c r="N60" s="275">
        <v>3.4620999775328E-5</v>
      </c>
      <c r="O60" s="275"/>
      <c r="P60" s="275"/>
      <c r="Q60" s="118"/>
      <c r="R60" s="260">
        <f>'Parameters, country spec'!F60</f>
        <v>1.2286436428647813E-3</v>
      </c>
    </row>
    <row r="61" spans="1:18" x14ac:dyDescent="0.35">
      <c r="B61" s="18" t="s">
        <v>242</v>
      </c>
      <c r="C61" s="16" t="s">
        <v>475</v>
      </c>
      <c r="D61" s="257" t="s">
        <v>476</v>
      </c>
      <c r="E61" s="257"/>
      <c r="F61" s="272">
        <f t="shared" si="8"/>
        <v>3.8246443678729514E-4</v>
      </c>
      <c r="G61" s="54">
        <f>'Off-farm feed'!$F$75</f>
        <v>1.6847747663020744E-4</v>
      </c>
      <c r="H61" s="54">
        <f>'Off-farm feed'!$G$75</f>
        <v>4.5862068965517246E-5</v>
      </c>
      <c r="I61" s="54"/>
      <c r="J61" s="54"/>
      <c r="K61" s="54">
        <f>'Off-farm feed'!$J$75</f>
        <v>1.0936279334641704E-5</v>
      </c>
      <c r="L61" s="54"/>
      <c r="M61" s="54">
        <f>'Off-farm feed'!$L$75</f>
        <v>6.4606960551724142E-7</v>
      </c>
      <c r="N61" s="54">
        <f>'Off-farm feed'!$M$75</f>
        <v>2.1884761697575211E-5</v>
      </c>
      <c r="O61" s="54"/>
      <c r="P61" s="54">
        <f>'Off-farm feed'!$O$75</f>
        <v>4.5962128379923288E-5</v>
      </c>
      <c r="Q61" s="54">
        <f>'Off-farm feed'!$P$75</f>
        <v>8.8695652173913049E-5</v>
      </c>
      <c r="R61" s="260">
        <f>'Parameters, country spec'!F61</f>
        <v>5.3981077846432604E-4</v>
      </c>
    </row>
    <row r="62" spans="1:18" x14ac:dyDescent="0.35">
      <c r="B62" s="18" t="s">
        <v>477</v>
      </c>
      <c r="C62" s="16" t="s">
        <v>475</v>
      </c>
      <c r="D62" s="257" t="s">
        <v>478</v>
      </c>
      <c r="E62" s="257"/>
      <c r="F62" s="272">
        <f t="shared" si="8"/>
        <v>4.7266553697523987E-4</v>
      </c>
      <c r="G62" s="54">
        <f>'Off-farm feed'!$F$24</f>
        <v>1.5603516238625262E-5</v>
      </c>
      <c r="H62" s="54">
        <f>'Off-farm feed'!$G$24</f>
        <v>7.5304878048780503E-5</v>
      </c>
      <c r="I62" s="54"/>
      <c r="J62" s="54"/>
      <c r="K62" s="54">
        <f>'Off-farm feed'!$J$24</f>
        <v>1.9084590744355897E-5</v>
      </c>
      <c r="L62" s="54"/>
      <c r="M62" s="54">
        <f>'Off-farm feed'!$L$24</f>
        <v>5.9672097439024396E-7</v>
      </c>
      <c r="N62" s="54">
        <f>'Off-farm feed'!$M$24</f>
        <v>2.3084271612619512E-5</v>
      </c>
      <c r="O62" s="54"/>
      <c r="P62" s="54">
        <f>'Off-farm feed'!$O$24</f>
        <v>1.2899155935646844E-4</v>
      </c>
      <c r="Q62" s="54">
        <f>'Off-farm feed'!$P$24</f>
        <v>2.1000000000000001E-4</v>
      </c>
      <c r="R62" s="260">
        <f>'Parameters, country spec'!F62</f>
        <v>0.10293137633845451</v>
      </c>
    </row>
    <row r="63" spans="1:18" x14ac:dyDescent="0.35">
      <c r="B63" s="16" t="s">
        <v>244</v>
      </c>
      <c r="C63" s="16" t="s">
        <v>479</v>
      </c>
      <c r="D63" s="257" t="s">
        <v>82</v>
      </c>
      <c r="E63" s="257" t="s">
        <v>47</v>
      </c>
      <c r="F63" s="276">
        <f t="shared" si="8"/>
        <v>1.2583739615406747E-3</v>
      </c>
      <c r="G63" s="275">
        <v>0</v>
      </c>
      <c r="H63" s="275">
        <v>8.5499999999999995E-6</v>
      </c>
      <c r="I63" s="51">
        <v>0</v>
      </c>
      <c r="J63" s="51"/>
      <c r="K63" s="275">
        <v>1.41023128851499E-6</v>
      </c>
      <c r="L63" s="51">
        <v>0</v>
      </c>
      <c r="M63" s="51">
        <v>0</v>
      </c>
      <c r="N63" s="275">
        <v>3.11588997977952E-6</v>
      </c>
      <c r="O63" s="275"/>
      <c r="P63" s="275">
        <v>1.2421904527491999E-3</v>
      </c>
      <c r="Q63" s="275">
        <v>3.10738752318024E-6</v>
      </c>
      <c r="R63" s="260">
        <f>'Parameters, country spec'!F63</f>
        <v>9.5470428327137938E-2</v>
      </c>
    </row>
    <row r="64" spans="1:18" x14ac:dyDescent="0.35">
      <c r="A64" s="262"/>
      <c r="B64" s="16" t="s">
        <v>481</v>
      </c>
      <c r="C64" s="263" t="s">
        <v>482</v>
      </c>
      <c r="D64" s="257" t="s">
        <v>82</v>
      </c>
      <c r="E64" s="257" t="s">
        <v>47</v>
      </c>
      <c r="F64" s="272">
        <f t="shared" si="8"/>
        <v>1.827978953366682E-4</v>
      </c>
      <c r="G64" s="277">
        <f>AVERAGE(G54:G62)</f>
        <v>2.0453443652092523E-5</v>
      </c>
      <c r="H64" s="277">
        <f>AVERAGE(H54:H62)</f>
        <v>8.7351883001588647E-5</v>
      </c>
      <c r="I64" s="277"/>
      <c r="J64" s="277"/>
      <c r="K64" s="277">
        <f>AVERAGE(K54:K62)</f>
        <v>2.38417060190434E-5</v>
      </c>
      <c r="L64" s="277"/>
      <c r="M64" s="277">
        <f>AVERAGE(M54:M62)</f>
        <v>1.9226859137555781E-5</v>
      </c>
      <c r="N64" s="277">
        <f>AVERAGE(N54:N62)</f>
        <v>3.1924003526387862E-5</v>
      </c>
      <c r="O64" s="277"/>
      <c r="P64" s="277"/>
      <c r="Q64" s="277"/>
      <c r="R64" s="260">
        <f>'Parameters, country spec'!F64</f>
        <v>9.8866274481350727E-2</v>
      </c>
    </row>
    <row r="65" spans="1:19" x14ac:dyDescent="0.35">
      <c r="A65" s="265"/>
      <c r="B65" s="266" t="s">
        <v>483</v>
      </c>
      <c r="C65" s="267"/>
      <c r="D65" s="268"/>
      <c r="E65" s="268"/>
      <c r="F65" s="278">
        <f t="shared" ref="F65:O65" si="9">SUMPRODUCT(F54:F64,$R$54:$R$64)</f>
        <v>2.8800926711324747E-4</v>
      </c>
      <c r="G65" s="278">
        <f t="shared" si="9"/>
        <v>3.7191931341712008E-6</v>
      </c>
      <c r="H65" s="278">
        <f t="shared" si="9"/>
        <v>8.3936669442291915E-5</v>
      </c>
      <c r="I65" s="278">
        <f t="shared" si="9"/>
        <v>0</v>
      </c>
      <c r="J65" s="278">
        <f t="shared" si="9"/>
        <v>0</v>
      </c>
      <c r="K65" s="278">
        <f t="shared" si="9"/>
        <v>1.4053630508429183E-5</v>
      </c>
      <c r="L65" s="278">
        <f t="shared" si="9"/>
        <v>0</v>
      </c>
      <c r="M65" s="278">
        <f t="shared" si="9"/>
        <v>2.2929133192550457E-6</v>
      </c>
      <c r="N65" s="278">
        <f t="shared" si="9"/>
        <v>3.0152185010408928E-5</v>
      </c>
      <c r="O65" s="278">
        <f t="shared" si="9"/>
        <v>0</v>
      </c>
      <c r="P65" s="278">
        <f>SUMPRODUCT(P54:P64,R54:R64)</f>
        <v>1.3189454418075289E-4</v>
      </c>
      <c r="Q65" s="278">
        <f>SUMPRODUCT(Q54:Q64,$R$54:$R$64)</f>
        <v>2.196013151793827E-5</v>
      </c>
      <c r="R65" s="270"/>
    </row>
    <row r="66" spans="1:19" x14ac:dyDescent="0.35">
      <c r="A66" s="256" t="s">
        <v>466</v>
      </c>
      <c r="B66" s="16" t="s">
        <v>226</v>
      </c>
      <c r="C66" s="16" t="s">
        <v>467</v>
      </c>
      <c r="D66" s="257" t="s">
        <v>48</v>
      </c>
      <c r="E66" s="257" t="s">
        <v>49</v>
      </c>
      <c r="F66" s="279">
        <f t="shared" ref="F66:F76" si="10">SUM(G66:Q66)</f>
        <v>1.2752637390551759E-4</v>
      </c>
      <c r="G66" s="280">
        <v>0</v>
      </c>
      <c r="H66" s="281">
        <v>9.5000000000000005E-5</v>
      </c>
      <c r="I66" s="282">
        <v>0</v>
      </c>
      <c r="J66" s="283"/>
      <c r="K66" s="284">
        <v>1.15340929635865E-5</v>
      </c>
      <c r="L66" s="284">
        <v>0</v>
      </c>
      <c r="M66" s="284">
        <v>0</v>
      </c>
      <c r="N66" s="284">
        <v>2.0992280941931101E-5</v>
      </c>
      <c r="O66" s="284"/>
      <c r="P66" s="284"/>
      <c r="Q66" s="283"/>
      <c r="R66" s="260">
        <f>'Parameters, country spec'!G54</f>
        <v>0.32325200471026871</v>
      </c>
    </row>
    <row r="67" spans="1:19" x14ac:dyDescent="0.35">
      <c r="A67" s="256" t="s">
        <v>468</v>
      </c>
      <c r="B67" s="16" t="s">
        <v>229</v>
      </c>
      <c r="C67" s="16" t="s">
        <v>467</v>
      </c>
      <c r="D67" s="257" t="s">
        <v>48</v>
      </c>
      <c r="E67" s="257" t="s">
        <v>49</v>
      </c>
      <c r="F67" s="272">
        <f t="shared" si="10"/>
        <v>1.3043464412497476E-4</v>
      </c>
      <c r="G67" s="273">
        <v>0</v>
      </c>
      <c r="H67" s="274">
        <v>9.5000000000000005E-5</v>
      </c>
      <c r="I67" s="129">
        <v>0</v>
      </c>
      <c r="J67" s="118"/>
      <c r="K67" s="275">
        <v>8.0196373769558906E-6</v>
      </c>
      <c r="L67" s="275">
        <v>0</v>
      </c>
      <c r="M67" s="275">
        <v>9.4674824843908693E-6</v>
      </c>
      <c r="N67" s="275">
        <v>1.7947524263628E-5</v>
      </c>
      <c r="O67" s="275"/>
      <c r="P67" s="275"/>
      <c r="Q67" s="118"/>
      <c r="R67" s="260">
        <f>'Parameters, country spec'!G55</f>
        <v>8.9094558301539284E-2</v>
      </c>
      <c r="S67" s="22" t="s">
        <v>484</v>
      </c>
    </row>
    <row r="68" spans="1:19" x14ac:dyDescent="0.35">
      <c r="A68" s="256" t="s">
        <v>469</v>
      </c>
      <c r="B68" s="16" t="s">
        <v>232</v>
      </c>
      <c r="C68" s="16" t="s">
        <v>467</v>
      </c>
      <c r="D68" s="257" t="s">
        <v>48</v>
      </c>
      <c r="E68" s="257" t="s">
        <v>49</v>
      </c>
      <c r="F68" s="272">
        <f t="shared" si="10"/>
        <v>1.266059423118113E-4</v>
      </c>
      <c r="G68" s="273">
        <v>0</v>
      </c>
      <c r="H68" s="274">
        <v>9.5000000000000005E-5</v>
      </c>
      <c r="I68" s="129">
        <v>0</v>
      </c>
      <c r="J68" s="118"/>
      <c r="K68" s="275">
        <v>1.0613661369880201E-5</v>
      </c>
      <c r="L68" s="275">
        <v>0</v>
      </c>
      <c r="M68" s="275">
        <v>0</v>
      </c>
      <c r="N68" s="275">
        <v>2.0992280941931101E-5</v>
      </c>
      <c r="O68" s="275"/>
      <c r="P68" s="275"/>
      <c r="Q68" s="118"/>
      <c r="R68" s="260">
        <f>'Parameters, country spec'!G56</f>
        <v>1.8632243854911967E-2</v>
      </c>
    </row>
    <row r="69" spans="1:19" x14ac:dyDescent="0.35">
      <c r="A69" s="256" t="s">
        <v>470</v>
      </c>
      <c r="B69" s="16" t="s">
        <v>235</v>
      </c>
      <c r="C69" s="16" t="s">
        <v>467</v>
      </c>
      <c r="D69" s="257" t="s">
        <v>48</v>
      </c>
      <c r="E69" s="257" t="s">
        <v>49</v>
      </c>
      <c r="F69" s="272">
        <f t="shared" si="10"/>
        <v>1.3385318160415261E-4</v>
      </c>
      <c r="G69" s="273">
        <v>0</v>
      </c>
      <c r="H69" s="274">
        <v>9.5000000000000005E-5</v>
      </c>
      <c r="I69" s="118">
        <v>0</v>
      </c>
      <c r="J69" s="118"/>
      <c r="K69" s="275">
        <v>2.0824119581523299E-5</v>
      </c>
      <c r="L69" s="275">
        <v>0</v>
      </c>
      <c r="M69" s="275">
        <v>8.15377590012958E-8</v>
      </c>
      <c r="N69" s="275">
        <v>1.7947524263628E-5</v>
      </c>
      <c r="O69" s="275"/>
      <c r="P69" s="275"/>
      <c r="Q69" s="118"/>
      <c r="R69" s="260">
        <f>'Parameters, country spec'!G57</f>
        <v>0</v>
      </c>
    </row>
    <row r="70" spans="1:19" x14ac:dyDescent="0.35">
      <c r="A70" s="256" t="s">
        <v>471</v>
      </c>
      <c r="B70" s="16" t="s">
        <v>237</v>
      </c>
      <c r="C70" s="16" t="s">
        <v>467</v>
      </c>
      <c r="D70" s="257" t="s">
        <v>48</v>
      </c>
      <c r="E70" s="257" t="s">
        <v>49</v>
      </c>
      <c r="F70" s="272">
        <f t="shared" si="10"/>
        <v>1.2544698323017838E-4</v>
      </c>
      <c r="G70" s="273">
        <v>0</v>
      </c>
      <c r="H70" s="274">
        <v>9.5000000000000005E-5</v>
      </c>
      <c r="I70" s="118">
        <v>0</v>
      </c>
      <c r="J70" s="118"/>
      <c r="K70" s="275">
        <v>9.4547022882472702E-6</v>
      </c>
      <c r="L70" s="275">
        <v>0</v>
      </c>
      <c r="M70" s="275">
        <v>0</v>
      </c>
      <c r="N70" s="275">
        <v>2.0992280941931101E-5</v>
      </c>
      <c r="O70" s="275"/>
      <c r="P70" s="275"/>
      <c r="Q70" s="118"/>
      <c r="R70" s="260">
        <f>'Parameters, country spec'!G58</f>
        <v>0.13883686885903021</v>
      </c>
    </row>
    <row r="71" spans="1:19" x14ac:dyDescent="0.35">
      <c r="A71" s="256" t="s">
        <v>472</v>
      </c>
      <c r="B71" s="16" t="s">
        <v>239</v>
      </c>
      <c r="C71" s="16" t="s">
        <v>473</v>
      </c>
      <c r="D71" s="257" t="s">
        <v>48</v>
      </c>
      <c r="E71" s="257" t="s">
        <v>49</v>
      </c>
      <c r="F71" s="272">
        <f t="shared" si="10"/>
        <v>1.330387793164647E-4</v>
      </c>
      <c r="G71" s="273">
        <v>0</v>
      </c>
      <c r="H71" s="274">
        <v>9.5000000000000005E-5</v>
      </c>
      <c r="I71" s="129">
        <v>0</v>
      </c>
      <c r="J71" s="118"/>
      <c r="K71" s="275">
        <v>1.70464983745336E-5</v>
      </c>
      <c r="L71" s="275">
        <v>0</v>
      </c>
      <c r="M71" s="275">
        <v>0</v>
      </c>
      <c r="N71" s="275">
        <v>2.0992280941931101E-5</v>
      </c>
      <c r="O71" s="275"/>
      <c r="P71" s="275"/>
      <c r="Q71" s="118"/>
      <c r="R71" s="260">
        <f>'Parameters, country spec'!G59</f>
        <v>1.1573790749521788E-3</v>
      </c>
    </row>
    <row r="72" spans="1:19" x14ac:dyDescent="0.35">
      <c r="A72" s="256" t="s">
        <v>474</v>
      </c>
      <c r="B72" s="16" t="s">
        <v>241</v>
      </c>
      <c r="C72" s="16" t="s">
        <v>473</v>
      </c>
      <c r="D72" s="257" t="s">
        <v>48</v>
      </c>
      <c r="E72" s="257" t="s">
        <v>49</v>
      </c>
      <c r="F72" s="272">
        <f t="shared" si="10"/>
        <v>1.3185743411235379E-4</v>
      </c>
      <c r="G72" s="273">
        <v>0</v>
      </c>
      <c r="H72" s="274">
        <v>9.5000000000000005E-5</v>
      </c>
      <c r="I72" s="129">
        <v>0</v>
      </c>
      <c r="J72" s="118"/>
      <c r="K72" s="275">
        <v>1.58651531704227E-5</v>
      </c>
      <c r="L72" s="275">
        <v>0</v>
      </c>
      <c r="M72" s="275">
        <v>0</v>
      </c>
      <c r="N72" s="275">
        <v>2.0992280941931101E-5</v>
      </c>
      <c r="O72" s="275"/>
      <c r="P72" s="275"/>
      <c r="Q72" s="118"/>
      <c r="R72" s="260">
        <f>'Parameters, country spec'!G60</f>
        <v>1.1369276536260728E-3</v>
      </c>
    </row>
    <row r="73" spans="1:19" x14ac:dyDescent="0.35">
      <c r="B73" s="18" t="s">
        <v>242</v>
      </c>
      <c r="C73" s="16" t="s">
        <v>475</v>
      </c>
      <c r="D73" s="257" t="s">
        <v>476</v>
      </c>
      <c r="E73" s="257"/>
      <c r="F73" s="272">
        <f t="shared" si="10"/>
        <v>3.8246443678729514E-4</v>
      </c>
      <c r="G73" s="54">
        <f>'Off-farm feed'!$F$75</f>
        <v>1.6847747663020744E-4</v>
      </c>
      <c r="H73" s="54">
        <f>'Off-farm feed'!$G$75</f>
        <v>4.5862068965517246E-5</v>
      </c>
      <c r="I73" s="54"/>
      <c r="J73" s="54"/>
      <c r="K73" s="54">
        <f>'Off-farm feed'!$J$75</f>
        <v>1.0936279334641704E-5</v>
      </c>
      <c r="L73" s="54"/>
      <c r="M73" s="54">
        <f>'Off-farm feed'!$L$75</f>
        <v>6.4606960551724142E-7</v>
      </c>
      <c r="N73" s="54">
        <f>'Off-farm feed'!$M$75</f>
        <v>2.1884761697575211E-5</v>
      </c>
      <c r="O73" s="54"/>
      <c r="P73" s="54">
        <f>'Off-farm feed'!$O$75</f>
        <v>4.5962128379923288E-5</v>
      </c>
      <c r="Q73" s="54">
        <f>'Off-farm feed'!$P$75</f>
        <v>8.8695652173913049E-5</v>
      </c>
      <c r="R73" s="260">
        <f>'Parameters, country spec'!G61</f>
        <v>6.196353147498361E-2</v>
      </c>
    </row>
    <row r="74" spans="1:19" x14ac:dyDescent="0.35">
      <c r="B74" s="18" t="s">
        <v>477</v>
      </c>
      <c r="C74" s="16" t="s">
        <v>475</v>
      </c>
      <c r="D74" s="257" t="s">
        <v>478</v>
      </c>
      <c r="E74" s="257"/>
      <c r="F74" s="272">
        <f t="shared" si="10"/>
        <v>4.7266553697523987E-4</v>
      </c>
      <c r="G74" s="54">
        <f>'Off-farm feed'!$F$24</f>
        <v>1.5603516238625262E-5</v>
      </c>
      <c r="H74" s="54">
        <f>'Off-farm feed'!$G$24</f>
        <v>7.5304878048780503E-5</v>
      </c>
      <c r="I74" s="54"/>
      <c r="J74" s="54"/>
      <c r="K74" s="54">
        <f>'Off-farm feed'!$J$24</f>
        <v>1.9084590744355897E-5</v>
      </c>
      <c r="L74" s="54"/>
      <c r="M74" s="54">
        <f>'Off-farm feed'!$L$24</f>
        <v>5.9672097439024396E-7</v>
      </c>
      <c r="N74" s="54">
        <f>'Off-farm feed'!$M$24</f>
        <v>2.3084271612619512E-5</v>
      </c>
      <c r="O74" s="54"/>
      <c r="P74" s="54">
        <f>'Off-farm feed'!$O$24</f>
        <v>1.2899155935646844E-4</v>
      </c>
      <c r="Q74" s="54">
        <f>'Off-farm feed'!$P$24</f>
        <v>2.1000000000000001E-4</v>
      </c>
      <c r="R74" s="260">
        <f>'Parameters, country spec'!G62</f>
        <v>0.11791110099805442</v>
      </c>
    </row>
    <row r="75" spans="1:19" x14ac:dyDescent="0.35">
      <c r="B75" s="16" t="s">
        <v>244</v>
      </c>
      <c r="C75" s="16" t="s">
        <v>479</v>
      </c>
      <c r="D75" s="257" t="s">
        <v>48</v>
      </c>
      <c r="E75" s="257" t="s">
        <v>49</v>
      </c>
      <c r="F75" s="276">
        <f t="shared" si="10"/>
        <v>5.1398626472793632E-4</v>
      </c>
      <c r="G75" s="275">
        <v>0</v>
      </c>
      <c r="H75" s="275">
        <v>8.5499999999999995E-6</v>
      </c>
      <c r="I75" s="51">
        <v>0</v>
      </c>
      <c r="J75" s="51"/>
      <c r="K75" s="275">
        <v>8.5092320594225499E-7</v>
      </c>
      <c r="L75" s="51">
        <v>0</v>
      </c>
      <c r="M75" s="51">
        <v>0</v>
      </c>
      <c r="N75" s="275">
        <v>1.8893052847737999E-6</v>
      </c>
      <c r="O75" s="275"/>
      <c r="P75" s="275">
        <v>4.7636352423280299E-4</v>
      </c>
      <c r="Q75" s="275">
        <v>2.6332512004417299E-5</v>
      </c>
      <c r="R75" s="260">
        <f>'Parameters, country spec'!G63</f>
        <v>0.11645641995705991</v>
      </c>
    </row>
    <row r="76" spans="1:19" x14ac:dyDescent="0.35">
      <c r="A76" s="262"/>
      <c r="B76" s="16" t="s">
        <v>481</v>
      </c>
      <c r="C76" s="263" t="s">
        <v>482</v>
      </c>
      <c r="D76" s="257" t="s">
        <v>48</v>
      </c>
      <c r="E76" s="257" t="s">
        <v>49</v>
      </c>
      <c r="F76" s="272">
        <f t="shared" si="10"/>
        <v>1.4336044138418705E-4</v>
      </c>
      <c r="G76" s="277">
        <f>AVERAGE(G66:G74)</f>
        <v>2.0453443652092523E-5</v>
      </c>
      <c r="H76" s="277">
        <f>AVERAGE(H66:H74)</f>
        <v>8.7351883001588647E-5</v>
      </c>
      <c r="I76" s="277"/>
      <c r="J76" s="277"/>
      <c r="K76" s="277">
        <f>AVERAGE(K66:K74)</f>
        <v>1.3708748356016341E-5</v>
      </c>
      <c r="L76" s="277"/>
      <c r="M76" s="277">
        <f>AVERAGE(M66:M74)</f>
        <v>1.1990900914777391E-6</v>
      </c>
      <c r="N76" s="277">
        <f>AVERAGE(N66:N74)</f>
        <v>2.0647276283011803E-5</v>
      </c>
      <c r="O76" s="277"/>
      <c r="P76" s="277"/>
      <c r="Q76" s="277"/>
      <c r="R76" s="260">
        <f>'Parameters, country spec'!G64</f>
        <v>0.13155896511557413</v>
      </c>
    </row>
    <row r="77" spans="1:19" x14ac:dyDescent="0.35">
      <c r="A77" s="265"/>
      <c r="B77" s="266" t="s">
        <v>483</v>
      </c>
      <c r="C77" s="267"/>
      <c r="D77" s="268"/>
      <c r="E77" s="268"/>
      <c r="F77" s="278">
        <f t="shared" ref="F77:O77" si="11">SUMPRODUCT(F66:F76,$R$66:$R$76)</f>
        <v>2.3107239347641462E-4</v>
      </c>
      <c r="G77" s="278">
        <f t="shared" si="11"/>
        <v>1.4970121085058E-5</v>
      </c>
      <c r="H77" s="278">
        <f t="shared" si="11"/>
        <v>7.8559130887488393E-5</v>
      </c>
      <c r="I77" s="278">
        <f t="shared" si="11"/>
        <v>0</v>
      </c>
      <c r="J77" s="278">
        <f t="shared" si="11"/>
        <v>0</v>
      </c>
      <c r="K77" s="278">
        <f t="shared" si="11"/>
        <v>1.0821648915757651E-5</v>
      </c>
      <c r="L77" s="278">
        <f t="shared" si="11"/>
        <v>0</v>
      </c>
      <c r="M77" s="278">
        <f t="shared" si="11"/>
        <v>1.1116450031049979E-6</v>
      </c>
      <c r="N77" s="278">
        <f t="shared" si="11"/>
        <v>1.8752927261746857E-5</v>
      </c>
      <c r="O77" s="278">
        <f t="shared" si="11"/>
        <v>0</v>
      </c>
      <c r="P77" s="278">
        <f>SUMPRODUCT(P66:P76,R66:R76)</f>
        <v>7.3533103201984084E-5</v>
      </c>
      <c r="Q77" s="278">
        <f>SUMPRODUCT(Q66:Q76,$R$66:$R$76)</f>
        <v>3.3323817121274627E-5</v>
      </c>
      <c r="R77" s="270"/>
    </row>
    <row r="78" spans="1:19" x14ac:dyDescent="0.35">
      <c r="A78" s="256" t="s">
        <v>466</v>
      </c>
      <c r="B78" s="16" t="s">
        <v>226</v>
      </c>
      <c r="C78" s="16" t="s">
        <v>467</v>
      </c>
      <c r="D78" s="257" t="s">
        <v>50</v>
      </c>
      <c r="E78" s="257" t="s">
        <v>51</v>
      </c>
      <c r="F78" s="279">
        <f t="shared" ref="F78:F88" si="12">SUM(G78:Q78)</f>
        <v>1.6081792239633249E-4</v>
      </c>
      <c r="G78" s="280">
        <v>0</v>
      </c>
      <c r="H78" s="281">
        <v>9.5000000000000005E-5</v>
      </c>
      <c r="I78" s="282">
        <v>0</v>
      </c>
      <c r="J78" s="283"/>
      <c r="K78" s="284">
        <v>2.0408953594176501E-5</v>
      </c>
      <c r="L78" s="284">
        <v>0</v>
      </c>
      <c r="M78" s="284">
        <v>0</v>
      </c>
      <c r="N78" s="284">
        <v>4.5408968802156001E-5</v>
      </c>
      <c r="O78" s="284"/>
      <c r="P78" s="284"/>
      <c r="Q78" s="283"/>
      <c r="R78" s="260">
        <f>'Parameters, country spec'!H54</f>
        <v>7.5639149668143751E-2</v>
      </c>
    </row>
    <row r="79" spans="1:19" x14ac:dyDescent="0.35">
      <c r="A79" s="256" t="s">
        <v>468</v>
      </c>
      <c r="B79" s="16" t="s">
        <v>229</v>
      </c>
      <c r="C79" s="16" t="s">
        <v>467</v>
      </c>
      <c r="D79" s="257" t="s">
        <v>50</v>
      </c>
      <c r="E79" s="257" t="s">
        <v>51</v>
      </c>
      <c r="F79" s="272">
        <f t="shared" si="12"/>
        <v>1.5559892482314231E-4</v>
      </c>
      <c r="G79" s="273">
        <v>0</v>
      </c>
      <c r="H79" s="274">
        <v>9.5000000000000005E-5</v>
      </c>
      <c r="I79" s="129">
        <v>0</v>
      </c>
      <c r="J79" s="118"/>
      <c r="K79" s="275">
        <v>7.0135973409644302E-6</v>
      </c>
      <c r="L79" s="275">
        <v>0</v>
      </c>
      <c r="M79" s="275">
        <v>8.1763586800218706E-6</v>
      </c>
      <c r="N79" s="275">
        <v>4.5408968802156001E-5</v>
      </c>
      <c r="O79" s="275"/>
      <c r="P79" s="275"/>
      <c r="Q79" s="118"/>
      <c r="R79" s="260">
        <f>'Parameters, country spec'!H55</f>
        <v>0.4945946495860658</v>
      </c>
    </row>
    <row r="80" spans="1:19" x14ac:dyDescent="0.35">
      <c r="A80" s="256" t="s">
        <v>469</v>
      </c>
      <c r="B80" s="16" t="s">
        <v>232</v>
      </c>
      <c r="C80" s="16" t="s">
        <v>467</v>
      </c>
      <c r="D80" s="257" t="s">
        <v>50</v>
      </c>
      <c r="E80" s="257" t="s">
        <v>51</v>
      </c>
      <c r="F80" s="272">
        <f t="shared" si="12"/>
        <v>1.7509622686667211E-4</v>
      </c>
      <c r="G80" s="273">
        <v>0</v>
      </c>
      <c r="H80" s="274">
        <v>9.5000000000000005E-5</v>
      </c>
      <c r="I80" s="129">
        <v>0</v>
      </c>
      <c r="J80" s="118"/>
      <c r="K80" s="275">
        <v>3.4687258064516102E-5</v>
      </c>
      <c r="L80" s="275">
        <v>0</v>
      </c>
      <c r="M80" s="275">
        <v>0</v>
      </c>
      <c r="N80" s="275">
        <v>4.5408968802156001E-5</v>
      </c>
      <c r="O80" s="275"/>
      <c r="P80" s="275"/>
      <c r="Q80" s="118"/>
      <c r="R80" s="260">
        <f>'Parameters, country spec'!H56</f>
        <v>1.5708249677942241E-2</v>
      </c>
    </row>
    <row r="81" spans="1:18" x14ac:dyDescent="0.35">
      <c r="A81" s="256" t="s">
        <v>470</v>
      </c>
      <c r="B81" s="16" t="s">
        <v>235</v>
      </c>
      <c r="C81" s="16" t="s">
        <v>467</v>
      </c>
      <c r="D81" s="257" t="s">
        <v>50</v>
      </c>
      <c r="E81" s="257" t="s">
        <v>51</v>
      </c>
      <c r="F81" s="272">
        <f t="shared" si="12"/>
        <v>1.6950607150978425E-4</v>
      </c>
      <c r="G81" s="273">
        <v>0</v>
      </c>
      <c r="H81" s="274">
        <v>9.5000000000000005E-5</v>
      </c>
      <c r="I81" s="118">
        <v>0</v>
      </c>
      <c r="J81" s="118"/>
      <c r="K81" s="275">
        <v>2.6577983447983399E-5</v>
      </c>
      <c r="L81" s="275">
        <v>0</v>
      </c>
      <c r="M81" s="275">
        <v>2.51911925964486E-6</v>
      </c>
      <c r="N81" s="275">
        <v>4.5408968802156001E-5</v>
      </c>
      <c r="O81" s="275"/>
      <c r="P81" s="275"/>
      <c r="Q81" s="118"/>
      <c r="R81" s="260">
        <f>'Parameters, country spec'!H57</f>
        <v>1.2515759679726465E-3</v>
      </c>
    </row>
    <row r="82" spans="1:18" x14ac:dyDescent="0.35">
      <c r="A82" s="256" t="s">
        <v>471</v>
      </c>
      <c r="B82" s="16" t="s">
        <v>237</v>
      </c>
      <c r="C82" s="16" t="s">
        <v>467</v>
      </c>
      <c r="D82" s="257" t="s">
        <v>50</v>
      </c>
      <c r="E82" s="257" t="s">
        <v>51</v>
      </c>
      <c r="F82" s="272">
        <f t="shared" si="12"/>
        <v>1.6460418698841902E-4</v>
      </c>
      <c r="G82" s="273">
        <v>0</v>
      </c>
      <c r="H82" s="274">
        <v>9.5000000000000005E-5</v>
      </c>
      <c r="I82" s="118">
        <v>0</v>
      </c>
      <c r="J82" s="118"/>
      <c r="K82" s="275">
        <v>2.21715498673326E-5</v>
      </c>
      <c r="L82" s="275">
        <v>0</v>
      </c>
      <c r="M82" s="275">
        <v>2.0236683189304101E-6</v>
      </c>
      <c r="N82" s="275">
        <v>4.5408968802156001E-5</v>
      </c>
      <c r="O82" s="275"/>
      <c r="P82" s="275"/>
      <c r="Q82" s="118"/>
      <c r="R82" s="260">
        <f>'Parameters, country spec'!H58</f>
        <v>7.1646219701035879E-2</v>
      </c>
    </row>
    <row r="83" spans="1:18" x14ac:dyDescent="0.35">
      <c r="A83" s="256" t="s">
        <v>472</v>
      </c>
      <c r="B83" s="16" t="s">
        <v>239</v>
      </c>
      <c r="C83" s="16" t="s">
        <v>473</v>
      </c>
      <c r="D83" s="257" t="s">
        <v>50</v>
      </c>
      <c r="E83" s="257" t="s">
        <v>51</v>
      </c>
      <c r="F83" s="272">
        <f t="shared" si="12"/>
        <v>1.6861046490614421E-4</v>
      </c>
      <c r="G83" s="273">
        <v>0</v>
      </c>
      <c r="H83" s="274">
        <v>9.5000000000000005E-5</v>
      </c>
      <c r="I83" s="129">
        <v>0</v>
      </c>
      <c r="J83" s="118"/>
      <c r="K83" s="275">
        <v>2.7899903583136301E-5</v>
      </c>
      <c r="L83" s="275">
        <v>0</v>
      </c>
      <c r="M83" s="275">
        <v>3.0159252085191802E-7</v>
      </c>
      <c r="N83" s="275">
        <v>4.5408968802156001E-5</v>
      </c>
      <c r="O83" s="275"/>
      <c r="P83" s="275"/>
      <c r="Q83" s="118"/>
      <c r="R83" s="260">
        <f>'Parameters, country spec'!H59</f>
        <v>2.6243338101171946E-3</v>
      </c>
    </row>
    <row r="84" spans="1:18" x14ac:dyDescent="0.35">
      <c r="A84" s="256" t="s">
        <v>474</v>
      </c>
      <c r="B84" s="16" t="s">
        <v>241</v>
      </c>
      <c r="C84" s="16" t="s">
        <v>473</v>
      </c>
      <c r="D84" s="257" t="s">
        <v>50</v>
      </c>
      <c r="E84" s="257" t="s">
        <v>51</v>
      </c>
      <c r="F84" s="272">
        <f t="shared" si="12"/>
        <v>1.8035826993186918E-4</v>
      </c>
      <c r="G84" s="273">
        <v>0</v>
      </c>
      <c r="H84" s="274">
        <v>9.5000000000000005E-5</v>
      </c>
      <c r="I84" s="129">
        <v>0</v>
      </c>
      <c r="J84" s="118"/>
      <c r="K84" s="275">
        <v>3.9529874624328298E-5</v>
      </c>
      <c r="L84" s="275">
        <v>0</v>
      </c>
      <c r="M84" s="275">
        <v>4.1942650538490402E-7</v>
      </c>
      <c r="N84" s="275">
        <v>4.5408968802156001E-5</v>
      </c>
      <c r="O84" s="275"/>
      <c r="P84" s="275"/>
      <c r="Q84" s="118"/>
      <c r="R84" s="260">
        <f>'Parameters, country spec'!H60</f>
        <v>2.5779606221648438E-3</v>
      </c>
    </row>
    <row r="85" spans="1:18" x14ac:dyDescent="0.35">
      <c r="B85" s="18" t="s">
        <v>242</v>
      </c>
      <c r="C85" s="16" t="s">
        <v>475</v>
      </c>
      <c r="D85" s="257" t="s">
        <v>476</v>
      </c>
      <c r="E85" s="257"/>
      <c r="F85" s="272">
        <f t="shared" si="12"/>
        <v>3.8246443678729514E-4</v>
      </c>
      <c r="G85" s="54">
        <f>'Off-farm feed'!$F$75</f>
        <v>1.6847747663020744E-4</v>
      </c>
      <c r="H85" s="54">
        <f>'Off-farm feed'!$G$75</f>
        <v>4.5862068965517246E-5</v>
      </c>
      <c r="I85" s="54"/>
      <c r="J85" s="54"/>
      <c r="K85" s="54">
        <f>'Off-farm feed'!$J$75</f>
        <v>1.0936279334641704E-5</v>
      </c>
      <c r="L85" s="54"/>
      <c r="M85" s="54">
        <f>'Off-farm feed'!$L$75</f>
        <v>6.4606960551724142E-7</v>
      </c>
      <c r="N85" s="54">
        <f>'Off-farm feed'!$M$75</f>
        <v>2.1884761697575211E-5</v>
      </c>
      <c r="O85" s="54"/>
      <c r="P85" s="54">
        <f>'Off-farm feed'!$O$75</f>
        <v>4.5962128379923288E-5</v>
      </c>
      <c r="Q85" s="54">
        <f>'Off-farm feed'!$P$75</f>
        <v>8.8695652173913049E-5</v>
      </c>
      <c r="R85" s="260">
        <f>'Parameters, country spec'!H61</f>
        <v>4.4205096143040447E-3</v>
      </c>
    </row>
    <row r="86" spans="1:18" x14ac:dyDescent="0.35">
      <c r="B86" s="18" t="s">
        <v>477</v>
      </c>
      <c r="C86" s="16" t="s">
        <v>475</v>
      </c>
      <c r="D86" s="257" t="s">
        <v>478</v>
      </c>
      <c r="E86" s="257"/>
      <c r="F86" s="272">
        <f t="shared" si="12"/>
        <v>4.7266553697523987E-4</v>
      </c>
      <c r="G86" s="54">
        <f>'Off-farm feed'!$F$24</f>
        <v>1.5603516238625262E-5</v>
      </c>
      <c r="H86" s="54">
        <f>'Off-farm feed'!$G$24</f>
        <v>7.5304878048780503E-5</v>
      </c>
      <c r="I86" s="54"/>
      <c r="J86" s="54"/>
      <c r="K86" s="54">
        <f>'Off-farm feed'!$J$24</f>
        <v>1.9084590744355897E-5</v>
      </c>
      <c r="L86" s="54"/>
      <c r="M86" s="54">
        <f>'Off-farm feed'!$L$24</f>
        <v>5.9672097439024396E-7</v>
      </c>
      <c r="N86" s="54">
        <f>'Off-farm feed'!$M$24</f>
        <v>2.3084271612619512E-5</v>
      </c>
      <c r="O86" s="54"/>
      <c r="P86" s="54">
        <f>'Off-farm feed'!$O$24</f>
        <v>1.2899155935646844E-4</v>
      </c>
      <c r="Q86" s="54">
        <f>'Off-farm feed'!$P$24</f>
        <v>2.1000000000000001E-4</v>
      </c>
      <c r="R86" s="260">
        <f>'Parameters, country spec'!H62</f>
        <v>0.10913728039586229</v>
      </c>
    </row>
    <row r="87" spans="1:18" x14ac:dyDescent="0.35">
      <c r="B87" s="16" t="s">
        <v>244</v>
      </c>
      <c r="C87" s="16" t="s">
        <v>479</v>
      </c>
      <c r="D87" s="257" t="s">
        <v>50</v>
      </c>
      <c r="E87" s="257" t="s">
        <v>51</v>
      </c>
      <c r="F87" s="276">
        <f t="shared" si="12"/>
        <v>1.8942176456916856E-3</v>
      </c>
      <c r="G87" s="275">
        <v>0</v>
      </c>
      <c r="H87" s="275">
        <v>8.5499999999999995E-6</v>
      </c>
      <c r="I87">
        <v>0</v>
      </c>
      <c r="K87" s="275">
        <v>1.9954394880599302E-6</v>
      </c>
      <c r="L87">
        <v>0</v>
      </c>
      <c r="M87">
        <v>1.8213014870373701E-7</v>
      </c>
      <c r="N87" s="275">
        <v>4.0868071921940402E-6</v>
      </c>
      <c r="O87" s="275"/>
      <c r="P87" s="275">
        <v>1.84838955963081E-3</v>
      </c>
      <c r="Q87" s="275">
        <v>3.1013709231917901E-5</v>
      </c>
      <c r="R87" s="260">
        <f>'Parameters, country spec'!H63</f>
        <v>0.11521206449276877</v>
      </c>
    </row>
    <row r="88" spans="1:18" x14ac:dyDescent="0.35">
      <c r="A88" s="262"/>
      <c r="B88" s="16" t="s">
        <v>481</v>
      </c>
      <c r="C88" s="263" t="s">
        <v>482</v>
      </c>
      <c r="D88" s="257" t="s">
        <v>50</v>
      </c>
      <c r="E88" s="257" t="s">
        <v>51</v>
      </c>
      <c r="F88" s="272">
        <f t="shared" si="12"/>
        <v>1.7289696680828821E-4</v>
      </c>
      <c r="G88" s="277">
        <f>AVERAGE(G78:G86)</f>
        <v>2.0453443652092523E-5</v>
      </c>
      <c r="H88" s="277">
        <f>AVERAGE(H78:H86)</f>
        <v>8.7351883001588647E-5</v>
      </c>
      <c r="I88" s="277"/>
      <c r="J88" s="277"/>
      <c r="K88" s="277">
        <f>AVERAGE(K78:K86)</f>
        <v>2.3145554511270579E-5</v>
      </c>
      <c r="L88" s="277"/>
      <c r="M88" s="277">
        <f>AVERAGE(M78:M86)</f>
        <v>1.6314395405268274E-6</v>
      </c>
      <c r="N88" s="277">
        <f>AVERAGE(N78:N86)</f>
        <v>4.0314646102809635E-5</v>
      </c>
      <c r="O88" s="277"/>
      <c r="P88" s="277"/>
      <c r="Q88" s="277"/>
      <c r="R88" s="260">
        <f>'Parameters, country spec'!H64</f>
        <v>0.10718800646362231</v>
      </c>
    </row>
    <row r="89" spans="1:18" x14ac:dyDescent="0.35">
      <c r="A89" s="265"/>
      <c r="B89" s="266" t="s">
        <v>483</v>
      </c>
      <c r="C89" s="267"/>
      <c r="D89" s="268"/>
      <c r="E89" s="268"/>
      <c r="F89" s="278">
        <f t="shared" ref="F89:O89" si="13">SUMPRODUCT(F78:F88,$R$78:$R$88)</f>
        <v>3.9483117169821657E-4</v>
      </c>
      <c r="G89" s="278">
        <f t="shared" si="13"/>
        <v>4.6400454825175812E-6</v>
      </c>
      <c r="H89" s="278">
        <f t="shared" si="13"/>
        <v>8.1853443866953979E-5</v>
      </c>
      <c r="I89" s="278">
        <f t="shared" si="13"/>
        <v>0</v>
      </c>
      <c r="J89" s="278">
        <f t="shared" si="13"/>
        <v>0</v>
      </c>
      <c r="K89" s="278">
        <f t="shared" si="13"/>
        <v>1.2196385752512256E-5</v>
      </c>
      <c r="L89" s="278">
        <f t="shared" si="13"/>
        <v>0</v>
      </c>
      <c r="M89" s="278">
        <f t="shared" si="13"/>
        <v>4.4578318584618228E-6</v>
      </c>
      <c r="N89" s="278">
        <f t="shared" si="13"/>
        <v>3.7561661238741281E-5</v>
      </c>
      <c r="O89" s="278">
        <f t="shared" si="13"/>
        <v>0</v>
      </c>
      <c r="P89" s="278">
        <f>SUMPRODUCT(P78:P88,R78:R88)</f>
        <v>2.2723774116452909E-4</v>
      </c>
      <c r="Q89" s="278">
        <f>SUMPRODUCT(Q78:Q88,$R$78:$R$88)</f>
        <v>2.6884062334500533E-5</v>
      </c>
      <c r="R89" s="270"/>
    </row>
    <row r="90" spans="1:18" x14ac:dyDescent="0.35">
      <c r="A90" s="256" t="s">
        <v>466</v>
      </c>
      <c r="B90" s="16" t="s">
        <v>226</v>
      </c>
      <c r="C90" s="16" t="s">
        <v>467</v>
      </c>
      <c r="D90" s="257" t="s">
        <v>52</v>
      </c>
      <c r="E90" s="257" t="s">
        <v>53</v>
      </c>
      <c r="F90" s="279">
        <f t="shared" ref="F90:F100" si="14">SUM(G90:Q90)</f>
        <v>1.3995009006065534E-4</v>
      </c>
      <c r="G90" s="280">
        <v>0</v>
      </c>
      <c r="H90" s="281">
        <v>9.5000000000000005E-5</v>
      </c>
      <c r="I90" s="282">
        <v>0</v>
      </c>
      <c r="J90" s="283"/>
      <c r="K90" s="284">
        <v>1.27305993690852E-5</v>
      </c>
      <c r="L90" s="284">
        <v>0</v>
      </c>
      <c r="M90" s="284">
        <v>4.041629118133E-9</v>
      </c>
      <c r="N90" s="284">
        <v>3.2215449062452001E-5</v>
      </c>
      <c r="O90" s="284"/>
      <c r="P90" s="284"/>
      <c r="Q90" s="283"/>
      <c r="R90" s="260">
        <f>'Parameters, country spec'!I54</f>
        <v>9.2949044996403496E-2</v>
      </c>
    </row>
    <row r="91" spans="1:18" x14ac:dyDescent="0.35">
      <c r="A91" s="256" t="s">
        <v>468</v>
      </c>
      <c r="B91" s="16" t="s">
        <v>229</v>
      </c>
      <c r="C91" s="16" t="s">
        <v>467</v>
      </c>
      <c r="D91" s="257" t="s">
        <v>52</v>
      </c>
      <c r="E91" s="257" t="s">
        <v>53</v>
      </c>
      <c r="F91" s="272">
        <f t="shared" si="14"/>
        <v>1.3716169100603363E-4</v>
      </c>
      <c r="G91" s="273">
        <v>0</v>
      </c>
      <c r="H91" s="274">
        <v>9.5000000000000005E-5</v>
      </c>
      <c r="I91" s="129">
        <v>0</v>
      </c>
      <c r="J91" s="118"/>
      <c r="K91" s="275">
        <v>7.7167553942765293E-6</v>
      </c>
      <c r="L91" s="275">
        <v>0</v>
      </c>
      <c r="M91" s="275">
        <v>2.2294865493050998E-6</v>
      </c>
      <c r="N91" s="275">
        <v>3.2215449062452001E-5</v>
      </c>
      <c r="O91" s="275"/>
      <c r="P91" s="275"/>
      <c r="Q91" s="118"/>
      <c r="R91" s="260">
        <f>'Parameters, country spec'!I55</f>
        <v>0.27914438878544884</v>
      </c>
    </row>
    <row r="92" spans="1:18" x14ac:dyDescent="0.35">
      <c r="A92" s="256" t="s">
        <v>469</v>
      </c>
      <c r="B92" s="16" t="s">
        <v>232</v>
      </c>
      <c r="C92" s="16" t="s">
        <v>467</v>
      </c>
      <c r="D92" s="257" t="s">
        <v>52</v>
      </c>
      <c r="E92" s="257" t="s">
        <v>53</v>
      </c>
      <c r="F92" s="272">
        <f t="shared" si="14"/>
        <v>1.4583591964434446E-4</v>
      </c>
      <c r="G92" s="273">
        <v>0</v>
      </c>
      <c r="H92" s="274">
        <v>9.5000000000000005E-5</v>
      </c>
      <c r="I92" s="129">
        <v>0</v>
      </c>
      <c r="J92" s="118"/>
      <c r="K92" s="275">
        <v>1.6883661191733499E-5</v>
      </c>
      <c r="L92" s="275">
        <v>0</v>
      </c>
      <c r="M92" s="275">
        <v>1.73680939015895E-6</v>
      </c>
      <c r="N92" s="275">
        <v>3.2215449062452001E-5</v>
      </c>
      <c r="O92" s="275"/>
      <c r="P92" s="275"/>
      <c r="Q92" s="118"/>
      <c r="R92" s="260">
        <f>'Parameters, country spec'!I56</f>
        <v>3.0531645384754033E-3</v>
      </c>
    </row>
    <row r="93" spans="1:18" x14ac:dyDescent="0.35">
      <c r="A93" s="256" t="s">
        <v>470</v>
      </c>
      <c r="B93" s="16" t="s">
        <v>235</v>
      </c>
      <c r="C93" s="16" t="s">
        <v>467</v>
      </c>
      <c r="D93" s="257" t="s">
        <v>52</v>
      </c>
      <c r="E93" s="257" t="s">
        <v>53</v>
      </c>
      <c r="F93" s="272">
        <f t="shared" si="14"/>
        <v>1.51017250844127E-4</v>
      </c>
      <c r="G93" s="273">
        <v>0</v>
      </c>
      <c r="H93" s="274">
        <v>9.5000000000000005E-5</v>
      </c>
      <c r="I93" s="118">
        <v>0</v>
      </c>
      <c r="J93" s="118"/>
      <c r="K93" s="275">
        <v>2.3801801781675E-5</v>
      </c>
      <c r="L93" s="275">
        <v>0</v>
      </c>
      <c r="M93" s="275">
        <v>0</v>
      </c>
      <c r="N93" s="275">
        <v>3.2215449062452001E-5</v>
      </c>
      <c r="O93" s="275"/>
      <c r="P93" s="275"/>
      <c r="Q93" s="118"/>
      <c r="R93" s="260">
        <f>'Parameters, country spec'!I57</f>
        <v>1.1489015097402086E-2</v>
      </c>
    </row>
    <row r="94" spans="1:18" x14ac:dyDescent="0.35">
      <c r="A94" s="256" t="s">
        <v>471</v>
      </c>
      <c r="B94" s="16" t="s">
        <v>237</v>
      </c>
      <c r="C94" s="16" t="s">
        <v>467</v>
      </c>
      <c r="D94" s="257" t="s">
        <v>52</v>
      </c>
      <c r="E94" s="257" t="s">
        <v>53</v>
      </c>
      <c r="F94" s="272">
        <f t="shared" si="14"/>
        <v>1.3750788550144142E-4</v>
      </c>
      <c r="G94" s="273">
        <v>0</v>
      </c>
      <c r="H94" s="274">
        <v>9.5000000000000005E-5</v>
      </c>
      <c r="I94" s="118">
        <v>0</v>
      </c>
      <c r="J94" s="118"/>
      <c r="K94" s="275">
        <v>1.0292436438989401E-5</v>
      </c>
      <c r="L94" s="275">
        <v>0</v>
      </c>
      <c r="M94" s="275">
        <v>0</v>
      </c>
      <c r="N94" s="275">
        <v>3.2215449062452001E-5</v>
      </c>
      <c r="O94" s="275"/>
      <c r="P94" s="275"/>
      <c r="Q94" s="118"/>
      <c r="R94" s="260">
        <f>'Parameters, country spec'!I58</f>
        <v>0.31451111490386796</v>
      </c>
    </row>
    <row r="95" spans="1:18" x14ac:dyDescent="0.35">
      <c r="A95" s="256" t="s">
        <v>472</v>
      </c>
      <c r="B95" s="16" t="s">
        <v>239</v>
      </c>
      <c r="C95" s="16" t="s">
        <v>473</v>
      </c>
      <c r="D95" s="257" t="s">
        <v>52</v>
      </c>
      <c r="E95" s="257" t="s">
        <v>53</v>
      </c>
      <c r="F95" s="272">
        <f t="shared" si="14"/>
        <v>1.5323348809202599E-4</v>
      </c>
      <c r="G95" s="273">
        <v>0</v>
      </c>
      <c r="H95" s="274">
        <v>9.5000000000000005E-5</v>
      </c>
      <c r="I95" s="129">
        <v>0</v>
      </c>
      <c r="J95" s="118"/>
      <c r="K95" s="275">
        <v>2.6539357994497098E-5</v>
      </c>
      <c r="L95" s="275">
        <v>0</v>
      </c>
      <c r="M95" s="275">
        <v>1.3746605833900899E-5</v>
      </c>
      <c r="N95" s="275">
        <v>1.7947524263628E-5</v>
      </c>
      <c r="O95" s="275"/>
      <c r="P95" s="275"/>
      <c r="Q95" s="118"/>
      <c r="R95" s="260">
        <f>'Parameters, country spec'!I59</f>
        <v>0</v>
      </c>
    </row>
    <row r="96" spans="1:18" x14ac:dyDescent="0.35">
      <c r="A96" s="256" t="s">
        <v>474</v>
      </c>
      <c r="B96" s="16" t="s">
        <v>241</v>
      </c>
      <c r="C96" s="16" t="s">
        <v>473</v>
      </c>
      <c r="D96" s="257" t="s">
        <v>52</v>
      </c>
      <c r="E96" s="257" t="s">
        <v>53</v>
      </c>
      <c r="F96" s="272">
        <f t="shared" si="14"/>
        <v>1.4942367225038484E-4</v>
      </c>
      <c r="G96" s="273">
        <v>0</v>
      </c>
      <c r="H96" s="274">
        <v>9.5000000000000005E-5</v>
      </c>
      <c r="I96" s="129">
        <v>0</v>
      </c>
      <c r="J96" s="118"/>
      <c r="K96" s="275">
        <v>2.22082079949972E-5</v>
      </c>
      <c r="L96" s="275">
        <v>0</v>
      </c>
      <c r="M96" s="275">
        <v>1.5192935628999999E-11</v>
      </c>
      <c r="N96" s="275">
        <v>3.2215449062452001E-5</v>
      </c>
      <c r="O96" s="275"/>
      <c r="P96" s="275"/>
      <c r="Q96" s="118"/>
      <c r="R96" s="260">
        <f>'Parameters, country spec'!I60</f>
        <v>0</v>
      </c>
    </row>
    <row r="97" spans="1:19" x14ac:dyDescent="0.35">
      <c r="B97" s="18" t="s">
        <v>242</v>
      </c>
      <c r="C97" s="16" t="s">
        <v>475</v>
      </c>
      <c r="D97" s="257" t="s">
        <v>476</v>
      </c>
      <c r="E97" s="257"/>
      <c r="F97" s="272">
        <f t="shared" si="14"/>
        <v>3.8246443678729514E-4</v>
      </c>
      <c r="G97" s="54">
        <f>'Off-farm feed'!$F$75</f>
        <v>1.6847747663020744E-4</v>
      </c>
      <c r="H97" s="54">
        <f>'Off-farm feed'!$G$75</f>
        <v>4.5862068965517246E-5</v>
      </c>
      <c r="I97" s="54"/>
      <c r="J97" s="54"/>
      <c r="K97" s="54">
        <f>'Off-farm feed'!$J$75</f>
        <v>1.0936279334641704E-5</v>
      </c>
      <c r="L97" s="54"/>
      <c r="M97" s="54">
        <f>'Off-farm feed'!$L$75</f>
        <v>6.4606960551724142E-7</v>
      </c>
      <c r="N97" s="54">
        <f>'Off-farm feed'!$M$75</f>
        <v>2.1884761697575211E-5</v>
      </c>
      <c r="O97" s="54"/>
      <c r="P97" s="54">
        <f>'Off-farm feed'!$O$75</f>
        <v>4.5962128379923288E-5</v>
      </c>
      <c r="Q97" s="54">
        <f>'Off-farm feed'!$P$75</f>
        <v>8.8695652173913049E-5</v>
      </c>
      <c r="R97" s="260">
        <f>'Parameters, country spec'!I61</f>
        <v>0.10008651776935426</v>
      </c>
    </row>
    <row r="98" spans="1:19" x14ac:dyDescent="0.35">
      <c r="B98" s="18" t="s">
        <v>477</v>
      </c>
      <c r="C98" s="16" t="s">
        <v>475</v>
      </c>
      <c r="D98" s="257" t="s">
        <v>478</v>
      </c>
      <c r="E98" s="257"/>
      <c r="F98" s="272">
        <f t="shared" si="14"/>
        <v>4.7266553697523987E-4</v>
      </c>
      <c r="G98" s="54">
        <f>'Off-farm feed'!$F$24</f>
        <v>1.5603516238625262E-5</v>
      </c>
      <c r="H98" s="54">
        <f>'Off-farm feed'!$G$24</f>
        <v>7.5304878048780503E-5</v>
      </c>
      <c r="I98" s="54"/>
      <c r="J98" s="54"/>
      <c r="K98" s="54">
        <f>'Off-farm feed'!$J$24</f>
        <v>1.9084590744355897E-5</v>
      </c>
      <c r="L98" s="54"/>
      <c r="M98" s="54">
        <f>'Off-farm feed'!$L$24</f>
        <v>5.9672097439024396E-7</v>
      </c>
      <c r="N98" s="54">
        <f>'Off-farm feed'!$M$24</f>
        <v>2.3084271612619512E-5</v>
      </c>
      <c r="O98" s="54"/>
      <c r="P98" s="54">
        <f>'Off-farm feed'!$O$24</f>
        <v>1.2899155935646844E-4</v>
      </c>
      <c r="Q98" s="54">
        <f>'Off-farm feed'!$P$24</f>
        <v>2.1000000000000001E-4</v>
      </c>
      <c r="R98" s="260">
        <f>'Parameters, country spec'!I62</f>
        <v>0.12925684634820819</v>
      </c>
    </row>
    <row r="99" spans="1:19" x14ac:dyDescent="0.35">
      <c r="B99" s="16" t="s">
        <v>244</v>
      </c>
      <c r="C99" s="16" t="s">
        <v>479</v>
      </c>
      <c r="D99" s="257" t="s">
        <v>52</v>
      </c>
      <c r="E99" s="257" t="s">
        <v>53</v>
      </c>
      <c r="F99" s="276">
        <f t="shared" si="14"/>
        <v>1.0210671879533402E-3</v>
      </c>
      <c r="G99" s="275">
        <v>0</v>
      </c>
      <c r="H99" s="275">
        <v>8.5499999999999995E-6</v>
      </c>
      <c r="I99" s="51">
        <v>0</v>
      </c>
      <c r="J99" s="51"/>
      <c r="K99" s="275">
        <v>9.2631927950904603E-7</v>
      </c>
      <c r="L99" s="51">
        <v>0</v>
      </c>
      <c r="M99" s="51">
        <v>0</v>
      </c>
      <c r="N99" s="275">
        <v>2.8993904156206801E-6</v>
      </c>
      <c r="O99" s="275"/>
      <c r="P99" s="275">
        <v>9.9818289932063491E-4</v>
      </c>
      <c r="Q99" s="275">
        <v>1.05085789375756E-5</v>
      </c>
      <c r="R99" s="260">
        <f>'Parameters, country spec'!I63</f>
        <v>1.4083067834104707E-2</v>
      </c>
      <c r="S99" t="s">
        <v>480</v>
      </c>
    </row>
    <row r="100" spans="1:19" x14ac:dyDescent="0.35">
      <c r="A100" s="262"/>
      <c r="B100" s="16" t="s">
        <v>481</v>
      </c>
      <c r="C100" s="263" t="s">
        <v>482</v>
      </c>
      <c r="D100" s="257" t="s">
        <v>52</v>
      </c>
      <c r="E100" s="257" t="s">
        <v>53</v>
      </c>
      <c r="F100" s="272">
        <f t="shared" si="14"/>
        <v>1.5506784791680475E-4</v>
      </c>
      <c r="G100" s="277">
        <f>AVERAGE(G90:G98)</f>
        <v>2.0453443652092523E-5</v>
      </c>
      <c r="H100" s="277">
        <f>AVERAGE(H90:H98)</f>
        <v>8.7351883001588647E-5</v>
      </c>
      <c r="I100" s="277"/>
      <c r="J100" s="277"/>
      <c r="K100" s="277">
        <f>AVERAGE(K90:K98)</f>
        <v>1.6688187804916841E-5</v>
      </c>
      <c r="L100" s="277"/>
      <c r="M100" s="277">
        <f>AVERAGE(M90:M98)</f>
        <v>2.1066387972584665E-6</v>
      </c>
      <c r="N100" s="277">
        <f>AVERAGE(N90:N98)</f>
        <v>2.8467694660948308E-5</v>
      </c>
      <c r="O100" s="277"/>
      <c r="P100" s="277"/>
      <c r="Q100" s="277"/>
      <c r="R100" s="260">
        <f>'Parameters, country spec'!I64</f>
        <v>5.5426839726735837E-2</v>
      </c>
    </row>
    <row r="101" spans="1:19" x14ac:dyDescent="0.35">
      <c r="A101" s="265"/>
      <c r="B101" s="266" t="s">
        <v>483</v>
      </c>
      <c r="C101" s="267"/>
      <c r="D101" s="268"/>
      <c r="E101" s="268"/>
      <c r="F101" s="278">
        <f t="shared" ref="F101:O101" si="15">SUMPRODUCT(F90:F100,$R$90:$R$100)</f>
        <v>2.1907367208923818E-4</v>
      </c>
      <c r="G101" s="278">
        <f t="shared" si="15"/>
        <v>2.0012855002597335E-5</v>
      </c>
      <c r="H101" s="278">
        <f t="shared" si="15"/>
        <v>8.5894834071169391E-5</v>
      </c>
      <c r="I101" s="278">
        <f t="shared" si="15"/>
        <v>0</v>
      </c>
      <c r="J101" s="278">
        <f t="shared" si="15"/>
        <v>0</v>
      </c>
      <c r="K101" s="278">
        <f t="shared" si="15"/>
        <v>1.139888659414049E-5</v>
      </c>
      <c r="L101" s="278">
        <f t="shared" si="15"/>
        <v>0</v>
      </c>
      <c r="M101" s="278">
        <f t="shared" si="15"/>
        <v>8.8658454984815852E-7</v>
      </c>
      <c r="N101" s="278">
        <f t="shared" si="15"/>
        <v>2.9380633112227185E-5</v>
      </c>
      <c r="O101" s="278">
        <f t="shared" si="15"/>
        <v>0</v>
      </c>
      <c r="P101" s="278">
        <f>SUMPRODUCT(P90:P100,R90:R100)</f>
        <v>3.5330709028745163E-5</v>
      </c>
      <c r="Q101" s="278">
        <f>SUMPRODUCT(Q90:Q100,$R$90:$R$100)</f>
        <v>3.6169169730510454E-5</v>
      </c>
      <c r="R101" s="270"/>
    </row>
    <row r="102" spans="1:19" x14ac:dyDescent="0.35">
      <c r="A102" s="256" t="s">
        <v>466</v>
      </c>
      <c r="B102" s="16" t="s">
        <v>226</v>
      </c>
      <c r="C102" s="16" t="s">
        <v>467</v>
      </c>
      <c r="D102" s="257" t="s">
        <v>54</v>
      </c>
      <c r="E102" s="257" t="s">
        <v>55</v>
      </c>
      <c r="F102" s="279">
        <f t="shared" ref="F102:F112" si="16">SUM(G102:Q102)</f>
        <v>1.6497531832034709E-4</v>
      </c>
      <c r="G102" s="280">
        <v>0</v>
      </c>
      <c r="H102" s="281">
        <v>9.5000000000000005E-5</v>
      </c>
      <c r="I102" s="282">
        <v>0</v>
      </c>
      <c r="J102" s="283"/>
      <c r="K102" s="284">
        <v>1.98412991656734E-5</v>
      </c>
      <c r="L102" s="284">
        <v>0</v>
      </c>
      <c r="M102" s="284">
        <v>2.7814008800000002E-12</v>
      </c>
      <c r="N102" s="284">
        <v>5.0134016373272799E-5</v>
      </c>
      <c r="O102" s="284"/>
      <c r="P102" s="284"/>
      <c r="Q102" s="283"/>
      <c r="R102" s="260">
        <f>'Parameters, country spec'!J54</f>
        <v>0.15537879618298778</v>
      </c>
    </row>
    <row r="103" spans="1:19" x14ac:dyDescent="0.35">
      <c r="A103" s="256" t="s">
        <v>468</v>
      </c>
      <c r="B103" s="16" t="s">
        <v>229</v>
      </c>
      <c r="C103" s="16" t="s">
        <v>467</v>
      </c>
      <c r="D103" s="257" t="s">
        <v>54</v>
      </c>
      <c r="E103" s="257" t="s">
        <v>55</v>
      </c>
      <c r="F103" s="272">
        <f t="shared" si="16"/>
        <v>1.5529602694558698E-4</v>
      </c>
      <c r="G103" s="273">
        <v>0</v>
      </c>
      <c r="H103" s="274">
        <v>9.5000000000000005E-5</v>
      </c>
      <c r="I103" s="129">
        <v>0</v>
      </c>
      <c r="J103" s="118"/>
      <c r="K103" s="275">
        <v>9.9298959847891792E-6</v>
      </c>
      <c r="L103" s="275">
        <v>0</v>
      </c>
      <c r="M103" s="275">
        <v>2.3211458752499099E-7</v>
      </c>
      <c r="N103" s="275">
        <v>5.0134016373272799E-5</v>
      </c>
      <c r="O103" s="275"/>
      <c r="P103" s="275"/>
      <c r="Q103" s="118"/>
      <c r="R103" s="260">
        <f>'Parameters, country spec'!J55</f>
        <v>0.21285188977616532</v>
      </c>
    </row>
    <row r="104" spans="1:19" x14ac:dyDescent="0.35">
      <c r="A104" s="256" t="s">
        <v>469</v>
      </c>
      <c r="B104" s="16" t="s">
        <v>232</v>
      </c>
      <c r="C104" s="16" t="s">
        <v>467</v>
      </c>
      <c r="D104" s="257" t="s">
        <v>54</v>
      </c>
      <c r="E104" s="257" t="s">
        <v>55</v>
      </c>
      <c r="F104" s="272">
        <f t="shared" si="16"/>
        <v>1.7101460368304866E-4</v>
      </c>
      <c r="G104" s="273">
        <v>0</v>
      </c>
      <c r="H104" s="274">
        <v>9.5000000000000005E-5</v>
      </c>
      <c r="I104" s="129">
        <v>0</v>
      </c>
      <c r="J104" s="118"/>
      <c r="K104" s="275">
        <v>2.58805751873948E-5</v>
      </c>
      <c r="L104" s="275">
        <v>0</v>
      </c>
      <c r="M104" s="275">
        <v>1.21223810602E-11</v>
      </c>
      <c r="N104" s="275">
        <v>5.0134016373272799E-5</v>
      </c>
      <c r="O104" s="275"/>
      <c r="P104" s="275"/>
      <c r="Q104" s="118"/>
      <c r="R104" s="260">
        <f>'Parameters, country spec'!J56</f>
        <v>4.6535021524768639E-3</v>
      </c>
    </row>
    <row r="105" spans="1:19" x14ac:dyDescent="0.35">
      <c r="A105" s="256" t="s">
        <v>470</v>
      </c>
      <c r="B105" s="16" t="s">
        <v>235</v>
      </c>
      <c r="C105" s="16" t="s">
        <v>467</v>
      </c>
      <c r="D105" s="257" t="s">
        <v>54</v>
      </c>
      <c r="E105" s="257" t="s">
        <v>55</v>
      </c>
      <c r="F105" s="272">
        <f t="shared" si="16"/>
        <v>1.6990035694818603E-4</v>
      </c>
      <c r="G105" s="273">
        <v>0</v>
      </c>
      <c r="H105" s="274">
        <v>9.5000000000000005E-5</v>
      </c>
      <c r="I105" s="118">
        <v>0</v>
      </c>
      <c r="J105" s="118"/>
      <c r="K105" s="275">
        <v>2.47663396717653E-5</v>
      </c>
      <c r="L105" s="275">
        <v>0</v>
      </c>
      <c r="M105" s="275">
        <v>9.0314793305999998E-13</v>
      </c>
      <c r="N105" s="275">
        <v>5.0134016373272799E-5</v>
      </c>
      <c r="O105" s="275"/>
      <c r="P105" s="275"/>
      <c r="Q105" s="118"/>
      <c r="R105" s="260">
        <f>'Parameters, country spec'!J57</f>
        <v>6.0757670649699391E-2</v>
      </c>
    </row>
    <row r="106" spans="1:19" x14ac:dyDescent="0.35">
      <c r="A106" s="256" t="s">
        <v>471</v>
      </c>
      <c r="B106" s="16" t="s">
        <v>237</v>
      </c>
      <c r="C106" s="16" t="s">
        <v>467</v>
      </c>
      <c r="D106" s="257" t="s">
        <v>54</v>
      </c>
      <c r="E106" s="257" t="s">
        <v>55</v>
      </c>
      <c r="F106" s="272">
        <f t="shared" si="16"/>
        <v>1.6162886944057488E-4</v>
      </c>
      <c r="G106" s="273">
        <v>0</v>
      </c>
      <c r="H106" s="274">
        <v>9.5000000000000005E-5</v>
      </c>
      <c r="I106" s="118">
        <v>0</v>
      </c>
      <c r="J106" s="118"/>
      <c r="K106" s="275">
        <v>1.6494852511427901E-5</v>
      </c>
      <c r="L106" s="275">
        <v>0</v>
      </c>
      <c r="M106" s="275">
        <v>5.5587416614000002E-13</v>
      </c>
      <c r="N106" s="275">
        <v>5.0134016373272799E-5</v>
      </c>
      <c r="O106" s="275"/>
      <c r="P106" s="275"/>
      <c r="Q106" s="118"/>
      <c r="R106" s="260">
        <f>'Parameters, country spec'!J58</f>
        <v>0.24429473309456204</v>
      </c>
    </row>
    <row r="107" spans="1:19" x14ac:dyDescent="0.35">
      <c r="A107" s="256" t="s">
        <v>472</v>
      </c>
      <c r="B107" s="16" t="s">
        <v>239</v>
      </c>
      <c r="C107" s="16" t="s">
        <v>473</v>
      </c>
      <c r="D107" s="257" t="s">
        <v>54</v>
      </c>
      <c r="E107" s="257" t="s">
        <v>55</v>
      </c>
      <c r="F107" s="272">
        <f t="shared" si="16"/>
        <v>1.8222404873625303E-4</v>
      </c>
      <c r="G107" s="273">
        <v>0</v>
      </c>
      <c r="H107" s="274">
        <v>9.5000000000000005E-5</v>
      </c>
      <c r="I107" s="129">
        <v>0</v>
      </c>
      <c r="J107" s="118"/>
      <c r="K107" s="275">
        <v>3.70828979343864E-5</v>
      </c>
      <c r="L107" s="275">
        <v>0</v>
      </c>
      <c r="M107" s="275">
        <v>7.1344285938200002E-9</v>
      </c>
      <c r="N107" s="275">
        <v>5.0134016373272799E-5</v>
      </c>
      <c r="O107" s="275"/>
      <c r="P107" s="275"/>
      <c r="Q107" s="118"/>
      <c r="R107" s="260">
        <f>'Parameters, country spec'!J59</f>
        <v>3.0603451734342534E-3</v>
      </c>
    </row>
    <row r="108" spans="1:19" x14ac:dyDescent="0.35">
      <c r="A108" s="256" t="s">
        <v>474</v>
      </c>
      <c r="B108" s="16" t="s">
        <v>241</v>
      </c>
      <c r="C108" s="16" t="s">
        <v>473</v>
      </c>
      <c r="D108" s="257" t="s">
        <v>54</v>
      </c>
      <c r="E108" s="257" t="s">
        <v>55</v>
      </c>
      <c r="F108" s="272">
        <f t="shared" si="16"/>
        <v>1.7387541025101186E-4</v>
      </c>
      <c r="G108" s="273">
        <v>0</v>
      </c>
      <c r="H108" s="274">
        <v>9.5000000000000005E-5</v>
      </c>
      <c r="I108" s="129">
        <v>0</v>
      </c>
      <c r="J108" s="118"/>
      <c r="K108" s="275">
        <v>2.8736443015720101E-5</v>
      </c>
      <c r="L108" s="275">
        <v>0</v>
      </c>
      <c r="M108" s="275">
        <v>4.9508620189672E-9</v>
      </c>
      <c r="N108" s="275">
        <v>5.0134016373272799E-5</v>
      </c>
      <c r="O108" s="275"/>
      <c r="P108" s="275"/>
      <c r="Q108" s="118"/>
      <c r="R108" s="260">
        <f>'Parameters, country spec'!J60</f>
        <v>3.0062674660528534E-3</v>
      </c>
    </row>
    <row r="109" spans="1:19" x14ac:dyDescent="0.35">
      <c r="B109" s="18" t="s">
        <v>242</v>
      </c>
      <c r="C109" s="16" t="s">
        <v>475</v>
      </c>
      <c r="D109" s="257" t="s">
        <v>476</v>
      </c>
      <c r="E109" s="257"/>
      <c r="F109" s="272">
        <f t="shared" si="16"/>
        <v>3.8246443678729514E-4</v>
      </c>
      <c r="G109" s="54">
        <f>'Off-farm feed'!$F$75</f>
        <v>1.6847747663020744E-4</v>
      </c>
      <c r="H109" s="54">
        <f>'Off-farm feed'!$G$75</f>
        <v>4.5862068965517246E-5</v>
      </c>
      <c r="I109" s="54"/>
      <c r="J109" s="54"/>
      <c r="K109" s="54">
        <f>'Off-farm feed'!$J$75</f>
        <v>1.0936279334641704E-5</v>
      </c>
      <c r="L109" s="54"/>
      <c r="M109" s="54">
        <f>'Off-farm feed'!$L$75</f>
        <v>6.4606960551724142E-7</v>
      </c>
      <c r="N109" s="54">
        <f>'Off-farm feed'!$M$75</f>
        <v>2.1884761697575211E-5</v>
      </c>
      <c r="O109" s="54"/>
      <c r="P109" s="54">
        <f>'Off-farm feed'!$O$75</f>
        <v>4.5962128379923288E-5</v>
      </c>
      <c r="Q109" s="54">
        <f>'Off-farm feed'!$P$75</f>
        <v>8.8695652173913049E-5</v>
      </c>
      <c r="R109" s="260">
        <f>'Parameters, country spec'!J61</f>
        <v>2.2057566041319011E-2</v>
      </c>
    </row>
    <row r="110" spans="1:19" x14ac:dyDescent="0.35">
      <c r="B110" s="18" t="s">
        <v>477</v>
      </c>
      <c r="C110" s="16" t="s">
        <v>475</v>
      </c>
      <c r="D110" s="257" t="s">
        <v>478</v>
      </c>
      <c r="E110" s="257"/>
      <c r="F110" s="272">
        <f t="shared" si="16"/>
        <v>4.7266553697523987E-4</v>
      </c>
      <c r="G110" s="54">
        <f>'Off-farm feed'!$F$24</f>
        <v>1.5603516238625262E-5</v>
      </c>
      <c r="H110" s="54">
        <f>'Off-farm feed'!$G$24</f>
        <v>7.5304878048780503E-5</v>
      </c>
      <c r="I110" s="54"/>
      <c r="J110" s="54"/>
      <c r="K110" s="54">
        <f>'Off-farm feed'!$J$24</f>
        <v>1.9084590744355897E-5</v>
      </c>
      <c r="L110" s="54"/>
      <c r="M110" s="54">
        <f>'Off-farm feed'!$L$24</f>
        <v>5.9672097439024396E-7</v>
      </c>
      <c r="N110" s="54">
        <f>'Off-farm feed'!$M$24</f>
        <v>2.3084271612619512E-5</v>
      </c>
      <c r="O110" s="54"/>
      <c r="P110" s="54">
        <f>'Off-farm feed'!$O$24</f>
        <v>1.2899155935646844E-4</v>
      </c>
      <c r="Q110" s="54">
        <f>'Off-farm feed'!$P$24</f>
        <v>2.1000000000000001E-4</v>
      </c>
      <c r="R110" s="260">
        <f>'Parameters, country spec'!J62</f>
        <v>7.6936029566743946E-2</v>
      </c>
    </row>
    <row r="111" spans="1:19" x14ac:dyDescent="0.35">
      <c r="B111" s="16" t="s">
        <v>244</v>
      </c>
      <c r="C111" s="16" t="s">
        <v>479</v>
      </c>
      <c r="D111" s="257" t="s">
        <v>54</v>
      </c>
      <c r="E111" s="257" t="s">
        <v>55</v>
      </c>
      <c r="F111" s="276">
        <f t="shared" si="16"/>
        <v>2.1321474079429004E-3</v>
      </c>
      <c r="G111" s="275">
        <v>0</v>
      </c>
      <c r="H111" s="275">
        <v>8.5499999999999995E-6</v>
      </c>
      <c r="I111">
        <v>0</v>
      </c>
      <c r="K111" s="275">
        <v>1.48453672602851E-6</v>
      </c>
      <c r="L111">
        <v>0</v>
      </c>
      <c r="M111">
        <v>5.00286749526E-14</v>
      </c>
      <c r="N111" s="118">
        <v>4.5120614735945501E-6</v>
      </c>
      <c r="O111" s="118"/>
      <c r="P111" s="275">
        <v>2.1139001122159199E-3</v>
      </c>
      <c r="Q111" s="275">
        <v>3.7006974773287098E-6</v>
      </c>
      <c r="R111" s="260">
        <f>'Parameters, country spec'!J63</f>
        <v>9.266442137782821E-2</v>
      </c>
    </row>
    <row r="112" spans="1:19" x14ac:dyDescent="0.35">
      <c r="A112" s="262"/>
      <c r="B112" s="16" t="s">
        <v>481</v>
      </c>
      <c r="C112" s="263" t="s">
        <v>482</v>
      </c>
      <c r="D112" s="257" t="s">
        <v>54</v>
      </c>
      <c r="E112" s="257" t="s">
        <v>55</v>
      </c>
      <c r="F112" s="272">
        <f t="shared" si="16"/>
        <v>1.733772520196932E-4</v>
      </c>
      <c r="G112" s="277">
        <f>AVERAGE(G102:G110)</f>
        <v>2.0453443652092523E-5</v>
      </c>
      <c r="H112" s="277">
        <f>AVERAGE(H102:H110)</f>
        <v>8.7351883001588647E-5</v>
      </c>
      <c r="I112" s="277"/>
      <c r="J112" s="277"/>
      <c r="K112" s="277">
        <f>AVERAGE(K102:K110)</f>
        <v>2.1417019283350519E-5</v>
      </c>
      <c r="L112" s="277"/>
      <c r="M112" s="277">
        <f>AVERAGE(M102:M110)</f>
        <v>1.6522298009436702E-7</v>
      </c>
      <c r="N112" s="277">
        <f>AVERAGE(N102:N110)</f>
        <v>4.3989683102567149E-5</v>
      </c>
      <c r="O112" s="277"/>
      <c r="P112" s="277"/>
      <c r="Q112" s="277"/>
      <c r="R112" s="260">
        <f>'Parameters, country spec'!J64</f>
        <v>0.12433877851873028</v>
      </c>
    </row>
    <row r="113" spans="1:18" x14ac:dyDescent="0.35">
      <c r="A113" s="265"/>
      <c r="B113" s="266" t="s">
        <v>483</v>
      </c>
      <c r="C113" s="267"/>
      <c r="D113" s="268"/>
      <c r="E113" s="268"/>
      <c r="F113" s="278">
        <f t="shared" ref="F113:O113" si="17">SUMPRODUCT(F102:F112,$R$102:$R$112)</f>
        <v>3.7430571781419384E-4</v>
      </c>
      <c r="G113" s="278">
        <f t="shared" si="17"/>
        <v>7.4598318541284854E-6</v>
      </c>
      <c r="H113" s="278">
        <f t="shared" si="17"/>
        <v>8.3439075602649411E-5</v>
      </c>
      <c r="I113" s="278">
        <f t="shared" si="17"/>
        <v>0</v>
      </c>
      <c r="J113" s="278">
        <f t="shared" si="17"/>
        <v>0</v>
      </c>
      <c r="K113" s="278">
        <f t="shared" si="17"/>
        <v>1.5561226314564317E-5</v>
      </c>
      <c r="L113" s="278">
        <f t="shared" si="17"/>
        <v>0</v>
      </c>
      <c r="M113" s="278">
        <f t="shared" si="17"/>
        <v>1.3014711896518664E-7</v>
      </c>
      <c r="N113" s="278">
        <f t="shared" si="17"/>
        <v>4.2438295663371467E-5</v>
      </c>
      <c r="O113" s="278">
        <f t="shared" si="17"/>
        <v>0</v>
      </c>
      <c r="P113" s="278">
        <f>SUMPRODUCT(P102:P112,R102:R112)</f>
        <v>2.0682124185566374E-4</v>
      </c>
      <c r="Q113" s="278">
        <f>SUMPRODUCT(Q102:Q112,$R$102:$R$112)</f>
        <v>1.845589940485123E-5</v>
      </c>
      <c r="R113" s="270"/>
    </row>
    <row r="114" spans="1:18" x14ac:dyDescent="0.35">
      <c r="A114" s="256" t="s">
        <v>466</v>
      </c>
      <c r="B114" s="16" t="s">
        <v>226</v>
      </c>
      <c r="C114" s="16" t="s">
        <v>467</v>
      </c>
      <c r="D114" s="257" t="s">
        <v>56</v>
      </c>
      <c r="E114" s="257" t="s">
        <v>57</v>
      </c>
      <c r="F114" s="279">
        <f t="shared" ref="F114:F124" si="18">SUM(G114:Q114)</f>
        <v>1.5407833072948014E-4</v>
      </c>
      <c r="G114" s="280">
        <v>0</v>
      </c>
      <c r="H114" s="281">
        <v>9.5000000000000005E-5</v>
      </c>
      <c r="I114" s="282">
        <v>0</v>
      </c>
      <c r="J114" s="283"/>
      <c r="K114" s="284">
        <v>2.7175757575757599E-5</v>
      </c>
      <c r="L114" s="284">
        <v>0</v>
      </c>
      <c r="M114" s="284">
        <v>2.7808766578025301E-6</v>
      </c>
      <c r="N114" s="284">
        <v>2.9121696495920001E-5</v>
      </c>
      <c r="O114" s="284"/>
      <c r="P114" s="284"/>
      <c r="Q114" s="283"/>
      <c r="R114" s="260">
        <f>'Parameters, country spec'!K54</f>
        <v>0.23308111745751758</v>
      </c>
    </row>
    <row r="115" spans="1:18" x14ac:dyDescent="0.35">
      <c r="A115" s="256" t="s">
        <v>468</v>
      </c>
      <c r="B115" s="16" t="s">
        <v>229</v>
      </c>
      <c r="C115" s="16" t="s">
        <v>467</v>
      </c>
      <c r="D115" s="257" t="s">
        <v>56</v>
      </c>
      <c r="E115" s="257" t="s">
        <v>57</v>
      </c>
      <c r="F115" s="272">
        <f t="shared" si="18"/>
        <v>1.9823143758335458E-4</v>
      </c>
      <c r="G115" s="273">
        <v>0</v>
      </c>
      <c r="H115" s="274">
        <v>9.5000000000000005E-5</v>
      </c>
      <c r="I115" s="129">
        <v>0</v>
      </c>
      <c r="J115" s="118"/>
      <c r="K115" s="275">
        <v>5.8749743582956696E-6</v>
      </c>
      <c r="L115" s="275">
        <v>0</v>
      </c>
      <c r="M115" s="275">
        <v>6.8234766729138903E-5</v>
      </c>
      <c r="N115" s="275">
        <v>2.9121696495920001E-5</v>
      </c>
      <c r="O115" s="275"/>
      <c r="P115" s="275"/>
      <c r="Q115" s="118"/>
      <c r="R115" s="260">
        <f>'Parameters, country spec'!K55</f>
        <v>0.30741311484903272</v>
      </c>
    </row>
    <row r="116" spans="1:18" x14ac:dyDescent="0.35">
      <c r="A116" s="256" t="s">
        <v>469</v>
      </c>
      <c r="B116" s="16" t="s">
        <v>232</v>
      </c>
      <c r="C116" s="16" t="s">
        <v>467</v>
      </c>
      <c r="D116" s="257" t="s">
        <v>56</v>
      </c>
      <c r="E116" s="257" t="s">
        <v>57</v>
      </c>
      <c r="F116" s="272">
        <f t="shared" si="18"/>
        <v>1.6782537486788383E-4</v>
      </c>
      <c r="G116" s="273">
        <v>0</v>
      </c>
      <c r="H116" s="274">
        <v>9.5000000000000005E-5</v>
      </c>
      <c r="I116" s="129">
        <v>0</v>
      </c>
      <c r="J116" s="118"/>
      <c r="K116" s="275">
        <v>3.9660005274519201E-5</v>
      </c>
      <c r="L116" s="275">
        <v>0</v>
      </c>
      <c r="M116" s="275">
        <v>4.0436730974446204E-6</v>
      </c>
      <c r="N116" s="275">
        <v>2.9121696495920001E-5</v>
      </c>
      <c r="O116" s="275"/>
      <c r="P116" s="275"/>
      <c r="Q116" s="118"/>
      <c r="R116" s="260">
        <f>'Parameters, country spec'!K56</f>
        <v>3.6341430093052865E-2</v>
      </c>
    </row>
    <row r="117" spans="1:18" x14ac:dyDescent="0.35">
      <c r="A117" s="256" t="s">
        <v>470</v>
      </c>
      <c r="B117" s="16" t="s">
        <v>235</v>
      </c>
      <c r="C117" s="16" t="s">
        <v>467</v>
      </c>
      <c r="D117" s="257" t="s">
        <v>56</v>
      </c>
      <c r="E117" s="257" t="s">
        <v>57</v>
      </c>
      <c r="F117" s="272">
        <f t="shared" si="18"/>
        <v>1.6720727047256202E-4</v>
      </c>
      <c r="G117" s="273">
        <v>0</v>
      </c>
      <c r="H117" s="274">
        <v>9.5000000000000005E-5</v>
      </c>
      <c r="I117" s="118">
        <v>0</v>
      </c>
      <c r="J117" s="118"/>
      <c r="K117" s="275">
        <v>3.7780420039184798E-5</v>
      </c>
      <c r="L117" s="275">
        <v>0</v>
      </c>
      <c r="M117" s="275">
        <v>5.3051539374572196E-6</v>
      </c>
      <c r="N117" s="275">
        <v>2.9121696495920001E-5</v>
      </c>
      <c r="O117" s="275"/>
      <c r="P117" s="275"/>
      <c r="Q117" s="118"/>
      <c r="R117" s="260">
        <f>'Parameters, country spec'!K57</f>
        <v>9.5925750911748202E-3</v>
      </c>
    </row>
    <row r="118" spans="1:18" x14ac:dyDescent="0.35">
      <c r="A118" s="256" t="s">
        <v>471</v>
      </c>
      <c r="B118" s="16" t="s">
        <v>237</v>
      </c>
      <c r="C118" s="16" t="s">
        <v>467</v>
      </c>
      <c r="D118" s="257" t="s">
        <v>56</v>
      </c>
      <c r="E118" s="257" t="s">
        <v>57</v>
      </c>
      <c r="F118" s="272">
        <f t="shared" si="18"/>
        <v>1.5258287221384201E-4</v>
      </c>
      <c r="G118" s="273">
        <v>0</v>
      </c>
      <c r="H118" s="274">
        <v>9.5000000000000005E-5</v>
      </c>
      <c r="I118" s="118">
        <v>0</v>
      </c>
      <c r="J118" s="118"/>
      <c r="K118" s="275">
        <v>2.5075572815533999E-5</v>
      </c>
      <c r="L118" s="275">
        <v>0</v>
      </c>
      <c r="M118" s="275">
        <v>3.3856029023880101E-6</v>
      </c>
      <c r="N118" s="275">
        <v>2.9121696495920001E-5</v>
      </c>
      <c r="O118" s="275"/>
      <c r="P118" s="275"/>
      <c r="Q118" s="118"/>
      <c r="R118" s="260">
        <f>'Parameters, country spec'!K58</f>
        <v>0.19744357688386704</v>
      </c>
    </row>
    <row r="119" spans="1:18" x14ac:dyDescent="0.35">
      <c r="A119" s="256" t="s">
        <v>472</v>
      </c>
      <c r="B119" s="16" t="s">
        <v>239</v>
      </c>
      <c r="C119" s="16" t="s">
        <v>473</v>
      </c>
      <c r="D119" s="257" t="s">
        <v>56</v>
      </c>
      <c r="E119" s="257" t="s">
        <v>57</v>
      </c>
      <c r="F119" s="272">
        <f t="shared" si="18"/>
        <v>2.1563635104952661E-4</v>
      </c>
      <c r="G119" s="273">
        <v>0</v>
      </c>
      <c r="H119" s="274">
        <v>9.5000000000000005E-5</v>
      </c>
      <c r="I119" s="129">
        <v>0</v>
      </c>
      <c r="J119" s="118"/>
      <c r="K119" s="275">
        <v>5.8896104209383703E-5</v>
      </c>
      <c r="L119" s="275">
        <v>0</v>
      </c>
      <c r="M119" s="275">
        <v>3.2618550344222897E-5</v>
      </c>
      <c r="N119" s="275">
        <v>2.9121696495920001E-5</v>
      </c>
      <c r="O119" s="275"/>
      <c r="P119" s="275"/>
      <c r="Q119" s="118"/>
      <c r="R119" s="260">
        <f>'Parameters, country spec'!K59</f>
        <v>5.4797743342333812E-3</v>
      </c>
    </row>
    <row r="120" spans="1:18" x14ac:dyDescent="0.35">
      <c r="A120" s="256" t="s">
        <v>474</v>
      </c>
      <c r="B120" s="16" t="s">
        <v>241</v>
      </c>
      <c r="C120" s="16" t="s">
        <v>473</v>
      </c>
      <c r="D120" s="257" t="s">
        <v>56</v>
      </c>
      <c r="E120" s="257" t="s">
        <v>57</v>
      </c>
      <c r="F120" s="272">
        <f t="shared" si="18"/>
        <v>2.222075445689893E-4</v>
      </c>
      <c r="G120" s="273">
        <v>0</v>
      </c>
      <c r="H120" s="274">
        <v>9.5000000000000005E-5</v>
      </c>
      <c r="I120" s="129">
        <v>0</v>
      </c>
      <c r="J120" s="118"/>
      <c r="K120" s="275">
        <v>6.3001335354643105E-5</v>
      </c>
      <c r="L120" s="275">
        <v>0</v>
      </c>
      <c r="M120" s="275">
        <v>3.5084512718426199E-5</v>
      </c>
      <c r="N120" s="275">
        <v>2.9121696495920001E-5</v>
      </c>
      <c r="O120" s="275"/>
      <c r="P120" s="275"/>
      <c r="Q120" s="118"/>
      <c r="R120" s="260">
        <f>'Parameters, country spec'!K60</f>
        <v>5.382944196147911E-3</v>
      </c>
    </row>
    <row r="121" spans="1:18" x14ac:dyDescent="0.35">
      <c r="B121" s="18" t="s">
        <v>242</v>
      </c>
      <c r="C121" s="16" t="s">
        <v>475</v>
      </c>
      <c r="D121" s="257" t="s">
        <v>476</v>
      </c>
      <c r="E121" s="257"/>
      <c r="F121" s="272">
        <f t="shared" si="18"/>
        <v>3.8246443678729514E-4</v>
      </c>
      <c r="G121" s="54">
        <f>'Off-farm feed'!$F$75</f>
        <v>1.6847747663020744E-4</v>
      </c>
      <c r="H121" s="54">
        <f>'Off-farm feed'!$G$75</f>
        <v>4.5862068965517246E-5</v>
      </c>
      <c r="I121" s="54"/>
      <c r="J121" s="54"/>
      <c r="K121" s="54">
        <f>'Off-farm feed'!$J$75</f>
        <v>1.0936279334641704E-5</v>
      </c>
      <c r="L121" s="54"/>
      <c r="M121" s="54">
        <f>'Off-farm feed'!$L$75</f>
        <v>6.4606960551724142E-7</v>
      </c>
      <c r="N121" s="54">
        <f>'Off-farm feed'!$M$75</f>
        <v>2.1884761697575211E-5</v>
      </c>
      <c r="O121" s="54"/>
      <c r="P121" s="54">
        <f>'Off-farm feed'!$O$75</f>
        <v>4.5962128379923288E-5</v>
      </c>
      <c r="Q121" s="54">
        <f>'Off-farm feed'!$P$75</f>
        <v>8.8695652173913049E-5</v>
      </c>
      <c r="R121" s="260">
        <f>'Parameters, country spec'!K61</f>
        <v>1.5869945984621978E-2</v>
      </c>
    </row>
    <row r="122" spans="1:18" x14ac:dyDescent="0.35">
      <c r="B122" s="18" t="s">
        <v>477</v>
      </c>
      <c r="C122" s="16" t="s">
        <v>475</v>
      </c>
      <c r="D122" s="257" t="s">
        <v>478</v>
      </c>
      <c r="E122" s="257"/>
      <c r="F122" s="272">
        <f t="shared" si="18"/>
        <v>4.7266553697523987E-4</v>
      </c>
      <c r="G122" s="54">
        <f>'Off-farm feed'!$F$24</f>
        <v>1.5603516238625262E-5</v>
      </c>
      <c r="H122" s="54">
        <f>'Off-farm feed'!$G$24</f>
        <v>7.5304878048780503E-5</v>
      </c>
      <c r="I122" s="54"/>
      <c r="J122" s="54"/>
      <c r="K122" s="54">
        <f>'Off-farm feed'!$J$24</f>
        <v>1.9084590744355897E-5</v>
      </c>
      <c r="L122" s="54"/>
      <c r="M122" s="54">
        <f>'Off-farm feed'!$L$24</f>
        <v>5.9672097439024396E-7</v>
      </c>
      <c r="N122" s="54">
        <f>'Off-farm feed'!$M$24</f>
        <v>2.3084271612619512E-5</v>
      </c>
      <c r="O122" s="54"/>
      <c r="P122" s="54">
        <f>'Off-farm feed'!$O$24</f>
        <v>1.2899155935646844E-4</v>
      </c>
      <c r="Q122" s="54">
        <f>'Off-farm feed'!$P$24</f>
        <v>2.1000000000000001E-4</v>
      </c>
      <c r="R122" s="260">
        <f>'Parameters, country spec'!K62</f>
        <v>0.13566182798477194</v>
      </c>
    </row>
    <row r="123" spans="1:18" x14ac:dyDescent="0.35">
      <c r="B123" s="16" t="s">
        <v>244</v>
      </c>
      <c r="C123" s="16" t="s">
        <v>479</v>
      </c>
      <c r="D123" s="257" t="s">
        <v>56</v>
      </c>
      <c r="E123" s="257" t="s">
        <v>57</v>
      </c>
      <c r="F123" s="276">
        <f t="shared" si="18"/>
        <v>1.0330425284900396E-3</v>
      </c>
      <c r="G123" s="275">
        <v>0</v>
      </c>
      <c r="H123" s="275">
        <v>8.5499999999999995E-6</v>
      </c>
      <c r="I123">
        <v>0</v>
      </c>
      <c r="K123" s="275">
        <v>2.2568015533980599E-6</v>
      </c>
      <c r="L123">
        <v>0</v>
      </c>
      <c r="M123">
        <v>3.0470426121492002E-7</v>
      </c>
      <c r="N123" s="118">
        <v>2.6209526846328E-6</v>
      </c>
      <c r="O123" s="118"/>
      <c r="P123" s="275">
        <v>9.3317281206467095E-4</v>
      </c>
      <c r="Q123" s="275">
        <v>8.6137257926122794E-5</v>
      </c>
      <c r="R123" s="260">
        <f>'Parameters, country spec'!K63</f>
        <v>2.2394846703331771E-2</v>
      </c>
    </row>
    <row r="124" spans="1:18" x14ac:dyDescent="0.35">
      <c r="A124" s="262"/>
      <c r="B124" s="16" t="s">
        <v>481</v>
      </c>
      <c r="C124" s="263" t="s">
        <v>482</v>
      </c>
      <c r="D124" s="257" t="s">
        <v>56</v>
      </c>
      <c r="E124" s="257" t="s">
        <v>57</v>
      </c>
      <c r="F124" s="272">
        <f t="shared" si="18"/>
        <v>1.8436109059309655E-4</v>
      </c>
      <c r="G124" s="277">
        <f>AVERAGE(G114:G122)</f>
        <v>2.0453443652092523E-5</v>
      </c>
      <c r="H124" s="277">
        <f>AVERAGE(H114:H122)</f>
        <v>8.7351883001588647E-5</v>
      </c>
      <c r="I124" s="277"/>
      <c r="J124" s="277"/>
      <c r="K124" s="277">
        <f>AVERAGE(K114:K122)</f>
        <v>3.1942782189590625E-5</v>
      </c>
      <c r="L124" s="277"/>
      <c r="M124" s="277">
        <f>AVERAGE(M114:M122)</f>
        <v>1.6966214107420873E-5</v>
      </c>
      <c r="N124" s="277">
        <f>AVERAGE(N114:N122)</f>
        <v>2.7646767642403862E-5</v>
      </c>
      <c r="O124" s="277"/>
      <c r="P124" s="277"/>
      <c r="Q124" s="277"/>
      <c r="R124" s="260">
        <f>'Parameters, country spec'!K64</f>
        <v>3.1338846422248039E-2</v>
      </c>
    </row>
    <row r="125" spans="1:18" x14ac:dyDescent="0.35">
      <c r="A125" s="285"/>
      <c r="B125" s="286" t="s">
        <v>483</v>
      </c>
      <c r="C125" s="287"/>
      <c r="D125" s="268"/>
      <c r="E125" s="268"/>
      <c r="F125" s="278">
        <f t="shared" ref="F125:O125" si="19">SUMPRODUCT(F114:F124,$R$114:$R$124)</f>
        <v>2.3616378672502869E-4</v>
      </c>
      <c r="G125" s="278">
        <f t="shared" si="19"/>
        <v>5.4315173190878113E-6</v>
      </c>
      <c r="H125" s="278">
        <f t="shared" si="19"/>
        <v>8.9372589780865595E-5</v>
      </c>
      <c r="I125" s="278">
        <f t="shared" si="19"/>
        <v>0</v>
      </c>
      <c r="J125" s="278">
        <f t="shared" si="19"/>
        <v>0</v>
      </c>
      <c r="K125" s="278">
        <f t="shared" si="19"/>
        <v>1.9370993057071927E-5</v>
      </c>
      <c r="L125" s="278">
        <f t="shared" si="19"/>
        <v>0</v>
      </c>
      <c r="M125" s="278">
        <f t="shared" si="19"/>
        <v>2.3488071518307209E-5</v>
      </c>
      <c r="N125" s="278">
        <f t="shared" si="19"/>
        <v>2.754809597158462E-5</v>
      </c>
      <c r="O125" s="278">
        <f t="shared" si="19"/>
        <v>0</v>
      </c>
      <c r="P125" s="278">
        <f>SUMPRODUCT(P114:P124,R114:R124)</f>
        <v>3.9126909305537697E-5</v>
      </c>
      <c r="Q125" s="278">
        <f>SUMPRODUCT(Q114:Q124,$R$114:$R$124)</f>
        <v>3.1825609772573798E-5</v>
      </c>
      <c r="R125" s="270"/>
    </row>
    <row r="126" spans="1:18" x14ac:dyDescent="0.35">
      <c r="A126" s="288" t="s">
        <v>466</v>
      </c>
      <c r="B126" s="74" t="s">
        <v>226</v>
      </c>
      <c r="C126" s="74" t="s">
        <v>467</v>
      </c>
      <c r="D126" s="257" t="s">
        <v>58</v>
      </c>
      <c r="E126" s="257" t="s">
        <v>59</v>
      </c>
      <c r="F126" s="279">
        <f t="shared" ref="F126:F136" si="20">SUM(G126:Q126)</f>
        <v>1.2860316999940553E-4</v>
      </c>
      <c r="G126" s="280">
        <v>0</v>
      </c>
      <c r="H126" s="281">
        <v>9.5000000000000005E-5</v>
      </c>
      <c r="I126" s="282">
        <v>0</v>
      </c>
      <c r="J126" s="283"/>
      <c r="K126" s="284">
        <v>1.90887140988659E-5</v>
      </c>
      <c r="L126" s="284">
        <v>0</v>
      </c>
      <c r="M126" s="284">
        <v>2.8849274208216E-9</v>
      </c>
      <c r="N126" s="284">
        <v>1.45115709731188E-5</v>
      </c>
      <c r="O126" s="284"/>
      <c r="P126" s="284"/>
      <c r="Q126" s="283"/>
      <c r="R126" s="260">
        <f>'Parameters, country spec'!L54</f>
        <v>0.26218798715146902</v>
      </c>
    </row>
    <row r="127" spans="1:18" x14ac:dyDescent="0.35">
      <c r="A127" s="256" t="s">
        <v>468</v>
      </c>
      <c r="B127" s="16" t="s">
        <v>229</v>
      </c>
      <c r="C127" s="16" t="s">
        <v>467</v>
      </c>
      <c r="D127" s="257" t="s">
        <v>58</v>
      </c>
      <c r="E127" s="257" t="s">
        <v>59</v>
      </c>
      <c r="F127" s="272">
        <f t="shared" si="20"/>
        <v>1.1912253474115631E-4</v>
      </c>
      <c r="G127" s="273">
        <v>0</v>
      </c>
      <c r="H127" s="274">
        <v>9.5000000000000005E-5</v>
      </c>
      <c r="I127" s="129">
        <v>0</v>
      </c>
      <c r="J127" s="118"/>
      <c r="K127" s="275">
        <v>9.6109637680374997E-6</v>
      </c>
      <c r="L127" s="275">
        <v>0</v>
      </c>
      <c r="M127" s="275">
        <v>0</v>
      </c>
      <c r="N127" s="275">
        <v>1.45115709731188E-5</v>
      </c>
      <c r="O127" s="275"/>
      <c r="P127" s="275"/>
      <c r="Q127" s="118"/>
      <c r="R127" s="260">
        <f>'Parameters, country spec'!L55</f>
        <v>2.7145227912969199E-3</v>
      </c>
    </row>
    <row r="128" spans="1:18" x14ac:dyDescent="0.35">
      <c r="A128" s="256" t="s">
        <v>469</v>
      </c>
      <c r="B128" s="16" t="s">
        <v>232</v>
      </c>
      <c r="C128" s="16" t="s">
        <v>467</v>
      </c>
      <c r="D128" s="257" t="s">
        <v>58</v>
      </c>
      <c r="E128" s="257" t="s">
        <v>59</v>
      </c>
      <c r="F128" s="272">
        <f t="shared" si="20"/>
        <v>1.3031260527766205E-4</v>
      </c>
      <c r="G128" s="273">
        <v>0</v>
      </c>
      <c r="H128" s="274">
        <v>9.5000000000000005E-5</v>
      </c>
      <c r="I128" s="129">
        <v>0</v>
      </c>
      <c r="J128" s="118"/>
      <c r="K128" s="275">
        <v>2.07975725290936E-5</v>
      </c>
      <c r="L128" s="275">
        <v>0</v>
      </c>
      <c r="M128" s="275">
        <v>3.4617754496477999E-9</v>
      </c>
      <c r="N128" s="275">
        <v>1.45115709731188E-5</v>
      </c>
      <c r="O128" s="275"/>
      <c r="P128" s="275"/>
      <c r="Q128" s="118"/>
      <c r="R128" s="260">
        <f>'Parameters, country spec'!L56</f>
        <v>4.4514084693111099E-2</v>
      </c>
    </row>
    <row r="129" spans="1:18" x14ac:dyDescent="0.35">
      <c r="A129" s="256" t="s">
        <v>470</v>
      </c>
      <c r="B129" s="16" t="s">
        <v>235</v>
      </c>
      <c r="C129" s="16" t="s">
        <v>467</v>
      </c>
      <c r="D129" s="257" t="s">
        <v>58</v>
      </c>
      <c r="E129" s="257" t="s">
        <v>59</v>
      </c>
      <c r="F129" s="272">
        <f t="shared" si="20"/>
        <v>1.2420439073274311E-4</v>
      </c>
      <c r="G129" s="273">
        <v>0</v>
      </c>
      <c r="H129" s="274">
        <v>9.5000000000000005E-5</v>
      </c>
      <c r="I129" s="118">
        <v>0</v>
      </c>
      <c r="J129" s="118"/>
      <c r="K129" s="275">
        <v>1.46928197596243E-5</v>
      </c>
      <c r="L129" s="275">
        <v>0</v>
      </c>
      <c r="M129" s="275">
        <v>0</v>
      </c>
      <c r="N129" s="275">
        <v>1.45115709731188E-5</v>
      </c>
      <c r="O129" s="275"/>
      <c r="P129" s="275"/>
      <c r="Q129" s="118"/>
      <c r="R129" s="260">
        <f>'Parameters, country spec'!L57</f>
        <v>2.7912717555004501E-2</v>
      </c>
    </row>
    <row r="130" spans="1:18" x14ac:dyDescent="0.35">
      <c r="A130" s="256" t="s">
        <v>471</v>
      </c>
      <c r="B130" s="16" t="s">
        <v>237</v>
      </c>
      <c r="C130" s="16" t="s">
        <v>467</v>
      </c>
      <c r="D130" s="257" t="s">
        <v>58</v>
      </c>
      <c r="E130" s="257" t="s">
        <v>59</v>
      </c>
      <c r="F130" s="272">
        <f t="shared" si="20"/>
        <v>1.2278996270745091E-4</v>
      </c>
      <c r="G130" s="273">
        <v>0</v>
      </c>
      <c r="H130" s="274">
        <v>9.5000000000000005E-5</v>
      </c>
      <c r="I130" s="118">
        <v>0</v>
      </c>
      <c r="J130" s="118"/>
      <c r="K130" s="275">
        <v>1.32783917343321E-5</v>
      </c>
      <c r="L130" s="275">
        <v>0</v>
      </c>
      <c r="M130" s="275">
        <v>0</v>
      </c>
      <c r="N130" s="275">
        <v>1.45115709731188E-5</v>
      </c>
      <c r="O130" s="275"/>
      <c r="P130" s="275"/>
      <c r="Q130" s="118"/>
      <c r="R130" s="260">
        <f>'Parameters, country spec'!L58</f>
        <v>0.32729029603711102</v>
      </c>
    </row>
    <row r="131" spans="1:18" x14ac:dyDescent="0.35">
      <c r="A131" s="256" t="s">
        <v>472</v>
      </c>
      <c r="B131" s="16" t="s">
        <v>239</v>
      </c>
      <c r="C131" s="16" t="s">
        <v>473</v>
      </c>
      <c r="D131" s="257" t="s">
        <v>58</v>
      </c>
      <c r="E131" s="257" t="s">
        <v>59</v>
      </c>
      <c r="F131" s="272">
        <f t="shared" si="20"/>
        <v>1.471635353756079E-4</v>
      </c>
      <c r="G131" s="273">
        <v>0</v>
      </c>
      <c r="H131" s="274">
        <v>9.5000000000000005E-5</v>
      </c>
      <c r="I131" s="129">
        <v>0</v>
      </c>
      <c r="J131" s="118"/>
      <c r="K131" s="275">
        <v>2.7426462782762501E-5</v>
      </c>
      <c r="L131" s="275">
        <v>0</v>
      </c>
      <c r="M131" s="275">
        <v>1.0225501619726601E-5</v>
      </c>
      <c r="N131" s="275">
        <v>1.45115709731188E-5</v>
      </c>
      <c r="O131" s="275"/>
      <c r="P131" s="275"/>
      <c r="Q131" s="118"/>
      <c r="R131" s="260">
        <f>'Parameters, country spec'!L59</f>
        <v>4.8974646420038301E-3</v>
      </c>
    </row>
    <row r="132" spans="1:18" x14ac:dyDescent="0.35">
      <c r="A132" s="256" t="s">
        <v>474</v>
      </c>
      <c r="B132" s="16" t="s">
        <v>241</v>
      </c>
      <c r="C132" s="16" t="s">
        <v>473</v>
      </c>
      <c r="D132" s="257" t="s">
        <v>58</v>
      </c>
      <c r="E132" s="257" t="s">
        <v>59</v>
      </c>
      <c r="F132" s="272">
        <f t="shared" si="20"/>
        <v>1.4207083497941555E-4</v>
      </c>
      <c r="G132" s="273">
        <v>0</v>
      </c>
      <c r="H132" s="274">
        <v>9.5000000000000005E-5</v>
      </c>
      <c r="I132" s="129">
        <v>0</v>
      </c>
      <c r="J132" s="118"/>
      <c r="K132" s="275">
        <v>2.71812411720093E-5</v>
      </c>
      <c r="L132" s="275">
        <v>0</v>
      </c>
      <c r="M132" s="275">
        <v>5.3780228342874504E-6</v>
      </c>
      <c r="N132" s="275">
        <v>1.45115709731188E-5</v>
      </c>
      <c r="O132" s="275"/>
      <c r="P132" s="275"/>
      <c r="Q132" s="118"/>
      <c r="R132" s="260">
        <f>'Parameters, country spec'!L60</f>
        <v>5.63859541846429E-2</v>
      </c>
    </row>
    <row r="133" spans="1:18" x14ac:dyDescent="0.35">
      <c r="B133" s="18" t="s">
        <v>242</v>
      </c>
      <c r="C133" s="16" t="s">
        <v>475</v>
      </c>
      <c r="D133" s="257" t="s">
        <v>476</v>
      </c>
      <c r="E133" s="257"/>
      <c r="F133" s="272">
        <f t="shared" si="20"/>
        <v>3.8246443678729514E-4</v>
      </c>
      <c r="G133" s="54">
        <f>'Off-farm feed'!$F$75</f>
        <v>1.6847747663020744E-4</v>
      </c>
      <c r="H133" s="54">
        <f>'Off-farm feed'!$G$75</f>
        <v>4.5862068965517246E-5</v>
      </c>
      <c r="I133" s="54"/>
      <c r="J133" s="54"/>
      <c r="K133" s="54">
        <f>'Off-farm feed'!$J$75</f>
        <v>1.0936279334641704E-5</v>
      </c>
      <c r="L133" s="54"/>
      <c r="M133" s="54">
        <f>'Off-farm feed'!$L$75</f>
        <v>6.4606960551724142E-7</v>
      </c>
      <c r="N133" s="54">
        <f>'Off-farm feed'!$M$75</f>
        <v>2.1884761697575211E-5</v>
      </c>
      <c r="O133" s="54"/>
      <c r="P133" s="54">
        <f>'Off-farm feed'!$O$75</f>
        <v>4.5962128379923288E-5</v>
      </c>
      <c r="Q133" s="54">
        <f>'Off-farm feed'!$P$75</f>
        <v>8.8695652173913049E-5</v>
      </c>
      <c r="R133" s="260">
        <f>'Parameters, country spec'!L61</f>
        <v>2.9607485666187296E-2</v>
      </c>
    </row>
    <row r="134" spans="1:18" x14ac:dyDescent="0.35">
      <c r="B134" s="18" t="s">
        <v>477</v>
      </c>
      <c r="C134" s="16" t="s">
        <v>475</v>
      </c>
      <c r="D134" s="257" t="s">
        <v>478</v>
      </c>
      <c r="E134" s="257"/>
      <c r="F134" s="272">
        <f t="shared" si="20"/>
        <v>4.7266553697523987E-4</v>
      </c>
      <c r="G134" s="54">
        <f>'Off-farm feed'!$F$24</f>
        <v>1.5603516238625262E-5</v>
      </c>
      <c r="H134" s="54">
        <f>'Off-farm feed'!$G$24</f>
        <v>7.5304878048780503E-5</v>
      </c>
      <c r="I134" s="54"/>
      <c r="J134" s="54"/>
      <c r="K134" s="54">
        <f>'Off-farm feed'!$J$24</f>
        <v>1.9084590744355897E-5</v>
      </c>
      <c r="L134" s="54"/>
      <c r="M134" s="54">
        <f>'Off-farm feed'!$L$24</f>
        <v>5.9672097439024396E-7</v>
      </c>
      <c r="N134" s="54">
        <f>'Off-farm feed'!$M$24</f>
        <v>2.3084271612619512E-5</v>
      </c>
      <c r="O134" s="54"/>
      <c r="P134" s="54">
        <f>'Off-farm feed'!$O$24</f>
        <v>1.2899155935646844E-4</v>
      </c>
      <c r="Q134" s="54">
        <f>'Off-farm feed'!$P$24</f>
        <v>2.1000000000000001E-4</v>
      </c>
      <c r="R134" s="260">
        <f>'Parameters, country spec'!L62</f>
        <v>3.8707899733140101E-2</v>
      </c>
    </row>
    <row r="135" spans="1:18" x14ac:dyDescent="0.35">
      <c r="B135" s="16" t="s">
        <v>244</v>
      </c>
      <c r="C135" s="16" t="s">
        <v>479</v>
      </c>
      <c r="D135" s="257" t="s">
        <v>58</v>
      </c>
      <c r="E135" s="257" t="s">
        <v>59</v>
      </c>
      <c r="F135" s="276">
        <f t="shared" si="20"/>
        <v>1.4000152771825397E-4</v>
      </c>
      <c r="G135" s="275">
        <v>0</v>
      </c>
      <c r="H135" s="275">
        <v>8.5499999999999995E-6</v>
      </c>
      <c r="I135">
        <v>0</v>
      </c>
      <c r="K135" s="275">
        <v>1.19505525608989E-6</v>
      </c>
      <c r="L135">
        <v>0</v>
      </c>
      <c r="M135">
        <v>0</v>
      </c>
      <c r="N135" s="118">
        <v>1.30604138758069E-6</v>
      </c>
      <c r="O135" s="118"/>
      <c r="P135" s="275">
        <v>1.12198537729509E-4</v>
      </c>
      <c r="Q135" s="275">
        <v>1.6751893345074401E-5</v>
      </c>
      <c r="R135" s="260">
        <f>'Parameters, country spec'!L63</f>
        <v>0.11190565161757898</v>
      </c>
    </row>
    <row r="136" spans="1:18" x14ac:dyDescent="0.35">
      <c r="A136" s="262"/>
      <c r="B136" s="16" t="s">
        <v>481</v>
      </c>
      <c r="C136" s="263" t="s">
        <v>482</v>
      </c>
      <c r="D136" s="257" t="s">
        <v>58</v>
      </c>
      <c r="E136" s="257" t="s">
        <v>59</v>
      </c>
      <c r="F136" s="272">
        <f t="shared" si="20"/>
        <v>1.4397196307396352E-4</v>
      </c>
      <c r="G136" s="277">
        <f>AVERAGE(G126:G134)</f>
        <v>2.0453443652092523E-5</v>
      </c>
      <c r="H136" s="277">
        <f>AVERAGE(H126:H134)</f>
        <v>8.7351883001588647E-5</v>
      </c>
      <c r="I136" s="277"/>
      <c r="J136" s="277"/>
      <c r="K136" s="277">
        <f>AVERAGE(K126:K134)</f>
        <v>1.8010781769302535E-5</v>
      </c>
      <c r="L136" s="277"/>
      <c r="M136" s="277">
        <f>AVERAGE(M126:M134)</f>
        <v>1.8725179707546674E-6</v>
      </c>
      <c r="N136" s="277">
        <f>AVERAGE(N126:N134)</f>
        <v>1.6283336680225149E-5</v>
      </c>
      <c r="O136" s="277"/>
      <c r="P136" s="277"/>
      <c r="Q136" s="277"/>
      <c r="R136" s="260">
        <f>'Parameters, country spec'!L64</f>
        <v>9.3875935928455001E-2</v>
      </c>
    </row>
    <row r="137" spans="1:18" x14ac:dyDescent="0.35">
      <c r="A137" s="265"/>
      <c r="B137" s="266" t="s">
        <v>483</v>
      </c>
      <c r="C137" s="267"/>
      <c r="D137" s="268"/>
      <c r="E137" s="268"/>
      <c r="F137" s="289">
        <f t="shared" ref="F137:O137" si="21">SUMPRODUCT(F126:F136,$R$126:$R$136)</f>
        <v>1.5103085210295126E-4</v>
      </c>
      <c r="G137" s="289">
        <f t="shared" si="21"/>
        <v>7.5122599822535042E-6</v>
      </c>
      <c r="H137" s="289">
        <f t="shared" si="21"/>
        <v>8.2390574881854837E-5</v>
      </c>
      <c r="I137" s="289">
        <f t="shared" si="21"/>
        <v>0</v>
      </c>
      <c r="J137" s="289">
        <f t="shared" si="21"/>
        <v>0</v>
      </c>
      <c r="K137" s="289">
        <f t="shared" si="21"/>
        <v>1.5266703844031648E-5</v>
      </c>
      <c r="L137" s="289">
        <f t="shared" si="21"/>
        <v>0</v>
      </c>
      <c r="M137" s="289">
        <f t="shared" si="21"/>
        <v>5.7224516212407289E-7</v>
      </c>
      <c r="N137" s="289">
        <f t="shared" si="21"/>
        <v>1.3750256619378927E-5</v>
      </c>
      <c r="O137" s="289">
        <f t="shared" si="21"/>
        <v>0</v>
      </c>
      <c r="P137" s="278">
        <f>SUMPRODUCT(P126:P136,R126:R136)</f>
        <v>1.8909465878347833E-5</v>
      </c>
      <c r="Q137" s="289">
        <f>SUMPRODUCT(Q126:Q136,$R$126:$R$136)</f>
        <v>1.262934573496042E-5</v>
      </c>
      <c r="R137" s="270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DEEBF7"/>
  </sheetPr>
  <dimension ref="A2:S137"/>
  <sheetViews>
    <sheetView topLeftCell="K1" zoomScale="80" zoomScaleNormal="80" workbookViewId="0">
      <selection activeCell="R21" sqref="R21"/>
    </sheetView>
  </sheetViews>
  <sheetFormatPr defaultColWidth="8.6328125" defaultRowHeight="14.5" x14ac:dyDescent="0.35"/>
  <cols>
    <col min="1" max="1" width="8.54296875" customWidth="1"/>
    <col min="2" max="2" width="30.453125" customWidth="1"/>
    <col min="3" max="3" width="19" customWidth="1"/>
    <col min="4" max="5" width="12.54296875" customWidth="1"/>
    <col min="6" max="6" width="12.54296875" style="16" customWidth="1"/>
    <col min="7" max="10" width="12.54296875" customWidth="1"/>
    <col min="11" max="11" width="14.453125" customWidth="1"/>
    <col min="12" max="12" width="15" customWidth="1"/>
    <col min="13" max="18" width="12.54296875" customWidth="1"/>
  </cols>
  <sheetData>
    <row r="2" spans="1:19" ht="21" customHeight="1" x14ac:dyDescent="0.5">
      <c r="A2" s="8" t="s">
        <v>486</v>
      </c>
      <c r="F2" s="16" t="s">
        <v>459</v>
      </c>
    </row>
    <row r="3" spans="1:19" x14ac:dyDescent="0.35">
      <c r="H3" s="23"/>
      <c r="I3" s="23"/>
      <c r="J3" s="23"/>
      <c r="K3" s="23"/>
      <c r="L3" s="23"/>
      <c r="M3" s="23"/>
      <c r="N3" s="23"/>
    </row>
    <row r="4" spans="1:19" ht="28.5" customHeight="1" x14ac:dyDescent="0.35">
      <c r="A4" s="244" t="s">
        <v>460</v>
      </c>
      <c r="B4" s="245"/>
      <c r="C4" s="245"/>
      <c r="D4" s="245"/>
      <c r="E4" s="245"/>
      <c r="F4" s="246" t="s">
        <v>106</v>
      </c>
      <c r="G4" s="247" t="s">
        <v>107</v>
      </c>
      <c r="H4" s="248"/>
      <c r="I4" s="247" t="s">
        <v>108</v>
      </c>
      <c r="J4" s="249"/>
      <c r="K4" s="247" t="s">
        <v>109</v>
      </c>
      <c r="L4" s="249"/>
      <c r="M4" s="249"/>
      <c r="N4" s="249"/>
      <c r="O4" s="250" t="s">
        <v>110</v>
      </c>
      <c r="P4" s="250" t="s">
        <v>111</v>
      </c>
      <c r="Q4" s="251" t="s">
        <v>112</v>
      </c>
      <c r="R4" s="247" t="s">
        <v>461</v>
      </c>
    </row>
    <row r="5" spans="1:19" ht="55.5" customHeight="1" x14ac:dyDescent="0.35">
      <c r="A5" s="252" t="s">
        <v>14</v>
      </c>
      <c r="B5" s="252" t="s">
        <v>460</v>
      </c>
      <c r="C5" s="252" t="s">
        <v>462</v>
      </c>
      <c r="D5" s="252" t="s">
        <v>17</v>
      </c>
      <c r="E5" s="253" t="s">
        <v>18</v>
      </c>
      <c r="F5" s="254"/>
      <c r="G5" s="255" t="s">
        <v>68</v>
      </c>
      <c r="H5" s="255" t="s">
        <v>69</v>
      </c>
      <c r="I5" s="255" t="s">
        <v>463</v>
      </c>
      <c r="J5" s="255" t="s">
        <v>464</v>
      </c>
      <c r="K5" s="255" t="s">
        <v>118</v>
      </c>
      <c r="L5" s="255" t="s">
        <v>119</v>
      </c>
      <c r="M5" s="255" t="s">
        <v>120</v>
      </c>
      <c r="N5" s="255" t="s">
        <v>121</v>
      </c>
      <c r="O5" s="255" t="s">
        <v>122</v>
      </c>
      <c r="P5" s="255" t="s">
        <v>111</v>
      </c>
      <c r="Q5" s="253" t="s">
        <v>465</v>
      </c>
      <c r="R5" s="255"/>
    </row>
    <row r="6" spans="1:19" x14ac:dyDescent="0.35">
      <c r="A6" s="256" t="s">
        <v>466</v>
      </c>
      <c r="B6" s="16" t="s">
        <v>226</v>
      </c>
      <c r="C6" s="16" t="s">
        <v>467</v>
      </c>
      <c r="D6" s="257" t="s">
        <v>83</v>
      </c>
      <c r="E6" s="257" t="s">
        <v>39</v>
      </c>
      <c r="F6" s="272">
        <f t="shared" ref="F6:F12" si="0">SUM(G6:Q6)</f>
        <v>1.0296151144552602E-3</v>
      </c>
      <c r="G6" s="273">
        <v>4.33346937593971E-5</v>
      </c>
      <c r="H6" s="274">
        <v>1.1000000000000001E-6</v>
      </c>
      <c r="I6" s="275">
        <v>8.93389004622238E-4</v>
      </c>
      <c r="J6" s="275">
        <v>8.9338900462223805E-5</v>
      </c>
      <c r="K6" s="275">
        <v>9.0167632840131403E-7</v>
      </c>
      <c r="L6" s="275">
        <v>0</v>
      </c>
      <c r="M6" s="275">
        <v>0</v>
      </c>
      <c r="N6" s="275">
        <v>1.5508392829999999E-6</v>
      </c>
      <c r="O6" s="275"/>
      <c r="P6" s="275"/>
      <c r="Q6" s="118"/>
      <c r="R6" s="260">
        <f>'Parameters, country spec'!B54</f>
        <v>0.32616215478819699</v>
      </c>
    </row>
    <row r="7" spans="1:19" x14ac:dyDescent="0.35">
      <c r="A7" s="256" t="s">
        <v>468</v>
      </c>
      <c r="B7" s="16" t="s">
        <v>229</v>
      </c>
      <c r="C7" s="16" t="s">
        <v>467</v>
      </c>
      <c r="D7" s="257" t="s">
        <v>83</v>
      </c>
      <c r="E7" s="257" t="s">
        <v>39</v>
      </c>
      <c r="F7" s="272">
        <f t="shared" si="0"/>
        <v>2.5431436051094093E-4</v>
      </c>
      <c r="G7" s="273">
        <v>8.5646037195945999E-6</v>
      </c>
      <c r="H7" s="274">
        <v>1.1000000000000001E-6</v>
      </c>
      <c r="I7" s="275">
        <v>2.2040330851413799E-4</v>
      </c>
      <c r="J7" s="275">
        <v>2.20403308514138E-5</v>
      </c>
      <c r="K7" s="275">
        <v>6.5527814279456901E-7</v>
      </c>
      <c r="L7" s="275">
        <v>0</v>
      </c>
      <c r="M7" s="275">
        <v>0</v>
      </c>
      <c r="N7" s="275">
        <v>1.5508392829999999E-6</v>
      </c>
      <c r="O7" s="275"/>
      <c r="P7" s="275"/>
      <c r="Q7" s="118"/>
      <c r="R7" s="260">
        <f>'Parameters, country spec'!B55</f>
        <v>0</v>
      </c>
    </row>
    <row r="8" spans="1:19" x14ac:dyDescent="0.35">
      <c r="A8" s="256" t="s">
        <v>469</v>
      </c>
      <c r="B8" s="16" t="s">
        <v>232</v>
      </c>
      <c r="C8" s="16" t="s">
        <v>467</v>
      </c>
      <c r="D8" s="257" t="s">
        <v>83</v>
      </c>
      <c r="E8" s="257" t="s">
        <v>39</v>
      </c>
      <c r="F8" s="272">
        <f t="shared" si="0"/>
        <v>9.9111399236328991E-4</v>
      </c>
      <c r="G8" s="273">
        <v>4.2111741458943197E-5</v>
      </c>
      <c r="H8" s="274">
        <v>1.1000000000000001E-6</v>
      </c>
      <c r="I8" s="275">
        <v>8.5942041301056103E-4</v>
      </c>
      <c r="J8" s="275">
        <v>8.5942041301056201E-5</v>
      </c>
      <c r="K8" s="275">
        <v>9.8893602669268491E-7</v>
      </c>
      <c r="L8" s="275">
        <v>0</v>
      </c>
      <c r="M8" s="275">
        <v>2.1283036803976E-11</v>
      </c>
      <c r="N8" s="275">
        <v>1.5508392829999999E-6</v>
      </c>
      <c r="O8" s="275"/>
      <c r="P8" s="275"/>
      <c r="Q8" s="118"/>
      <c r="R8" s="260">
        <f>'Parameters, country spec'!B56</f>
        <v>0</v>
      </c>
    </row>
    <row r="9" spans="1:19" x14ac:dyDescent="0.35">
      <c r="A9" s="256" t="s">
        <v>470</v>
      </c>
      <c r="B9" s="16" t="s">
        <v>235</v>
      </c>
      <c r="C9" s="16" t="s">
        <v>467</v>
      </c>
      <c r="D9" s="257" t="s">
        <v>83</v>
      </c>
      <c r="E9" s="257" t="s">
        <v>39</v>
      </c>
      <c r="F9" s="272">
        <f t="shared" si="0"/>
        <v>8.5530074525416461E-4</v>
      </c>
      <c r="G9" s="273">
        <v>3.57173969818493E-5</v>
      </c>
      <c r="H9" s="274">
        <v>1.1000000000000001E-6</v>
      </c>
      <c r="I9" s="275">
        <v>7.4187413254425704E-4</v>
      </c>
      <c r="J9" s="275">
        <v>7.4187413254425702E-5</v>
      </c>
      <c r="K9" s="275">
        <v>8.6297031950513598E-7</v>
      </c>
      <c r="L9" s="275">
        <v>0</v>
      </c>
      <c r="M9" s="275">
        <v>7.9928711275969202E-9</v>
      </c>
      <c r="N9" s="275">
        <v>1.5508392829999999E-6</v>
      </c>
      <c r="O9" s="275"/>
      <c r="P9" s="275"/>
      <c r="Q9" s="118"/>
      <c r="R9" s="260">
        <f>'Parameters, country spec'!B57</f>
        <v>0</v>
      </c>
    </row>
    <row r="10" spans="1:19" x14ac:dyDescent="0.35">
      <c r="A10" s="256" t="s">
        <v>471</v>
      </c>
      <c r="B10" s="16" t="s">
        <v>237</v>
      </c>
      <c r="C10" s="16" t="s">
        <v>467</v>
      </c>
      <c r="D10" s="257" t="s">
        <v>83</v>
      </c>
      <c r="E10" s="257" t="s">
        <v>39</v>
      </c>
      <c r="F10" s="272">
        <f t="shared" si="0"/>
        <v>8.4382253304000313E-4</v>
      </c>
      <c r="G10" s="273">
        <v>3.5274842783133898E-5</v>
      </c>
      <c r="H10" s="274">
        <v>1.1000000000000001E-6</v>
      </c>
      <c r="I10" s="275">
        <v>7.3201437561888497E-4</v>
      </c>
      <c r="J10" s="275">
        <v>7.3201437561888502E-5</v>
      </c>
      <c r="K10" s="275">
        <v>6.7471987680582603E-7</v>
      </c>
      <c r="L10" s="275">
        <v>0</v>
      </c>
      <c r="M10" s="275">
        <v>6.3179162899379596E-9</v>
      </c>
      <c r="N10" s="275">
        <v>1.5508392829999999E-6</v>
      </c>
      <c r="O10" s="275"/>
      <c r="P10" s="275"/>
      <c r="Q10" s="118"/>
      <c r="R10" s="260">
        <f>'Parameters, country spec'!B58</f>
        <v>0.37907027616944244</v>
      </c>
    </row>
    <row r="11" spans="1:19" x14ac:dyDescent="0.35">
      <c r="A11" s="256" t="s">
        <v>472</v>
      </c>
      <c r="B11" s="16" t="s">
        <v>239</v>
      </c>
      <c r="C11" s="16" t="s">
        <v>473</v>
      </c>
      <c r="D11" s="257" t="s">
        <v>83</v>
      </c>
      <c r="E11" s="257" t="s">
        <v>39</v>
      </c>
      <c r="F11" s="272">
        <f t="shared" si="0"/>
        <v>2.076250829896906E-4</v>
      </c>
      <c r="G11" s="273">
        <v>0</v>
      </c>
      <c r="H11" s="274">
        <v>1.1000000000000001E-6</v>
      </c>
      <c r="I11" s="275">
        <v>1.8457295999999999E-4</v>
      </c>
      <c r="J11" s="275">
        <v>1.8457295999999999E-5</v>
      </c>
      <c r="K11" s="275">
        <v>1.3311447783076901E-6</v>
      </c>
      <c r="L11" s="275">
        <v>0</v>
      </c>
      <c r="M11" s="275">
        <v>6.12842928382921E-7</v>
      </c>
      <c r="N11" s="275">
        <v>1.5508392829999999E-6</v>
      </c>
      <c r="O11" s="275"/>
      <c r="P11" s="275"/>
      <c r="Q11" s="118"/>
      <c r="R11" s="260">
        <f>'Parameters, country spec'!B59</f>
        <v>0</v>
      </c>
    </row>
    <row r="12" spans="1:19" x14ac:dyDescent="0.35">
      <c r="A12" s="256" t="s">
        <v>474</v>
      </c>
      <c r="B12" s="16" t="s">
        <v>241</v>
      </c>
      <c r="C12" s="16" t="s">
        <v>473</v>
      </c>
      <c r="D12" s="257" t="s">
        <v>83</v>
      </c>
      <c r="E12" s="257" t="s">
        <v>39</v>
      </c>
      <c r="F12" s="272">
        <f t="shared" si="0"/>
        <v>2.0426427793620482E-4</v>
      </c>
      <c r="G12" s="273">
        <v>0</v>
      </c>
      <c r="H12" s="274">
        <v>1.1000000000000001E-6</v>
      </c>
      <c r="I12" s="275">
        <v>1.8140179200000001E-4</v>
      </c>
      <c r="J12" s="275">
        <v>1.8140179199999999E-5</v>
      </c>
      <c r="K12" s="275">
        <v>1.23663462441682E-6</v>
      </c>
      <c r="L12" s="275">
        <v>0</v>
      </c>
      <c r="M12" s="275">
        <v>8.3483282878799698E-7</v>
      </c>
      <c r="N12" s="275">
        <v>1.5508392829999999E-6</v>
      </c>
      <c r="O12" s="275"/>
      <c r="P12" s="275"/>
      <c r="Q12" s="118"/>
      <c r="R12" s="260">
        <f>'Parameters, country spec'!B60</f>
        <v>0</v>
      </c>
    </row>
    <row r="13" spans="1:19" x14ac:dyDescent="0.35">
      <c r="B13" s="18" t="s">
        <v>242</v>
      </c>
      <c r="C13" s="16" t="s">
        <v>475</v>
      </c>
      <c r="D13" s="257" t="s">
        <v>476</v>
      </c>
      <c r="E13" s="257"/>
      <c r="F13" s="272">
        <f>SUM(G13:P13)</f>
        <v>6.7137685391305431E-4</v>
      </c>
      <c r="G13" s="54">
        <f>'Off-farm feed'!$F$77</f>
        <v>1.9469704390265966E-4</v>
      </c>
      <c r="H13" s="54">
        <f>'Off-farm feed'!$G$77</f>
        <v>5.3103448275862083E-7</v>
      </c>
      <c r="I13" s="54">
        <f>'Off-farm feed'!$H$77</f>
        <v>4.2751561806777074E-4</v>
      </c>
      <c r="J13" s="54">
        <f>'Off-farm feed'!$I$77</f>
        <v>4.2751561806777075E-5</v>
      </c>
      <c r="K13" s="54">
        <f>'Off-farm feed'!$J$77</f>
        <v>6.6339607025480393E-7</v>
      </c>
      <c r="L13" s="54"/>
      <c r="M13" s="54">
        <f>'Off-farm feed'!$L$77</f>
        <v>7.9511067188965528E-9</v>
      </c>
      <c r="N13" s="54">
        <f>'Off-farm feed'!$M$77</f>
        <v>1.2789681892721842E-6</v>
      </c>
      <c r="O13" s="54"/>
      <c r="P13" s="54">
        <f>'Off-farm feed'!$O$77</f>
        <v>3.9312802868423868E-6</v>
      </c>
      <c r="Q13" s="54">
        <f>'Off-farm feed'!$P$77</f>
        <v>1.8277027027027027E-6</v>
      </c>
      <c r="R13" s="260">
        <f>'Parameters, country spec'!B61</f>
        <v>4.4767569042360608E-2</v>
      </c>
    </row>
    <row r="14" spans="1:19" x14ac:dyDescent="0.35">
      <c r="B14" s="18" t="s">
        <v>477</v>
      </c>
      <c r="C14" s="16" t="s">
        <v>475</v>
      </c>
      <c r="D14" s="257" t="s">
        <v>478</v>
      </c>
      <c r="E14" s="257"/>
      <c r="F14" s="272">
        <f>SUM(G14:P14)</f>
        <v>1.79575628608187E-4</v>
      </c>
      <c r="G14" s="54">
        <f>'Off-farm feed'!$F$26</f>
        <v>1.6332109719061435E-5</v>
      </c>
      <c r="H14" s="54">
        <f>'Off-farm feed'!$G$26</f>
        <v>8.7195121951219526E-7</v>
      </c>
      <c r="I14" s="54">
        <f>'Off-farm feed'!$H$26</f>
        <v>1.3333449845358183E-4</v>
      </c>
      <c r="J14" s="54">
        <f>'Off-farm feed'!$I$26</f>
        <v>1.3333449845358186E-5</v>
      </c>
      <c r="K14" s="54">
        <f>'Off-farm feed'!$J$26</f>
        <v>1.1576736579983962E-6</v>
      </c>
      <c r="L14" s="54"/>
      <c r="M14" s="54">
        <f>'Off-farm feed'!$L$26</f>
        <v>7.3437786087804875E-9</v>
      </c>
      <c r="N14" s="54">
        <f>'Off-farm feed'!$M$26</f>
        <v>1.1195281639512195E-6</v>
      </c>
      <c r="O14" s="54"/>
      <c r="P14" s="54">
        <f>'Off-farm feed'!$O$26</f>
        <v>1.3419073770115001E-5</v>
      </c>
      <c r="Q14" s="54">
        <f>'Off-farm feed'!$P$26</f>
        <v>9.087837837837838E-6</v>
      </c>
      <c r="R14" s="260">
        <f>'Parameters, country spec'!B62</f>
        <v>0.10953513808472121</v>
      </c>
    </row>
    <row r="15" spans="1:19" x14ac:dyDescent="0.35">
      <c r="B15" s="16" t="s">
        <v>244</v>
      </c>
      <c r="C15" s="16" t="s">
        <v>479</v>
      </c>
      <c r="D15" s="257" t="s">
        <v>83</v>
      </c>
      <c r="E15" s="257" t="s">
        <v>39</v>
      </c>
      <c r="F15" s="276">
        <f>SUM(G15:Q15)</f>
        <v>1.0014261967494022E-4</v>
      </c>
      <c r="G15" s="275">
        <v>3.1747358504820499E-6</v>
      </c>
      <c r="H15" s="275">
        <v>9.9E-8</v>
      </c>
      <c r="I15" s="275">
        <v>6.5881293805699606E-5</v>
      </c>
      <c r="J15">
        <v>6.5881293805699599E-6</v>
      </c>
      <c r="K15" s="275">
        <v>6.0724788912524299E-8</v>
      </c>
      <c r="L15">
        <v>0</v>
      </c>
      <c r="M15">
        <v>5.6861246609441598E-10</v>
      </c>
      <c r="N15" s="118">
        <v>1.3957553547000001E-7</v>
      </c>
      <c r="O15" s="118"/>
      <c r="P15" s="275">
        <v>2.3492890101997999E-5</v>
      </c>
      <c r="Q15" s="275">
        <v>7.0570159934197997E-7</v>
      </c>
      <c r="R15" s="260">
        <f>'Parameters, country spec'!B63</f>
        <v>4.78486464364591E-2</v>
      </c>
      <c r="S15" t="s">
        <v>480</v>
      </c>
    </row>
    <row r="16" spans="1:19" x14ac:dyDescent="0.35">
      <c r="A16" s="262"/>
      <c r="B16" s="16" t="s">
        <v>481</v>
      </c>
      <c r="C16" s="263" t="s">
        <v>482</v>
      </c>
      <c r="D16" s="257" t="s">
        <v>83</v>
      </c>
      <c r="E16" s="257" t="s">
        <v>39</v>
      </c>
      <c r="F16" s="272">
        <f>SUM(G16:Q16)</f>
        <v>5.7996202611264877E-4</v>
      </c>
      <c r="G16" s="277">
        <f>AVERAGE(G6:G14)</f>
        <v>4.1781381369404357E-5</v>
      </c>
      <c r="H16" s="277">
        <f>AVERAGE(H6:H14)</f>
        <v>1.0114428558078684E-6</v>
      </c>
      <c r="I16" s="277">
        <f>AVERAGE(I6:I14)</f>
        <v>4.8599178920349245E-4</v>
      </c>
      <c r="J16" s="277">
        <f>AVERAGE(J6:J14)</f>
        <v>4.859917892034926E-5</v>
      </c>
      <c r="K16" s="277">
        <f>AVERAGE(K6:K14)</f>
        <v>9.4138109168636003E-7</v>
      </c>
      <c r="L16" s="277"/>
      <c r="M16" s="277">
        <f>AVERAGE(M6:M14)</f>
        <v>1.6414474588365931E-7</v>
      </c>
      <c r="N16" s="277">
        <f>AVERAGE(N6:N14)</f>
        <v>1.4727079260248226E-6</v>
      </c>
      <c r="O16" s="277"/>
      <c r="P16" s="277"/>
      <c r="Q16" s="277"/>
      <c r="R16" s="260">
        <f>'Parameters, country spec'!B64</f>
        <v>9.2616215478819708E-2</v>
      </c>
    </row>
    <row r="17" spans="1:18" x14ac:dyDescent="0.35">
      <c r="A17" s="265"/>
      <c r="B17" s="266" t="s">
        <v>483</v>
      </c>
      <c r="C17" s="267"/>
      <c r="D17" s="268"/>
      <c r="E17" s="268"/>
      <c r="F17" s="278">
        <f t="shared" ref="F17:O17" si="1">SUMPRODUCT(F6:F16,$R$6:$R$16)</f>
        <v>7.6392085268996894E-4</v>
      </c>
      <c r="G17" s="278">
        <f t="shared" si="1"/>
        <v>4.2032374970986234E-5</v>
      </c>
      <c r="H17" s="278">
        <f t="shared" si="1"/>
        <v>9.934511196318073E-7</v>
      </c>
      <c r="I17" s="278">
        <f t="shared" si="1"/>
        <v>6.5078127298952423E-4</v>
      </c>
      <c r="J17" s="278">
        <f t="shared" si="1"/>
        <v>6.5078127298952415E-5</v>
      </c>
      <c r="K17" s="278">
        <f t="shared" si="1"/>
        <v>7.9645627058405494E-7</v>
      </c>
      <c r="L17" s="278">
        <f t="shared" si="1"/>
        <v>0</v>
      </c>
      <c r="M17" s="278">
        <f t="shared" si="1"/>
        <v>1.8784960287146581E-8</v>
      </c>
      <c r="N17" s="278">
        <f t="shared" si="1"/>
        <v>1.4166612613810133E-6</v>
      </c>
      <c r="O17" s="278">
        <f t="shared" si="1"/>
        <v>0</v>
      </c>
      <c r="P17" s="278">
        <f>SUMPRODUCT(P6:P16,R6:R16)</f>
        <v>2.7699569523057868E-6</v>
      </c>
      <c r="Q17" s="278">
        <f>SUMPRODUCT(Q6:Q16,$R$6:$R$16)</f>
        <v>1.1110262457078322E-6</v>
      </c>
      <c r="R17" s="270"/>
    </row>
    <row r="18" spans="1:18" x14ac:dyDescent="0.35">
      <c r="A18" s="256" t="s">
        <v>466</v>
      </c>
      <c r="B18" s="16" t="s">
        <v>226</v>
      </c>
      <c r="C18" s="16" t="s">
        <v>467</v>
      </c>
      <c r="D18" s="257" t="s">
        <v>40</v>
      </c>
      <c r="E18" s="257" t="s">
        <v>41</v>
      </c>
      <c r="F18" s="279">
        <f t="shared" ref="F18:F28" si="2">SUM(G18:Q18)</f>
        <v>5.8530781673607956E-4</v>
      </c>
      <c r="G18" s="280">
        <v>1.48476732581079E-5</v>
      </c>
      <c r="H18" s="281">
        <v>1.1000000000000001E-6</v>
      </c>
      <c r="I18" s="284">
        <v>5.1560061766249196E-4</v>
      </c>
      <c r="J18" s="284">
        <v>5.15600617662492E-5</v>
      </c>
      <c r="K18" s="284">
        <v>8.6660096144175996E-7</v>
      </c>
      <c r="L18" s="284">
        <v>0</v>
      </c>
      <c r="M18" s="284">
        <v>9.2063687575479994E-12</v>
      </c>
      <c r="N18" s="284">
        <v>1.3328538814200001E-6</v>
      </c>
      <c r="O18" s="284"/>
      <c r="P18" s="284"/>
      <c r="Q18" s="283"/>
      <c r="R18" s="260">
        <f>'Parameters, country spec'!C54</f>
        <v>0.12622280592168414</v>
      </c>
    </row>
    <row r="19" spans="1:18" x14ac:dyDescent="0.35">
      <c r="A19" s="256" t="s">
        <v>468</v>
      </c>
      <c r="B19" s="16" t="s">
        <v>229</v>
      </c>
      <c r="C19" s="16" t="s">
        <v>467</v>
      </c>
      <c r="D19" s="257" t="s">
        <v>40</v>
      </c>
      <c r="E19" s="257" t="s">
        <v>41</v>
      </c>
      <c r="F19" s="272">
        <f t="shared" si="2"/>
        <v>5.034876154113156E-4</v>
      </c>
      <c r="G19" s="273">
        <v>1.40447733404797E-5</v>
      </c>
      <c r="H19" s="274">
        <v>1.1000000000000001E-6</v>
      </c>
      <c r="I19" s="275">
        <v>4.42168878771149E-4</v>
      </c>
      <c r="J19" s="275">
        <v>4.4216887877115002E-5</v>
      </c>
      <c r="K19" s="275">
        <v>4.8647220484656601E-7</v>
      </c>
      <c r="L19" s="275">
        <v>0</v>
      </c>
      <c r="M19" s="275">
        <v>1.3774933630536099E-7</v>
      </c>
      <c r="N19" s="275">
        <v>1.3328538814200001E-6</v>
      </c>
      <c r="O19" s="275"/>
      <c r="P19" s="275"/>
      <c r="Q19" s="118"/>
      <c r="R19" s="260">
        <f>'Parameters, country spec'!C55</f>
        <v>0.20760674280157457</v>
      </c>
    </row>
    <row r="20" spans="1:18" x14ac:dyDescent="0.35">
      <c r="A20" s="256" t="s">
        <v>469</v>
      </c>
      <c r="B20" s="16" t="s">
        <v>232</v>
      </c>
      <c r="C20" s="16" t="s">
        <v>467</v>
      </c>
      <c r="D20" s="257" t="s">
        <v>40</v>
      </c>
      <c r="E20" s="257" t="s">
        <v>41</v>
      </c>
      <c r="F20" s="272">
        <f t="shared" si="2"/>
        <v>6.1761163745160182E-4</v>
      </c>
      <c r="G20" s="273">
        <v>1.6338842591140199E-5</v>
      </c>
      <c r="H20" s="274">
        <v>1.1000000000000001E-6</v>
      </c>
      <c r="I20" s="275">
        <v>5.43258830766379E-4</v>
      </c>
      <c r="J20" s="275">
        <v>5.4325883076637902E-5</v>
      </c>
      <c r="K20" s="275">
        <v>1.2030725795815901E-6</v>
      </c>
      <c r="L20" s="275">
        <v>0</v>
      </c>
      <c r="M20" s="275">
        <v>5.2154556442986999E-8</v>
      </c>
      <c r="N20" s="275">
        <v>1.3328538814200001E-6</v>
      </c>
      <c r="O20" s="275"/>
      <c r="P20" s="275"/>
      <c r="Q20" s="118"/>
      <c r="R20" s="260">
        <f>'Parameters, country spec'!C56</f>
        <v>1.430319903702894E-2</v>
      </c>
    </row>
    <row r="21" spans="1:18" x14ac:dyDescent="0.35">
      <c r="A21" s="256" t="s">
        <v>470</v>
      </c>
      <c r="B21" s="16" t="s">
        <v>235</v>
      </c>
      <c r="C21" s="16" t="s">
        <v>467</v>
      </c>
      <c r="D21" s="257" t="s">
        <v>40</v>
      </c>
      <c r="E21" s="257" t="s">
        <v>41</v>
      </c>
      <c r="F21" s="272">
        <f t="shared" si="2"/>
        <v>7.8191616855976425E-4</v>
      </c>
      <c r="G21" s="273">
        <v>2.1873707810918101E-5</v>
      </c>
      <c r="H21" s="274">
        <v>1.1000000000000001E-6</v>
      </c>
      <c r="I21" s="275">
        <v>6.8758656983667905E-4</v>
      </c>
      <c r="J21" s="275">
        <v>6.8758656983667997E-5</v>
      </c>
      <c r="K21" s="275">
        <v>1.2631936945080999E-6</v>
      </c>
      <c r="L21" s="275">
        <v>0</v>
      </c>
      <c r="M21" s="275">
        <v>1.1863525710000401E-9</v>
      </c>
      <c r="N21" s="275">
        <v>1.3328538814200001E-6</v>
      </c>
      <c r="O21" s="275"/>
      <c r="P21" s="275"/>
      <c r="Q21" s="118"/>
      <c r="R21" s="260">
        <f>'Parameters, country spec'!C57</f>
        <v>2.1965459245194179E-3</v>
      </c>
    </row>
    <row r="22" spans="1:18" x14ac:dyDescent="0.35">
      <c r="A22" s="256" t="s">
        <v>471</v>
      </c>
      <c r="B22" s="16" t="s">
        <v>237</v>
      </c>
      <c r="C22" s="16" t="s">
        <v>467</v>
      </c>
      <c r="D22" s="257" t="s">
        <v>40</v>
      </c>
      <c r="E22" s="257" t="s">
        <v>41</v>
      </c>
      <c r="F22" s="272">
        <f t="shared" si="2"/>
        <v>7.6314701218592603E-4</v>
      </c>
      <c r="G22" s="273">
        <v>2.1342573427641399E-5</v>
      </c>
      <c r="H22" s="274">
        <v>1.1000000000000001E-6</v>
      </c>
      <c r="I22" s="275">
        <v>6.7145954331109003E-4</v>
      </c>
      <c r="J22" s="275">
        <v>6.7145954331108897E-5</v>
      </c>
      <c r="K22" s="275">
        <v>7.6532160176210403E-7</v>
      </c>
      <c r="L22" s="275">
        <v>0</v>
      </c>
      <c r="M22" s="275">
        <v>7.6563290357226795E-10</v>
      </c>
      <c r="N22" s="275">
        <v>1.3328538814200001E-6</v>
      </c>
      <c r="O22" s="275"/>
      <c r="P22" s="275"/>
      <c r="Q22" s="118"/>
      <c r="R22" s="260">
        <f>'Parameters, country spec'!C58</f>
        <v>0.30750391777337582</v>
      </c>
    </row>
    <row r="23" spans="1:18" x14ac:dyDescent="0.35">
      <c r="A23" s="256" t="s">
        <v>472</v>
      </c>
      <c r="B23" s="16" t="s">
        <v>239</v>
      </c>
      <c r="C23" s="16" t="s">
        <v>473</v>
      </c>
      <c r="D23" s="257" t="s">
        <v>40</v>
      </c>
      <c r="E23" s="257" t="s">
        <v>41</v>
      </c>
      <c r="F23" s="272">
        <f t="shared" si="2"/>
        <v>2.0727300008761834E-4</v>
      </c>
      <c r="G23" s="273">
        <v>0</v>
      </c>
      <c r="H23" s="274">
        <v>1.1000000000000001E-6</v>
      </c>
      <c r="I23" s="275">
        <v>1.8457295999999999E-4</v>
      </c>
      <c r="J23" s="275">
        <v>1.8457295999999999E-5</v>
      </c>
      <c r="K23" s="275">
        <v>1.6098807704065999E-6</v>
      </c>
      <c r="L23" s="275">
        <v>0</v>
      </c>
      <c r="M23" s="275">
        <v>2.0000943579174501E-7</v>
      </c>
      <c r="N23" s="275">
        <v>1.3328538814200001E-6</v>
      </c>
      <c r="O23" s="275"/>
      <c r="P23" s="275"/>
      <c r="Q23" s="118"/>
      <c r="R23" s="260">
        <f>'Parameters, country spec'!C59</f>
        <v>0</v>
      </c>
    </row>
    <row r="24" spans="1:18" x14ac:dyDescent="0.35">
      <c r="A24" s="256" t="s">
        <v>474</v>
      </c>
      <c r="B24" s="16" t="s">
        <v>241</v>
      </c>
      <c r="C24" s="16" t="s">
        <v>473</v>
      </c>
      <c r="D24" s="257" t="s">
        <v>40</v>
      </c>
      <c r="E24" s="257" t="s">
        <v>41</v>
      </c>
      <c r="F24" s="272">
        <f t="shared" si="2"/>
        <v>2.2801308417325338E-4</v>
      </c>
      <c r="G24" s="273">
        <v>7.8537174919050199E-7</v>
      </c>
      <c r="H24" s="274">
        <v>1.1000000000000001E-6</v>
      </c>
      <c r="I24" s="275">
        <v>2.02356093763376E-4</v>
      </c>
      <c r="J24" s="275">
        <v>2.02356093763376E-5</v>
      </c>
      <c r="K24" s="275">
        <v>1.97490103259465E-6</v>
      </c>
      <c r="L24" s="275">
        <v>0</v>
      </c>
      <c r="M24" s="275">
        <v>2.2825437033464201E-7</v>
      </c>
      <c r="N24" s="275">
        <v>1.3328538814200001E-6</v>
      </c>
      <c r="O24" s="275"/>
      <c r="P24" s="275"/>
      <c r="Q24" s="118"/>
      <c r="R24" s="260">
        <f>'Parameters, country spec'!C60</f>
        <v>0</v>
      </c>
    </row>
    <row r="25" spans="1:18" x14ac:dyDescent="0.35">
      <c r="B25" s="18" t="s">
        <v>242</v>
      </c>
      <c r="C25" s="16" t="s">
        <v>475</v>
      </c>
      <c r="D25" s="257" t="s">
        <v>476</v>
      </c>
      <c r="E25" s="257"/>
      <c r="F25" s="272">
        <f t="shared" si="2"/>
        <v>6.7320455661575701E-4</v>
      </c>
      <c r="G25" s="54">
        <f>'Off-farm feed'!$F$77</f>
        <v>1.9469704390265966E-4</v>
      </c>
      <c r="H25" s="54">
        <f>'Off-farm feed'!$G$77</f>
        <v>5.3103448275862083E-7</v>
      </c>
      <c r="I25" s="54">
        <f>'Off-farm feed'!$H$77</f>
        <v>4.2751561806777074E-4</v>
      </c>
      <c r="J25" s="54">
        <f>'Off-farm feed'!$I$77</f>
        <v>4.2751561806777075E-5</v>
      </c>
      <c r="K25" s="54">
        <f>'Off-farm feed'!$J$77</f>
        <v>6.6339607025480393E-7</v>
      </c>
      <c r="L25" s="54"/>
      <c r="M25" s="54">
        <f>'Off-farm feed'!$L$77</f>
        <v>7.9511067188965528E-9</v>
      </c>
      <c r="N25" s="54">
        <f>'Off-farm feed'!$M$77</f>
        <v>1.2789681892721842E-6</v>
      </c>
      <c r="O25" s="54"/>
      <c r="P25" s="54">
        <f>'Off-farm feed'!$O$77</f>
        <v>3.9312802868423868E-6</v>
      </c>
      <c r="Q25" s="54">
        <f>'Off-farm feed'!$P$77</f>
        <v>1.8277027027027027E-6</v>
      </c>
      <c r="R25" s="260">
        <f>'Parameters, country spec'!C61</f>
        <v>6.6952456561795479E-2</v>
      </c>
    </row>
    <row r="26" spans="1:18" x14ac:dyDescent="0.35">
      <c r="B26" s="18" t="s">
        <v>477</v>
      </c>
      <c r="C26" s="16" t="s">
        <v>475</v>
      </c>
      <c r="D26" s="257" t="s">
        <v>478</v>
      </c>
      <c r="E26" s="257"/>
      <c r="F26" s="272">
        <f t="shared" si="2"/>
        <v>1.8866346644602484E-4</v>
      </c>
      <c r="G26" s="54">
        <f>'Off-farm feed'!$F$26</f>
        <v>1.6332109719061435E-5</v>
      </c>
      <c r="H26" s="54">
        <f>'Off-farm feed'!$G$26</f>
        <v>8.7195121951219526E-7</v>
      </c>
      <c r="I26" s="54">
        <f>'Off-farm feed'!$H$26</f>
        <v>1.3333449845358183E-4</v>
      </c>
      <c r="J26" s="54">
        <f>'Off-farm feed'!$I$26</f>
        <v>1.3333449845358186E-5</v>
      </c>
      <c r="K26" s="54">
        <f>'Off-farm feed'!$J$26</f>
        <v>1.1576736579983962E-6</v>
      </c>
      <c r="L26" s="54"/>
      <c r="M26" s="54">
        <f>'Off-farm feed'!$L$26</f>
        <v>7.3437786087804875E-9</v>
      </c>
      <c r="N26" s="54">
        <f>'Off-farm feed'!$M$26</f>
        <v>1.1195281639512195E-6</v>
      </c>
      <c r="O26" s="54"/>
      <c r="P26" s="54">
        <f>'Off-farm feed'!$O$26</f>
        <v>1.3419073770115001E-5</v>
      </c>
      <c r="Q26" s="54">
        <f>'Off-farm feed'!$P$26</f>
        <v>9.087837837837838E-6</v>
      </c>
      <c r="R26" s="260">
        <f>'Parameters, country spec'!C62</f>
        <v>6.0321391027524533E-2</v>
      </c>
    </row>
    <row r="27" spans="1:18" x14ac:dyDescent="0.35">
      <c r="B27" s="16" t="s">
        <v>244</v>
      </c>
      <c r="C27" s="16" t="s">
        <v>479</v>
      </c>
      <c r="D27" s="257" t="s">
        <v>40</v>
      </c>
      <c r="E27" s="257" t="s">
        <v>41</v>
      </c>
      <c r="F27" s="276">
        <f t="shared" si="2"/>
        <v>7.8334807450651994E-5</v>
      </c>
      <c r="G27" s="275">
        <v>1.9208316084877298E-6</v>
      </c>
      <c r="H27" s="275">
        <v>9.9E-8</v>
      </c>
      <c r="I27" s="275">
        <v>6.0431358897998002E-5</v>
      </c>
      <c r="J27">
        <v>6.0431358897997997E-6</v>
      </c>
      <c r="K27" s="275">
        <v>6.8878944158589396E-8</v>
      </c>
      <c r="L27">
        <v>0</v>
      </c>
      <c r="M27">
        <v>6.8906961321504096E-11</v>
      </c>
      <c r="N27" s="118">
        <v>1.1995684932780001E-7</v>
      </c>
      <c r="O27" s="118"/>
      <c r="P27" s="275">
        <v>9.3385316151342001E-6</v>
      </c>
      <c r="Q27" s="275">
        <v>3.1304473878454498E-7</v>
      </c>
      <c r="R27" s="260">
        <f>'Parameters, country spec'!C63</f>
        <v>0.13292166735094296</v>
      </c>
    </row>
    <row r="28" spans="1:18" x14ac:dyDescent="0.35">
      <c r="A28" s="262"/>
      <c r="B28" s="16" t="s">
        <v>481</v>
      </c>
      <c r="C28" s="263" t="s">
        <v>482</v>
      </c>
      <c r="D28" s="257" t="s">
        <v>40</v>
      </c>
      <c r="E28" s="257" t="s">
        <v>41</v>
      </c>
      <c r="F28" s="272">
        <f t="shared" si="2"/>
        <v>5.0226205145220476E-4</v>
      </c>
      <c r="G28" s="277">
        <f>AVERAGE(G18:G26)</f>
        <v>3.336245508879988E-5</v>
      </c>
      <c r="H28" s="277">
        <f>AVERAGE(H18:H26)</f>
        <v>1.0114428558078684E-6</v>
      </c>
      <c r="I28" s="277">
        <f>AVERAGE(I18:I26)</f>
        <v>4.2309484562583536E-4</v>
      </c>
      <c r="J28" s="277">
        <f>AVERAGE(J18:J26)</f>
        <v>4.2309484562583544E-5</v>
      </c>
      <c r="K28" s="277">
        <f>AVERAGE(K18:K26)</f>
        <v>1.1100569525993964E-6</v>
      </c>
      <c r="L28" s="277"/>
      <c r="M28" s="277">
        <f>AVERAGE(M18:M26)</f>
        <v>7.0602641782860204E-8</v>
      </c>
      <c r="N28" s="277">
        <f>AVERAGE(N18:N26)</f>
        <v>1.3031637247959338E-6</v>
      </c>
      <c r="O28" s="277"/>
      <c r="P28" s="277"/>
      <c r="Q28" s="277"/>
      <c r="R28" s="260">
        <f>'Parameters, country spec'!C64</f>
        <v>8.1971273601554581E-2</v>
      </c>
    </row>
    <row r="29" spans="1:18" x14ac:dyDescent="0.35">
      <c r="A29" s="265"/>
      <c r="B29" s="266" t="s">
        <v>483</v>
      </c>
      <c r="C29" s="267"/>
      <c r="D29" s="268"/>
      <c r="E29" s="268"/>
      <c r="F29" s="278">
        <f t="shared" ref="F29:O29" si="3">SUMPRODUCT(F18:F28,$R$18:$R$28)</f>
        <v>5.316652466917784E-4</v>
      </c>
      <c r="G29" s="278">
        <f t="shared" si="3"/>
        <v>2.8645277917852676E-5</v>
      </c>
      <c r="H29" s="278">
        <f t="shared" si="3"/>
        <v>9.0783641034634315E-7</v>
      </c>
      <c r="I29" s="278">
        <f t="shared" si="3"/>
        <v>4.5201529584555883E-4</v>
      </c>
      <c r="J29" s="278">
        <f t="shared" si="3"/>
        <v>4.5201529584555865E-5</v>
      </c>
      <c r="K29" s="278">
        <f t="shared" si="3"/>
        <v>6.8009832356219579E-7</v>
      </c>
      <c r="L29" s="278">
        <f t="shared" si="3"/>
        <v>0</v>
      </c>
      <c r="M29" s="278">
        <f t="shared" si="3"/>
        <v>3.6354751847014419E-8</v>
      </c>
      <c r="N29" s="278">
        <f t="shared" si="3"/>
        <v>1.1527239621549006E-6</v>
      </c>
      <c r="O29" s="278">
        <f t="shared" si="3"/>
        <v>0</v>
      </c>
      <c r="P29" s="278">
        <f>SUMPRODUCT(P18:P28,R18:R28)</f>
        <v>2.3139592616444952E-6</v>
      </c>
      <c r="Q29" s="278">
        <f>SUMPRODUCT(Q18:Q28,$R$18:$R$28)</f>
        <v>7.1217063425621024E-7</v>
      </c>
      <c r="R29" s="270"/>
    </row>
    <row r="30" spans="1:18" x14ac:dyDescent="0.35">
      <c r="A30" s="256" t="s">
        <v>466</v>
      </c>
      <c r="B30" s="16" t="s">
        <v>226</v>
      </c>
      <c r="C30" s="16" t="s">
        <v>467</v>
      </c>
      <c r="D30" s="257" t="s">
        <v>42</v>
      </c>
      <c r="E30" s="257" t="s">
        <v>43</v>
      </c>
      <c r="F30" s="279">
        <f t="shared" ref="F30:F40" si="4">SUM(G30:Q30)</f>
        <v>5.376323338933249E-4</v>
      </c>
      <c r="G30" s="280">
        <v>1.49552156590464E-5</v>
      </c>
      <c r="H30" s="281">
        <v>1.1000000000000001E-6</v>
      </c>
      <c r="I30" s="284">
        <v>4.7201791683187299E-4</v>
      </c>
      <c r="J30" s="284">
        <v>4.72017916831873E-5</v>
      </c>
      <c r="K30" s="284">
        <v>7.7126055785450695E-7</v>
      </c>
      <c r="L30" s="284">
        <v>0</v>
      </c>
      <c r="M30" s="284">
        <v>1.40315536367128E-9</v>
      </c>
      <c r="N30" s="284">
        <v>1.5847460060000001E-6</v>
      </c>
      <c r="O30" s="284"/>
      <c r="P30" s="284"/>
      <c r="Q30" s="283"/>
      <c r="R30" s="260">
        <f>'Parameters, country spec'!D54</f>
        <v>0.11936785974964652</v>
      </c>
    </row>
    <row r="31" spans="1:18" x14ac:dyDescent="0.35">
      <c r="A31" s="256" t="s">
        <v>468</v>
      </c>
      <c r="B31" s="16" t="s">
        <v>229</v>
      </c>
      <c r="C31" s="16" t="s">
        <v>467</v>
      </c>
      <c r="D31" s="257" t="s">
        <v>42</v>
      </c>
      <c r="E31" s="257" t="s">
        <v>43</v>
      </c>
      <c r="F31" s="272">
        <f t="shared" si="4"/>
        <v>4.7187582415281865E-4</v>
      </c>
      <c r="G31" s="273">
        <v>1.4649089200819099E-5</v>
      </c>
      <c r="H31" s="274">
        <v>1.1000000000000001E-6</v>
      </c>
      <c r="I31" s="275">
        <v>4.1279131446155703E-4</v>
      </c>
      <c r="J31" s="275">
        <v>4.12791314461557E-5</v>
      </c>
      <c r="K31" s="275">
        <v>4.48333919529489E-7</v>
      </c>
      <c r="L31" s="275">
        <v>0</v>
      </c>
      <c r="M31" s="275">
        <v>2.32091187573621E-8</v>
      </c>
      <c r="N31" s="275">
        <v>1.5847460060000001E-6</v>
      </c>
      <c r="O31" s="275"/>
      <c r="P31" s="275"/>
      <c r="Q31" s="118"/>
      <c r="R31" s="260">
        <f>'Parameters, country spec'!D55</f>
        <v>0.17771722156372172</v>
      </c>
    </row>
    <row r="32" spans="1:18" x14ac:dyDescent="0.35">
      <c r="A32" s="256" t="s">
        <v>469</v>
      </c>
      <c r="B32" s="16" t="s">
        <v>232</v>
      </c>
      <c r="C32" s="16" t="s">
        <v>467</v>
      </c>
      <c r="D32" s="257" t="s">
        <v>42</v>
      </c>
      <c r="E32" s="257" t="s">
        <v>43</v>
      </c>
      <c r="F32" s="272">
        <f t="shared" si="4"/>
        <v>5.9982619502924647E-4</v>
      </c>
      <c r="G32" s="273">
        <v>1.7745600215826799E-5</v>
      </c>
      <c r="H32" s="274">
        <v>1.1000000000000001E-6</v>
      </c>
      <c r="I32" s="275">
        <v>5.2567301542106801E-4</v>
      </c>
      <c r="J32" s="275">
        <v>5.2567301542106802E-5</v>
      </c>
      <c r="K32" s="275">
        <v>1.1545398039684401E-6</v>
      </c>
      <c r="L32" s="275">
        <v>0</v>
      </c>
      <c r="M32" s="275">
        <v>9.9204027640291207E-10</v>
      </c>
      <c r="N32" s="275">
        <v>1.5847460060000001E-6</v>
      </c>
      <c r="O32" s="275"/>
      <c r="P32" s="275"/>
      <c r="Q32" s="118"/>
      <c r="R32" s="260">
        <f>'Parameters, country spec'!D56</f>
        <v>2.3760624502985962E-5</v>
      </c>
    </row>
    <row r="33" spans="1:18" x14ac:dyDescent="0.35">
      <c r="A33" s="256" t="s">
        <v>470</v>
      </c>
      <c r="B33" s="16" t="s">
        <v>235</v>
      </c>
      <c r="C33" s="16" t="s">
        <v>467</v>
      </c>
      <c r="D33" s="257" t="s">
        <v>42</v>
      </c>
      <c r="E33" s="257" t="s">
        <v>43</v>
      </c>
      <c r="F33" s="272">
        <f t="shared" si="4"/>
        <v>6.4409795180664082E-4</v>
      </c>
      <c r="G33" s="273">
        <v>1.9532011643195799E-5</v>
      </c>
      <c r="H33" s="274">
        <v>1.1000000000000001E-6</v>
      </c>
      <c r="I33" s="275">
        <v>5.6444049564118102E-4</v>
      </c>
      <c r="J33" s="275">
        <v>5.6444049564118201E-5</v>
      </c>
      <c r="K33" s="275">
        <v>9.9664890622951805E-7</v>
      </c>
      <c r="L33" s="275">
        <v>0</v>
      </c>
      <c r="M33" s="275">
        <v>4.5916287492000002E-14</v>
      </c>
      <c r="N33" s="275">
        <v>1.5847460060000001E-6</v>
      </c>
      <c r="O33" s="275"/>
      <c r="P33" s="275"/>
      <c r="Q33" s="118"/>
      <c r="R33" s="260">
        <f>'Parameters, country spec'!D57</f>
        <v>1.9498589966513394E-2</v>
      </c>
    </row>
    <row r="34" spans="1:18" x14ac:dyDescent="0.35">
      <c r="A34" s="256" t="s">
        <v>471</v>
      </c>
      <c r="B34" s="16" t="s">
        <v>237</v>
      </c>
      <c r="C34" s="16" t="s">
        <v>467</v>
      </c>
      <c r="D34" s="257" t="s">
        <v>42</v>
      </c>
      <c r="E34" s="257" t="s">
        <v>43</v>
      </c>
      <c r="F34" s="272">
        <f t="shared" si="4"/>
        <v>7.060668567445685E-4</v>
      </c>
      <c r="G34" s="273">
        <v>2.1924041347400302E-5</v>
      </c>
      <c r="H34" s="274">
        <v>1.1000000000000001E-6</v>
      </c>
      <c r="I34" s="275">
        <v>6.1887583660027101E-4</v>
      </c>
      <c r="J34" s="275">
        <v>6.1887583660027101E-5</v>
      </c>
      <c r="K34" s="275">
        <v>6.9464909994276398E-7</v>
      </c>
      <c r="L34" s="275">
        <v>0</v>
      </c>
      <c r="M34" s="275">
        <v>3.0927274192000003E-14</v>
      </c>
      <c r="N34" s="275">
        <v>1.5847460060000001E-6</v>
      </c>
      <c r="O34" s="275"/>
      <c r="P34" s="275"/>
      <c r="Q34" s="118"/>
      <c r="R34" s="260">
        <f>'Parameters, country spec'!D58</f>
        <v>0.39870895550051916</v>
      </c>
    </row>
    <row r="35" spans="1:18" x14ac:dyDescent="0.35">
      <c r="A35" s="256" t="s">
        <v>472</v>
      </c>
      <c r="B35" s="16" t="s">
        <v>239</v>
      </c>
      <c r="C35" s="16" t="s">
        <v>473</v>
      </c>
      <c r="D35" s="257" t="s">
        <v>42</v>
      </c>
      <c r="E35" s="257" t="s">
        <v>43</v>
      </c>
      <c r="F35" s="272">
        <f t="shared" si="4"/>
        <v>2.0746968068777562E-4</v>
      </c>
      <c r="G35" s="273">
        <v>0</v>
      </c>
      <c r="H35" s="274">
        <v>1.1000000000000001E-6</v>
      </c>
      <c r="I35" s="275">
        <v>1.8457295999999999E-4</v>
      </c>
      <c r="J35" s="275">
        <v>1.8457295999999999E-5</v>
      </c>
      <c r="K35" s="275">
        <v>1.59676558583327E-6</v>
      </c>
      <c r="L35" s="275">
        <v>0</v>
      </c>
      <c r="M35" s="275">
        <v>1.57913095942366E-7</v>
      </c>
      <c r="N35" s="275">
        <v>1.5847460060000001E-6</v>
      </c>
      <c r="O35" s="275"/>
      <c r="P35" s="275"/>
      <c r="Q35" s="118"/>
      <c r="R35" s="260">
        <f>'Parameters, country spec'!D59</f>
        <v>1.0321755831089459E-3</v>
      </c>
    </row>
    <row r="36" spans="1:18" x14ac:dyDescent="0.35">
      <c r="A36" s="256" t="s">
        <v>474</v>
      </c>
      <c r="B36" s="16" t="s">
        <v>241</v>
      </c>
      <c r="C36" s="16" t="s">
        <v>473</v>
      </c>
      <c r="D36" s="257" t="s">
        <v>42</v>
      </c>
      <c r="E36" s="257" t="s">
        <v>43</v>
      </c>
      <c r="F36" s="272">
        <f t="shared" si="4"/>
        <v>2.1917152433611272E-4</v>
      </c>
      <c r="G36" s="273">
        <v>5.7786233853056701E-7</v>
      </c>
      <c r="H36" s="274">
        <v>1.1000000000000001E-6</v>
      </c>
      <c r="I36" s="275">
        <v>1.95024705120646E-4</v>
      </c>
      <c r="J36" s="275">
        <v>1.95024705120646E-5</v>
      </c>
      <c r="K36" s="275">
        <v>1.28393231579461E-6</v>
      </c>
      <c r="L36" s="275">
        <v>0</v>
      </c>
      <c r="M36" s="275">
        <v>9.7808043076939995E-8</v>
      </c>
      <c r="N36" s="275">
        <v>1.5847460060000001E-6</v>
      </c>
      <c r="O36" s="275"/>
      <c r="P36" s="275"/>
      <c r="Q36" s="118"/>
      <c r="R36" s="260">
        <f>'Parameters, country spec'!D60</f>
        <v>1.0139365657568411E-3</v>
      </c>
    </row>
    <row r="37" spans="1:18" x14ac:dyDescent="0.35">
      <c r="B37" s="18" t="s">
        <v>242</v>
      </c>
      <c r="C37" s="16" t="s">
        <v>475</v>
      </c>
      <c r="D37" s="257" t="s">
        <v>476</v>
      </c>
      <c r="E37" s="257"/>
      <c r="F37" s="272">
        <f t="shared" si="4"/>
        <v>6.7320455661575701E-4</v>
      </c>
      <c r="G37" s="54">
        <f>'Off-farm feed'!$F$77</f>
        <v>1.9469704390265966E-4</v>
      </c>
      <c r="H37" s="54">
        <f>'Off-farm feed'!$G$77</f>
        <v>5.3103448275862083E-7</v>
      </c>
      <c r="I37" s="54">
        <f>'Off-farm feed'!$H$77</f>
        <v>4.2751561806777074E-4</v>
      </c>
      <c r="J37" s="54">
        <f>'Off-farm feed'!$I$77</f>
        <v>4.2751561806777075E-5</v>
      </c>
      <c r="K37" s="54">
        <f>'Off-farm feed'!$J$77</f>
        <v>6.6339607025480393E-7</v>
      </c>
      <c r="L37" s="54"/>
      <c r="M37" s="54">
        <f>'Off-farm feed'!$L$77</f>
        <v>7.9511067188965528E-9</v>
      </c>
      <c r="N37" s="54">
        <f>'Off-farm feed'!$M$77</f>
        <v>1.2789681892721842E-6</v>
      </c>
      <c r="O37" s="54"/>
      <c r="P37" s="54">
        <f>'Off-farm feed'!$O$77</f>
        <v>3.9312802868423868E-6</v>
      </c>
      <c r="Q37" s="54">
        <f>'Off-farm feed'!$P$77</f>
        <v>1.8277027027027027E-6</v>
      </c>
      <c r="R37" s="260">
        <f>'Parameters, country spec'!D61</f>
        <v>0.10437666551754406</v>
      </c>
    </row>
    <row r="38" spans="1:18" x14ac:dyDescent="0.35">
      <c r="B38" s="18" t="s">
        <v>477</v>
      </c>
      <c r="C38" s="16" t="s">
        <v>475</v>
      </c>
      <c r="D38" s="257" t="s">
        <v>478</v>
      </c>
      <c r="E38" s="257"/>
      <c r="F38" s="272">
        <f t="shared" si="4"/>
        <v>1.8866346644602484E-4</v>
      </c>
      <c r="G38" s="54">
        <f>'Off-farm feed'!$F$26</f>
        <v>1.6332109719061435E-5</v>
      </c>
      <c r="H38" s="54">
        <f>'Off-farm feed'!$G$26</f>
        <v>8.7195121951219526E-7</v>
      </c>
      <c r="I38" s="54">
        <f>'Off-farm feed'!$H$26</f>
        <v>1.3333449845358183E-4</v>
      </c>
      <c r="J38" s="54">
        <f>'Off-farm feed'!$I$26</f>
        <v>1.3333449845358186E-5</v>
      </c>
      <c r="K38" s="54">
        <f>'Off-farm feed'!$J$26</f>
        <v>1.1576736579983962E-6</v>
      </c>
      <c r="L38" s="54"/>
      <c r="M38" s="54">
        <f>'Off-farm feed'!$L$26</f>
        <v>7.3437786087804875E-9</v>
      </c>
      <c r="N38" s="54">
        <f>'Off-farm feed'!$M$26</f>
        <v>1.1195281639512195E-6</v>
      </c>
      <c r="O38" s="54"/>
      <c r="P38" s="54">
        <f>'Off-farm feed'!$O$26</f>
        <v>1.3419073770115001E-5</v>
      </c>
      <c r="Q38" s="54">
        <f>'Off-farm feed'!$P$26</f>
        <v>9.087837837837838E-6</v>
      </c>
      <c r="R38" s="260">
        <f>'Parameters, country spec'!D62</f>
        <v>0.10029152187678458</v>
      </c>
    </row>
    <row r="39" spans="1:18" x14ac:dyDescent="0.35">
      <c r="B39" s="16" t="s">
        <v>244</v>
      </c>
      <c r="C39" s="16" t="s">
        <v>479</v>
      </c>
      <c r="D39" s="257" t="s">
        <v>42</v>
      </c>
      <c r="E39" s="257" t="s">
        <v>43</v>
      </c>
      <c r="F39" s="276">
        <f t="shared" si="4"/>
        <v>8.7744608808351177E-5</v>
      </c>
      <c r="G39" s="275">
        <v>1.9731637212660302E-6</v>
      </c>
      <c r="H39" s="275">
        <v>9.9E-8</v>
      </c>
      <c r="I39" s="275">
        <v>5.5698825294024399E-5</v>
      </c>
      <c r="J39">
        <v>5.56988252940244E-6</v>
      </c>
      <c r="K39" s="275">
        <v>6.2518418994848798E-8</v>
      </c>
      <c r="L39">
        <v>0</v>
      </c>
      <c r="M39">
        <v>2.78345467728E-15</v>
      </c>
      <c r="N39" s="118">
        <v>1.4262714054E-7</v>
      </c>
      <c r="O39" s="118"/>
      <c r="P39" s="275">
        <v>2.3492890101997999E-5</v>
      </c>
      <c r="Q39" s="275">
        <v>7.0570159934197997E-7</v>
      </c>
      <c r="R39" s="260">
        <f>'Parameters, country spec'!D63</f>
        <v>5.7362554731062478E-2</v>
      </c>
    </row>
    <row r="40" spans="1:18" x14ac:dyDescent="0.35">
      <c r="A40" s="262"/>
      <c r="B40" s="16" t="s">
        <v>481</v>
      </c>
      <c r="C40" s="263" t="s">
        <v>482</v>
      </c>
      <c r="D40" s="257" t="s">
        <v>42</v>
      </c>
      <c r="E40" s="257" t="s">
        <v>43</v>
      </c>
      <c r="F40" s="272">
        <f t="shared" si="4"/>
        <v>4.6886027723497465E-4</v>
      </c>
      <c r="G40" s="277">
        <f>AVERAGE(G30:G38)</f>
        <v>3.337921933628223E-5</v>
      </c>
      <c r="H40" s="277">
        <f>AVERAGE(H30:H38)</f>
        <v>1.0114428558078684E-6</v>
      </c>
      <c r="I40" s="277">
        <f>AVERAGE(I30:I38)</f>
        <v>3.9269404006643879E-4</v>
      </c>
      <c r="J40" s="277">
        <f>AVERAGE(J30:J38)</f>
        <v>3.9269404006643887E-5</v>
      </c>
      <c r="K40" s="277">
        <f>AVERAGE(K30:K38)</f>
        <v>9.7413332415619975E-7</v>
      </c>
      <c r="L40" s="277"/>
      <c r="M40" s="277">
        <f>AVERAGE(M30:M38)</f>
        <v>3.2957823954220112E-8</v>
      </c>
      <c r="N40" s="277">
        <f>AVERAGE(N30:N38)</f>
        <v>1.499079821691489E-6</v>
      </c>
      <c r="O40" s="277"/>
      <c r="P40" s="277"/>
      <c r="Q40" s="277"/>
      <c r="R40" s="260">
        <f>'Parameters, country spec'!D64</f>
        <v>2.0606758320839205E-2</v>
      </c>
    </row>
    <row r="41" spans="1:18" x14ac:dyDescent="0.35">
      <c r="A41" s="265"/>
      <c r="B41" s="266" t="s">
        <v>483</v>
      </c>
      <c r="C41" s="267"/>
      <c r="D41" s="268"/>
      <c r="E41" s="268"/>
      <c r="F41" s="278">
        <f t="shared" ref="F41:O41" si="5">SUMPRODUCT(F30:F40,$R$30:$R$40)</f>
        <v>5.4644442400115817E-4</v>
      </c>
      <c r="G41" s="278">
        <f t="shared" si="5"/>
        <v>3.6272556976667113E-5</v>
      </c>
      <c r="H41" s="278">
        <f t="shared" si="5"/>
        <v>9.5849712430486871E-7</v>
      </c>
      <c r="I41" s="278">
        <f t="shared" si="5"/>
        <v>4.5714392340059223E-4</v>
      </c>
      <c r="J41" s="278">
        <f t="shared" si="5"/>
        <v>4.5714392340059221E-5</v>
      </c>
      <c r="K41" s="278">
        <f t="shared" si="5"/>
        <v>6.8012171595442228E-7</v>
      </c>
      <c r="L41" s="278">
        <f t="shared" si="5"/>
        <v>0</v>
      </c>
      <c r="M41" s="278">
        <f t="shared" si="5"/>
        <v>6.7999365562895432E-9</v>
      </c>
      <c r="N41" s="278">
        <f t="shared" si="5"/>
        <v>1.4216836070124489E-6</v>
      </c>
      <c r="O41" s="278">
        <f t="shared" si="5"/>
        <v>0</v>
      </c>
      <c r="P41" s="278">
        <f>SUMPRODUCT(P30:P40,R30:R40)</f>
        <v>3.1037654524038334E-6</v>
      </c>
      <c r="Q41" s="278">
        <f>SUMPRODUCT(Q30:Q40,$R$30:$R$40)</f>
        <v>1.1426834476077481E-6</v>
      </c>
      <c r="R41" s="270"/>
    </row>
    <row r="42" spans="1:18" x14ac:dyDescent="0.35">
      <c r="A42" s="256" t="s">
        <v>466</v>
      </c>
      <c r="B42" s="16" t="s">
        <v>226</v>
      </c>
      <c r="C42" s="16" t="s">
        <v>467</v>
      </c>
      <c r="D42" s="257" t="s">
        <v>44</v>
      </c>
      <c r="E42" s="257" t="s">
        <v>45</v>
      </c>
      <c r="F42" s="279">
        <f t="shared" ref="F42:F52" si="6">SUM(G42:Q42)</f>
        <v>8.0424114716977791E-4</v>
      </c>
      <c r="G42" s="280">
        <v>1.05371357003096E-5</v>
      </c>
      <c r="H42" s="281">
        <v>1.1000000000000001E-6</v>
      </c>
      <c r="I42" s="284">
        <v>7.1743610463472103E-4</v>
      </c>
      <c r="J42" s="284">
        <v>7.1743610463472098E-5</v>
      </c>
      <c r="K42" s="284">
        <v>1.8142750866751799E-6</v>
      </c>
      <c r="L42" s="284">
        <v>0</v>
      </c>
      <c r="M42" s="284">
        <v>0</v>
      </c>
      <c r="N42" s="284">
        <v>1.6100212846E-6</v>
      </c>
      <c r="O42" s="284"/>
      <c r="P42" s="284"/>
      <c r="Q42" s="283"/>
      <c r="R42" s="260">
        <f>'Parameters, country spec'!E54</f>
        <v>0.10548579258005962</v>
      </c>
    </row>
    <row r="43" spans="1:18" x14ac:dyDescent="0.35">
      <c r="A43" s="256" t="s">
        <v>468</v>
      </c>
      <c r="B43" s="16" t="s">
        <v>229</v>
      </c>
      <c r="C43" s="16" t="s">
        <v>467</v>
      </c>
      <c r="D43" s="257" t="s">
        <v>44</v>
      </c>
      <c r="E43" s="257" t="s">
        <v>45</v>
      </c>
      <c r="F43" s="272">
        <f t="shared" si="6"/>
        <v>3.4886143898670517E-4</v>
      </c>
      <c r="G43" s="273">
        <v>4.0207208294968496E-6</v>
      </c>
      <c r="H43" s="274">
        <v>1.1000000000000001E-6</v>
      </c>
      <c r="I43" s="275">
        <v>3.1019526728381599E-4</v>
      </c>
      <c r="J43" s="275">
        <v>3.1019526728381603E-5</v>
      </c>
      <c r="K43" s="275">
        <v>4.1083460314251599E-7</v>
      </c>
      <c r="L43" s="275">
        <v>0</v>
      </c>
      <c r="M43" s="275">
        <v>5.0506825726825797E-7</v>
      </c>
      <c r="N43" s="275">
        <v>1.6100212846E-6</v>
      </c>
      <c r="O43" s="275"/>
      <c r="P43" s="275"/>
      <c r="Q43" s="118"/>
      <c r="R43" s="260">
        <f>'Parameters, country spec'!E55</f>
        <v>0.31549865616441614</v>
      </c>
    </row>
    <row r="44" spans="1:18" x14ac:dyDescent="0.35">
      <c r="A44" s="256" t="s">
        <v>469</v>
      </c>
      <c r="B44" s="16" t="s">
        <v>232</v>
      </c>
      <c r="C44" s="16" t="s">
        <v>467</v>
      </c>
      <c r="D44" s="257" t="s">
        <v>44</v>
      </c>
      <c r="E44" s="257" t="s">
        <v>45</v>
      </c>
      <c r="F44" s="272">
        <f t="shared" si="6"/>
        <v>1.2830889552105816E-3</v>
      </c>
      <c r="G44" s="273">
        <v>1.9584863602335901E-5</v>
      </c>
      <c r="H44" s="274">
        <v>1.1000000000000001E-6</v>
      </c>
      <c r="I44" s="275">
        <v>1.1423031173943799E-3</v>
      </c>
      <c r="J44" s="275">
        <v>1.1423031173943699E-4</v>
      </c>
      <c r="K44" s="275">
        <v>4.2541313021400102E-6</v>
      </c>
      <c r="L44" s="275">
        <v>0</v>
      </c>
      <c r="M44" s="275">
        <v>6.5098876890479201E-9</v>
      </c>
      <c r="N44" s="275">
        <v>1.6100212846E-6</v>
      </c>
      <c r="O44" s="275"/>
      <c r="P44" s="275"/>
      <c r="Q44" s="118"/>
      <c r="R44" s="260">
        <f>'Parameters, country spec'!E56</f>
        <v>2.8667693691623947E-2</v>
      </c>
    </row>
    <row r="45" spans="1:18" x14ac:dyDescent="0.35">
      <c r="A45" s="256" t="s">
        <v>470</v>
      </c>
      <c r="B45" s="16" t="s">
        <v>235</v>
      </c>
      <c r="C45" s="16" t="s">
        <v>467</v>
      </c>
      <c r="D45" s="257" t="s">
        <v>44</v>
      </c>
      <c r="E45" s="257" t="s">
        <v>45</v>
      </c>
      <c r="F45" s="272">
        <f t="shared" si="6"/>
        <v>1.0682165552884228E-3</v>
      </c>
      <c r="G45" s="273">
        <v>1.58250003955344E-5</v>
      </c>
      <c r="H45" s="274">
        <v>1.1000000000000001E-6</v>
      </c>
      <c r="I45" s="275">
        <v>9.5176891161277504E-4</v>
      </c>
      <c r="J45" s="275">
        <v>9.5176891161277501E-5</v>
      </c>
      <c r="K45" s="275">
        <v>2.6959452694810602E-6</v>
      </c>
      <c r="L45" s="275">
        <v>0</v>
      </c>
      <c r="M45" s="275">
        <v>3.9785564754896802E-8</v>
      </c>
      <c r="N45" s="275">
        <v>1.6100212846E-6</v>
      </c>
      <c r="O45" s="275"/>
      <c r="P45" s="275"/>
      <c r="Q45" s="118"/>
      <c r="R45" s="260">
        <f>'Parameters, country spec'!E57</f>
        <v>6.3230823420726045E-3</v>
      </c>
    </row>
    <row r="46" spans="1:18" x14ac:dyDescent="0.35">
      <c r="A46" s="256" t="s">
        <v>471</v>
      </c>
      <c r="B46" s="16" t="s">
        <v>237</v>
      </c>
      <c r="C46" s="16" t="s">
        <v>467</v>
      </c>
      <c r="D46" s="257" t="s">
        <v>44</v>
      </c>
      <c r="E46" s="257" t="s">
        <v>45</v>
      </c>
      <c r="F46" s="272">
        <f t="shared" si="6"/>
        <v>1.0928562458315128E-3</v>
      </c>
      <c r="G46" s="273">
        <v>1.63548553132347E-5</v>
      </c>
      <c r="H46" s="274">
        <v>1.1000000000000001E-6</v>
      </c>
      <c r="I46" s="275">
        <v>9.7457378580730199E-4</v>
      </c>
      <c r="J46" s="275">
        <v>9.7457378580730199E-5</v>
      </c>
      <c r="K46" s="275">
        <v>1.7300700704720199E-6</v>
      </c>
      <c r="L46" s="275">
        <v>0</v>
      </c>
      <c r="M46" s="275">
        <v>3.01347751738259E-8</v>
      </c>
      <c r="N46" s="275">
        <v>1.6100212846E-6</v>
      </c>
      <c r="O46" s="275"/>
      <c r="P46" s="275"/>
      <c r="Q46" s="118"/>
      <c r="R46" s="260">
        <f>'Parameters, country spec'!E58</f>
        <v>4.5344513724963568E-3</v>
      </c>
    </row>
    <row r="47" spans="1:18" x14ac:dyDescent="0.35">
      <c r="A47" s="256" t="s">
        <v>472</v>
      </c>
      <c r="B47" s="16" t="s">
        <v>239</v>
      </c>
      <c r="C47" s="16" t="s">
        <v>473</v>
      </c>
      <c r="D47" s="257" t="s">
        <v>44</v>
      </c>
      <c r="E47" s="257" t="s">
        <v>45</v>
      </c>
      <c r="F47" s="272">
        <f t="shared" si="6"/>
        <v>3.4617528017266859E-4</v>
      </c>
      <c r="G47" s="273">
        <v>0</v>
      </c>
      <c r="H47" s="274">
        <v>1.1000000000000001E-6</v>
      </c>
      <c r="I47" s="275">
        <v>3.0762159999999999E-4</v>
      </c>
      <c r="J47" s="275">
        <v>3.0762159999999999E-5</v>
      </c>
      <c r="K47" s="275">
        <v>2.9629318429048401E-6</v>
      </c>
      <c r="L47" s="275">
        <v>0</v>
      </c>
      <c r="M47" s="275">
        <v>2.11856704516376E-6</v>
      </c>
      <c r="N47" s="275">
        <v>1.6100212846E-6</v>
      </c>
      <c r="O47" s="275"/>
      <c r="P47" s="275"/>
      <c r="Q47" s="118"/>
      <c r="R47" s="260">
        <f>'Parameters, country spec'!E59</f>
        <v>5.9748390404603421E-4</v>
      </c>
    </row>
    <row r="48" spans="1:18" x14ac:dyDescent="0.35">
      <c r="A48" s="256" t="s">
        <v>474</v>
      </c>
      <c r="B48" s="16" t="s">
        <v>241</v>
      </c>
      <c r="C48" s="16" t="s">
        <v>473</v>
      </c>
      <c r="D48" s="257" t="s">
        <v>44</v>
      </c>
      <c r="E48" s="257" t="s">
        <v>45</v>
      </c>
      <c r="F48" s="272">
        <f t="shared" si="6"/>
        <v>3.5115298621492903E-4</v>
      </c>
      <c r="G48" s="273">
        <v>2.26624667947615E-7</v>
      </c>
      <c r="H48" s="274">
        <v>1.1000000000000001E-6</v>
      </c>
      <c r="I48" s="275">
        <v>3.13484524226994E-4</v>
      </c>
      <c r="J48" s="275">
        <v>3.13484524226994E-5</v>
      </c>
      <c r="K48" s="275">
        <v>1.68111352317712E-6</v>
      </c>
      <c r="L48" s="275">
        <v>0</v>
      </c>
      <c r="M48" s="275">
        <v>1.70225008951088E-6</v>
      </c>
      <c r="N48" s="275">
        <v>1.6100212846E-6</v>
      </c>
      <c r="O48" s="275"/>
      <c r="P48" s="275"/>
      <c r="Q48" s="118"/>
      <c r="R48" s="260">
        <f>'Parameters, country spec'!E60</f>
        <v>5.8692609068954191E-4</v>
      </c>
    </row>
    <row r="49" spans="1:18" x14ac:dyDescent="0.35">
      <c r="B49" s="18" t="s">
        <v>242</v>
      </c>
      <c r="C49" s="16" t="s">
        <v>475</v>
      </c>
      <c r="D49" s="257" t="s">
        <v>476</v>
      </c>
      <c r="E49" s="257"/>
      <c r="F49" s="272">
        <f t="shared" si="6"/>
        <v>6.7320455661575701E-4</v>
      </c>
      <c r="G49" s="54">
        <f>'Off-farm feed'!$F$77</f>
        <v>1.9469704390265966E-4</v>
      </c>
      <c r="H49" s="54">
        <f>'Off-farm feed'!$G$77</f>
        <v>5.3103448275862083E-7</v>
      </c>
      <c r="I49" s="54">
        <f>'Off-farm feed'!$H$77</f>
        <v>4.2751561806777074E-4</v>
      </c>
      <c r="J49" s="54">
        <f>'Off-farm feed'!$I$77</f>
        <v>4.2751561806777075E-5</v>
      </c>
      <c r="K49" s="54">
        <f>'Off-farm feed'!$J$77</f>
        <v>6.6339607025480393E-7</v>
      </c>
      <c r="L49" s="54"/>
      <c r="M49" s="54">
        <f>'Off-farm feed'!$L$77</f>
        <v>7.9511067188965528E-9</v>
      </c>
      <c r="N49" s="54">
        <f>'Off-farm feed'!$M$77</f>
        <v>1.2789681892721842E-6</v>
      </c>
      <c r="O49" s="54"/>
      <c r="P49" s="54">
        <f>'Off-farm feed'!$O$77</f>
        <v>3.9312802868423868E-6</v>
      </c>
      <c r="Q49" s="54">
        <f>'Off-farm feed'!$P$77</f>
        <v>1.8277027027027027E-6</v>
      </c>
      <c r="R49" s="260">
        <f>'Parameters, country spec'!E61</f>
        <v>6.5204011883002286E-4</v>
      </c>
    </row>
    <row r="50" spans="1:18" x14ac:dyDescent="0.35">
      <c r="B50" s="18" t="s">
        <v>477</v>
      </c>
      <c r="C50" s="16" t="s">
        <v>475</v>
      </c>
      <c r="D50" s="257" t="s">
        <v>478</v>
      </c>
      <c r="E50" s="257"/>
      <c r="F50" s="272">
        <f t="shared" si="6"/>
        <v>1.8866346644602484E-4</v>
      </c>
      <c r="G50" s="54">
        <f>'Off-farm feed'!$F$26</f>
        <v>1.6332109719061435E-5</v>
      </c>
      <c r="H50" s="54">
        <f>'Off-farm feed'!$G$26</f>
        <v>8.7195121951219526E-7</v>
      </c>
      <c r="I50" s="54">
        <f>'Off-farm feed'!$H$26</f>
        <v>1.3333449845358183E-4</v>
      </c>
      <c r="J50" s="54">
        <f>'Off-farm feed'!$I$26</f>
        <v>1.3333449845358186E-5</v>
      </c>
      <c r="K50" s="54">
        <f>'Off-farm feed'!$J$26</f>
        <v>1.1576736579983962E-6</v>
      </c>
      <c r="L50" s="54"/>
      <c r="M50" s="54">
        <f>'Off-farm feed'!$L$26</f>
        <v>7.3437786087804875E-9</v>
      </c>
      <c r="N50" s="54">
        <f>'Off-farm feed'!$M$26</f>
        <v>1.1195281639512195E-6</v>
      </c>
      <c r="O50" s="54"/>
      <c r="P50" s="54">
        <f>'Off-farm feed'!$O$26</f>
        <v>1.3419073770115001E-5</v>
      </c>
      <c r="Q50" s="54">
        <f>'Off-farm feed'!$P$26</f>
        <v>9.087837837837838E-6</v>
      </c>
      <c r="R50" s="260">
        <f>'Parameters, country spec'!E62</f>
        <v>0.11489366774251643</v>
      </c>
    </row>
    <row r="51" spans="1:18" x14ac:dyDescent="0.35">
      <c r="B51" s="16" t="s">
        <v>244</v>
      </c>
      <c r="C51" s="16" t="s">
        <v>479</v>
      </c>
      <c r="D51" s="257" t="s">
        <v>44</v>
      </c>
      <c r="E51" s="257" t="s">
        <v>45</v>
      </c>
      <c r="F51" s="276">
        <f t="shared" si="6"/>
        <v>1.2541804183091736E-4</v>
      </c>
      <c r="G51" s="275">
        <v>1.47193697819112E-6</v>
      </c>
      <c r="H51" s="275">
        <v>9.9E-8</v>
      </c>
      <c r="I51" s="275">
        <v>8.7711640722657196E-5</v>
      </c>
      <c r="J51">
        <v>8.7711640722657203E-6</v>
      </c>
      <c r="K51" s="275">
        <v>1.55706306342482E-7</v>
      </c>
      <c r="L51">
        <v>0</v>
      </c>
      <c r="M51">
        <v>2.7121297656443401E-9</v>
      </c>
      <c r="N51" s="118">
        <v>1.4490191561399999E-7</v>
      </c>
      <c r="O51" s="118"/>
      <c r="P51" s="275">
        <v>2.4913162191712101E-5</v>
      </c>
      <c r="Q51" s="275">
        <v>2.14781751436908E-6</v>
      </c>
      <c r="R51" s="260">
        <f>'Parameters, country spec'!E63</f>
        <v>0.20323754818805212</v>
      </c>
    </row>
    <row r="52" spans="1:18" x14ac:dyDescent="0.35">
      <c r="A52" s="262"/>
      <c r="B52" s="16" t="s">
        <v>481</v>
      </c>
      <c r="C52" s="263" t="s">
        <v>482</v>
      </c>
      <c r="D52" s="257" t="s">
        <v>44</v>
      </c>
      <c r="E52" s="257" t="s">
        <v>45</v>
      </c>
      <c r="F52" s="272">
        <f t="shared" si="6"/>
        <v>6.8091052637098701E-4</v>
      </c>
      <c r="G52" s="277">
        <f>AVERAGE(G42:G50)</f>
        <v>3.0842039347842239E-5</v>
      </c>
      <c r="H52" s="277">
        <f>AVERAGE(H42:H50)</f>
        <v>1.0114428558078684E-6</v>
      </c>
      <c r="I52" s="277">
        <f>AVERAGE(I42:I50)</f>
        <v>5.8647038083126015E-4</v>
      </c>
      <c r="J52" s="277">
        <f>AVERAGE(J42:J50)</f>
        <v>5.8647038083125889E-5</v>
      </c>
      <c r="K52" s="277">
        <f>AVERAGE(K42:K50)</f>
        <v>1.930041269582883E-6</v>
      </c>
      <c r="L52" s="277"/>
      <c r="M52" s="277">
        <f>AVERAGE(M42:M50)</f>
        <v>4.9084561165426052E-7</v>
      </c>
      <c r="N52" s="277">
        <f>AVERAGE(N42:N50)</f>
        <v>1.5187383717137114E-6</v>
      </c>
      <c r="O52" s="277"/>
      <c r="P52" s="277"/>
      <c r="Q52" s="277"/>
      <c r="R52" s="260">
        <f>'Parameters, country spec'!E64</f>
        <v>0.21952265780519725</v>
      </c>
    </row>
    <row r="53" spans="1:18" x14ac:dyDescent="0.35">
      <c r="A53" s="265"/>
      <c r="B53" s="266" t="s">
        <v>483</v>
      </c>
      <c r="C53" s="267"/>
      <c r="D53" s="268"/>
      <c r="E53" s="268"/>
      <c r="F53" s="278">
        <f t="shared" ref="F53:O53" si="7">SUMPRODUCT(F42:F52,$R$42:$R$52)</f>
        <v>4.4088752872394456E-4</v>
      </c>
      <c r="G53" s="278">
        <f t="shared" si="7"/>
        <v>1.2188944672294124E-5</v>
      </c>
      <c r="H53" s="278">
        <f t="shared" si="7"/>
        <v>8.50546565445141E-7</v>
      </c>
      <c r="I53" s="278">
        <f t="shared" si="7"/>
        <v>3.7926564624271369E-4</v>
      </c>
      <c r="J53" s="278">
        <f t="shared" si="7"/>
        <v>3.7926564624271311E-5</v>
      </c>
      <c r="K53" s="278">
        <f t="shared" si="7"/>
        <v>1.0593778303543203E-6</v>
      </c>
      <c r="L53" s="278">
        <f t="shared" si="7"/>
        <v>0</v>
      </c>
      <c r="M53" s="278">
        <f t="shared" si="7"/>
        <v>2.7133997462615365E-7</v>
      </c>
      <c r="N53" s="278">
        <f t="shared" si="7"/>
        <v>1.2356449350620334E-6</v>
      </c>
      <c r="O53" s="278">
        <f t="shared" si="7"/>
        <v>0</v>
      </c>
      <c r="P53" s="278">
        <f>SUMPRODUCT(P42:P52,R42:R52)</f>
        <v>6.6076199570761435E-6</v>
      </c>
      <c r="Q53" s="278">
        <f>SUMPRODUCT(Q42:Q52,$R$42:$R$52)</f>
        <v>1.481843922101594E-6</v>
      </c>
      <c r="R53" s="270"/>
    </row>
    <row r="54" spans="1:18" x14ac:dyDescent="0.35">
      <c r="A54" s="256" t="s">
        <v>466</v>
      </c>
      <c r="B54" s="16" t="s">
        <v>226</v>
      </c>
      <c r="C54" s="16" t="s">
        <v>467</v>
      </c>
      <c r="D54" s="257" t="s">
        <v>82</v>
      </c>
      <c r="E54" s="257" t="s">
        <v>47</v>
      </c>
      <c r="F54" s="279">
        <f t="shared" ref="F54:F64" si="8">SUM(G54:Q54)</f>
        <v>6.2529149780172143E-4</v>
      </c>
      <c r="G54" s="280">
        <v>2.0840455424550699E-5</v>
      </c>
      <c r="H54" s="281">
        <v>1.1000000000000001E-6</v>
      </c>
      <c r="I54" s="284">
        <v>5.46310338305571E-4</v>
      </c>
      <c r="J54" s="284">
        <v>5.4631033830557102E-5</v>
      </c>
      <c r="K54" s="284">
        <v>9.3378076224258701E-7</v>
      </c>
      <c r="L54" s="284">
        <v>0</v>
      </c>
      <c r="M54" s="284">
        <v>0</v>
      </c>
      <c r="N54" s="284">
        <v>1.4758894788E-6</v>
      </c>
      <c r="O54" s="284"/>
      <c r="P54" s="284"/>
      <c r="Q54" s="283"/>
      <c r="R54" s="260">
        <f>'Parameters, country spec'!F54</f>
        <v>8.1251536473470068E-2</v>
      </c>
    </row>
    <row r="55" spans="1:18" x14ac:dyDescent="0.35">
      <c r="A55" s="256" t="s">
        <v>468</v>
      </c>
      <c r="B55" s="16" t="s">
        <v>229</v>
      </c>
      <c r="C55" s="16" t="s">
        <v>467</v>
      </c>
      <c r="D55" s="257" t="s">
        <v>82</v>
      </c>
      <c r="E55" s="257" t="s">
        <v>47</v>
      </c>
      <c r="F55" s="272">
        <f t="shared" si="8"/>
        <v>6.7121811720300155E-4</v>
      </c>
      <c r="G55" s="273">
        <v>2.5234639471025001E-5</v>
      </c>
      <c r="H55" s="274">
        <v>1.1000000000000001E-6</v>
      </c>
      <c r="I55" s="275">
        <v>5.8430276339029301E-4</v>
      </c>
      <c r="J55" s="275">
        <v>5.8430276339029297E-5</v>
      </c>
      <c r="K55" s="275">
        <v>6.7099201689440703E-7</v>
      </c>
      <c r="L55" s="275">
        <v>0</v>
      </c>
      <c r="M55" s="275">
        <v>3.5565069597836901E-9</v>
      </c>
      <c r="N55" s="275">
        <v>1.4758894788E-6</v>
      </c>
      <c r="O55" s="275"/>
      <c r="P55" s="275"/>
      <c r="Q55" s="118"/>
      <c r="R55" s="260">
        <f>'Parameters, country spec'!F55</f>
        <v>0.48193637626933306</v>
      </c>
    </row>
    <row r="56" spans="1:18" x14ac:dyDescent="0.35">
      <c r="A56" s="256" t="s">
        <v>469</v>
      </c>
      <c r="B56" s="16" t="s">
        <v>232</v>
      </c>
      <c r="C56" s="16" t="s">
        <v>467</v>
      </c>
      <c r="D56" s="257" t="s">
        <v>82</v>
      </c>
      <c r="E56" s="257" t="s">
        <v>47</v>
      </c>
      <c r="F56" s="272">
        <f t="shared" si="8"/>
        <v>8.4989071317922169E-4</v>
      </c>
      <c r="G56" s="273">
        <v>3.0917889724284498E-5</v>
      </c>
      <c r="H56" s="274">
        <v>1.1000000000000001E-6</v>
      </c>
      <c r="I56" s="275">
        <v>7.4059024764441502E-4</v>
      </c>
      <c r="J56" s="275">
        <v>7.40590247644416E-5</v>
      </c>
      <c r="K56" s="275">
        <v>1.7476615672806699E-6</v>
      </c>
      <c r="L56" s="275">
        <v>0</v>
      </c>
      <c r="M56" s="275">
        <v>0</v>
      </c>
      <c r="N56" s="275">
        <v>1.4758894788E-6</v>
      </c>
      <c r="O56" s="275"/>
      <c r="P56" s="275"/>
      <c r="Q56" s="118"/>
      <c r="R56" s="260">
        <f>'Parameters, country spec'!F56</f>
        <v>4.3518886440683656E-2</v>
      </c>
    </row>
    <row r="57" spans="1:18" x14ac:dyDescent="0.35">
      <c r="A57" s="256" t="s">
        <v>470</v>
      </c>
      <c r="B57" s="16" t="s">
        <v>235</v>
      </c>
      <c r="C57" s="16" t="s">
        <v>467</v>
      </c>
      <c r="D57" s="257" t="s">
        <v>82</v>
      </c>
      <c r="E57" s="257" t="s">
        <v>47</v>
      </c>
      <c r="F57" s="272">
        <f t="shared" si="8"/>
        <v>9.8766602869040801E-4</v>
      </c>
      <c r="G57" s="273">
        <v>3.6934244569794703E-5</v>
      </c>
      <c r="H57" s="274">
        <v>1.1000000000000001E-6</v>
      </c>
      <c r="I57" s="275">
        <v>8.6047136243440098E-4</v>
      </c>
      <c r="J57" s="275">
        <v>8.6047136243440098E-5</v>
      </c>
      <c r="K57" s="275">
        <v>1.63739596397218E-6</v>
      </c>
      <c r="L57" s="275">
        <v>0</v>
      </c>
      <c r="M57" s="275">
        <v>0</v>
      </c>
      <c r="N57" s="275">
        <v>1.4758894788E-6</v>
      </c>
      <c r="O57" s="275"/>
      <c r="P57" s="275"/>
      <c r="Q57" s="118"/>
      <c r="R57" s="260">
        <f>'Parameters, country spec'!F57</f>
        <v>1.6914287828800331E-2</v>
      </c>
    </row>
    <row r="58" spans="1:18" x14ac:dyDescent="0.35">
      <c r="A58" s="256" t="s">
        <v>471</v>
      </c>
      <c r="B58" s="16" t="s">
        <v>237</v>
      </c>
      <c r="C58" s="16" t="s">
        <v>467</v>
      </c>
      <c r="D58" s="257" t="s">
        <v>82</v>
      </c>
      <c r="E58" s="257" t="s">
        <v>47</v>
      </c>
      <c r="F58" s="272">
        <f t="shared" si="8"/>
        <v>9.2821826558983265E-4</v>
      </c>
      <c r="G58" s="273">
        <v>3.45284431496848E-5</v>
      </c>
      <c r="H58" s="274">
        <v>1.1000000000000001E-6</v>
      </c>
      <c r="I58" s="275">
        <v>8.0923948646907402E-4</v>
      </c>
      <c r="J58" s="275">
        <v>8.0923948646907404E-5</v>
      </c>
      <c r="K58" s="275">
        <v>9.5049784536643499E-7</v>
      </c>
      <c r="L58" s="275">
        <v>0</v>
      </c>
      <c r="M58" s="275">
        <v>0</v>
      </c>
      <c r="N58" s="275">
        <v>1.4758894788E-6</v>
      </c>
      <c r="O58" s="275"/>
      <c r="P58" s="275"/>
      <c r="Q58" s="118"/>
      <c r="R58" s="260">
        <f>'Parameters, country spec'!F58</f>
        <v>7.6091634538062169E-2</v>
      </c>
    </row>
    <row r="59" spans="1:18" x14ac:dyDescent="0.35">
      <c r="A59" s="256" t="s">
        <v>472</v>
      </c>
      <c r="B59" s="16" t="s">
        <v>239</v>
      </c>
      <c r="C59" s="16" t="s">
        <v>473</v>
      </c>
      <c r="D59" s="257" t="s">
        <v>82</v>
      </c>
      <c r="E59" s="257" t="s">
        <v>47</v>
      </c>
      <c r="F59" s="272">
        <f t="shared" si="8"/>
        <v>2.0874575176417238E-4</v>
      </c>
      <c r="G59" s="273">
        <v>0</v>
      </c>
      <c r="H59" s="274">
        <v>1.1000000000000001E-6</v>
      </c>
      <c r="I59" s="275">
        <v>1.8457295999999999E-4</v>
      </c>
      <c r="J59" s="275">
        <v>1.8457295999999999E-5</v>
      </c>
      <c r="K59" s="275">
        <v>2.0386135462280298E-6</v>
      </c>
      <c r="L59" s="275">
        <v>0</v>
      </c>
      <c r="M59" s="275">
        <v>1.10099273914435E-6</v>
      </c>
      <c r="N59" s="275">
        <v>1.4758894788E-6</v>
      </c>
      <c r="O59" s="275"/>
      <c r="P59" s="275"/>
      <c r="Q59" s="118"/>
      <c r="R59" s="260">
        <f>'Parameters, country spec'!F59</f>
        <v>1.2507448813783284E-3</v>
      </c>
    </row>
    <row r="60" spans="1:18" x14ac:dyDescent="0.35">
      <c r="A60" s="256" t="s">
        <v>474</v>
      </c>
      <c r="B60" s="16" t="s">
        <v>241</v>
      </c>
      <c r="C60" s="16" t="s">
        <v>473</v>
      </c>
      <c r="D60" s="257" t="s">
        <v>82</v>
      </c>
      <c r="E60" s="257" t="s">
        <v>47</v>
      </c>
      <c r="F60" s="272">
        <f t="shared" si="8"/>
        <v>2.4593199333482825E-4</v>
      </c>
      <c r="G60" s="273">
        <v>1.6660580890879601E-6</v>
      </c>
      <c r="H60" s="274">
        <v>1.1000000000000001E-6</v>
      </c>
      <c r="I60" s="275">
        <v>2.1552619094524601E-4</v>
      </c>
      <c r="J60" s="275">
        <v>2.1552619094524601E-5</v>
      </c>
      <c r="K60" s="275">
        <v>3.2161563517915298E-6</v>
      </c>
      <c r="L60" s="275">
        <v>0</v>
      </c>
      <c r="M60" s="275">
        <v>1.3950793753781901E-6</v>
      </c>
      <c r="N60" s="275">
        <v>1.4758894788E-6</v>
      </c>
      <c r="O60" s="275"/>
      <c r="P60" s="275"/>
      <c r="Q60" s="118"/>
      <c r="R60" s="260">
        <f>'Parameters, country spec'!F60</f>
        <v>1.2286436428647813E-3</v>
      </c>
    </row>
    <row r="61" spans="1:18" x14ac:dyDescent="0.35">
      <c r="B61" s="18" t="s">
        <v>242</v>
      </c>
      <c r="C61" s="16" t="s">
        <v>475</v>
      </c>
      <c r="D61" s="257" t="s">
        <v>476</v>
      </c>
      <c r="E61" s="257"/>
      <c r="F61" s="272">
        <f t="shared" si="8"/>
        <v>6.7320455661575701E-4</v>
      </c>
      <c r="G61" s="54">
        <f>'Off-farm feed'!$F$77</f>
        <v>1.9469704390265966E-4</v>
      </c>
      <c r="H61" s="54">
        <f>'Off-farm feed'!$G$77</f>
        <v>5.3103448275862083E-7</v>
      </c>
      <c r="I61" s="54">
        <f>'Off-farm feed'!$H$77</f>
        <v>4.2751561806777074E-4</v>
      </c>
      <c r="J61" s="54">
        <f>'Off-farm feed'!$I$77</f>
        <v>4.2751561806777075E-5</v>
      </c>
      <c r="K61" s="54">
        <f>'Off-farm feed'!$J$77</f>
        <v>6.6339607025480393E-7</v>
      </c>
      <c r="L61" s="54"/>
      <c r="M61" s="54">
        <f>'Off-farm feed'!$L$77</f>
        <v>7.9511067188965528E-9</v>
      </c>
      <c r="N61" s="54">
        <f>'Off-farm feed'!$M$77</f>
        <v>1.2789681892721842E-6</v>
      </c>
      <c r="O61" s="54"/>
      <c r="P61" s="54">
        <f>'Off-farm feed'!$O$77</f>
        <v>3.9312802868423868E-6</v>
      </c>
      <c r="Q61" s="54">
        <f>'Off-farm feed'!$P$77</f>
        <v>1.8277027027027027E-6</v>
      </c>
      <c r="R61" s="260">
        <f>'Parameters, country spec'!F61</f>
        <v>5.3981077846432604E-4</v>
      </c>
    </row>
    <row r="62" spans="1:18" x14ac:dyDescent="0.35">
      <c r="B62" s="18" t="s">
        <v>477</v>
      </c>
      <c r="C62" s="16" t="s">
        <v>475</v>
      </c>
      <c r="D62" s="257" t="s">
        <v>478</v>
      </c>
      <c r="E62" s="257"/>
      <c r="F62" s="272">
        <f t="shared" si="8"/>
        <v>1.8866346644602484E-4</v>
      </c>
      <c r="G62" s="54">
        <f>'Off-farm feed'!$F$26</f>
        <v>1.6332109719061435E-5</v>
      </c>
      <c r="H62" s="54">
        <f>'Off-farm feed'!$G$26</f>
        <v>8.7195121951219526E-7</v>
      </c>
      <c r="I62" s="54">
        <f>'Off-farm feed'!$H$26</f>
        <v>1.3333449845358183E-4</v>
      </c>
      <c r="J62" s="54">
        <f>'Off-farm feed'!$I$26</f>
        <v>1.3333449845358186E-5</v>
      </c>
      <c r="K62" s="54">
        <f>'Off-farm feed'!$J$26</f>
        <v>1.1576736579983962E-6</v>
      </c>
      <c r="L62" s="54"/>
      <c r="M62" s="54">
        <f>'Off-farm feed'!$L$26</f>
        <v>7.3437786087804875E-9</v>
      </c>
      <c r="N62" s="54">
        <f>'Off-farm feed'!$M$26</f>
        <v>1.1195281639512195E-6</v>
      </c>
      <c r="O62" s="54"/>
      <c r="P62" s="54">
        <f>'Off-farm feed'!$O$26</f>
        <v>1.3419073770115001E-5</v>
      </c>
      <c r="Q62" s="54">
        <f>'Off-farm feed'!$P$26</f>
        <v>9.087837837837838E-6</v>
      </c>
      <c r="R62" s="260">
        <f>'Parameters, country spec'!F62</f>
        <v>0.10293137633845451</v>
      </c>
    </row>
    <row r="63" spans="1:18" x14ac:dyDescent="0.35">
      <c r="B63" s="16" t="s">
        <v>244</v>
      </c>
      <c r="C63" s="16" t="s">
        <v>479</v>
      </c>
      <c r="D63" s="257" t="s">
        <v>82</v>
      </c>
      <c r="E63" s="257" t="s">
        <v>47</v>
      </c>
      <c r="F63" s="276">
        <f t="shared" si="8"/>
        <v>1.0112842036935183E-4</v>
      </c>
      <c r="G63" s="275">
        <v>3.10755988347163E-6</v>
      </c>
      <c r="H63" s="275">
        <v>9.9E-8</v>
      </c>
      <c r="I63" s="275">
        <v>7.2831553782216598E-5</v>
      </c>
      <c r="J63">
        <v>7.2831553782216598E-6</v>
      </c>
      <c r="K63" s="275">
        <v>8.5544806082979093E-8</v>
      </c>
      <c r="L63">
        <v>0</v>
      </c>
      <c r="M63">
        <v>0</v>
      </c>
      <c r="N63" s="118">
        <v>1.3283005309199999E-7</v>
      </c>
      <c r="O63" s="118"/>
      <c r="P63" s="275">
        <v>1.7376008471844101E-5</v>
      </c>
      <c r="Q63" s="275">
        <v>2.1276799442287201E-7</v>
      </c>
      <c r="R63" s="260">
        <f>'Parameters, country spec'!F63</f>
        <v>9.5470428327137938E-2</v>
      </c>
    </row>
    <row r="64" spans="1:18" x14ac:dyDescent="0.35">
      <c r="A64" s="262"/>
      <c r="B64" s="16" t="s">
        <v>481</v>
      </c>
      <c r="C64" s="263" t="s">
        <v>482</v>
      </c>
      <c r="D64" s="257" t="s">
        <v>82</v>
      </c>
      <c r="E64" s="257" t="s">
        <v>47</v>
      </c>
      <c r="F64" s="272">
        <f t="shared" si="8"/>
        <v>5.9450716622527441E-4</v>
      </c>
      <c r="G64" s="277">
        <f>AVERAGE(G54:G62)</f>
        <v>4.0127876005572081E-5</v>
      </c>
      <c r="H64" s="277">
        <f>AVERAGE(H54:H62)</f>
        <v>1.0114428558078684E-6</v>
      </c>
      <c r="I64" s="277">
        <f>AVERAGE(I54:I62)</f>
        <v>5.002070517455947E-4</v>
      </c>
      <c r="J64" s="277">
        <f>AVERAGE(J54:J62)</f>
        <v>5.0020705174559485E-5</v>
      </c>
      <c r="K64" s="277">
        <f>AVERAGE(K54:K62)</f>
        <v>1.4462408646698932E-6</v>
      </c>
      <c r="L64" s="277"/>
      <c r="M64" s="277">
        <f>AVERAGE(M54:M62)</f>
        <v>2.7943594520111117E-7</v>
      </c>
      <c r="N64" s="277">
        <f>AVERAGE(N54:N62)</f>
        <v>1.4144136338692671E-6</v>
      </c>
      <c r="O64" s="277"/>
      <c r="P64" s="277"/>
      <c r="Q64" s="277"/>
      <c r="R64" s="260">
        <f>'Parameters, country spec'!F64</f>
        <v>9.8866274481350727E-2</v>
      </c>
    </row>
    <row r="65" spans="1:19" x14ac:dyDescent="0.35">
      <c r="A65" s="265"/>
      <c r="B65" s="266" t="s">
        <v>483</v>
      </c>
      <c r="C65" s="267"/>
      <c r="D65" s="268"/>
      <c r="E65" s="268"/>
      <c r="F65" s="278">
        <f t="shared" ref="F65:O65" si="9">SUMPRODUCT(F54:F64,$R$54:$R$64)</f>
        <v>5.873894580784066E-4</v>
      </c>
      <c r="G65" s="278">
        <f t="shared" si="9"/>
        <v>2.4504570742839086E-5</v>
      </c>
      <c r="H65" s="278">
        <f t="shared" si="9"/>
        <v>9.7189827775285364E-7</v>
      </c>
      <c r="I65" s="278">
        <f t="shared" si="9"/>
        <v>5.0520319610615103E-4</v>
      </c>
      <c r="J65" s="278">
        <f t="shared" si="9"/>
        <v>5.0520319610615105E-5</v>
      </c>
      <c r="K65" s="278">
        <f t="shared" si="9"/>
        <v>8.5249498177804169E-7</v>
      </c>
      <c r="L65" s="278">
        <f t="shared" si="9"/>
        <v>0</v>
      </c>
      <c r="M65" s="278">
        <f t="shared" si="9"/>
        <v>3.3192114706187489E-8</v>
      </c>
      <c r="N65" s="278">
        <f t="shared" si="9"/>
        <v>1.3048020715541997E-6</v>
      </c>
      <c r="O65" s="278">
        <f t="shared" si="9"/>
        <v>0</v>
      </c>
      <c r="P65" s="278">
        <f>SUMPRODUCT(P54:P64,R54:R64)</f>
        <v>3.0422608512401263E-6</v>
      </c>
      <c r="Q65" s="278">
        <f>SUMPRODUCT(Q54:Q64,$R$54:$R$64)</f>
        <v>9.5672332176993822E-7</v>
      </c>
      <c r="R65" s="270"/>
    </row>
    <row r="66" spans="1:19" x14ac:dyDescent="0.35">
      <c r="A66" s="256" t="s">
        <v>466</v>
      </c>
      <c r="B66" s="16" t="s">
        <v>226</v>
      </c>
      <c r="C66" s="16" t="s">
        <v>467</v>
      </c>
      <c r="D66" s="257" t="s">
        <v>48</v>
      </c>
      <c r="E66" s="257" t="s">
        <v>49</v>
      </c>
      <c r="F66" s="279">
        <f t="shared" ref="F66:F76" si="10">SUM(G66:Q66)</f>
        <v>5.0076308556644162E-4</v>
      </c>
      <c r="G66" s="280">
        <v>1.42900987499634E-5</v>
      </c>
      <c r="H66" s="281">
        <v>1.1000000000000001E-6</v>
      </c>
      <c r="I66" s="284">
        <v>4.3928712789075599E-4</v>
      </c>
      <c r="J66" s="284">
        <v>4.3928712789075603E-5</v>
      </c>
      <c r="K66" s="284">
        <v>6.9965951964663698E-7</v>
      </c>
      <c r="L66" s="284">
        <v>0</v>
      </c>
      <c r="M66" s="284">
        <v>0</v>
      </c>
      <c r="N66" s="284">
        <v>1.4574866170000001E-6</v>
      </c>
      <c r="O66" s="284"/>
      <c r="P66" s="284"/>
      <c r="Q66" s="283"/>
      <c r="R66" s="260">
        <f>'Parameters, country spec'!G54</f>
        <v>0.32325200471026871</v>
      </c>
    </row>
    <row r="67" spans="1:19" x14ac:dyDescent="0.35">
      <c r="A67" s="256" t="s">
        <v>468</v>
      </c>
      <c r="B67" s="16" t="s">
        <v>229</v>
      </c>
      <c r="C67" s="16" t="s">
        <v>467</v>
      </c>
      <c r="D67" s="257" t="s">
        <v>48</v>
      </c>
      <c r="E67" s="257" t="s">
        <v>49</v>
      </c>
      <c r="F67" s="272">
        <f t="shared" si="10"/>
        <v>5.034876154113156E-4</v>
      </c>
      <c r="G67" s="273">
        <v>1.40447733404797E-5</v>
      </c>
      <c r="H67" s="274">
        <v>1.1000000000000001E-6</v>
      </c>
      <c r="I67" s="275">
        <v>4.42168878771149E-4</v>
      </c>
      <c r="J67" s="275">
        <v>4.4216887877115002E-5</v>
      </c>
      <c r="K67" s="275">
        <v>4.8647220484656601E-7</v>
      </c>
      <c r="L67" s="275">
        <v>0</v>
      </c>
      <c r="M67" s="275">
        <v>1.3774933630536099E-7</v>
      </c>
      <c r="N67" s="275">
        <v>1.3328538814200001E-6</v>
      </c>
      <c r="O67" s="275"/>
      <c r="P67" s="275"/>
      <c r="Q67" s="118"/>
      <c r="R67" s="260">
        <f>'Parameters, country spec'!G55</f>
        <v>8.9094558301539284E-2</v>
      </c>
      <c r="S67" s="22" t="s">
        <v>484</v>
      </c>
    </row>
    <row r="68" spans="1:19" x14ac:dyDescent="0.35">
      <c r="A68" s="256" t="s">
        <v>469</v>
      </c>
      <c r="B68" s="16" t="s">
        <v>232</v>
      </c>
      <c r="C68" s="16" t="s">
        <v>467</v>
      </c>
      <c r="D68" s="257" t="s">
        <v>48</v>
      </c>
      <c r="E68" s="257" t="s">
        <v>49</v>
      </c>
      <c r="F68" s="272">
        <f t="shared" si="10"/>
        <v>3.8830254117131944E-4</v>
      </c>
      <c r="G68" s="273">
        <v>1.0423347933344499E-5</v>
      </c>
      <c r="H68" s="274">
        <v>1.1000000000000001E-6</v>
      </c>
      <c r="I68" s="275">
        <v>3.4061625508795799E-4</v>
      </c>
      <c r="J68" s="275">
        <v>3.4061625508795799E-5</v>
      </c>
      <c r="K68" s="275">
        <v>6.438260242211E-7</v>
      </c>
      <c r="L68" s="275">
        <v>0</v>
      </c>
      <c r="M68" s="275">
        <v>0</v>
      </c>
      <c r="N68" s="275">
        <v>1.4574866170000001E-6</v>
      </c>
      <c r="O68" s="275"/>
      <c r="P68" s="275"/>
      <c r="Q68" s="118"/>
      <c r="R68" s="260">
        <f>'Parameters, country spec'!G56</f>
        <v>1.8632243854911967E-2</v>
      </c>
    </row>
    <row r="69" spans="1:19" x14ac:dyDescent="0.35">
      <c r="A69" s="256" t="s">
        <v>470</v>
      </c>
      <c r="B69" s="16" t="s">
        <v>235</v>
      </c>
      <c r="C69" s="16" t="s">
        <v>467</v>
      </c>
      <c r="D69" s="257" t="s">
        <v>48</v>
      </c>
      <c r="E69" s="257" t="s">
        <v>49</v>
      </c>
      <c r="F69" s="272">
        <f t="shared" si="10"/>
        <v>7.8191616855976425E-4</v>
      </c>
      <c r="G69" s="273">
        <v>2.1873707810918101E-5</v>
      </c>
      <c r="H69" s="274">
        <v>1.1000000000000001E-6</v>
      </c>
      <c r="I69" s="275">
        <v>6.8758656983667905E-4</v>
      </c>
      <c r="J69" s="275">
        <v>6.8758656983667997E-5</v>
      </c>
      <c r="K69" s="275">
        <v>1.2631936945080999E-6</v>
      </c>
      <c r="L69" s="275">
        <v>0</v>
      </c>
      <c r="M69" s="275">
        <v>1.1863525710000401E-9</v>
      </c>
      <c r="N69" s="275">
        <v>1.3328538814200001E-6</v>
      </c>
      <c r="O69" s="275"/>
      <c r="P69" s="275"/>
      <c r="Q69" s="118"/>
      <c r="R69" s="260">
        <f>'Parameters, country spec'!G57</f>
        <v>0</v>
      </c>
    </row>
    <row r="70" spans="1:19" x14ac:dyDescent="0.35">
      <c r="A70" s="256" t="s">
        <v>471</v>
      </c>
      <c r="B70" s="16" t="s">
        <v>237</v>
      </c>
      <c r="C70" s="16" t="s">
        <v>467</v>
      </c>
      <c r="D70" s="257" t="s">
        <v>48</v>
      </c>
      <c r="E70" s="257" t="s">
        <v>49</v>
      </c>
      <c r="F70" s="272">
        <f t="shared" si="10"/>
        <v>6.0382498978413788E-4</v>
      </c>
      <c r="G70" s="273">
        <v>1.9066159328693E-5</v>
      </c>
      <c r="H70" s="274">
        <v>1.1000000000000001E-6</v>
      </c>
      <c r="I70" s="275">
        <v>5.2875256401532398E-4</v>
      </c>
      <c r="J70" s="275">
        <v>5.2875256401532301E-5</v>
      </c>
      <c r="K70" s="275">
        <v>5.7352342158859497E-7</v>
      </c>
      <c r="L70" s="275">
        <v>0</v>
      </c>
      <c r="M70" s="275">
        <v>0</v>
      </c>
      <c r="N70" s="275">
        <v>1.4574866170000001E-6</v>
      </c>
      <c r="O70" s="275"/>
      <c r="P70" s="275"/>
      <c r="Q70" s="118"/>
      <c r="R70" s="260">
        <f>'Parameters, country spec'!G58</f>
        <v>0.13883686885903021</v>
      </c>
    </row>
    <row r="71" spans="1:19" x14ac:dyDescent="0.35">
      <c r="A71" s="256" t="s">
        <v>472</v>
      </c>
      <c r="B71" s="16" t="s">
        <v>239</v>
      </c>
      <c r="C71" s="16" t="s">
        <v>473</v>
      </c>
      <c r="D71" s="257" t="s">
        <v>48</v>
      </c>
      <c r="E71" s="257" t="s">
        <v>49</v>
      </c>
      <c r="F71" s="272">
        <f t="shared" si="10"/>
        <v>2.0662178533731066E-4</v>
      </c>
      <c r="G71" s="273">
        <v>0</v>
      </c>
      <c r="H71" s="274">
        <v>1.1000000000000001E-6</v>
      </c>
      <c r="I71" s="275">
        <v>1.8457295999999999E-4</v>
      </c>
      <c r="J71" s="275">
        <v>1.8457295999999999E-5</v>
      </c>
      <c r="K71" s="275">
        <v>1.0340427203106899E-6</v>
      </c>
      <c r="L71" s="275">
        <v>0</v>
      </c>
      <c r="M71" s="275">
        <v>0</v>
      </c>
      <c r="N71" s="275">
        <v>1.4574866170000001E-6</v>
      </c>
      <c r="O71" s="275"/>
      <c r="P71" s="275"/>
      <c r="Q71" s="118"/>
      <c r="R71" s="260">
        <f>'Parameters, country spec'!G59</f>
        <v>1.1573790749521788E-3</v>
      </c>
    </row>
    <row r="72" spans="1:19" x14ac:dyDescent="0.35">
      <c r="A72" s="256" t="s">
        <v>474</v>
      </c>
      <c r="B72" s="16" t="s">
        <v>241</v>
      </c>
      <c r="C72" s="16" t="s">
        <v>473</v>
      </c>
      <c r="D72" s="257" t="s">
        <v>48</v>
      </c>
      <c r="E72" s="257" t="s">
        <v>49</v>
      </c>
      <c r="F72" s="272">
        <f t="shared" si="10"/>
        <v>2.147503579809894E-4</v>
      </c>
      <c r="G72" s="273">
        <v>4.56233062574511E-7</v>
      </c>
      <c r="H72" s="274">
        <v>1.1000000000000001E-6</v>
      </c>
      <c r="I72" s="275">
        <v>1.9161296011702001E-4</v>
      </c>
      <c r="J72" s="275">
        <v>1.9161296011701999E-5</v>
      </c>
      <c r="K72" s="275">
        <v>9.6238217269290007E-7</v>
      </c>
      <c r="L72" s="275">
        <v>0</v>
      </c>
      <c r="M72" s="275">
        <v>0</v>
      </c>
      <c r="N72" s="275">
        <v>1.4574866170000001E-6</v>
      </c>
      <c r="O72" s="275"/>
      <c r="P72" s="275"/>
      <c r="Q72" s="118"/>
      <c r="R72" s="260">
        <f>'Parameters, country spec'!G60</f>
        <v>1.1369276536260728E-3</v>
      </c>
    </row>
    <row r="73" spans="1:19" x14ac:dyDescent="0.35">
      <c r="B73" s="18" t="s">
        <v>242</v>
      </c>
      <c r="C73" s="16" t="s">
        <v>475</v>
      </c>
      <c r="D73" s="257" t="s">
        <v>476</v>
      </c>
      <c r="E73" s="257"/>
      <c r="F73" s="272">
        <f t="shared" si="10"/>
        <v>6.7320455661575701E-4</v>
      </c>
      <c r="G73" s="54">
        <f>'Off-farm feed'!$F$77</f>
        <v>1.9469704390265966E-4</v>
      </c>
      <c r="H73" s="54">
        <f>'Off-farm feed'!$G$77</f>
        <v>5.3103448275862083E-7</v>
      </c>
      <c r="I73" s="54">
        <f>'Off-farm feed'!$H$77</f>
        <v>4.2751561806777074E-4</v>
      </c>
      <c r="J73" s="54">
        <f>'Off-farm feed'!$I$77</f>
        <v>4.2751561806777075E-5</v>
      </c>
      <c r="K73" s="54">
        <f>'Off-farm feed'!$J$77</f>
        <v>6.6339607025480393E-7</v>
      </c>
      <c r="L73" s="54"/>
      <c r="M73" s="54">
        <f>'Off-farm feed'!$L$77</f>
        <v>7.9511067188965528E-9</v>
      </c>
      <c r="N73" s="54">
        <f>'Off-farm feed'!$M$77</f>
        <v>1.2789681892721842E-6</v>
      </c>
      <c r="O73" s="54"/>
      <c r="P73" s="54">
        <f>'Off-farm feed'!$O$77</f>
        <v>3.9312802868423868E-6</v>
      </c>
      <c r="Q73" s="54">
        <f>'Off-farm feed'!$P$77</f>
        <v>1.8277027027027027E-6</v>
      </c>
      <c r="R73" s="260">
        <f>'Parameters, country spec'!G61</f>
        <v>6.196353147498361E-2</v>
      </c>
    </row>
    <row r="74" spans="1:19" x14ac:dyDescent="0.35">
      <c r="B74" s="18" t="s">
        <v>477</v>
      </c>
      <c r="C74" s="16" t="s">
        <v>475</v>
      </c>
      <c r="D74" s="257" t="s">
        <v>478</v>
      </c>
      <c r="E74" s="257"/>
      <c r="F74" s="272">
        <f t="shared" si="10"/>
        <v>1.8866346644602484E-4</v>
      </c>
      <c r="G74" s="54">
        <f>'Off-farm feed'!$F$26</f>
        <v>1.6332109719061435E-5</v>
      </c>
      <c r="H74" s="54">
        <f>'Off-farm feed'!$G$26</f>
        <v>8.7195121951219526E-7</v>
      </c>
      <c r="I74" s="54">
        <f>'Off-farm feed'!$H$26</f>
        <v>1.3333449845358183E-4</v>
      </c>
      <c r="J74" s="54">
        <f>'Off-farm feed'!$I$26</f>
        <v>1.3333449845358186E-5</v>
      </c>
      <c r="K74" s="54">
        <f>'Off-farm feed'!$J$26</f>
        <v>1.1576736579983962E-6</v>
      </c>
      <c r="L74" s="54"/>
      <c r="M74" s="54">
        <f>'Off-farm feed'!$L$26</f>
        <v>7.3437786087804875E-9</v>
      </c>
      <c r="N74" s="54">
        <f>'Off-farm feed'!$M$26</f>
        <v>1.1195281639512195E-6</v>
      </c>
      <c r="O74" s="54"/>
      <c r="P74" s="54">
        <f>'Off-farm feed'!$O$26</f>
        <v>1.3419073770115001E-5</v>
      </c>
      <c r="Q74" s="54">
        <f>'Off-farm feed'!$P$26</f>
        <v>9.087837837837838E-6</v>
      </c>
      <c r="R74" s="260">
        <f>'Parameters, country spec'!G62</f>
        <v>0.11791110099805442</v>
      </c>
    </row>
    <row r="75" spans="1:19" x14ac:dyDescent="0.35">
      <c r="B75" s="16" t="s">
        <v>244</v>
      </c>
      <c r="C75" s="16" t="s">
        <v>479</v>
      </c>
      <c r="D75" s="257" t="s">
        <v>48</v>
      </c>
      <c r="E75" s="257" t="s">
        <v>49</v>
      </c>
      <c r="F75" s="276">
        <f t="shared" si="10"/>
        <v>7.2397887078904437E-5</v>
      </c>
      <c r="G75" s="275">
        <v>1.7159543395823699E-6</v>
      </c>
      <c r="H75" s="275">
        <v>9.9E-8</v>
      </c>
      <c r="I75" s="275">
        <v>4.7587730761379099E-5</v>
      </c>
      <c r="J75">
        <v>4.7587730761379099E-6</v>
      </c>
      <c r="K75" s="275">
        <v>5.16171079429735E-8</v>
      </c>
      <c r="L75">
        <v>0</v>
      </c>
      <c r="M75">
        <v>0</v>
      </c>
      <c r="N75" s="118">
        <v>1.3117379553000001E-7</v>
      </c>
      <c r="O75" s="118"/>
      <c r="P75" s="275">
        <v>1.6341912215219399E-5</v>
      </c>
      <c r="Q75" s="275">
        <v>1.71172578311269E-6</v>
      </c>
      <c r="R75" s="260">
        <f>'Parameters, country spec'!G63</f>
        <v>0.11645641995705991</v>
      </c>
    </row>
    <row r="76" spans="1:19" x14ac:dyDescent="0.35">
      <c r="A76" s="262"/>
      <c r="B76" s="16" t="s">
        <v>481</v>
      </c>
      <c r="C76" s="263" t="s">
        <v>482</v>
      </c>
      <c r="D76" s="257" t="s">
        <v>48</v>
      </c>
      <c r="E76" s="257" t="s">
        <v>49</v>
      </c>
      <c r="F76" s="272">
        <f t="shared" si="10"/>
        <v>4.4814096358617377E-4</v>
      </c>
      <c r="G76" s="277">
        <f>AVERAGE(G66:G74)</f>
        <v>3.2353719316410479E-5</v>
      </c>
      <c r="H76" s="277">
        <f>AVERAGE(H66:H74)</f>
        <v>1.0114428558078684E-6</v>
      </c>
      <c r="I76" s="277">
        <f>AVERAGE(I66:I74)</f>
        <v>3.7504971469335991E-4</v>
      </c>
      <c r="J76" s="277">
        <f>AVERAGE(J66:J74)</f>
        <v>3.7504971469335991E-5</v>
      </c>
      <c r="K76" s="277">
        <f>AVERAGE(K66:K74)</f>
        <v>8.3157438734086539E-7</v>
      </c>
      <c r="L76" s="277"/>
      <c r="M76" s="277">
        <f>AVERAGE(M66:M74)</f>
        <v>1.713673046711534E-8</v>
      </c>
      <c r="N76" s="277">
        <f>AVERAGE(N66:N74)</f>
        <v>1.3724041334514894E-6</v>
      </c>
      <c r="O76" s="277"/>
      <c r="P76" s="277"/>
      <c r="Q76" s="277"/>
      <c r="R76" s="260">
        <f>'Parameters, country spec'!G64</f>
        <v>0.13155896511557413</v>
      </c>
    </row>
    <row r="77" spans="1:19" x14ac:dyDescent="0.35">
      <c r="A77" s="265"/>
      <c r="B77" s="266" t="s">
        <v>483</v>
      </c>
      <c r="C77" s="267"/>
      <c r="D77" s="268"/>
      <c r="E77" s="268"/>
      <c r="F77" s="278">
        <f t="shared" ref="F77:O77" si="11">SUMPRODUCT(F66:F76,$R$66:$R$76)</f>
        <v>4.2962990082474461E-4</v>
      </c>
      <c r="G77" s="278">
        <f t="shared" si="11"/>
        <v>2.7158540049124323E-5</v>
      </c>
      <c r="H77" s="278">
        <f t="shared" si="11"/>
        <v>9.096320418551288E-7</v>
      </c>
      <c r="I77" s="278">
        <f t="shared" si="11"/>
        <v>3.5867859621275389E-4</v>
      </c>
      <c r="J77" s="278">
        <f t="shared" si="11"/>
        <v>3.5867859621275394E-5</v>
      </c>
      <c r="K77" s="278">
        <f t="shared" si="11"/>
        <v>6.5644257472927698E-7</v>
      </c>
      <c r="L77" s="278">
        <f t="shared" si="11"/>
        <v>0</v>
      </c>
      <c r="M77" s="278">
        <f t="shared" si="11"/>
        <v>1.5885798472859117E-8</v>
      </c>
      <c r="N77" s="278">
        <f t="shared" si="11"/>
        <v>1.229820826550982E-6</v>
      </c>
      <c r="O77" s="278">
        <f t="shared" si="11"/>
        <v>0</v>
      </c>
      <c r="P77" s="278">
        <f>SUMPRODUCT(P66:P76,R66:R76)</f>
        <v>3.7289743642361112E-6</v>
      </c>
      <c r="Q77" s="278">
        <f>SUMPRODUCT(Q66:Q76,$R$66:$R$76)</f>
        <v>1.384149335746568E-6</v>
      </c>
      <c r="R77" s="270"/>
    </row>
    <row r="78" spans="1:19" x14ac:dyDescent="0.35">
      <c r="A78" s="256" t="s">
        <v>466</v>
      </c>
      <c r="B78" s="16" t="s">
        <v>226</v>
      </c>
      <c r="C78" s="16" t="s">
        <v>467</v>
      </c>
      <c r="D78" s="257" t="s">
        <v>50</v>
      </c>
      <c r="E78" s="257" t="s">
        <v>51</v>
      </c>
      <c r="F78" s="279">
        <f t="shared" ref="F78:F88" si="12">SUM(G78:Q78)</f>
        <v>7.6121683150041691E-4</v>
      </c>
      <c r="G78" s="280">
        <v>3.4604422826583401E-6</v>
      </c>
      <c r="H78" s="281">
        <v>1.1000000000000001E-6</v>
      </c>
      <c r="I78" s="284">
        <v>6.8538167784717497E-4</v>
      </c>
      <c r="J78" s="284">
        <v>6.8538167784717503E-5</v>
      </c>
      <c r="K78" s="284">
        <v>1.23800967386619E-6</v>
      </c>
      <c r="L78" s="284">
        <v>0</v>
      </c>
      <c r="M78" s="284">
        <v>0</v>
      </c>
      <c r="N78" s="284">
        <v>1.4985339119999999E-6</v>
      </c>
      <c r="O78" s="284"/>
      <c r="P78" s="284"/>
      <c r="Q78" s="283"/>
      <c r="R78" s="260">
        <f>'Parameters, country spec'!H54</f>
        <v>7.5639149668143751E-2</v>
      </c>
    </row>
    <row r="79" spans="1:19" x14ac:dyDescent="0.35">
      <c r="A79" s="256" t="s">
        <v>468</v>
      </c>
      <c r="B79" s="16" t="s">
        <v>229</v>
      </c>
      <c r="C79" s="16" t="s">
        <v>467</v>
      </c>
      <c r="D79" s="257" t="s">
        <v>50</v>
      </c>
      <c r="E79" s="257" t="s">
        <v>51</v>
      </c>
      <c r="F79" s="272">
        <f t="shared" si="12"/>
        <v>4.39823610199049E-4</v>
      </c>
      <c r="G79" s="273">
        <v>2.0038682712477099E-6</v>
      </c>
      <c r="H79" s="274">
        <v>1.1000000000000001E-6</v>
      </c>
      <c r="I79" s="275">
        <v>3.95160725904252E-4</v>
      </c>
      <c r="J79" s="275">
        <v>3.9516072590425301E-5</v>
      </c>
      <c r="K79" s="275">
        <v>4.25445690620501E-7</v>
      </c>
      <c r="L79" s="275">
        <v>0</v>
      </c>
      <c r="M79" s="275">
        <v>1.1896383050346399E-7</v>
      </c>
      <c r="N79" s="275">
        <v>1.4985339119999999E-6</v>
      </c>
      <c r="O79" s="275"/>
      <c r="P79" s="275"/>
      <c r="Q79" s="118"/>
      <c r="R79" s="260">
        <f>'Parameters, country spec'!H55</f>
        <v>0.4945946495860658</v>
      </c>
    </row>
    <row r="80" spans="1:19" x14ac:dyDescent="0.35">
      <c r="A80" s="256" t="s">
        <v>469</v>
      </c>
      <c r="B80" s="16" t="s">
        <v>232</v>
      </c>
      <c r="C80" s="16" t="s">
        <v>467</v>
      </c>
      <c r="D80" s="257" t="s">
        <v>50</v>
      </c>
      <c r="E80" s="257" t="s">
        <v>51</v>
      </c>
      <c r="F80" s="272">
        <f t="shared" si="12"/>
        <v>9.6609796472621793E-4</v>
      </c>
      <c r="G80" s="273">
        <v>4.6619871080123402E-6</v>
      </c>
      <c r="H80" s="274">
        <v>1.1000000000000001E-6</v>
      </c>
      <c r="I80" s="275">
        <v>8.6975755481815699E-4</v>
      </c>
      <c r="J80" s="275">
        <v>8.6975755481815697E-5</v>
      </c>
      <c r="K80" s="275">
        <v>2.1041334062329101E-6</v>
      </c>
      <c r="L80" s="275">
        <v>0</v>
      </c>
      <c r="M80" s="275">
        <v>0</v>
      </c>
      <c r="N80" s="275">
        <v>1.4985339119999999E-6</v>
      </c>
      <c r="O80" s="275"/>
      <c r="P80" s="275"/>
      <c r="Q80" s="118"/>
      <c r="R80" s="260">
        <f>'Parameters, country spec'!H56</f>
        <v>1.5708249677942241E-2</v>
      </c>
    </row>
    <row r="81" spans="1:18" x14ac:dyDescent="0.35">
      <c r="A81" s="256" t="s">
        <v>470</v>
      </c>
      <c r="B81" s="16" t="s">
        <v>235</v>
      </c>
      <c r="C81" s="16" t="s">
        <v>467</v>
      </c>
      <c r="D81" s="257" t="s">
        <v>50</v>
      </c>
      <c r="E81" s="257" t="s">
        <v>51</v>
      </c>
      <c r="F81" s="272">
        <f t="shared" si="12"/>
        <v>9.4252772207496283E-4</v>
      </c>
      <c r="G81" s="273">
        <v>4.5545567787407397E-6</v>
      </c>
      <c r="H81" s="274">
        <v>1.1000000000000001E-6</v>
      </c>
      <c r="I81" s="275">
        <v>8.48841595525421E-4</v>
      </c>
      <c r="J81" s="275">
        <v>8.4884159552542194E-5</v>
      </c>
      <c r="K81" s="275">
        <v>1.6122237952389601E-6</v>
      </c>
      <c r="L81" s="275">
        <v>0</v>
      </c>
      <c r="M81" s="275">
        <v>3.6652511019930199E-8</v>
      </c>
      <c r="N81" s="275">
        <v>1.4985339119999999E-6</v>
      </c>
      <c r="O81" s="275"/>
      <c r="P81" s="275"/>
      <c r="Q81" s="118"/>
      <c r="R81" s="260">
        <f>'Parameters, country spec'!H57</f>
        <v>1.2515759679726465E-3</v>
      </c>
    </row>
    <row r="82" spans="1:18" x14ac:dyDescent="0.35">
      <c r="A82" s="256" t="s">
        <v>471</v>
      </c>
      <c r="B82" s="16" t="s">
        <v>237</v>
      </c>
      <c r="C82" s="16" t="s">
        <v>467</v>
      </c>
      <c r="D82" s="257" t="s">
        <v>50</v>
      </c>
      <c r="E82" s="257" t="s">
        <v>51</v>
      </c>
      <c r="F82" s="272">
        <f t="shared" si="12"/>
        <v>1.2230783061102416E-3</v>
      </c>
      <c r="G82" s="273">
        <v>6.1188597918394202E-6</v>
      </c>
      <c r="H82" s="274">
        <v>1.1000000000000001E-6</v>
      </c>
      <c r="I82" s="275">
        <v>1.10271503599095E-3</v>
      </c>
      <c r="J82" s="275">
        <v>1.10271503599095E-4</v>
      </c>
      <c r="K82" s="275">
        <v>1.3449289839238301E-6</v>
      </c>
      <c r="L82" s="275">
        <v>0</v>
      </c>
      <c r="M82" s="275">
        <v>2.9443832433219999E-8</v>
      </c>
      <c r="N82" s="275">
        <v>1.4985339119999999E-6</v>
      </c>
      <c r="O82" s="275"/>
      <c r="P82" s="275"/>
      <c r="Q82" s="118"/>
      <c r="R82" s="260">
        <f>'Parameters, country spec'!H58</f>
        <v>7.1646219701035879E-2</v>
      </c>
    </row>
    <row r="83" spans="1:18" x14ac:dyDescent="0.35">
      <c r="A83" s="256" t="s">
        <v>472</v>
      </c>
      <c r="B83" s="16" t="s">
        <v>239</v>
      </c>
      <c r="C83" s="16" t="s">
        <v>473</v>
      </c>
      <c r="D83" s="257" t="s">
        <v>50</v>
      </c>
      <c r="E83" s="257" t="s">
        <v>51</v>
      </c>
      <c r="F83" s="272">
        <f t="shared" si="12"/>
        <v>2.0732558963819123E-4</v>
      </c>
      <c r="G83" s="273">
        <v>0</v>
      </c>
      <c r="H83" s="274">
        <v>1.1000000000000001E-6</v>
      </c>
      <c r="I83" s="275">
        <v>1.8457295999999999E-4</v>
      </c>
      <c r="J83" s="275">
        <v>1.8457295999999999E-5</v>
      </c>
      <c r="K83" s="275">
        <v>1.69241163572995E-6</v>
      </c>
      <c r="L83" s="275">
        <v>0</v>
      </c>
      <c r="M83" s="275">
        <v>4.3880904612717098E-9</v>
      </c>
      <c r="N83" s="275">
        <v>1.4985339119999999E-6</v>
      </c>
      <c r="O83" s="275"/>
      <c r="P83" s="275"/>
      <c r="Q83" s="118"/>
      <c r="R83" s="260">
        <f>'Parameters, country spec'!H59</f>
        <v>2.6243338101171946E-3</v>
      </c>
    </row>
    <row r="84" spans="1:18" x14ac:dyDescent="0.35">
      <c r="A84" s="256" t="s">
        <v>474</v>
      </c>
      <c r="B84" s="16" t="s">
        <v>241</v>
      </c>
      <c r="C84" s="16" t="s">
        <v>473</v>
      </c>
      <c r="D84" s="257" t="s">
        <v>50</v>
      </c>
      <c r="E84" s="257" t="s">
        <v>51</v>
      </c>
      <c r="F84" s="272">
        <f t="shared" si="12"/>
        <v>2.3268660968817973E-4</v>
      </c>
      <c r="G84" s="273">
        <v>1.55570415501492E-7</v>
      </c>
      <c r="H84" s="274">
        <v>1.1000000000000001E-6</v>
      </c>
      <c r="I84" s="275">
        <v>2.0684410516885499E-4</v>
      </c>
      <c r="J84" s="275">
        <v>2.06844105168855E-5</v>
      </c>
      <c r="K84" s="275">
        <v>2.3978871315382E-6</v>
      </c>
      <c r="L84" s="275">
        <v>0</v>
      </c>
      <c r="M84" s="275">
        <v>6.1025433995682499E-9</v>
      </c>
      <c r="N84" s="275">
        <v>1.4985339119999999E-6</v>
      </c>
      <c r="O84" s="275"/>
      <c r="P84" s="275"/>
      <c r="Q84" s="118"/>
      <c r="R84" s="260">
        <f>'Parameters, country spec'!H60</f>
        <v>2.5779606221648438E-3</v>
      </c>
    </row>
    <row r="85" spans="1:18" x14ac:dyDescent="0.35">
      <c r="B85" s="18" t="s">
        <v>242</v>
      </c>
      <c r="C85" s="16" t="s">
        <v>475</v>
      </c>
      <c r="D85" s="257" t="s">
        <v>476</v>
      </c>
      <c r="E85" s="257"/>
      <c r="F85" s="272">
        <f t="shared" si="12"/>
        <v>6.7320455661575701E-4</v>
      </c>
      <c r="G85" s="54">
        <f>'Off-farm feed'!$F$77</f>
        <v>1.9469704390265966E-4</v>
      </c>
      <c r="H85" s="54">
        <f>'Off-farm feed'!$G$77</f>
        <v>5.3103448275862083E-7</v>
      </c>
      <c r="I85" s="54">
        <f>'Off-farm feed'!$H$77</f>
        <v>4.2751561806777074E-4</v>
      </c>
      <c r="J85" s="54">
        <f>'Off-farm feed'!$I$77</f>
        <v>4.2751561806777075E-5</v>
      </c>
      <c r="K85" s="54">
        <f>'Off-farm feed'!$J$77</f>
        <v>6.6339607025480393E-7</v>
      </c>
      <c r="L85" s="54"/>
      <c r="M85" s="54">
        <f>'Off-farm feed'!$L$77</f>
        <v>7.9511067188965528E-9</v>
      </c>
      <c r="N85" s="54">
        <f>'Off-farm feed'!$M$77</f>
        <v>1.2789681892721842E-6</v>
      </c>
      <c r="O85" s="54"/>
      <c r="P85" s="54">
        <f>'Off-farm feed'!$O$77</f>
        <v>3.9312802868423868E-6</v>
      </c>
      <c r="Q85" s="54">
        <f>'Off-farm feed'!$P$77</f>
        <v>1.8277027027027027E-6</v>
      </c>
      <c r="R85" s="260">
        <f>'Parameters, country spec'!H61</f>
        <v>4.4205096143040447E-3</v>
      </c>
    </row>
    <row r="86" spans="1:18" x14ac:dyDescent="0.35">
      <c r="B86" s="18" t="s">
        <v>477</v>
      </c>
      <c r="C86" s="16" t="s">
        <v>475</v>
      </c>
      <c r="D86" s="257" t="s">
        <v>478</v>
      </c>
      <c r="E86" s="257"/>
      <c r="F86" s="272">
        <f t="shared" si="12"/>
        <v>1.8866346644602484E-4</v>
      </c>
      <c r="G86" s="54">
        <f>'Off-farm feed'!$F$26</f>
        <v>1.6332109719061435E-5</v>
      </c>
      <c r="H86" s="54">
        <f>'Off-farm feed'!$G$26</f>
        <v>8.7195121951219526E-7</v>
      </c>
      <c r="I86" s="54">
        <f>'Off-farm feed'!$H$26</f>
        <v>1.3333449845358183E-4</v>
      </c>
      <c r="J86" s="54">
        <f>'Off-farm feed'!$I$26</f>
        <v>1.3333449845358186E-5</v>
      </c>
      <c r="K86" s="54">
        <f>'Off-farm feed'!$J$26</f>
        <v>1.1576736579983962E-6</v>
      </c>
      <c r="L86" s="54"/>
      <c r="M86" s="54">
        <f>'Off-farm feed'!$L$26</f>
        <v>7.3437786087804875E-9</v>
      </c>
      <c r="N86" s="54">
        <f>'Off-farm feed'!$M$26</f>
        <v>1.1195281639512195E-6</v>
      </c>
      <c r="O86" s="54"/>
      <c r="P86" s="54">
        <f>'Off-farm feed'!$O$26</f>
        <v>1.3419073770115001E-5</v>
      </c>
      <c r="Q86" s="54">
        <f>'Off-farm feed'!$P$26</f>
        <v>9.087837837837838E-6</v>
      </c>
      <c r="R86" s="260">
        <f>'Parameters, country spec'!H62</f>
        <v>0.10913728039586229</v>
      </c>
    </row>
    <row r="87" spans="1:18" x14ac:dyDescent="0.35">
      <c r="B87" s="16" t="s">
        <v>244</v>
      </c>
      <c r="C87" s="16" t="s">
        <v>479</v>
      </c>
      <c r="D87" s="257" t="s">
        <v>50</v>
      </c>
      <c r="E87" s="257" t="s">
        <v>51</v>
      </c>
      <c r="F87" s="276">
        <f t="shared" si="12"/>
        <v>1.3082524378321328E-4</v>
      </c>
      <c r="G87" s="275">
        <v>5.5069738126554801E-7</v>
      </c>
      <c r="H87" s="275">
        <v>9.9E-8</v>
      </c>
      <c r="I87" s="275">
        <v>9.9244353239185204E-5</v>
      </c>
      <c r="J87">
        <v>9.9244353239185299E-6</v>
      </c>
      <c r="K87" s="275">
        <v>1.2104360855314501E-7</v>
      </c>
      <c r="L87">
        <v>0</v>
      </c>
      <c r="M87">
        <v>2.6499449189897999E-9</v>
      </c>
      <c r="N87" s="118">
        <v>1.3486805208E-7</v>
      </c>
      <c r="O87" s="118"/>
      <c r="P87" s="275">
        <v>1.8648447718521899E-5</v>
      </c>
      <c r="Q87" s="275">
        <v>2.0997485147699699E-6</v>
      </c>
      <c r="R87" s="260">
        <f>'Parameters, country spec'!H63</f>
        <v>0.11521206449276877</v>
      </c>
    </row>
    <row r="88" spans="1:18" x14ac:dyDescent="0.35">
      <c r="A88" s="262"/>
      <c r="B88" s="16" t="s">
        <v>481</v>
      </c>
      <c r="C88" s="263" t="s">
        <v>482</v>
      </c>
      <c r="D88" s="257" t="s">
        <v>50</v>
      </c>
      <c r="E88" s="257" t="s">
        <v>51</v>
      </c>
      <c r="F88" s="272">
        <f t="shared" si="12"/>
        <v>6.2292875137794914E-4</v>
      </c>
      <c r="G88" s="277">
        <f>AVERAGE(G78:G86)</f>
        <v>2.5776048696635681E-5</v>
      </c>
      <c r="H88" s="277">
        <f>AVERAGE(H78:H86)</f>
        <v>1.0114428558078684E-6</v>
      </c>
      <c r="I88" s="277">
        <f>AVERAGE(I78:I86)</f>
        <v>5.3934708575290686E-4</v>
      </c>
      <c r="J88" s="277">
        <f>AVERAGE(J78:J86)</f>
        <v>5.3934708575290723E-5</v>
      </c>
      <c r="K88" s="277">
        <f>AVERAGE(K78:K86)</f>
        <v>1.4040122272670822E-6</v>
      </c>
      <c r="L88" s="277"/>
      <c r="M88" s="277">
        <f>AVERAGE(M78:M86)</f>
        <v>2.3427299238347906E-8</v>
      </c>
      <c r="N88" s="277">
        <f>AVERAGE(N78:N86)</f>
        <v>1.4320259708026001E-6</v>
      </c>
      <c r="O88" s="277"/>
      <c r="P88" s="277"/>
      <c r="Q88" s="277"/>
      <c r="R88" s="260">
        <f>'Parameters, country spec'!H64</f>
        <v>0.10718800646362231</v>
      </c>
    </row>
    <row r="89" spans="1:18" x14ac:dyDescent="0.35">
      <c r="A89" s="265"/>
      <c r="B89" s="266" t="s">
        <v>483</v>
      </c>
      <c r="C89" s="267"/>
      <c r="D89" s="268"/>
      <c r="E89" s="268"/>
      <c r="F89" s="278">
        <f t="shared" ref="F89:O89" si="13">SUMPRODUCT(F78:F88,$R$78:$R$88)</f>
        <v>4.8564969911202977E-4</v>
      </c>
      <c r="G89" s="278">
        <f t="shared" si="13"/>
        <v>7.2400061446599788E-6</v>
      </c>
      <c r="H89" s="278">
        <f t="shared" si="13"/>
        <v>9.4777671845946708E-7</v>
      </c>
      <c r="I89" s="278">
        <f t="shared" si="13"/>
        <v>4.277210945787256E-4</v>
      </c>
      <c r="J89" s="278">
        <f t="shared" si="13"/>
        <v>4.2772109457872619E-5</v>
      </c>
      <c r="K89" s="278">
        <f t="shared" si="13"/>
        <v>7.398342829356228E-7</v>
      </c>
      <c r="L89" s="278">
        <f t="shared" si="13"/>
        <v>0</v>
      </c>
      <c r="M89" s="278">
        <f t="shared" si="13"/>
        <v>6.4674593777305798E-8</v>
      </c>
      <c r="N89" s="278">
        <f t="shared" si="13"/>
        <v>1.2919600503846273E-6</v>
      </c>
      <c r="O89" s="278">
        <f t="shared" si="13"/>
        <v>0</v>
      </c>
      <c r="P89" s="278">
        <f>SUMPRODUCT(P78:P88,R78:R88)</f>
        <v>3.6304256402426841E-6</v>
      </c>
      <c r="Q89" s="278">
        <f>SUMPRODUCT(Q78:Q88,$R$78:$R$88)</f>
        <v>1.2418176449718951E-6</v>
      </c>
      <c r="R89" s="270"/>
    </row>
    <row r="90" spans="1:18" x14ac:dyDescent="0.35">
      <c r="A90" s="256" t="s">
        <v>466</v>
      </c>
      <c r="B90" s="16" t="s">
        <v>226</v>
      </c>
      <c r="C90" s="16" t="s">
        <v>467</v>
      </c>
      <c r="D90" s="257" t="s">
        <v>52</v>
      </c>
      <c r="E90" s="257" t="s">
        <v>53</v>
      </c>
      <c r="F90" s="279">
        <f t="shared" ref="F90:F100" si="14">SUM(G90:Q90)</f>
        <v>5.4050107801737271E-4</v>
      </c>
      <c r="G90" s="280">
        <v>1.7348280495920599E-5</v>
      </c>
      <c r="H90" s="281">
        <v>1.1000000000000001E-6</v>
      </c>
      <c r="I90" s="284">
        <v>4.72465531207451E-4</v>
      </c>
      <c r="J90" s="284">
        <v>4.7246553120745103E-5</v>
      </c>
      <c r="K90" s="284">
        <v>7.7223974763406999E-7</v>
      </c>
      <c r="L90" s="284">
        <v>0</v>
      </c>
      <c r="M90" s="284">
        <v>5.8804621981939997E-11</v>
      </c>
      <c r="N90" s="284">
        <v>1.5684146409999999E-6</v>
      </c>
      <c r="O90" s="284"/>
      <c r="P90" s="284"/>
      <c r="Q90" s="283"/>
      <c r="R90" s="260">
        <f>'Parameters, country spec'!I54</f>
        <v>9.2949044996403496E-2</v>
      </c>
    </row>
    <row r="91" spans="1:18" x14ac:dyDescent="0.35">
      <c r="A91" s="256" t="s">
        <v>468</v>
      </c>
      <c r="B91" s="16" t="s">
        <v>229</v>
      </c>
      <c r="C91" s="16" t="s">
        <v>467</v>
      </c>
      <c r="D91" s="257" t="s">
        <v>52</v>
      </c>
      <c r="E91" s="257" t="s">
        <v>53</v>
      </c>
      <c r="F91" s="272">
        <f t="shared" si="14"/>
        <v>4.9170687326348524E-4</v>
      </c>
      <c r="G91" s="273">
        <v>1.77198396121134E-5</v>
      </c>
      <c r="H91" s="274">
        <v>1.1000000000000001E-6</v>
      </c>
      <c r="I91" s="275">
        <v>4.2801643748347298E-4</v>
      </c>
      <c r="J91" s="275">
        <v>4.28016437483474E-5</v>
      </c>
      <c r="K91" s="275">
        <v>4.68099345950762E-7</v>
      </c>
      <c r="L91" s="275">
        <v>0</v>
      </c>
      <c r="M91" s="275">
        <v>3.24384326007302E-8</v>
      </c>
      <c r="N91" s="275">
        <v>1.5684146409999999E-6</v>
      </c>
      <c r="O91" s="275"/>
      <c r="P91" s="275"/>
      <c r="Q91" s="118"/>
      <c r="R91" s="260">
        <f>'Parameters, country spec'!I55</f>
        <v>0.27914438878544884</v>
      </c>
    </row>
    <row r="92" spans="1:18" x14ac:dyDescent="0.35">
      <c r="A92" s="256" t="s">
        <v>469</v>
      </c>
      <c r="B92" s="16" t="s">
        <v>232</v>
      </c>
      <c r="C92" s="16" t="s">
        <v>467</v>
      </c>
      <c r="D92" s="257" t="s">
        <v>52</v>
      </c>
      <c r="E92" s="257" t="s">
        <v>53</v>
      </c>
      <c r="F92" s="272">
        <f t="shared" si="14"/>
        <v>5.4823029373005669E-4</v>
      </c>
      <c r="G92" s="273">
        <v>1.8237463588767599E-5</v>
      </c>
      <c r="H92" s="274">
        <v>1.1000000000000001E-6</v>
      </c>
      <c r="I92" s="275">
        <v>4.78431800356391E-4</v>
      </c>
      <c r="J92" s="275">
        <v>4.7843180035639103E-5</v>
      </c>
      <c r="K92" s="275">
        <v>1.02416499646555E-6</v>
      </c>
      <c r="L92" s="275">
        <v>0</v>
      </c>
      <c r="M92" s="275">
        <v>2.5270111793474001E-8</v>
      </c>
      <c r="N92" s="275">
        <v>1.5684146409999999E-6</v>
      </c>
      <c r="O92" s="275"/>
      <c r="P92" s="275"/>
      <c r="Q92" s="118"/>
      <c r="R92" s="260">
        <f>'Parameters, country spec'!I56</f>
        <v>3.0531645384754033E-3</v>
      </c>
    </row>
    <row r="93" spans="1:18" x14ac:dyDescent="0.35">
      <c r="A93" s="256" t="s">
        <v>470</v>
      </c>
      <c r="B93" s="16" t="s">
        <v>235</v>
      </c>
      <c r="C93" s="16" t="s">
        <v>467</v>
      </c>
      <c r="D93" s="257" t="s">
        <v>52</v>
      </c>
      <c r="E93" s="257" t="s">
        <v>53</v>
      </c>
      <c r="F93" s="272">
        <f t="shared" si="14"/>
        <v>8.8503529959118861E-4</v>
      </c>
      <c r="G93" s="273">
        <v>3.2781637272394797E-5</v>
      </c>
      <c r="H93" s="274">
        <v>1.1000000000000001E-6</v>
      </c>
      <c r="I93" s="275">
        <v>7.7103766128104199E-4</v>
      </c>
      <c r="J93" s="275">
        <v>7.7103766128104205E-5</v>
      </c>
      <c r="K93" s="275">
        <v>1.44382026864755E-6</v>
      </c>
      <c r="L93" s="275">
        <v>0</v>
      </c>
      <c r="M93" s="275">
        <v>0</v>
      </c>
      <c r="N93" s="275">
        <v>1.5684146409999999E-6</v>
      </c>
      <c r="O93" s="275"/>
      <c r="P93" s="275"/>
      <c r="Q93" s="118"/>
      <c r="R93" s="260">
        <f>'Parameters, country spec'!I57</f>
        <v>1.1489015097402086E-2</v>
      </c>
    </row>
    <row r="94" spans="1:18" x14ac:dyDescent="0.35">
      <c r="A94" s="256" t="s">
        <v>471</v>
      </c>
      <c r="B94" s="16" t="s">
        <v>237</v>
      </c>
      <c r="C94" s="16" t="s">
        <v>467</v>
      </c>
      <c r="D94" s="257" t="s">
        <v>52</v>
      </c>
      <c r="E94" s="257" t="s">
        <v>53</v>
      </c>
      <c r="F94" s="272">
        <f t="shared" si="14"/>
        <v>6.4934104750531978E-4</v>
      </c>
      <c r="G94" s="273">
        <v>2.28291296848485E-5</v>
      </c>
      <c r="H94" s="274">
        <v>1.1000000000000001E-6</v>
      </c>
      <c r="I94" s="275">
        <v>5.6656287518152301E-4</v>
      </c>
      <c r="J94" s="275">
        <v>5.66562875181523E-5</v>
      </c>
      <c r="K94" s="275">
        <v>6.2434047979596701E-7</v>
      </c>
      <c r="L94" s="275">
        <v>0</v>
      </c>
      <c r="M94" s="275">
        <v>0</v>
      </c>
      <c r="N94" s="275">
        <v>1.5684146409999999E-6</v>
      </c>
      <c r="O94" s="275"/>
      <c r="P94" s="275"/>
      <c r="Q94" s="118"/>
      <c r="R94" s="260">
        <f>'Parameters, country spec'!I58</f>
        <v>0.31451111490386796</v>
      </c>
    </row>
    <row r="95" spans="1:18" x14ac:dyDescent="0.35">
      <c r="A95" s="256" t="s">
        <v>472</v>
      </c>
      <c r="B95" s="16" t="s">
        <v>239</v>
      </c>
      <c r="C95" s="16" t="s">
        <v>473</v>
      </c>
      <c r="D95" s="257" t="s">
        <v>52</v>
      </c>
      <c r="E95" s="257" t="s">
        <v>53</v>
      </c>
      <c r="F95" s="272">
        <f t="shared" si="14"/>
        <v>2.0727300008761834E-4</v>
      </c>
      <c r="G95" s="273">
        <v>0</v>
      </c>
      <c r="H95" s="274">
        <v>1.1000000000000001E-6</v>
      </c>
      <c r="I95" s="275">
        <v>1.8457295999999999E-4</v>
      </c>
      <c r="J95" s="275">
        <v>1.8457295999999999E-5</v>
      </c>
      <c r="K95" s="275">
        <v>1.6098807704065999E-6</v>
      </c>
      <c r="L95" s="275">
        <v>0</v>
      </c>
      <c r="M95" s="275">
        <v>2.0000943579174501E-7</v>
      </c>
      <c r="N95" s="275">
        <v>1.3328538814200001E-6</v>
      </c>
      <c r="O95" s="275"/>
      <c r="P95" s="275"/>
      <c r="Q95" s="118"/>
      <c r="R95" s="260">
        <f>'Parameters, country spec'!I59</f>
        <v>0</v>
      </c>
    </row>
    <row r="96" spans="1:18" x14ac:dyDescent="0.35">
      <c r="A96" s="256" t="s">
        <v>474</v>
      </c>
      <c r="B96" s="16" t="s">
        <v>241</v>
      </c>
      <c r="C96" s="16" t="s">
        <v>473</v>
      </c>
      <c r="D96" s="257" t="s">
        <v>52</v>
      </c>
      <c r="E96" s="257" t="s">
        <v>53</v>
      </c>
      <c r="F96" s="272">
        <f t="shared" si="14"/>
        <v>2.1998305327249355E-4</v>
      </c>
      <c r="G96" s="273">
        <v>7.0244415562254001E-7</v>
      </c>
      <c r="H96" s="274">
        <v>1.1000000000000001E-6</v>
      </c>
      <c r="I96" s="275">
        <v>1.9569549234935599E-4</v>
      </c>
      <c r="J96" s="275">
        <v>1.9569549234935701E-5</v>
      </c>
      <c r="K96" s="275">
        <v>1.34715267052615E-6</v>
      </c>
      <c r="L96" s="275">
        <v>0</v>
      </c>
      <c r="M96" s="275">
        <v>2.2105314722E-13</v>
      </c>
      <c r="N96" s="275">
        <v>1.5684146409999999E-6</v>
      </c>
      <c r="O96" s="275"/>
      <c r="P96" s="275"/>
      <c r="Q96" s="118"/>
      <c r="R96" s="260">
        <f>'Parameters, country spec'!I60</f>
        <v>0</v>
      </c>
    </row>
    <row r="97" spans="1:19" x14ac:dyDescent="0.35">
      <c r="B97" s="18" t="s">
        <v>242</v>
      </c>
      <c r="C97" s="16" t="s">
        <v>475</v>
      </c>
      <c r="D97" s="257" t="s">
        <v>476</v>
      </c>
      <c r="E97" s="257"/>
      <c r="F97" s="272">
        <f t="shared" si="14"/>
        <v>6.7320455661575701E-4</v>
      </c>
      <c r="G97" s="54">
        <f>'Off-farm feed'!$F$77</f>
        <v>1.9469704390265966E-4</v>
      </c>
      <c r="H97" s="54">
        <f>'Off-farm feed'!$G$77</f>
        <v>5.3103448275862083E-7</v>
      </c>
      <c r="I97" s="54">
        <f>'Off-farm feed'!$H$77</f>
        <v>4.2751561806777074E-4</v>
      </c>
      <c r="J97" s="54">
        <f>'Off-farm feed'!$I$77</f>
        <v>4.2751561806777075E-5</v>
      </c>
      <c r="K97" s="54">
        <f>'Off-farm feed'!$J$77</f>
        <v>6.6339607025480393E-7</v>
      </c>
      <c r="L97" s="54"/>
      <c r="M97" s="54">
        <f>'Off-farm feed'!$L$77</f>
        <v>7.9511067188965528E-9</v>
      </c>
      <c r="N97" s="54">
        <f>'Off-farm feed'!$M$77</f>
        <v>1.2789681892721842E-6</v>
      </c>
      <c r="O97" s="54"/>
      <c r="P97" s="54">
        <f>'Off-farm feed'!$O$77</f>
        <v>3.9312802868423868E-6</v>
      </c>
      <c r="Q97" s="54">
        <f>'Off-farm feed'!$P$77</f>
        <v>1.8277027027027027E-6</v>
      </c>
      <c r="R97" s="260">
        <f>'Parameters, country spec'!I61</f>
        <v>0.10008651776935426</v>
      </c>
    </row>
    <row r="98" spans="1:19" x14ac:dyDescent="0.35">
      <c r="B98" s="18" t="s">
        <v>477</v>
      </c>
      <c r="C98" s="16" t="s">
        <v>475</v>
      </c>
      <c r="D98" s="257" t="s">
        <v>478</v>
      </c>
      <c r="E98" s="257"/>
      <c r="F98" s="272">
        <f t="shared" si="14"/>
        <v>1.8866346644602484E-4</v>
      </c>
      <c r="G98" s="54">
        <f>'Off-farm feed'!$F$26</f>
        <v>1.6332109719061435E-5</v>
      </c>
      <c r="H98" s="54">
        <f>'Off-farm feed'!$G$26</f>
        <v>8.7195121951219526E-7</v>
      </c>
      <c r="I98" s="54">
        <f>'Off-farm feed'!$H$26</f>
        <v>1.3333449845358183E-4</v>
      </c>
      <c r="J98" s="54">
        <f>'Off-farm feed'!$I$26</f>
        <v>1.3333449845358186E-5</v>
      </c>
      <c r="K98" s="54">
        <f>'Off-farm feed'!$J$26</f>
        <v>1.1576736579983962E-6</v>
      </c>
      <c r="L98" s="54"/>
      <c r="M98" s="54">
        <f>'Off-farm feed'!$L$26</f>
        <v>7.3437786087804875E-9</v>
      </c>
      <c r="N98" s="54">
        <f>'Off-farm feed'!$M$26</f>
        <v>1.1195281639512195E-6</v>
      </c>
      <c r="O98" s="54"/>
      <c r="P98" s="54">
        <f>'Off-farm feed'!$O$26</f>
        <v>1.3419073770115001E-5</v>
      </c>
      <c r="Q98" s="54">
        <f>'Off-farm feed'!$P$26</f>
        <v>9.087837837837838E-6</v>
      </c>
      <c r="R98" s="260">
        <f>'Parameters, country spec'!I62</f>
        <v>0.12925684634820819</v>
      </c>
    </row>
    <row r="99" spans="1:19" x14ac:dyDescent="0.35">
      <c r="B99" s="16" t="s">
        <v>244</v>
      </c>
      <c r="C99" s="16" t="s">
        <v>479</v>
      </c>
      <c r="D99" s="257" t="s">
        <v>52</v>
      </c>
      <c r="E99" s="257" t="s">
        <v>53</v>
      </c>
      <c r="F99" s="276">
        <f t="shared" si="14"/>
        <v>8.2639285976818784E-5</v>
      </c>
      <c r="G99" s="275">
        <v>2.0546216716363599E-6</v>
      </c>
      <c r="H99" s="275">
        <v>9.9E-8</v>
      </c>
      <c r="I99" s="275">
        <v>5.0990658766337099E-5</v>
      </c>
      <c r="J99">
        <v>5.0990658766337097E-6</v>
      </c>
      <c r="K99" s="275">
        <v>5.6190643181637003E-8</v>
      </c>
      <c r="L99">
        <v>0</v>
      </c>
      <c r="M99">
        <v>0</v>
      </c>
      <c r="N99" s="118">
        <v>1.4115731769000001E-7</v>
      </c>
      <c r="O99" s="118"/>
      <c r="P99" s="275">
        <v>2.3492890101997999E-5</v>
      </c>
      <c r="Q99" s="275">
        <v>7.0570159934197997E-7</v>
      </c>
      <c r="R99" s="260">
        <f>'Parameters, country spec'!I63</f>
        <v>1.4083067834104707E-2</v>
      </c>
      <c r="S99" t="s">
        <v>480</v>
      </c>
    </row>
    <row r="100" spans="1:19" x14ac:dyDescent="0.35">
      <c r="A100" s="262"/>
      <c r="B100" s="16" t="s">
        <v>481</v>
      </c>
      <c r="C100" s="263" t="s">
        <v>482</v>
      </c>
      <c r="D100" s="257" t="s">
        <v>52</v>
      </c>
      <c r="E100" s="257" t="s">
        <v>53</v>
      </c>
      <c r="F100" s="272">
        <f t="shared" si="14"/>
        <v>4.861858637702021E-4</v>
      </c>
      <c r="G100" s="277">
        <f>AVERAGE(G90:G98)</f>
        <v>3.5627549825709839E-5</v>
      </c>
      <c r="H100" s="277">
        <f>AVERAGE(H90:H98)</f>
        <v>1.0114428558078684E-6</v>
      </c>
      <c r="I100" s="277">
        <f>AVERAGE(I90:I98)</f>
        <v>4.0640365270895433E-4</v>
      </c>
      <c r="J100" s="277">
        <f>AVERAGE(J90:J98)</f>
        <v>4.0640365270895457E-5</v>
      </c>
      <c r="K100" s="277">
        <f>AVERAGE(K90:K98)</f>
        <v>1.012307556408872E-6</v>
      </c>
      <c r="L100" s="277"/>
      <c r="M100" s="277">
        <f>AVERAGE(M90:M98)</f>
        <v>3.0341321243195044E-8</v>
      </c>
      <c r="N100" s="277">
        <f>AVERAGE(N90:N98)</f>
        <v>1.4602042311826002E-6</v>
      </c>
      <c r="O100" s="277"/>
      <c r="P100" s="277"/>
      <c r="Q100" s="277"/>
      <c r="R100" s="260">
        <f>'Parameters, country spec'!I64</f>
        <v>5.5426839726735837E-2</v>
      </c>
    </row>
    <row r="101" spans="1:19" x14ac:dyDescent="0.35">
      <c r="A101" s="265"/>
      <c r="B101" s="266" t="s">
        <v>483</v>
      </c>
      <c r="C101" s="267"/>
      <c r="D101" s="268"/>
      <c r="E101" s="268"/>
      <c r="F101" s="278">
        <f t="shared" ref="F101:O101" si="15">SUMPRODUCT(F90:F100,$R$90:$R$100)</f>
        <v>5.2343957676503276E-4</v>
      </c>
      <c r="G101" s="278">
        <f t="shared" si="15"/>
        <v>3.7772469645556972E-5</v>
      </c>
      <c r="H101" s="278">
        <f t="shared" si="15"/>
        <v>9.9457176292932985E-7</v>
      </c>
      <c r="I101" s="278">
        <f t="shared" si="15"/>
        <v>4.3516984393875043E-4</v>
      </c>
      <c r="J101" s="278">
        <f t="shared" si="15"/>
        <v>4.351698439387507E-5</v>
      </c>
      <c r="K101" s="278">
        <f t="shared" si="15"/>
        <v>6.9145788439032398E-7</v>
      </c>
      <c r="L101" s="278">
        <f t="shared" si="15"/>
        <v>0</v>
      </c>
      <c r="M101" s="278">
        <f t="shared" si="15"/>
        <v>1.2564381880955794E-8</v>
      </c>
      <c r="N101" s="278">
        <f t="shared" si="15"/>
        <v>1.455325380431575E-6</v>
      </c>
      <c r="O101" s="278">
        <f t="shared" si="15"/>
        <v>0</v>
      </c>
      <c r="P101" s="278">
        <f>SUMPRODUCT(P90:P100,R90:R100)</f>
        <v>2.4588272756499932E-6</v>
      </c>
      <c r="Q101" s="278">
        <f>SUMPRODUCT(Q90:Q100,$R$90:$R$100)</f>
        <v>1.3675321015681583E-6</v>
      </c>
      <c r="R101" s="270"/>
    </row>
    <row r="102" spans="1:19" x14ac:dyDescent="0.35">
      <c r="A102" s="256" t="s">
        <v>466</v>
      </c>
      <c r="B102" s="16" t="s">
        <v>226</v>
      </c>
      <c r="C102" s="16" t="s">
        <v>467</v>
      </c>
      <c r="D102" s="257" t="s">
        <v>54</v>
      </c>
      <c r="E102" s="257" t="s">
        <v>55</v>
      </c>
      <c r="F102" s="279">
        <f t="shared" ref="F102:F112" si="16">SUM(G102:Q102)</f>
        <v>7.6696358474400187E-4</v>
      </c>
      <c r="G102" s="280">
        <v>2.6533375174134799E-5</v>
      </c>
      <c r="H102" s="281">
        <v>1.1000000000000001E-6</v>
      </c>
      <c r="I102" s="284">
        <v>6.6964096180350803E-4</v>
      </c>
      <c r="J102" s="284">
        <v>6.6964096180350798E-5</v>
      </c>
      <c r="K102" s="284">
        <v>1.2035756853396901E-6</v>
      </c>
      <c r="L102" s="284">
        <v>0</v>
      </c>
      <c r="M102" s="284">
        <v>4.0468638400000002E-14</v>
      </c>
      <c r="N102" s="284">
        <v>1.5215758602E-6</v>
      </c>
      <c r="O102" s="284"/>
      <c r="P102" s="284"/>
      <c r="Q102" s="283"/>
      <c r="R102" s="260">
        <f>'Parameters, country spec'!J54</f>
        <v>0.15537879618298778</v>
      </c>
    </row>
    <row r="103" spans="1:19" x14ac:dyDescent="0.35">
      <c r="A103" s="256" t="s">
        <v>468</v>
      </c>
      <c r="B103" s="16" t="s">
        <v>229</v>
      </c>
      <c r="C103" s="16" t="s">
        <v>467</v>
      </c>
      <c r="D103" s="257" t="s">
        <v>54</v>
      </c>
      <c r="E103" s="257" t="s">
        <v>55</v>
      </c>
      <c r="F103" s="272">
        <f t="shared" si="16"/>
        <v>6.101736408006546E-4</v>
      </c>
      <c r="G103" s="273">
        <v>2.2376108534218499E-5</v>
      </c>
      <c r="H103" s="274">
        <v>1.1000000000000001E-6</v>
      </c>
      <c r="I103" s="275">
        <v>5.3142748224594804E-4</v>
      </c>
      <c r="J103" s="275">
        <v>5.3142748224594797E-5</v>
      </c>
      <c r="K103" s="275">
        <v>6.0234873056705096E-7</v>
      </c>
      <c r="L103" s="275">
        <v>0</v>
      </c>
      <c r="M103" s="275">
        <v>3.3772051261859101E-9</v>
      </c>
      <c r="N103" s="275">
        <v>1.5215758602E-6</v>
      </c>
      <c r="O103" s="275"/>
      <c r="P103" s="275"/>
      <c r="Q103" s="118"/>
      <c r="R103" s="260">
        <f>'Parameters, country spec'!J55</f>
        <v>0.21285188977616532</v>
      </c>
    </row>
    <row r="104" spans="1:19" x14ac:dyDescent="0.35">
      <c r="A104" s="256" t="s">
        <v>469</v>
      </c>
      <c r="B104" s="16" t="s">
        <v>232</v>
      </c>
      <c r="C104" s="16" t="s">
        <v>467</v>
      </c>
      <c r="D104" s="257" t="s">
        <v>54</v>
      </c>
      <c r="E104" s="257" t="s">
        <v>55</v>
      </c>
      <c r="F104" s="272">
        <f t="shared" si="16"/>
        <v>7.7542919636243814E-4</v>
      </c>
      <c r="G104" s="273">
        <v>2.74338362257975E-5</v>
      </c>
      <c r="H104" s="274">
        <v>1.1000000000000001E-6</v>
      </c>
      <c r="I104" s="275">
        <v>6.7618533197909996E-4</v>
      </c>
      <c r="J104" s="275">
        <v>6.7618533197909994E-5</v>
      </c>
      <c r="K104" s="275">
        <v>1.5699189230533901E-6</v>
      </c>
      <c r="L104" s="275">
        <v>0</v>
      </c>
      <c r="M104" s="275">
        <v>1.7637740003599999E-13</v>
      </c>
      <c r="N104" s="275">
        <v>1.5215758602E-6</v>
      </c>
      <c r="O104" s="275"/>
      <c r="P104" s="275"/>
      <c r="Q104" s="118"/>
      <c r="R104" s="260">
        <f>'Parameters, country spec'!J56</f>
        <v>4.6535021524768639E-3</v>
      </c>
    </row>
    <row r="105" spans="1:19" x14ac:dyDescent="0.35">
      <c r="A105" s="256" t="s">
        <v>470</v>
      </c>
      <c r="B105" s="16" t="s">
        <v>235</v>
      </c>
      <c r="C105" s="16" t="s">
        <v>467</v>
      </c>
      <c r="D105" s="257" t="s">
        <v>54</v>
      </c>
      <c r="E105" s="257" t="s">
        <v>55</v>
      </c>
      <c r="F105" s="272">
        <f t="shared" si="16"/>
        <v>9.1547339181212808E-4</v>
      </c>
      <c r="G105" s="273">
        <v>3.34732159669112E-5</v>
      </c>
      <c r="H105" s="274">
        <v>1.1000000000000001E-6</v>
      </c>
      <c r="I105" s="275">
        <v>7.9806933701305103E-4</v>
      </c>
      <c r="J105" s="275">
        <v>7.9806933701305198E-5</v>
      </c>
      <c r="K105" s="275">
        <v>1.5023292575201099E-6</v>
      </c>
      <c r="L105" s="275">
        <v>0</v>
      </c>
      <c r="M105" s="275">
        <v>1.3140560710799999E-14</v>
      </c>
      <c r="N105" s="275">
        <v>1.5215758602E-6</v>
      </c>
      <c r="O105" s="275"/>
      <c r="P105" s="275"/>
      <c r="Q105" s="118"/>
      <c r="R105" s="260">
        <f>'Parameters, country spec'!J57</f>
        <v>6.0757670649699391E-2</v>
      </c>
    </row>
    <row r="106" spans="1:19" x14ac:dyDescent="0.35">
      <c r="A106" s="256" t="s">
        <v>471</v>
      </c>
      <c r="B106" s="16" t="s">
        <v>237</v>
      </c>
      <c r="C106" s="16" t="s">
        <v>467</v>
      </c>
      <c r="D106" s="257" t="s">
        <v>54</v>
      </c>
      <c r="E106" s="257" t="s">
        <v>55</v>
      </c>
      <c r="F106" s="272">
        <f t="shared" si="16"/>
        <v>9.7067859991607406E-4</v>
      </c>
      <c r="G106" s="273">
        <v>3.5903303170938602E-5</v>
      </c>
      <c r="H106" s="274">
        <v>1.1000000000000001E-6</v>
      </c>
      <c r="I106" s="275">
        <v>8.4650285551226103E-4</v>
      </c>
      <c r="J106" s="275">
        <v>8.4650285551226095E-5</v>
      </c>
      <c r="K106" s="275">
        <v>1.00057981336048E-6</v>
      </c>
      <c r="L106" s="275">
        <v>0</v>
      </c>
      <c r="M106" s="275">
        <v>8.0878203452000004E-15</v>
      </c>
      <c r="N106" s="275">
        <v>1.5215758602E-6</v>
      </c>
      <c r="O106" s="275"/>
      <c r="P106" s="275"/>
      <c r="Q106" s="118"/>
      <c r="R106" s="260">
        <f>'Parameters, country spec'!J58</f>
        <v>0.24429473309456204</v>
      </c>
    </row>
    <row r="107" spans="1:19" x14ac:dyDescent="0.35">
      <c r="A107" s="256" t="s">
        <v>472</v>
      </c>
      <c r="B107" s="16" t="s">
        <v>239</v>
      </c>
      <c r="C107" s="16" t="s">
        <v>473</v>
      </c>
      <c r="D107" s="257" t="s">
        <v>54</v>
      </c>
      <c r="E107" s="257" t="s">
        <v>55</v>
      </c>
      <c r="F107" s="272">
        <f t="shared" si="16"/>
        <v>2.0790138888415369E-4</v>
      </c>
      <c r="G107" s="273">
        <v>0</v>
      </c>
      <c r="H107" s="274">
        <v>1.1000000000000001E-6</v>
      </c>
      <c r="I107" s="275">
        <v>1.8457295999999999E-4</v>
      </c>
      <c r="J107" s="275">
        <v>1.8457295999999999E-5</v>
      </c>
      <c r="K107" s="275">
        <v>2.2494532199271001E-6</v>
      </c>
      <c r="L107" s="275">
        <v>0</v>
      </c>
      <c r="M107" s="275">
        <v>1.038040266076E-10</v>
      </c>
      <c r="N107" s="275">
        <v>1.5215758602E-6</v>
      </c>
      <c r="O107" s="275"/>
      <c r="P107" s="275"/>
      <c r="Q107" s="118"/>
      <c r="R107" s="260">
        <f>'Parameters, country spec'!J59</f>
        <v>3.0603451734342534E-3</v>
      </c>
    </row>
    <row r="108" spans="1:19" x14ac:dyDescent="0.35">
      <c r="A108" s="256" t="s">
        <v>474</v>
      </c>
      <c r="B108" s="16" t="s">
        <v>241</v>
      </c>
      <c r="C108" s="16" t="s">
        <v>473</v>
      </c>
      <c r="D108" s="257" t="s">
        <v>54</v>
      </c>
      <c r="E108" s="257" t="s">
        <v>55</v>
      </c>
      <c r="F108" s="272">
        <f t="shared" si="16"/>
        <v>2.2514369738538706E-4</v>
      </c>
      <c r="G108" s="273">
        <v>8.9196149290068503E-7</v>
      </c>
      <c r="H108" s="274">
        <v>1.1000000000000001E-6</v>
      </c>
      <c r="I108" s="275">
        <v>1.99897210705804E-4</v>
      </c>
      <c r="J108" s="275">
        <v>1.9989721070580399E-5</v>
      </c>
      <c r="K108" s="275">
        <v>1.74315622218462E-6</v>
      </c>
      <c r="L108" s="275">
        <v>0</v>
      </c>
      <c r="M108" s="275">
        <v>7.2033717345296003E-11</v>
      </c>
      <c r="N108" s="275">
        <v>1.5215758602E-6</v>
      </c>
      <c r="O108" s="275"/>
      <c r="P108" s="275"/>
      <c r="Q108" s="118"/>
      <c r="R108" s="260">
        <f>'Parameters, country spec'!J60</f>
        <v>3.0062674660528534E-3</v>
      </c>
    </row>
    <row r="109" spans="1:19" x14ac:dyDescent="0.35">
      <c r="B109" s="18" t="s">
        <v>242</v>
      </c>
      <c r="C109" s="16" t="s">
        <v>475</v>
      </c>
      <c r="D109" s="257" t="s">
        <v>476</v>
      </c>
      <c r="E109" s="257"/>
      <c r="F109" s="272">
        <f t="shared" si="16"/>
        <v>6.7320455661575701E-4</v>
      </c>
      <c r="G109" s="54">
        <f>'Off-farm feed'!$F$77</f>
        <v>1.9469704390265966E-4</v>
      </c>
      <c r="H109" s="54">
        <f>'Off-farm feed'!$G$77</f>
        <v>5.3103448275862083E-7</v>
      </c>
      <c r="I109" s="54">
        <f>'Off-farm feed'!$H$77</f>
        <v>4.2751561806777074E-4</v>
      </c>
      <c r="J109" s="54">
        <f>'Off-farm feed'!$I$77</f>
        <v>4.2751561806777075E-5</v>
      </c>
      <c r="K109" s="54">
        <f>'Off-farm feed'!$J$77</f>
        <v>6.6339607025480393E-7</v>
      </c>
      <c r="L109" s="54"/>
      <c r="M109" s="54">
        <f>'Off-farm feed'!$L$77</f>
        <v>7.9511067188965528E-9</v>
      </c>
      <c r="N109" s="54">
        <f>'Off-farm feed'!$M$77</f>
        <v>1.2789681892721842E-6</v>
      </c>
      <c r="O109" s="54"/>
      <c r="P109" s="54">
        <f>'Off-farm feed'!$O$77</f>
        <v>3.9312802868423868E-6</v>
      </c>
      <c r="Q109" s="54">
        <f>'Off-farm feed'!$P$77</f>
        <v>1.8277027027027027E-6</v>
      </c>
      <c r="R109" s="260">
        <f>'Parameters, country spec'!J61</f>
        <v>2.2057566041319011E-2</v>
      </c>
    </row>
    <row r="110" spans="1:19" x14ac:dyDescent="0.35">
      <c r="B110" s="18" t="s">
        <v>477</v>
      </c>
      <c r="C110" s="16" t="s">
        <v>475</v>
      </c>
      <c r="D110" s="257" t="s">
        <v>478</v>
      </c>
      <c r="E110" s="257"/>
      <c r="F110" s="272">
        <f t="shared" si="16"/>
        <v>1.8866346644602484E-4</v>
      </c>
      <c r="G110" s="54">
        <f>'Off-farm feed'!$F$26</f>
        <v>1.6332109719061435E-5</v>
      </c>
      <c r="H110" s="54">
        <f>'Off-farm feed'!$G$26</f>
        <v>8.7195121951219526E-7</v>
      </c>
      <c r="I110" s="54">
        <f>'Off-farm feed'!$H$26</f>
        <v>1.3333449845358183E-4</v>
      </c>
      <c r="J110" s="54">
        <f>'Off-farm feed'!$I$26</f>
        <v>1.3333449845358186E-5</v>
      </c>
      <c r="K110" s="54">
        <f>'Off-farm feed'!$J$26</f>
        <v>1.1576736579983962E-6</v>
      </c>
      <c r="L110" s="54"/>
      <c r="M110" s="54">
        <f>'Off-farm feed'!$L$26</f>
        <v>7.3437786087804875E-9</v>
      </c>
      <c r="N110" s="54">
        <f>'Off-farm feed'!$M$26</f>
        <v>1.1195281639512195E-6</v>
      </c>
      <c r="O110" s="54"/>
      <c r="P110" s="54">
        <f>'Off-farm feed'!$O$26</f>
        <v>1.3419073770115001E-5</v>
      </c>
      <c r="Q110" s="54">
        <f>'Off-farm feed'!$P$26</f>
        <v>9.087837837837838E-6</v>
      </c>
      <c r="R110" s="260">
        <f>'Parameters, country spec'!J62</f>
        <v>7.6936029566743946E-2</v>
      </c>
    </row>
    <row r="111" spans="1:19" x14ac:dyDescent="0.35">
      <c r="B111" s="16" t="s">
        <v>244</v>
      </c>
      <c r="C111" s="16" t="s">
        <v>479</v>
      </c>
      <c r="D111" s="257" t="s">
        <v>54</v>
      </c>
      <c r="E111" s="257" t="s">
        <v>55</v>
      </c>
      <c r="F111" s="276">
        <f t="shared" si="16"/>
        <v>1.0756621758759058E-4</v>
      </c>
      <c r="G111" s="275">
        <v>3.23129728538447E-6</v>
      </c>
      <c r="H111" s="275">
        <v>9.9E-8</v>
      </c>
      <c r="I111" s="275">
        <v>7.6185256996103506E-5</v>
      </c>
      <c r="J111">
        <v>7.6185256996103501E-6</v>
      </c>
      <c r="K111" s="275">
        <v>9.0052183202443105E-8</v>
      </c>
      <c r="L111">
        <v>0</v>
      </c>
      <c r="M111">
        <v>7.2790383106799998E-16</v>
      </c>
      <c r="N111" s="118">
        <v>1.36941827418E-7</v>
      </c>
      <c r="O111" s="118"/>
      <c r="P111" s="275">
        <v>1.9943224185242898E-5</v>
      </c>
      <c r="Q111" s="275">
        <v>2.6191940990099401E-7</v>
      </c>
      <c r="R111" s="260">
        <f>'Parameters, country spec'!J63</f>
        <v>9.266442137782821E-2</v>
      </c>
    </row>
    <row r="112" spans="1:19" x14ac:dyDescent="0.35">
      <c r="A112" s="262"/>
      <c r="B112" s="16" t="s">
        <v>481</v>
      </c>
      <c r="C112" s="263" t="s">
        <v>482</v>
      </c>
      <c r="D112" s="257" t="s">
        <v>54</v>
      </c>
      <c r="E112" s="257" t="s">
        <v>55</v>
      </c>
      <c r="F112" s="272">
        <f t="shared" si="16"/>
        <v>5.8948506981879132E-4</v>
      </c>
      <c r="G112" s="277">
        <f>AVERAGE(G102:G110)</f>
        <v>3.9737883798513597E-5</v>
      </c>
      <c r="H112" s="277">
        <f>AVERAGE(H102:H110)</f>
        <v>1.0114428558078684E-6</v>
      </c>
      <c r="I112" s="277">
        <f>AVERAGE(I102:I110)</f>
        <v>4.9634958397566946E-4</v>
      </c>
      <c r="J112" s="277">
        <f>AVERAGE(J102:J110)</f>
        <v>4.9634958397566955E-5</v>
      </c>
      <c r="K112" s="277">
        <f>AVERAGE(K102:K110)</f>
        <v>1.2991590644672932E-6</v>
      </c>
      <c r="L112" s="277"/>
      <c r="M112" s="277">
        <f>AVERAGE(M102:M110)</f>
        <v>2.0942406969150376E-9</v>
      </c>
      <c r="N112" s="277">
        <f>AVERAGE(N102:N110)</f>
        <v>1.4499474860692671E-6</v>
      </c>
      <c r="O112" s="277"/>
      <c r="P112" s="277"/>
      <c r="Q112" s="277"/>
      <c r="R112" s="260">
        <f>'Parameters, country spec'!J64</f>
        <v>0.12433877851873028</v>
      </c>
    </row>
    <row r="113" spans="1:18" x14ac:dyDescent="0.35">
      <c r="A113" s="265"/>
      <c r="B113" s="266" t="s">
        <v>483</v>
      </c>
      <c r="C113" s="267"/>
      <c r="D113" s="268"/>
      <c r="E113" s="268"/>
      <c r="F113" s="278">
        <f t="shared" ref="F113:O113" si="17">SUMPRODUCT(F102:F112,$R$102:$R$112)</f>
        <v>6.5934943183252096E-4</v>
      </c>
      <c r="G113" s="278">
        <f t="shared" si="17"/>
        <v>3.0612065073821431E-5</v>
      </c>
      <c r="H113" s="278">
        <f t="shared" si="17"/>
        <v>9.6613666487278271E-7</v>
      </c>
      <c r="I113" s="278">
        <f t="shared" si="17"/>
        <v>5.652241494675189E-4</v>
      </c>
      <c r="J113" s="278">
        <f t="shared" si="17"/>
        <v>5.6522414946751884E-5</v>
      </c>
      <c r="K113" s="278">
        <f t="shared" si="17"/>
        <v>9.439459316595667E-7</v>
      </c>
      <c r="L113" s="278">
        <f t="shared" si="17"/>
        <v>0</v>
      </c>
      <c r="M113" s="278">
        <f t="shared" si="17"/>
        <v>1.7201672323456608E-9</v>
      </c>
      <c r="N113" s="278">
        <f t="shared" si="17"/>
        <v>1.3480800760160504E-6</v>
      </c>
      <c r="O113" s="278">
        <f t="shared" si="17"/>
        <v>0</v>
      </c>
      <c r="P113" s="278">
        <f>SUMPRODUCT(P102:P112,R102:R112)</f>
        <v>2.9671520604236896E-6</v>
      </c>
      <c r="Q113" s="278">
        <f>SUMPRODUCT(Q102:Q112,$R$102:$R$112)</f>
        <v>7.6376744422452626E-7</v>
      </c>
      <c r="R113" s="270"/>
    </row>
    <row r="114" spans="1:18" x14ac:dyDescent="0.35">
      <c r="A114" s="256" t="s">
        <v>466</v>
      </c>
      <c r="B114" s="16" t="s">
        <v>226</v>
      </c>
      <c r="C114" s="16" t="s">
        <v>467</v>
      </c>
      <c r="D114" s="257" t="s">
        <v>56</v>
      </c>
      <c r="E114" s="257" t="s">
        <v>57</v>
      </c>
      <c r="F114" s="279">
        <f t="shared" ref="F114:F124" si="18">SUM(G114:Q114)</f>
        <v>7.5793369764586287E-4</v>
      </c>
      <c r="G114" s="280">
        <v>1.6656438537736301E-5</v>
      </c>
      <c r="H114" s="281">
        <v>1.1000000000000001E-6</v>
      </c>
      <c r="I114" s="284">
        <v>6.7006907764630402E-4</v>
      </c>
      <c r="J114" s="284">
        <v>6.7006907764630393E-5</v>
      </c>
      <c r="K114" s="284">
        <v>1.64848484848485E-6</v>
      </c>
      <c r="L114" s="284">
        <v>0</v>
      </c>
      <c r="M114" s="284">
        <v>4.0461011107327797E-8</v>
      </c>
      <c r="N114" s="284">
        <v>1.4123278375999999E-6</v>
      </c>
      <c r="O114" s="284"/>
      <c r="P114" s="284"/>
      <c r="Q114" s="283"/>
      <c r="R114" s="260">
        <f>'Parameters, country spec'!K54</f>
        <v>0.23308111745751758</v>
      </c>
    </row>
    <row r="115" spans="1:18" x14ac:dyDescent="0.35">
      <c r="A115" s="256" t="s">
        <v>468</v>
      </c>
      <c r="B115" s="16" t="s">
        <v>229</v>
      </c>
      <c r="C115" s="16" t="s">
        <v>467</v>
      </c>
      <c r="D115" s="257" t="s">
        <v>56</v>
      </c>
      <c r="E115" s="257" t="s">
        <v>57</v>
      </c>
      <c r="F115" s="272">
        <f t="shared" si="18"/>
        <v>3.2230444816981531E-4</v>
      </c>
      <c r="G115" s="273">
        <v>6.0676976287880996E-6</v>
      </c>
      <c r="H115" s="274">
        <v>1.1000000000000001E-6</v>
      </c>
      <c r="I115" s="275">
        <v>2.8397749857393798E-4</v>
      </c>
      <c r="J115" s="275">
        <v>2.8397749857393802E-5</v>
      </c>
      <c r="K115" s="275">
        <v>3.5637667829090599E-7</v>
      </c>
      <c r="L115" s="275">
        <v>0</v>
      </c>
      <c r="M115" s="275">
        <v>9.9279759380455499E-7</v>
      </c>
      <c r="N115" s="275">
        <v>1.4123278375999999E-6</v>
      </c>
      <c r="O115" s="275"/>
      <c r="P115" s="275"/>
      <c r="Q115" s="118"/>
      <c r="R115" s="260">
        <f>'Parameters, country spec'!K55</f>
        <v>0.30741311484903272</v>
      </c>
    </row>
    <row r="116" spans="1:18" x14ac:dyDescent="0.35">
      <c r="A116" s="256" t="s">
        <v>469</v>
      </c>
      <c r="B116" s="16" t="s">
        <v>232</v>
      </c>
      <c r="C116" s="16" t="s">
        <v>467</v>
      </c>
      <c r="D116" s="257" t="s">
        <v>56</v>
      </c>
      <c r="E116" s="257" t="s">
        <v>57</v>
      </c>
      <c r="F116" s="272">
        <f t="shared" si="18"/>
        <v>8.2032664331825394E-4</v>
      </c>
      <c r="G116" s="273">
        <v>1.9268303553438E-5</v>
      </c>
      <c r="H116" s="274">
        <v>1.1000000000000001E-6</v>
      </c>
      <c r="I116" s="275">
        <v>7.2371036062986497E-4</v>
      </c>
      <c r="J116" s="275">
        <v>7.2371036062986502E-5</v>
      </c>
      <c r="K116" s="275">
        <v>2.4057808730306002E-6</v>
      </c>
      <c r="L116" s="275">
        <v>0</v>
      </c>
      <c r="M116" s="275">
        <v>5.8834361333881001E-8</v>
      </c>
      <c r="N116" s="275">
        <v>1.4123278375999999E-6</v>
      </c>
      <c r="O116" s="275"/>
      <c r="P116" s="275"/>
      <c r="Q116" s="118"/>
      <c r="R116" s="260">
        <f>'Parameters, country spec'!K56</f>
        <v>3.6341430093052865E-2</v>
      </c>
    </row>
    <row r="117" spans="1:18" x14ac:dyDescent="0.35">
      <c r="A117" s="256" t="s">
        <v>470</v>
      </c>
      <c r="B117" s="16" t="s">
        <v>235</v>
      </c>
      <c r="C117" s="16" t="s">
        <v>467</v>
      </c>
      <c r="D117" s="257" t="s">
        <v>56</v>
      </c>
      <c r="E117" s="257" t="s">
        <v>57</v>
      </c>
      <c r="F117" s="272">
        <f t="shared" si="18"/>
        <v>9.4685032492134531E-4</v>
      </c>
      <c r="G117" s="273">
        <v>2.3403482752626099E-5</v>
      </c>
      <c r="H117" s="274">
        <v>1.1000000000000001E-6</v>
      </c>
      <c r="I117" s="275">
        <v>8.3505960069387699E-4</v>
      </c>
      <c r="J117" s="275">
        <v>8.3505960069387699E-5</v>
      </c>
      <c r="K117" s="275">
        <v>2.2917649979166499E-6</v>
      </c>
      <c r="L117" s="275">
        <v>0</v>
      </c>
      <c r="M117" s="275">
        <v>7.7188569937927195E-8</v>
      </c>
      <c r="N117" s="275">
        <v>1.4123278375999999E-6</v>
      </c>
      <c r="O117" s="275"/>
      <c r="P117" s="275"/>
      <c r="Q117" s="118"/>
      <c r="R117" s="260">
        <f>'Parameters, country spec'!K57</f>
        <v>9.5925750911748202E-3</v>
      </c>
    </row>
    <row r="118" spans="1:18" x14ac:dyDescent="0.35">
      <c r="A118" s="256" t="s">
        <v>471</v>
      </c>
      <c r="B118" s="16" t="s">
        <v>237</v>
      </c>
      <c r="C118" s="16" t="s">
        <v>467</v>
      </c>
      <c r="D118" s="257" t="s">
        <v>56</v>
      </c>
      <c r="E118" s="257" t="s">
        <v>57</v>
      </c>
      <c r="F118" s="272">
        <f t="shared" si="18"/>
        <v>9.9422818122045834E-4</v>
      </c>
      <c r="G118" s="273">
        <v>2.50158305670159E-5</v>
      </c>
      <c r="H118" s="274">
        <v>1.1000000000000001E-6</v>
      </c>
      <c r="I118" s="275">
        <v>8.7739061438280204E-4</v>
      </c>
      <c r="J118" s="275">
        <v>8.7739061438280199E-5</v>
      </c>
      <c r="K118" s="275">
        <v>1.5210873786407801E-6</v>
      </c>
      <c r="L118" s="275">
        <v>0</v>
      </c>
      <c r="M118" s="275">
        <v>4.92596161193171E-8</v>
      </c>
      <c r="N118" s="275">
        <v>1.4123278375999999E-6</v>
      </c>
      <c r="O118" s="275"/>
      <c r="P118" s="275"/>
      <c r="Q118" s="118"/>
      <c r="R118" s="260">
        <f>'Parameters, country spec'!K58</f>
        <v>0.19744357688386704</v>
      </c>
    </row>
    <row r="119" spans="1:18" x14ac:dyDescent="0.35">
      <c r="A119" s="256" t="s">
        <v>472</v>
      </c>
      <c r="B119" s="16" t="s">
        <v>239</v>
      </c>
      <c r="C119" s="16" t="s">
        <v>473</v>
      </c>
      <c r="D119" s="257" t="s">
        <v>56</v>
      </c>
      <c r="E119" s="257" t="s">
        <v>57</v>
      </c>
      <c r="F119" s="272">
        <f t="shared" si="18"/>
        <v>3.4494332405198534E-4</v>
      </c>
      <c r="G119" s="273">
        <v>0</v>
      </c>
      <c r="H119" s="274">
        <v>1.1000000000000001E-6</v>
      </c>
      <c r="I119" s="275">
        <v>3.0762159999999999E-4</v>
      </c>
      <c r="J119" s="275">
        <v>3.0762159999999999E-5</v>
      </c>
      <c r="K119" s="275">
        <v>3.5726450367868798E-6</v>
      </c>
      <c r="L119" s="275">
        <v>0</v>
      </c>
      <c r="M119" s="275">
        <v>4.7459117759844598E-7</v>
      </c>
      <c r="N119" s="275">
        <v>1.4123278375999999E-6</v>
      </c>
      <c r="O119" s="275"/>
      <c r="P119" s="275"/>
      <c r="Q119" s="118"/>
      <c r="R119" s="260">
        <f>'Parameters, country spec'!K59</f>
        <v>5.4797743342333812E-3</v>
      </c>
    </row>
    <row r="120" spans="1:18" x14ac:dyDescent="0.35">
      <c r="A120" s="256" t="s">
        <v>474</v>
      </c>
      <c r="B120" s="16" t="s">
        <v>241</v>
      </c>
      <c r="C120" s="16" t="s">
        <v>473</v>
      </c>
      <c r="D120" s="257" t="s">
        <v>56</v>
      </c>
      <c r="E120" s="257" t="s">
        <v>57</v>
      </c>
      <c r="F120" s="272">
        <f t="shared" si="18"/>
        <v>3.6818817979115932E-4</v>
      </c>
      <c r="G120" s="273">
        <v>8.9627430212095202E-7</v>
      </c>
      <c r="H120" s="274">
        <v>1.1000000000000001E-6</v>
      </c>
      <c r="I120" s="275">
        <v>3.2767948955501999E-4</v>
      </c>
      <c r="J120" s="275">
        <v>3.2767948955502001E-5</v>
      </c>
      <c r="K120" s="275">
        <v>3.8216688707544397E-6</v>
      </c>
      <c r="L120" s="275">
        <v>0</v>
      </c>
      <c r="M120" s="275">
        <v>5.1047027016191603E-7</v>
      </c>
      <c r="N120" s="275">
        <v>1.4123278375999999E-6</v>
      </c>
      <c r="O120" s="275"/>
      <c r="P120" s="275"/>
      <c r="Q120" s="118"/>
      <c r="R120" s="260">
        <f>'Parameters, country spec'!K60</f>
        <v>5.382944196147911E-3</v>
      </c>
    </row>
    <row r="121" spans="1:18" x14ac:dyDescent="0.35">
      <c r="B121" s="18" t="s">
        <v>242</v>
      </c>
      <c r="C121" s="16" t="s">
        <v>475</v>
      </c>
      <c r="D121" s="257" t="s">
        <v>476</v>
      </c>
      <c r="E121" s="257"/>
      <c r="F121" s="272">
        <f t="shared" si="18"/>
        <v>6.7320455661575701E-4</v>
      </c>
      <c r="G121" s="54">
        <f>'Off-farm feed'!$F$77</f>
        <v>1.9469704390265966E-4</v>
      </c>
      <c r="H121" s="54">
        <f>'Off-farm feed'!$G$77</f>
        <v>5.3103448275862083E-7</v>
      </c>
      <c r="I121" s="54">
        <f>'Off-farm feed'!$H$77</f>
        <v>4.2751561806777074E-4</v>
      </c>
      <c r="J121" s="54">
        <f>'Off-farm feed'!$I$77</f>
        <v>4.2751561806777075E-5</v>
      </c>
      <c r="K121" s="54">
        <f>'Off-farm feed'!$J$77</f>
        <v>6.6339607025480393E-7</v>
      </c>
      <c r="L121" s="54"/>
      <c r="M121" s="54">
        <f>'Off-farm feed'!$L$77</f>
        <v>7.9511067188965528E-9</v>
      </c>
      <c r="N121" s="54">
        <f>'Off-farm feed'!$M$77</f>
        <v>1.2789681892721842E-6</v>
      </c>
      <c r="O121" s="54"/>
      <c r="P121" s="54">
        <f>'Off-farm feed'!$O$77</f>
        <v>3.9312802868423868E-6</v>
      </c>
      <c r="Q121" s="54">
        <f>'Off-farm feed'!$P$77</f>
        <v>1.8277027027027027E-6</v>
      </c>
      <c r="R121" s="260">
        <f>'Parameters, country spec'!K61</f>
        <v>1.5869945984621978E-2</v>
      </c>
    </row>
    <row r="122" spans="1:18" x14ac:dyDescent="0.35">
      <c r="B122" s="18" t="s">
        <v>477</v>
      </c>
      <c r="C122" s="16" t="s">
        <v>475</v>
      </c>
      <c r="D122" s="257" t="s">
        <v>478</v>
      </c>
      <c r="E122" s="257"/>
      <c r="F122" s="272">
        <f t="shared" si="18"/>
        <v>1.8866346644602484E-4</v>
      </c>
      <c r="G122" s="54">
        <f>'Off-farm feed'!$F$26</f>
        <v>1.6332109719061435E-5</v>
      </c>
      <c r="H122" s="54">
        <f>'Off-farm feed'!$G$26</f>
        <v>8.7195121951219526E-7</v>
      </c>
      <c r="I122" s="54">
        <f>'Off-farm feed'!$H$26</f>
        <v>1.3333449845358183E-4</v>
      </c>
      <c r="J122" s="54">
        <f>'Off-farm feed'!$I$26</f>
        <v>1.3333449845358186E-5</v>
      </c>
      <c r="K122" s="54">
        <f>'Off-farm feed'!$J$26</f>
        <v>1.1576736579983962E-6</v>
      </c>
      <c r="L122" s="54"/>
      <c r="M122" s="54">
        <f>'Off-farm feed'!$L$26</f>
        <v>7.3437786087804875E-9</v>
      </c>
      <c r="N122" s="54">
        <f>'Off-farm feed'!$M$26</f>
        <v>1.1195281639512195E-6</v>
      </c>
      <c r="O122" s="54"/>
      <c r="P122" s="54">
        <f>'Off-farm feed'!$O$26</f>
        <v>1.3419073770115001E-5</v>
      </c>
      <c r="Q122" s="54">
        <f>'Off-farm feed'!$P$26</f>
        <v>9.087837837837838E-6</v>
      </c>
      <c r="R122" s="260">
        <f>'Parameters, country spec'!K62</f>
        <v>0.13566182798477194</v>
      </c>
    </row>
    <row r="123" spans="1:18" x14ac:dyDescent="0.35">
      <c r="B123" s="16" t="s">
        <v>244</v>
      </c>
      <c r="C123" s="16" t="s">
        <v>479</v>
      </c>
      <c r="D123" s="257" t="s">
        <v>56</v>
      </c>
      <c r="E123" s="257" t="s">
        <v>57</v>
      </c>
      <c r="F123" s="276">
        <f t="shared" si="18"/>
        <v>1.0933806362560572E-4</v>
      </c>
      <c r="G123" s="275">
        <v>2.2514247510314298E-6</v>
      </c>
      <c r="H123" s="275">
        <v>9.9E-8</v>
      </c>
      <c r="I123" s="275">
        <v>7.8965155294452198E-5</v>
      </c>
      <c r="J123">
        <v>7.8965155294452204E-6</v>
      </c>
      <c r="K123" s="275">
        <v>1.3689786407767001E-7</v>
      </c>
      <c r="L123">
        <v>0</v>
      </c>
      <c r="M123">
        <v>4.4333654507385397E-9</v>
      </c>
      <c r="N123" s="118">
        <v>1.2710950538399999E-7</v>
      </c>
      <c r="O123" s="118"/>
      <c r="P123" s="275">
        <v>1.3804343589274599E-5</v>
      </c>
      <c r="Q123" s="275">
        <v>6.0531837264898599E-6</v>
      </c>
      <c r="R123" s="260">
        <f>'Parameters, country spec'!K63</f>
        <v>2.2394846703331771E-2</v>
      </c>
    </row>
    <row r="124" spans="1:18" x14ac:dyDescent="0.35">
      <c r="A124" s="262"/>
      <c r="B124" s="16" t="s">
        <v>481</v>
      </c>
      <c r="C124" s="263" t="s">
        <v>482</v>
      </c>
      <c r="D124" s="257" t="s">
        <v>56</v>
      </c>
      <c r="E124" s="257" t="s">
        <v>57</v>
      </c>
      <c r="F124" s="272">
        <f t="shared" si="18"/>
        <v>5.9870854750924051E-4</v>
      </c>
      <c r="G124" s="277">
        <f>AVERAGE(G114:G122)</f>
        <v>3.3593020107049606E-5</v>
      </c>
      <c r="H124" s="277">
        <f>AVERAGE(H114:H122)</f>
        <v>1.0114428558078684E-6</v>
      </c>
      <c r="I124" s="277">
        <f>AVERAGE(I114:I122)</f>
        <v>5.0959537311146203E-4</v>
      </c>
      <c r="J124" s="277">
        <f>AVERAGE(J114:J122)</f>
        <v>5.0959537311146217E-5</v>
      </c>
      <c r="K124" s="277">
        <f>AVERAGE(K114:K122)</f>
        <v>1.9376531569064781E-6</v>
      </c>
      <c r="L124" s="277"/>
      <c r="M124" s="277">
        <f>AVERAGE(M114:M122)</f>
        <v>2.4654416504344962E-7</v>
      </c>
      <c r="N124" s="277">
        <f>AVERAGE(N114:N122)</f>
        <v>1.3649768018248223E-6</v>
      </c>
      <c r="O124" s="277"/>
      <c r="P124" s="277"/>
      <c r="Q124" s="277"/>
      <c r="R124" s="260">
        <f>'Parameters, country spec'!K64</f>
        <v>3.1338846422248039E-2</v>
      </c>
    </row>
    <row r="125" spans="1:18" x14ac:dyDescent="0.35">
      <c r="A125" s="285"/>
      <c r="B125" s="286" t="s">
        <v>483</v>
      </c>
      <c r="C125" s="287"/>
      <c r="D125" s="268"/>
      <c r="E125" s="268"/>
      <c r="F125" s="278">
        <f t="shared" ref="F125:O125" si="19">SUMPRODUCT(F114:F124,$R$114:$R$124)</f>
        <v>5.7230093516734784E-4</v>
      </c>
      <c r="G125" s="278">
        <f t="shared" si="19"/>
        <v>1.8025030407583872E-5</v>
      </c>
      <c r="H125" s="278">
        <f t="shared" si="19"/>
        <v>1.0348405132521282E-6</v>
      </c>
      <c r="I125" s="278">
        <f t="shared" si="19"/>
        <v>4.9708621200491318E-4</v>
      </c>
      <c r="J125" s="278">
        <f t="shared" si="19"/>
        <v>4.9708621200491301E-5</v>
      </c>
      <c r="K125" s="278">
        <f t="shared" si="19"/>
        <v>1.1750468580561031E-6</v>
      </c>
      <c r="L125" s="278">
        <f t="shared" si="19"/>
        <v>0</v>
      </c>
      <c r="M125" s="278">
        <f t="shared" si="19"/>
        <v>3.4153088905486715E-7</v>
      </c>
      <c r="N125" s="278">
        <f t="shared" si="19"/>
        <v>1.3402234938555893E-6</v>
      </c>
      <c r="O125" s="278">
        <f t="shared" si="19"/>
        <v>0</v>
      </c>
      <c r="P125" s="278">
        <f>SUMPRODUCT(P114:P124,R114:R124)</f>
        <v>2.1919914418408298E-6</v>
      </c>
      <c r="Q125" s="278">
        <f>SUMPRODUCT(Q114:Q124,$R$114:$R$124)</f>
        <v>1.3974383582999411E-6</v>
      </c>
      <c r="R125" s="270"/>
    </row>
    <row r="126" spans="1:18" x14ac:dyDescent="0.35">
      <c r="A126" s="288" t="s">
        <v>466</v>
      </c>
      <c r="B126" s="74" t="s">
        <v>226</v>
      </c>
      <c r="C126" s="74" t="s">
        <v>467</v>
      </c>
      <c r="D126" s="257" t="s">
        <v>58</v>
      </c>
      <c r="E126" s="257" t="s">
        <v>59</v>
      </c>
      <c r="F126" s="279">
        <f t="shared" ref="F126:F136" si="20">SUM(G126:Q126)</f>
        <v>7.5143494997671485E-4</v>
      </c>
      <c r="G126" s="280">
        <v>3.4194516835659798E-5</v>
      </c>
      <c r="H126" s="281">
        <v>1.1000000000000001E-6</v>
      </c>
      <c r="I126" s="284">
        <v>6.4877223033503201E-4</v>
      </c>
      <c r="J126" s="284">
        <v>6.4877223033503201E-5</v>
      </c>
      <c r="K126" s="284">
        <v>1.1579237811979299E-6</v>
      </c>
      <c r="L126" s="284">
        <v>0</v>
      </c>
      <c r="M126" s="284">
        <v>4.1974921861488002E-11</v>
      </c>
      <c r="N126" s="284">
        <v>1.3330140164000001E-6</v>
      </c>
      <c r="O126" s="284"/>
      <c r="P126" s="284"/>
      <c r="Q126" s="283"/>
      <c r="R126" s="260">
        <f>'Parameters, country spec'!L54</f>
        <v>0.26218798715146902</v>
      </c>
    </row>
    <row r="127" spans="1:18" x14ac:dyDescent="0.35">
      <c r="A127" s="256" t="s">
        <v>468</v>
      </c>
      <c r="B127" s="16" t="s">
        <v>229</v>
      </c>
      <c r="C127" s="16" t="s">
        <v>467</v>
      </c>
      <c r="D127" s="257" t="s">
        <v>58</v>
      </c>
      <c r="E127" s="257" t="s">
        <v>59</v>
      </c>
      <c r="F127" s="272">
        <f t="shared" si="20"/>
        <v>6.0020470375904552E-4</v>
      </c>
      <c r="G127" s="273">
        <v>2.9011100690969499E-5</v>
      </c>
      <c r="H127" s="274">
        <v>1.1000000000000001E-6</v>
      </c>
      <c r="I127" s="275">
        <v>5.1652507889928E-4</v>
      </c>
      <c r="J127" s="275">
        <v>5.1652507889928003E-5</v>
      </c>
      <c r="K127" s="275">
        <v>5.8300226246793003E-7</v>
      </c>
      <c r="L127" s="275">
        <v>0</v>
      </c>
      <c r="M127" s="275">
        <v>0</v>
      </c>
      <c r="N127" s="275">
        <v>1.3330140164000001E-6</v>
      </c>
      <c r="O127" s="275"/>
      <c r="P127" s="275"/>
      <c r="Q127" s="118"/>
      <c r="R127" s="260">
        <f>'Parameters, country spec'!L55</f>
        <v>2.7145227912969199E-3</v>
      </c>
    </row>
    <row r="128" spans="1:18" x14ac:dyDescent="0.35">
      <c r="A128" s="256" t="s">
        <v>469</v>
      </c>
      <c r="B128" s="16" t="s">
        <v>232</v>
      </c>
      <c r="C128" s="16" t="s">
        <v>467</v>
      </c>
      <c r="D128" s="257" t="s">
        <v>58</v>
      </c>
      <c r="E128" s="257" t="s">
        <v>59</v>
      </c>
      <c r="F128" s="272">
        <f t="shared" si="20"/>
        <v>6.5413213535696639E-4</v>
      </c>
      <c r="G128" s="273">
        <v>2.9531307160612801E-5</v>
      </c>
      <c r="H128" s="274">
        <v>1.1000000000000001E-6</v>
      </c>
      <c r="I128" s="275">
        <v>5.6446016405914097E-4</v>
      </c>
      <c r="J128" s="275">
        <v>5.6446016405914097E-5</v>
      </c>
      <c r="K128" s="275">
        <v>1.2615833469923E-6</v>
      </c>
      <c r="L128" s="275">
        <v>0</v>
      </c>
      <c r="M128" s="275">
        <v>5.0367906295404003E-11</v>
      </c>
      <c r="N128" s="275">
        <v>1.3330140164000001E-6</v>
      </c>
      <c r="O128" s="275"/>
      <c r="P128" s="275"/>
      <c r="Q128" s="118"/>
      <c r="R128" s="260">
        <f>'Parameters, country spec'!L56</f>
        <v>4.4514084693111099E-2</v>
      </c>
    </row>
    <row r="129" spans="1:18" x14ac:dyDescent="0.35">
      <c r="A129" s="256" t="s">
        <v>470</v>
      </c>
      <c r="B129" s="16" t="s">
        <v>235</v>
      </c>
      <c r="C129" s="16" t="s">
        <v>467</v>
      </c>
      <c r="D129" s="257" t="s">
        <v>58</v>
      </c>
      <c r="E129" s="257" t="s">
        <v>59</v>
      </c>
      <c r="F129" s="272">
        <f t="shared" si="20"/>
        <v>5.9725437088799249E-4</v>
      </c>
      <c r="G129" s="273">
        <v>2.6601012751935601E-5</v>
      </c>
      <c r="H129" s="274">
        <v>1.1000000000000001E-6</v>
      </c>
      <c r="I129" s="275">
        <v>5.1575370530733996E-4</v>
      </c>
      <c r="J129" s="275">
        <v>5.1575370530733998E-5</v>
      </c>
      <c r="K129" s="275">
        <v>8.9126828158292095E-7</v>
      </c>
      <c r="L129" s="275">
        <v>0</v>
      </c>
      <c r="M129" s="275">
        <v>0</v>
      </c>
      <c r="N129" s="275">
        <v>1.3330140164000001E-6</v>
      </c>
      <c r="O129" s="275"/>
      <c r="P129" s="275"/>
      <c r="Q129" s="118"/>
      <c r="R129" s="260">
        <f>'Parameters, country spec'!L57</f>
        <v>2.7912717555004501E-2</v>
      </c>
    </row>
    <row r="130" spans="1:18" x14ac:dyDescent="0.35">
      <c r="A130" s="256" t="s">
        <v>471</v>
      </c>
      <c r="B130" s="16" t="s">
        <v>237</v>
      </c>
      <c r="C130" s="16" t="s">
        <v>467</v>
      </c>
      <c r="D130" s="257" t="s">
        <v>58</v>
      </c>
      <c r="E130" s="257" t="s">
        <v>59</v>
      </c>
      <c r="F130" s="272">
        <f t="shared" si="20"/>
        <v>8.1341848794026252E-4</v>
      </c>
      <c r="G130" s="273">
        <v>3.8715854793773698E-5</v>
      </c>
      <c r="H130" s="274">
        <v>1.1000000000000001E-6</v>
      </c>
      <c r="I130" s="275">
        <v>7.0133104566287802E-4</v>
      </c>
      <c r="J130" s="275">
        <v>7.0133104566287799E-5</v>
      </c>
      <c r="K130" s="275">
        <v>8.0546890092290805E-7</v>
      </c>
      <c r="L130" s="275">
        <v>0</v>
      </c>
      <c r="M130" s="275">
        <v>0</v>
      </c>
      <c r="N130" s="275">
        <v>1.3330140164000001E-6</v>
      </c>
      <c r="O130" s="275"/>
      <c r="P130" s="275"/>
      <c r="Q130" s="118"/>
      <c r="R130" s="260">
        <f>'Parameters, country spec'!L58</f>
        <v>0.32729029603711102</v>
      </c>
    </row>
    <row r="131" spans="1:18" x14ac:dyDescent="0.35">
      <c r="A131" s="256" t="s">
        <v>472</v>
      </c>
      <c r="B131" s="16" t="s">
        <v>239</v>
      </c>
      <c r="C131" s="16" t="s">
        <v>473</v>
      </c>
      <c r="D131" s="257" t="s">
        <v>58</v>
      </c>
      <c r="E131" s="257" t="s">
        <v>59</v>
      </c>
      <c r="F131" s="272">
        <f t="shared" si="20"/>
        <v>2.0727574098590296E-4</v>
      </c>
      <c r="G131" s="273">
        <v>0</v>
      </c>
      <c r="H131" s="274">
        <v>1.1000000000000001E-6</v>
      </c>
      <c r="I131" s="275">
        <v>1.8457295999999999E-4</v>
      </c>
      <c r="J131" s="275">
        <v>1.8457295999999999E-5</v>
      </c>
      <c r="K131" s="275">
        <v>1.6636926576519699E-6</v>
      </c>
      <c r="L131" s="275">
        <v>0</v>
      </c>
      <c r="M131" s="275">
        <v>1.4877831185101599E-7</v>
      </c>
      <c r="N131" s="275">
        <v>1.3330140164000001E-6</v>
      </c>
      <c r="O131" s="275"/>
      <c r="P131" s="275"/>
      <c r="Q131" s="118"/>
      <c r="R131" s="260">
        <f>'Parameters, country spec'!L59</f>
        <v>4.8974646420038301E-3</v>
      </c>
    </row>
    <row r="132" spans="1:18" x14ac:dyDescent="0.35">
      <c r="A132" s="256" t="s">
        <v>474</v>
      </c>
      <c r="B132" s="16" t="s">
        <v>241</v>
      </c>
      <c r="C132" s="16" t="s">
        <v>473</v>
      </c>
      <c r="D132" s="257" t="s">
        <v>58</v>
      </c>
      <c r="E132" s="257" t="s">
        <v>59</v>
      </c>
      <c r="F132" s="272">
        <f t="shared" si="20"/>
        <v>2.2407611265281435E-4</v>
      </c>
      <c r="G132" s="273">
        <v>1.13015961741459E-6</v>
      </c>
      <c r="H132" s="274">
        <v>1.1000000000000001E-6</v>
      </c>
      <c r="I132" s="275">
        <v>1.9889624794727E-4</v>
      </c>
      <c r="J132" s="275">
        <v>1.9889624794727002E-5</v>
      </c>
      <c r="K132" s="275">
        <v>1.6488174841183101E-6</v>
      </c>
      <c r="L132" s="275">
        <v>0</v>
      </c>
      <c r="M132" s="275">
        <v>7.8248792884440994E-8</v>
      </c>
      <c r="N132" s="275">
        <v>1.3330140164000001E-6</v>
      </c>
      <c r="O132" s="275"/>
      <c r="P132" s="275"/>
      <c r="Q132" s="118"/>
      <c r="R132" s="260">
        <f>'Parameters, country spec'!L60</f>
        <v>5.63859541846429E-2</v>
      </c>
    </row>
    <row r="133" spans="1:18" x14ac:dyDescent="0.35">
      <c r="B133" s="18" t="s">
        <v>242</v>
      </c>
      <c r="C133" s="16" t="s">
        <v>475</v>
      </c>
      <c r="D133" s="257" t="s">
        <v>476</v>
      </c>
      <c r="E133" s="257"/>
      <c r="F133" s="272">
        <f t="shared" si="20"/>
        <v>6.7320455661575701E-4</v>
      </c>
      <c r="G133" s="54">
        <f>'Off-farm feed'!$F$77</f>
        <v>1.9469704390265966E-4</v>
      </c>
      <c r="H133" s="54">
        <f>'Off-farm feed'!$G$77</f>
        <v>5.3103448275862083E-7</v>
      </c>
      <c r="I133" s="54">
        <f>'Off-farm feed'!$H$77</f>
        <v>4.2751561806777074E-4</v>
      </c>
      <c r="J133" s="54">
        <f>'Off-farm feed'!$I$77</f>
        <v>4.2751561806777075E-5</v>
      </c>
      <c r="K133" s="54">
        <f>'Off-farm feed'!$J$77</f>
        <v>6.6339607025480393E-7</v>
      </c>
      <c r="L133" s="54"/>
      <c r="M133" s="54">
        <f>'Off-farm feed'!$L$77</f>
        <v>7.9511067188965528E-9</v>
      </c>
      <c r="N133" s="54">
        <f>'Off-farm feed'!$M$77</f>
        <v>1.2789681892721842E-6</v>
      </c>
      <c r="O133" s="54"/>
      <c r="P133" s="54">
        <f>'Off-farm feed'!$O$77</f>
        <v>3.9312802868423868E-6</v>
      </c>
      <c r="Q133" s="54">
        <f>'Off-farm feed'!$P$77</f>
        <v>1.8277027027027027E-6</v>
      </c>
      <c r="R133" s="260">
        <f>'Parameters, country spec'!L61</f>
        <v>2.9607485666187296E-2</v>
      </c>
    </row>
    <row r="134" spans="1:18" x14ac:dyDescent="0.35">
      <c r="B134" s="18" t="s">
        <v>477</v>
      </c>
      <c r="C134" s="16" t="s">
        <v>475</v>
      </c>
      <c r="D134" s="257" t="s">
        <v>478</v>
      </c>
      <c r="E134" s="257"/>
      <c r="F134" s="272">
        <f t="shared" si="20"/>
        <v>1.8866346644602484E-4</v>
      </c>
      <c r="G134" s="54">
        <f>'Off-farm feed'!$F$26</f>
        <v>1.6332109719061435E-5</v>
      </c>
      <c r="H134" s="54">
        <f>'Off-farm feed'!$G$26</f>
        <v>8.7195121951219526E-7</v>
      </c>
      <c r="I134" s="54">
        <f>'Off-farm feed'!$H$26</f>
        <v>1.3333449845358183E-4</v>
      </c>
      <c r="J134" s="54">
        <f>'Off-farm feed'!$I$26</f>
        <v>1.3333449845358186E-5</v>
      </c>
      <c r="K134" s="54">
        <f>'Off-farm feed'!$J$26</f>
        <v>1.1576736579983962E-6</v>
      </c>
      <c r="L134" s="54"/>
      <c r="M134" s="54">
        <f>'Off-farm feed'!$L$26</f>
        <v>7.3437786087804875E-9</v>
      </c>
      <c r="N134" s="54">
        <f>'Off-farm feed'!$M$26</f>
        <v>1.1195281639512195E-6</v>
      </c>
      <c r="O134" s="54"/>
      <c r="P134" s="54">
        <f>'Off-farm feed'!$O$26</f>
        <v>1.3419073770115001E-5</v>
      </c>
      <c r="Q134" s="54">
        <f>'Off-farm feed'!$P$26</f>
        <v>9.087837837837838E-6</v>
      </c>
      <c r="R134" s="260">
        <f>'Parameters, country spec'!L62</f>
        <v>3.8707899733140101E-2</v>
      </c>
    </row>
    <row r="135" spans="1:18" x14ac:dyDescent="0.35">
      <c r="B135" s="16" t="s">
        <v>244</v>
      </c>
      <c r="C135" s="16" t="s">
        <v>479</v>
      </c>
      <c r="D135" s="257" t="s">
        <v>58</v>
      </c>
      <c r="E135" s="257" t="s">
        <v>59</v>
      </c>
      <c r="F135" s="276">
        <f t="shared" si="20"/>
        <v>8.3728956204249565E-5</v>
      </c>
      <c r="G135" s="275">
        <v>3.4844269314396402E-6</v>
      </c>
      <c r="H135" s="275">
        <v>9.9E-8</v>
      </c>
      <c r="I135" s="275">
        <v>6.3119794109659002E-5</v>
      </c>
      <c r="J135">
        <v>6.3119794109659E-6</v>
      </c>
      <c r="K135" s="275">
        <v>7.2492201083061705E-8</v>
      </c>
      <c r="L135">
        <v>0</v>
      </c>
      <c r="M135">
        <v>0</v>
      </c>
      <c r="N135" s="118">
        <v>1.1997126147599999E-7</v>
      </c>
      <c r="O135" s="118"/>
      <c r="P135" s="275">
        <v>9.3475299429580403E-6</v>
      </c>
      <c r="Q135" s="275">
        <v>1.1737623466679099E-6</v>
      </c>
      <c r="R135" s="260">
        <f>'Parameters, country spec'!L63</f>
        <v>0.11190565161757898</v>
      </c>
    </row>
    <row r="136" spans="1:18" x14ac:dyDescent="0.35">
      <c r="A136" s="262"/>
      <c r="B136" s="16" t="s">
        <v>481</v>
      </c>
      <c r="C136" s="263" t="s">
        <v>482</v>
      </c>
      <c r="D136" s="257" t="s">
        <v>58</v>
      </c>
      <c r="E136" s="257" t="s">
        <v>59</v>
      </c>
      <c r="F136" s="272">
        <f t="shared" si="20"/>
        <v>5.2015540333599807E-4</v>
      </c>
      <c r="G136" s="277">
        <f>AVERAGE(G126:G134)</f>
        <v>4.1134789496898564E-5</v>
      </c>
      <c r="H136" s="277">
        <f>AVERAGE(H126:H134)</f>
        <v>1.0114428558078684E-6</v>
      </c>
      <c r="I136" s="277">
        <f>AVERAGE(I126:I134)</f>
        <v>4.323512831924771E-4</v>
      </c>
      <c r="J136" s="277">
        <f>AVERAGE(J126:J134)</f>
        <v>4.3235128319247706E-5</v>
      </c>
      <c r="K136" s="277">
        <f>AVERAGE(K126:K134)</f>
        <v>1.0925362714652742E-6</v>
      </c>
      <c r="L136" s="277"/>
      <c r="M136" s="277">
        <f>AVERAGE(M126:M134)</f>
        <v>2.6934925876810101E-8</v>
      </c>
      <c r="N136" s="277">
        <f>AVERAGE(N126:N134)</f>
        <v>1.3032882742248226E-6</v>
      </c>
      <c r="O136" s="277"/>
      <c r="P136" s="277"/>
      <c r="Q136" s="277"/>
      <c r="R136" s="260">
        <f>'Parameters, country spec'!L64</f>
        <v>9.3875935928455001E-2</v>
      </c>
    </row>
    <row r="137" spans="1:18" x14ac:dyDescent="0.35">
      <c r="A137" s="265"/>
      <c r="B137" s="266" t="s">
        <v>483</v>
      </c>
      <c r="C137" s="267"/>
      <c r="D137" s="268"/>
      <c r="E137" s="268"/>
      <c r="F137" s="289">
        <f t="shared" ref="F137:O137" si="21">SUMPRODUCT(F126:F136,$R$126:$R$136)</f>
        <v>6.0974390047149548E-4</v>
      </c>
      <c r="G137" s="289">
        <f t="shared" si="21"/>
        <v>3.4484422735196461E-5</v>
      </c>
      <c r="H137" s="289">
        <f t="shared" si="21"/>
        <v>9.5399613021095084E-7</v>
      </c>
      <c r="I137" s="289">
        <f t="shared" si="21"/>
        <v>5.1815226314850225E-4</v>
      </c>
      <c r="J137" s="289">
        <f t="shared" si="21"/>
        <v>5.181522631485022E-5</v>
      </c>
      <c r="K137" s="289">
        <f t="shared" si="21"/>
        <v>9.260801618145856E-7</v>
      </c>
      <c r="L137" s="289">
        <f t="shared" si="21"/>
        <v>0</v>
      </c>
      <c r="M137" s="289">
        <f t="shared" si="21"/>
        <v>8.2022326740036417E-9</v>
      </c>
      <c r="N137" s="289">
        <f t="shared" si="21"/>
        <v>1.1846133945793493E-6</v>
      </c>
      <c r="O137" s="289">
        <f t="shared" si="21"/>
        <v>0</v>
      </c>
      <c r="P137" s="289">
        <f>SUMPRODUCT(P126:P136,R126:R136)</f>
        <v>1.6818609160292229E-6</v>
      </c>
      <c r="Q137" s="289">
        <f>SUMPRODUCT(Q126:Q136,$R$126:$R$136)</f>
        <v>5.3723543763843693E-7</v>
      </c>
      <c r="R137" s="270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DC3E6"/>
  </sheetPr>
  <dimension ref="A2:O137"/>
  <sheetViews>
    <sheetView zoomScale="80" zoomScaleNormal="80" workbookViewId="0">
      <selection activeCell="M6" sqref="M6"/>
    </sheetView>
  </sheetViews>
  <sheetFormatPr defaultColWidth="8.6328125" defaultRowHeight="14.5" x14ac:dyDescent="0.35"/>
  <cols>
    <col min="1" max="1" width="8.54296875" customWidth="1"/>
    <col min="2" max="2" width="30.453125" customWidth="1"/>
    <col min="3" max="3" width="19" customWidth="1"/>
    <col min="4" max="4" width="12.54296875" customWidth="1"/>
    <col min="5" max="5" width="8.54296875" customWidth="1"/>
    <col min="6" max="12" width="15.54296875" customWidth="1"/>
    <col min="15" max="15" width="11.36328125" customWidth="1"/>
  </cols>
  <sheetData>
    <row r="2" spans="1:15" ht="21" customHeight="1" x14ac:dyDescent="0.5">
      <c r="A2" s="8" t="s">
        <v>487</v>
      </c>
      <c r="F2" t="s">
        <v>488</v>
      </c>
    </row>
    <row r="3" spans="1:15" x14ac:dyDescent="0.35">
      <c r="H3" s="23"/>
      <c r="I3" s="23"/>
      <c r="J3" s="23"/>
      <c r="K3" s="23"/>
    </row>
    <row r="4" spans="1:15" x14ac:dyDescent="0.35">
      <c r="A4" s="290" t="s">
        <v>460</v>
      </c>
      <c r="B4" s="183"/>
      <c r="C4" s="183"/>
      <c r="D4" s="183"/>
      <c r="E4" s="183"/>
      <c r="F4" s="291" t="s">
        <v>4</v>
      </c>
      <c r="G4" s="291" t="s">
        <v>489</v>
      </c>
      <c r="H4" s="291" t="s">
        <v>6</v>
      </c>
      <c r="I4" s="291" t="s">
        <v>7</v>
      </c>
      <c r="J4" s="292" t="s">
        <v>8</v>
      </c>
      <c r="K4" s="292" t="s">
        <v>9</v>
      </c>
      <c r="L4" s="292" t="s">
        <v>10</v>
      </c>
      <c r="M4" s="293" t="s">
        <v>461</v>
      </c>
      <c r="O4" s="294"/>
    </row>
    <row r="5" spans="1:15" ht="43.5" customHeight="1" x14ac:dyDescent="0.35">
      <c r="A5" s="295" t="s">
        <v>14</v>
      </c>
      <c r="B5" s="295" t="s">
        <v>460</v>
      </c>
      <c r="C5" s="295" t="s">
        <v>462</v>
      </c>
      <c r="D5" s="295" t="s">
        <v>17</v>
      </c>
      <c r="E5" s="253" t="s">
        <v>18</v>
      </c>
      <c r="F5" s="296" t="s">
        <v>25</v>
      </c>
      <c r="G5" s="296" t="s">
        <v>490</v>
      </c>
      <c r="H5" s="296" t="s">
        <v>491</v>
      </c>
      <c r="I5" s="297" t="s">
        <v>28</v>
      </c>
      <c r="J5" s="298" t="s">
        <v>29</v>
      </c>
      <c r="K5" s="299" t="s">
        <v>30</v>
      </c>
      <c r="L5" s="299" t="s">
        <v>31</v>
      </c>
      <c r="M5" s="255"/>
      <c r="O5" s="255" t="s">
        <v>492</v>
      </c>
    </row>
    <row r="6" spans="1:15" x14ac:dyDescent="0.35">
      <c r="A6" s="256" t="s">
        <v>466</v>
      </c>
      <c r="B6" s="16" t="s">
        <v>226</v>
      </c>
      <c r="C6" s="16" t="s">
        <v>467</v>
      </c>
      <c r="D6" s="257" t="s">
        <v>83</v>
      </c>
      <c r="E6" s="257" t="s">
        <v>39</v>
      </c>
      <c r="F6" s="300">
        <v>1.74399542375601</v>
      </c>
      <c r="G6" s="301">
        <v>3.0781519229293501E-2</v>
      </c>
      <c r="H6" s="301">
        <v>3.4007910763242202E-3</v>
      </c>
      <c r="I6" s="301">
        <v>0</v>
      </c>
      <c r="J6" s="302">
        <v>0.13515964534109101</v>
      </c>
      <c r="K6" s="303">
        <v>6.2182124337334297E-12</v>
      </c>
      <c r="L6" s="303">
        <v>1.81838347417504E-3</v>
      </c>
      <c r="M6" s="260">
        <f>'Parameters, country spec'!B54</f>
        <v>0.32616215478819699</v>
      </c>
      <c r="O6" s="201">
        <f t="shared" ref="O6:O16" si="0">K6*M6/$K$17*100</f>
        <v>9.0361541062065918</v>
      </c>
    </row>
    <row r="7" spans="1:15" x14ac:dyDescent="0.35">
      <c r="A7" s="256" t="s">
        <v>468</v>
      </c>
      <c r="B7" s="16" t="s">
        <v>229</v>
      </c>
      <c r="C7" s="16" t="s">
        <v>467</v>
      </c>
      <c r="D7" s="257" t="s">
        <v>83</v>
      </c>
      <c r="E7" s="257" t="s">
        <v>39</v>
      </c>
      <c r="F7" s="302">
        <v>1.5209032948848999</v>
      </c>
      <c r="G7" s="301">
        <v>6.0836131795395897E-3</v>
      </c>
      <c r="H7" s="301">
        <v>1.36881296539641E-3</v>
      </c>
      <c r="I7" s="301">
        <v>0</v>
      </c>
      <c r="J7" s="301">
        <v>3.1938969192582899E-2</v>
      </c>
      <c r="K7" s="303">
        <v>5.4227778639415299E-12</v>
      </c>
      <c r="L7" s="303">
        <v>3.5938257584182702E-4</v>
      </c>
      <c r="M7" s="260">
        <f>'Parameters, country spec'!B55</f>
        <v>0</v>
      </c>
      <c r="O7" s="201">
        <f t="shared" si="0"/>
        <v>0</v>
      </c>
    </row>
    <row r="8" spans="1:15" x14ac:dyDescent="0.35">
      <c r="A8" s="256" t="s">
        <v>469</v>
      </c>
      <c r="B8" s="16" t="s">
        <v>232</v>
      </c>
      <c r="C8" s="16" t="s">
        <v>467</v>
      </c>
      <c r="D8" s="257" t="s">
        <v>83</v>
      </c>
      <c r="E8" s="257" t="s">
        <v>39</v>
      </c>
      <c r="F8" s="302">
        <v>2.0075725637103199</v>
      </c>
      <c r="G8" s="301">
        <v>2.9912831199283701E-2</v>
      </c>
      <c r="H8" s="301">
        <v>4.4166596401626901E-3</v>
      </c>
      <c r="I8" s="301">
        <v>6.2688988000000001E-6</v>
      </c>
      <c r="J8" s="302">
        <v>6.6249894602440407E-2</v>
      </c>
      <c r="K8" s="303">
        <v>7.1579962351048499E-12</v>
      </c>
      <c r="L8" s="303">
        <v>1.76706671017073E-3</v>
      </c>
      <c r="M8" s="260">
        <f>'Parameters, country spec'!B56</f>
        <v>0</v>
      </c>
      <c r="O8" s="201">
        <f t="shared" si="0"/>
        <v>0</v>
      </c>
    </row>
    <row r="9" spans="1:15" x14ac:dyDescent="0.35">
      <c r="A9" s="256" t="s">
        <v>470</v>
      </c>
      <c r="B9" s="16" t="s">
        <v>235</v>
      </c>
      <c r="C9" s="16" t="s">
        <v>467</v>
      </c>
      <c r="D9" s="257" t="s">
        <v>83</v>
      </c>
      <c r="E9" s="257" t="s">
        <v>39</v>
      </c>
      <c r="F9" s="302">
        <v>1.6691314173930201</v>
      </c>
      <c r="G9" s="301">
        <v>2.5370797544373901E-2</v>
      </c>
      <c r="H9" s="301">
        <v>3.3382628347860301E-3</v>
      </c>
      <c r="I9" s="301">
        <v>2.3542927958000001E-3</v>
      </c>
      <c r="J9" s="302">
        <v>0.20363403292194801</v>
      </c>
      <c r="K9" s="303">
        <v>5.9512849585438101E-12</v>
      </c>
      <c r="L9" s="303">
        <v>1.49875120320333E-3</v>
      </c>
      <c r="M9" s="260">
        <f>'Parameters, country spec'!B57</f>
        <v>0</v>
      </c>
      <c r="O9" s="201">
        <f t="shared" si="0"/>
        <v>0</v>
      </c>
    </row>
    <row r="10" spans="1:15" x14ac:dyDescent="0.35">
      <c r="A10" s="256" t="s">
        <v>471</v>
      </c>
      <c r="B10" s="16" t="s">
        <v>237</v>
      </c>
      <c r="C10" s="16" t="s">
        <v>467</v>
      </c>
      <c r="D10" s="257" t="s">
        <v>83</v>
      </c>
      <c r="E10" s="257" t="s">
        <v>39</v>
      </c>
      <c r="F10" s="302">
        <v>1.30502303365654</v>
      </c>
      <c r="G10" s="301">
        <v>2.5056442246205599E-2</v>
      </c>
      <c r="H10" s="301">
        <v>2.4142926122646098E-3</v>
      </c>
      <c r="I10" s="301">
        <v>1.860936398E-3</v>
      </c>
      <c r="J10" s="302">
        <v>0.10113928510838199</v>
      </c>
      <c r="K10" s="303">
        <v>4.6530571947916698E-12</v>
      </c>
      <c r="L10" s="303">
        <v>1.48018101909544E-3</v>
      </c>
      <c r="M10" s="260">
        <f>'Parameters, country spec'!B58</f>
        <v>0.37907027616944244</v>
      </c>
      <c r="O10" s="201">
        <f t="shared" si="0"/>
        <v>7.8585537694191023</v>
      </c>
    </row>
    <row r="11" spans="1:15" x14ac:dyDescent="0.35">
      <c r="A11" s="256" t="s">
        <v>472</v>
      </c>
      <c r="B11" s="16" t="s">
        <v>239</v>
      </c>
      <c r="C11" s="16" t="s">
        <v>473</v>
      </c>
      <c r="D11" s="257" t="s">
        <v>83</v>
      </c>
      <c r="E11" s="257" t="s">
        <v>39</v>
      </c>
      <c r="F11" s="302">
        <v>2.8087205154563901</v>
      </c>
      <c r="G11" s="301">
        <v>3.44E-2</v>
      </c>
      <c r="H11" s="301">
        <v>3.93220872163894E-3</v>
      </c>
      <c r="I11" s="301">
        <v>0.180512317566</v>
      </c>
      <c r="J11" s="302">
        <v>0.21627147969014199</v>
      </c>
      <c r="K11" s="303">
        <v>1.00144877642388E-11</v>
      </c>
      <c r="L11" s="303">
        <v>0</v>
      </c>
      <c r="M11" s="260">
        <f>'Parameters, country spec'!B59</f>
        <v>0</v>
      </c>
      <c r="O11" s="201">
        <f t="shared" si="0"/>
        <v>0</v>
      </c>
    </row>
    <row r="12" spans="1:15" x14ac:dyDescent="0.35">
      <c r="A12" s="256" t="s">
        <v>474</v>
      </c>
      <c r="B12" s="16" t="s">
        <v>241</v>
      </c>
      <c r="C12" s="16" t="s">
        <v>473</v>
      </c>
      <c r="D12" s="257" t="s">
        <v>83</v>
      </c>
      <c r="E12" s="257" t="s">
        <v>39</v>
      </c>
      <c r="F12" s="304">
        <v>2.6093037333917799</v>
      </c>
      <c r="G12" s="304">
        <v>0.04</v>
      </c>
      <c r="H12" s="304">
        <v>3.6530252267484901E-3</v>
      </c>
      <c r="I12" s="305">
        <v>0.24589923734999999</v>
      </c>
      <c r="J12" s="306">
        <v>0.200916387471167</v>
      </c>
      <c r="K12" s="307">
        <v>9.30346759937015E-12</v>
      </c>
      <c r="L12" s="307">
        <v>0</v>
      </c>
      <c r="M12" s="260">
        <f>'Parameters, country spec'!B60</f>
        <v>0</v>
      </c>
      <c r="O12" s="201">
        <f t="shared" si="0"/>
        <v>0</v>
      </c>
    </row>
    <row r="13" spans="1:15" x14ac:dyDescent="0.35">
      <c r="B13" s="18" t="s">
        <v>242</v>
      </c>
      <c r="C13" s="16" t="s">
        <v>475</v>
      </c>
      <c r="D13" s="257" t="s">
        <v>476</v>
      </c>
      <c r="E13" s="257"/>
      <c r="F13" s="52">
        <f>'Off-farm feed'!$F$88</f>
        <v>1.5397450382845068</v>
      </c>
      <c r="G13" s="53">
        <f>'Off-farm feed'!$G$88</f>
        <v>2.276724967641296E-2</v>
      </c>
      <c r="H13" s="53">
        <f>'Off-farm feed'!$H$88</f>
        <v>2.4780679919905292E-3</v>
      </c>
      <c r="I13" s="53">
        <f>'Off-farm feed'!$I$88</f>
        <v>8.1100925319702543E-4</v>
      </c>
      <c r="J13" s="52">
        <f>'Off-farm feed'!$J$88</f>
        <v>0.29368572248181479</v>
      </c>
      <c r="K13" s="308">
        <f>'Off-farm feed'!$K$88</f>
        <v>1.2571008272056975E-11</v>
      </c>
      <c r="L13" s="308">
        <f>'Off-farm feed'!$L$88</f>
        <v>1.3841258986185109E-3</v>
      </c>
      <c r="M13" s="260">
        <f>'Parameters, country spec'!B61</f>
        <v>4.4767569042360608E-2</v>
      </c>
      <c r="O13" s="201">
        <f t="shared" si="0"/>
        <v>2.5073682991058246</v>
      </c>
    </row>
    <row r="14" spans="1:15" x14ac:dyDescent="0.35">
      <c r="B14" s="18" t="s">
        <v>477</v>
      </c>
      <c r="C14" s="16" t="s">
        <v>475</v>
      </c>
      <c r="D14" s="257" t="s">
        <v>478</v>
      </c>
      <c r="E14" s="257"/>
      <c r="F14" s="52">
        <f>'Off-farm feed'!$F$36</f>
        <v>2.5509164954964105</v>
      </c>
      <c r="G14" s="53">
        <f>'Off-farm feed'!$G$36</f>
        <v>4.2620923125915401E-2</v>
      </c>
      <c r="H14" s="53">
        <f>'Off-farm feed'!$H$36</f>
        <v>3.2959349471355006E-3</v>
      </c>
      <c r="I14" s="53">
        <f>'Off-farm feed'!$I$36</f>
        <v>2.435286335413451E-3</v>
      </c>
      <c r="J14" s="52">
        <f>'Off-farm feed'!$J$36</f>
        <v>0.25920846302270906</v>
      </c>
      <c r="K14" s="308">
        <f>'Off-farm feed'!$K$36</f>
        <v>1.4553836091881654E-10</v>
      </c>
      <c r="L14" s="308">
        <f>'Off-farm feed'!$L$36</f>
        <v>1.0450321677831977E-4</v>
      </c>
      <c r="M14" s="260">
        <f>'Parameters, country spec'!B62</f>
        <v>0.10953513808472121</v>
      </c>
      <c r="O14" s="201">
        <f t="shared" si="0"/>
        <v>71.025687478118186</v>
      </c>
    </row>
    <row r="15" spans="1:15" x14ac:dyDescent="0.35">
      <c r="B15" s="16" t="s">
        <v>244</v>
      </c>
      <c r="C15" s="16" t="s">
        <v>479</v>
      </c>
      <c r="D15" s="257" t="s">
        <v>83</v>
      </c>
      <c r="E15" s="257" t="s">
        <v>39</v>
      </c>
      <c r="F15" s="302">
        <v>0.117452073029089</v>
      </c>
      <c r="G15" s="302">
        <v>2.2550798021585099E-3</v>
      </c>
      <c r="H15" s="302">
        <v>2.17286335103815E-4</v>
      </c>
      <c r="I15" s="303">
        <v>1.6748427582E-4</v>
      </c>
      <c r="J15" s="303">
        <v>9.1025356597544006E-3</v>
      </c>
      <c r="K15" s="303">
        <v>4.1877514753125102E-13</v>
      </c>
      <c r="L15" s="303">
        <v>1.3321629171859001E-4</v>
      </c>
      <c r="M15" s="260">
        <f>'Parameters, country spec'!B63</f>
        <v>4.78486464364591E-2</v>
      </c>
      <c r="N15" t="s">
        <v>480</v>
      </c>
      <c r="O15" s="201">
        <f t="shared" si="0"/>
        <v>8.9276069902690769E-2</v>
      </c>
    </row>
    <row r="16" spans="1:15" x14ac:dyDescent="0.35">
      <c r="A16" s="262"/>
      <c r="B16" s="16" t="s">
        <v>481</v>
      </c>
      <c r="C16" s="263" t="s">
        <v>482</v>
      </c>
      <c r="D16" s="257" t="s">
        <v>83</v>
      </c>
      <c r="E16" s="257" t="s">
        <v>39</v>
      </c>
      <c r="F16" s="309">
        <f t="shared" ref="F16:L16" si="1">AVERAGE(F6:F14)</f>
        <v>1.9728123906699864</v>
      </c>
      <c r="G16" s="309">
        <f t="shared" si="1"/>
        <v>2.8554819577891626E-2</v>
      </c>
      <c r="H16" s="309">
        <f t="shared" si="1"/>
        <v>3.144228446271935E-3</v>
      </c>
      <c r="I16" s="309">
        <f t="shared" si="1"/>
        <v>4.8208816510801167E-2</v>
      </c>
      <c r="J16" s="310">
        <f t="shared" si="1"/>
        <v>0.16757820887025301</v>
      </c>
      <c r="K16" s="310">
        <f t="shared" si="1"/>
        <v>2.2981183693399751E-11</v>
      </c>
      <c r="L16" s="310">
        <f t="shared" si="1"/>
        <v>9.3471045532035515E-4</v>
      </c>
      <c r="M16" s="260">
        <f>'Parameters, country spec'!B64</f>
        <v>9.2616215478819708E-2</v>
      </c>
      <c r="O16" s="201">
        <f t="shared" si="0"/>
        <v>9.4829602772476065</v>
      </c>
    </row>
    <row r="17" spans="1:15" x14ac:dyDescent="0.35">
      <c r="A17" s="265"/>
      <c r="B17" s="266" t="s">
        <v>483</v>
      </c>
      <c r="C17" s="267"/>
      <c r="D17" s="268"/>
      <c r="E17" s="268"/>
      <c r="F17" s="278">
        <f>SUMPRODUCT(F6:F16,M6:M16)</f>
        <v>1.6002007202036843</v>
      </c>
      <c r="G17" s="289">
        <f>SUMPRODUCT(G6:G16,M6:M16)</f>
        <v>2.7978184082386753E-2</v>
      </c>
      <c r="H17" s="289">
        <f>SUMPRODUCT(H6:H16,M6:M16)</f>
        <v>2.7979570785176275E-3</v>
      </c>
      <c r="I17" s="269">
        <f>SUMPRODUCT(I6:I16,M6:M16)</f>
        <v>5.4814140459260854E-3</v>
      </c>
      <c r="J17" s="289">
        <f>SUMPRODUCT(J6:J16,M6:M16)</f>
        <v>0.13991889206309494</v>
      </c>
      <c r="K17" s="289">
        <f>SUMPRODUCT(K6:K16,M6:M16)</f>
        <v>2.2444787267673946E-11</v>
      </c>
      <c r="L17" s="278">
        <f>SUMPRODUCT(L6:L16,M6:M16)</f>
        <v>1.320534790049563E-3</v>
      </c>
      <c r="M17" s="270"/>
    </row>
    <row r="18" spans="1:15" x14ac:dyDescent="0.35">
      <c r="A18" s="256" t="s">
        <v>466</v>
      </c>
      <c r="B18" s="16" t="s">
        <v>226</v>
      </c>
      <c r="C18" s="16" t="s">
        <v>467</v>
      </c>
      <c r="D18" s="257" t="s">
        <v>40</v>
      </c>
      <c r="E18" s="257" t="s">
        <v>41</v>
      </c>
      <c r="F18" s="311">
        <v>1.67615369658936</v>
      </c>
      <c r="G18" s="301">
        <v>1.575584474794E-2</v>
      </c>
      <c r="H18" s="301">
        <v>1.1733075876125499E-3</v>
      </c>
      <c r="I18" s="305">
        <v>2.7117274000000001E-6</v>
      </c>
      <c r="J18" s="307">
        <v>0.37818016640853902</v>
      </c>
      <c r="K18" s="307">
        <v>2.0149782021456099E-11</v>
      </c>
      <c r="L18" s="312">
        <v>1.5160827948018901E-3</v>
      </c>
      <c r="M18" s="260">
        <f>'Parameters, country spec'!C54</f>
        <v>0.12622280592168414</v>
      </c>
      <c r="O18" s="201">
        <f t="shared" ref="O18:O28" si="2">K18*M18/$K$29*100</f>
        <v>10.413488181748864</v>
      </c>
    </row>
    <row r="19" spans="1:15" x14ac:dyDescent="0.35">
      <c r="A19" s="256" t="s">
        <v>468</v>
      </c>
      <c r="B19" s="16" t="s">
        <v>229</v>
      </c>
      <c r="C19" s="16" t="s">
        <v>467</v>
      </c>
      <c r="D19" s="257" t="s">
        <v>40</v>
      </c>
      <c r="E19" s="257" t="s">
        <v>41</v>
      </c>
      <c r="F19" s="302">
        <v>1.1291040108032699</v>
      </c>
      <c r="G19" s="301">
        <v>1.49038347238525E-2</v>
      </c>
      <c r="H19" s="301">
        <v>4.1775900362313904E-3</v>
      </c>
      <c r="I19" s="301">
        <v>4.0573939566E-2</v>
      </c>
      <c r="J19" s="303">
        <v>0.119829776279331</v>
      </c>
      <c r="K19" s="303">
        <v>1.35734567441708E-11</v>
      </c>
      <c r="L19" s="303">
        <v>1.4340993937730999E-3</v>
      </c>
      <c r="M19" s="260">
        <f>'Parameters, country spec'!C55</f>
        <v>0.20760674280157457</v>
      </c>
      <c r="O19" s="201">
        <f t="shared" si="2"/>
        <v>11.537719167780342</v>
      </c>
    </row>
    <row r="20" spans="1:15" x14ac:dyDescent="0.35">
      <c r="A20" s="256" t="s">
        <v>469</v>
      </c>
      <c r="B20" s="16" t="s">
        <v>232</v>
      </c>
      <c r="C20" s="16" t="s">
        <v>467</v>
      </c>
      <c r="D20" s="257" t="s">
        <v>40</v>
      </c>
      <c r="E20" s="257" t="s">
        <v>41</v>
      </c>
      <c r="F20" s="302">
        <v>2.4422767881129501</v>
      </c>
      <c r="G20" s="301">
        <v>1.73382228145719E-2</v>
      </c>
      <c r="H20" s="301">
        <v>3.6630048199799699E-3</v>
      </c>
      <c r="I20" s="301">
        <v>1.5362076347999999E-2</v>
      </c>
      <c r="J20" s="303">
        <v>0.12972202005597699</v>
      </c>
      <c r="K20" s="303">
        <v>2.9359685222586201E-11</v>
      </c>
      <c r="L20" s="303">
        <v>1.6683447775817199E-3</v>
      </c>
      <c r="M20" s="260">
        <f>'Parameters, country spec'!C56</f>
        <v>1.430319903702894E-2</v>
      </c>
      <c r="O20" s="201">
        <f t="shared" si="2"/>
        <v>1.7193829785469312</v>
      </c>
    </row>
    <row r="21" spans="1:15" x14ac:dyDescent="0.35">
      <c r="A21" s="256" t="s">
        <v>470</v>
      </c>
      <c r="B21" s="16" t="s">
        <v>235</v>
      </c>
      <c r="C21" s="16" t="s">
        <v>467</v>
      </c>
      <c r="D21" s="257" t="s">
        <v>40</v>
      </c>
      <c r="E21" s="257" t="s">
        <v>41</v>
      </c>
      <c r="F21" s="302">
        <v>2.4432315157319699</v>
      </c>
      <c r="G21" s="301">
        <v>2.3211633118504299E-2</v>
      </c>
      <c r="H21" s="301">
        <v>1.7103308613634701E-3</v>
      </c>
      <c r="I21" s="301">
        <v>3.4943905220000002E-4</v>
      </c>
      <c r="J21" s="303">
        <v>0.21293031415070801</v>
      </c>
      <c r="K21" s="303">
        <v>2.9371162423902602E-11</v>
      </c>
      <c r="L21" s="303">
        <v>2.2335049737538899E-3</v>
      </c>
      <c r="M21" s="260">
        <f>'Parameters, country spec'!C57</f>
        <v>2.1965459245194179E-3</v>
      </c>
      <c r="O21" s="201">
        <f t="shared" si="2"/>
        <v>0.2641493027024886</v>
      </c>
    </row>
    <row r="22" spans="1:15" x14ac:dyDescent="0.35">
      <c r="A22" s="256" t="s">
        <v>471</v>
      </c>
      <c r="B22" s="16" t="s">
        <v>237</v>
      </c>
      <c r="C22" s="16" t="s">
        <v>467</v>
      </c>
      <c r="D22" s="257" t="s">
        <v>40</v>
      </c>
      <c r="E22" s="257" t="s">
        <v>41</v>
      </c>
      <c r="F22" s="302">
        <v>1.4802621840380401</v>
      </c>
      <c r="G22" s="301">
        <v>2.2648011415782002E-2</v>
      </c>
      <c r="H22" s="301">
        <v>2.0723670576532501E-3</v>
      </c>
      <c r="I22" s="301">
        <v>2.255164634E-4</v>
      </c>
      <c r="J22" s="303">
        <v>0.44839391553031899</v>
      </c>
      <c r="K22" s="303">
        <v>1.77948838484579E-11</v>
      </c>
      <c r="L22" s="303">
        <v>2.17927131126581E-3</v>
      </c>
      <c r="M22" s="260">
        <f>'Parameters, country spec'!C58</f>
        <v>0.30750391777337582</v>
      </c>
      <c r="O22" s="201">
        <f t="shared" si="2"/>
        <v>22.404427804635496</v>
      </c>
    </row>
    <row r="23" spans="1:15" x14ac:dyDescent="0.35">
      <c r="A23" s="256" t="s">
        <v>472</v>
      </c>
      <c r="B23" s="16" t="s">
        <v>239</v>
      </c>
      <c r="C23" s="16" t="s">
        <v>473</v>
      </c>
      <c r="D23" s="257" t="s">
        <v>40</v>
      </c>
      <c r="E23" s="257" t="s">
        <v>41</v>
      </c>
      <c r="F23" s="302">
        <v>3.39685451272122</v>
      </c>
      <c r="G23" s="301">
        <v>3.44E-2</v>
      </c>
      <c r="H23" s="301">
        <v>1.69862221424959E-3</v>
      </c>
      <c r="I23" s="301">
        <v>5.8912594268000003E-2</v>
      </c>
      <c r="J23" s="303">
        <v>1.1407877305615</v>
      </c>
      <c r="K23" s="303">
        <v>4.0835084592305499E-11</v>
      </c>
      <c r="L23" s="303">
        <v>0</v>
      </c>
      <c r="M23" s="260">
        <f>'Parameters, country spec'!C59</f>
        <v>0</v>
      </c>
      <c r="O23" s="201">
        <f t="shared" si="2"/>
        <v>0</v>
      </c>
    </row>
    <row r="24" spans="1:15" x14ac:dyDescent="0.35">
      <c r="A24" s="256" t="s">
        <v>474</v>
      </c>
      <c r="B24" s="16" t="s">
        <v>241</v>
      </c>
      <c r="C24" s="16" t="s">
        <v>473</v>
      </c>
      <c r="D24" s="257" t="s">
        <v>40</v>
      </c>
      <c r="E24" s="257" t="s">
        <v>41</v>
      </c>
      <c r="F24" s="302">
        <v>4.1670486461258998</v>
      </c>
      <c r="G24" s="301">
        <v>4.0833409729225202E-2</v>
      </c>
      <c r="H24" s="301">
        <v>1.6668194584503601E-3</v>
      </c>
      <c r="I24" s="301">
        <v>6.7232113605999996E-2</v>
      </c>
      <c r="J24" s="303">
        <v>0.53657001891840095</v>
      </c>
      <c r="K24" s="303">
        <v>5.0093927581398302E-11</v>
      </c>
      <c r="L24" s="303">
        <v>8.0193615240083796E-5</v>
      </c>
      <c r="M24" s="260">
        <f>'Parameters, country spec'!C60</f>
        <v>0</v>
      </c>
      <c r="O24" s="201">
        <f t="shared" si="2"/>
        <v>0</v>
      </c>
    </row>
    <row r="25" spans="1:15" x14ac:dyDescent="0.35">
      <c r="B25" s="18" t="s">
        <v>242</v>
      </c>
      <c r="C25" s="16" t="s">
        <v>475</v>
      </c>
      <c r="D25" s="257" t="s">
        <v>476</v>
      </c>
      <c r="E25" s="257"/>
      <c r="F25" s="52">
        <f>'Off-farm feed'!$F$88</f>
        <v>1.5397450382845068</v>
      </c>
      <c r="G25" s="53">
        <f>'Off-farm feed'!$G$88</f>
        <v>2.276724967641296E-2</v>
      </c>
      <c r="H25" s="53">
        <f>'Off-farm feed'!$H$88</f>
        <v>2.4780679919905292E-3</v>
      </c>
      <c r="I25" s="53">
        <f>'Off-farm feed'!$I$88</f>
        <v>8.1100925319702543E-4</v>
      </c>
      <c r="J25" s="52">
        <f>'Off-farm feed'!$J$88</f>
        <v>0.29368572248181479</v>
      </c>
      <c r="K25" s="308">
        <f>'Off-farm feed'!$K$88</f>
        <v>1.2571008272056975E-11</v>
      </c>
      <c r="L25" s="308">
        <f>'Off-farm feed'!$L$88</f>
        <v>1.3841258986185109E-3</v>
      </c>
      <c r="M25" s="260">
        <f>'Parameters, country spec'!C61</f>
        <v>6.6952456561795479E-2</v>
      </c>
      <c r="O25" s="201">
        <f t="shared" si="2"/>
        <v>3.4460745975638667</v>
      </c>
    </row>
    <row r="26" spans="1:15" x14ac:dyDescent="0.35">
      <c r="B26" s="18" t="s">
        <v>477</v>
      </c>
      <c r="C26" s="16" t="s">
        <v>475</v>
      </c>
      <c r="D26" s="257" t="s">
        <v>478</v>
      </c>
      <c r="E26" s="257"/>
      <c r="F26" s="52">
        <f>'Off-farm feed'!$F$36</f>
        <v>2.5509164954964105</v>
      </c>
      <c r="G26" s="53">
        <f>'Off-farm feed'!$G$36</f>
        <v>4.2620923125915401E-2</v>
      </c>
      <c r="H26" s="53">
        <f>'Off-farm feed'!$H$36</f>
        <v>3.2959349471355006E-3</v>
      </c>
      <c r="I26" s="53">
        <f>'Off-farm feed'!$I$36</f>
        <v>2.435286335413451E-3</v>
      </c>
      <c r="J26" s="52">
        <f>'Off-farm feed'!$J$36</f>
        <v>0.25920846302270906</v>
      </c>
      <c r="K26" s="308">
        <f>'Off-farm feed'!$K$36</f>
        <v>1.4553836091881654E-10</v>
      </c>
      <c r="L26" s="308">
        <f>'Off-farm feed'!$L$36</f>
        <v>1.0450321677831977E-4</v>
      </c>
      <c r="M26" s="260">
        <f>'Parameters, country spec'!C62</f>
        <v>6.0321391027524533E-2</v>
      </c>
      <c r="O26" s="201">
        <f t="shared" si="2"/>
        <v>35.94486636151791</v>
      </c>
    </row>
    <row r="27" spans="1:15" x14ac:dyDescent="0.35">
      <c r="B27" s="16" t="s">
        <v>244</v>
      </c>
      <c r="C27" s="16" t="s">
        <v>479</v>
      </c>
      <c r="D27" s="257" t="s">
        <v>40</v>
      </c>
      <c r="E27" s="257" t="s">
        <v>41</v>
      </c>
      <c r="F27" s="302">
        <v>0.133223596563423</v>
      </c>
      <c r="G27" s="302">
        <v>2.0383210274203798E-3</v>
      </c>
      <c r="H27" s="302">
        <v>1.8651303518879301E-4</v>
      </c>
      <c r="I27" s="303">
        <v>2.0296481705999999E-5</v>
      </c>
      <c r="J27" s="303">
        <v>4.0355452397728697E-2</v>
      </c>
      <c r="K27" s="303">
        <v>1.6015395463612101E-12</v>
      </c>
      <c r="L27" s="303">
        <v>1.96134418013923E-4</v>
      </c>
      <c r="M27" s="260">
        <f>'Parameters, country spec'!C63</f>
        <v>0.13292166735094296</v>
      </c>
      <c r="O27" s="201">
        <f t="shared" si="2"/>
        <v>0.87160857307439366</v>
      </c>
    </row>
    <row r="28" spans="1:15" x14ac:dyDescent="0.35">
      <c r="A28" s="262"/>
      <c r="B28" s="16" t="s">
        <v>481</v>
      </c>
      <c r="C28" s="263" t="s">
        <v>482</v>
      </c>
      <c r="D28" s="257" t="s">
        <v>40</v>
      </c>
      <c r="E28" s="257" t="s">
        <v>41</v>
      </c>
      <c r="F28" s="309">
        <f t="shared" ref="F28:L28" si="3">AVERAGE(F18:F26)</f>
        <v>2.3139547653226251</v>
      </c>
      <c r="G28" s="309">
        <f t="shared" si="3"/>
        <v>2.6053236594689364E-2</v>
      </c>
      <c r="H28" s="309">
        <f t="shared" si="3"/>
        <v>2.4373383305185126E-3</v>
      </c>
      <c r="I28" s="309">
        <f t="shared" si="3"/>
        <v>2.0656076291067832E-2</v>
      </c>
      <c r="J28" s="310">
        <f t="shared" si="3"/>
        <v>0.39103423637881096</v>
      </c>
      <c r="K28" s="310">
        <f t="shared" si="3"/>
        <v>3.9920816847238988E-11</v>
      </c>
      <c r="L28" s="310">
        <f t="shared" si="3"/>
        <v>1.1777917757570362E-3</v>
      </c>
      <c r="M28" s="260">
        <f>'Parameters, country spec'!C64</f>
        <v>8.1971273601554581E-2</v>
      </c>
      <c r="O28" s="201">
        <f t="shared" si="2"/>
        <v>13.39828303242972</v>
      </c>
    </row>
    <row r="29" spans="1:15" x14ac:dyDescent="0.35">
      <c r="A29" s="265"/>
      <c r="B29" s="266" t="s">
        <v>483</v>
      </c>
      <c r="C29" s="267"/>
      <c r="D29" s="268"/>
      <c r="E29" s="268"/>
      <c r="F29" s="289">
        <f>SUMPRODUCT(F18:F28,M18:M28)</f>
        <v>1.4058145568134446</v>
      </c>
      <c r="G29" s="289">
        <f>SUMPRODUCT(G18:G28,M18:M28)</f>
        <v>1.8848043905640131E-2</v>
      </c>
      <c r="H29" s="289">
        <f>SUMPRODUCT(H18:H28,M18:M28)</f>
        <v>2.2981160037985385E-3</v>
      </c>
      <c r="I29" s="269">
        <f>SUMPRODUCT(I18:I28,M18:M28)</f>
        <v>1.0610708952815644E-2</v>
      </c>
      <c r="J29" s="289">
        <f>SUMPRODUCT(J18:J28,M18:M28)</f>
        <v>0.28553495213953611</v>
      </c>
      <c r="K29" s="289">
        <f>SUMPRODUCT(K18:K28,M18:M28)</f>
        <v>2.4423727967695791E-11</v>
      </c>
      <c r="L29" s="289">
        <f>SUMPRODUCT(L18:L28,M18:M28)</f>
        <v>1.4095860724032095E-3</v>
      </c>
      <c r="M29" s="270"/>
    </row>
    <row r="30" spans="1:15" x14ac:dyDescent="0.35">
      <c r="A30" s="256" t="s">
        <v>466</v>
      </c>
      <c r="B30" s="16" t="s">
        <v>226</v>
      </c>
      <c r="C30" s="16" t="s">
        <v>467</v>
      </c>
      <c r="D30" s="257" t="s">
        <v>42</v>
      </c>
      <c r="E30" s="257" t="s">
        <v>43</v>
      </c>
      <c r="F30" s="300">
        <v>1.4917491355313801</v>
      </c>
      <c r="G30" s="301">
        <v>1.4022441873994901E-2</v>
      </c>
      <c r="H30" s="301">
        <v>1.0442243948719601E-3</v>
      </c>
      <c r="I30" s="301">
        <v>4.1329811419999997E-4</v>
      </c>
      <c r="J30" s="303">
        <v>0.341339501218759</v>
      </c>
      <c r="K30" s="303">
        <v>1.36821682915835E-11</v>
      </c>
      <c r="L30" s="303">
        <v>1.1576521359024301E-3</v>
      </c>
      <c r="M30" s="260">
        <f>'Parameters, country spec'!D54</f>
        <v>0.11936785974964652</v>
      </c>
      <c r="O30" s="201">
        <f t="shared" ref="O30:O40" si="4">K30*M30/$K$41*100</f>
        <v>6.4610500381410558</v>
      </c>
    </row>
    <row r="31" spans="1:15" x14ac:dyDescent="0.35">
      <c r="A31" s="256" t="s">
        <v>468</v>
      </c>
      <c r="B31" s="16" t="s">
        <v>229</v>
      </c>
      <c r="C31" s="16" t="s">
        <v>467</v>
      </c>
      <c r="D31" s="257" t="s">
        <v>42</v>
      </c>
      <c r="E31" s="257" t="s">
        <v>43</v>
      </c>
      <c r="F31" s="302">
        <v>1.0405848919560701</v>
      </c>
      <c r="G31" s="301">
        <v>1.37354088706301E-2</v>
      </c>
      <c r="H31" s="301">
        <v>3.8500767288887402E-3</v>
      </c>
      <c r="I31" s="301">
        <v>6.8362244573999999E-3</v>
      </c>
      <c r="J31" s="303">
        <v>8.7208089923184004E-2</v>
      </c>
      <c r="K31" s="303">
        <v>9.5441366609880203E-12</v>
      </c>
      <c r="L31" s="303">
        <v>1.1339555235430701E-3</v>
      </c>
      <c r="M31" s="260">
        <f>'Parameters, country spec'!D55</f>
        <v>0.17771722156372172</v>
      </c>
      <c r="O31" s="201">
        <f t="shared" si="4"/>
        <v>6.7100681889036551</v>
      </c>
    </row>
    <row r="32" spans="1:15" x14ac:dyDescent="0.35">
      <c r="A32" s="256" t="s">
        <v>469</v>
      </c>
      <c r="B32" s="16" t="s">
        <v>232</v>
      </c>
      <c r="C32" s="16" t="s">
        <v>467</v>
      </c>
      <c r="D32" s="257" t="s">
        <v>42</v>
      </c>
      <c r="E32" s="257" t="s">
        <v>43</v>
      </c>
      <c r="F32" s="302">
        <v>2.3437536621151001</v>
      </c>
      <c r="G32" s="301">
        <v>1.6638786976974299E-2</v>
      </c>
      <c r="H32" s="301">
        <v>3.5152366852762599E-3</v>
      </c>
      <c r="I32" s="301">
        <v>2.9220454559999998E-4</v>
      </c>
      <c r="J32" s="303">
        <v>0.124488944513976</v>
      </c>
      <c r="K32" s="303">
        <v>2.1496665407921299E-11</v>
      </c>
      <c r="L32" s="303">
        <v>1.3736500001787701E-3</v>
      </c>
      <c r="M32" s="260">
        <f>'Parameters, country spec'!D56</f>
        <v>2.3760624502985962E-5</v>
      </c>
      <c r="O32" s="201">
        <f t="shared" si="4"/>
        <v>2.0206435889418657E-3</v>
      </c>
    </row>
    <row r="33" spans="1:15" x14ac:dyDescent="0.35">
      <c r="A33" s="256" t="s">
        <v>470</v>
      </c>
      <c r="B33" s="16" t="s">
        <v>235</v>
      </c>
      <c r="C33" s="16" t="s">
        <v>467</v>
      </c>
      <c r="D33" s="257" t="s">
        <v>42</v>
      </c>
      <c r="E33" s="257" t="s">
        <v>43</v>
      </c>
      <c r="F33" s="302">
        <v>1.9276885472167999</v>
      </c>
      <c r="G33" s="301">
        <v>1.8313777894819701E-2</v>
      </c>
      <c r="H33" s="301">
        <v>1.34943626593408E-3</v>
      </c>
      <c r="I33" s="301">
        <v>1.35246E-8</v>
      </c>
      <c r="J33" s="303">
        <v>0.16800017734734601</v>
      </c>
      <c r="K33" s="303">
        <v>1.7680559343768899E-11</v>
      </c>
      <c r="L33" s="303">
        <v>1.51193239286652E-3</v>
      </c>
      <c r="M33" s="260">
        <f>'Parameters, country spec'!D57</f>
        <v>1.9498589966513394E-2</v>
      </c>
      <c r="O33" s="201">
        <f t="shared" si="4"/>
        <v>1.3638291741121369</v>
      </c>
    </row>
    <row r="34" spans="1:15" x14ac:dyDescent="0.35">
      <c r="A34" s="256" t="s">
        <v>471</v>
      </c>
      <c r="B34" s="16" t="s">
        <v>237</v>
      </c>
      <c r="C34" s="16" t="s">
        <v>467</v>
      </c>
      <c r="D34" s="257" t="s">
        <v>42</v>
      </c>
      <c r="E34" s="257" t="s">
        <v>43</v>
      </c>
      <c r="F34" s="302">
        <v>1.3435695418159099</v>
      </c>
      <c r="G34" s="301">
        <v>2.05566139897835E-2</v>
      </c>
      <c r="H34" s="301">
        <v>1.88099735854228E-3</v>
      </c>
      <c r="I34" s="301">
        <v>9.1096000000000001E-9</v>
      </c>
      <c r="J34" s="303">
        <v>0.299611305331553</v>
      </c>
      <c r="K34" s="303">
        <v>1.2323080432704899E-11</v>
      </c>
      <c r="L34" s="303">
        <v>1.6970944366207501E-3</v>
      </c>
      <c r="M34" s="260">
        <f>'Parameters, country spec'!D58</f>
        <v>0.39870895550051916</v>
      </c>
      <c r="O34" s="201">
        <f t="shared" si="4"/>
        <v>19.437304716953346</v>
      </c>
    </row>
    <row r="35" spans="1:15" x14ac:dyDescent="0.35">
      <c r="A35" s="256" t="s">
        <v>472</v>
      </c>
      <c r="B35" s="16" t="s">
        <v>239</v>
      </c>
      <c r="C35" s="16" t="s">
        <v>473</v>
      </c>
      <c r="D35" s="257" t="s">
        <v>42</v>
      </c>
      <c r="E35" s="257" t="s">
        <v>43</v>
      </c>
      <c r="F35" s="302">
        <v>3.3691814236813</v>
      </c>
      <c r="G35" s="301">
        <v>3.44E-2</v>
      </c>
      <c r="H35" s="301">
        <v>1.6847840814699601E-3</v>
      </c>
      <c r="I35" s="301">
        <v>4.6513156312000002E-2</v>
      </c>
      <c r="J35" s="303">
        <v>0.36443155171019598</v>
      </c>
      <c r="K35" s="303">
        <v>3.0901782441632898E-11</v>
      </c>
      <c r="L35" s="303">
        <v>0</v>
      </c>
      <c r="M35" s="260">
        <f>'Parameters, country spec'!D59</f>
        <v>1.0321755831089459E-3</v>
      </c>
      <c r="O35" s="201">
        <f t="shared" si="4"/>
        <v>0.12618213789157923</v>
      </c>
    </row>
    <row r="36" spans="1:15" x14ac:dyDescent="0.35">
      <c r="A36" s="256" t="s">
        <v>474</v>
      </c>
      <c r="B36" s="16" t="s">
        <v>241</v>
      </c>
      <c r="C36" s="16" t="s">
        <v>473</v>
      </c>
      <c r="D36" s="257" t="s">
        <v>42</v>
      </c>
      <c r="E36" s="257" t="s">
        <v>43</v>
      </c>
      <c r="F36" s="302">
        <v>2.7091020410374802</v>
      </c>
      <c r="G36" s="301">
        <v>4.0541820408207502E-2</v>
      </c>
      <c r="H36" s="301">
        <v>1.0836408164149899E-3</v>
      </c>
      <c r="I36" s="301">
        <v>2.8809268598399999E-2</v>
      </c>
      <c r="J36" s="303">
        <v>0.32345594729171101</v>
      </c>
      <c r="K36" s="303">
        <v>2.4847602831922301E-11</v>
      </c>
      <c r="L36" s="303">
        <v>4.4731121617282003E-5</v>
      </c>
      <c r="M36" s="260">
        <f>'Parameters, country spec'!D60</f>
        <v>1.0139365657568411E-3</v>
      </c>
      <c r="O36" s="201">
        <f t="shared" si="4"/>
        <v>9.9668070654136853E-2</v>
      </c>
    </row>
    <row r="37" spans="1:15" x14ac:dyDescent="0.35">
      <c r="B37" s="18" t="s">
        <v>242</v>
      </c>
      <c r="C37" s="16" t="s">
        <v>475</v>
      </c>
      <c r="D37" s="257" t="s">
        <v>476</v>
      </c>
      <c r="E37" s="257"/>
      <c r="F37" s="52">
        <f>'Off-farm feed'!$F$88</f>
        <v>1.5397450382845068</v>
      </c>
      <c r="G37" s="53">
        <f>'Off-farm feed'!$G$88</f>
        <v>2.276724967641296E-2</v>
      </c>
      <c r="H37" s="53">
        <f>'Off-farm feed'!$H$88</f>
        <v>2.4780679919905292E-3</v>
      </c>
      <c r="I37" s="53">
        <f>'Off-farm feed'!$I$88</f>
        <v>8.1100925319702543E-4</v>
      </c>
      <c r="J37" s="52">
        <f>'Off-farm feed'!$J$88</f>
        <v>0.29368572248181479</v>
      </c>
      <c r="K37" s="308">
        <f>'Off-farm feed'!$K$88</f>
        <v>1.2571008272056975E-11</v>
      </c>
      <c r="L37" s="308">
        <f>'Off-farm feed'!$L$88</f>
        <v>1.3841258986185109E-3</v>
      </c>
      <c r="M37" s="260">
        <f>'Parameters, country spec'!D61</f>
        <v>0.10437666551754406</v>
      </c>
      <c r="O37" s="201">
        <f t="shared" si="4"/>
        <v>5.1908000492518171</v>
      </c>
    </row>
    <row r="38" spans="1:15" x14ac:dyDescent="0.35">
      <c r="B38" s="18" t="s">
        <v>477</v>
      </c>
      <c r="C38" s="16" t="s">
        <v>475</v>
      </c>
      <c r="D38" s="257" t="s">
        <v>478</v>
      </c>
      <c r="E38" s="257"/>
      <c r="F38" s="52">
        <f>'Off-farm feed'!$F$36</f>
        <v>2.5509164954964105</v>
      </c>
      <c r="G38" s="53">
        <f>'Off-farm feed'!$G$36</f>
        <v>4.2620923125915401E-2</v>
      </c>
      <c r="H38" s="53">
        <f>'Off-farm feed'!$H$36</f>
        <v>3.2959349471355006E-3</v>
      </c>
      <c r="I38" s="53">
        <f>'Off-farm feed'!$I$36</f>
        <v>2.435286335413451E-3</v>
      </c>
      <c r="J38" s="52">
        <f>'Off-farm feed'!$J$36</f>
        <v>0.25920846302270906</v>
      </c>
      <c r="K38" s="308">
        <f>'Off-farm feed'!$K$36</f>
        <v>1.4553836091881654E-10</v>
      </c>
      <c r="L38" s="308">
        <f>'Off-farm feed'!$L$36</f>
        <v>1.0450321677831977E-4</v>
      </c>
      <c r="M38" s="260">
        <f>'Parameters, country spec'!D62</f>
        <v>0.10029152187678458</v>
      </c>
      <c r="O38" s="201">
        <f t="shared" si="4"/>
        <v>57.743415746057316</v>
      </c>
    </row>
    <row r="39" spans="1:15" x14ac:dyDescent="0.35">
      <c r="B39" s="16" t="s">
        <v>244</v>
      </c>
      <c r="C39" s="16" t="s">
        <v>479</v>
      </c>
      <c r="D39" s="257" t="s">
        <v>42</v>
      </c>
      <c r="E39" s="257" t="s">
        <v>43</v>
      </c>
      <c r="F39" s="302">
        <v>0.120921258763432</v>
      </c>
      <c r="G39" s="302">
        <v>1.85009525908051E-3</v>
      </c>
      <c r="H39" s="302">
        <v>1.69289762268805E-4</v>
      </c>
      <c r="I39" s="303">
        <v>8.1986400000000003E-10</v>
      </c>
      <c r="J39" s="303">
        <v>2.69650174798397E-2</v>
      </c>
      <c r="K39" s="303">
        <v>1.10907723894344E-12</v>
      </c>
      <c r="L39" s="303">
        <v>1.52738499295868E-4</v>
      </c>
      <c r="M39" s="260">
        <f>'Parameters, country spec'!D63</f>
        <v>5.7362554731062478E-2</v>
      </c>
      <c r="O39" s="201">
        <f t="shared" si="4"/>
        <v>0.25168135710064582</v>
      </c>
    </row>
    <row r="40" spans="1:15" x14ac:dyDescent="0.35">
      <c r="A40" s="262"/>
      <c r="B40" s="16" t="s">
        <v>481</v>
      </c>
      <c r="C40" s="263" t="s">
        <v>482</v>
      </c>
      <c r="D40" s="257" t="s">
        <v>42</v>
      </c>
      <c r="E40" s="257" t="s">
        <v>43</v>
      </c>
      <c r="F40" s="309">
        <f t="shared" ref="F40:L40" si="5">AVERAGE(F30:F38)</f>
        <v>2.0351434196816616</v>
      </c>
      <c r="G40" s="309">
        <f t="shared" si="5"/>
        <v>2.4844113646304261E-2</v>
      </c>
      <c r="H40" s="309">
        <f t="shared" si="5"/>
        <v>2.2424888078360333E-3</v>
      </c>
      <c r="I40" s="309">
        <f t="shared" si="5"/>
        <v>9.5678300278233871E-3</v>
      </c>
      <c r="J40" s="310">
        <f t="shared" si="5"/>
        <v>0.25126996698236098</v>
      </c>
      <c r="K40" s="310">
        <f t="shared" si="5"/>
        <v>3.2065040511266144E-11</v>
      </c>
      <c r="L40" s="310">
        <f t="shared" si="5"/>
        <v>9.3418274734729482E-4</v>
      </c>
      <c r="M40" s="260">
        <f>'Parameters, country spec'!D64</f>
        <v>2.0606758320839205E-2</v>
      </c>
      <c r="O40" s="201">
        <f t="shared" si="4"/>
        <v>2.6139798773453649</v>
      </c>
    </row>
    <row r="41" spans="1:15" x14ac:dyDescent="0.35">
      <c r="A41" s="265"/>
      <c r="B41" s="266" t="s">
        <v>483</v>
      </c>
      <c r="C41" s="267"/>
      <c r="D41" s="268"/>
      <c r="E41" s="268"/>
      <c r="F41" s="289">
        <f>SUMPRODUCT(F30:F40,M30:M40)</f>
        <v>1.4079801193663384</v>
      </c>
      <c r="G41" s="289">
        <f>SUMPRODUCT(G30:G40,M30:M40)</f>
        <v>2.0014025221560629E-2</v>
      </c>
      <c r="H41" s="289">
        <f>SUMPRODUCT(H30:H40,M30:M40)</f>
        <v>2.2332037509356791E-3</v>
      </c>
      <c r="I41" s="269">
        <f>SUMPRODUCT(I30:I40,M30:M40)</f>
        <v>1.8675317041457794E-3</v>
      </c>
      <c r="J41" s="289">
        <f>SUMPRODUCT(J30:J40,M30:M40)</f>
        <v>0.24305889085819085</v>
      </c>
      <c r="K41" s="289">
        <f>SUMPRODUCT(K30:K40,M30:M40)</f>
        <v>2.5277797510614854E-11</v>
      </c>
      <c r="L41" s="289">
        <f>SUMPRODUCT(L30:L40,M30:M40)</f>
        <v>1.2288783573497473E-3</v>
      </c>
      <c r="M41" s="270"/>
    </row>
    <row r="42" spans="1:15" x14ac:dyDescent="0.35">
      <c r="A42" s="256" t="s">
        <v>466</v>
      </c>
      <c r="B42" s="16" t="s">
        <v>226</v>
      </c>
      <c r="C42" s="16" t="s">
        <v>467</v>
      </c>
      <c r="D42" s="257" t="s">
        <v>44</v>
      </c>
      <c r="E42" s="257" t="s">
        <v>45</v>
      </c>
      <c r="F42" s="300">
        <v>3.50911668514801</v>
      </c>
      <c r="G42" s="301">
        <v>3.29856968403913E-2</v>
      </c>
      <c r="H42" s="301">
        <v>2.45638167960361E-3</v>
      </c>
      <c r="I42" s="301">
        <v>0</v>
      </c>
      <c r="J42" s="303">
        <v>0.37077186530606498</v>
      </c>
      <c r="K42" s="303">
        <v>1.6521352778529399E-10</v>
      </c>
      <c r="L42" s="303">
        <v>4.3171634906833496E-3</v>
      </c>
      <c r="M42" s="260">
        <f>'Parameters, country spec'!E54</f>
        <v>0.10548579258005962</v>
      </c>
      <c r="O42" s="201">
        <f t="shared" ref="O42:O52" si="6">K42*M42/$K$53*100</f>
        <v>16.537568160199481</v>
      </c>
    </row>
    <row r="43" spans="1:15" x14ac:dyDescent="0.35">
      <c r="A43" s="256" t="s">
        <v>468</v>
      </c>
      <c r="B43" s="16" t="s">
        <v>229</v>
      </c>
      <c r="C43" s="16" t="s">
        <v>467</v>
      </c>
      <c r="D43" s="257" t="s">
        <v>44</v>
      </c>
      <c r="E43" s="257" t="s">
        <v>45</v>
      </c>
      <c r="F43" s="302">
        <v>0.95354882265326901</v>
      </c>
      <c r="G43" s="301">
        <v>1.25865588271519E-2</v>
      </c>
      <c r="H43" s="301">
        <v>3.5280505803380298E-3</v>
      </c>
      <c r="I43" s="301">
        <v>0.14876738789999999</v>
      </c>
      <c r="J43" s="303">
        <v>5.3593544093051101E-2</v>
      </c>
      <c r="K43" s="303">
        <v>4.4894250901609901E-11</v>
      </c>
      <c r="L43" s="303">
        <v>1.64732709770681E-3</v>
      </c>
      <c r="M43" s="260">
        <f>'Parameters, country spec'!E55</f>
        <v>0.31549865616441614</v>
      </c>
      <c r="O43" s="201">
        <f t="shared" si="6"/>
        <v>13.4406513361268</v>
      </c>
    </row>
    <row r="44" spans="1:15" x14ac:dyDescent="0.35">
      <c r="A44" s="256" t="s">
        <v>469</v>
      </c>
      <c r="B44" s="16" t="s">
        <v>232</v>
      </c>
      <c r="C44" s="16" t="s">
        <v>467</v>
      </c>
      <c r="D44" s="257" t="s">
        <v>44</v>
      </c>
      <c r="E44" s="257" t="s">
        <v>45</v>
      </c>
      <c r="F44" s="302">
        <v>8.6360260462545604</v>
      </c>
      <c r="G44" s="301">
        <v>6.1308916561460203E-2</v>
      </c>
      <c r="H44" s="301">
        <v>1.29525880059423E-2</v>
      </c>
      <c r="I44" s="301">
        <v>1.9174813959999999E-3</v>
      </c>
      <c r="J44" s="303">
        <v>0.390875174879527</v>
      </c>
      <c r="K44" s="303">
        <v>4.0659472373379301E-10</v>
      </c>
      <c r="L44" s="303">
        <v>8.0241026137238807E-3</v>
      </c>
      <c r="M44" s="260">
        <f>'Parameters, country spec'!E56</f>
        <v>2.8667693691623947E-2</v>
      </c>
      <c r="O44" s="201">
        <f t="shared" si="6"/>
        <v>11.060800678209462</v>
      </c>
    </row>
    <row r="45" spans="1:15" x14ac:dyDescent="0.35">
      <c r="A45" s="256" t="s">
        <v>470</v>
      </c>
      <c r="B45" s="16" t="s">
        <v>235</v>
      </c>
      <c r="C45" s="16" t="s">
        <v>467</v>
      </c>
      <c r="D45" s="257" t="s">
        <v>44</v>
      </c>
      <c r="E45" s="257" t="s">
        <v>45</v>
      </c>
      <c r="F45" s="302">
        <v>5.2144168196228904</v>
      </c>
      <c r="G45" s="301">
        <v>4.9538952557176601E-2</v>
      </c>
      <c r="H45" s="301">
        <v>3.6502386094761701E-3</v>
      </c>
      <c r="I45" s="301">
        <v>1.1718801289799999E-2</v>
      </c>
      <c r="J45" s="303">
        <v>8.4176330719172403E-3</v>
      </c>
      <c r="K45" s="303">
        <v>2.45501154680622E-10</v>
      </c>
      <c r="L45" s="303">
        <v>6.4836513347401497E-3</v>
      </c>
      <c r="M45" s="260">
        <f>'Parameters, country spec'!E57</f>
        <v>6.3230823420726045E-3</v>
      </c>
      <c r="O45" s="201">
        <f t="shared" si="6"/>
        <v>1.4730396895143567</v>
      </c>
    </row>
    <row r="46" spans="1:15" x14ac:dyDescent="0.35">
      <c r="A46" s="256" t="s">
        <v>471</v>
      </c>
      <c r="B46" s="16" t="s">
        <v>237</v>
      </c>
      <c r="C46" s="16" t="s">
        <v>467</v>
      </c>
      <c r="D46" s="257" t="s">
        <v>44</v>
      </c>
      <c r="E46" s="257" t="s">
        <v>45</v>
      </c>
      <c r="F46" s="302">
        <v>3.3462498577843802</v>
      </c>
      <c r="G46" s="301">
        <v>5.1197622824101001E-2</v>
      </c>
      <c r="H46" s="301">
        <v>4.6847498008981301E-3</v>
      </c>
      <c r="I46" s="301">
        <v>8.8761701473999994E-3</v>
      </c>
      <c r="J46" s="303">
        <v>8.3195467839192599E-2</v>
      </c>
      <c r="K46" s="303">
        <v>1.5754555731801701E-10</v>
      </c>
      <c r="L46" s="303">
        <v>6.7007378724021297E-3</v>
      </c>
      <c r="M46" s="260">
        <f>'Parameters, country spec'!E58</f>
        <v>4.5344513724963568E-3</v>
      </c>
      <c r="O46" s="201">
        <f t="shared" si="6"/>
        <v>0.67789586029619264</v>
      </c>
    </row>
    <row r="47" spans="1:15" x14ac:dyDescent="0.35">
      <c r="A47" s="256" t="s">
        <v>472</v>
      </c>
      <c r="B47" s="16" t="s">
        <v>239</v>
      </c>
      <c r="C47" s="16" t="s">
        <v>473</v>
      </c>
      <c r="D47" s="257" t="s">
        <v>44</v>
      </c>
      <c r="E47" s="257" t="s">
        <v>45</v>
      </c>
      <c r="F47" s="302">
        <v>6.2517973917501299</v>
      </c>
      <c r="G47" s="301">
        <v>3.44E-2</v>
      </c>
      <c r="H47" s="301">
        <v>3.1262575093647998E-3</v>
      </c>
      <c r="I47" s="301">
        <v>0.62402196310000002</v>
      </c>
      <c r="J47" s="303">
        <v>0.105818547832502</v>
      </c>
      <c r="K47" s="303">
        <v>2.9434230741357398E-10</v>
      </c>
      <c r="L47" s="303">
        <v>0</v>
      </c>
      <c r="M47" s="260">
        <f>'Parameters, country spec'!E59</f>
        <v>5.9748390404603421E-4</v>
      </c>
      <c r="O47" s="201">
        <f t="shared" si="6"/>
        <v>0.16688256728701806</v>
      </c>
    </row>
    <row r="48" spans="1:15" x14ac:dyDescent="0.35">
      <c r="A48" s="256" t="s">
        <v>474</v>
      </c>
      <c r="B48" s="16" t="s">
        <v>241</v>
      </c>
      <c r="C48" s="16" t="s">
        <v>473</v>
      </c>
      <c r="D48" s="257" t="s">
        <v>44</v>
      </c>
      <c r="E48" s="257" t="s">
        <v>45</v>
      </c>
      <c r="F48" s="302">
        <v>3.5471558904070699</v>
      </c>
      <c r="G48" s="301">
        <v>4.0709431178081401E-2</v>
      </c>
      <c r="H48" s="301">
        <v>1.41886235616283E-3</v>
      </c>
      <c r="I48" s="301">
        <v>0.50139618898000005</v>
      </c>
      <c r="J48" s="303">
        <v>6.0039515316619101E-2</v>
      </c>
      <c r="K48" s="303">
        <v>1.6700446033581199E-10</v>
      </c>
      <c r="L48" s="303">
        <v>9.2850255551224706E-5</v>
      </c>
      <c r="M48" s="260">
        <f>'Parameters, country spec'!E60</f>
        <v>5.8692609068954191E-4</v>
      </c>
      <c r="O48" s="201">
        <f t="shared" si="6"/>
        <v>9.301297986834238E-2</v>
      </c>
    </row>
    <row r="49" spans="1:15" x14ac:dyDescent="0.35">
      <c r="B49" s="18" t="s">
        <v>242</v>
      </c>
      <c r="C49" s="16" t="s">
        <v>475</v>
      </c>
      <c r="D49" s="257" t="s">
        <v>476</v>
      </c>
      <c r="E49" s="257"/>
      <c r="F49" s="52">
        <f>'Off-farm feed'!$F$88</f>
        <v>1.5397450382845068</v>
      </c>
      <c r="G49" s="53">
        <f>'Off-farm feed'!$G$88</f>
        <v>2.276724967641296E-2</v>
      </c>
      <c r="H49" s="53">
        <f>'Off-farm feed'!$H$88</f>
        <v>2.4780679919905292E-3</v>
      </c>
      <c r="I49" s="53">
        <f>'Off-farm feed'!$I$88</f>
        <v>8.1100925319702543E-4</v>
      </c>
      <c r="J49" s="52">
        <f>'Off-farm feed'!$J$88</f>
        <v>0.29368572248181479</v>
      </c>
      <c r="K49" s="308">
        <f>'Off-farm feed'!$K$88</f>
        <v>1.2571008272056975E-11</v>
      </c>
      <c r="L49" s="308">
        <f>'Off-farm feed'!$L$88</f>
        <v>1.3841258986185109E-3</v>
      </c>
      <c r="M49" s="260">
        <f>'Parameters, country spec'!E61</f>
        <v>6.5204011883002286E-4</v>
      </c>
      <c r="O49" s="201">
        <f t="shared" si="6"/>
        <v>7.7781533664007972E-3</v>
      </c>
    </row>
    <row r="50" spans="1:15" x14ac:dyDescent="0.35">
      <c r="B50" s="18" t="s">
        <v>477</v>
      </c>
      <c r="C50" s="16" t="s">
        <v>475</v>
      </c>
      <c r="D50" s="257" t="s">
        <v>478</v>
      </c>
      <c r="E50" s="257"/>
      <c r="F50" s="52">
        <f>'Off-farm feed'!$F$36</f>
        <v>2.5509164954964105</v>
      </c>
      <c r="G50" s="53">
        <f>'Off-farm feed'!$G$36</f>
        <v>4.2620923125915401E-2</v>
      </c>
      <c r="H50" s="53">
        <f>'Off-farm feed'!$H$36</f>
        <v>3.2959349471355006E-3</v>
      </c>
      <c r="I50" s="53">
        <f>'Off-farm feed'!$I$36</f>
        <v>2.435286335413451E-3</v>
      </c>
      <c r="J50" s="52">
        <f>'Off-farm feed'!$J$36</f>
        <v>0.25920846302270906</v>
      </c>
      <c r="K50" s="308">
        <f>'Off-farm feed'!$K$36</f>
        <v>1.4553836091881654E-10</v>
      </c>
      <c r="L50" s="308">
        <f>'Off-farm feed'!$L$36</f>
        <v>1.0450321677831977E-4</v>
      </c>
      <c r="M50" s="260">
        <f>'Parameters, country spec'!E62</f>
        <v>0.11489366774251643</v>
      </c>
      <c r="O50" s="201">
        <f t="shared" si="6"/>
        <v>15.867395440934034</v>
      </c>
    </row>
    <row r="51" spans="1:15" x14ac:dyDescent="0.35">
      <c r="B51" s="16" t="s">
        <v>244</v>
      </c>
      <c r="C51" s="16" t="s">
        <v>479</v>
      </c>
      <c r="D51" s="257" t="s">
        <v>44</v>
      </c>
      <c r="E51" s="257" t="s">
        <v>45</v>
      </c>
      <c r="F51" s="302">
        <v>0.30116248720059402</v>
      </c>
      <c r="G51" s="302">
        <v>4.6077860541690902E-3</v>
      </c>
      <c r="H51" s="302">
        <v>4.2162748208083201E-4</v>
      </c>
      <c r="I51" s="303">
        <v>7.9885531326599995E-4</v>
      </c>
      <c r="J51" s="303">
        <v>7.4875921055273303E-3</v>
      </c>
      <c r="K51" s="303">
        <v>1.41791001586215E-11</v>
      </c>
      <c r="L51" s="303">
        <v>6.0306640851619199E-4</v>
      </c>
      <c r="M51" s="260">
        <f>'Parameters, country spec'!E63</f>
        <v>0.20323754818805212</v>
      </c>
      <c r="O51" s="201">
        <f t="shared" si="6"/>
        <v>2.7345425748346144</v>
      </c>
    </row>
    <row r="52" spans="1:15" x14ac:dyDescent="0.35">
      <c r="A52" s="262"/>
      <c r="B52" s="16" t="s">
        <v>481</v>
      </c>
      <c r="C52" s="263" t="s">
        <v>482</v>
      </c>
      <c r="D52" s="257" t="s">
        <v>44</v>
      </c>
      <c r="E52" s="257" t="s">
        <v>45</v>
      </c>
      <c r="F52" s="309">
        <f t="shared" ref="F52:L52" si="7">AVERAGE(F42:F50)</f>
        <v>3.9498858941556918</v>
      </c>
      <c r="G52" s="309">
        <f t="shared" si="7"/>
        <v>3.8679483510076752E-2</v>
      </c>
      <c r="H52" s="309">
        <f t="shared" si="7"/>
        <v>4.1767923867679895E-3</v>
      </c>
      <c r="I52" s="309">
        <f t="shared" si="7"/>
        <v>0.14443825426686782</v>
      </c>
      <c r="J52" s="310">
        <f t="shared" si="7"/>
        <v>0.18062288153815531</v>
      </c>
      <c r="K52" s="310">
        <f t="shared" si="7"/>
        <v>1.8213392792884392E-10</v>
      </c>
      <c r="L52" s="310">
        <f t="shared" si="7"/>
        <v>3.1949401978004863E-3</v>
      </c>
      <c r="M52" s="260">
        <f>'Parameters, country spec'!E64</f>
        <v>0.21952265780519725</v>
      </c>
      <c r="O52" s="201">
        <f t="shared" si="6"/>
        <v>37.940432559363295</v>
      </c>
    </row>
    <row r="53" spans="1:15" x14ac:dyDescent="0.35">
      <c r="A53" s="265"/>
      <c r="B53" s="266" t="s">
        <v>483</v>
      </c>
      <c r="C53" s="267"/>
      <c r="D53" s="268"/>
      <c r="E53" s="268"/>
      <c r="F53" s="289">
        <f>SUMPRODUCT(F42:F52,M42:M52)</f>
        <v>2.1949272399867694</v>
      </c>
      <c r="G53" s="289">
        <f>SUMPRODUCT(G42:G52,M42:M52)</f>
        <v>2.4137206395682863E-2</v>
      </c>
      <c r="H53" s="289">
        <f>SUMPRODUCT(H42:H52,M42:M52)</f>
        <v>3.173442552150844E-3</v>
      </c>
      <c r="I53" s="269">
        <f>SUMPRODUCT(I42:I52,M42:M52)</f>
        <v>7.992250847436122E-2</v>
      </c>
      <c r="J53" s="289">
        <f>SUMPRODUCT(J42:J52,M42:M52)</f>
        <v>0.13889976060822268</v>
      </c>
      <c r="K53" s="289">
        <f>SUMPRODUCT(K42:K52,M42:M52)</f>
        <v>1.0538236187181478E-10</v>
      </c>
      <c r="L53" s="289">
        <f>SUMPRODUCT(L42:L52,M42:M52)</f>
        <v>2.1134335070223591E-3</v>
      </c>
      <c r="M53" s="270"/>
    </row>
    <row r="54" spans="1:15" x14ac:dyDescent="0.35">
      <c r="A54" s="256" t="s">
        <v>466</v>
      </c>
      <c r="B54" s="16" t="s">
        <v>226</v>
      </c>
      <c r="C54" s="16" t="s">
        <v>467</v>
      </c>
      <c r="D54" s="257" t="s">
        <v>82</v>
      </c>
      <c r="E54" s="257" t="s">
        <v>47</v>
      </c>
      <c r="F54" s="300">
        <v>1.80609086081903</v>
      </c>
      <c r="G54" s="301">
        <v>1.6977254091698799E-2</v>
      </c>
      <c r="H54" s="301">
        <v>1.2642636025733201E-3</v>
      </c>
      <c r="I54" s="301">
        <v>0</v>
      </c>
      <c r="J54" s="303">
        <v>0.23878435636340001</v>
      </c>
      <c r="K54" s="303">
        <v>2.26804674792707E-11</v>
      </c>
      <c r="L54" s="303">
        <v>1.2237100149001499E-3</v>
      </c>
      <c r="M54" s="260">
        <f>'Parameters, country spec'!F54</f>
        <v>8.1251536473470068E-2</v>
      </c>
      <c r="O54" s="201">
        <f t="shared" ref="O54:O64" si="8">K54*M54/$K$65*100</f>
        <v>5.1325628804729639</v>
      </c>
    </row>
    <row r="55" spans="1:15" x14ac:dyDescent="0.35">
      <c r="A55" s="256" t="s">
        <v>468</v>
      </c>
      <c r="B55" s="16" t="s">
        <v>229</v>
      </c>
      <c r="C55" s="16" t="s">
        <v>467</v>
      </c>
      <c r="D55" s="257" t="s">
        <v>82</v>
      </c>
      <c r="E55" s="257" t="s">
        <v>47</v>
      </c>
      <c r="F55" s="302">
        <v>1.5573752620283901</v>
      </c>
      <c r="G55" s="301">
        <v>2.0556886953023001E-2</v>
      </c>
      <c r="H55" s="301">
        <v>5.7621577065291698E-3</v>
      </c>
      <c r="I55" s="301">
        <v>1.0475658346000001E-3</v>
      </c>
      <c r="J55" s="303">
        <v>0.21701136572466201</v>
      </c>
      <c r="K55" s="303">
        <v>1.95571550411576E-11</v>
      </c>
      <c r="L55" s="303">
        <v>1.4817277460602201E-3</v>
      </c>
      <c r="M55" s="260">
        <f>'Parameters, country spec'!F55</f>
        <v>0.48193637626933306</v>
      </c>
      <c r="O55" s="201">
        <f t="shared" si="8"/>
        <v>26.251013854414868</v>
      </c>
    </row>
    <row r="56" spans="1:15" x14ac:dyDescent="0.35">
      <c r="A56" s="256" t="s">
        <v>469</v>
      </c>
      <c r="B56" s="16" t="s">
        <v>232</v>
      </c>
      <c r="C56" s="16" t="s">
        <v>467</v>
      </c>
      <c r="D56" s="257" t="s">
        <v>82</v>
      </c>
      <c r="E56" s="257" t="s">
        <v>47</v>
      </c>
      <c r="F56" s="302">
        <v>3.5478102914880898</v>
      </c>
      <c r="G56" s="301">
        <v>2.5186631440402899E-2</v>
      </c>
      <c r="H56" s="301">
        <v>5.3211193183949701E-3</v>
      </c>
      <c r="I56" s="301">
        <v>0</v>
      </c>
      <c r="J56" s="303">
        <v>0.188442653194448</v>
      </c>
      <c r="K56" s="303">
        <v>4.4552573563341E-11</v>
      </c>
      <c r="L56" s="303">
        <v>1.8154368762313699E-3</v>
      </c>
      <c r="M56" s="260">
        <f>'Parameters, country spec'!F56</f>
        <v>4.3518886440683656E-2</v>
      </c>
      <c r="O56" s="201">
        <f t="shared" si="8"/>
        <v>5.4000933169106018</v>
      </c>
    </row>
    <row r="57" spans="1:15" x14ac:dyDescent="0.35">
      <c r="A57" s="256" t="s">
        <v>470</v>
      </c>
      <c r="B57" s="16" t="s">
        <v>235</v>
      </c>
      <c r="C57" s="16" t="s">
        <v>467</v>
      </c>
      <c r="D57" s="257" t="s">
        <v>82</v>
      </c>
      <c r="E57" s="257" t="s">
        <v>47</v>
      </c>
      <c r="F57" s="302">
        <v>3.1670023689177702</v>
      </c>
      <c r="G57" s="301">
        <v>3.0087732824095499E-2</v>
      </c>
      <c r="H57" s="301">
        <v>2.21699083967019E-3</v>
      </c>
      <c r="I57" s="301">
        <v>0</v>
      </c>
      <c r="J57" s="303">
        <v>0.27600774015378998</v>
      </c>
      <c r="K57" s="303">
        <v>3.9770476554230403E-11</v>
      </c>
      <c r="L57" s="303">
        <v>2.16870524430028E-3</v>
      </c>
      <c r="M57" s="260">
        <f>'Parameters, country spec'!F57</f>
        <v>1.6914287828800331E-2</v>
      </c>
      <c r="O57" s="201">
        <f t="shared" si="8"/>
        <v>1.8735496488702577</v>
      </c>
    </row>
    <row r="58" spans="1:15" x14ac:dyDescent="0.35">
      <c r="A58" s="256" t="s">
        <v>471</v>
      </c>
      <c r="B58" s="16" t="s">
        <v>237</v>
      </c>
      <c r="C58" s="16" t="s">
        <v>467</v>
      </c>
      <c r="D58" s="257" t="s">
        <v>82</v>
      </c>
      <c r="E58" s="257" t="s">
        <v>47</v>
      </c>
      <c r="F58" s="302">
        <v>1.83842454370303</v>
      </c>
      <c r="G58" s="301">
        <v>2.8127895518656298E-2</v>
      </c>
      <c r="H58" s="301">
        <v>2.57379436118424E-3</v>
      </c>
      <c r="I58" s="301">
        <v>0</v>
      </c>
      <c r="J58" s="303">
        <v>0.17433246804818101</v>
      </c>
      <c r="K58" s="303">
        <v>2.3086506322080101E-11</v>
      </c>
      <c r="L58" s="303">
        <v>2.0274413788196098E-3</v>
      </c>
      <c r="M58" s="260">
        <f>'Parameters, country spec'!F58</f>
        <v>7.6091634538062169E-2</v>
      </c>
      <c r="O58" s="201">
        <f t="shared" si="8"/>
        <v>4.8926688697317831</v>
      </c>
    </row>
    <row r="59" spans="1:15" x14ac:dyDescent="0.35">
      <c r="A59" s="256" t="s">
        <v>472</v>
      </c>
      <c r="B59" s="16" t="s">
        <v>239</v>
      </c>
      <c r="C59" s="16" t="s">
        <v>473</v>
      </c>
      <c r="D59" s="257" t="s">
        <v>82</v>
      </c>
      <c r="E59" s="257" t="s">
        <v>47</v>
      </c>
      <c r="F59" s="302">
        <v>4.3014822907974102</v>
      </c>
      <c r="G59" s="301">
        <v>3.44E-2</v>
      </c>
      <c r="H59" s="301">
        <v>2.1509880231804202E-3</v>
      </c>
      <c r="I59" s="301">
        <v>0.32429639269999999</v>
      </c>
      <c r="J59" s="303">
        <v>0.46527499376285097</v>
      </c>
      <c r="K59" s="303">
        <v>5.40170106197471E-11</v>
      </c>
      <c r="L59" s="303">
        <v>0</v>
      </c>
      <c r="M59" s="260">
        <f>'Parameters, country spec'!F59</f>
        <v>1.2507448813783284E-3</v>
      </c>
      <c r="O59" s="201">
        <f t="shared" si="8"/>
        <v>0.18816982236436258</v>
      </c>
    </row>
    <row r="60" spans="1:15" x14ac:dyDescent="0.35">
      <c r="A60" s="256" t="s">
        <v>474</v>
      </c>
      <c r="B60" s="16" t="s">
        <v>241</v>
      </c>
      <c r="C60" s="16" t="s">
        <v>473</v>
      </c>
      <c r="D60" s="257" t="s">
        <v>82</v>
      </c>
      <c r="E60" s="257" t="s">
        <v>47</v>
      </c>
      <c r="F60" s="302">
        <v>6.7861020629750302</v>
      </c>
      <c r="G60" s="301">
        <v>4.1357220412595E-2</v>
      </c>
      <c r="H60" s="301">
        <v>2.7144408251900099E-3</v>
      </c>
      <c r="I60" s="301">
        <v>0.41091933932000002</v>
      </c>
      <c r="J60" s="303">
        <v>0.81023344191096602</v>
      </c>
      <c r="K60" s="303">
        <v>8.5218285795721799E-11</v>
      </c>
      <c r="L60" s="303">
        <v>9.7827611128910807E-5</v>
      </c>
      <c r="M60" s="260">
        <f>'Parameters, country spec'!F60</f>
        <v>1.2286436428647813E-3</v>
      </c>
      <c r="O60" s="201">
        <f t="shared" si="8"/>
        <v>0.29161470937745088</v>
      </c>
    </row>
    <row r="61" spans="1:15" x14ac:dyDescent="0.35">
      <c r="B61" s="18" t="s">
        <v>242</v>
      </c>
      <c r="C61" s="16" t="s">
        <v>475</v>
      </c>
      <c r="D61" s="257" t="s">
        <v>476</v>
      </c>
      <c r="E61" s="257"/>
      <c r="F61" s="52">
        <f>'Off-farm feed'!$F$88</f>
        <v>1.5397450382845068</v>
      </c>
      <c r="G61" s="53">
        <f>'Off-farm feed'!$G$88</f>
        <v>2.276724967641296E-2</v>
      </c>
      <c r="H61" s="53">
        <f>'Off-farm feed'!$H$88</f>
        <v>2.4780679919905292E-3</v>
      </c>
      <c r="I61" s="53">
        <f>'Off-farm feed'!$I$88</f>
        <v>8.1100925319702543E-4</v>
      </c>
      <c r="J61" s="52">
        <f>'Off-farm feed'!$J$88</f>
        <v>0.29368572248181479</v>
      </c>
      <c r="K61" s="308">
        <f>'Off-farm feed'!$K$88</f>
        <v>1.2571008272056975E-11</v>
      </c>
      <c r="L61" s="308">
        <f>'Off-farm feed'!$L$88</f>
        <v>1.3841258986185109E-3</v>
      </c>
      <c r="M61" s="260">
        <f>'Parameters, country spec'!F61</f>
        <v>5.3981077846432604E-4</v>
      </c>
      <c r="O61" s="201">
        <f t="shared" si="8"/>
        <v>1.8900024134914446E-2</v>
      </c>
    </row>
    <row r="62" spans="1:15" x14ac:dyDescent="0.35">
      <c r="B62" s="18" t="s">
        <v>477</v>
      </c>
      <c r="C62" s="16" t="s">
        <v>475</v>
      </c>
      <c r="D62" s="257" t="s">
        <v>478</v>
      </c>
      <c r="E62" s="257"/>
      <c r="F62" s="52">
        <f>'Off-farm feed'!$F$36</f>
        <v>2.5509164954964105</v>
      </c>
      <c r="G62" s="53">
        <f>'Off-farm feed'!$G$36</f>
        <v>4.2620923125915401E-2</v>
      </c>
      <c r="H62" s="53">
        <f>'Off-farm feed'!$H$36</f>
        <v>3.2959349471355006E-3</v>
      </c>
      <c r="I62" s="53">
        <f>'Off-farm feed'!$I$36</f>
        <v>2.435286335413451E-3</v>
      </c>
      <c r="J62" s="52">
        <f>'Off-farm feed'!$J$36</f>
        <v>0.25920846302270906</v>
      </c>
      <c r="K62" s="308">
        <f>'Off-farm feed'!$K$36</f>
        <v>1.4553836091881654E-10</v>
      </c>
      <c r="L62" s="308">
        <f>'Off-farm feed'!$L$36</f>
        <v>1.0450321677831977E-4</v>
      </c>
      <c r="M62" s="260">
        <f>'Parameters, country spec'!F62</f>
        <v>0.10293137633845451</v>
      </c>
      <c r="O62" s="201">
        <f t="shared" si="8"/>
        <v>41.723040951788484</v>
      </c>
    </row>
    <row r="63" spans="1:15" x14ac:dyDescent="0.35">
      <c r="B63" s="16" t="s">
        <v>244</v>
      </c>
      <c r="C63" s="16" t="s">
        <v>479</v>
      </c>
      <c r="D63" s="257" t="s">
        <v>82</v>
      </c>
      <c r="E63" s="257" t="s">
        <v>47</v>
      </c>
      <c r="F63" s="302">
        <v>0.16545820893327301</v>
      </c>
      <c r="G63" s="302">
        <v>2.5315105966790701E-3</v>
      </c>
      <c r="H63" s="302">
        <v>2.31641492506582E-4</v>
      </c>
      <c r="I63" s="303">
        <v>0</v>
      </c>
      <c r="J63" s="303">
        <v>1.56899221243363E-2</v>
      </c>
      <c r="K63" s="303">
        <v>2.07778556898721E-12</v>
      </c>
      <c r="L63" s="303">
        <v>1.82469724093765E-4</v>
      </c>
      <c r="M63" s="260">
        <f>'Parameters, country spec'!F63</f>
        <v>9.5470428327137938E-2</v>
      </c>
      <c r="O63" s="201">
        <f t="shared" si="8"/>
        <v>0.55248474545548754</v>
      </c>
    </row>
    <row r="64" spans="1:15" x14ac:dyDescent="0.35">
      <c r="A64" s="262"/>
      <c r="B64" s="16" t="s">
        <v>481</v>
      </c>
      <c r="C64" s="263" t="s">
        <v>482</v>
      </c>
      <c r="D64" s="257" t="s">
        <v>82</v>
      </c>
      <c r="E64" s="257" t="s">
        <v>47</v>
      </c>
      <c r="F64" s="309">
        <f t="shared" ref="F64:L64" si="9">AVERAGE(F54:F62)</f>
        <v>3.0105499127232962</v>
      </c>
      <c r="G64" s="309">
        <f t="shared" si="9"/>
        <v>2.9120199338088872E-2</v>
      </c>
      <c r="H64" s="309">
        <f t="shared" si="9"/>
        <v>3.0864175128720384E-3</v>
      </c>
      <c r="I64" s="309">
        <f t="shared" si="9"/>
        <v>8.2167732604801161E-2</v>
      </c>
      <c r="J64" s="310">
        <f t="shared" si="9"/>
        <v>0.32477568940698021</v>
      </c>
      <c r="K64" s="310">
        <f t="shared" si="9"/>
        <v>4.9665760507380241E-11</v>
      </c>
      <c r="L64" s="310">
        <f t="shared" si="9"/>
        <v>1.1448308874263745E-3</v>
      </c>
      <c r="M64" s="260">
        <f>'Parameters, country spec'!F64</f>
        <v>9.8866274481350727E-2</v>
      </c>
      <c r="O64" s="201">
        <f t="shared" si="8"/>
        <v>13.675901176478828</v>
      </c>
    </row>
    <row r="65" spans="1:15" x14ac:dyDescent="0.35">
      <c r="A65" s="265"/>
      <c r="B65" s="266" t="s">
        <v>483</v>
      </c>
      <c r="C65" s="267"/>
      <c r="D65" s="268"/>
      <c r="E65" s="268"/>
      <c r="F65" s="289">
        <f>SUMPRODUCT(F54:F64,M54:M64)</f>
        <v>1.8357130140206188</v>
      </c>
      <c r="G65" s="289">
        <f>SUMPRODUCT(G54:G64,M54:M64)</f>
        <v>2.2645693074774646E-2</v>
      </c>
      <c r="H65" s="289">
        <f>SUMPRODUCT(H54:H64,M54:M64)</f>
        <v>4.0185047326973655E-3</v>
      </c>
      <c r="I65" s="269">
        <f>SUMPRODUCT(I54:I64,M54:M64)</f>
        <v>9.7900683404705292E-3</v>
      </c>
      <c r="J65" s="289">
        <f>SUMPRODUCT(J54:J64,M54:M64)</f>
        <v>0.21214573137859871</v>
      </c>
      <c r="K65" s="289">
        <f>SUMPRODUCT(K54:K64,M54:M64)</f>
        <v>3.5904534898898296E-11</v>
      </c>
      <c r="L65" s="289">
        <f>SUMPRODUCT(L54:L64,M54:M64)</f>
        <v>1.225715692635067E-3</v>
      </c>
      <c r="M65" s="270"/>
    </row>
    <row r="66" spans="1:15" x14ac:dyDescent="0.35">
      <c r="A66" s="256" t="s">
        <v>466</v>
      </c>
      <c r="B66" s="16" t="s">
        <v>226</v>
      </c>
      <c r="C66" s="16" t="s">
        <v>467</v>
      </c>
      <c r="D66" s="257" t="s">
        <v>48</v>
      </c>
      <c r="E66" s="257" t="s">
        <v>49</v>
      </c>
      <c r="F66" s="300">
        <v>1.35326054595943</v>
      </c>
      <c r="G66" s="301">
        <v>1.27206491320187E-2</v>
      </c>
      <c r="H66" s="301">
        <v>9.4728238217160396E-4</v>
      </c>
      <c r="I66" s="301">
        <v>0</v>
      </c>
      <c r="J66" s="303">
        <v>0.49429911929803699</v>
      </c>
      <c r="K66" s="303">
        <v>5.9489298724408499E-12</v>
      </c>
      <c r="L66" s="303">
        <v>1.0205419070028799E-3</v>
      </c>
      <c r="M66" s="260">
        <f>'Parameters, country spec'!G54</f>
        <v>0.32325200471026871</v>
      </c>
      <c r="O66" s="201">
        <f t="shared" ref="O66:O76" si="10">K66*M66/$K$77*100</f>
        <v>7.5767993942740208</v>
      </c>
    </row>
    <row r="67" spans="1:15" x14ac:dyDescent="0.35">
      <c r="A67" s="256" t="s">
        <v>468</v>
      </c>
      <c r="B67" s="16" t="s">
        <v>229</v>
      </c>
      <c r="C67" s="16" t="s">
        <v>467</v>
      </c>
      <c r="D67" s="257" t="s">
        <v>48</v>
      </c>
      <c r="E67" s="257" t="s">
        <v>49</v>
      </c>
      <c r="F67" s="302">
        <v>1.1291040108032699</v>
      </c>
      <c r="G67" s="301">
        <v>1.49038347238525E-2</v>
      </c>
      <c r="H67" s="301">
        <v>4.1775900362313904E-3</v>
      </c>
      <c r="I67" s="301">
        <v>4.0573939566E-2</v>
      </c>
      <c r="J67" s="303">
        <v>0.119829776279331</v>
      </c>
      <c r="K67" s="51">
        <v>1.35734567441708E-11</v>
      </c>
      <c r="L67" s="303">
        <v>1.4340993937730999E-3</v>
      </c>
      <c r="M67" s="260">
        <f>'Parameters, country spec'!G55</f>
        <v>8.9094558301539284E-2</v>
      </c>
      <c r="N67" s="22" t="s">
        <v>484</v>
      </c>
      <c r="O67" s="201">
        <f t="shared" si="10"/>
        <v>4.7648293910086679</v>
      </c>
    </row>
    <row r="68" spans="1:15" x14ac:dyDescent="0.35">
      <c r="A68" s="256" t="s">
        <v>469</v>
      </c>
      <c r="B68" s="16" t="s">
        <v>232</v>
      </c>
      <c r="C68" s="16" t="s">
        <v>467</v>
      </c>
      <c r="D68" s="257" t="s">
        <v>48</v>
      </c>
      <c r="E68" s="257" t="s">
        <v>49</v>
      </c>
      <c r="F68" s="302">
        <v>1.30698794172925</v>
      </c>
      <c r="G68" s="301">
        <v>9.2785749182710594E-3</v>
      </c>
      <c r="H68" s="301">
        <v>1.9602623066769802E-3</v>
      </c>
      <c r="I68" s="301">
        <v>0</v>
      </c>
      <c r="J68" s="303">
        <v>0.27901604719794898</v>
      </c>
      <c r="K68" s="303">
        <v>5.7455156234978196E-12</v>
      </c>
      <c r="L68" s="303">
        <v>7.4439397259428504E-4</v>
      </c>
      <c r="M68" s="260">
        <f>'Parameters, country spec'!G56</f>
        <v>1.8632243854911967E-2</v>
      </c>
      <c r="O68" s="201">
        <f t="shared" si="10"/>
        <v>0.42179349925767529</v>
      </c>
    </row>
    <row r="69" spans="1:15" x14ac:dyDescent="0.35">
      <c r="A69" s="256" t="s">
        <v>470</v>
      </c>
      <c r="B69" s="16" t="s">
        <v>235</v>
      </c>
      <c r="C69" s="16" t="s">
        <v>467</v>
      </c>
      <c r="D69" s="257" t="s">
        <v>48</v>
      </c>
      <c r="E69" s="257" t="s">
        <v>49</v>
      </c>
      <c r="F69" s="302">
        <v>2.4432315157319699</v>
      </c>
      <c r="G69" s="301">
        <v>2.3211633118504299E-2</v>
      </c>
      <c r="H69" s="301">
        <v>1.7103308613634701E-3</v>
      </c>
      <c r="I69" s="301">
        <v>3.4943905220000002E-4</v>
      </c>
      <c r="J69" s="303">
        <v>0.21293031415070801</v>
      </c>
      <c r="K69" s="303">
        <v>2.9371162423902602E-11</v>
      </c>
      <c r="L69" s="303">
        <v>2.2335049737538899E-3</v>
      </c>
      <c r="M69" s="260">
        <f>'Parameters, country spec'!G57</f>
        <v>0</v>
      </c>
      <c r="O69" s="201">
        <f t="shared" si="10"/>
        <v>0</v>
      </c>
    </row>
    <row r="70" spans="1:15" x14ac:dyDescent="0.35">
      <c r="A70" s="256" t="s">
        <v>471</v>
      </c>
      <c r="B70" s="16" t="s">
        <v>237</v>
      </c>
      <c r="C70" s="16" t="s">
        <v>467</v>
      </c>
      <c r="D70" s="257" t="s">
        <v>48</v>
      </c>
      <c r="E70" s="257" t="s">
        <v>49</v>
      </c>
      <c r="F70" s="302">
        <v>1.10929187244031</v>
      </c>
      <c r="G70" s="301">
        <v>1.6972165648336701E-2</v>
      </c>
      <c r="H70" s="301">
        <v>1.5530086214164301E-3</v>
      </c>
      <c r="I70" s="301">
        <v>0</v>
      </c>
      <c r="J70" s="303">
        <v>0.75710778767266096</v>
      </c>
      <c r="K70" s="303">
        <v>4.8764442124021097E-12</v>
      </c>
      <c r="L70" s="303">
        <v>1.36162912104263E-3</v>
      </c>
      <c r="M70" s="260">
        <f>'Parameters, country spec'!G58</f>
        <v>0.13883686885903021</v>
      </c>
      <c r="O70" s="201">
        <f t="shared" si="10"/>
        <v>2.6675574619702895</v>
      </c>
    </row>
    <row r="71" spans="1:15" x14ac:dyDescent="0.35">
      <c r="A71" s="256" t="s">
        <v>472</v>
      </c>
      <c r="B71" s="16" t="s">
        <v>239</v>
      </c>
      <c r="C71" s="16" t="s">
        <v>473</v>
      </c>
      <c r="D71" s="257" t="s">
        <v>48</v>
      </c>
      <c r="E71" s="257" t="s">
        <v>49</v>
      </c>
      <c r="F71" s="302">
        <v>2.18183404970218</v>
      </c>
      <c r="G71" s="301">
        <v>3.44E-2</v>
      </c>
      <c r="H71" s="301">
        <v>1.0910422482772999E-3</v>
      </c>
      <c r="I71" s="301">
        <v>0</v>
      </c>
      <c r="J71" s="303">
        <v>0.38005192765038298</v>
      </c>
      <c r="K71" s="303">
        <v>9.5913368595103996E-12</v>
      </c>
      <c r="L71" s="303">
        <v>0</v>
      </c>
      <c r="M71" s="260">
        <f>'Parameters, country spec'!G59</f>
        <v>1.1573790749521788E-3</v>
      </c>
      <c r="O71" s="201">
        <f t="shared" si="10"/>
        <v>4.3738157384918812E-2</v>
      </c>
    </row>
    <row r="72" spans="1:15" x14ac:dyDescent="0.35">
      <c r="A72" s="256" t="s">
        <v>474</v>
      </c>
      <c r="B72" s="16" t="s">
        <v>241</v>
      </c>
      <c r="C72" s="16" t="s">
        <v>473</v>
      </c>
      <c r="D72" s="257" t="s">
        <v>48</v>
      </c>
      <c r="E72" s="257" t="s">
        <v>49</v>
      </c>
      <c r="F72" s="304">
        <v>2.0306300232710202</v>
      </c>
      <c r="G72" s="304">
        <v>4.0406126004654201E-2</v>
      </c>
      <c r="H72" s="304">
        <v>8.1225200930840796E-4</v>
      </c>
      <c r="I72" s="305">
        <v>0</v>
      </c>
      <c r="J72" s="313">
        <v>0.37422237023258798</v>
      </c>
      <c r="K72" s="303">
        <v>8.9266443489991099E-12</v>
      </c>
      <c r="L72" s="307">
        <v>3.2582347250661698E-5</v>
      </c>
      <c r="M72" s="260">
        <f>'Parameters, country spec'!G60</f>
        <v>1.1369276536260728E-3</v>
      </c>
      <c r="O72" s="201">
        <f t="shared" si="10"/>
        <v>3.998773218256186E-2</v>
      </c>
    </row>
    <row r="73" spans="1:15" x14ac:dyDescent="0.35">
      <c r="B73" s="18" t="s">
        <v>242</v>
      </c>
      <c r="C73" s="16" t="s">
        <v>475</v>
      </c>
      <c r="D73" s="257" t="s">
        <v>476</v>
      </c>
      <c r="E73" s="257"/>
      <c r="F73" s="52">
        <f>'Off-farm feed'!$F$88</f>
        <v>1.5397450382845068</v>
      </c>
      <c r="G73" s="53">
        <f>'Off-farm feed'!$G$88</f>
        <v>2.276724967641296E-2</v>
      </c>
      <c r="H73" s="53">
        <f>'Off-farm feed'!$H$88</f>
        <v>2.4780679919905292E-3</v>
      </c>
      <c r="I73" s="53">
        <f>'Off-farm feed'!$I$88</f>
        <v>8.1100925319702543E-4</v>
      </c>
      <c r="J73" s="52">
        <f>'Off-farm feed'!$J$88</f>
        <v>0.29368572248181479</v>
      </c>
      <c r="K73" s="308">
        <f>'Off-farm feed'!$K$88</f>
        <v>1.2571008272056975E-11</v>
      </c>
      <c r="L73" s="308">
        <f>'Off-farm feed'!$L$88</f>
        <v>1.3841258986185109E-3</v>
      </c>
      <c r="M73" s="260">
        <f>'Parameters, country spec'!G61</f>
        <v>6.196353147498361E-2</v>
      </c>
      <c r="O73" s="201">
        <f t="shared" si="10"/>
        <v>3.0691066922639889</v>
      </c>
    </row>
    <row r="74" spans="1:15" x14ac:dyDescent="0.35">
      <c r="B74" s="18" t="s">
        <v>477</v>
      </c>
      <c r="C74" s="16" t="s">
        <v>475</v>
      </c>
      <c r="D74" s="257" t="s">
        <v>478</v>
      </c>
      <c r="E74" s="257"/>
      <c r="F74" s="52">
        <f>'Off-farm feed'!$F$36</f>
        <v>2.5509164954964105</v>
      </c>
      <c r="G74" s="53">
        <f>'Off-farm feed'!$G$36</f>
        <v>4.2620923125915401E-2</v>
      </c>
      <c r="H74" s="53">
        <f>'Off-farm feed'!$H$36</f>
        <v>3.2959349471355006E-3</v>
      </c>
      <c r="I74" s="53">
        <f>'Off-farm feed'!$I$36</f>
        <v>2.435286335413451E-3</v>
      </c>
      <c r="J74" s="52">
        <f>'Off-farm feed'!$J$36</f>
        <v>0.25920846302270906</v>
      </c>
      <c r="K74" s="308">
        <f>'Off-farm feed'!$K$36</f>
        <v>1.4553836091881654E-10</v>
      </c>
      <c r="L74" s="308">
        <f>'Off-farm feed'!$L$36</f>
        <v>1.0450321677831977E-4</v>
      </c>
      <c r="M74" s="260">
        <f>'Parameters, country spec'!G62</f>
        <v>0.11791110099805442</v>
      </c>
      <c r="O74" s="201">
        <f t="shared" si="10"/>
        <v>67.614195767000282</v>
      </c>
    </row>
    <row r="75" spans="1:15" x14ac:dyDescent="0.35">
      <c r="B75" s="16" t="s">
        <v>244</v>
      </c>
      <c r="C75" s="16" t="s">
        <v>479</v>
      </c>
      <c r="D75" s="257" t="s">
        <v>48</v>
      </c>
      <c r="E75" s="257" t="s">
        <v>49</v>
      </c>
      <c r="F75" s="302">
        <v>9.9836268519627805E-2</v>
      </c>
      <c r="G75" s="302">
        <v>1.52749490835031E-3</v>
      </c>
      <c r="H75" s="302">
        <v>1.3977077592747901E-4</v>
      </c>
      <c r="I75" s="303">
        <v>0</v>
      </c>
      <c r="J75" s="303">
        <v>6.8139700890539501E-2</v>
      </c>
      <c r="K75" s="303">
        <v>4.3887997911619E-13</v>
      </c>
      <c r="L75" s="303">
        <v>1.2254662089383701E-4</v>
      </c>
      <c r="M75" s="260">
        <f>'Parameters, country spec'!G63</f>
        <v>0.11645641995705991</v>
      </c>
      <c r="O75" s="201">
        <f t="shared" si="10"/>
        <v>0.20137934191645079</v>
      </c>
    </row>
    <row r="76" spans="1:15" x14ac:dyDescent="0.35">
      <c r="A76" s="262"/>
      <c r="B76" s="16" t="s">
        <v>481</v>
      </c>
      <c r="C76" s="263" t="s">
        <v>482</v>
      </c>
      <c r="D76" s="257" t="s">
        <v>48</v>
      </c>
      <c r="E76" s="257" t="s">
        <v>49</v>
      </c>
      <c r="F76" s="309">
        <f t="shared" ref="F76:L76" si="11">AVERAGE(F66:F74)</f>
        <v>1.7383334992687054</v>
      </c>
      <c r="G76" s="309">
        <f t="shared" si="11"/>
        <v>2.4142350705329538E-2</v>
      </c>
      <c r="H76" s="309">
        <f t="shared" si="11"/>
        <v>2.0028634893968461E-3</v>
      </c>
      <c r="I76" s="309">
        <f t="shared" si="11"/>
        <v>4.9077415785344974E-3</v>
      </c>
      <c r="J76" s="310">
        <f t="shared" si="11"/>
        <v>0.35226128088735348</v>
      </c>
      <c r="K76" s="310">
        <f t="shared" si="11"/>
        <v>2.6238095475088581E-11</v>
      </c>
      <c r="L76" s="310">
        <f t="shared" si="11"/>
        <v>9.2393120342380863E-4</v>
      </c>
      <c r="M76" s="260">
        <f>'Parameters, country spec'!G64</f>
        <v>0.13155896511557413</v>
      </c>
      <c r="O76" s="201">
        <f t="shared" si="10"/>
        <v>13.600612562741151</v>
      </c>
    </row>
    <row r="77" spans="1:15" x14ac:dyDescent="0.35">
      <c r="A77" s="265"/>
      <c r="B77" s="266" t="s">
        <v>483</v>
      </c>
      <c r="C77" s="267"/>
      <c r="D77" s="268"/>
      <c r="E77" s="268"/>
      <c r="F77" s="289">
        <f>SUMPRODUCT(F66:F76,M66:M76)</f>
        <v>1.3577471675481736</v>
      </c>
      <c r="G77" s="289">
        <f>SUMPRODUCT(G66:G76,M66:M76)</f>
        <v>1.7845070019978738E-2</v>
      </c>
      <c r="H77" s="289">
        <f>SUMPRODUCT(H66:H76,M66:M76)</f>
        <v>1.754685643537429E-3</v>
      </c>
      <c r="I77" s="269">
        <f>SUMPRODUCT(I66:I76,M66:M76)</f>
        <v>4.5979749177538854E-3</v>
      </c>
      <c r="J77" s="289">
        <f>SUMPRODUCT(J66:J76,M66:M76)</f>
        <v>0.38467765475671656</v>
      </c>
      <c r="K77" s="289">
        <f>SUMPRODUCT(K66:K76,M66:M76)</f>
        <v>2.5380156014168334E-11</v>
      </c>
      <c r="L77" s="289">
        <f>SUMPRODUCT(L66:L76,M66:M76)</f>
        <v>8.945239586242988E-4</v>
      </c>
      <c r="M77" s="270"/>
    </row>
    <row r="78" spans="1:15" x14ac:dyDescent="0.35">
      <c r="A78" s="256" t="s">
        <v>466</v>
      </c>
      <c r="B78" s="16" t="s">
        <v>226</v>
      </c>
      <c r="C78" s="16" t="s">
        <v>467</v>
      </c>
      <c r="D78" s="257" t="s">
        <v>50</v>
      </c>
      <c r="E78" s="257" t="s">
        <v>51</v>
      </c>
      <c r="F78" s="300">
        <v>2.3945213351850998</v>
      </c>
      <c r="G78" s="301">
        <v>2.2508500550739899E-2</v>
      </c>
      <c r="H78" s="301">
        <v>1.6761649346295701E-3</v>
      </c>
      <c r="I78" s="301">
        <v>0</v>
      </c>
      <c r="J78" s="303">
        <v>0.25300416646712298</v>
      </c>
      <c r="K78" s="303">
        <v>1.2885666478366499E-10</v>
      </c>
      <c r="L78" s="303">
        <v>3.4813267475086698E-3</v>
      </c>
      <c r="M78" s="260">
        <f>'Parameters, country spec'!H54</f>
        <v>7.5639149668143751E-2</v>
      </c>
      <c r="O78" s="201">
        <f>K78*M78/K89*100</f>
        <v>11.53978954724375</v>
      </c>
    </row>
    <row r="79" spans="1:15" x14ac:dyDescent="0.35">
      <c r="A79" s="256" t="s">
        <v>468</v>
      </c>
      <c r="B79" s="16" t="s">
        <v>229</v>
      </c>
      <c r="C79" s="16" t="s">
        <v>467</v>
      </c>
      <c r="D79" s="257" t="s">
        <v>50</v>
      </c>
      <c r="E79" s="257" t="s">
        <v>51</v>
      </c>
      <c r="F79" s="302">
        <v>0.98746121746068405</v>
      </c>
      <c r="G79" s="301">
        <v>1.30341922802828E-2</v>
      </c>
      <c r="H79" s="301">
        <v>3.6535235937156202E-3</v>
      </c>
      <c r="I79" s="301">
        <v>3.5040686212000002E-2</v>
      </c>
      <c r="J79" s="303">
        <v>0.206655389859563</v>
      </c>
      <c r="K79" s="303">
        <v>5.3138369333161899E-11</v>
      </c>
      <c r="L79" s="303">
        <v>2.0159620191149401E-3</v>
      </c>
      <c r="M79" s="260">
        <f>'Parameters, country spec'!H55</f>
        <v>0.4945946495860658</v>
      </c>
      <c r="O79" s="201">
        <f>K79*M79/K89*100</f>
        <v>31.117306773636599</v>
      </c>
    </row>
    <row r="80" spans="1:15" x14ac:dyDescent="0.35">
      <c r="A80" s="256" t="s">
        <v>469</v>
      </c>
      <c r="B80" s="16" t="s">
        <v>232</v>
      </c>
      <c r="C80" s="16" t="s">
        <v>467</v>
      </c>
      <c r="D80" s="257" t="s">
        <v>50</v>
      </c>
      <c r="E80" s="257" t="s">
        <v>51</v>
      </c>
      <c r="F80" s="302">
        <v>4.2714598141060698</v>
      </c>
      <c r="G80" s="301">
        <v>3.0323967521176699E-2</v>
      </c>
      <c r="H80" s="301">
        <v>6.4064720115162002E-3</v>
      </c>
      <c r="I80" s="301">
        <v>0</v>
      </c>
      <c r="J80" s="303">
        <v>0.19333054264625499</v>
      </c>
      <c r="K80" s="303">
        <v>2.29860581033669E-10</v>
      </c>
      <c r="L80" s="303">
        <v>4.6901231374377999E-3</v>
      </c>
      <c r="M80" s="260">
        <f>'Parameters, country spec'!H56</f>
        <v>1.5708249677942241E-2</v>
      </c>
      <c r="O80" s="201">
        <f>K80*M80/K89*100</f>
        <v>4.2750053274044681</v>
      </c>
    </row>
    <row r="81" spans="1:15" x14ac:dyDescent="0.35">
      <c r="A81" s="256" t="s">
        <v>470</v>
      </c>
      <c r="B81" s="16" t="s">
        <v>235</v>
      </c>
      <c r="C81" s="16" t="s">
        <v>467</v>
      </c>
      <c r="D81" s="257" t="s">
        <v>50</v>
      </c>
      <c r="E81" s="257" t="s">
        <v>51</v>
      </c>
      <c r="F81" s="302">
        <v>3.1183151119787</v>
      </c>
      <c r="G81" s="301">
        <v>2.9625185276579299E-2</v>
      </c>
      <c r="H81" s="301">
        <v>2.1829083888005802E-3</v>
      </c>
      <c r="I81" s="301">
        <v>1.0795963210799999E-2</v>
      </c>
      <c r="J81" s="303">
        <v>5.0338960852672103E-3</v>
      </c>
      <c r="K81" s="303">
        <v>1.67806266400636E-10</v>
      </c>
      <c r="L81" s="303">
        <v>4.5820444445316601E-3</v>
      </c>
      <c r="M81" s="260">
        <f>'Parameters, country spec'!H57</f>
        <v>1.2515759679726465E-3</v>
      </c>
      <c r="O81" s="201">
        <f>K81*M81/K89*100</f>
        <v>0.24866219024413153</v>
      </c>
    </row>
    <row r="82" spans="1:15" x14ac:dyDescent="0.35">
      <c r="A82" s="256" t="s">
        <v>471</v>
      </c>
      <c r="B82" s="16" t="s">
        <v>237</v>
      </c>
      <c r="C82" s="16" t="s">
        <v>467</v>
      </c>
      <c r="D82" s="257" t="s">
        <v>50</v>
      </c>
      <c r="E82" s="257" t="s">
        <v>51</v>
      </c>
      <c r="F82" s="302">
        <v>2.6013214713074202</v>
      </c>
      <c r="G82" s="301">
        <v>3.9800218511003599E-2</v>
      </c>
      <c r="H82" s="301">
        <v>3.6418500598303901E-3</v>
      </c>
      <c r="I82" s="301">
        <v>8.6726536024000003E-3</v>
      </c>
      <c r="J82" s="303">
        <v>0.16899432911919299</v>
      </c>
      <c r="K82" s="303">
        <v>1.3998522539658301E-10</v>
      </c>
      <c r="L82" s="303">
        <v>6.1557883407960699E-3</v>
      </c>
      <c r="M82" s="260">
        <f>'Parameters, country spec'!H58</f>
        <v>7.1646219701035879E-2</v>
      </c>
      <c r="O82" s="201">
        <f>K82*M82/K89*100</f>
        <v>11.874623423644522</v>
      </c>
    </row>
    <row r="83" spans="1:15" x14ac:dyDescent="0.35">
      <c r="A83" s="256" t="s">
        <v>472</v>
      </c>
      <c r="B83" s="16" t="s">
        <v>239</v>
      </c>
      <c r="C83" s="16" t="s">
        <v>473</v>
      </c>
      <c r="D83" s="257" t="s">
        <v>50</v>
      </c>
      <c r="E83" s="257" t="s">
        <v>51</v>
      </c>
      <c r="F83" s="302">
        <v>3.57099495061314</v>
      </c>
      <c r="G83" s="301">
        <v>3.44E-2</v>
      </c>
      <c r="H83" s="301">
        <v>1.7857024277514E-3</v>
      </c>
      <c r="I83" s="301">
        <v>1.2925079856000001E-3</v>
      </c>
      <c r="J83" s="303">
        <v>6.0443017633573098E-2</v>
      </c>
      <c r="K83" s="303">
        <v>1.9216638103571101E-10</v>
      </c>
      <c r="L83" s="303">
        <v>0</v>
      </c>
      <c r="M83" s="260">
        <f>'Parameters, country spec'!H59</f>
        <v>2.6243338101171946E-3</v>
      </c>
      <c r="O83" s="201">
        <f>K83*M83/K89*100</f>
        <v>0.59709144876624187</v>
      </c>
    </row>
    <row r="84" spans="1:15" x14ac:dyDescent="0.35">
      <c r="A84" s="256" t="s">
        <v>474</v>
      </c>
      <c r="B84" s="16" t="s">
        <v>241</v>
      </c>
      <c r="C84" s="16" t="s">
        <v>473</v>
      </c>
      <c r="D84" s="257" t="s">
        <v>50</v>
      </c>
      <c r="E84" s="257" t="s">
        <v>51</v>
      </c>
      <c r="F84" s="302">
        <v>5.0595509142608499</v>
      </c>
      <c r="G84" s="301">
        <v>4.1011910182852197E-2</v>
      </c>
      <c r="H84" s="301">
        <v>2.02382036570434E-3</v>
      </c>
      <c r="I84" s="301">
        <v>1.7974985124000001E-3</v>
      </c>
      <c r="J84" s="303">
        <v>8.5638464729870606E-2</v>
      </c>
      <c r="K84" s="303">
        <v>2.7227022225066201E-10</v>
      </c>
      <c r="L84" s="303">
        <v>1.5650931423434399E-4</v>
      </c>
      <c r="M84" s="260">
        <f>'Parameters, country spec'!H60</f>
        <v>2.5779606221648438E-3</v>
      </c>
      <c r="O84" s="201">
        <f>K84*M84/K89*100</f>
        <v>0.83103782180192332</v>
      </c>
    </row>
    <row r="85" spans="1:15" x14ac:dyDescent="0.35">
      <c r="B85" s="18" t="s">
        <v>242</v>
      </c>
      <c r="C85" s="16" t="s">
        <v>475</v>
      </c>
      <c r="D85" s="257" t="s">
        <v>476</v>
      </c>
      <c r="E85" s="257"/>
      <c r="F85" s="52">
        <f>'Off-farm feed'!$F$88</f>
        <v>1.5397450382845068</v>
      </c>
      <c r="G85" s="53">
        <f>'Off-farm feed'!$G$88</f>
        <v>2.276724967641296E-2</v>
      </c>
      <c r="H85" s="53">
        <f>'Off-farm feed'!$H$88</f>
        <v>2.4780679919905292E-3</v>
      </c>
      <c r="I85" s="53">
        <f>'Off-farm feed'!$I$88</f>
        <v>8.1100925319702543E-4</v>
      </c>
      <c r="J85" s="52">
        <f>'Off-farm feed'!$J$88</f>
        <v>0.29368572248181479</v>
      </c>
      <c r="K85" s="308">
        <f>'Off-farm feed'!$K$88</f>
        <v>1.2571008272056975E-11</v>
      </c>
      <c r="L85" s="308">
        <f>'Off-farm feed'!$L$88</f>
        <v>1.3841258986185109E-3</v>
      </c>
      <c r="M85" s="260">
        <f>'Parameters, country spec'!H61</f>
        <v>4.4205096143040447E-3</v>
      </c>
      <c r="O85" s="201">
        <f>K85*M85/K89*100</f>
        <v>6.5794079629657803E-2</v>
      </c>
    </row>
    <row r="86" spans="1:15" x14ac:dyDescent="0.35">
      <c r="B86" s="18" t="s">
        <v>477</v>
      </c>
      <c r="C86" s="16" t="s">
        <v>475</v>
      </c>
      <c r="D86" s="257" t="s">
        <v>478</v>
      </c>
      <c r="E86" s="257"/>
      <c r="F86" s="52">
        <f>'Off-farm feed'!$F$36</f>
        <v>2.5509164954964105</v>
      </c>
      <c r="G86" s="53">
        <f>'Off-farm feed'!$G$36</f>
        <v>4.2620923125915401E-2</v>
      </c>
      <c r="H86" s="53">
        <f>'Off-farm feed'!$H$36</f>
        <v>3.2959349471355006E-3</v>
      </c>
      <c r="I86" s="53">
        <f>'Off-farm feed'!$I$36</f>
        <v>2.435286335413451E-3</v>
      </c>
      <c r="J86" s="52">
        <f>'Off-farm feed'!$J$36</f>
        <v>0.25920846302270906</v>
      </c>
      <c r="K86" s="308">
        <f>'Off-farm feed'!$K$36</f>
        <v>1.4553836091881654E-10</v>
      </c>
      <c r="L86" s="308">
        <f>'Off-farm feed'!$L$36</f>
        <v>1.0450321677831977E-4</v>
      </c>
      <c r="M86" s="260">
        <f>'Parameters, country spec'!H62</f>
        <v>0.10913728039586229</v>
      </c>
      <c r="O86" s="201">
        <f>K86*M86/K89*100</f>
        <v>18.805936759319362</v>
      </c>
    </row>
    <row r="87" spans="1:15" x14ac:dyDescent="0.35">
      <c r="B87" s="16" t="s">
        <v>244</v>
      </c>
      <c r="C87" s="16" t="s">
        <v>479</v>
      </c>
      <c r="D87" s="257" t="s">
        <v>50</v>
      </c>
      <c r="E87" s="257" t="s">
        <v>51</v>
      </c>
      <c r="F87" s="302">
        <v>0.23411893241766801</v>
      </c>
      <c r="G87" s="302">
        <v>3.5820196659903198E-3</v>
      </c>
      <c r="H87" s="302">
        <v>3.2776650538473499E-4</v>
      </c>
      <c r="I87" s="303">
        <v>7.8053882421600003E-4</v>
      </c>
      <c r="J87" s="303">
        <v>1.5209489620727301E-2</v>
      </c>
      <c r="K87" s="303">
        <v>1.25986702856925E-11</v>
      </c>
      <c r="L87" s="303">
        <v>5.5402095067164602E-4</v>
      </c>
      <c r="M87" s="260">
        <f>'Parameters, country spec'!H63</f>
        <v>0.11521206449276877</v>
      </c>
      <c r="O87" s="201">
        <f>K87*M87/K89*100</f>
        <v>1.7185692376777955</v>
      </c>
    </row>
    <row r="88" spans="1:15" x14ac:dyDescent="0.35">
      <c r="A88" s="262"/>
      <c r="B88" s="16" t="s">
        <v>481</v>
      </c>
      <c r="C88" s="263" t="s">
        <v>482</v>
      </c>
      <c r="D88" s="257" t="s">
        <v>50</v>
      </c>
      <c r="E88" s="257" t="s">
        <v>51</v>
      </c>
      <c r="F88" s="309">
        <f t="shared" ref="F88:L88" si="12">AVERAGE(F78:F86)</f>
        <v>2.8993651498547646</v>
      </c>
      <c r="G88" s="309">
        <f t="shared" si="12"/>
        <v>3.0676905236106982E-2</v>
      </c>
      <c r="H88" s="309">
        <f t="shared" si="12"/>
        <v>3.0160494134526808E-3</v>
      </c>
      <c r="I88" s="309">
        <f t="shared" si="12"/>
        <v>6.7606227902011649E-3</v>
      </c>
      <c r="J88" s="310">
        <f t="shared" si="12"/>
        <v>0.16955488800504095</v>
      </c>
      <c r="K88" s="310">
        <f t="shared" si="12"/>
        <v>1.4913256438055125E-10</v>
      </c>
      <c r="L88" s="310">
        <f t="shared" si="12"/>
        <v>2.5078203465578124E-3</v>
      </c>
      <c r="M88" s="260">
        <f>'Parameters, country spec'!H64</f>
        <v>0.10718800646362231</v>
      </c>
      <c r="O88" s="201">
        <f>K88*M88/K89*100</f>
        <v>18.92618339063155</v>
      </c>
    </row>
    <row r="89" spans="1:15" x14ac:dyDescent="0.35">
      <c r="A89" s="265"/>
      <c r="B89" s="266" t="s">
        <v>483</v>
      </c>
      <c r="C89" s="267"/>
      <c r="D89" s="268"/>
      <c r="E89" s="268"/>
      <c r="F89" s="289">
        <f>SUMPRODUCT(F78:F88,M78:M88)</f>
        <v>1.5722592559876394</v>
      </c>
      <c r="G89" s="289">
        <f>SUMPRODUCT(G78:G88,M78:M88)</f>
        <v>2.0163182282115506E-2</v>
      </c>
      <c r="H89" s="289">
        <f>SUMPRODUCT(H78:H88,M78:M88)</f>
        <v>3.0397025271646791E-3</v>
      </c>
      <c r="I89" s="269">
        <f>SUMPRODUCT(I78:I88,M78:M88)</f>
        <v>1.9057787355085693E-2</v>
      </c>
      <c r="J89" s="289">
        <f>SUMPRODUCT(J78:J88,M78:M88)</f>
        <v>0.18639216936145156</v>
      </c>
      <c r="K89" s="289">
        <f>SUMPRODUCT(K78:K88,M78:M88)</f>
        <v>8.4460886512765028E-11</v>
      </c>
      <c r="L89" s="289">
        <f>SUMPRODUCT(L78:L88,M78:M88)</f>
        <v>2.1314213637720902E-3</v>
      </c>
      <c r="M89" s="270"/>
    </row>
    <row r="90" spans="1:15" x14ac:dyDescent="0.35">
      <c r="A90" s="256" t="s">
        <v>466</v>
      </c>
      <c r="B90" s="16" t="s">
        <v>226</v>
      </c>
      <c r="C90" s="16" t="s">
        <v>467</v>
      </c>
      <c r="D90" s="257" t="s">
        <v>52</v>
      </c>
      <c r="E90" s="257" t="s">
        <v>53</v>
      </c>
      <c r="F90" s="300">
        <v>1.4936430551572499</v>
      </c>
      <c r="G90" s="301">
        <v>1.4040244718478199E-2</v>
      </c>
      <c r="H90" s="301">
        <v>1.0455501386100799E-3</v>
      </c>
      <c r="I90" s="301">
        <v>1.7320847E-5</v>
      </c>
      <c r="J90" s="303">
        <v>0.25055205047318602</v>
      </c>
      <c r="K90" s="303">
        <v>1.2094539383455E-11</v>
      </c>
      <c r="L90" s="303">
        <v>8.6012034003245198E-4</v>
      </c>
      <c r="M90" s="260">
        <f>'Parameters, country spec'!I54</f>
        <v>9.2949044996403496E-2</v>
      </c>
      <c r="O90" s="201">
        <f>K90*M90/K101*100</f>
        <v>3.8969380560447324</v>
      </c>
    </row>
    <row r="91" spans="1:15" x14ac:dyDescent="0.35">
      <c r="A91" s="256" t="s">
        <v>468</v>
      </c>
      <c r="B91" s="16" t="s">
        <v>229</v>
      </c>
      <c r="C91" s="16" t="s">
        <v>467</v>
      </c>
      <c r="D91" s="257" t="s">
        <v>52</v>
      </c>
      <c r="E91" s="257" t="s">
        <v>53</v>
      </c>
      <c r="F91" s="302">
        <v>1.0864605288889899</v>
      </c>
      <c r="G91" s="301">
        <v>1.4340953536274501E-2</v>
      </c>
      <c r="H91" s="301">
        <v>4.0198127336526996E-3</v>
      </c>
      <c r="I91" s="301">
        <v>9.5547103112000008E-3</v>
      </c>
      <c r="J91" s="303">
        <v>9.1052780252493401E-2</v>
      </c>
      <c r="K91" s="303">
        <v>8.7974430101265295E-12</v>
      </c>
      <c r="L91" s="303">
        <v>8.7854208237383503E-4</v>
      </c>
      <c r="M91" s="260">
        <f>'Parameters, country spec'!I55</f>
        <v>0.27914438878544884</v>
      </c>
      <c r="O91" s="201">
        <f>K91*M91/K101*100</f>
        <v>8.5128425696567955</v>
      </c>
    </row>
    <row r="92" spans="1:15" x14ac:dyDescent="0.35">
      <c r="A92" s="256" t="s">
        <v>469</v>
      </c>
      <c r="B92" s="16" t="s">
        <v>232</v>
      </c>
      <c r="C92" s="16" t="s">
        <v>467</v>
      </c>
      <c r="D92" s="257" t="s">
        <v>52</v>
      </c>
      <c r="E92" s="257" t="s">
        <v>53</v>
      </c>
      <c r="F92" s="302">
        <v>2.0790885275895001</v>
      </c>
      <c r="G92" s="301">
        <v>1.4759875014174599E-2</v>
      </c>
      <c r="H92" s="301">
        <v>3.1182834536988601E-3</v>
      </c>
      <c r="I92" s="301">
        <v>7.4432880493999999E-3</v>
      </c>
      <c r="J92" s="303">
        <v>0.110431202960622</v>
      </c>
      <c r="K92" s="303">
        <v>1.6835091886108901E-11</v>
      </c>
      <c r="L92" s="303">
        <v>9.04205658133603E-4</v>
      </c>
      <c r="M92" s="260">
        <f>'Parameters, country spec'!I56</f>
        <v>3.0531645384754033E-3</v>
      </c>
      <c r="O92" s="201">
        <f>K92*M92/K101*100</f>
        <v>0.17817835215355041</v>
      </c>
    </row>
    <row r="93" spans="1:15" x14ac:dyDescent="0.35">
      <c r="A93" s="256" t="s">
        <v>470</v>
      </c>
      <c r="B93" s="16" t="s">
        <v>235</v>
      </c>
      <c r="C93" s="16" t="s">
        <v>467</v>
      </c>
      <c r="D93" s="257" t="s">
        <v>52</v>
      </c>
      <c r="E93" s="257" t="s">
        <v>53</v>
      </c>
      <c r="F93" s="302">
        <v>2.7925940406043201</v>
      </c>
      <c r="G93" s="301">
        <v>2.65307106191323E-2</v>
      </c>
      <c r="H93" s="301">
        <v>1.9548944666729099E-3</v>
      </c>
      <c r="I93" s="301">
        <v>0</v>
      </c>
      <c r="J93" s="303">
        <v>0.243377642492111</v>
      </c>
      <c r="K93" s="303">
        <v>2.2612590397332099E-11</v>
      </c>
      <c r="L93" s="303">
        <v>1.6252995796432401E-3</v>
      </c>
      <c r="M93" s="260">
        <f>'Parameters, country spec'!I57</f>
        <v>1.1489015097402086E-2</v>
      </c>
      <c r="O93" s="201">
        <f>K93*M93/K101*100</f>
        <v>0.90058011544851513</v>
      </c>
    </row>
    <row r="94" spans="1:15" x14ac:dyDescent="0.35">
      <c r="A94" s="256" t="s">
        <v>471</v>
      </c>
      <c r="B94" s="16" t="s">
        <v>237</v>
      </c>
      <c r="C94" s="16" t="s">
        <v>467</v>
      </c>
      <c r="D94" s="257" t="s">
        <v>52</v>
      </c>
      <c r="E94" s="257" t="s">
        <v>53</v>
      </c>
      <c r="F94" s="302">
        <v>1.2075807086566599</v>
      </c>
      <c r="G94" s="301">
        <v>1.8475984842446901E-2</v>
      </c>
      <c r="H94" s="301">
        <v>1.69061299211933E-3</v>
      </c>
      <c r="I94" s="301">
        <v>0</v>
      </c>
      <c r="J94" s="303">
        <v>0.195361440981908</v>
      </c>
      <c r="K94" s="303">
        <v>9.7781945888074892E-12</v>
      </c>
      <c r="L94" s="303">
        <v>1.13185850273715E-3</v>
      </c>
      <c r="M94" s="260">
        <f>'Parameters, country spec'!I58</f>
        <v>0.31451111490386796</v>
      </c>
      <c r="O94" s="201">
        <f>K94*M94/K101*100</f>
        <v>10.660655546249677</v>
      </c>
    </row>
    <row r="95" spans="1:15" x14ac:dyDescent="0.35">
      <c r="A95" s="256" t="s">
        <v>472</v>
      </c>
      <c r="B95" s="16" t="s">
        <v>239</v>
      </c>
      <c r="C95" s="16" t="s">
        <v>473</v>
      </c>
      <c r="D95" s="257" t="s">
        <v>52</v>
      </c>
      <c r="E95" s="257" t="s">
        <v>53</v>
      </c>
      <c r="F95" s="302">
        <v>3.39685451272122</v>
      </c>
      <c r="G95" s="301">
        <v>3.44E-2</v>
      </c>
      <c r="H95" s="301">
        <v>1.69862221424959E-3</v>
      </c>
      <c r="I95" s="301">
        <v>5.8912594268000003E-2</v>
      </c>
      <c r="J95" s="303">
        <v>1.1407877305615</v>
      </c>
      <c r="K95" s="303">
        <v>4.0835084592305499E-11</v>
      </c>
      <c r="L95" s="303">
        <v>0</v>
      </c>
      <c r="M95" s="260">
        <f>'Parameters, country spec'!I59</f>
        <v>0</v>
      </c>
      <c r="O95" s="201">
        <f>K95*M95/K101*100</f>
        <v>0</v>
      </c>
    </row>
    <row r="96" spans="1:15" x14ac:dyDescent="0.35">
      <c r="A96" s="256" t="s">
        <v>474</v>
      </c>
      <c r="B96" s="16" t="s">
        <v>241</v>
      </c>
      <c r="C96" s="16" t="s">
        <v>473</v>
      </c>
      <c r="D96" s="257" t="s">
        <v>52</v>
      </c>
      <c r="E96" s="257" t="s">
        <v>53</v>
      </c>
      <c r="F96" s="302">
        <v>2.8424972285651999</v>
      </c>
      <c r="G96" s="301">
        <v>4.0568499445713002E-2</v>
      </c>
      <c r="H96" s="301">
        <v>1.13699889142608E-3</v>
      </c>
      <c r="I96" s="301">
        <v>6.5111000000000006E-8</v>
      </c>
      <c r="J96" s="303">
        <v>0.33938279910177099</v>
      </c>
      <c r="K96" s="303">
        <v>2.3016673601862799E-11</v>
      </c>
      <c r="L96" s="303">
        <v>3.48268813229035E-5</v>
      </c>
      <c r="M96" s="260">
        <f>'Parameters, country spec'!I60</f>
        <v>0</v>
      </c>
      <c r="O96" s="201">
        <f>K96*M96/K101*100</f>
        <v>0</v>
      </c>
    </row>
    <row r="97" spans="1:15" x14ac:dyDescent="0.35">
      <c r="B97" s="18" t="s">
        <v>242</v>
      </c>
      <c r="C97" s="16" t="s">
        <v>475</v>
      </c>
      <c r="D97" s="257" t="s">
        <v>476</v>
      </c>
      <c r="E97" s="257"/>
      <c r="F97" s="52">
        <f>'Off-farm feed'!$F$88</f>
        <v>1.5397450382845068</v>
      </c>
      <c r="G97" s="53">
        <f>'Off-farm feed'!$G$88</f>
        <v>2.276724967641296E-2</v>
      </c>
      <c r="H97" s="53">
        <f>'Off-farm feed'!$H$88</f>
        <v>2.4780679919905292E-3</v>
      </c>
      <c r="I97" s="53">
        <f>'Off-farm feed'!$I$88</f>
        <v>8.1100925319702543E-4</v>
      </c>
      <c r="J97" s="52">
        <f>'Off-farm feed'!$J$88</f>
        <v>0.29368572248181479</v>
      </c>
      <c r="K97" s="308">
        <f>'Off-farm feed'!$K$88</f>
        <v>1.2571008272056975E-11</v>
      </c>
      <c r="L97" s="308">
        <f>'Off-farm feed'!$L$88</f>
        <v>1.3841258986185109E-3</v>
      </c>
      <c r="M97" s="260">
        <f>'Parameters, country spec'!I61</f>
        <v>0.10008651776935426</v>
      </c>
      <c r="O97" s="201">
        <f>K97*M97/K101*100</f>
        <v>4.3614904822808587</v>
      </c>
    </row>
    <row r="98" spans="1:15" x14ac:dyDescent="0.35">
      <c r="B98" s="18" t="s">
        <v>477</v>
      </c>
      <c r="C98" s="16" t="s">
        <v>475</v>
      </c>
      <c r="D98" s="257" t="s">
        <v>478</v>
      </c>
      <c r="E98" s="257"/>
      <c r="F98" s="52">
        <f>'Off-farm feed'!$F$36</f>
        <v>2.5509164954964105</v>
      </c>
      <c r="G98" s="53">
        <f>'Off-farm feed'!$G$36</f>
        <v>4.2620923125915401E-2</v>
      </c>
      <c r="H98" s="53">
        <f>'Off-farm feed'!$H$36</f>
        <v>3.2959349471355006E-3</v>
      </c>
      <c r="I98" s="53">
        <f>'Off-farm feed'!$I$36</f>
        <v>2.435286335413451E-3</v>
      </c>
      <c r="J98" s="52">
        <f>'Off-farm feed'!$J$36</f>
        <v>0.25920846302270906</v>
      </c>
      <c r="K98" s="308">
        <f>'Off-farm feed'!$K$36</f>
        <v>1.4553836091881654E-10</v>
      </c>
      <c r="L98" s="308">
        <f>'Off-farm feed'!$L$36</f>
        <v>1.0450321677831977E-4</v>
      </c>
      <c r="M98" s="260">
        <f>'Parameters, country spec'!I62</f>
        <v>0.12925684634820819</v>
      </c>
      <c r="O98" s="201">
        <f>K98*M98/K101*100</f>
        <v>65.210911790025506</v>
      </c>
    </row>
    <row r="99" spans="1:15" x14ac:dyDescent="0.35">
      <c r="B99" s="16" t="s">
        <v>244</v>
      </c>
      <c r="C99" s="16" t="s">
        <v>479</v>
      </c>
      <c r="D99" s="257" t="s">
        <v>52</v>
      </c>
      <c r="E99" s="257" t="s">
        <v>53</v>
      </c>
      <c r="F99" s="302">
        <v>0.10868226377909999</v>
      </c>
      <c r="G99" s="302">
        <v>1.6628386358202201E-3</v>
      </c>
      <c r="H99" s="302">
        <v>1.5215516929073999E-4</v>
      </c>
      <c r="I99" s="303">
        <v>0</v>
      </c>
      <c r="J99" s="303">
        <v>1.7582529688371699E-2</v>
      </c>
      <c r="K99" s="303">
        <v>8.8003751299267404E-13</v>
      </c>
      <c r="L99" s="303">
        <v>1.0186726524634401E-4</v>
      </c>
      <c r="M99" s="260">
        <f>'Parameters, country spec'!I63</f>
        <v>1.4083067834104707E-2</v>
      </c>
      <c r="N99" t="s">
        <v>480</v>
      </c>
      <c r="O99" s="201">
        <f>K99*M99/K101*100</f>
        <v>4.2962316843324737E-2</v>
      </c>
    </row>
    <row r="100" spans="1:15" x14ac:dyDescent="0.35">
      <c r="A100" s="262"/>
      <c r="B100" s="16" t="s">
        <v>481</v>
      </c>
      <c r="C100" s="263" t="s">
        <v>482</v>
      </c>
      <c r="D100" s="257" t="s">
        <v>52</v>
      </c>
      <c r="E100" s="257" t="s">
        <v>53</v>
      </c>
      <c r="F100" s="309">
        <f t="shared" ref="F100:L100" si="13">AVERAGE(F90:F98)</f>
        <v>2.1099311262182283</v>
      </c>
      <c r="G100" s="309">
        <f t="shared" si="13"/>
        <v>2.5389382330949763E-2</v>
      </c>
      <c r="H100" s="309">
        <f t="shared" si="13"/>
        <v>2.2709753143950648E-3</v>
      </c>
      <c r="I100" s="309">
        <f t="shared" si="13"/>
        <v>8.7971415750233862E-3</v>
      </c>
      <c r="J100" s="310">
        <f t="shared" si="13"/>
        <v>0.32487109248090174</v>
      </c>
      <c r="K100" s="310">
        <f t="shared" si="13"/>
        <v>3.2453220738985755E-11</v>
      </c>
      <c r="L100" s="310">
        <f t="shared" si="13"/>
        <v>7.6927579551555722E-4</v>
      </c>
      <c r="M100" s="260">
        <f>'Parameters, country spec'!I64</f>
        <v>5.5426839726735837E-2</v>
      </c>
      <c r="O100" s="201">
        <f>K100*M100/K101*100</f>
        <v>6.2354407712970419</v>
      </c>
    </row>
    <row r="101" spans="1:15" x14ac:dyDescent="0.35">
      <c r="A101" s="265"/>
      <c r="B101" s="266" t="s">
        <v>483</v>
      </c>
      <c r="C101" s="267"/>
      <c r="D101" s="268"/>
      <c r="E101" s="268"/>
      <c r="F101" s="289">
        <f>SUMPRODUCT(F90:F100,M90:M100)</f>
        <v>1.4626500999933643</v>
      </c>
      <c r="G101" s="289">
        <f>SUMPRODUCT(G90:G100,M90:M100)</f>
        <v>2.0687414646687448E-2</v>
      </c>
      <c r="H101" s="289">
        <f>SUMPRODUCT(H90:H100,M90:M100)</f>
        <v>2.5850472264670982E-3</v>
      </c>
      <c r="I101" s="269">
        <f>SUMPRODUCT(I90:I100,M90:M100)</f>
        <v>3.5750255889850824E-3</v>
      </c>
      <c r="J101" s="289">
        <f>SUMPRODUCT(J90:J100,M90:M100)</f>
        <v>0.19443476885034833</v>
      </c>
      <c r="K101" s="289">
        <f>SUMPRODUCT(K90:K100,M90:M100)</f>
        <v>2.8847671407549538E-11</v>
      </c>
      <c r="L101" s="289">
        <f>SUMPRODUCT(L90:L100,M90:M100)</f>
        <v>8.9871654387439705E-4</v>
      </c>
      <c r="M101" s="270"/>
    </row>
    <row r="102" spans="1:15" x14ac:dyDescent="0.35">
      <c r="A102" s="256" t="s">
        <v>466</v>
      </c>
      <c r="B102" s="16" t="s">
        <v>226</v>
      </c>
      <c r="C102" s="16" t="s">
        <v>467</v>
      </c>
      <c r="D102" s="257" t="s">
        <v>54</v>
      </c>
      <c r="E102" s="257" t="s">
        <v>55</v>
      </c>
      <c r="F102" s="300">
        <v>2.3279201430274101</v>
      </c>
      <c r="G102" s="301">
        <v>2.18824493444577E-2</v>
      </c>
      <c r="H102" s="301">
        <v>1.62954410011919E-3</v>
      </c>
      <c r="I102" s="301">
        <v>1.192E-8</v>
      </c>
      <c r="J102" s="303">
        <v>0.258116293578665</v>
      </c>
      <c r="K102" s="303">
        <v>9.2729681289311007E-12</v>
      </c>
      <c r="L102" s="303">
        <v>1.5890878647883001E-3</v>
      </c>
      <c r="M102" s="260">
        <f>'Parameters, country spec'!J54</f>
        <v>0.15537879618298778</v>
      </c>
      <c r="O102" s="201">
        <f>K102*M102/K113*100</f>
        <v>7.1302393652591372</v>
      </c>
    </row>
    <row r="103" spans="1:15" x14ac:dyDescent="0.35">
      <c r="A103" s="256" t="s">
        <v>468</v>
      </c>
      <c r="B103" s="16" t="s">
        <v>229</v>
      </c>
      <c r="C103" s="16" t="s">
        <v>467</v>
      </c>
      <c r="D103" s="257" t="s">
        <v>54</v>
      </c>
      <c r="E103" s="257" t="s">
        <v>55</v>
      </c>
      <c r="F103" s="302">
        <v>1.3980539089587301</v>
      </c>
      <c r="G103" s="301">
        <v>1.84538928166002E-2</v>
      </c>
      <c r="H103" s="301">
        <v>5.17268207738035E-3</v>
      </c>
      <c r="I103" s="301">
        <v>9.9475264539999994E-4</v>
      </c>
      <c r="J103" s="303">
        <v>5.35872665249972E-2</v>
      </c>
      <c r="K103" s="303">
        <v>5.5689665210947796E-12</v>
      </c>
      <c r="L103" s="303">
        <v>1.3401085349886001E-3</v>
      </c>
      <c r="M103" s="260">
        <f>'Parameters, country spec'!J55</f>
        <v>0.21285188977616532</v>
      </c>
      <c r="O103" s="201">
        <f>K103*M103/K113*100</f>
        <v>5.8660492847015755</v>
      </c>
    </row>
    <row r="104" spans="1:15" x14ac:dyDescent="0.35">
      <c r="A104" s="256" t="s">
        <v>469</v>
      </c>
      <c r="B104" s="16" t="s">
        <v>232</v>
      </c>
      <c r="C104" s="16" t="s">
        <v>467</v>
      </c>
      <c r="D104" s="257" t="s">
        <v>54</v>
      </c>
      <c r="E104" s="257" t="s">
        <v>55</v>
      </c>
      <c r="F104" s="302">
        <v>3.1869868951098899</v>
      </c>
      <c r="G104" s="301">
        <v>2.2625072294623301E-2</v>
      </c>
      <c r="H104" s="301">
        <v>4.7799448509767504E-3</v>
      </c>
      <c r="I104" s="301">
        <v>5.1951799999999997E-8</v>
      </c>
      <c r="J104" s="303">
        <v>0.110703176788537</v>
      </c>
      <c r="K104" s="303">
        <v>1.2694949177784999E-11</v>
      </c>
      <c r="L104" s="303">
        <v>1.6430166137891701E-3</v>
      </c>
      <c r="M104" s="260">
        <f>'Parameters, country spec'!J56</f>
        <v>4.6535021524768639E-3</v>
      </c>
      <c r="O104" s="201">
        <f>K104*M104/K113*100</f>
        <v>0.2923509273482488</v>
      </c>
    </row>
    <row r="105" spans="1:15" x14ac:dyDescent="0.35">
      <c r="A105" s="256" t="s">
        <v>470</v>
      </c>
      <c r="B105" s="16" t="s">
        <v>235</v>
      </c>
      <c r="C105" s="16" t="s">
        <v>467</v>
      </c>
      <c r="D105" s="257" t="s">
        <v>54</v>
      </c>
      <c r="E105" s="257" t="s">
        <v>55</v>
      </c>
      <c r="F105" s="302">
        <v>2.90576037937607</v>
      </c>
      <c r="G105" s="301">
        <v>2.7605834085746399E-2</v>
      </c>
      <c r="H105" s="301">
        <v>2.0341140905286801E-3</v>
      </c>
      <c r="I105" s="301">
        <v>3.8705400000000002E-9</v>
      </c>
      <c r="J105" s="303">
        <v>8.1354607373657503E-2</v>
      </c>
      <c r="K105" s="303">
        <v>1.15747198068503E-11</v>
      </c>
      <c r="L105" s="303">
        <v>2.0047159827713502E-3</v>
      </c>
      <c r="M105" s="260">
        <f>'Parameters, country spec'!J57</f>
        <v>6.0757670649699391E-2</v>
      </c>
      <c r="O105" s="201">
        <f>K105*M105/K113*100</f>
        <v>3.4802079288877636</v>
      </c>
    </row>
    <row r="106" spans="1:15" x14ac:dyDescent="0.35">
      <c r="A106" s="256" t="s">
        <v>471</v>
      </c>
      <c r="B106" s="16" t="s">
        <v>237</v>
      </c>
      <c r="C106" s="16" t="s">
        <v>467</v>
      </c>
      <c r="D106" s="257" t="s">
        <v>54</v>
      </c>
      <c r="E106" s="257" t="s">
        <v>55</v>
      </c>
      <c r="F106" s="302">
        <v>1.9352915903839201</v>
      </c>
      <c r="G106" s="301">
        <v>2.9609961332874E-2</v>
      </c>
      <c r="H106" s="301">
        <v>2.7094082265374901E-3</v>
      </c>
      <c r="I106" s="301">
        <v>2.38226E-9</v>
      </c>
      <c r="J106" s="303">
        <v>0.28518824581299701</v>
      </c>
      <c r="K106" s="303">
        <v>7.7089831846552192E-12</v>
      </c>
      <c r="L106" s="303">
        <v>2.15025427411024E-3</v>
      </c>
      <c r="M106" s="260">
        <f>'Parameters, country spec'!J58</f>
        <v>0.24429473309456204</v>
      </c>
      <c r="O106" s="201">
        <f>K106*M106/K113*100</f>
        <v>9.3197613648452204</v>
      </c>
    </row>
    <row r="107" spans="1:15" x14ac:dyDescent="0.35">
      <c r="A107" s="256" t="s">
        <v>472</v>
      </c>
      <c r="B107" s="16" t="s">
        <v>239</v>
      </c>
      <c r="C107" s="16" t="s">
        <v>473</v>
      </c>
      <c r="D107" s="257" t="s">
        <v>54</v>
      </c>
      <c r="E107" s="257" t="s">
        <v>55</v>
      </c>
      <c r="F107" s="302">
        <v>4.7463547995139699</v>
      </c>
      <c r="G107" s="301">
        <v>3.44E-2</v>
      </c>
      <c r="H107" s="301">
        <v>2.3734498103970699E-3</v>
      </c>
      <c r="I107" s="301">
        <v>3.0575379999999997E-5</v>
      </c>
      <c r="J107" s="303">
        <v>0.51339516251518802</v>
      </c>
      <c r="K107" s="303">
        <v>1.8906489089120799E-11</v>
      </c>
      <c r="L107" s="303">
        <v>0</v>
      </c>
      <c r="M107" s="260">
        <f>'Parameters, country spec'!J59</f>
        <v>3.0603451734342534E-3</v>
      </c>
      <c r="O107" s="201">
        <f>K107*M107/K113*100</f>
        <v>0.28633529956172987</v>
      </c>
    </row>
    <row r="108" spans="1:15" x14ac:dyDescent="0.35">
      <c r="A108" s="256" t="s">
        <v>474</v>
      </c>
      <c r="B108" s="16" t="s">
        <v>241</v>
      </c>
      <c r="C108" s="16" t="s">
        <v>473</v>
      </c>
      <c r="D108" s="257" t="s">
        <v>54</v>
      </c>
      <c r="E108" s="257" t="s">
        <v>55</v>
      </c>
      <c r="F108" s="302">
        <v>3.67806621990422</v>
      </c>
      <c r="G108" s="301">
        <v>4.0735613243980798E-2</v>
      </c>
      <c r="H108" s="301">
        <v>1.4712264879616899E-3</v>
      </c>
      <c r="I108" s="301">
        <v>2.1217464799999999E-5</v>
      </c>
      <c r="J108" s="303">
        <v>0.43914639439168501</v>
      </c>
      <c r="K108" s="303">
        <v>1.4651100011066101E-11</v>
      </c>
      <c r="L108" s="303">
        <v>5.3419709137066198E-5</v>
      </c>
      <c r="M108" s="260">
        <f>'Parameters, country spec'!J60</f>
        <v>3.0062674660528534E-3</v>
      </c>
      <c r="O108" s="201">
        <f>K108*M108/K113*100</f>
        <v>0.21796734786613947</v>
      </c>
    </row>
    <row r="109" spans="1:15" x14ac:dyDescent="0.35">
      <c r="B109" s="18" t="s">
        <v>242</v>
      </c>
      <c r="C109" s="16" t="s">
        <v>475</v>
      </c>
      <c r="D109" s="257" t="s">
        <v>476</v>
      </c>
      <c r="E109" s="257"/>
      <c r="F109" s="52">
        <f>'Off-farm feed'!$F$88</f>
        <v>1.5397450382845068</v>
      </c>
      <c r="G109" s="53">
        <f>'Off-farm feed'!$G$88</f>
        <v>2.276724967641296E-2</v>
      </c>
      <c r="H109" s="53">
        <f>'Off-farm feed'!$H$88</f>
        <v>2.4780679919905292E-3</v>
      </c>
      <c r="I109" s="53">
        <f>'Off-farm feed'!$I$88</f>
        <v>8.1100925319702543E-4</v>
      </c>
      <c r="J109" s="52">
        <f>'Off-farm feed'!$J$88</f>
        <v>0.29368572248181479</v>
      </c>
      <c r="K109" s="308">
        <f>'Off-farm feed'!$K$88</f>
        <v>1.2571008272056975E-11</v>
      </c>
      <c r="L109" s="308">
        <f>'Off-farm feed'!$L$88</f>
        <v>1.3841258986185109E-3</v>
      </c>
      <c r="M109" s="260">
        <f>'Parameters, country spec'!J61</f>
        <v>2.2057566041319011E-2</v>
      </c>
      <c r="O109" s="201">
        <f>K109*M109/K113*100</f>
        <v>1.3722122448989642</v>
      </c>
    </row>
    <row r="110" spans="1:15" x14ac:dyDescent="0.35">
      <c r="B110" s="18" t="s">
        <v>477</v>
      </c>
      <c r="C110" s="16" t="s">
        <v>475</v>
      </c>
      <c r="D110" s="257" t="s">
        <v>478</v>
      </c>
      <c r="E110" s="257"/>
      <c r="F110" s="52">
        <f>'Off-farm feed'!$F$36</f>
        <v>2.5509164954964105</v>
      </c>
      <c r="G110" s="53">
        <f>'Off-farm feed'!$G$36</f>
        <v>4.2620923125915401E-2</v>
      </c>
      <c r="H110" s="53">
        <f>'Off-farm feed'!$H$36</f>
        <v>3.2959349471355006E-3</v>
      </c>
      <c r="I110" s="53">
        <f>'Off-farm feed'!$I$36</f>
        <v>2.435286335413451E-3</v>
      </c>
      <c r="J110" s="52">
        <f>'Off-farm feed'!$J$36</f>
        <v>0.25920846302270906</v>
      </c>
      <c r="K110" s="308">
        <f>'Off-farm feed'!$K$36</f>
        <v>1.4553836091881654E-10</v>
      </c>
      <c r="L110" s="308">
        <f>'Off-farm feed'!$L$36</f>
        <v>1.0450321677831977E-4</v>
      </c>
      <c r="M110" s="260">
        <f>'Parameters, country spec'!J62</f>
        <v>7.6936029566743946E-2</v>
      </c>
      <c r="O110" s="201">
        <f>K110*M110/K113*100</f>
        <v>55.411619009015503</v>
      </c>
    </row>
    <row r="111" spans="1:15" x14ac:dyDescent="0.35">
      <c r="B111" s="16" t="s">
        <v>244</v>
      </c>
      <c r="C111" s="16" t="s">
        <v>479</v>
      </c>
      <c r="D111" s="257" t="s">
        <v>54</v>
      </c>
      <c r="E111" s="257" t="s">
        <v>55</v>
      </c>
      <c r="F111" s="302">
        <v>0.17417624313455299</v>
      </c>
      <c r="G111" s="302">
        <v>2.6648965199586598E-3</v>
      </c>
      <c r="H111" s="302">
        <v>2.4384674038837399E-4</v>
      </c>
      <c r="I111" s="303">
        <v>2.144034E-10</v>
      </c>
      <c r="J111" s="303">
        <v>2.5666942123169698E-2</v>
      </c>
      <c r="K111" s="303">
        <v>6.9380848661897004E-13</v>
      </c>
      <c r="L111" s="303">
        <v>1.9352288466992099E-4</v>
      </c>
      <c r="M111" s="260">
        <f>'Parameters, country spec'!J63</f>
        <v>9.266442137782821E-2</v>
      </c>
      <c r="O111" s="201">
        <f>K111*M111/K113*100</f>
        <v>0.3181604674738035</v>
      </c>
    </row>
    <row r="112" spans="1:15" x14ac:dyDescent="0.35">
      <c r="A112" s="262"/>
      <c r="B112" s="16" t="s">
        <v>481</v>
      </c>
      <c r="C112" s="263" t="s">
        <v>482</v>
      </c>
      <c r="D112" s="257" t="s">
        <v>54</v>
      </c>
      <c r="E112" s="257" t="s">
        <v>55</v>
      </c>
      <c r="F112" s="309">
        <f t="shared" ref="F112:L112" si="14">AVERAGE(F102:F110)</f>
        <v>2.6965661633394591</v>
      </c>
      <c r="G112" s="309">
        <f t="shared" si="14"/>
        <v>2.8966777324512312E-2</v>
      </c>
      <c r="H112" s="309">
        <f t="shared" si="14"/>
        <v>2.8827080647808052E-3</v>
      </c>
      <c r="I112" s="309">
        <f t="shared" si="14"/>
        <v>4.7699013371227508E-4</v>
      </c>
      <c r="J112" s="310">
        <f t="shared" si="14"/>
        <v>0.25493170361002782</v>
      </c>
      <c r="K112" s="310">
        <f t="shared" si="14"/>
        <v>2.6498616123375201E-11</v>
      </c>
      <c r="L112" s="310">
        <f t="shared" si="14"/>
        <v>1.1410257883312841E-3</v>
      </c>
      <c r="M112" s="260">
        <f>'Parameters, country spec'!J64</f>
        <v>0.12433877851873028</v>
      </c>
      <c r="O112" s="201">
        <f>K112*M112/K113*100</f>
        <v>16.305096760141915</v>
      </c>
    </row>
    <row r="113" spans="1:15" x14ac:dyDescent="0.35">
      <c r="A113" s="265"/>
      <c r="B113" s="266" t="s">
        <v>483</v>
      </c>
      <c r="C113" s="267"/>
      <c r="D113" s="268"/>
      <c r="E113" s="268"/>
      <c r="F113" s="289">
        <f>SUMPRODUCT(F102:F112,M102:M112)</f>
        <v>1.9306781043288652</v>
      </c>
      <c r="G113" s="289">
        <f>SUMPRODUCT(G102:G112,M102:M112)</f>
        <v>2.4201771737259885E-2</v>
      </c>
      <c r="H113" s="289">
        <f>SUMPRODUCT(H102:H112,M102:M112)</f>
        <v>2.8628885227930793E-3</v>
      </c>
      <c r="I113" s="269">
        <f>SUMPRODUCT(I102:I112,M102:M112)</f>
        <v>4.7645379016181613E-4</v>
      </c>
      <c r="J113" s="289">
        <f>SUMPRODUCT(J102:J112,M102:M112)</f>
        <v>0.1900281393169746</v>
      </c>
      <c r="K113" s="289">
        <f>SUMPRODUCT(K102:K112,M102:M112)</f>
        <v>2.0207212564793927E-11</v>
      </c>
      <c r="L113" s="289">
        <f>SUMPRODUCT(L102:L112,M102:M112)</f>
        <v>1.3854361862312967E-3</v>
      </c>
      <c r="M113" s="270"/>
    </row>
    <row r="114" spans="1:15" x14ac:dyDescent="0.35">
      <c r="A114" s="256" t="s">
        <v>466</v>
      </c>
      <c r="B114" s="16" t="s">
        <v>226</v>
      </c>
      <c r="C114" s="16" t="s">
        <v>467</v>
      </c>
      <c r="D114" s="257" t="s">
        <v>56</v>
      </c>
      <c r="E114" s="257" t="s">
        <v>57</v>
      </c>
      <c r="F114" s="300">
        <v>3.1884501581471301</v>
      </c>
      <c r="G114" s="301">
        <v>2.9971431486582999E-2</v>
      </c>
      <c r="H114" s="301">
        <v>2.2319151107029899E-3</v>
      </c>
      <c r="I114" s="301">
        <v>1.1917753388E-2</v>
      </c>
      <c r="J114" s="303">
        <v>0.20501989592898701</v>
      </c>
      <c r="K114" s="303">
        <v>2.17858377659486E-10</v>
      </c>
      <c r="L114" s="303">
        <v>3.36256317678949E-3</v>
      </c>
      <c r="M114" s="260">
        <f>'Parameters, country spec'!K54</f>
        <v>0.23308111745751758</v>
      </c>
      <c r="O114" s="201">
        <f>K114*M114/K125*100</f>
        <v>32.312796850233958</v>
      </c>
    </row>
    <row r="115" spans="1:15" x14ac:dyDescent="0.35">
      <c r="A115" s="256" t="s">
        <v>468</v>
      </c>
      <c r="B115" s="16" t="s">
        <v>229</v>
      </c>
      <c r="C115" s="16" t="s">
        <v>467</v>
      </c>
      <c r="D115" s="257" t="s">
        <v>56</v>
      </c>
      <c r="E115" s="257" t="s">
        <v>57</v>
      </c>
      <c r="F115" s="302">
        <v>0.82715175256913298</v>
      </c>
      <c r="G115" s="301">
        <v>1.09181553637961E-2</v>
      </c>
      <c r="H115" s="301">
        <v>3.0603920337913199E-3</v>
      </c>
      <c r="I115" s="301">
        <v>0.29242761274000001</v>
      </c>
      <c r="J115" s="303">
        <v>9.7673304835198302E-2</v>
      </c>
      <c r="K115" s="303">
        <v>5.6517094498861898E-11</v>
      </c>
      <c r="L115" s="303">
        <v>1.22493272305669E-3</v>
      </c>
      <c r="M115" s="260">
        <f>'Parameters, country spec'!K55</f>
        <v>0.30741311484903272</v>
      </c>
      <c r="O115" s="201">
        <f>K115*M115/K125*100</f>
        <v>11.055933348501686</v>
      </c>
    </row>
    <row r="116" spans="1:15" x14ac:dyDescent="0.35">
      <c r="A116" s="256" t="s">
        <v>469</v>
      </c>
      <c r="B116" s="16" t="s">
        <v>232</v>
      </c>
      <c r="C116" s="16" t="s">
        <v>467</v>
      </c>
      <c r="D116" s="257" t="s">
        <v>56</v>
      </c>
      <c r="E116" s="257" t="s">
        <v>57</v>
      </c>
      <c r="F116" s="302">
        <v>4.8838140634309797</v>
      </c>
      <c r="G116" s="301">
        <v>3.4671195676445998E-2</v>
      </c>
      <c r="H116" s="301">
        <v>7.3249004950237803E-3</v>
      </c>
      <c r="I116" s="301">
        <v>1.7329606698600002E-2</v>
      </c>
      <c r="J116" s="303">
        <v>0.22104630832494901</v>
      </c>
      <c r="K116" s="303">
        <v>3.33698115346409E-10</v>
      </c>
      <c r="L116" s="303">
        <v>3.8898404278444299E-3</v>
      </c>
      <c r="M116" s="260">
        <f>'Parameters, country spec'!K56</f>
        <v>3.6341430093052865E-2</v>
      </c>
      <c r="O116" s="201">
        <f>K116*M116/K125*100</f>
        <v>7.7170081834441921</v>
      </c>
    </row>
    <row r="117" spans="1:15" x14ac:dyDescent="0.35">
      <c r="A117" s="256" t="s">
        <v>470</v>
      </c>
      <c r="B117" s="16" t="s">
        <v>235</v>
      </c>
      <c r="C117" s="16" t="s">
        <v>467</v>
      </c>
      <c r="D117" s="257" t="s">
        <v>56</v>
      </c>
      <c r="E117" s="257" t="s">
        <v>57</v>
      </c>
      <c r="F117" s="302">
        <v>4.4326634101366098</v>
      </c>
      <c r="G117" s="301">
        <v>4.2111996407792202E-2</v>
      </c>
      <c r="H117" s="301">
        <v>3.10298920899521E-3</v>
      </c>
      <c r="I117" s="301">
        <v>2.2735821861999999E-2</v>
      </c>
      <c r="J117" s="303">
        <v>7.1556485429835398E-3</v>
      </c>
      <c r="K117" s="303">
        <v>3.0287218283007899E-10</v>
      </c>
      <c r="L117" s="303">
        <v>4.7246408128795497E-3</v>
      </c>
      <c r="M117" s="260">
        <f>'Parameters, country spec'!K57</f>
        <v>9.5925750911748202E-3</v>
      </c>
      <c r="O117" s="201">
        <f>K117*M117/K125*100</f>
        <v>1.8487908734257412</v>
      </c>
    </row>
    <row r="118" spans="1:15" x14ac:dyDescent="0.35">
      <c r="A118" s="256" t="s">
        <v>471</v>
      </c>
      <c r="B118" s="16" t="s">
        <v>237</v>
      </c>
      <c r="C118" s="16" t="s">
        <v>467</v>
      </c>
      <c r="D118" s="257" t="s">
        <v>56</v>
      </c>
      <c r="E118" s="257" t="s">
        <v>57</v>
      </c>
      <c r="F118" s="302">
        <v>2.9420417769932299</v>
      </c>
      <c r="G118" s="301">
        <v>4.5013239187996497E-2</v>
      </c>
      <c r="H118" s="301">
        <v>4.1188584877905297E-3</v>
      </c>
      <c r="I118" s="301">
        <v>1.4509374354E-2</v>
      </c>
      <c r="J118" s="303">
        <v>0.210731979994116</v>
      </c>
      <c r="K118" s="303">
        <v>2.0102194381318101E-10</v>
      </c>
      <c r="L118" s="303">
        <v>5.0501378497497598E-3</v>
      </c>
      <c r="M118" s="260">
        <f>'Parameters, country spec'!K58</f>
        <v>0.19744357688386704</v>
      </c>
      <c r="O118" s="201">
        <f>K118*M118/K125*100</f>
        <v>25.256878305264912</v>
      </c>
    </row>
    <row r="119" spans="1:15" x14ac:dyDescent="0.35">
      <c r="A119" s="256" t="s">
        <v>472</v>
      </c>
      <c r="B119" s="16" t="s">
        <v>239</v>
      </c>
      <c r="C119" s="16" t="s">
        <v>473</v>
      </c>
      <c r="D119" s="257" t="s">
        <v>56</v>
      </c>
      <c r="E119" s="257" t="s">
        <v>57</v>
      </c>
      <c r="F119" s="302">
        <v>7.5382945362441198</v>
      </c>
      <c r="G119" s="301">
        <v>3.44E-2</v>
      </c>
      <c r="H119" s="301">
        <v>3.7695799183824099E-3</v>
      </c>
      <c r="I119" s="301">
        <v>0.13979039228000001</v>
      </c>
      <c r="J119" s="303">
        <v>0.12759392714992199</v>
      </c>
      <c r="K119" s="303">
        <v>5.1507175478003295E-10</v>
      </c>
      <c r="L119" s="303">
        <v>0</v>
      </c>
      <c r="M119" s="260">
        <f>'Parameters, country spec'!K59</f>
        <v>5.4797743342333812E-3</v>
      </c>
      <c r="O119" s="201">
        <f>K119*M119/K125*100</f>
        <v>1.7960714203821271</v>
      </c>
    </row>
    <row r="120" spans="1:15" x14ac:dyDescent="0.35">
      <c r="A120" s="256" t="s">
        <v>474</v>
      </c>
      <c r="B120" s="16" t="s">
        <v>241</v>
      </c>
      <c r="C120" s="16" t="s">
        <v>473</v>
      </c>
      <c r="D120" s="257" t="s">
        <v>56</v>
      </c>
      <c r="E120" s="257" t="s">
        <v>57</v>
      </c>
      <c r="F120" s="302">
        <v>8.0637357675063708</v>
      </c>
      <c r="G120" s="301">
        <v>4.16127471535013E-2</v>
      </c>
      <c r="H120" s="301">
        <v>3.2254943070025499E-3</v>
      </c>
      <c r="I120" s="301">
        <v>0.15035854579999999</v>
      </c>
      <c r="J120" s="303">
        <v>0.13648759797439</v>
      </c>
      <c r="K120" s="303">
        <v>5.50973766265362E-10</v>
      </c>
      <c r="L120" s="303">
        <v>1.8093777717167401E-4</v>
      </c>
      <c r="M120" s="260">
        <f>'Parameters, country spec'!K60</f>
        <v>5.382944196147911E-3</v>
      </c>
      <c r="O120" s="201">
        <f>K120*M120/K125*100</f>
        <v>1.8873132641036974</v>
      </c>
    </row>
    <row r="121" spans="1:15" x14ac:dyDescent="0.35">
      <c r="B121" s="18" t="s">
        <v>242</v>
      </c>
      <c r="C121" s="16" t="s">
        <v>475</v>
      </c>
      <c r="D121" s="257" t="s">
        <v>476</v>
      </c>
      <c r="E121" s="257"/>
      <c r="F121" s="52">
        <f>'Off-farm feed'!$F$88</f>
        <v>1.5397450382845068</v>
      </c>
      <c r="G121" s="53">
        <f>'Off-farm feed'!$G$88</f>
        <v>2.276724967641296E-2</v>
      </c>
      <c r="H121" s="53">
        <f>'Off-farm feed'!$H$88</f>
        <v>2.4780679919905292E-3</v>
      </c>
      <c r="I121" s="53">
        <f>'Off-farm feed'!$I$88</f>
        <v>8.1100925319702543E-4</v>
      </c>
      <c r="J121" s="52">
        <f>'Off-farm feed'!$J$88</f>
        <v>0.29368572248181479</v>
      </c>
      <c r="K121" s="308">
        <f>'Off-farm feed'!$K$88</f>
        <v>1.2571008272056975E-11</v>
      </c>
      <c r="L121" s="308">
        <f>'Off-farm feed'!$L$88</f>
        <v>1.3841258986185109E-3</v>
      </c>
      <c r="M121" s="260">
        <f>'Parameters, country spec'!K61</f>
        <v>1.5869945984621978E-2</v>
      </c>
      <c r="O121" s="201">
        <f>K121*M121/K125*100</f>
        <v>0.12695176821015203</v>
      </c>
    </row>
    <row r="122" spans="1:15" x14ac:dyDescent="0.35">
      <c r="B122" s="18" t="s">
        <v>477</v>
      </c>
      <c r="C122" s="16" t="s">
        <v>475</v>
      </c>
      <c r="D122" s="257" t="s">
        <v>478</v>
      </c>
      <c r="E122" s="257"/>
      <c r="F122" s="52">
        <f>'Off-farm feed'!$F$36</f>
        <v>2.5509164954964105</v>
      </c>
      <c r="G122" s="53">
        <f>'Off-farm feed'!$G$36</f>
        <v>4.2620923125915401E-2</v>
      </c>
      <c r="H122" s="53">
        <f>'Off-farm feed'!$H$36</f>
        <v>3.2959349471355006E-3</v>
      </c>
      <c r="I122" s="53">
        <f>'Off-farm feed'!$I$36</f>
        <v>2.435286335413451E-3</v>
      </c>
      <c r="J122" s="52">
        <f>'Off-farm feed'!$J$36</f>
        <v>0.25920846302270906</v>
      </c>
      <c r="K122" s="308">
        <f>'Off-farm feed'!$K$36</f>
        <v>1.4553836091881654E-10</v>
      </c>
      <c r="L122" s="308">
        <f>'Off-farm feed'!$L$36</f>
        <v>1.0450321677831977E-4</v>
      </c>
      <c r="M122" s="260">
        <f>'Parameters, country spec'!K62</f>
        <v>0.13566182798477194</v>
      </c>
      <c r="O122" s="201">
        <f>K122*M122/K125*100</f>
        <v>12.564011858967547</v>
      </c>
    </row>
    <row r="123" spans="1:15" x14ac:dyDescent="0.35">
      <c r="B123" s="16" t="s">
        <v>244</v>
      </c>
      <c r="C123" s="16" t="s">
        <v>479</v>
      </c>
      <c r="D123" s="257" t="s">
        <v>56</v>
      </c>
      <c r="E123" s="257" t="s">
        <v>57</v>
      </c>
      <c r="F123" s="302">
        <v>0.26478375992939102</v>
      </c>
      <c r="G123" s="302">
        <v>4.0511915269196798E-3</v>
      </c>
      <c r="H123" s="302">
        <v>3.7069726390114699E-4</v>
      </c>
      <c r="I123" s="303">
        <v>1.30584369186E-3</v>
      </c>
      <c r="J123" s="303">
        <v>1.8965878199470401E-2</v>
      </c>
      <c r="K123" s="303">
        <v>1.80919749431862E-11</v>
      </c>
      <c r="L123" s="303">
        <v>4.5451240647747799E-4</v>
      </c>
      <c r="M123" s="260">
        <f>'Parameters, country spec'!K63</f>
        <v>2.2394846703331771E-2</v>
      </c>
      <c r="O123" s="201">
        <f>K123*M123/K125*100</f>
        <v>0.25782632896962809</v>
      </c>
    </row>
    <row r="124" spans="1:15" x14ac:dyDescent="0.35">
      <c r="A124" s="262"/>
      <c r="B124" s="16" t="s">
        <v>481</v>
      </c>
      <c r="C124" s="263" t="s">
        <v>482</v>
      </c>
      <c r="D124" s="257" t="s">
        <v>56</v>
      </c>
      <c r="E124" s="257" t="s">
        <v>57</v>
      </c>
      <c r="F124" s="309">
        <f t="shared" ref="F124:L124" si="15">AVERAGE(F114:F122)</f>
        <v>3.9963125554231649</v>
      </c>
      <c r="G124" s="309">
        <f t="shared" si="15"/>
        <v>3.3787437564271494E-2</v>
      </c>
      <c r="H124" s="309">
        <f t="shared" si="15"/>
        <v>3.6231258334238686E-3</v>
      </c>
      <c r="I124" s="309">
        <f t="shared" si="15"/>
        <v>7.24794891901345E-2</v>
      </c>
      <c r="J124" s="310">
        <f t="shared" si="15"/>
        <v>0.1731780942505633</v>
      </c>
      <c r="K124" s="310">
        <f t="shared" si="15"/>
        <v>2.5956917826492061E-10</v>
      </c>
      <c r="L124" s="310">
        <f t="shared" si="15"/>
        <v>2.2135202092098249E-3</v>
      </c>
      <c r="M124" s="260">
        <f>'Parameters, country spec'!K64</f>
        <v>3.1338846422248039E-2</v>
      </c>
      <c r="O124" s="201">
        <f>K124*M124/K125*100</f>
        <v>5.1764177984963684</v>
      </c>
    </row>
    <row r="125" spans="1:15" x14ac:dyDescent="0.35">
      <c r="A125" s="265"/>
      <c r="B125" s="266" t="s">
        <v>483</v>
      </c>
      <c r="C125" s="267"/>
      <c r="D125" s="268"/>
      <c r="E125" s="268"/>
      <c r="F125" s="289">
        <f>SUMPRODUCT(F114:F124,M114:M124)</f>
        <v>2.3847195934278869</v>
      </c>
      <c r="G125" s="289">
        <f>SUMPRODUCT(G114:G124,M114:M124)</f>
        <v>2.8599132992746398E-2</v>
      </c>
      <c r="H125" s="289">
        <f>SUMPRODUCT(H114:H124,M114:M124)</f>
        <v>3.2165518452547787E-3</v>
      </c>
      <c r="I125" s="269">
        <f>SUMPRODUCT(I114:I124,M114:M124)</f>
        <v>0.10060585240118096</v>
      </c>
      <c r="J125" s="289">
        <f>SUMPRODUCT(J114:J124,M114:M124)</f>
        <v>0.17463307843216533</v>
      </c>
      <c r="K125" s="289">
        <f>SUMPRODUCT(K114:K124,M114:M124)</f>
        <v>1.5714725762585055E-10</v>
      </c>
      <c r="L125" s="289">
        <f>SUMPRODUCT(L114:L124,M114:M124)</f>
        <v>2.4607764673918813E-3</v>
      </c>
      <c r="M125" s="270"/>
    </row>
    <row r="126" spans="1:15" x14ac:dyDescent="0.35">
      <c r="A126" s="256" t="s">
        <v>466</v>
      </c>
      <c r="B126" s="16" t="s">
        <v>226</v>
      </c>
      <c r="C126" s="16" t="s">
        <v>467</v>
      </c>
      <c r="D126" s="257" t="s">
        <v>58</v>
      </c>
      <c r="E126" s="257" t="s">
        <v>59</v>
      </c>
      <c r="F126" s="300">
        <v>2.2396215935355599</v>
      </c>
      <c r="G126" s="301">
        <v>2.1052442979234198E-2</v>
      </c>
      <c r="H126" s="301">
        <v>1.5677351154748901E-3</v>
      </c>
      <c r="I126" s="301">
        <v>1.23636744E-5</v>
      </c>
      <c r="J126" s="303">
        <v>0.139657427481053</v>
      </c>
      <c r="K126" s="303">
        <v>4.5825527358037798E-12</v>
      </c>
      <c r="L126" s="303">
        <v>1.0871349935439401E-3</v>
      </c>
      <c r="M126" s="260">
        <f>'Parameters, country spec'!L54</f>
        <v>0.26218798715146902</v>
      </c>
      <c r="O126" s="201">
        <f>K126*M126/K137*100</f>
        <v>10.865243227905358</v>
      </c>
    </row>
    <row r="127" spans="1:15" x14ac:dyDescent="0.35">
      <c r="A127" s="256" t="s">
        <v>468</v>
      </c>
      <c r="B127" s="16" t="s">
        <v>229</v>
      </c>
      <c r="C127" s="16" t="s">
        <v>467</v>
      </c>
      <c r="D127" s="257" t="s">
        <v>58</v>
      </c>
      <c r="E127" s="257" t="s">
        <v>59</v>
      </c>
      <c r="F127" s="302">
        <v>1.3531506760340799</v>
      </c>
      <c r="G127" s="301">
        <v>1.7861183592585001E-2</v>
      </c>
      <c r="H127" s="301">
        <v>5.0065438858003302E-3</v>
      </c>
      <c r="I127" s="301">
        <v>0</v>
      </c>
      <c r="J127" s="303">
        <v>1.4884657436374901E-2</v>
      </c>
      <c r="K127" s="303">
        <v>2.7687196579604899E-12</v>
      </c>
      <c r="L127" s="303">
        <v>9.2234035398006695E-4</v>
      </c>
      <c r="M127" s="260">
        <f>'Parameters, country spec'!L55</f>
        <v>2.7145227912969199E-3</v>
      </c>
      <c r="O127" s="201">
        <f>K127*M127/K137*100</f>
        <v>6.7965993318723716E-2</v>
      </c>
    </row>
    <row r="128" spans="1:15" x14ac:dyDescent="0.35">
      <c r="A128" s="256" t="s">
        <v>469</v>
      </c>
      <c r="B128" s="16" t="s">
        <v>232</v>
      </c>
      <c r="C128" s="16" t="s">
        <v>467</v>
      </c>
      <c r="D128" s="257" t="s">
        <v>58</v>
      </c>
      <c r="E128" s="257" t="s">
        <v>59</v>
      </c>
      <c r="F128" s="302">
        <v>2.5610555646615301</v>
      </c>
      <c r="G128" s="301">
        <v>1.81814576614431E-2</v>
      </c>
      <c r="H128" s="301">
        <v>3.8411530270654401E-3</v>
      </c>
      <c r="I128" s="301">
        <v>1.4835820200000001E-5</v>
      </c>
      <c r="J128" s="303">
        <v>0.115247500409769</v>
      </c>
      <c r="K128" s="303">
        <v>5.2402478250167298E-12</v>
      </c>
      <c r="L128" s="303">
        <v>9.3887910666182401E-4</v>
      </c>
      <c r="M128" s="260">
        <f>'Parameters, country spec'!L56</f>
        <v>4.4514084693111099E-2</v>
      </c>
      <c r="O128" s="201">
        <f>K128*M128/K137*100</f>
        <v>2.1094462610095395</v>
      </c>
    </row>
    <row r="129" spans="1:15" x14ac:dyDescent="0.35">
      <c r="A129" s="256" t="s">
        <v>470</v>
      </c>
      <c r="B129" s="16" t="s">
        <v>235</v>
      </c>
      <c r="C129" s="16" t="s">
        <v>467</v>
      </c>
      <c r="D129" s="257" t="s">
        <v>58</v>
      </c>
      <c r="E129" s="257" t="s">
        <v>59</v>
      </c>
      <c r="F129" s="302">
        <v>1.7238644904601299</v>
      </c>
      <c r="G129" s="301">
        <v>1.6377371461087399E-2</v>
      </c>
      <c r="H129" s="301">
        <v>1.20675368660644E-3</v>
      </c>
      <c r="I129" s="301">
        <v>0</v>
      </c>
      <c r="J129" s="303">
        <v>0.11937313391668899</v>
      </c>
      <c r="K129" s="303">
        <v>3.5272476206314401E-12</v>
      </c>
      <c r="L129" s="303">
        <v>8.45717223182979E-4</v>
      </c>
      <c r="M129" s="260">
        <f>'Parameters, country spec'!L57</f>
        <v>2.7912717555004501E-2</v>
      </c>
      <c r="O129" s="201">
        <f>K129*M129/K137*100</f>
        <v>0.89034282272304976</v>
      </c>
    </row>
    <row r="130" spans="1:15" x14ac:dyDescent="0.35">
      <c r="A130" s="256" t="s">
        <v>471</v>
      </c>
      <c r="B130" s="16" t="s">
        <v>237</v>
      </c>
      <c r="C130" s="16" t="s">
        <v>467</v>
      </c>
      <c r="D130" s="257" t="s">
        <v>58</v>
      </c>
      <c r="E130" s="257" t="s">
        <v>59</v>
      </c>
      <c r="F130" s="302">
        <v>1.55791389098342</v>
      </c>
      <c r="G130" s="301">
        <v>2.3836082532046301E-2</v>
      </c>
      <c r="H130" s="301">
        <v>2.18107944737678E-3</v>
      </c>
      <c r="I130" s="301">
        <v>0</v>
      </c>
      <c r="J130" s="303">
        <v>6.6227542671261505E-2</v>
      </c>
      <c r="K130" s="303">
        <v>3.18769143139155E-12</v>
      </c>
      <c r="L130" s="303">
        <v>1.2308803997307699E-3</v>
      </c>
      <c r="M130" s="260">
        <f>'Parameters, country spec'!L58</f>
        <v>0.32729029603711102</v>
      </c>
      <c r="O130" s="201">
        <f>K130*M130/K137*100</f>
        <v>9.4347108754363234</v>
      </c>
    </row>
    <row r="131" spans="1:15" x14ac:dyDescent="0.35">
      <c r="A131" s="256" t="s">
        <v>472</v>
      </c>
      <c r="B131" s="16" t="s">
        <v>239</v>
      </c>
      <c r="C131" s="16" t="s">
        <v>473</v>
      </c>
      <c r="D131" s="257" t="s">
        <v>58</v>
      </c>
      <c r="E131" s="257" t="s">
        <v>59</v>
      </c>
      <c r="F131" s="302">
        <v>3.5103977982785</v>
      </c>
      <c r="G131" s="301">
        <v>3.44E-2</v>
      </c>
      <c r="H131" s="301">
        <v>1.75540037369216E-3</v>
      </c>
      <c r="I131" s="301">
        <v>4.3822514109200003E-2</v>
      </c>
      <c r="J131" s="303">
        <v>0.20360307230015301</v>
      </c>
      <c r="K131" s="303">
        <v>7.18272367112955E-12</v>
      </c>
      <c r="L131" s="303">
        <v>0</v>
      </c>
      <c r="M131" s="260">
        <f>'Parameters, country spec'!L59</f>
        <v>4.8974646420038301E-3</v>
      </c>
      <c r="O131" s="201">
        <f>K131*M131/K137*100</f>
        <v>0.31811171276480188</v>
      </c>
    </row>
    <row r="132" spans="1:15" x14ac:dyDescent="0.35">
      <c r="A132" s="256" t="s">
        <v>474</v>
      </c>
      <c r="B132" s="16" t="s">
        <v>241</v>
      </c>
      <c r="C132" s="16" t="s">
        <v>473</v>
      </c>
      <c r="D132" s="257" t="s">
        <v>58</v>
      </c>
      <c r="E132" s="257" t="s">
        <v>59</v>
      </c>
      <c r="F132" s="302">
        <v>3.4790111258775802</v>
      </c>
      <c r="G132" s="301">
        <v>4.0695802225175499E-2</v>
      </c>
      <c r="H132" s="301">
        <v>1.39160445035103E-3</v>
      </c>
      <c r="I132" s="301">
        <v>2.3048109550000001E-2</v>
      </c>
      <c r="J132" s="303">
        <v>0.212219678678532</v>
      </c>
      <c r="K132" s="303">
        <v>7.1185025179250203E-12</v>
      </c>
      <c r="L132" s="303">
        <v>3.59307918952768E-5</v>
      </c>
      <c r="M132" s="260">
        <f>'Parameters, country spec'!L60</f>
        <v>5.63859541846429E-2</v>
      </c>
      <c r="O132" s="201">
        <f>K132*M132/K137*100</f>
        <v>3.6297671760318395</v>
      </c>
    </row>
    <row r="133" spans="1:15" x14ac:dyDescent="0.35">
      <c r="B133" s="18" t="s">
        <v>242</v>
      </c>
      <c r="C133" s="16" t="s">
        <v>475</v>
      </c>
      <c r="D133" s="257" t="s">
        <v>476</v>
      </c>
      <c r="E133" s="257"/>
      <c r="F133" s="52">
        <f>'Off-farm feed'!$F$88</f>
        <v>1.5397450382845068</v>
      </c>
      <c r="G133" s="53">
        <f>'Off-farm feed'!$G$88</f>
        <v>2.276724967641296E-2</v>
      </c>
      <c r="H133" s="53">
        <f>'Off-farm feed'!$H$88</f>
        <v>2.4780679919905292E-3</v>
      </c>
      <c r="I133" s="53">
        <f>'Off-farm feed'!$I$88</f>
        <v>8.1100925319702543E-4</v>
      </c>
      <c r="J133" s="52">
        <f>'Off-farm feed'!$J$88</f>
        <v>0.29368572248181479</v>
      </c>
      <c r="K133" s="308">
        <f>'Off-farm feed'!$K$88</f>
        <v>1.2571008272056975E-11</v>
      </c>
      <c r="L133" s="308">
        <f>'Off-farm feed'!$L$88</f>
        <v>1.3841258986185109E-3</v>
      </c>
      <c r="M133" s="260">
        <f>'Parameters, country spec'!L61</f>
        <v>2.9607485666187296E-2</v>
      </c>
      <c r="O133" s="201">
        <f>K133*M133/K137*100</f>
        <v>3.3658195739924888</v>
      </c>
    </row>
    <row r="134" spans="1:15" x14ac:dyDescent="0.35">
      <c r="B134" s="18" t="s">
        <v>477</v>
      </c>
      <c r="C134" s="16" t="s">
        <v>475</v>
      </c>
      <c r="D134" s="257" t="s">
        <v>478</v>
      </c>
      <c r="E134" s="257"/>
      <c r="F134" s="52">
        <f>'Off-farm feed'!$F$36</f>
        <v>2.5509164954964105</v>
      </c>
      <c r="G134" s="53">
        <f>'Off-farm feed'!$G$36</f>
        <v>4.2620923125915401E-2</v>
      </c>
      <c r="H134" s="53">
        <f>'Off-farm feed'!$H$36</f>
        <v>3.2959349471355006E-3</v>
      </c>
      <c r="I134" s="53">
        <f>'Off-farm feed'!$I$36</f>
        <v>2.435286335413451E-3</v>
      </c>
      <c r="J134" s="52">
        <f>'Off-farm feed'!$J$36</f>
        <v>0.25920846302270906</v>
      </c>
      <c r="K134" s="308">
        <f>'Off-farm feed'!$K$36</f>
        <v>1.4553836091881654E-10</v>
      </c>
      <c r="L134" s="308">
        <f>'Off-farm feed'!$L$36</f>
        <v>1.0450321677831977E-4</v>
      </c>
      <c r="M134" s="260">
        <f>'Parameters, country spec'!L62</f>
        <v>3.8707899733140101E-2</v>
      </c>
      <c r="O134" s="201">
        <f>K134*M134/K137*100</f>
        <v>50.944379719239116</v>
      </c>
    </row>
    <row r="135" spans="1:15" x14ac:dyDescent="0.35">
      <c r="B135" s="16" t="s">
        <v>244</v>
      </c>
      <c r="C135" s="16" t="s">
        <v>479</v>
      </c>
      <c r="D135" s="257" t="s">
        <v>58</v>
      </c>
      <c r="E135" s="257" t="s">
        <v>59</v>
      </c>
      <c r="F135" s="302">
        <v>0.140212250188508</v>
      </c>
      <c r="G135" s="302">
        <v>2.1452474278841698E-3</v>
      </c>
      <c r="H135" s="302">
        <v>1.96297150263911E-4</v>
      </c>
      <c r="I135" s="303">
        <v>0</v>
      </c>
      <c r="J135" s="303">
        <v>5.9604788404135304E-3</v>
      </c>
      <c r="K135" s="303">
        <v>2.8689222882523901E-13</v>
      </c>
      <c r="L135" s="303">
        <v>1.10779235975769E-4</v>
      </c>
      <c r="M135" s="260">
        <f>'Parameters, country spec'!L63</f>
        <v>0.11190565161757898</v>
      </c>
      <c r="O135" s="201">
        <f>K135*M135/K137*100</f>
        <v>0.29032871826957529</v>
      </c>
    </row>
    <row r="136" spans="1:15" x14ac:dyDescent="0.35">
      <c r="A136" s="262"/>
      <c r="B136" s="16" t="s">
        <v>481</v>
      </c>
      <c r="C136" s="263" t="s">
        <v>482</v>
      </c>
      <c r="D136" s="257" t="s">
        <v>58</v>
      </c>
      <c r="E136" s="257" t="s">
        <v>59</v>
      </c>
      <c r="F136" s="309">
        <f t="shared" ref="F136:L136" si="16">AVERAGE(F126:F134)</f>
        <v>2.2795196304013015</v>
      </c>
      <c r="G136" s="309">
        <f t="shared" si="16"/>
        <v>2.6421390361544429E-2</v>
      </c>
      <c r="H136" s="309">
        <f t="shared" si="16"/>
        <v>2.5249192139436775E-3</v>
      </c>
      <c r="I136" s="309">
        <f t="shared" si="16"/>
        <v>7.7937909713789409E-3</v>
      </c>
      <c r="J136" s="310">
        <f t="shared" si="16"/>
        <v>0.15823413315537291</v>
      </c>
      <c r="K136" s="310">
        <f t="shared" si="16"/>
        <v>2.1301894961192455E-11</v>
      </c>
      <c r="L136" s="310">
        <f t="shared" si="16"/>
        <v>7.2772355382129861E-4</v>
      </c>
      <c r="M136" s="260">
        <f>'Parameters, country spec'!L64</f>
        <v>9.3875935928455001E-2</v>
      </c>
      <c r="O136" s="201">
        <f>K136*M136/K137*100</f>
        <v>18.083883919309176</v>
      </c>
    </row>
    <row r="137" spans="1:15" x14ac:dyDescent="0.35">
      <c r="A137" s="265"/>
      <c r="B137" s="266" t="s">
        <v>483</v>
      </c>
      <c r="C137" s="267"/>
      <c r="D137" s="268"/>
      <c r="E137" s="268"/>
      <c r="F137" s="289">
        <f>SUMPRODUCT(F126:F136,M126:M136)</f>
        <v>1.8502565135821534</v>
      </c>
      <c r="G137" s="289">
        <f>SUMPRODUCT(G126:G136,M126:M136)</f>
        <v>2.2143358558463999E-2</v>
      </c>
      <c r="H137" s="289">
        <f>SUMPRODUCT(H126:H136,M126:M136)</f>
        <v>1.8901549687081571E-3</v>
      </c>
      <c r="I137" s="289">
        <f>SUMPRODUCT(I126:I136,M126:M136)</f>
        <v>2.368037058364845E-3</v>
      </c>
      <c r="J137" s="289">
        <f>SUMPRODUCT(J126:J136,M126:M136)</f>
        <v>0.11400814971155783</v>
      </c>
      <c r="K137" s="289">
        <f>SUMPRODUCT(K126:K136,M126:M136)</f>
        <v>1.1058107514151603E-11</v>
      </c>
      <c r="L137" s="289">
        <f>SUMPRODUCT(L126:L136,M126:M136)</f>
        <v>8.8355640212396886E-4</v>
      </c>
      <c r="M137" s="270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DEEBF7"/>
  </sheetPr>
  <dimension ref="A2:S106"/>
  <sheetViews>
    <sheetView topLeftCell="A30" zoomScale="83" zoomScaleNormal="83" workbookViewId="0">
      <selection activeCell="N11" sqref="N11"/>
    </sheetView>
  </sheetViews>
  <sheetFormatPr defaultColWidth="8.6328125" defaultRowHeight="14.5" x14ac:dyDescent="0.35"/>
  <cols>
    <col min="1" max="1" width="10.6328125" customWidth="1"/>
    <col min="2" max="2" width="18.453125" customWidth="1"/>
    <col min="3" max="3" width="11.54296875" customWidth="1"/>
    <col min="4" max="4" width="16.54296875" customWidth="1"/>
    <col min="6" max="6" width="14.54296875" customWidth="1"/>
    <col min="7" max="7" width="14.6328125" customWidth="1"/>
    <col min="8" max="8" width="11.36328125" customWidth="1"/>
    <col min="9" max="9" width="12.36328125" customWidth="1"/>
    <col min="10" max="10" width="14.453125" customWidth="1"/>
    <col min="11" max="11" width="12" customWidth="1"/>
    <col min="12" max="12" width="14.54296875" customWidth="1"/>
    <col min="13" max="13" width="14.453125" customWidth="1"/>
    <col min="14" max="14" width="15" customWidth="1"/>
    <col min="15" max="15" width="15.453125" customWidth="1"/>
    <col min="16" max="16" width="15" customWidth="1"/>
    <col min="17" max="17" width="17.54296875" customWidth="1"/>
    <col min="18" max="18" width="24.6328125" customWidth="1"/>
  </cols>
  <sheetData>
    <row r="2" spans="1:19" ht="21" customHeight="1" x14ac:dyDescent="0.5">
      <c r="A2" s="8" t="s">
        <v>493</v>
      </c>
    </row>
    <row r="4" spans="1:19" ht="18" customHeight="1" x14ac:dyDescent="0.45">
      <c r="A4" s="314" t="s">
        <v>477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6" spans="1:19" ht="18" customHeight="1" x14ac:dyDescent="0.45">
      <c r="A6" s="9" t="s">
        <v>494</v>
      </c>
    </row>
    <row r="8" spans="1:19" x14ac:dyDescent="0.35">
      <c r="A8" s="315" t="s">
        <v>460</v>
      </c>
      <c r="B8" s="316"/>
      <c r="C8" s="316"/>
      <c r="D8" s="316"/>
      <c r="E8" s="317" t="s">
        <v>106</v>
      </c>
      <c r="F8" s="317" t="s">
        <v>107</v>
      </c>
      <c r="G8" s="318"/>
      <c r="H8" s="317" t="s">
        <v>108</v>
      </c>
      <c r="I8" s="319"/>
      <c r="J8" s="320" t="s">
        <v>109</v>
      </c>
      <c r="K8" s="319"/>
      <c r="L8" s="319"/>
      <c r="M8" s="319"/>
      <c r="N8" s="320" t="s">
        <v>110</v>
      </c>
      <c r="O8" s="320" t="s">
        <v>111</v>
      </c>
      <c r="P8" s="320" t="s">
        <v>112</v>
      </c>
    </row>
    <row r="9" spans="1:19" ht="43.5" customHeight="1" x14ac:dyDescent="0.35">
      <c r="A9" s="321" t="s">
        <v>14</v>
      </c>
      <c r="B9" s="321" t="s">
        <v>460</v>
      </c>
      <c r="C9" s="321" t="s">
        <v>113</v>
      </c>
      <c r="D9" s="322" t="s">
        <v>495</v>
      </c>
      <c r="E9" s="323"/>
      <c r="F9" s="46" t="s">
        <v>68</v>
      </c>
      <c r="G9" s="46" t="s">
        <v>69</v>
      </c>
      <c r="H9" s="46" t="s">
        <v>463</v>
      </c>
      <c r="I9" s="46" t="s">
        <v>464</v>
      </c>
      <c r="J9" s="46" t="s">
        <v>118</v>
      </c>
      <c r="K9" s="46" t="s">
        <v>119</v>
      </c>
      <c r="L9" s="46" t="s">
        <v>120</v>
      </c>
      <c r="M9" s="46" t="s">
        <v>121</v>
      </c>
      <c r="N9" s="46" t="s">
        <v>122</v>
      </c>
      <c r="O9" s="46"/>
      <c r="P9" s="46"/>
      <c r="R9" s="324" t="s">
        <v>496</v>
      </c>
    </row>
    <row r="10" spans="1:19" ht="18" customHeight="1" x14ac:dyDescent="0.35">
      <c r="A10" t="s">
        <v>497</v>
      </c>
      <c r="B10" t="s">
        <v>498</v>
      </c>
      <c r="C10" t="s">
        <v>133</v>
      </c>
      <c r="D10" t="s">
        <v>499</v>
      </c>
      <c r="E10" s="13">
        <f>SUMPRODUCT(E11:E14,'Parameters, general'!$B$10:$B$13)</f>
        <v>0.97626250422206118</v>
      </c>
      <c r="F10" s="13">
        <f>SUMPRODUCT(F11:F14,'Parameters, general'!$B$10:$B$13)</f>
        <v>6.3780206352419527E-3</v>
      </c>
      <c r="G10" s="13">
        <f>SUMPRODUCT(G11:G14,'Parameters, general'!$B$10:$B$13)</f>
        <v>3.01313E-2</v>
      </c>
      <c r="H10" s="13">
        <f>SUMPRODUCT(H11:H14,'Parameters, general'!$B$10:$B$13)</f>
        <v>4.3198581779485316E-2</v>
      </c>
      <c r="I10" s="13">
        <f>SUMPRODUCT(I11:I14,'Parameters, general'!$B$10:$B$13)</f>
        <v>4.3198581779485311E-3</v>
      </c>
      <c r="J10" s="13">
        <f>SUMPRODUCT(J11:J14,'Parameters, general'!$B$10:$B$13)</f>
        <v>5.1686805550072629E-2</v>
      </c>
      <c r="K10" s="13">
        <f>SUMPRODUCT(K11:K14,'Parameters, general'!$B$10:$B$13)</f>
        <v>0</v>
      </c>
      <c r="L10" s="13">
        <f>SUMPRODUCT(L11:L14,'Parameters, general'!$B$10:$B$13)</f>
        <v>8.3348896151577996E-5</v>
      </c>
      <c r="M10" s="13">
        <f>SUMPRODUCT(M11:M14,'Parameters, general'!$B$10:$B$13)</f>
        <v>3.964529368316122E-2</v>
      </c>
      <c r="N10" s="13">
        <f>SUMPRODUCT(N11:N14,'Parameters, general'!$B$10:$B$13)</f>
        <v>0.80081929549999997</v>
      </c>
      <c r="O10" s="13">
        <f>SUMPRODUCT(O11:O14,'Parameters, general'!$B$10:$B$13)</f>
        <v>0</v>
      </c>
      <c r="P10" s="13">
        <f>SUMPRODUCT(P11:P14,'Parameters, general'!$B$10:$B$13)</f>
        <v>0</v>
      </c>
      <c r="R10" s="325" t="s">
        <v>500</v>
      </c>
      <c r="S10" s="22"/>
    </row>
    <row r="11" spans="1:19" x14ac:dyDescent="0.35">
      <c r="A11" t="s">
        <v>497</v>
      </c>
      <c r="B11" t="s">
        <v>498</v>
      </c>
      <c r="C11" t="s">
        <v>129</v>
      </c>
      <c r="D11" t="s">
        <v>499</v>
      </c>
      <c r="E11" s="13">
        <f>SUM(F11:P11)</f>
        <v>0.92073417828065618</v>
      </c>
      <c r="F11" s="13">
        <v>3.80122915901129E-3</v>
      </c>
      <c r="G11" s="13">
        <v>2.7E-2</v>
      </c>
      <c r="H11" s="13">
        <v>0</v>
      </c>
      <c r="I11" s="13"/>
      <c r="J11" s="13">
        <v>5.0646723842195603E-2</v>
      </c>
      <c r="K11" s="13"/>
      <c r="L11" s="13">
        <v>7.5028151531289998E-5</v>
      </c>
      <c r="M11" s="13">
        <v>3.8391901627918001E-2</v>
      </c>
      <c r="N11" s="49">
        <v>0.80081929549999997</v>
      </c>
      <c r="O11" s="13"/>
      <c r="P11" s="13"/>
    </row>
    <row r="12" spans="1:19" x14ac:dyDescent="0.35">
      <c r="A12" t="s">
        <v>497</v>
      </c>
      <c r="B12" t="s">
        <v>498</v>
      </c>
      <c r="C12" t="s">
        <v>130</v>
      </c>
      <c r="D12" t="s">
        <v>499</v>
      </c>
      <c r="E12" s="13">
        <f>SUM(F12:P12)</f>
        <v>1.5497351280536413E-4</v>
      </c>
      <c r="F12" s="13">
        <v>8.1660966199362198E-6</v>
      </c>
      <c r="G12" s="13">
        <v>9.5000000000000005E-5</v>
      </c>
      <c r="H12" s="13"/>
      <c r="I12" s="13"/>
      <c r="J12" s="13">
        <v>2.2434790869507899E-5</v>
      </c>
      <c r="K12" s="13"/>
      <c r="L12" s="13">
        <v>2.5092881999999999E-7</v>
      </c>
      <c r="M12" s="13">
        <v>2.9121696495920001E-5</v>
      </c>
      <c r="N12" s="13"/>
      <c r="O12" s="13"/>
      <c r="P12" s="13"/>
    </row>
    <row r="13" spans="1:19" x14ac:dyDescent="0.35">
      <c r="A13" t="s">
        <v>497</v>
      </c>
      <c r="B13" t="s">
        <v>498</v>
      </c>
      <c r="C13" t="s">
        <v>501</v>
      </c>
      <c r="D13" t="s">
        <v>499</v>
      </c>
      <c r="E13" s="13">
        <f>SUM(F13:P13)</f>
        <v>0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</row>
    <row r="14" spans="1:19" x14ac:dyDescent="0.35">
      <c r="A14" t="s">
        <v>497</v>
      </c>
      <c r="B14" t="s">
        <v>498</v>
      </c>
      <c r="C14" t="s">
        <v>132</v>
      </c>
      <c r="D14" t="s">
        <v>499</v>
      </c>
      <c r="E14" s="13">
        <f>SUM(F14:P14)</f>
        <v>1.8648393868060512E-4</v>
      </c>
      <c r="F14" s="13">
        <v>8.5474058496577406E-6</v>
      </c>
      <c r="G14" s="13">
        <v>1.1000000000000001E-6</v>
      </c>
      <c r="H14" s="13">
        <v>1.5823656329481801E-4</v>
      </c>
      <c r="I14" s="13">
        <v>1.5823656329481798E-5</v>
      </c>
      <c r="J14" s="13">
        <v>1.36089721599156E-6</v>
      </c>
      <c r="K14" s="13"/>
      <c r="L14" s="13">
        <v>3.0881530560000001E-9</v>
      </c>
      <c r="M14" s="13">
        <v>1.4123278375999999E-6</v>
      </c>
      <c r="N14" s="13"/>
      <c r="O14" s="13"/>
      <c r="P14" s="13"/>
    </row>
    <row r="15" spans="1:19" x14ac:dyDescent="0.35"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</row>
    <row r="16" spans="1:19" x14ac:dyDescent="0.35">
      <c r="A16" t="s">
        <v>497</v>
      </c>
      <c r="B16" t="s">
        <v>498</v>
      </c>
      <c r="C16" t="s">
        <v>133</v>
      </c>
      <c r="D16" t="s">
        <v>502</v>
      </c>
      <c r="E16" s="13">
        <f>SUMPRODUCT(E17:E20,'Parameters, general'!$B$10:$B$13)</f>
        <v>0.20785730445628481</v>
      </c>
      <c r="F16" s="13">
        <f>SUMPRODUCT(F17:F20,'Parameters, general'!$B$10:$B$13)</f>
        <v>2.437051052152809E-2</v>
      </c>
      <c r="G16" s="13">
        <f>SUMPRODUCT(G17:G20,'Parameters, general'!$B$10:$B$13)</f>
        <v>3.01313E-2</v>
      </c>
      <c r="H16" s="13">
        <f>SUMPRODUCT(H17:H20,'Parameters, general'!$B$10:$B$13)</f>
        <v>4.8642220755341845E-2</v>
      </c>
      <c r="I16" s="13">
        <f>SUMPRODUCT(I17:I20,'Parameters, general'!$B$10:$B$13)</f>
        <v>4.8642220755341853E-3</v>
      </c>
      <c r="J16" s="13">
        <f>SUMPRODUCT(J17:J20,'Parameters, general'!$B$10:$B$13)</f>
        <v>5.9248812939961627E-2</v>
      </c>
      <c r="K16" s="13">
        <f>SUMPRODUCT(K17:K20,'Parameters, general'!$B$10:$B$13)</f>
        <v>0</v>
      </c>
      <c r="L16" s="13">
        <f>SUMPRODUCT(L17:L20,'Parameters, general'!$B$10:$B$13)</f>
        <v>4.1674448075789002E-4</v>
      </c>
      <c r="M16" s="13">
        <f>SUMPRODUCT(M17:M20,'Parameters, general'!$B$10:$B$13)</f>
        <v>3.964529368316122E-2</v>
      </c>
      <c r="N16" s="13">
        <f>SUMPRODUCT(N17:N20,'Parameters, general'!$B$10:$B$13)</f>
        <v>5.3819999999999996E-4</v>
      </c>
      <c r="O16" s="13">
        <f>SUMPRODUCT(O17:O20,'Parameters, general'!$B$10:$B$13)</f>
        <v>0</v>
      </c>
      <c r="P16" s="13">
        <f>SUMPRODUCT(P17:P20,'Parameters, general'!$B$10:$B$13)</f>
        <v>0</v>
      </c>
      <c r="R16" s="325" t="s">
        <v>500</v>
      </c>
      <c r="S16" s="22"/>
    </row>
    <row r="17" spans="1:18" x14ac:dyDescent="0.35">
      <c r="A17" t="s">
        <v>497</v>
      </c>
      <c r="B17" t="s">
        <v>498</v>
      </c>
      <c r="C17" t="s">
        <v>129</v>
      </c>
      <c r="D17" t="s">
        <v>502</v>
      </c>
      <c r="E17" s="13">
        <f>SUM(F17:P17)</f>
        <v>0.13888635752648032</v>
      </c>
      <c r="F17" s="13">
        <v>1.4524552445401399E-2</v>
      </c>
      <c r="G17" s="13">
        <v>2.7E-2</v>
      </c>
      <c r="H17" s="13">
        <v>0</v>
      </c>
      <c r="I17" s="13"/>
      <c r="J17" s="13">
        <v>5.80565626955045E-2</v>
      </c>
      <c r="K17" s="13"/>
      <c r="L17" s="13">
        <v>3.7514075765644999E-4</v>
      </c>
      <c r="M17" s="13">
        <v>3.8391901627918001E-2</v>
      </c>
      <c r="N17" s="326">
        <v>5.3819999999999996E-4</v>
      </c>
      <c r="O17" s="13"/>
      <c r="P17" s="13"/>
    </row>
    <row r="18" spans="1:18" x14ac:dyDescent="0.35">
      <c r="A18" t="s">
        <v>497</v>
      </c>
      <c r="B18" t="s">
        <v>498</v>
      </c>
      <c r="C18" t="s">
        <v>130</v>
      </c>
      <c r="D18" t="s">
        <v>502</v>
      </c>
      <c r="E18" s="13">
        <f>SUM(F18:P18)</f>
        <v>1.8229621534045909E-4</v>
      </c>
      <c r="F18" s="13">
        <v>3.1202775120595202E-5</v>
      </c>
      <c r="G18" s="13">
        <v>9.5000000000000005E-5</v>
      </c>
      <c r="H18" s="13"/>
      <c r="I18" s="13"/>
      <c r="J18" s="13">
        <v>2.5717099623943899E-5</v>
      </c>
      <c r="K18" s="13"/>
      <c r="L18" s="13">
        <v>1.2546440999999999E-6</v>
      </c>
      <c r="M18" s="13">
        <v>2.9121696495920001E-5</v>
      </c>
      <c r="N18" s="13"/>
      <c r="O18" s="13"/>
      <c r="P18" s="13"/>
    </row>
    <row r="19" spans="1:18" x14ac:dyDescent="0.35">
      <c r="A19" t="s">
        <v>497</v>
      </c>
      <c r="B19" t="s">
        <v>498</v>
      </c>
      <c r="C19" t="s">
        <v>501</v>
      </c>
      <c r="D19" t="s">
        <v>502</v>
      </c>
      <c r="E19" s="13">
        <f>SUM(F19:P19)</f>
        <v>0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</row>
    <row r="20" spans="1:18" x14ac:dyDescent="0.35">
      <c r="A20" t="s">
        <v>497</v>
      </c>
      <c r="B20" t="s">
        <v>498</v>
      </c>
      <c r="C20" t="s">
        <v>132</v>
      </c>
      <c r="D20" t="s">
        <v>502</v>
      </c>
      <c r="E20" s="13">
        <f>SUM(F20:P20)</f>
        <v>2.3274183044929973E-4</v>
      </c>
      <c r="F20" s="13">
        <v>3.2659763287666498E-5</v>
      </c>
      <c r="G20" s="13">
        <v>1.1000000000000001E-6</v>
      </c>
      <c r="H20" s="13">
        <v>1.7817663280344999E-4</v>
      </c>
      <c r="I20" s="13">
        <v>1.7817663280345001E-5</v>
      </c>
      <c r="J20" s="13">
        <v>1.5600024749582401E-6</v>
      </c>
      <c r="K20" s="13"/>
      <c r="L20" s="13">
        <v>1.5440765279999999E-8</v>
      </c>
      <c r="M20" s="13">
        <v>1.4123278375999999E-6</v>
      </c>
      <c r="N20" s="13"/>
      <c r="O20" s="13"/>
      <c r="P20" s="13"/>
    </row>
    <row r="21" spans="1:18" x14ac:dyDescent="0.35"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</row>
    <row r="22" spans="1:18" x14ac:dyDescent="0.35">
      <c r="A22" t="s">
        <v>503</v>
      </c>
      <c r="B22" t="s">
        <v>477</v>
      </c>
      <c r="C22" t="s">
        <v>133</v>
      </c>
      <c r="D22" t="s">
        <v>478</v>
      </c>
      <c r="E22" s="13">
        <f>SUMPRODUCT(E23:E26,'Parameters, general'!$B$10:$B$13)</f>
        <v>0.77170772994138714</v>
      </c>
      <c r="F22" s="13">
        <f>SUMPRODUCT(F23:F26,'Parameters, general'!$B$10:$B$13)</f>
        <v>1.2186917836524713E-2</v>
      </c>
      <c r="G22" s="13">
        <f>SUMPRODUCT(G23:G26,'Parameters, general'!$B$10:$B$13)</f>
        <v>2.3884567073170736E-2</v>
      </c>
      <c r="H22" s="13">
        <f>SUMPRODUCT(H23:H26,'Parameters, general'!$B$10:$B$13)</f>
        <v>3.6400318077827842E-2</v>
      </c>
      <c r="I22" s="13">
        <f>SUMPRODUCT(I23:I26,'Parameters, general'!$B$10:$B$13)</f>
        <v>3.6400318077827848E-3</v>
      </c>
      <c r="J22" s="13">
        <f>SUMPRODUCT(J23:J26,'Parameters, general'!$B$10:$B$13)</f>
        <v>4.3968385377147728E-2</v>
      </c>
      <c r="K22" s="13">
        <f>SUMPRODUCT(K23:K26,'Parameters, general'!$B$10:$B$13)</f>
        <v>0</v>
      </c>
      <c r="L22" s="13">
        <f>SUMPRODUCT(L23:L26,'Parameters, general'!$B$10:$B$13)</f>
        <v>1.9820774084826478E-4</v>
      </c>
      <c r="M22" s="13">
        <f>SUMPRODUCT(M23:M26,'Parameters, general'!$B$10:$B$13)</f>
        <v>3.1426147431774132E-2</v>
      </c>
      <c r="N22" s="13">
        <f>SUMPRODUCT(N23:N26,'Parameters, general'!$B$10:$B$13)</f>
        <v>0.31761120248475611</v>
      </c>
      <c r="O22" s="13">
        <f>SUMPRODUCT(O23:O26,'Parameters, general'!$B$10:$B$13)</f>
        <v>4.2652972381825027E-2</v>
      </c>
      <c r="P22" s="13">
        <f>SUMPRODUCT(P23:P26,'Parameters, general'!$B$10:$B$13)</f>
        <v>0.2597389797297297</v>
      </c>
    </row>
    <row r="23" spans="1:18" x14ac:dyDescent="0.35">
      <c r="A23" s="327" t="s">
        <v>503</v>
      </c>
      <c r="B23" s="79" t="s">
        <v>477</v>
      </c>
      <c r="C23" s="79" t="s">
        <v>129</v>
      </c>
      <c r="D23" s="79" t="s">
        <v>478</v>
      </c>
      <c r="E23" s="78">
        <f>SUM(F23:P23)</f>
        <v>0.7061171705997602</v>
      </c>
      <c r="F23" s="78">
        <f>$C$40*(AVERAGE(F11,F17))/$C$39</f>
        <v>7.2632670993099079E-3</v>
      </c>
      <c r="G23" s="78">
        <f>$C$40*(AVERAGE(G11,G17))/$C$39</f>
        <v>2.1402439024390246E-2</v>
      </c>
      <c r="H23" s="78">
        <f>$C$40*(AVERAGE(H11,H17))/$C$39</f>
        <v>0</v>
      </c>
      <c r="I23" s="78"/>
      <c r="J23" s="78">
        <f>$C$40*(AVERAGE(J11,J17))/$C$39</f>
        <v>4.3083619664332357E-2</v>
      </c>
      <c r="K23" s="78"/>
      <c r="L23" s="78">
        <f>$C$40*(AVERAGE(L11,L17))/$C$39</f>
        <v>1.7842060425123844E-4</v>
      </c>
      <c r="M23" s="78">
        <f>$C$40*(AVERAGE(M11,M17))/$C$39</f>
        <v>3.0432604948959392E-2</v>
      </c>
      <c r="N23" s="78">
        <f>$C$40*(AVERAGE(N11,N17))/$C$39</f>
        <v>0.31761120248475611</v>
      </c>
      <c r="O23" s="78">
        <f t="array" ref="O23">C40*(C43*EF_el_CO2_BR+C44*EF_biofuels_CO2)</f>
        <v>3.5145616773760872E-2</v>
      </c>
      <c r="P23" s="328">
        <v>0.251</v>
      </c>
      <c r="R23" t="s">
        <v>504</v>
      </c>
    </row>
    <row r="24" spans="1:18" x14ac:dyDescent="0.35">
      <c r="A24" s="196" t="s">
        <v>503</v>
      </c>
      <c r="B24" t="s">
        <v>477</v>
      </c>
      <c r="C24" t="s">
        <v>130</v>
      </c>
      <c r="D24" t="s">
        <v>478</v>
      </c>
      <c r="E24" s="13">
        <f>SUM(F24:P24)</f>
        <v>4.7266553697523987E-4</v>
      </c>
      <c r="F24" s="13">
        <f>$C$40*(AVERAGE(F12,F18))/$C$39</f>
        <v>1.5603516238625262E-5</v>
      </c>
      <c r="G24" s="13">
        <f>$C$40*(AVERAGE(G12,G18))/$C$39</f>
        <v>7.5304878048780503E-5</v>
      </c>
      <c r="H24" s="13"/>
      <c r="I24" s="13"/>
      <c r="J24" s="13">
        <f>$C$40*(AVERAGE(J12,J18))/$C$39</f>
        <v>1.9084590744355897E-5</v>
      </c>
      <c r="K24" s="13"/>
      <c r="L24" s="13">
        <f>$C$40*(AVERAGE(L12,L18))/$C$39</f>
        <v>5.9672097439024396E-7</v>
      </c>
      <c r="M24" s="13">
        <f>$C$40*(AVERAGE(M12,M18))/$C$39</f>
        <v>2.3084271612619512E-5</v>
      </c>
      <c r="N24" s="13"/>
      <c r="O24" s="13">
        <f>C40*(C43*EF_el_CH4_BR+C44*EF_biofuel_CH4)</f>
        <v>1.2899155935646844E-4</v>
      </c>
      <c r="P24" s="209">
        <f>4.83/1000/23</f>
        <v>2.1000000000000001E-4</v>
      </c>
      <c r="R24" t="s">
        <v>505</v>
      </c>
    </row>
    <row r="25" spans="1:18" x14ac:dyDescent="0.35">
      <c r="A25" s="196" t="s">
        <v>503</v>
      </c>
      <c r="B25" t="s">
        <v>477</v>
      </c>
      <c r="C25" t="s">
        <v>501</v>
      </c>
      <c r="D25" t="s">
        <v>478</v>
      </c>
      <c r="E25" s="13">
        <f>SUM(F25:P25)</f>
        <v>0</v>
      </c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209"/>
    </row>
    <row r="26" spans="1:18" x14ac:dyDescent="0.35">
      <c r="A26" s="240" t="s">
        <v>503</v>
      </c>
      <c r="B26" s="241" t="s">
        <v>477</v>
      </c>
      <c r="C26" s="241" t="s">
        <v>132</v>
      </c>
      <c r="D26" s="241" t="s">
        <v>478</v>
      </c>
      <c r="E26" s="329">
        <f>SUM(F26:P26)</f>
        <v>1.8866346644602484E-4</v>
      </c>
      <c r="F26" s="329">
        <f>$C$40*(AVERAGE(F14,F20))/$C$39</f>
        <v>1.6332109719061435E-5</v>
      </c>
      <c r="G26" s="329">
        <f>$C$40*(AVERAGE(G14,G20))/$C$39</f>
        <v>8.7195121951219526E-7</v>
      </c>
      <c r="H26" s="330">
        <f>$C$40*(AVERAGE(H14,H20))/$C$39</f>
        <v>1.3333449845358183E-4</v>
      </c>
      <c r="I26" s="329">
        <f>$C$40*(AVERAGE(I14,I20))/$C$39</f>
        <v>1.3333449845358186E-5</v>
      </c>
      <c r="J26" s="329">
        <f>$C$40*(AVERAGE(J14,J20))/$C$39</f>
        <v>1.1576736579983962E-6</v>
      </c>
      <c r="K26" s="329"/>
      <c r="L26" s="329">
        <f>$C$40*(AVERAGE(L14,L20))/$C$39</f>
        <v>7.3437786087804875E-9</v>
      </c>
      <c r="M26" s="329">
        <f>$C$40*(AVERAGE(M14,M20))/$C$39</f>
        <v>1.1195281639512195E-6</v>
      </c>
      <c r="N26" s="329"/>
      <c r="O26" s="329">
        <f>C40*(C43*EF_el_N2O_BR+C44*EF_biofuel_N2O)</f>
        <v>1.3419073770115001E-5</v>
      </c>
      <c r="P26" s="331">
        <f>2.69/1000/296</f>
        <v>9.087837837837838E-6</v>
      </c>
      <c r="R26" t="s">
        <v>505</v>
      </c>
    </row>
    <row r="29" spans="1:18" ht="18" customHeight="1" x14ac:dyDescent="0.45">
      <c r="A29" s="9" t="s">
        <v>506</v>
      </c>
    </row>
    <row r="31" spans="1:18" x14ac:dyDescent="0.35">
      <c r="A31" s="290" t="s">
        <v>460</v>
      </c>
      <c r="B31" s="183"/>
      <c r="C31" s="183"/>
      <c r="D31" s="183"/>
      <c r="E31" s="183"/>
      <c r="F31" s="291" t="s">
        <v>4</v>
      </c>
      <c r="G31" s="291" t="s">
        <v>489</v>
      </c>
      <c r="H31" s="291" t="s">
        <v>6</v>
      </c>
      <c r="I31" s="291" t="s">
        <v>7</v>
      </c>
      <c r="J31" s="292" t="s">
        <v>8</v>
      </c>
      <c r="K31" s="292" t="s">
        <v>9</v>
      </c>
      <c r="L31" s="292" t="s">
        <v>10</v>
      </c>
      <c r="M31" s="294"/>
      <c r="N31" s="332"/>
      <c r="O31" s="332"/>
      <c r="P31" s="333"/>
    </row>
    <row r="32" spans="1:18" ht="43.5" customHeight="1" x14ac:dyDescent="0.35">
      <c r="A32" s="295" t="s">
        <v>14</v>
      </c>
      <c r="B32" s="295" t="s">
        <v>460</v>
      </c>
      <c r="C32" s="295" t="s">
        <v>462</v>
      </c>
      <c r="D32" s="295" t="s">
        <v>17</v>
      </c>
      <c r="E32" s="253" t="s">
        <v>18</v>
      </c>
      <c r="F32" s="296" t="s">
        <v>25</v>
      </c>
      <c r="G32" s="296" t="s">
        <v>490</v>
      </c>
      <c r="H32" s="296" t="s">
        <v>491</v>
      </c>
      <c r="I32" s="297" t="s">
        <v>28</v>
      </c>
      <c r="J32" s="298" t="s">
        <v>29</v>
      </c>
      <c r="K32" s="299" t="s">
        <v>30</v>
      </c>
      <c r="L32" s="299" t="s">
        <v>31</v>
      </c>
      <c r="M32" s="332"/>
    </row>
    <row r="33" spans="1:18" x14ac:dyDescent="0.35">
      <c r="A33" s="334" t="s">
        <v>497</v>
      </c>
      <c r="B33" s="16" t="s">
        <v>498</v>
      </c>
      <c r="C33" s="16" t="s">
        <v>507</v>
      </c>
      <c r="D33" t="s">
        <v>499</v>
      </c>
      <c r="E33" t="s">
        <v>508</v>
      </c>
      <c r="F33">
        <v>2.9987165493168901</v>
      </c>
      <c r="G33">
        <v>7.5567657042785605E-2</v>
      </c>
      <c r="H33">
        <v>6.5971764084971603E-3</v>
      </c>
      <c r="I33">
        <v>8.3191495512068404E-4</v>
      </c>
      <c r="J33">
        <v>0.33775822794753002</v>
      </c>
      <c r="K33" s="51">
        <v>3.3104588739787198E-10</v>
      </c>
      <c r="L33">
        <v>5.4691734366476702E-5</v>
      </c>
      <c r="N33" t="s">
        <v>509</v>
      </c>
    </row>
    <row r="34" spans="1:18" x14ac:dyDescent="0.35">
      <c r="A34" s="334" t="s">
        <v>497</v>
      </c>
      <c r="B34" s="16" t="s">
        <v>498</v>
      </c>
      <c r="C34" s="16" t="s">
        <v>507</v>
      </c>
      <c r="D34" t="s">
        <v>502</v>
      </c>
      <c r="E34" t="s">
        <v>510</v>
      </c>
      <c r="F34">
        <v>3.43744199316636</v>
      </c>
      <c r="G34">
        <v>3.1968210536447099E-2</v>
      </c>
      <c r="H34">
        <v>1.7187209965831801E-3</v>
      </c>
      <c r="I34">
        <v>5.3124997988455601E-3</v>
      </c>
      <c r="J34">
        <v>0.31624466337130502</v>
      </c>
      <c r="K34" s="51">
        <v>3.6158592458834303E-11</v>
      </c>
      <c r="L34">
        <v>2.0897792027420699E-4</v>
      </c>
      <c r="N34" t="s">
        <v>511</v>
      </c>
    </row>
    <row r="36" spans="1:18" x14ac:dyDescent="0.35">
      <c r="A36" s="335" t="s">
        <v>503</v>
      </c>
      <c r="B36" s="336" t="s">
        <v>477</v>
      </c>
      <c r="C36" s="336" t="s">
        <v>512</v>
      </c>
      <c r="D36" s="336" t="s">
        <v>478</v>
      </c>
      <c r="E36" s="336"/>
      <c r="F36" s="337">
        <f t="shared" ref="F36:L36" si="0">$C$40*AVERAGE(F33:F34)/$C$39</f>
        <v>2.5509164954964105</v>
      </c>
      <c r="G36" s="337">
        <f t="shared" si="0"/>
        <v>4.2620923125915401E-2</v>
      </c>
      <c r="H36" s="338">
        <f t="shared" si="0"/>
        <v>3.2959349471355006E-3</v>
      </c>
      <c r="I36" s="338">
        <f t="shared" si="0"/>
        <v>2.435286335413451E-3</v>
      </c>
      <c r="J36" s="337">
        <f t="shared" si="0"/>
        <v>0.25920846302270906</v>
      </c>
      <c r="K36" s="339">
        <f t="shared" si="0"/>
        <v>1.4553836091881654E-10</v>
      </c>
      <c r="L36" s="339">
        <f t="shared" si="0"/>
        <v>1.0450321677831977E-4</v>
      </c>
    </row>
    <row r="38" spans="1:18" x14ac:dyDescent="0.35">
      <c r="A38" s="14" t="s">
        <v>513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</row>
    <row r="39" spans="1:18" x14ac:dyDescent="0.35">
      <c r="A39" t="s">
        <v>514</v>
      </c>
      <c r="C39">
        <v>0.82</v>
      </c>
      <c r="R39" t="s">
        <v>515</v>
      </c>
    </row>
    <row r="40" spans="1:18" x14ac:dyDescent="0.35">
      <c r="A40" t="s">
        <v>516</v>
      </c>
      <c r="C40">
        <v>0.65</v>
      </c>
      <c r="R40" t="s">
        <v>515</v>
      </c>
    </row>
    <row r="42" spans="1:18" x14ac:dyDescent="0.35">
      <c r="A42" t="s">
        <v>517</v>
      </c>
    </row>
    <row r="43" spans="1:18" x14ac:dyDescent="0.35">
      <c r="A43" t="s">
        <v>518</v>
      </c>
      <c r="C43">
        <v>0.16600000000000001</v>
      </c>
      <c r="D43" t="s">
        <v>519</v>
      </c>
      <c r="G43" t="s">
        <v>520</v>
      </c>
      <c r="I43" s="49">
        <f>C43/(C43+C44)</f>
        <v>0.14574187884108869</v>
      </c>
      <c r="R43" t="s">
        <v>521</v>
      </c>
    </row>
    <row r="44" spans="1:18" x14ac:dyDescent="0.35">
      <c r="A44" t="s">
        <v>522</v>
      </c>
      <c r="C44">
        <v>0.97299999999999998</v>
      </c>
      <c r="D44" t="s">
        <v>519</v>
      </c>
      <c r="R44" t="s">
        <v>521</v>
      </c>
    </row>
    <row r="46" spans="1:18" x14ac:dyDescent="0.35">
      <c r="A46" t="s">
        <v>523</v>
      </c>
      <c r="R46" t="s">
        <v>524</v>
      </c>
    </row>
    <row r="49" spans="1:18" ht="18" customHeight="1" x14ac:dyDescent="0.45">
      <c r="A49" s="314" t="s">
        <v>525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</row>
    <row r="51" spans="1:18" ht="18" customHeight="1" x14ac:dyDescent="0.45">
      <c r="A51" s="9" t="s">
        <v>494</v>
      </c>
    </row>
    <row r="53" spans="1:18" x14ac:dyDescent="0.35">
      <c r="A53" s="315" t="s">
        <v>460</v>
      </c>
      <c r="B53" s="316"/>
      <c r="C53" s="316"/>
      <c r="D53" s="316"/>
      <c r="E53" s="317" t="s">
        <v>106</v>
      </c>
      <c r="F53" s="317" t="s">
        <v>107</v>
      </c>
      <c r="G53" s="318"/>
      <c r="H53" s="317" t="s">
        <v>108</v>
      </c>
      <c r="I53" s="319"/>
      <c r="J53" s="320" t="s">
        <v>109</v>
      </c>
      <c r="K53" s="319"/>
      <c r="L53" s="319"/>
      <c r="M53" s="319"/>
      <c r="N53" s="320" t="s">
        <v>110</v>
      </c>
      <c r="O53" s="320" t="s">
        <v>111</v>
      </c>
      <c r="P53" s="320" t="s">
        <v>112</v>
      </c>
    </row>
    <row r="54" spans="1:18" ht="43.5" customHeight="1" x14ac:dyDescent="0.35">
      <c r="A54" s="321" t="s">
        <v>14</v>
      </c>
      <c r="B54" s="321" t="s">
        <v>460</v>
      </c>
      <c r="C54" s="321" t="s">
        <v>113</v>
      </c>
      <c r="D54" s="322" t="s">
        <v>495</v>
      </c>
      <c r="E54" s="323"/>
      <c r="F54" s="46" t="s">
        <v>68</v>
      </c>
      <c r="G54" s="46" t="s">
        <v>69</v>
      </c>
      <c r="H54" s="46" t="s">
        <v>463</v>
      </c>
      <c r="I54" s="46" t="s">
        <v>464</v>
      </c>
      <c r="J54" s="46" t="s">
        <v>118</v>
      </c>
      <c r="K54" s="46" t="s">
        <v>119</v>
      </c>
      <c r="L54" s="46" t="s">
        <v>120</v>
      </c>
      <c r="M54" s="46" t="s">
        <v>121</v>
      </c>
      <c r="N54" s="46" t="s">
        <v>122</v>
      </c>
      <c r="O54" s="46"/>
      <c r="P54" s="46"/>
      <c r="R54" s="324"/>
    </row>
    <row r="55" spans="1:18" x14ac:dyDescent="0.35">
      <c r="A55" t="s">
        <v>526</v>
      </c>
      <c r="B55" t="s">
        <v>527</v>
      </c>
      <c r="C55" t="s">
        <v>133</v>
      </c>
      <c r="D55" t="s">
        <v>40</v>
      </c>
      <c r="E55" s="13">
        <f>SUMPRODUCT(E56:E59,'Parameters, general'!$B$10:$B$13)</f>
        <v>0.86652859022920636</v>
      </c>
      <c r="F55" s="13">
        <f>SUMPRODUCT(F56:F59,'Parameters, general'!$B$10:$B$13)</f>
        <v>0.45006858113490922</v>
      </c>
      <c r="G55" s="13">
        <f>SUMPRODUCT(G56:G59,'Parameters, general'!$B$10:$B$13)</f>
        <v>3.01313E-2</v>
      </c>
      <c r="H55" s="13">
        <f>SUMPRODUCT(H56:H59,'Parameters, general'!$B$10:$B$13)</f>
        <v>0.24176008201732432</v>
      </c>
      <c r="I55" s="13">
        <f>SUMPRODUCT(I56:I59,'Parameters, general'!$B$10:$B$13)</f>
        <v>2.4176008201732432E-2</v>
      </c>
      <c r="J55" s="13">
        <f>SUMPRODUCT(J56:J59,'Parameters, general'!$B$10:$B$13)</f>
        <v>4.9915761667236075E-2</v>
      </c>
      <c r="K55" s="13">
        <f>SUMPRODUCT(K56:K59,'Parameters, general'!$B$10:$B$13)</f>
        <v>0</v>
      </c>
      <c r="L55" s="13">
        <f>SUMPRODUCT(L56:L59,'Parameters, general'!$B$10:$B$13)</f>
        <v>1.0835356499705139E-3</v>
      </c>
      <c r="M55" s="13">
        <f>SUMPRODUCT(M56:M59,'Parameters, general'!$B$10:$B$13)</f>
        <v>6.939332155803378E-2</v>
      </c>
      <c r="N55" s="13">
        <f>SUMPRODUCT(N56:N59,'Parameters, general'!$B$10:$B$13)</f>
        <v>0</v>
      </c>
      <c r="O55" s="13">
        <f>SUMPRODUCT(O56:O59,'Parameters, general'!$B$10:$B$13)</f>
        <v>0</v>
      </c>
      <c r="P55" s="13">
        <f>SUMPRODUCT(P56:P59,'Parameters, general'!$B$10:$B$13)</f>
        <v>0</v>
      </c>
      <c r="R55" s="325"/>
    </row>
    <row r="56" spans="1:18" x14ac:dyDescent="0.35">
      <c r="A56" t="s">
        <v>526</v>
      </c>
      <c r="B56" t="s">
        <v>527</v>
      </c>
      <c r="C56" t="s">
        <v>129</v>
      </c>
      <c r="D56" t="s">
        <v>40</v>
      </c>
      <c r="E56" s="13">
        <f>SUM(F56:P56)</f>
        <v>0.47425566700327787</v>
      </c>
      <c r="F56" s="13">
        <v>0.32956752885768198</v>
      </c>
      <c r="G56" s="13">
        <v>2.7E-2</v>
      </c>
      <c r="H56" s="13">
        <v>0</v>
      </c>
      <c r="I56" s="13"/>
      <c r="J56" s="13">
        <v>4.8911318268339103E-2</v>
      </c>
      <c r="K56" s="13"/>
      <c r="L56" s="13">
        <v>9.7536596990676998E-4</v>
      </c>
      <c r="M56" s="13">
        <v>6.7801453907349998E-2</v>
      </c>
      <c r="N56" s="56"/>
      <c r="O56" s="13"/>
      <c r="P56" s="13"/>
    </row>
    <row r="57" spans="1:18" x14ac:dyDescent="0.35">
      <c r="A57" t="s">
        <v>526</v>
      </c>
      <c r="B57" t="s">
        <v>527</v>
      </c>
      <c r="C57" t="s">
        <v>130</v>
      </c>
      <c r="D57" t="s">
        <v>40</v>
      </c>
      <c r="E57" s="13">
        <f>SUM(F57:P57)</f>
        <v>4.9941072237528247E-4</v>
      </c>
      <c r="F57" s="58">
        <v>3.4898905873400102E-4</v>
      </c>
      <c r="G57" s="58">
        <v>9.5000000000000005E-5</v>
      </c>
      <c r="H57" s="58"/>
      <c r="I57" s="58"/>
      <c r="J57" s="58">
        <v>2.1666064717653398E-5</v>
      </c>
      <c r="K57" s="58"/>
      <c r="L57" s="58">
        <v>3.2620746600000001E-6</v>
      </c>
      <c r="M57" s="58">
        <v>3.0493524263628001E-5</v>
      </c>
      <c r="N57" s="58"/>
      <c r="O57" s="58"/>
      <c r="P57" s="58"/>
    </row>
    <row r="58" spans="1:18" x14ac:dyDescent="0.35">
      <c r="A58" t="s">
        <v>526</v>
      </c>
      <c r="B58" t="s">
        <v>527</v>
      </c>
      <c r="C58" t="s">
        <v>501</v>
      </c>
      <c r="D58" t="s">
        <v>40</v>
      </c>
      <c r="E58" s="13">
        <f>SUM(F58:P58)</f>
        <v>0</v>
      </c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</row>
    <row r="59" spans="1:18" x14ac:dyDescent="0.35">
      <c r="A59" t="s">
        <v>526</v>
      </c>
      <c r="B59" t="s">
        <v>527</v>
      </c>
      <c r="C59" t="s">
        <v>132</v>
      </c>
      <c r="D59" t="s">
        <v>40</v>
      </c>
      <c r="E59" s="13">
        <f>SUM(F59:P59)</f>
        <v>1.3823827241726927E-3</v>
      </c>
      <c r="F59" s="58">
        <v>4.0330101951265203E-4</v>
      </c>
      <c r="G59" s="58">
        <v>1.1000000000000001E-6</v>
      </c>
      <c r="H59" s="58">
        <v>8.8556806599752503E-4</v>
      </c>
      <c r="I59" s="58">
        <v>8.8556806599752495E-5</v>
      </c>
      <c r="J59" s="58">
        <v>1.31426619161501E-6</v>
      </c>
      <c r="K59" s="58"/>
      <c r="L59" s="58">
        <v>4.0145989727999997E-8</v>
      </c>
      <c r="M59" s="58">
        <v>2.50241988142E-6</v>
      </c>
      <c r="N59" s="58"/>
      <c r="O59" s="58"/>
      <c r="P59" s="58"/>
    </row>
    <row r="60" spans="1:18" x14ac:dyDescent="0.35"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</row>
    <row r="61" spans="1:18" x14ac:dyDescent="0.35">
      <c r="A61" t="s">
        <v>526</v>
      </c>
      <c r="B61" t="s">
        <v>527</v>
      </c>
      <c r="C61" t="s">
        <v>133</v>
      </c>
      <c r="D61" t="s">
        <v>42</v>
      </c>
      <c r="E61" s="13">
        <f>SUMPRODUCT(E62:E65,'Parameters, general'!$B$10:$B$13)</f>
        <v>0.72542566300783928</v>
      </c>
      <c r="F61" s="13">
        <f>SUMPRODUCT(F62:F65,'Parameters, general'!$B$10:$B$13)</f>
        <v>0.30299497425616823</v>
      </c>
      <c r="G61" s="13">
        <f>SUMPRODUCT(G62:G65,'Parameters, general'!$B$10:$B$13)</f>
        <v>3.01313E-2</v>
      </c>
      <c r="H61" s="13">
        <f>SUMPRODUCT(H62:H65,'Parameters, general'!$B$10:$B$13)</f>
        <v>0.24176008201732432</v>
      </c>
      <c r="I61" s="13">
        <f>SUMPRODUCT(I62:I65,'Parameters, general'!$B$10:$B$13)</f>
        <v>2.4176008201732432E-2</v>
      </c>
      <c r="J61" s="13">
        <f>SUMPRODUCT(J62:J65,'Parameters, general'!$B$10:$B$13)</f>
        <v>4.883923191404272E-2</v>
      </c>
      <c r="K61" s="13">
        <f>SUMPRODUCT(K62:K65,'Parameters, general'!$B$10:$B$13)</f>
        <v>0</v>
      </c>
      <c r="L61" s="13">
        <f>SUMPRODUCT(L62:L65,'Parameters, general'!$B$10:$B$13)</f>
        <v>1.6669779230315599E-4</v>
      </c>
      <c r="M61" s="13">
        <f>SUMPRODUCT(M62:M65,'Parameters, general'!$B$10:$B$13)</f>
        <v>7.7357368826268466E-2</v>
      </c>
      <c r="N61" s="13">
        <f>SUMPRODUCT(N62:N65,'Parameters, general'!$B$10:$B$13)</f>
        <v>0</v>
      </c>
      <c r="O61" s="13">
        <f>SUMPRODUCT(O62:O65,'Parameters, general'!$B$10:$B$13)</f>
        <v>0</v>
      </c>
      <c r="P61" s="13">
        <f>SUMPRODUCT(P62:P65,'Parameters, general'!$B$10:$B$13)</f>
        <v>0</v>
      </c>
      <c r="R61" s="325"/>
    </row>
    <row r="62" spans="1:18" x14ac:dyDescent="0.35">
      <c r="A62" t="s">
        <v>526</v>
      </c>
      <c r="B62" t="s">
        <v>527</v>
      </c>
      <c r="C62" t="s">
        <v>129</v>
      </c>
      <c r="D62" t="s">
        <v>42</v>
      </c>
      <c r="E62" s="13">
        <f>SUM(F62:P62)</f>
        <v>0.33282969749060454</v>
      </c>
      <c r="F62" s="13">
        <v>0.18249392197894099</v>
      </c>
      <c r="G62" s="13">
        <v>2.7E-2</v>
      </c>
      <c r="H62" s="13">
        <v>0</v>
      </c>
      <c r="I62" s="13"/>
      <c r="J62" s="13">
        <v>4.7856451275929003E-2</v>
      </c>
      <c r="K62" s="13"/>
      <c r="L62" s="13">
        <v>1.5005630306258E-4</v>
      </c>
      <c r="M62" s="13">
        <v>7.5329267932672E-2</v>
      </c>
      <c r="N62" s="56"/>
      <c r="O62" s="13"/>
      <c r="P62" s="13"/>
    </row>
    <row r="63" spans="1:18" x14ac:dyDescent="0.35">
      <c r="A63" t="s">
        <v>526</v>
      </c>
      <c r="B63" t="s">
        <v>527</v>
      </c>
      <c r="C63" t="s">
        <v>130</v>
      </c>
      <c r="D63" t="s">
        <v>42</v>
      </c>
      <c r="E63" s="13">
        <f>SUM(F63:P63)</f>
        <v>5.0851433192470848E-4</v>
      </c>
      <c r="F63" s="58">
        <v>3.4898905873400102E-4</v>
      </c>
      <c r="G63" s="58">
        <v>9.5000000000000005E-5</v>
      </c>
      <c r="H63" s="58"/>
      <c r="I63" s="58"/>
      <c r="J63" s="58">
        <v>2.11987942098194E-5</v>
      </c>
      <c r="K63" s="58"/>
      <c r="L63" s="58">
        <v>5.0185763999999998E-7</v>
      </c>
      <c r="M63" s="58">
        <v>4.2824621340887997E-5</v>
      </c>
      <c r="N63" s="340"/>
      <c r="O63" s="340"/>
      <c r="P63" s="340"/>
    </row>
    <row r="64" spans="1:18" x14ac:dyDescent="0.35">
      <c r="A64" t="s">
        <v>526</v>
      </c>
      <c r="B64" t="s">
        <v>527</v>
      </c>
      <c r="C64" t="s">
        <v>501</v>
      </c>
      <c r="D64" t="s">
        <v>42</v>
      </c>
      <c r="E64" s="13">
        <f>SUM(F64:P64)</f>
        <v>0</v>
      </c>
      <c r="F64" s="340"/>
      <c r="G64" s="340"/>
      <c r="H64" s="340"/>
      <c r="I64" s="340"/>
      <c r="J64" s="340"/>
      <c r="K64" s="340"/>
      <c r="L64" s="340"/>
      <c r="M64" s="340"/>
      <c r="N64" s="340"/>
      <c r="O64" s="340"/>
      <c r="P64" s="340"/>
    </row>
    <row r="65" spans="1:18" x14ac:dyDescent="0.35">
      <c r="A65" t="s">
        <v>526</v>
      </c>
      <c r="B65" t="s">
        <v>527</v>
      </c>
      <c r="C65" t="s">
        <v>132</v>
      </c>
      <c r="D65" t="s">
        <v>42</v>
      </c>
      <c r="E65" s="13">
        <f>SUM(F65:P65)</f>
        <v>1.3825723019262946E-3</v>
      </c>
      <c r="F65" s="58">
        <v>4.0330101951265203E-4</v>
      </c>
      <c r="G65" s="58">
        <v>1.1000000000000001E-6</v>
      </c>
      <c r="H65" s="58">
        <v>8.8556806599752503E-4</v>
      </c>
      <c r="I65" s="58">
        <v>8.8556806599752495E-5</v>
      </c>
      <c r="J65" s="58">
        <v>1.2859215042530999E-6</v>
      </c>
      <c r="K65" s="58"/>
      <c r="L65" s="58">
        <v>6.1763061120000003E-9</v>
      </c>
      <c r="M65" s="58">
        <v>2.7543120060000002E-6</v>
      </c>
      <c r="N65" s="340"/>
      <c r="O65" s="340"/>
      <c r="P65" s="340"/>
    </row>
    <row r="66" spans="1:18" x14ac:dyDescent="0.35"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</row>
    <row r="67" spans="1:18" x14ac:dyDescent="0.35">
      <c r="A67" t="s">
        <v>526</v>
      </c>
      <c r="B67" t="s">
        <v>527</v>
      </c>
      <c r="C67" t="s">
        <v>133</v>
      </c>
      <c r="D67" t="s">
        <v>54</v>
      </c>
      <c r="E67" s="13">
        <f>SUMPRODUCT(E68:E71,'Parameters, general'!$B$10:$B$13)</f>
        <v>0.74513506580091948</v>
      </c>
      <c r="F67" s="13">
        <f>SUMPRODUCT(F68:F71,'Parameters, general'!$B$10:$B$13)</f>
        <v>0.30299497425616823</v>
      </c>
      <c r="G67" s="13">
        <f>SUMPRODUCT(G68:G71,'Parameters, general'!$B$10:$B$13)</f>
        <v>3.01313E-2</v>
      </c>
      <c r="H67" s="13">
        <f>SUMPRODUCT(H68:H71,'Parameters, general'!$B$10:$B$13)</f>
        <v>0.24176008201732432</v>
      </c>
      <c r="I67" s="13">
        <f>SUMPRODUCT(I68:I71,'Parameters, general'!$B$10:$B$13)</f>
        <v>2.4176008201732432E-2</v>
      </c>
      <c r="J67" s="13">
        <f>SUMPRODUCT(J68:J71,'Parameters, general'!$B$10:$B$13)</f>
        <v>5.7818585001554713E-2</v>
      </c>
      <c r="K67" s="13">
        <f>SUMPRODUCT(K68:K71,'Parameters, general'!$B$10:$B$13)</f>
        <v>0</v>
      </c>
      <c r="L67" s="13">
        <f>SUMPRODUCT(L68:L71,'Parameters, general'!$B$10:$B$13)</f>
        <v>8.3348896151577996E-5</v>
      </c>
      <c r="M67" s="13">
        <f>SUMPRODUCT(M68:M71,'Parameters, general'!$B$10:$B$13)</f>
        <v>8.8170767427988128E-2</v>
      </c>
      <c r="N67" s="13"/>
      <c r="O67" s="13">
        <f>SUMPRODUCT(O68:O71,'Parameters, general'!$B$10:$B$13)</f>
        <v>0</v>
      </c>
      <c r="P67" s="13">
        <f>SUMPRODUCT(P68:P71,'Parameters, general'!$B$10:$B$13)</f>
        <v>0</v>
      </c>
      <c r="R67" s="325"/>
    </row>
    <row r="68" spans="1:18" x14ac:dyDescent="0.35">
      <c r="A68" t="s">
        <v>526</v>
      </c>
      <c r="B68" t="s">
        <v>527</v>
      </c>
      <c r="C68" t="s">
        <v>129</v>
      </c>
      <c r="D68" t="s">
        <v>54</v>
      </c>
      <c r="E68" s="13">
        <f>SUM(F68:P68)</f>
        <v>0.35179228624786668</v>
      </c>
      <c r="F68" s="13">
        <v>0.18249392197894099</v>
      </c>
      <c r="G68" s="13">
        <v>2.7E-2</v>
      </c>
      <c r="H68" s="13">
        <v>0</v>
      </c>
      <c r="I68" s="13"/>
      <c r="J68" s="13">
        <v>5.6655114905164401E-2</v>
      </c>
      <c r="K68" s="13"/>
      <c r="L68" s="13">
        <v>7.5028151531289998E-5</v>
      </c>
      <c r="M68" s="13">
        <v>8.5568221212229997E-2</v>
      </c>
      <c r="N68" s="56"/>
      <c r="O68" s="13"/>
      <c r="P68" s="13"/>
    </row>
    <row r="69" spans="1:18" x14ac:dyDescent="0.35">
      <c r="A69" t="s">
        <v>526</v>
      </c>
      <c r="B69" t="s">
        <v>527</v>
      </c>
      <c r="C69" t="s">
        <v>130</v>
      </c>
      <c r="D69" t="s">
        <v>54</v>
      </c>
      <c r="E69" s="13">
        <f>SUM(F69:P69)</f>
        <v>5.3201630943650307E-4</v>
      </c>
      <c r="F69" s="13">
        <v>3.4898905873400102E-4</v>
      </c>
      <c r="G69" s="13">
        <v>9.5000000000000005E-5</v>
      </c>
      <c r="H69" s="13"/>
      <c r="I69" s="13"/>
      <c r="J69" s="13">
        <v>2.50963055092292E-5</v>
      </c>
      <c r="K69" s="13"/>
      <c r="L69" s="13">
        <v>2.5092881999999999E-7</v>
      </c>
      <c r="M69" s="13">
        <v>6.2680016373272803E-5</v>
      </c>
      <c r="N69" s="13"/>
      <c r="O69" s="13"/>
      <c r="P69" s="13"/>
    </row>
    <row r="70" spans="1:18" x14ac:dyDescent="0.35">
      <c r="A70" t="s">
        <v>526</v>
      </c>
      <c r="B70" t="s">
        <v>527</v>
      </c>
      <c r="C70" t="s">
        <v>501</v>
      </c>
      <c r="D70" t="s">
        <v>54</v>
      </c>
      <c r="E70" s="13">
        <f>SUM(F70:P70)</f>
        <v>0</v>
      </c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</row>
    <row r="71" spans="1:18" x14ac:dyDescent="0.35">
      <c r="A71" t="s">
        <v>526</v>
      </c>
      <c r="B71" t="s">
        <v>527</v>
      </c>
      <c r="C71" t="s">
        <v>132</v>
      </c>
      <c r="D71" t="s">
        <v>54</v>
      </c>
      <c r="E71" s="13">
        <f>SUM(F71:P71)</f>
        <v>1.3827424671496152E-3</v>
      </c>
      <c r="F71" s="13">
        <v>4.0330101951265203E-4</v>
      </c>
      <c r="G71" s="13">
        <v>1.1000000000000001E-6</v>
      </c>
      <c r="H71" s="340">
        <v>8.8556806599752503E-4</v>
      </c>
      <c r="I71" s="13">
        <v>8.8556806599752495E-5</v>
      </c>
      <c r="J71" s="13">
        <v>1.5223450264295999E-6</v>
      </c>
      <c r="K71" s="13"/>
      <c r="L71" s="13">
        <v>3.0881530560000001E-9</v>
      </c>
      <c r="M71" s="13">
        <v>2.6911418601999999E-6</v>
      </c>
      <c r="N71" s="13"/>
      <c r="O71" s="13"/>
      <c r="P71" s="13"/>
    </row>
    <row r="72" spans="1:18" x14ac:dyDescent="0.35"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</row>
    <row r="73" spans="1:18" x14ac:dyDescent="0.35">
      <c r="A73" t="s">
        <v>528</v>
      </c>
      <c r="B73" t="s">
        <v>525</v>
      </c>
      <c r="C73" t="s">
        <v>133</v>
      </c>
      <c r="D73" t="s">
        <v>476</v>
      </c>
      <c r="E73" s="13">
        <f>SUMPRODUCT(E74:E77,'Parameters, general'!$B$10:$B$13)</f>
        <v>0.46603913502229238</v>
      </c>
      <c r="F73" s="13">
        <f>SUMPRODUCT(F74:F77,'Parameters, general'!$B$10:$B$13)</f>
        <v>0.16994045304668326</v>
      </c>
      <c r="G73" s="13">
        <f>SUMPRODUCT(G74:G77,'Parameters, general'!$B$10:$B$13)</f>
        <v>1.454614482758621E-2</v>
      </c>
      <c r="H73" s="13">
        <f>SUMPRODUCT(H74:H77,'Parameters, general'!$B$10:$B$13)</f>
        <v>0.11671176373250142</v>
      </c>
      <c r="I73" s="13">
        <f>SUMPRODUCT(I74:I77,'Parameters, general'!$B$10:$B$13)</f>
        <v>1.1671176373250141E-2</v>
      </c>
      <c r="J73" s="13">
        <f>SUMPRODUCT(J74:J77,'Parameters, general'!$B$10:$B$13)</f>
        <v>2.5195748277697348E-2</v>
      </c>
      <c r="K73" s="13"/>
      <c r="L73" s="13">
        <f>SUMPRODUCT(L74:L77,'Parameters, general'!$B$10:$B$13)</f>
        <v>2.1459945675808594E-4</v>
      </c>
      <c r="M73" s="13">
        <f>SUMPRODUCT(M74:M77,'Parameters, general'!$B$10:$B$13)</f>
        <v>3.7803452981288115E-2</v>
      </c>
      <c r="N73" s="13"/>
      <c r="O73" s="13">
        <f>SUMPRODUCT(O74:O77,'Parameters, general'!$B$10:$B$13)</f>
        <v>2.3613703053907389E-2</v>
      </c>
      <c r="P73" s="13">
        <f>SUMPRODUCT(P74:P77,'Parameters, general'!$B$10:$B$13)</f>
        <v>6.6342093272620445E-2</v>
      </c>
      <c r="R73" s="126" t="s">
        <v>529</v>
      </c>
    </row>
    <row r="74" spans="1:18" x14ac:dyDescent="0.35">
      <c r="A74" s="327" t="s">
        <v>528</v>
      </c>
      <c r="B74" s="79" t="s">
        <v>525</v>
      </c>
      <c r="C74" s="79" t="s">
        <v>129</v>
      </c>
      <c r="D74" s="79" t="s">
        <v>476</v>
      </c>
      <c r="E74" s="78">
        <f>SUM(F74:P74)</f>
        <v>0.27085685084992933</v>
      </c>
      <c r="F74" s="78">
        <f>$C$92*(AVERAGE(F56,F62,F68))/$C$91</f>
        <v>0.11176753125767698</v>
      </c>
      <c r="G74" s="78">
        <f>$C$92*(AVERAGE(G56,G62,G68))/$C$91</f>
        <v>1.3034482758620692E-2</v>
      </c>
      <c r="H74" s="78">
        <f>$C$92*(AVERAGE(H56,H62,H68))/$C$91</f>
        <v>0</v>
      </c>
      <c r="I74" s="78"/>
      <c r="J74" s="78">
        <f>$C$92*(AVERAGE(J56,J62,J68))/$C$91</f>
        <v>2.4688740026345465E-2</v>
      </c>
      <c r="K74" s="78"/>
      <c r="L74" s="78">
        <f>$C$92*(AVERAGE(L56,L62,L68))/$C$91</f>
        <v>1.9317593037941337E-4</v>
      </c>
      <c r="M74" s="78">
        <f>$C$92*(AVERAGE(M56,M62,M68))/$C$91</f>
        <v>3.6802128767029069E-2</v>
      </c>
      <c r="N74" s="78"/>
      <c r="O74" s="78">
        <f>C92*(C95*AVERAGE(EF_el_CO2_FR,EF_el_CO2_DE,EF_el_CO2_PL)+C96*EF_biofuels_CO2)</f>
        <v>2.1170792109877701E-2</v>
      </c>
      <c r="P74" s="328">
        <f>63.2/1000</f>
        <v>6.3200000000000006E-2</v>
      </c>
      <c r="R74" t="s">
        <v>530</v>
      </c>
    </row>
    <row r="75" spans="1:18" x14ac:dyDescent="0.35">
      <c r="A75" s="196" t="s">
        <v>528</v>
      </c>
      <c r="B75" t="s">
        <v>525</v>
      </c>
      <c r="C75" t="s">
        <v>130</v>
      </c>
      <c r="D75" t="s">
        <v>476</v>
      </c>
      <c r="E75" s="13">
        <f>SUM(F75:P75)</f>
        <v>3.8246443678729514E-4</v>
      </c>
      <c r="F75" s="13">
        <f>$C$92*(AVERAGE(F57,F63,F69))/$C$91</f>
        <v>1.6847747663020744E-4</v>
      </c>
      <c r="G75" s="13">
        <f>$C$92*(AVERAGE(G57,G63,G69))/$C$91</f>
        <v>4.5862068965517246E-5</v>
      </c>
      <c r="H75" s="13"/>
      <c r="I75" s="13"/>
      <c r="J75" s="13">
        <f>$C$92*(AVERAGE(J57,J63,J69))/$C$91</f>
        <v>1.0936279334641704E-5</v>
      </c>
      <c r="K75" s="13"/>
      <c r="L75" s="13">
        <f>$C$92*(AVERAGE(L57,L63,L69))/$C$91</f>
        <v>6.4606960551724142E-7</v>
      </c>
      <c r="M75" s="13">
        <f>$C$92*(AVERAGE(M57,M63,M69))/$C$91</f>
        <v>2.1884761697575211E-5</v>
      </c>
      <c r="N75" s="13"/>
      <c r="O75" s="13">
        <f>C92*(C95*AVERAGE(EF_el_CH4_FR,EF_el_CH4_DE,EF_el_CH4_PL)+C96*EF_biofuel_CH4)</f>
        <v>4.5962128379923288E-5</v>
      </c>
      <c r="P75" s="209">
        <f>2.04/1000/23</f>
        <v>8.8695652173913049E-5</v>
      </c>
      <c r="R75" t="s">
        <v>531</v>
      </c>
    </row>
    <row r="76" spans="1:18" x14ac:dyDescent="0.35">
      <c r="A76" s="196" t="s">
        <v>528</v>
      </c>
      <c r="B76" t="s">
        <v>525</v>
      </c>
      <c r="C76" t="s">
        <v>501</v>
      </c>
      <c r="D76" t="s">
        <v>476</v>
      </c>
      <c r="E76" s="13">
        <f>SUM(F76:P76)</f>
        <v>0</v>
      </c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209"/>
    </row>
    <row r="77" spans="1:18" x14ac:dyDescent="0.35">
      <c r="A77" s="240" t="s">
        <v>528</v>
      </c>
      <c r="B77" s="241" t="s">
        <v>525</v>
      </c>
      <c r="C77" s="241" t="s">
        <v>132</v>
      </c>
      <c r="D77" s="241" t="s">
        <v>476</v>
      </c>
      <c r="E77" s="329">
        <f>SUM(F77:P77)</f>
        <v>6.7320455661575701E-4</v>
      </c>
      <c r="F77" s="329">
        <f>$C$92*(AVERAGE(F59,F65,F71))/$C$91</f>
        <v>1.9469704390265966E-4</v>
      </c>
      <c r="G77" s="329">
        <f>$C$92*(AVERAGE(G59,G65,G71))/$C$91</f>
        <v>5.3103448275862083E-7</v>
      </c>
      <c r="H77" s="341">
        <f>$C$92*(AVERAGE(H59,H65,H71))/$C$91</f>
        <v>4.2751561806777074E-4</v>
      </c>
      <c r="I77" s="330">
        <f>$C$92*(AVERAGE(I59,I65,I71))/$C$91</f>
        <v>4.2751561806777075E-5</v>
      </c>
      <c r="J77" s="329">
        <f>$C$92*(AVERAGE(J59,J65,J71))/$C$91</f>
        <v>6.6339607025480393E-7</v>
      </c>
      <c r="K77" s="329"/>
      <c r="L77" s="329">
        <f>$C$92*(AVERAGE(L59,L65,L71))/$C$91</f>
        <v>7.9511067188965528E-9</v>
      </c>
      <c r="M77" s="329">
        <f>$C$92*(AVERAGE(M59,M65,M71))/$C$91</f>
        <v>1.2789681892721842E-6</v>
      </c>
      <c r="N77" s="329"/>
      <c r="O77" s="329">
        <f>C92*(C95*AVERAGE(EF_el_N2O_FR,EF_el_N2O_DE,EF_el_N2O_PL)+C96*EF_biofuel_N2O)</f>
        <v>3.9312802868423868E-6</v>
      </c>
      <c r="P77" s="331">
        <f>0.541/1000/296</f>
        <v>1.8277027027027027E-6</v>
      </c>
      <c r="R77" t="s">
        <v>531</v>
      </c>
    </row>
    <row r="80" spans="1:18" ht="18" customHeight="1" x14ac:dyDescent="0.45">
      <c r="A80" s="9" t="s">
        <v>506</v>
      </c>
    </row>
    <row r="82" spans="1:18" x14ac:dyDescent="0.35">
      <c r="A82" s="290" t="s">
        <v>460</v>
      </c>
      <c r="B82" s="183"/>
      <c r="C82" s="183"/>
      <c r="D82" s="183"/>
      <c r="E82" s="183"/>
      <c r="F82" s="291" t="s">
        <v>4</v>
      </c>
      <c r="G82" s="291" t="s">
        <v>489</v>
      </c>
      <c r="H82" s="291" t="s">
        <v>6</v>
      </c>
      <c r="I82" s="291" t="s">
        <v>7</v>
      </c>
      <c r="J82" s="292" t="s">
        <v>8</v>
      </c>
      <c r="K82" s="292" t="s">
        <v>9</v>
      </c>
      <c r="L82" s="292" t="s">
        <v>10</v>
      </c>
      <c r="M82" s="294"/>
      <c r="N82" s="332"/>
      <c r="O82" s="332"/>
      <c r="P82" s="333"/>
    </row>
    <row r="83" spans="1:18" ht="43.5" customHeight="1" x14ac:dyDescent="0.35">
      <c r="A83" s="295" t="s">
        <v>14</v>
      </c>
      <c r="B83" s="295" t="s">
        <v>460</v>
      </c>
      <c r="C83" s="295" t="s">
        <v>462</v>
      </c>
      <c r="D83" s="295" t="s">
        <v>17</v>
      </c>
      <c r="E83" s="253" t="s">
        <v>18</v>
      </c>
      <c r="F83" s="296" t="s">
        <v>25</v>
      </c>
      <c r="G83" s="296" t="s">
        <v>490</v>
      </c>
      <c r="H83" s="296" t="s">
        <v>491</v>
      </c>
      <c r="I83" s="297" t="s">
        <v>28</v>
      </c>
      <c r="J83" s="298" t="s">
        <v>29</v>
      </c>
      <c r="K83" s="299" t="s">
        <v>30</v>
      </c>
      <c r="L83" s="299" t="s">
        <v>31</v>
      </c>
      <c r="M83" s="332"/>
    </row>
    <row r="84" spans="1:18" x14ac:dyDescent="0.35">
      <c r="A84" s="196" t="s">
        <v>528</v>
      </c>
      <c r="B84" t="s">
        <v>527</v>
      </c>
      <c r="C84" s="16" t="s">
        <v>512</v>
      </c>
      <c r="D84" t="s">
        <v>40</v>
      </c>
      <c r="E84" t="s">
        <v>41</v>
      </c>
      <c r="F84">
        <v>3.05041729708624</v>
      </c>
      <c r="G84">
        <v>4.7160731472569703E-2</v>
      </c>
      <c r="H84">
        <v>5.13314084055181E-3</v>
      </c>
      <c r="I84">
        <v>5.0398432162958003E-3</v>
      </c>
      <c r="J84">
        <v>0.66988842289432105</v>
      </c>
      <c r="K84" s="51">
        <v>3.6670410199158097E-11</v>
      </c>
      <c r="L84" s="51">
        <v>2.86711793285263E-3</v>
      </c>
      <c r="N84" t="s">
        <v>509</v>
      </c>
    </row>
    <row r="85" spans="1:18" x14ac:dyDescent="0.35">
      <c r="A85" s="196" t="s">
        <v>528</v>
      </c>
      <c r="B85" t="s">
        <v>527</v>
      </c>
      <c r="C85" s="16" t="s">
        <v>512</v>
      </c>
      <c r="D85" t="s">
        <v>42</v>
      </c>
      <c r="E85" t="s">
        <v>43</v>
      </c>
      <c r="F85">
        <v>2.9846291598268899</v>
      </c>
      <c r="G85">
        <v>4.7160731472569703E-2</v>
      </c>
      <c r="H85">
        <v>5.13314084055181E-3</v>
      </c>
      <c r="I85">
        <v>0</v>
      </c>
      <c r="J85">
        <v>0.49457909998667898</v>
      </c>
      <c r="K85" s="51">
        <v>2.7374708977573999E-11</v>
      </c>
      <c r="L85" s="51">
        <v>2.86711793285263E-3</v>
      </c>
      <c r="N85" t="s">
        <v>511</v>
      </c>
    </row>
    <row r="86" spans="1:18" x14ac:dyDescent="0.35">
      <c r="A86" s="196" t="s">
        <v>528</v>
      </c>
      <c r="B86" t="s">
        <v>527</v>
      </c>
      <c r="C86" s="16" t="s">
        <v>512</v>
      </c>
      <c r="D86" t="s">
        <v>54</v>
      </c>
      <c r="E86" t="s">
        <v>55</v>
      </c>
      <c r="F86">
        <v>3.5333691381405901</v>
      </c>
      <c r="G86">
        <v>4.7160731472569703E-2</v>
      </c>
      <c r="H86">
        <v>5.13314084055181E-3</v>
      </c>
      <c r="I86">
        <v>0</v>
      </c>
      <c r="J86">
        <v>0.66057946682741997</v>
      </c>
      <c r="K86" s="51">
        <v>1.40747179424791E-11</v>
      </c>
      <c r="L86" s="51">
        <v>2.86711793285263E-3</v>
      </c>
    </row>
    <row r="88" spans="1:18" x14ac:dyDescent="0.35">
      <c r="A88" s="342" t="s">
        <v>528</v>
      </c>
      <c r="B88" s="336" t="s">
        <v>525</v>
      </c>
      <c r="C88" s="336" t="s">
        <v>512</v>
      </c>
      <c r="D88" s="336" t="s">
        <v>476</v>
      </c>
      <c r="E88" s="336"/>
      <c r="F88" s="337">
        <f t="shared" ref="F88:L88" si="1">$C$92*AVERAGE(F84:F86)/$C$91</f>
        <v>1.5397450382845068</v>
      </c>
      <c r="G88" s="337">
        <f t="shared" si="1"/>
        <v>2.276724967641296E-2</v>
      </c>
      <c r="H88" s="338">
        <f t="shared" si="1"/>
        <v>2.4780679919905292E-3</v>
      </c>
      <c r="I88" s="338">
        <f t="shared" si="1"/>
        <v>8.1100925319702543E-4</v>
      </c>
      <c r="J88" s="337">
        <f t="shared" si="1"/>
        <v>0.29368572248181479</v>
      </c>
      <c r="K88" s="339">
        <f t="shared" si="1"/>
        <v>1.2571008272056975E-11</v>
      </c>
      <c r="L88" s="339">
        <f t="shared" si="1"/>
        <v>1.3841258986185109E-3</v>
      </c>
    </row>
    <row r="90" spans="1:18" x14ac:dyDescent="0.35">
      <c r="A90" s="14" t="s">
        <v>532</v>
      </c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</row>
    <row r="91" spans="1:18" x14ac:dyDescent="0.35">
      <c r="A91" t="s">
        <v>533</v>
      </c>
      <c r="C91">
        <v>0.57999999999999996</v>
      </c>
      <c r="R91" t="s">
        <v>521</v>
      </c>
    </row>
    <row r="92" spans="1:18" x14ac:dyDescent="0.35">
      <c r="A92" t="s">
        <v>516</v>
      </c>
      <c r="C92">
        <v>0.28000000000000003</v>
      </c>
      <c r="R92" t="s">
        <v>521</v>
      </c>
    </row>
    <row r="94" spans="1:18" x14ac:dyDescent="0.35">
      <c r="A94" t="s">
        <v>517</v>
      </c>
    </row>
    <row r="95" spans="1:18" x14ac:dyDescent="0.35">
      <c r="A95" t="s">
        <v>518</v>
      </c>
      <c r="C95" s="49">
        <f>0.918*I43</f>
        <v>0.13379104477611942</v>
      </c>
      <c r="D95" t="s">
        <v>534</v>
      </c>
      <c r="R95" t="s">
        <v>535</v>
      </c>
    </row>
    <row r="96" spans="1:18" x14ac:dyDescent="0.35">
      <c r="A96" t="s">
        <v>522</v>
      </c>
      <c r="C96" s="49">
        <f>0.918*(1-I43)</f>
        <v>0.78420895522388057</v>
      </c>
      <c r="D96" t="s">
        <v>534</v>
      </c>
    </row>
    <row r="98" spans="1:18" x14ac:dyDescent="0.35">
      <c r="A98" t="s">
        <v>536</v>
      </c>
      <c r="R98" t="s">
        <v>537</v>
      </c>
    </row>
    <row r="100" spans="1:18" x14ac:dyDescent="0.35">
      <c r="A100" s="14" t="s">
        <v>538</v>
      </c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</row>
    <row r="102" spans="1:18" x14ac:dyDescent="0.35">
      <c r="B102" t="s">
        <v>539</v>
      </c>
      <c r="C102" t="s">
        <v>521</v>
      </c>
    </row>
    <row r="103" spans="1:18" x14ac:dyDescent="0.35">
      <c r="A103" t="s">
        <v>540</v>
      </c>
      <c r="B103" s="13">
        <f>SUM(F73:M73)</f>
        <v>0.3760833386957646</v>
      </c>
      <c r="C103" s="13">
        <f>(0.511+2.7+265+117)/1000</f>
        <v>0.38521100000000003</v>
      </c>
      <c r="D103" t="s">
        <v>541</v>
      </c>
    </row>
    <row r="104" spans="1:18" x14ac:dyDescent="0.35">
      <c r="A104" t="s">
        <v>542</v>
      </c>
      <c r="B104" s="13">
        <f>O73</f>
        <v>2.3613703053907389E-2</v>
      </c>
      <c r="C104" s="13">
        <f>(0.401+0.181+0.289+8)/1000</f>
        <v>8.8710000000000004E-3</v>
      </c>
      <c r="D104" t="s">
        <v>543</v>
      </c>
    </row>
    <row r="105" spans="1:18" x14ac:dyDescent="0.35">
      <c r="A105" t="s">
        <v>544</v>
      </c>
      <c r="B105" s="13">
        <f>P73</f>
        <v>6.6342093272620445E-2</v>
      </c>
      <c r="C105" s="13">
        <f>(1.15+2.04+0.541+63.2)/1000</f>
        <v>6.6930999999999991E-2</v>
      </c>
      <c r="D105" t="s">
        <v>545</v>
      </c>
    </row>
    <row r="106" spans="1:18" x14ac:dyDescent="0.35">
      <c r="A106" s="126" t="s">
        <v>396</v>
      </c>
      <c r="B106" s="343">
        <f>SUM(B103:B105)</f>
        <v>0.46603913502229244</v>
      </c>
      <c r="C106" s="343">
        <f>SUM(C103:C105)</f>
        <v>0.46101300000000001</v>
      </c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DEEBF7"/>
  </sheetPr>
  <dimension ref="A2:F36"/>
  <sheetViews>
    <sheetView topLeftCell="A15" zoomScale="64" zoomScaleNormal="64" workbookViewId="0">
      <selection activeCell="C34" sqref="C34"/>
    </sheetView>
  </sheetViews>
  <sheetFormatPr defaultColWidth="8.6328125" defaultRowHeight="14.5" x14ac:dyDescent="0.35"/>
  <cols>
    <col min="1" max="1" width="34.453125" customWidth="1"/>
    <col min="2" max="2" width="14.54296875" customWidth="1"/>
    <col min="3" max="3" width="14.453125" customWidth="1"/>
    <col min="4" max="4" width="14.54296875" customWidth="1"/>
    <col min="5" max="5" width="14.453125" customWidth="1"/>
  </cols>
  <sheetData>
    <row r="2" spans="1:6" ht="21" customHeight="1" x14ac:dyDescent="0.5">
      <c r="A2" s="8" t="s">
        <v>546</v>
      </c>
    </row>
    <row r="4" spans="1:6" x14ac:dyDescent="0.35">
      <c r="A4" s="14" t="s">
        <v>547</v>
      </c>
      <c r="B4" s="344" t="s">
        <v>548</v>
      </c>
      <c r="C4" s="344" t="s">
        <v>549</v>
      </c>
      <c r="D4" s="344" t="s">
        <v>550</v>
      </c>
      <c r="E4" s="14"/>
      <c r="F4" s="14" t="s">
        <v>252</v>
      </c>
    </row>
    <row r="5" spans="1:6" x14ac:dyDescent="0.35">
      <c r="A5" s="104" t="s">
        <v>551</v>
      </c>
      <c r="B5" s="13">
        <v>0.290016</v>
      </c>
      <c r="C5" s="58">
        <v>1.1016E-4</v>
      </c>
      <c r="D5" s="58">
        <v>1.0269359999999999E-5</v>
      </c>
      <c r="E5" s="106"/>
      <c r="F5" s="106" t="s">
        <v>552</v>
      </c>
    </row>
    <row r="6" spans="1:6" x14ac:dyDescent="0.35">
      <c r="A6" s="104" t="s">
        <v>553</v>
      </c>
      <c r="B6" s="50">
        <f>0.062*3.6</f>
        <v>0.22320000000000001</v>
      </c>
      <c r="C6" s="51">
        <f>0.00028*3.6</f>
        <v>1.008E-3</v>
      </c>
      <c r="D6" s="51">
        <f>0.000002*3.6</f>
        <v>7.1999999999999997E-6</v>
      </c>
      <c r="F6" s="106" t="s">
        <v>552</v>
      </c>
    </row>
    <row r="7" spans="1:6" x14ac:dyDescent="0.35">
      <c r="A7" s="104" t="s">
        <v>554</v>
      </c>
      <c r="B7" s="13">
        <v>9.6299999999999997E-3</v>
      </c>
      <c r="C7" s="58">
        <v>3.6659999999999903E-5</v>
      </c>
      <c r="D7" s="58">
        <v>1.5258E-5</v>
      </c>
      <c r="E7" s="106"/>
      <c r="F7" s="106" t="s">
        <v>555</v>
      </c>
    </row>
    <row r="9" spans="1:6" x14ac:dyDescent="0.35">
      <c r="A9" s="14" t="s">
        <v>556</v>
      </c>
      <c r="B9" s="14"/>
    </row>
    <row r="10" spans="1:6" x14ac:dyDescent="0.35">
      <c r="A10" s="131" t="s">
        <v>129</v>
      </c>
      <c r="B10" s="345">
        <v>1</v>
      </c>
      <c r="C10" s="345"/>
    </row>
    <row r="11" spans="1:6" x14ac:dyDescent="0.35">
      <c r="A11" s="104" t="s">
        <v>130</v>
      </c>
      <c r="B11" s="346">
        <v>29.8</v>
      </c>
      <c r="C11" s="346"/>
    </row>
    <row r="12" spans="1:6" x14ac:dyDescent="0.35">
      <c r="A12" s="104" t="s">
        <v>131</v>
      </c>
      <c r="B12" s="346">
        <v>27</v>
      </c>
      <c r="C12" s="345"/>
    </row>
    <row r="13" spans="1:6" x14ac:dyDescent="0.35">
      <c r="A13" s="104" t="s">
        <v>132</v>
      </c>
      <c r="B13" s="57">
        <v>273</v>
      </c>
      <c r="C13" s="57"/>
    </row>
    <row r="15" spans="1:6" x14ac:dyDescent="0.35">
      <c r="A15" s="14" t="s">
        <v>12</v>
      </c>
      <c r="B15" s="14"/>
    </row>
    <row r="16" spans="1:6" x14ac:dyDescent="0.35">
      <c r="A16" s="104" t="s">
        <v>557</v>
      </c>
      <c r="B16" s="50">
        <v>0.15807556234356701</v>
      </c>
    </row>
    <row r="17" spans="1:3" x14ac:dyDescent="0.35">
      <c r="A17" s="104" t="s">
        <v>558</v>
      </c>
      <c r="B17">
        <v>1</v>
      </c>
    </row>
    <row r="19" spans="1:3" x14ac:dyDescent="0.35">
      <c r="A19" s="104" t="s">
        <v>559</v>
      </c>
      <c r="B19">
        <v>0.25</v>
      </c>
    </row>
    <row r="20" spans="1:3" x14ac:dyDescent="0.35">
      <c r="A20" s="104" t="s">
        <v>560</v>
      </c>
      <c r="B20">
        <v>1</v>
      </c>
    </row>
    <row r="21" spans="1:3" x14ac:dyDescent="0.35">
      <c r="A21" s="104" t="s">
        <v>561</v>
      </c>
      <c r="B21">
        <v>2</v>
      </c>
    </row>
    <row r="22" spans="1:3" x14ac:dyDescent="0.35">
      <c r="A22" s="104" t="s">
        <v>562</v>
      </c>
      <c r="B22">
        <v>2</v>
      </c>
    </row>
    <row r="23" spans="1:3" x14ac:dyDescent="0.35">
      <c r="A23" s="104" t="s">
        <v>563</v>
      </c>
      <c r="B23">
        <v>1</v>
      </c>
    </row>
    <row r="24" spans="1:3" x14ac:dyDescent="0.35">
      <c r="A24" s="104" t="s">
        <v>564</v>
      </c>
      <c r="B24">
        <v>1</v>
      </c>
    </row>
    <row r="26" spans="1:3" x14ac:dyDescent="0.35">
      <c r="A26" s="14" t="s">
        <v>565</v>
      </c>
      <c r="B26" s="14"/>
      <c r="C26" s="14" t="s">
        <v>252</v>
      </c>
    </row>
    <row r="27" spans="1:3" x14ac:dyDescent="0.35">
      <c r="A27" s="104" t="s">
        <v>280</v>
      </c>
      <c r="B27" s="53">
        <v>0.2692782509153</v>
      </c>
      <c r="C27" s="167" t="s">
        <v>566</v>
      </c>
    </row>
    <row r="28" spans="1:3" x14ac:dyDescent="0.35">
      <c r="A28" s="104" t="s">
        <v>281</v>
      </c>
      <c r="B28" s="53">
        <v>9.8059260756689997E-4</v>
      </c>
    </row>
    <row r="29" spans="1:3" x14ac:dyDescent="0.35">
      <c r="A29" s="104" t="s">
        <v>282</v>
      </c>
      <c r="B29" s="53">
        <v>3.4931896850000001E-5</v>
      </c>
    </row>
    <row r="31" spans="1:3" x14ac:dyDescent="0.35">
      <c r="A31" s="14" t="s">
        <v>567</v>
      </c>
      <c r="B31" s="14"/>
      <c r="C31" t="s">
        <v>568</v>
      </c>
    </row>
    <row r="32" spans="1:3" x14ac:dyDescent="0.35">
      <c r="A32" s="104" t="s">
        <v>569</v>
      </c>
      <c r="B32" s="104">
        <v>0.94978877831646402</v>
      </c>
    </row>
    <row r="33" spans="1:2" x14ac:dyDescent="0.35">
      <c r="A33" s="104" t="s">
        <v>570</v>
      </c>
      <c r="B33" s="104">
        <v>2.2142836891497299E-2</v>
      </c>
    </row>
    <row r="34" spans="1:2" x14ac:dyDescent="0.35">
      <c r="A34" s="104" t="s">
        <v>571</v>
      </c>
      <c r="B34" s="104">
        <v>2.8068384792038801E-2</v>
      </c>
    </row>
    <row r="36" spans="1:2" x14ac:dyDescent="0.35">
      <c r="A36" s="104" t="s">
        <v>572</v>
      </c>
      <c r="B36">
        <f>SUM(B32:B34)</f>
        <v>1.0000000000000002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70AD47"/>
  </sheetPr>
  <dimension ref="A2:A17"/>
  <sheetViews>
    <sheetView zoomScaleNormal="100" workbookViewId="0">
      <selection activeCell="A17" sqref="A17"/>
    </sheetView>
  </sheetViews>
  <sheetFormatPr defaultColWidth="8.6328125" defaultRowHeight="14.5" x14ac:dyDescent="0.35"/>
  <sheetData>
    <row r="2" spans="1:1" ht="21" customHeight="1" x14ac:dyDescent="0.5">
      <c r="A2" s="8" t="s">
        <v>573</v>
      </c>
    </row>
    <row r="3" spans="1:1" ht="21" customHeight="1" x14ac:dyDescent="0.5">
      <c r="A3" s="8"/>
    </row>
    <row r="4" spans="1:1" x14ac:dyDescent="0.35">
      <c r="A4" t="s">
        <v>574</v>
      </c>
    </row>
    <row r="5" spans="1:1" x14ac:dyDescent="0.35">
      <c r="A5" t="s">
        <v>575</v>
      </c>
    </row>
    <row r="6" spans="1:1" x14ac:dyDescent="0.35">
      <c r="A6" t="s">
        <v>576</v>
      </c>
    </row>
    <row r="7" spans="1:1" x14ac:dyDescent="0.35">
      <c r="A7" t="s">
        <v>577</v>
      </c>
    </row>
    <row r="8" spans="1:1" x14ac:dyDescent="0.35">
      <c r="A8" t="s">
        <v>578</v>
      </c>
    </row>
    <row r="9" spans="1:1" x14ac:dyDescent="0.35">
      <c r="A9" t="s">
        <v>579</v>
      </c>
    </row>
    <row r="10" spans="1:1" x14ac:dyDescent="0.35">
      <c r="A10" t="s">
        <v>580</v>
      </c>
    </row>
    <row r="11" spans="1:1" x14ac:dyDescent="0.35">
      <c r="A11" t="s">
        <v>581</v>
      </c>
    </row>
    <row r="12" spans="1:1" x14ac:dyDescent="0.35">
      <c r="A12" t="s">
        <v>582</v>
      </c>
    </row>
    <row r="13" spans="1:1" x14ac:dyDescent="0.35">
      <c r="A13" t="s">
        <v>583</v>
      </c>
    </row>
    <row r="14" spans="1:1" x14ac:dyDescent="0.35">
      <c r="A14" t="s">
        <v>584</v>
      </c>
    </row>
    <row r="15" spans="1:1" ht="409.5" customHeight="1" x14ac:dyDescent="0.35">
      <c r="A15" s="193" t="s">
        <v>585</v>
      </c>
    </row>
    <row r="16" spans="1:1" x14ac:dyDescent="0.35">
      <c r="A16" t="s">
        <v>586</v>
      </c>
    </row>
    <row r="17" spans="1:1" x14ac:dyDescent="0.35">
      <c r="A17" t="s">
        <v>587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C5E0B4"/>
  </sheetPr>
  <dimension ref="A3:P32"/>
  <sheetViews>
    <sheetView zoomScaleNormal="100" workbookViewId="0">
      <selection activeCell="R52" sqref="R52"/>
    </sheetView>
  </sheetViews>
  <sheetFormatPr defaultColWidth="8.6328125" defaultRowHeight="14.5" x14ac:dyDescent="0.35"/>
  <cols>
    <col min="1" max="1" width="16.453125" customWidth="1"/>
    <col min="2" max="2" width="10.453125" customWidth="1"/>
    <col min="3" max="3" width="14.54296875" customWidth="1"/>
    <col min="10" max="10" width="12.453125" customWidth="1"/>
  </cols>
  <sheetData>
    <row r="3" spans="1:15" ht="21" customHeight="1" x14ac:dyDescent="0.5">
      <c r="A3" s="8" t="s">
        <v>588</v>
      </c>
    </row>
    <row r="4" spans="1:15" x14ac:dyDescent="0.35">
      <c r="A4" s="126"/>
    </row>
    <row r="5" spans="1:15" x14ac:dyDescent="0.35">
      <c r="A5" t="s">
        <v>589</v>
      </c>
    </row>
    <row r="6" spans="1:15" x14ac:dyDescent="0.35">
      <c r="J6" t="s">
        <v>590</v>
      </c>
      <c r="M6" t="s">
        <v>591</v>
      </c>
    </row>
    <row r="7" spans="1:15" x14ac:dyDescent="0.35">
      <c r="C7" s="56"/>
    </row>
    <row r="8" spans="1:15" x14ac:dyDescent="0.35">
      <c r="B8" s="49"/>
      <c r="C8" s="56"/>
      <c r="D8" s="49"/>
      <c r="J8" t="s">
        <v>592</v>
      </c>
      <c r="K8">
        <f>0.5/0.69</f>
        <v>0.7246376811594204</v>
      </c>
      <c r="M8">
        <v>0.28000000000000003</v>
      </c>
      <c r="O8" t="s">
        <v>593</v>
      </c>
    </row>
    <row r="9" spans="1:15" x14ac:dyDescent="0.35">
      <c r="C9" s="49"/>
      <c r="J9" t="s">
        <v>594</v>
      </c>
      <c r="K9">
        <f>0.32/0.69</f>
        <v>0.46376811594202905</v>
      </c>
      <c r="M9">
        <f>0.026</f>
        <v>2.5999999999999999E-2</v>
      </c>
    </row>
    <row r="10" spans="1:15" x14ac:dyDescent="0.35">
      <c r="B10" s="49"/>
      <c r="J10" t="s">
        <v>595</v>
      </c>
      <c r="K10">
        <f>0.12/0.69</f>
        <v>0.17391304347826086</v>
      </c>
    </row>
    <row r="11" spans="1:15" x14ac:dyDescent="0.35">
      <c r="B11" s="347"/>
      <c r="C11" s="347"/>
      <c r="D11" s="347"/>
    </row>
    <row r="12" spans="1:15" x14ac:dyDescent="0.35">
      <c r="J12" t="s">
        <v>160</v>
      </c>
      <c r="K12">
        <f>SUM(K8:K10)</f>
        <v>1.3623188405797104</v>
      </c>
    </row>
    <row r="14" spans="1:15" x14ac:dyDescent="0.35">
      <c r="J14" t="s">
        <v>596</v>
      </c>
    </row>
    <row r="16" spans="1:15" x14ac:dyDescent="0.35">
      <c r="J16" t="s">
        <v>160</v>
      </c>
      <c r="K16">
        <f>1/0.69</f>
        <v>1.4492753623188408</v>
      </c>
      <c r="M16" s="22" t="s">
        <v>597</v>
      </c>
    </row>
    <row r="30" spans="10:16" x14ac:dyDescent="0.35">
      <c r="J30" t="s">
        <v>598</v>
      </c>
      <c r="N30" t="s">
        <v>539</v>
      </c>
    </row>
    <row r="32" spans="10:16" x14ac:dyDescent="0.35">
      <c r="J32" t="s">
        <v>599</v>
      </c>
      <c r="L32">
        <f>2.54/0.69</f>
        <v>3.6811594202898554</v>
      </c>
      <c r="N32">
        <v>3.85</v>
      </c>
      <c r="P32" t="s">
        <v>600</v>
      </c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22</vt:i4>
      </vt:variant>
      <vt:variant>
        <vt:lpstr>Namngivna områden</vt:lpstr>
      </vt:variant>
      <vt:variant>
        <vt:i4>426</vt:i4>
      </vt:variant>
    </vt:vector>
  </HeadingPairs>
  <TitlesOfParts>
    <vt:vector size="448" baseType="lpstr">
      <vt:lpstr>INFO</vt:lpstr>
      <vt:lpstr>Figures</vt:lpstr>
      <vt:lpstr>Footprints, per kg meat</vt:lpstr>
      <vt:lpstr>GHG det, per kg meat</vt:lpstr>
      <vt:lpstr>Footprints, per kg offal</vt:lpstr>
      <vt:lpstr>GHG det, per kg offal</vt:lpstr>
      <vt:lpstr>Footprints, per kg lard</vt:lpstr>
      <vt:lpstr>GHG det, per kg lard</vt:lpstr>
      <vt:lpstr>GHG detailed, absolute</vt:lpstr>
      <vt:lpstr>Footprints, absolute</vt:lpstr>
      <vt:lpstr>Production</vt:lpstr>
      <vt:lpstr>Parameters, country spec</vt:lpstr>
      <vt:lpstr>Mortality &amp; FCR</vt:lpstr>
      <vt:lpstr>Manure</vt:lpstr>
      <vt:lpstr>CO2 per kg feed</vt:lpstr>
      <vt:lpstr>CH4 per kg feed</vt:lpstr>
      <vt:lpstr>N2O per kg feed</vt:lpstr>
      <vt:lpstr>EFP per kg feed</vt:lpstr>
      <vt:lpstr>Off-farm feed</vt:lpstr>
      <vt:lpstr>Parameters, general</vt:lpstr>
      <vt:lpstr>References</vt:lpstr>
      <vt:lpstr>Verification</vt:lpstr>
      <vt:lpstr>Ability_to_perceive_handling</vt:lpstr>
      <vt:lpstr>AF_lard</vt:lpstr>
      <vt:lpstr>AF_meat</vt:lpstr>
      <vt:lpstr>AF_offal</vt:lpstr>
      <vt:lpstr>Boars_per_sow</vt:lpstr>
      <vt:lpstr>Bonefree_outof_CW_DE</vt:lpstr>
      <vt:lpstr>Bonefree_outof_CW_DK</vt:lpstr>
      <vt:lpstr>Bonefree_outof_CW_ES</vt:lpstr>
      <vt:lpstr>Bonefree_outof_CW_FR</vt:lpstr>
      <vt:lpstr>Bonefree_outof_CW_GR</vt:lpstr>
      <vt:lpstr>Bonefree_outof_CW_HU</vt:lpstr>
      <vt:lpstr>Bonefree_outof_CW_IE</vt:lpstr>
      <vt:lpstr>Bonefree_outof_CW_IT</vt:lpstr>
      <vt:lpstr>Bonefree_outof_CW_NL</vt:lpstr>
      <vt:lpstr>Bonefree_outof_CW_PL</vt:lpstr>
      <vt:lpstr>Bonefree_outof_CW_SE</vt:lpstr>
      <vt:lpstr>CF_GWP_CH4_fossil</vt:lpstr>
      <vt:lpstr>CF_GWP_N2O</vt:lpstr>
      <vt:lpstr>EF_biofuel_CH4</vt:lpstr>
      <vt:lpstr>EF_biofuel_N2O</vt:lpstr>
      <vt:lpstr>EF_biofuels_CO2</vt:lpstr>
      <vt:lpstr>EF_el_CH4_BR</vt:lpstr>
      <vt:lpstr>EF_el_CH4_DE</vt:lpstr>
      <vt:lpstr>EF_el_CH4_DK</vt:lpstr>
      <vt:lpstr>EF_el_CH4_ES</vt:lpstr>
      <vt:lpstr>EF_el_CH4_FR</vt:lpstr>
      <vt:lpstr>EF_el_CH4_GR</vt:lpstr>
      <vt:lpstr>EF_el_CH4_HU</vt:lpstr>
      <vt:lpstr>EF_el_CH4_IE</vt:lpstr>
      <vt:lpstr>EF_el_CH4_IT</vt:lpstr>
      <vt:lpstr>EF_el_CH4_NL</vt:lpstr>
      <vt:lpstr>EF_el_CH4_PL</vt:lpstr>
      <vt:lpstr>EF_el_CH4_SE</vt:lpstr>
      <vt:lpstr>EF_el_CO2_BR</vt:lpstr>
      <vt:lpstr>EF_el_CO2_DE</vt:lpstr>
      <vt:lpstr>EF_el_CO2_DK</vt:lpstr>
      <vt:lpstr>EF_el_CO2_ES</vt:lpstr>
      <vt:lpstr>EF_el_CO2_FR</vt:lpstr>
      <vt:lpstr>EF_el_CO2_GR</vt:lpstr>
      <vt:lpstr>EF_el_CO2_HU</vt:lpstr>
      <vt:lpstr>EF_el_CO2_IE</vt:lpstr>
      <vt:lpstr>EF_el_CO2_IT</vt:lpstr>
      <vt:lpstr>EF_el_CO2_NL</vt:lpstr>
      <vt:lpstr>EF_el_CO2_PL</vt:lpstr>
      <vt:lpstr>EF_el_CO2_SE</vt:lpstr>
      <vt:lpstr>EF_el_N2O_BR</vt:lpstr>
      <vt:lpstr>EF_el_N2O_DE</vt:lpstr>
      <vt:lpstr>EF_el_N2O_DK</vt:lpstr>
      <vt:lpstr>EF_el_N2O_ES</vt:lpstr>
      <vt:lpstr>EF_el_N2O_FR</vt:lpstr>
      <vt:lpstr>EF_el_N2O_GR</vt:lpstr>
      <vt:lpstr>EF_el_N2O_HU</vt:lpstr>
      <vt:lpstr>EF_el_N2O_IE</vt:lpstr>
      <vt:lpstr>EF_el_N2O_IT</vt:lpstr>
      <vt:lpstr>EF_el_N2O_NL</vt:lpstr>
      <vt:lpstr>EF_el_N2O_PL</vt:lpstr>
      <vt:lpstr>EF_el_N2O_SE</vt:lpstr>
      <vt:lpstr>EF_electricity</vt:lpstr>
      <vt:lpstr>EF_ent_ferm_DE</vt:lpstr>
      <vt:lpstr>EF_ent_ferm_DK</vt:lpstr>
      <vt:lpstr>EF_ent_ferm_ES</vt:lpstr>
      <vt:lpstr>EF_ent_ferm_FR</vt:lpstr>
      <vt:lpstr>EF_ent_ferm_GR</vt:lpstr>
      <vt:lpstr>EF_ent_ferm_HU</vt:lpstr>
      <vt:lpstr>EF_ent_ferm_IE</vt:lpstr>
      <vt:lpstr>EF_ent_ferm_IT</vt:lpstr>
      <vt:lpstr>EF_ent_ferm_NL</vt:lpstr>
      <vt:lpstr>EF_ent_ferm_PL</vt:lpstr>
      <vt:lpstr>EF_ent_ferm_SE</vt:lpstr>
      <vt:lpstr>EF_gas_CH4</vt:lpstr>
      <vt:lpstr>EF_gas_CO2</vt:lpstr>
      <vt:lpstr>EF_gas_N2O</vt:lpstr>
      <vt:lpstr>EF_GWP_CH4_biog</vt:lpstr>
      <vt:lpstr>EF_indirect_N2O_DE</vt:lpstr>
      <vt:lpstr>EF_indirect_N2O_DK</vt:lpstr>
      <vt:lpstr>EF_indirect_N2O_ES</vt:lpstr>
      <vt:lpstr>EF_indirect_N2O_FR</vt:lpstr>
      <vt:lpstr>EF_indirect_N2O_GR</vt:lpstr>
      <vt:lpstr>EF_indirect_N2O_HU</vt:lpstr>
      <vt:lpstr>EF_indirect_N2O_IE</vt:lpstr>
      <vt:lpstr>EF_indirect_N2O_IT</vt:lpstr>
      <vt:lpstr>EF_indirect_N2O_NL</vt:lpstr>
      <vt:lpstr>EF_indirect_N2O_PL</vt:lpstr>
      <vt:lpstr>EF_indirect_N2O_SE</vt:lpstr>
      <vt:lpstr>EF_min_fert_CH4_</vt:lpstr>
      <vt:lpstr>EF_min_fert_CH4_DE</vt:lpstr>
      <vt:lpstr>EF_min_fert_CH4_DK</vt:lpstr>
      <vt:lpstr>EF_min_fert_CH4_ES</vt:lpstr>
      <vt:lpstr>EF_min_fert_CH4_FR</vt:lpstr>
      <vt:lpstr>EF_min_fert_CH4_GR</vt:lpstr>
      <vt:lpstr>EF_min_fert_CH4_HU</vt:lpstr>
      <vt:lpstr>EF_min_fert_CH4_IE</vt:lpstr>
      <vt:lpstr>EF_min_fert_CH4_IT</vt:lpstr>
      <vt:lpstr>EF_min_fert_CH4_NL</vt:lpstr>
      <vt:lpstr>EF_min_fert_CH4_PL</vt:lpstr>
      <vt:lpstr>EF_min_fert_CH4_SE</vt:lpstr>
      <vt:lpstr>EF_min_fert_CO2_DE</vt:lpstr>
      <vt:lpstr>EF_min_fert_CO2_DK</vt:lpstr>
      <vt:lpstr>EF_min_fert_CO2_ES</vt:lpstr>
      <vt:lpstr>EF_min_fert_CO2_FR</vt:lpstr>
      <vt:lpstr>EF_min_fert_CO2_GR</vt:lpstr>
      <vt:lpstr>EF_min_fert_CO2_HU</vt:lpstr>
      <vt:lpstr>EF_min_fert_CO2_IE</vt:lpstr>
      <vt:lpstr>EF_min_fert_CO2_IT</vt:lpstr>
      <vt:lpstr>EF_min_fert_CO2_NL</vt:lpstr>
      <vt:lpstr>EF_min_fert_CO2_PL</vt:lpstr>
      <vt:lpstr>EF_min_fert_CO2_SE</vt:lpstr>
      <vt:lpstr>EF_min_fert_N2O_DE</vt:lpstr>
      <vt:lpstr>EF_min_fert_N2O_DK</vt:lpstr>
      <vt:lpstr>EF_min_fert_N2O_ES</vt:lpstr>
      <vt:lpstr>EF_min_fert_N2O_FR</vt:lpstr>
      <vt:lpstr>EF_min_fert_N2O_GR</vt:lpstr>
      <vt:lpstr>EF_min_fert_N2O_HU</vt:lpstr>
      <vt:lpstr>EF_min_fert_N2O_IE</vt:lpstr>
      <vt:lpstr>EF_min_fert_N2O_IT</vt:lpstr>
      <vt:lpstr>EF_min_fert_N2O_NL</vt:lpstr>
      <vt:lpstr>EF_min_fert_N2O_PL</vt:lpstr>
      <vt:lpstr>EF_min_fert_N2O_SE</vt:lpstr>
      <vt:lpstr>EF_N2O_diff_DE</vt:lpstr>
      <vt:lpstr>EF_N2O_diff_DK</vt:lpstr>
      <vt:lpstr>EF_N2O_diff_ES</vt:lpstr>
      <vt:lpstr>EF_N2O_diff_FR</vt:lpstr>
      <vt:lpstr>EF_N2O_diff_GR</vt:lpstr>
      <vt:lpstr>EF_N2O_diff_HU</vt:lpstr>
      <vt:lpstr>EF_N2O_diff_IE</vt:lpstr>
      <vt:lpstr>EF_N2O_diff_IT</vt:lpstr>
      <vt:lpstr>EF_N2O_diff_NL</vt:lpstr>
      <vt:lpstr>EF_N2O_diff_PL</vt:lpstr>
      <vt:lpstr>EF_N2O_diff_SE</vt:lpstr>
      <vt:lpstr>EF_oil_CH4</vt:lpstr>
      <vt:lpstr>EF_oil_CO2</vt:lpstr>
      <vt:lpstr>EF_oil_N2O</vt:lpstr>
      <vt:lpstr>Energy_slaughter_el_DE</vt:lpstr>
      <vt:lpstr>Energy_slaughter_el_DK</vt:lpstr>
      <vt:lpstr>Energy_slaughter_el_ES</vt:lpstr>
      <vt:lpstr>Energy_slaughter_el_FR</vt:lpstr>
      <vt:lpstr>Energy_slaughter_el_GR</vt:lpstr>
      <vt:lpstr>Energy_slaughter_el_HU</vt:lpstr>
      <vt:lpstr>Energy_slaughter_el_IE</vt:lpstr>
      <vt:lpstr>Energy_slaughter_el_IT</vt:lpstr>
      <vt:lpstr>Energy_slaughter_el_NL</vt:lpstr>
      <vt:lpstr>Energy_slaughter_el_PL</vt:lpstr>
      <vt:lpstr>Energy_slaughter_el_SE</vt:lpstr>
      <vt:lpstr>Energy_slaughter_heat_DE</vt:lpstr>
      <vt:lpstr>Energy_slaughter_heat_DK</vt:lpstr>
      <vt:lpstr>Energy_slaughter_heat_ES</vt:lpstr>
      <vt:lpstr>Energy_slaughter_heat_FR</vt:lpstr>
      <vt:lpstr>Energy_slaughter_heat_GR</vt:lpstr>
      <vt:lpstr>Energy_slaughter_heat_HU</vt:lpstr>
      <vt:lpstr>Energy_slaughter_heat_IE</vt:lpstr>
      <vt:lpstr>Energy_slaughter_heat_IT</vt:lpstr>
      <vt:lpstr>Energy_slaughter_heat_NL</vt:lpstr>
      <vt:lpstr>Energy_slaughter_heat_PL</vt:lpstr>
      <vt:lpstr>Energy_slaughter_heat_SE</vt:lpstr>
      <vt:lpstr>Energy_stables_DE</vt:lpstr>
      <vt:lpstr>Energy_stables_DK</vt:lpstr>
      <vt:lpstr>Energy_stables_ES</vt:lpstr>
      <vt:lpstr>Energy_stables_FR</vt:lpstr>
      <vt:lpstr>Energy_stables_GR</vt:lpstr>
      <vt:lpstr>Energy_stables_HU</vt:lpstr>
      <vt:lpstr>Energy_stables_IE</vt:lpstr>
      <vt:lpstr>Energy_stables_IT</vt:lpstr>
      <vt:lpstr>Energy_stables_NL</vt:lpstr>
      <vt:lpstr>Energy_stables_PL</vt:lpstr>
      <vt:lpstr>Energy_stables_SE</vt:lpstr>
      <vt:lpstr>Excreted_N_after_losses_DE</vt:lpstr>
      <vt:lpstr>Excreted_N_after_losses_DK</vt:lpstr>
      <vt:lpstr>Excreted_N_after_losses_ES</vt:lpstr>
      <vt:lpstr>Excreted_N_after_losses_FR</vt:lpstr>
      <vt:lpstr>Excreted_N_after_losses_GR</vt:lpstr>
      <vt:lpstr>Excreted_N_after_losses_HU</vt:lpstr>
      <vt:lpstr>Excreted_N_after_losses_IE</vt:lpstr>
      <vt:lpstr>Excreted_N_after_losses_IT</vt:lpstr>
      <vt:lpstr>Excreted_N_after_losses_NL</vt:lpstr>
      <vt:lpstr>Excreted_N_after_losses_PL</vt:lpstr>
      <vt:lpstr>Excreted_N_after_losses_SE</vt:lpstr>
      <vt:lpstr>FCR_bonefree_incl_parents_DE</vt:lpstr>
      <vt:lpstr>FCR_bonefree_incl_parents_DK</vt:lpstr>
      <vt:lpstr>FCR_bonefree_incl_parents_ES</vt:lpstr>
      <vt:lpstr>FCR_bonefree_incl_parents_FR</vt:lpstr>
      <vt:lpstr>FCR_bonefree_incl_parents_GR</vt:lpstr>
      <vt:lpstr>FCR_bonefree_incl_parents_HU</vt:lpstr>
      <vt:lpstr>FCR_bonefree_incl_parents_IE</vt:lpstr>
      <vt:lpstr>FCR_bonefree_incl_parents_IT</vt:lpstr>
      <vt:lpstr>FCR_bonefree_incl_parents_NL</vt:lpstr>
      <vt:lpstr>FCR_bonefree_incl_parents_PL</vt:lpstr>
      <vt:lpstr>FCR_bonefree_incl_parents_SE</vt:lpstr>
      <vt:lpstr>GRAT</vt:lpstr>
      <vt:lpstr>Manure_repl_factor_DE</vt:lpstr>
      <vt:lpstr>Manure_repl_factor_DK</vt:lpstr>
      <vt:lpstr>Manure_repl_factor_ES</vt:lpstr>
      <vt:lpstr>Manure_repl_factor_FR</vt:lpstr>
      <vt:lpstr>Manure_repl_factor_GR</vt:lpstr>
      <vt:lpstr>Manure_repl_factor_HU</vt:lpstr>
      <vt:lpstr>Manure_repl_factor_IE</vt:lpstr>
      <vt:lpstr>Manure_repl_factor_IT</vt:lpstr>
      <vt:lpstr>Manure_repl_factor_NL</vt:lpstr>
      <vt:lpstr>Manure_repl_factor_PL</vt:lpstr>
      <vt:lpstr>Manure_repl_factor_SE</vt:lpstr>
      <vt:lpstr>NH3_per_kg_DE</vt:lpstr>
      <vt:lpstr>NH3_per_kg_DK</vt:lpstr>
      <vt:lpstr>NH3_per_kg_ES</vt:lpstr>
      <vt:lpstr>NH3_per_kg_FR</vt:lpstr>
      <vt:lpstr>NH3_per_kg_GR</vt:lpstr>
      <vt:lpstr>NH3_per_kg_HU</vt:lpstr>
      <vt:lpstr>NH3_per_kg_IE</vt:lpstr>
      <vt:lpstr>NH3_per_kg_IT</vt:lpstr>
      <vt:lpstr>NH3_per_kg_NL</vt:lpstr>
      <vt:lpstr>NH3_per_kg_PL</vt:lpstr>
      <vt:lpstr>NH3_per_kg_SE</vt:lpstr>
      <vt:lpstr>No_boars_DE</vt:lpstr>
      <vt:lpstr>No_boars_DK</vt:lpstr>
      <vt:lpstr>No_boars_ES</vt:lpstr>
      <vt:lpstr>No_boars_FR</vt:lpstr>
      <vt:lpstr>No_boars_GR</vt:lpstr>
      <vt:lpstr>No_boars_HU</vt:lpstr>
      <vt:lpstr>No_boars_IE</vt:lpstr>
      <vt:lpstr>No_boars_IT</vt:lpstr>
      <vt:lpstr>No_boars_NL</vt:lpstr>
      <vt:lpstr>No_boars_PL</vt:lpstr>
      <vt:lpstr>No_boars_SE</vt:lpstr>
      <vt:lpstr>No_fattening_pigs_DE</vt:lpstr>
      <vt:lpstr>No_fattening_pigs_DK</vt:lpstr>
      <vt:lpstr>No_fattening_pigs_ES</vt:lpstr>
      <vt:lpstr>No_fattening_pigs_FR</vt:lpstr>
      <vt:lpstr>No_fattening_pigs_GR</vt:lpstr>
      <vt:lpstr>No_fattening_pigs_HU</vt:lpstr>
      <vt:lpstr>No_fattening_pigs_IE</vt:lpstr>
      <vt:lpstr>No_fattening_pigs_IT</vt:lpstr>
      <vt:lpstr>No_fattening_pigs_NL</vt:lpstr>
      <vt:lpstr>No_fattening_pigs_PL</vt:lpstr>
      <vt:lpstr>No_fattening_pigs_SE</vt:lpstr>
      <vt:lpstr>No_piglets_DE</vt:lpstr>
      <vt:lpstr>No_piglets_DK</vt:lpstr>
      <vt:lpstr>No_piglets_ES</vt:lpstr>
      <vt:lpstr>No_piglets_FR</vt:lpstr>
      <vt:lpstr>No_piglets_GR</vt:lpstr>
      <vt:lpstr>No_piglets_HU</vt:lpstr>
      <vt:lpstr>No_piglets_IE</vt:lpstr>
      <vt:lpstr>No_piglets_IT</vt:lpstr>
      <vt:lpstr>No_piglets_NL</vt:lpstr>
      <vt:lpstr>No_piglets_PL</vt:lpstr>
      <vt:lpstr>No_piglets_SE</vt:lpstr>
      <vt:lpstr>No_recruit_sows_DE</vt:lpstr>
      <vt:lpstr>No_recruit_sows_DK</vt:lpstr>
      <vt:lpstr>No_recruit_sows_ES</vt:lpstr>
      <vt:lpstr>No_recruit_sows_FR</vt:lpstr>
      <vt:lpstr>No_recruit_sows_GR</vt:lpstr>
      <vt:lpstr>No_recruit_sows_HU</vt:lpstr>
      <vt:lpstr>No_recruit_sows_IE</vt:lpstr>
      <vt:lpstr>No_recruit_sows_IT</vt:lpstr>
      <vt:lpstr>No_recruit_sows_NL</vt:lpstr>
      <vt:lpstr>No_recruit_sows_PL</vt:lpstr>
      <vt:lpstr>No_recruit_sows_SE</vt:lpstr>
      <vt:lpstr>No_sows_DE</vt:lpstr>
      <vt:lpstr>No_sows_DK</vt:lpstr>
      <vt:lpstr>No_sows_ES</vt:lpstr>
      <vt:lpstr>No_sows_FR</vt:lpstr>
      <vt:lpstr>No_sows_GR</vt:lpstr>
      <vt:lpstr>No_sows_HU</vt:lpstr>
      <vt:lpstr>No_sows_IE</vt:lpstr>
      <vt:lpstr>No_sows_IT</vt:lpstr>
      <vt:lpstr>No_sows_NL</vt:lpstr>
      <vt:lpstr>No_sows_PL</vt:lpstr>
      <vt:lpstr>No_sows_SE</vt:lpstr>
      <vt:lpstr>Share_biofuels_DE</vt:lpstr>
      <vt:lpstr>Share_biofuels_DK</vt:lpstr>
      <vt:lpstr>Share_biofuels_ES</vt:lpstr>
      <vt:lpstr>Share_biofuels_FR</vt:lpstr>
      <vt:lpstr>Share_biofuels_GR</vt:lpstr>
      <vt:lpstr>Share_biofuels_HU</vt:lpstr>
      <vt:lpstr>Share_biofuels_IE</vt:lpstr>
      <vt:lpstr>Share_biofuels_IT</vt:lpstr>
      <vt:lpstr>Share_biofuels_NL</vt:lpstr>
      <vt:lpstr>Share_biofuels_PL</vt:lpstr>
      <vt:lpstr>Share_biofuels_SE</vt:lpstr>
      <vt:lpstr>Share_heating_DE</vt:lpstr>
      <vt:lpstr>Share_heating_DK</vt:lpstr>
      <vt:lpstr>Share_heating_ES</vt:lpstr>
      <vt:lpstr>Share_heating_FR</vt:lpstr>
      <vt:lpstr>Share_heating_GR</vt:lpstr>
      <vt:lpstr>Share_heating_HU</vt:lpstr>
      <vt:lpstr>Share_heating_IE</vt:lpstr>
      <vt:lpstr>Share_heating_IT</vt:lpstr>
      <vt:lpstr>Share_heating_NL</vt:lpstr>
      <vt:lpstr>Share_heating_PL</vt:lpstr>
      <vt:lpstr>Share_heating_SE</vt:lpstr>
      <vt:lpstr>Slaughter_duration_class</vt:lpstr>
      <vt:lpstr>Slaughtering_age_DE</vt:lpstr>
      <vt:lpstr>Slaughtering_age_DK</vt:lpstr>
      <vt:lpstr>Slaughtering_age_ES</vt:lpstr>
      <vt:lpstr>Slaughtering_age_FR</vt:lpstr>
      <vt:lpstr>Slaughtering_age_GR</vt:lpstr>
      <vt:lpstr>Slaughtering_age_HU</vt:lpstr>
      <vt:lpstr>Slaughtering_age_IE</vt:lpstr>
      <vt:lpstr>Slaughtering_age_IT</vt:lpstr>
      <vt:lpstr>Slaughtering_age_NL</vt:lpstr>
      <vt:lpstr>Slaughtering_age_PL</vt:lpstr>
      <vt:lpstr>Slaughtering_age_SE</vt:lpstr>
      <vt:lpstr>Time_fattening_days_DE</vt:lpstr>
      <vt:lpstr>Time_fattening_days_DK</vt:lpstr>
      <vt:lpstr>Time_fattening_days_ES</vt:lpstr>
      <vt:lpstr>Time_fattening_days_FR</vt:lpstr>
      <vt:lpstr>Time_fattening_days_GR</vt:lpstr>
      <vt:lpstr>Time_fattening_days_HU</vt:lpstr>
      <vt:lpstr>Time_fattening_days_IE</vt:lpstr>
      <vt:lpstr>Time_fattening_days_IT</vt:lpstr>
      <vt:lpstr>Time_fattening_days_NL</vt:lpstr>
      <vt:lpstr>Time_fattening_days_PL</vt:lpstr>
      <vt:lpstr>Time_fattening_days_SE</vt:lpstr>
      <vt:lpstr>Time_piglet_system_DE</vt:lpstr>
      <vt:lpstr>Time_piglet_system_DK</vt:lpstr>
      <vt:lpstr>Time_piglet_system_ES</vt:lpstr>
      <vt:lpstr>Time_piglet_system_FR</vt:lpstr>
      <vt:lpstr>Time_piglet_system_GR</vt:lpstr>
      <vt:lpstr>Time_piglet_system_HU</vt:lpstr>
      <vt:lpstr>Time_piglet_system_IE</vt:lpstr>
      <vt:lpstr>Time_piglet_system_IT</vt:lpstr>
      <vt:lpstr>Time_piglet_system_NL</vt:lpstr>
      <vt:lpstr>Time_piglet_system_PL</vt:lpstr>
      <vt:lpstr>Time_piglet_system_SE</vt:lpstr>
      <vt:lpstr>Water_drinking_boars_DE</vt:lpstr>
      <vt:lpstr>Water_drinking_boars_DK</vt:lpstr>
      <vt:lpstr>Water_drinking_boars_ES</vt:lpstr>
      <vt:lpstr>Water_drinking_boars_FR</vt:lpstr>
      <vt:lpstr>Water_drinking_boars_GR</vt:lpstr>
      <vt:lpstr>Water_drinking_boars_HU</vt:lpstr>
      <vt:lpstr>Water_drinking_boars_IE</vt:lpstr>
      <vt:lpstr>Water_drinking_boars_IT</vt:lpstr>
      <vt:lpstr>Water_drinking_boars_NL</vt:lpstr>
      <vt:lpstr>Water_drinking_boars_PL</vt:lpstr>
      <vt:lpstr>Water_drinking_boars_SE</vt:lpstr>
      <vt:lpstr>Water_drinking_piglets_DE</vt:lpstr>
      <vt:lpstr>Water_drinking_piglets_DK</vt:lpstr>
      <vt:lpstr>Water_drinking_piglets_ES</vt:lpstr>
      <vt:lpstr>Water_drinking_piglets_FR</vt:lpstr>
      <vt:lpstr>Water_drinking_piglets_GR</vt:lpstr>
      <vt:lpstr>Water_drinking_piglets_HU</vt:lpstr>
      <vt:lpstr>Water_drinking_piglets_IE</vt:lpstr>
      <vt:lpstr>Water_drinking_piglets_IT</vt:lpstr>
      <vt:lpstr>Water_drinking_piglets_NL</vt:lpstr>
      <vt:lpstr>Water_drinking_piglets_PL</vt:lpstr>
      <vt:lpstr>Water_drinking_piglets_SE</vt:lpstr>
      <vt:lpstr>Water_drinking_recfat_DE</vt:lpstr>
      <vt:lpstr>Water_drinking_recfat_DK</vt:lpstr>
      <vt:lpstr>Water_drinking_recfat_ES</vt:lpstr>
      <vt:lpstr>Water_drinking_recfat_FR</vt:lpstr>
      <vt:lpstr>Water_drinking_recfat_GR</vt:lpstr>
      <vt:lpstr>Water_drinking_recfat_HU</vt:lpstr>
      <vt:lpstr>Water_drinking_recfat_IE</vt:lpstr>
      <vt:lpstr>Water_drinking_recfat_IT</vt:lpstr>
      <vt:lpstr>Water_drinking_recfat_NL</vt:lpstr>
      <vt:lpstr>Water_drinking_recfat_PL</vt:lpstr>
      <vt:lpstr>Water_drinking_recfat_SE</vt:lpstr>
      <vt:lpstr>Water_drinking_sows_DE</vt:lpstr>
      <vt:lpstr>Water_drinking_sows_DK</vt:lpstr>
      <vt:lpstr>Water_drinking_sows_ES</vt:lpstr>
      <vt:lpstr>Water_drinking_sows_FR</vt:lpstr>
      <vt:lpstr>Water_drinking_sows_GR</vt:lpstr>
      <vt:lpstr>Water_drinking_sows_HU</vt:lpstr>
      <vt:lpstr>Water_drinking_sows_IE</vt:lpstr>
      <vt:lpstr>Water_drinking_sows_IT</vt:lpstr>
      <vt:lpstr>Water_drinking_sows_NL</vt:lpstr>
      <vt:lpstr>Water_drinking_sows_PL</vt:lpstr>
      <vt:lpstr>Water_drinking_sows_SE</vt:lpstr>
      <vt:lpstr>Water_service_boars_DE</vt:lpstr>
      <vt:lpstr>Water_service_boars_DK</vt:lpstr>
      <vt:lpstr>Water_service_boars_ES</vt:lpstr>
      <vt:lpstr>Water_service_boars_FR</vt:lpstr>
      <vt:lpstr>Water_service_boars_GR</vt:lpstr>
      <vt:lpstr>Water_service_boars_HU</vt:lpstr>
      <vt:lpstr>Water_service_boars_IE</vt:lpstr>
      <vt:lpstr>Water_service_boars_IT</vt:lpstr>
      <vt:lpstr>Water_service_boars_NL</vt:lpstr>
      <vt:lpstr>Water_service_boars_PL</vt:lpstr>
      <vt:lpstr>Water_service_boars_SE</vt:lpstr>
      <vt:lpstr>Water_service_piglets_DE</vt:lpstr>
      <vt:lpstr>Water_service_piglets_DK</vt:lpstr>
      <vt:lpstr>Water_service_piglets_ES</vt:lpstr>
      <vt:lpstr>Water_service_piglets_FR</vt:lpstr>
      <vt:lpstr>Water_service_piglets_GR</vt:lpstr>
      <vt:lpstr>Water_service_piglets_HU</vt:lpstr>
      <vt:lpstr>Water_service_piglets_IE</vt:lpstr>
      <vt:lpstr>Water_service_piglets_IT</vt:lpstr>
      <vt:lpstr>Water_service_piglets_NL</vt:lpstr>
      <vt:lpstr>Water_service_piglets_PL</vt:lpstr>
      <vt:lpstr>Water_service_piglets_SE</vt:lpstr>
      <vt:lpstr>Water_service_recfat_DE</vt:lpstr>
      <vt:lpstr>Water_service_recfat_DK</vt:lpstr>
      <vt:lpstr>Water_service_recfat_ES</vt:lpstr>
      <vt:lpstr>Water_service_recfat_FR</vt:lpstr>
      <vt:lpstr>Water_service_recfat_GR</vt:lpstr>
      <vt:lpstr>Water_service_recfat_HU</vt:lpstr>
      <vt:lpstr>Water_service_recfat_IE</vt:lpstr>
      <vt:lpstr>Water_service_recfat_IT</vt:lpstr>
      <vt:lpstr>Water_service_recfat_NL</vt:lpstr>
      <vt:lpstr>Water_service_recfat_PL</vt:lpstr>
      <vt:lpstr>Water_service_recfat_SE</vt:lpstr>
      <vt:lpstr>Water_service_sows_DE</vt:lpstr>
      <vt:lpstr>Water_service_sows_DK</vt:lpstr>
      <vt:lpstr>Water_service_sows_ES</vt:lpstr>
      <vt:lpstr>Water_service_sows_FR</vt:lpstr>
      <vt:lpstr>Water_service_sows_GR</vt:lpstr>
      <vt:lpstr>Water_service_sows_HU</vt:lpstr>
      <vt:lpstr>Water_service_sows_IE</vt:lpstr>
      <vt:lpstr>Water_service_sows_IT</vt:lpstr>
      <vt:lpstr>Water_service_sows_NL</vt:lpstr>
      <vt:lpstr>Water_service_sows_PL</vt:lpstr>
      <vt:lpstr>Water_service_sows_SE</vt:lpstr>
      <vt:lpstr>Water_stables_DE</vt:lpstr>
      <vt:lpstr>Water_stables_DK</vt:lpstr>
      <vt:lpstr>Water_stables_ES</vt:lpstr>
      <vt:lpstr>Water_stables_FR</vt:lpstr>
      <vt:lpstr>Water_stables_GR</vt:lpstr>
      <vt:lpstr>Water_stables_HU</vt:lpstr>
      <vt:lpstr>Water_stables_IE</vt:lpstr>
      <vt:lpstr>Water_stables_IT</vt:lpstr>
      <vt:lpstr>Water_stables_NL</vt:lpstr>
      <vt:lpstr>Water_stables_PL</vt:lpstr>
      <vt:lpstr>Water_stables_SE</vt:lpstr>
      <vt:lpstr>Weight_ability_to_perceive_handling</vt:lpstr>
      <vt:lpstr>Weight_diseases</vt:lpstr>
      <vt:lpstr>Weight_mortality</vt:lpstr>
      <vt:lpstr>Weight_no_of_animal</vt:lpstr>
      <vt:lpstr>Weight_slaughter_duration_class</vt:lpstr>
      <vt:lpstr>Weight_space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Elin Röös</cp:lastModifiedBy>
  <dcterms:created xsi:type="dcterms:W3CDTF">2026-09-04T21:12:07Z</dcterms:created>
  <dcterms:modified xsi:type="dcterms:W3CDTF">2026-09-04T21:17:18Z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0x010100A603BB68AE5C0F4C908E70EB4D1DDDC3</vt:lpwstr>
  </property>
</Properties>
</file>