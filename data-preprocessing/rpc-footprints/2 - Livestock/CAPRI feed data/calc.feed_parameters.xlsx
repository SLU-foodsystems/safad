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2 - Livestock/CAPRI feed data/"/>
    </mc:Choice>
  </mc:AlternateContent>
  <xr:revisionPtr revIDLastSave="2" documentId="8_{D8AD7506-857C-4DFF-B4D7-C78BB22BD0A7}" xr6:coauthVersionLast="47" xr6:coauthVersionMax="47" xr10:uidLastSave="{D08657EC-C03C-4108-86DD-435C212487E1}"/>
  <bookViews>
    <workbookView xWindow="-108" yWindow="-108" windowWidth="23256" windowHeight="12576" activeTab="1" xr2:uid="{00000000-000D-0000-FFFF-FFFF00000000}"/>
  </bookViews>
  <sheets>
    <sheet name="Forage crops" sheetId="4" r:id="rId1"/>
    <sheet name="Main table" sheetId="1" r:id="rId2"/>
    <sheet name="Rapes&amp;Sun meals" sheetId="12" r:id="rId3"/>
    <sheet name="Losses" sheetId="5" r:id="rId4"/>
    <sheet name="Grass" sheetId="6" r:id="rId5"/>
    <sheet name="in.dry_matter.csv" sheetId="11" r:id="rId6"/>
    <sheet name="in.feed.csv" sheetId="2" r:id="rId7"/>
    <sheet name="in.feed_general.csv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0" l="1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AM4" i="10"/>
  <c r="AO4" i="10"/>
  <c r="AP4" i="10"/>
  <c r="AQ4" i="10"/>
  <c r="AS4" i="10"/>
  <c r="AU4" i="10"/>
  <c r="AV4" i="10"/>
  <c r="AW4" i="10"/>
  <c r="AX4" i="10"/>
  <c r="AY4" i="10"/>
  <c r="AZ4" i="10"/>
  <c r="BA4" i="10"/>
  <c r="BB4" i="10"/>
  <c r="BD4" i="10"/>
  <c r="BG4" i="10"/>
  <c r="BH4" i="10"/>
  <c r="BI4" i="10"/>
  <c r="BJ4" i="10"/>
  <c r="BL4" i="10"/>
  <c r="BM4" i="10"/>
  <c r="BO4" i="10"/>
  <c r="BQ4" i="10"/>
  <c r="BR4" i="10"/>
  <c r="C4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Y3" i="10"/>
  <c r="Z3" i="10"/>
  <c r="AA3" i="10"/>
  <c r="AB3" i="10"/>
  <c r="AC3" i="10"/>
  <c r="AD3" i="10"/>
  <c r="AE3" i="10"/>
  <c r="AF3" i="10"/>
  <c r="AG3" i="10"/>
  <c r="AH3" i="10"/>
  <c r="AI3" i="10"/>
  <c r="AJ3" i="10"/>
  <c r="AK3" i="10"/>
  <c r="AL3" i="10"/>
  <c r="AM3" i="10"/>
  <c r="AO3" i="10"/>
  <c r="AP3" i="10"/>
  <c r="AQ3" i="10"/>
  <c r="AS3" i="10"/>
  <c r="AU3" i="10"/>
  <c r="AV3" i="10"/>
  <c r="AW3" i="10"/>
  <c r="AX3" i="10"/>
  <c r="AY3" i="10"/>
  <c r="AZ3" i="10"/>
  <c r="BA3" i="10"/>
  <c r="BB3" i="10"/>
  <c r="BD3" i="10"/>
  <c r="BG3" i="10"/>
  <c r="BH3" i="10"/>
  <c r="BI3" i="10"/>
  <c r="BJ3" i="10"/>
  <c r="BL3" i="10"/>
  <c r="BM3" i="10"/>
  <c r="BO3" i="10"/>
  <c r="BQ3" i="10"/>
  <c r="BR3" i="10"/>
  <c r="C3" i="10"/>
  <c r="J2" i="10"/>
  <c r="O2" i="10"/>
  <c r="P2" i="10"/>
  <c r="Q2" i="10"/>
  <c r="R2" i="10"/>
  <c r="T2" i="10"/>
  <c r="U2" i="10"/>
  <c r="V2" i="10"/>
  <c r="W2" i="10"/>
  <c r="Y2" i="10"/>
  <c r="Z2" i="10"/>
  <c r="AA2" i="10"/>
  <c r="AB2" i="10"/>
  <c r="AC2" i="10"/>
  <c r="AD2" i="10"/>
  <c r="AE2" i="10"/>
  <c r="AF2" i="10"/>
  <c r="AG2" i="10"/>
  <c r="AH2" i="10"/>
  <c r="AI2" i="10"/>
  <c r="AJ2" i="10"/>
  <c r="AK2" i="10"/>
  <c r="AL2" i="10"/>
  <c r="AM2" i="10"/>
  <c r="AO2" i="10"/>
  <c r="AP2" i="10"/>
  <c r="AQ2" i="10"/>
  <c r="AR2" i="10"/>
  <c r="AS2" i="10"/>
  <c r="AU2" i="10"/>
  <c r="AY2" i="10"/>
  <c r="AZ2" i="10"/>
  <c r="BA2" i="10"/>
  <c r="BB2" i="10"/>
  <c r="BD2" i="10"/>
  <c r="BG2" i="10"/>
  <c r="BH2" i="10"/>
  <c r="BI2" i="10"/>
  <c r="BJ2" i="10"/>
  <c r="BL2" i="10"/>
  <c r="BM2" i="10"/>
  <c r="BQ2" i="10"/>
  <c r="BR2" i="10"/>
  <c r="L14" i="6" l="1"/>
  <c r="D11" i="6"/>
  <c r="AS36" i="1"/>
  <c r="AS35" i="1"/>
  <c r="AS30" i="1"/>
  <c r="AS29" i="1"/>
  <c r="AS25" i="1"/>
  <c r="BJ30" i="2"/>
  <c r="BI30" i="2"/>
  <c r="BH30" i="2"/>
  <c r="BB30" i="2"/>
  <c r="BA30" i="2"/>
  <c r="AZ30" i="2"/>
  <c r="AR30" i="2"/>
  <c r="AQ30" i="2"/>
  <c r="AK30" i="2"/>
  <c r="AJ30" i="2"/>
  <c r="AI30" i="2"/>
  <c r="AH30" i="2"/>
  <c r="AG30" i="2"/>
  <c r="X30" i="2"/>
  <c r="S30" i="2"/>
  <c r="K30" i="2"/>
  <c r="BJ29" i="2"/>
  <c r="BI29" i="2"/>
  <c r="BH29" i="2"/>
  <c r="BB29" i="2"/>
  <c r="BA29" i="2"/>
  <c r="AZ29" i="2"/>
  <c r="AR29" i="2"/>
  <c r="AQ29" i="2"/>
  <c r="AK29" i="2"/>
  <c r="AJ29" i="2"/>
  <c r="AI29" i="2"/>
  <c r="AH29" i="2"/>
  <c r="AG29" i="2"/>
  <c r="X29" i="2"/>
  <c r="S29" i="2"/>
  <c r="K29" i="2"/>
  <c r="BJ28" i="2"/>
  <c r="BI28" i="2"/>
  <c r="BH28" i="2"/>
  <c r="BB28" i="2"/>
  <c r="BA28" i="2"/>
  <c r="AZ28" i="2"/>
  <c r="AR28" i="2"/>
  <c r="AQ28" i="2"/>
  <c r="AK28" i="2"/>
  <c r="AJ28" i="2"/>
  <c r="AI28" i="2"/>
  <c r="AH28" i="2"/>
  <c r="AG28" i="2"/>
  <c r="X28" i="2"/>
  <c r="S28" i="2"/>
  <c r="K28" i="2"/>
  <c r="BJ27" i="2"/>
  <c r="BI27" i="2"/>
  <c r="BH27" i="2"/>
  <c r="BB27" i="2"/>
  <c r="BA27" i="2"/>
  <c r="AZ27" i="2"/>
  <c r="AR27" i="2"/>
  <c r="AQ27" i="2"/>
  <c r="AK27" i="2"/>
  <c r="AJ27" i="2"/>
  <c r="AI27" i="2"/>
  <c r="AH27" i="2"/>
  <c r="AG27" i="2"/>
  <c r="X27" i="2"/>
  <c r="S27" i="2"/>
  <c r="K27" i="2"/>
  <c r="BN26" i="2"/>
  <c r="BJ26" i="2"/>
  <c r="BI26" i="2"/>
  <c r="BH26" i="2"/>
  <c r="BF26" i="2"/>
  <c r="BB26" i="2"/>
  <c r="BA26" i="2"/>
  <c r="AZ26" i="2"/>
  <c r="AX26" i="2"/>
  <c r="AR26" i="2"/>
  <c r="AQ26" i="2"/>
  <c r="AK26" i="2"/>
  <c r="AJ26" i="2"/>
  <c r="AI26" i="2"/>
  <c r="AH26" i="2"/>
  <c r="AG26" i="2"/>
  <c r="X26" i="2"/>
  <c r="S26" i="2"/>
  <c r="K26" i="2"/>
  <c r="BJ25" i="2"/>
  <c r="BI25" i="2"/>
  <c r="BH25" i="2"/>
  <c r="BB25" i="2"/>
  <c r="BA25" i="2"/>
  <c r="AZ25" i="2"/>
  <c r="AR25" i="2"/>
  <c r="AQ25" i="2"/>
  <c r="AK25" i="2"/>
  <c r="AJ25" i="2"/>
  <c r="AI25" i="2"/>
  <c r="AH25" i="2"/>
  <c r="AG25" i="2"/>
  <c r="X25" i="2"/>
  <c r="S25" i="2"/>
  <c r="K25" i="2"/>
  <c r="BJ24" i="2"/>
  <c r="BI24" i="2"/>
  <c r="BH24" i="2"/>
  <c r="BB24" i="2"/>
  <c r="BA24" i="2"/>
  <c r="AZ24" i="2"/>
  <c r="AR24" i="2"/>
  <c r="AQ24" i="2"/>
  <c r="AK24" i="2"/>
  <c r="AJ24" i="2"/>
  <c r="AI24" i="2"/>
  <c r="AH24" i="2"/>
  <c r="AG24" i="2"/>
  <c r="X24" i="2"/>
  <c r="S24" i="2"/>
  <c r="K24" i="2"/>
  <c r="BJ23" i="2"/>
  <c r="BI23" i="2"/>
  <c r="BH23" i="2"/>
  <c r="BB23" i="2"/>
  <c r="BA23" i="2"/>
  <c r="AZ23" i="2"/>
  <c r="AR23" i="2"/>
  <c r="AQ23" i="2"/>
  <c r="AK23" i="2"/>
  <c r="AJ23" i="2"/>
  <c r="AI23" i="2"/>
  <c r="AH23" i="2"/>
  <c r="AG23" i="2"/>
  <c r="X23" i="2"/>
  <c r="S23" i="2"/>
  <c r="K23" i="2"/>
  <c r="BJ22" i="2"/>
  <c r="BI22" i="2"/>
  <c r="BH22" i="2"/>
  <c r="BB22" i="2"/>
  <c r="BA22" i="2"/>
  <c r="AZ22" i="2"/>
  <c r="AR22" i="2"/>
  <c r="AQ22" i="2"/>
  <c r="AK22" i="2"/>
  <c r="AJ22" i="2"/>
  <c r="AI22" i="2"/>
  <c r="AH22" i="2"/>
  <c r="AG22" i="2"/>
  <c r="X22" i="2"/>
  <c r="S22" i="2"/>
  <c r="K22" i="2"/>
  <c r="BJ21" i="2"/>
  <c r="BI21" i="2"/>
  <c r="BH21" i="2"/>
  <c r="BB21" i="2"/>
  <c r="BA21" i="2"/>
  <c r="AZ21" i="2"/>
  <c r="AR21" i="2"/>
  <c r="AQ21" i="2"/>
  <c r="AK21" i="2"/>
  <c r="AJ21" i="2"/>
  <c r="AI21" i="2"/>
  <c r="AH21" i="2"/>
  <c r="AG21" i="2"/>
  <c r="X21" i="2"/>
  <c r="S21" i="2"/>
  <c r="K21" i="2"/>
  <c r="BJ20" i="2"/>
  <c r="BI20" i="2"/>
  <c r="BH20" i="2"/>
  <c r="BB20" i="2"/>
  <c r="BA20" i="2"/>
  <c r="AZ20" i="2"/>
  <c r="AR20" i="2"/>
  <c r="AQ20" i="2"/>
  <c r="AK20" i="2"/>
  <c r="AJ20" i="2"/>
  <c r="AI20" i="2"/>
  <c r="AH20" i="2"/>
  <c r="AG20" i="2"/>
  <c r="X20" i="2"/>
  <c r="S20" i="2"/>
  <c r="K20" i="2"/>
  <c r="BJ19" i="2"/>
  <c r="BI19" i="2"/>
  <c r="BH19" i="2"/>
  <c r="BB19" i="2"/>
  <c r="BA19" i="2"/>
  <c r="AZ19" i="2"/>
  <c r="AR19" i="2"/>
  <c r="AQ19" i="2"/>
  <c r="AK19" i="2"/>
  <c r="AJ19" i="2"/>
  <c r="AI19" i="2"/>
  <c r="AH19" i="2"/>
  <c r="AG19" i="2"/>
  <c r="X19" i="2"/>
  <c r="S19" i="2"/>
  <c r="K19" i="2"/>
  <c r="BJ18" i="2"/>
  <c r="BI18" i="2"/>
  <c r="BH18" i="2"/>
  <c r="BB18" i="2"/>
  <c r="BA18" i="2"/>
  <c r="AZ18" i="2"/>
  <c r="AR18" i="2"/>
  <c r="AQ18" i="2"/>
  <c r="AK18" i="2"/>
  <c r="AJ18" i="2"/>
  <c r="AI18" i="2"/>
  <c r="AH18" i="2"/>
  <c r="AG18" i="2"/>
  <c r="X18" i="2"/>
  <c r="S18" i="2"/>
  <c r="K18" i="2"/>
  <c r="BJ17" i="2"/>
  <c r="BI17" i="2"/>
  <c r="BH17" i="2"/>
  <c r="BB17" i="2"/>
  <c r="BA17" i="2"/>
  <c r="AZ17" i="2"/>
  <c r="AR17" i="2"/>
  <c r="AQ17" i="2"/>
  <c r="AK17" i="2"/>
  <c r="AJ17" i="2"/>
  <c r="AI17" i="2"/>
  <c r="AH17" i="2"/>
  <c r="AG17" i="2"/>
  <c r="X17" i="2"/>
  <c r="S17" i="2"/>
  <c r="K17" i="2"/>
  <c r="BS16" i="2"/>
  <c r="BJ16" i="2"/>
  <c r="BI16" i="2"/>
  <c r="BH16" i="2"/>
  <c r="BB16" i="2"/>
  <c r="BA16" i="2"/>
  <c r="AZ16" i="2"/>
  <c r="AU16" i="2"/>
  <c r="AR16" i="2"/>
  <c r="AQ16" i="2"/>
  <c r="AK16" i="2"/>
  <c r="AJ16" i="2"/>
  <c r="AI16" i="2"/>
  <c r="AH16" i="2"/>
  <c r="AG16" i="2"/>
  <c r="X16" i="2"/>
  <c r="W16" i="2"/>
  <c r="S16" i="2"/>
  <c r="K16" i="2"/>
  <c r="BJ15" i="2"/>
  <c r="BI15" i="2"/>
  <c r="BH15" i="2"/>
  <c r="BB15" i="2"/>
  <c r="BA15" i="2"/>
  <c r="AZ15" i="2"/>
  <c r="AR15" i="2"/>
  <c r="AQ15" i="2"/>
  <c r="AK15" i="2"/>
  <c r="AJ15" i="2"/>
  <c r="AI15" i="2"/>
  <c r="AH15" i="2"/>
  <c r="AG15" i="2"/>
  <c r="X15" i="2"/>
  <c r="S15" i="2"/>
  <c r="K15" i="2"/>
  <c r="BJ14" i="2"/>
  <c r="BI14" i="2"/>
  <c r="BH14" i="2"/>
  <c r="BE14" i="2"/>
  <c r="BB14" i="2"/>
  <c r="BA14" i="2"/>
  <c r="AZ14" i="2"/>
  <c r="AR14" i="2"/>
  <c r="AQ14" i="2"/>
  <c r="AK14" i="2"/>
  <c r="AJ14" i="2"/>
  <c r="AI14" i="2"/>
  <c r="AH14" i="2"/>
  <c r="AG14" i="2"/>
  <c r="X14" i="2"/>
  <c r="S14" i="2"/>
  <c r="K14" i="2"/>
  <c r="BS13" i="2"/>
  <c r="BJ13" i="2"/>
  <c r="BI13" i="2"/>
  <c r="BH13" i="2"/>
  <c r="BB13" i="2"/>
  <c r="BA13" i="2"/>
  <c r="AZ13" i="2"/>
  <c r="AR13" i="2"/>
  <c r="AQ13" i="2"/>
  <c r="AK13" i="2"/>
  <c r="AJ13" i="2"/>
  <c r="AI13" i="2"/>
  <c r="AH13" i="2"/>
  <c r="AG13" i="2"/>
  <c r="X13" i="2"/>
  <c r="S13" i="2"/>
  <c r="K13" i="2"/>
  <c r="BJ12" i="2"/>
  <c r="BI12" i="2"/>
  <c r="BH12" i="2"/>
  <c r="BB12" i="2"/>
  <c r="BA12" i="2"/>
  <c r="AZ12" i="2"/>
  <c r="AR12" i="2"/>
  <c r="AQ12" i="2"/>
  <c r="AK12" i="2"/>
  <c r="AJ12" i="2"/>
  <c r="AI12" i="2"/>
  <c r="AH12" i="2"/>
  <c r="AG12" i="2"/>
  <c r="X12" i="2"/>
  <c r="S12" i="2"/>
  <c r="K12" i="2"/>
  <c r="BO11" i="2"/>
  <c r="BJ11" i="2"/>
  <c r="BI11" i="2"/>
  <c r="BH11" i="2"/>
  <c r="BC11" i="2"/>
  <c r="BB11" i="2"/>
  <c r="BA11" i="2"/>
  <c r="AZ11" i="2"/>
  <c r="AY11" i="2"/>
  <c r="AR11" i="2"/>
  <c r="AQ11" i="2"/>
  <c r="AK11" i="2"/>
  <c r="AJ11" i="2"/>
  <c r="AI11" i="2"/>
  <c r="AH11" i="2"/>
  <c r="AG11" i="2"/>
  <c r="X11" i="2"/>
  <c r="W11" i="2"/>
  <c r="S11" i="2"/>
  <c r="K11" i="2"/>
  <c r="BT43" i="1"/>
  <c r="BU11" i="2" s="1"/>
  <c r="BS43" i="1"/>
  <c r="BT11" i="2" s="1"/>
  <c r="BR43" i="1"/>
  <c r="BS11" i="2" s="1"/>
  <c r="BQ43" i="1"/>
  <c r="BP43" i="1"/>
  <c r="BO43" i="1"/>
  <c r="BP11" i="2" s="1"/>
  <c r="BN43" i="1"/>
  <c r="BK43" i="1"/>
  <c r="BJ43" i="1"/>
  <c r="BK18" i="2" s="1"/>
  <c r="BF43" i="1"/>
  <c r="BG16" i="2" s="1"/>
  <c r="BE43" i="1"/>
  <c r="BD43" i="1"/>
  <c r="BC43" i="1"/>
  <c r="BD11" i="2" s="1"/>
  <c r="BB43" i="1"/>
  <c r="BC14" i="2" s="1"/>
  <c r="AX43" i="1"/>
  <c r="AY16" i="2" s="1"/>
  <c r="AW43" i="1"/>
  <c r="AV43" i="1"/>
  <c r="AU43" i="1"/>
  <c r="AV13" i="2" s="1"/>
  <c r="AT43" i="1"/>
  <c r="AU26" i="2" s="1"/>
  <c r="AS43" i="1"/>
  <c r="AR43" i="1"/>
  <c r="AO43" i="1"/>
  <c r="AP14" i="2" s="1"/>
  <c r="AN43" i="1"/>
  <c r="AM43" i="1"/>
  <c r="AL43" i="1"/>
  <c r="AK43" i="1"/>
  <c r="AL14" i="2" s="1"/>
  <c r="AE43" i="1"/>
  <c r="AF13" i="2" s="1"/>
  <c r="AD43" i="1"/>
  <c r="AE11" i="2" s="1"/>
  <c r="AC43" i="1"/>
  <c r="AB43" i="1"/>
  <c r="AC17" i="2" s="1"/>
  <c r="AA43" i="1"/>
  <c r="AB15" i="2" s="1"/>
  <c r="Z43" i="1"/>
  <c r="AA11" i="2" s="1"/>
  <c r="Y43" i="1"/>
  <c r="Z14" i="2" s="1"/>
  <c r="X43" i="1"/>
  <c r="Y11" i="2" s="1"/>
  <c r="V43" i="1"/>
  <c r="W13" i="2" s="1"/>
  <c r="U43" i="1"/>
  <c r="T43" i="1"/>
  <c r="U19" i="2" s="1"/>
  <c r="S43" i="1"/>
  <c r="T11" i="2" s="1"/>
  <c r="Q43" i="1"/>
  <c r="R14" i="2" s="1"/>
  <c r="P43" i="1"/>
  <c r="Q12" i="2" s="1"/>
  <c r="O43" i="1"/>
  <c r="N43" i="1"/>
  <c r="O16" i="2" s="1"/>
  <c r="M43" i="1"/>
  <c r="L43" i="1"/>
  <c r="K43" i="1"/>
  <c r="L11" i="2" s="1"/>
  <c r="D43" i="1"/>
  <c r="E11" i="2" s="1"/>
  <c r="E43" i="1"/>
  <c r="F43" i="1"/>
  <c r="G26" i="2" s="1"/>
  <c r="G43" i="1"/>
  <c r="H11" i="2" s="1"/>
  <c r="H43" i="1"/>
  <c r="I11" i="2" s="1"/>
  <c r="I43" i="1"/>
  <c r="C43" i="1"/>
  <c r="BL43" i="1"/>
  <c r="BM13" i="2" s="1"/>
  <c r="BM43" i="1"/>
  <c r="BN14" i="2" s="1"/>
  <c r="G11" i="2" l="1"/>
  <c r="AA13" i="2"/>
  <c r="AE13" i="2"/>
  <c r="BC23" i="2"/>
  <c r="Q14" i="2"/>
  <c r="Q19" i="2"/>
  <c r="G21" i="2"/>
  <c r="BG11" i="2"/>
  <c r="BC13" i="2"/>
  <c r="G16" i="2"/>
  <c r="AC14" i="2"/>
  <c r="BC18" i="2"/>
  <c r="AU21" i="2"/>
  <c r="AU11" i="2"/>
  <c r="AC12" i="2"/>
  <c r="O11" i="2"/>
  <c r="P30" i="2"/>
  <c r="P28" i="2"/>
  <c r="P26" i="2"/>
  <c r="P25" i="2"/>
  <c r="P24" i="2"/>
  <c r="P22" i="2"/>
  <c r="P20" i="2"/>
  <c r="P27" i="2"/>
  <c r="P29" i="2"/>
  <c r="P23" i="2"/>
  <c r="P21" i="2"/>
  <c r="P19" i="2"/>
  <c r="P17" i="2"/>
  <c r="P18" i="2"/>
  <c r="P16" i="2"/>
  <c r="AD29" i="2"/>
  <c r="AD27" i="2"/>
  <c r="AD25" i="2"/>
  <c r="AD30" i="2"/>
  <c r="AD23" i="2"/>
  <c r="AD21" i="2"/>
  <c r="AD26" i="2"/>
  <c r="AD24" i="2"/>
  <c r="AD22" i="2"/>
  <c r="AD20" i="2"/>
  <c r="AD18" i="2"/>
  <c r="AD16" i="2"/>
  <c r="AD28" i="2"/>
  <c r="AD19" i="2"/>
  <c r="AD17" i="2"/>
  <c r="AD15" i="2"/>
  <c r="AW26" i="2"/>
  <c r="AW21" i="2"/>
  <c r="AW16" i="2"/>
  <c r="BQ26" i="2"/>
  <c r="BQ21" i="2"/>
  <c r="BQ16" i="2"/>
  <c r="AM11" i="2"/>
  <c r="U12" i="2"/>
  <c r="BM12" i="2"/>
  <c r="BM14" i="2"/>
  <c r="BM17" i="2"/>
  <c r="AM18" i="2"/>
  <c r="U20" i="2"/>
  <c r="D26" i="2"/>
  <c r="D21" i="2"/>
  <c r="D16" i="2"/>
  <c r="M26" i="2"/>
  <c r="M21" i="2"/>
  <c r="M16" i="2"/>
  <c r="Q30" i="2"/>
  <c r="Q28" i="2"/>
  <c r="Q26" i="2"/>
  <c r="Q29" i="2"/>
  <c r="Q27" i="2"/>
  <c r="Q25" i="2"/>
  <c r="Q23" i="2"/>
  <c r="Q21" i="2"/>
  <c r="Q20" i="2"/>
  <c r="Q18" i="2"/>
  <c r="Q16" i="2"/>
  <c r="Q22" i="2"/>
  <c r="V29" i="2"/>
  <c r="V27" i="2"/>
  <c r="V25" i="2"/>
  <c r="V23" i="2"/>
  <c r="V21" i="2"/>
  <c r="V26" i="2"/>
  <c r="V28" i="2"/>
  <c r="V24" i="2"/>
  <c r="V22" i="2"/>
  <c r="V20" i="2"/>
  <c r="V18" i="2"/>
  <c r="V16" i="2"/>
  <c r="V30" i="2"/>
  <c r="V19" i="2"/>
  <c r="V17" i="2"/>
  <c r="V15" i="2"/>
  <c r="AA27" i="2"/>
  <c r="AA25" i="2"/>
  <c r="AA30" i="2"/>
  <c r="AA28" i="2"/>
  <c r="AA26" i="2"/>
  <c r="AA22" i="2"/>
  <c r="AA20" i="2"/>
  <c r="AA21" i="2"/>
  <c r="AA17" i="2"/>
  <c r="AA15" i="2"/>
  <c r="AA23" i="2"/>
  <c r="AE29" i="2"/>
  <c r="AE27" i="2"/>
  <c r="AE25" i="2"/>
  <c r="AE30" i="2"/>
  <c r="AE28" i="2"/>
  <c r="AE26" i="2"/>
  <c r="AE24" i="2"/>
  <c r="AE22" i="2"/>
  <c r="AE20" i="2"/>
  <c r="AE21" i="2"/>
  <c r="AE23" i="2"/>
  <c r="AE19" i="2"/>
  <c r="AE17" i="2"/>
  <c r="AE15" i="2"/>
  <c r="AN30" i="2"/>
  <c r="AN28" i="2"/>
  <c r="AN26" i="2"/>
  <c r="AN22" i="2"/>
  <c r="AN20" i="2"/>
  <c r="AN25" i="2"/>
  <c r="AN27" i="2"/>
  <c r="AN23" i="2"/>
  <c r="AN21" i="2"/>
  <c r="AN17" i="2"/>
  <c r="AN15" i="2"/>
  <c r="AN18" i="2"/>
  <c r="AN16" i="2"/>
  <c r="AT29" i="2"/>
  <c r="AT27" i="2"/>
  <c r="AT25" i="2"/>
  <c r="AT26" i="2"/>
  <c r="AT23" i="2"/>
  <c r="AT21" i="2"/>
  <c r="AT28" i="2"/>
  <c r="AT30" i="2"/>
  <c r="AT24" i="2"/>
  <c r="AT22" i="2"/>
  <c r="AT20" i="2"/>
  <c r="AT18" i="2"/>
  <c r="AT16" i="2"/>
  <c r="AT19" i="2"/>
  <c r="AT17" i="2"/>
  <c r="AT15" i="2"/>
  <c r="AX21" i="2"/>
  <c r="AX16" i="2"/>
  <c r="BE30" i="2"/>
  <c r="BE28" i="2"/>
  <c r="BE26" i="2"/>
  <c r="BE29" i="2"/>
  <c r="BE25" i="2"/>
  <c r="BE24" i="2"/>
  <c r="BE23" i="2"/>
  <c r="BE21" i="2"/>
  <c r="BE18" i="2"/>
  <c r="BE16" i="2"/>
  <c r="BE20" i="2"/>
  <c r="BL26" i="2"/>
  <c r="BL21" i="2"/>
  <c r="BL16" i="2"/>
  <c r="BR29" i="2"/>
  <c r="BR27" i="2"/>
  <c r="BR25" i="2"/>
  <c r="BR30" i="2"/>
  <c r="BR23" i="2"/>
  <c r="BR21" i="2"/>
  <c r="BR24" i="2"/>
  <c r="BR26" i="2"/>
  <c r="BR22" i="2"/>
  <c r="BR20" i="2"/>
  <c r="BR28" i="2"/>
  <c r="BR18" i="2"/>
  <c r="BR16" i="2"/>
  <c r="BR19" i="2"/>
  <c r="BR17" i="2"/>
  <c r="BR15" i="2"/>
  <c r="D11" i="2"/>
  <c r="P11" i="2"/>
  <c r="AB11" i="2"/>
  <c r="AF11" i="2"/>
  <c r="AN11" i="2"/>
  <c r="AV11" i="2"/>
  <c r="BL11" i="2"/>
  <c r="R12" i="2"/>
  <c r="V12" i="2"/>
  <c r="Z12" i="2"/>
  <c r="AD12" i="2"/>
  <c r="AP12" i="2"/>
  <c r="AT12" i="2"/>
  <c r="BN12" i="2"/>
  <c r="BR12" i="2"/>
  <c r="P13" i="2"/>
  <c r="AB13" i="2"/>
  <c r="AN13" i="2"/>
  <c r="V14" i="2"/>
  <c r="AD14" i="2"/>
  <c r="AT14" i="2"/>
  <c r="BR14" i="2"/>
  <c r="BE15" i="2"/>
  <c r="BM15" i="2"/>
  <c r="AM16" i="2"/>
  <c r="BC16" i="2"/>
  <c r="Q17" i="2"/>
  <c r="AA18" i="2"/>
  <c r="AC19" i="2"/>
  <c r="AM23" i="2"/>
  <c r="H26" i="2"/>
  <c r="H21" i="2"/>
  <c r="H16" i="2"/>
  <c r="L26" i="2"/>
  <c r="L21" i="2"/>
  <c r="L16" i="2"/>
  <c r="Z29" i="2"/>
  <c r="Z27" i="2"/>
  <c r="Z25" i="2"/>
  <c r="Z28" i="2"/>
  <c r="Z23" i="2"/>
  <c r="Z21" i="2"/>
  <c r="Z30" i="2"/>
  <c r="Z24" i="2"/>
  <c r="Z22" i="2"/>
  <c r="Z20" i="2"/>
  <c r="Z26" i="2"/>
  <c r="Z18" i="2"/>
  <c r="Z16" i="2"/>
  <c r="Z19" i="2"/>
  <c r="Z17" i="2"/>
  <c r="Z15" i="2"/>
  <c r="AS26" i="2"/>
  <c r="AS21" i="2"/>
  <c r="AS16" i="2"/>
  <c r="BK29" i="2"/>
  <c r="BK27" i="2"/>
  <c r="BK25" i="2"/>
  <c r="BK30" i="2"/>
  <c r="BK28" i="2"/>
  <c r="BK26" i="2"/>
  <c r="BK24" i="2"/>
  <c r="BK22" i="2"/>
  <c r="BK20" i="2"/>
  <c r="BK21" i="2"/>
  <c r="BK19" i="2"/>
  <c r="BK17" i="2"/>
  <c r="BK15" i="2"/>
  <c r="BK23" i="2"/>
  <c r="AM13" i="2"/>
  <c r="U14" i="2"/>
  <c r="BM22" i="2"/>
  <c r="J21" i="2"/>
  <c r="J26" i="2"/>
  <c r="J16" i="2"/>
  <c r="F21" i="2"/>
  <c r="F16" i="2"/>
  <c r="F26" i="2"/>
  <c r="N26" i="2"/>
  <c r="N21" i="2"/>
  <c r="N16" i="2"/>
  <c r="R29" i="2"/>
  <c r="R27" i="2"/>
  <c r="R25" i="2"/>
  <c r="R28" i="2"/>
  <c r="R23" i="2"/>
  <c r="R21" i="2"/>
  <c r="R30" i="2"/>
  <c r="R24" i="2"/>
  <c r="R22" i="2"/>
  <c r="R20" i="2"/>
  <c r="R18" i="2"/>
  <c r="R16" i="2"/>
  <c r="R19" i="2"/>
  <c r="R17" i="2"/>
  <c r="R15" i="2"/>
  <c r="W29" i="2"/>
  <c r="W27" i="2"/>
  <c r="W25" i="2"/>
  <c r="W30" i="2"/>
  <c r="W28" i="2"/>
  <c r="W26" i="2"/>
  <c r="W24" i="2"/>
  <c r="W22" i="2"/>
  <c r="W20" i="2"/>
  <c r="W23" i="2"/>
  <c r="W19" i="2"/>
  <c r="W17" i="2"/>
  <c r="W15" i="2"/>
  <c r="AB30" i="2"/>
  <c r="AB28" i="2"/>
  <c r="AB26" i="2"/>
  <c r="AB25" i="2"/>
  <c r="AB24" i="2"/>
  <c r="AB22" i="2"/>
  <c r="AB20" i="2"/>
  <c r="AB27" i="2"/>
  <c r="AB29" i="2"/>
  <c r="AB23" i="2"/>
  <c r="AB21" i="2"/>
  <c r="AB19" i="2"/>
  <c r="AB17" i="2"/>
  <c r="AB18" i="2"/>
  <c r="AB16" i="2"/>
  <c r="AF30" i="2"/>
  <c r="AF28" i="2"/>
  <c r="AF26" i="2"/>
  <c r="AF27" i="2"/>
  <c r="AF24" i="2"/>
  <c r="AF22" i="2"/>
  <c r="AF20" i="2"/>
  <c r="AF29" i="2"/>
  <c r="AF23" i="2"/>
  <c r="AF21" i="2"/>
  <c r="AF19" i="2"/>
  <c r="AF17" i="2"/>
  <c r="AF18" i="2"/>
  <c r="AF16" i="2"/>
  <c r="AO26" i="2"/>
  <c r="AO21" i="2"/>
  <c r="AO16" i="2"/>
  <c r="AY26" i="2"/>
  <c r="AY21" i="2"/>
  <c r="BF21" i="2"/>
  <c r="BF16" i="2"/>
  <c r="BO26" i="2"/>
  <c r="BO21" i="2"/>
  <c r="BS29" i="2"/>
  <c r="BS27" i="2"/>
  <c r="BS25" i="2"/>
  <c r="BS30" i="2"/>
  <c r="BS28" i="2"/>
  <c r="BS26" i="2"/>
  <c r="BS24" i="2"/>
  <c r="BS22" i="2"/>
  <c r="BS20" i="2"/>
  <c r="BS23" i="2"/>
  <c r="BS19" i="2"/>
  <c r="BS17" i="2"/>
  <c r="BS15" i="2"/>
  <c r="M11" i="2"/>
  <c r="Q11" i="2"/>
  <c r="U11" i="2"/>
  <c r="AC11" i="2"/>
  <c r="AO11" i="2"/>
  <c r="AS11" i="2"/>
  <c r="AW11" i="2"/>
  <c r="BE11" i="2"/>
  <c r="BM11" i="2"/>
  <c r="BQ11" i="2"/>
  <c r="W12" i="2"/>
  <c r="AA12" i="2"/>
  <c r="AE12" i="2"/>
  <c r="AM12" i="2"/>
  <c r="BC12" i="2"/>
  <c r="BK12" i="2"/>
  <c r="BS12" i="2"/>
  <c r="Q13" i="2"/>
  <c r="U13" i="2"/>
  <c r="AC13" i="2"/>
  <c r="BE13" i="2"/>
  <c r="W14" i="2"/>
  <c r="AE14" i="2"/>
  <c r="BK14" i="2"/>
  <c r="BS14" i="2"/>
  <c r="P15" i="2"/>
  <c r="U15" i="2"/>
  <c r="AC15" i="2"/>
  <c r="AA16" i="2"/>
  <c r="BK16" i="2"/>
  <c r="AE18" i="2"/>
  <c r="Q24" i="2"/>
  <c r="R26" i="2"/>
  <c r="BM30" i="2"/>
  <c r="BM28" i="2"/>
  <c r="BM26" i="2"/>
  <c r="BM29" i="2"/>
  <c r="BM27" i="2"/>
  <c r="BM25" i="2"/>
  <c r="BM23" i="2"/>
  <c r="BM21" i="2"/>
  <c r="BM24" i="2"/>
  <c r="BM18" i="2"/>
  <c r="BM16" i="2"/>
  <c r="BM20" i="2"/>
  <c r="U30" i="2"/>
  <c r="U28" i="2"/>
  <c r="U26" i="2"/>
  <c r="U29" i="2"/>
  <c r="U27" i="2"/>
  <c r="U25" i="2"/>
  <c r="U23" i="2"/>
  <c r="U21" i="2"/>
  <c r="U22" i="2"/>
  <c r="U24" i="2"/>
  <c r="U18" i="2"/>
  <c r="U16" i="2"/>
  <c r="AM27" i="2"/>
  <c r="AM25" i="2"/>
  <c r="AM30" i="2"/>
  <c r="AM28" i="2"/>
  <c r="AM26" i="2"/>
  <c r="AM22" i="2"/>
  <c r="AM20" i="2"/>
  <c r="AM17" i="2"/>
  <c r="AM15" i="2"/>
  <c r="AM21" i="2"/>
  <c r="BD26" i="2"/>
  <c r="BD21" i="2"/>
  <c r="BD16" i="2"/>
  <c r="BU26" i="2"/>
  <c r="BU21" i="2"/>
  <c r="BU16" i="2"/>
  <c r="BK11" i="2"/>
  <c r="BK13" i="2"/>
  <c r="BN29" i="2"/>
  <c r="BN27" i="2"/>
  <c r="BN25" i="2"/>
  <c r="BN28" i="2"/>
  <c r="BN23" i="2"/>
  <c r="BN21" i="2"/>
  <c r="BN30" i="2"/>
  <c r="BN24" i="2"/>
  <c r="BN22" i="2"/>
  <c r="BN20" i="2"/>
  <c r="BN18" i="2"/>
  <c r="BN16" i="2"/>
  <c r="BN19" i="2"/>
  <c r="BN17" i="2"/>
  <c r="BN15" i="2"/>
  <c r="I26" i="2"/>
  <c r="I21" i="2"/>
  <c r="I16" i="2"/>
  <c r="E26" i="2"/>
  <c r="E21" i="2"/>
  <c r="E16" i="2"/>
  <c r="O26" i="2"/>
  <c r="O21" i="2"/>
  <c r="T26" i="2"/>
  <c r="T21" i="2"/>
  <c r="T16" i="2"/>
  <c r="Y26" i="2"/>
  <c r="Y21" i="2"/>
  <c r="Y16" i="2"/>
  <c r="AC30" i="2"/>
  <c r="AC28" i="2"/>
  <c r="AC26" i="2"/>
  <c r="AC29" i="2"/>
  <c r="AC27" i="2"/>
  <c r="AC25" i="2"/>
  <c r="AC23" i="2"/>
  <c r="AC21" i="2"/>
  <c r="AC20" i="2"/>
  <c r="AC22" i="2"/>
  <c r="AC18" i="2"/>
  <c r="AC16" i="2"/>
  <c r="AC24" i="2"/>
  <c r="AL29" i="2"/>
  <c r="AL25" i="2"/>
  <c r="AL26" i="2"/>
  <c r="AL23" i="2"/>
  <c r="AL21" i="2"/>
  <c r="AL28" i="2"/>
  <c r="AL30" i="2"/>
  <c r="AL24" i="2"/>
  <c r="AL20" i="2"/>
  <c r="AL18" i="2"/>
  <c r="AL16" i="2"/>
  <c r="AL19" i="2"/>
  <c r="AL15" i="2"/>
  <c r="AP29" i="2"/>
  <c r="AP27" i="2"/>
  <c r="AP25" i="2"/>
  <c r="AP28" i="2"/>
  <c r="AP23" i="2"/>
  <c r="AP21" i="2"/>
  <c r="AP30" i="2"/>
  <c r="AP24" i="2"/>
  <c r="AP22" i="2"/>
  <c r="AP20" i="2"/>
  <c r="AP18" i="2"/>
  <c r="AP16" i="2"/>
  <c r="AP26" i="2"/>
  <c r="AP19" i="2"/>
  <c r="AP17" i="2"/>
  <c r="AP15" i="2"/>
  <c r="AV30" i="2"/>
  <c r="AV28" i="2"/>
  <c r="AV26" i="2"/>
  <c r="AV29" i="2"/>
  <c r="AV24" i="2"/>
  <c r="AV22" i="2"/>
  <c r="AV20" i="2"/>
  <c r="AV25" i="2"/>
  <c r="AV23" i="2"/>
  <c r="AV21" i="2"/>
  <c r="AV19" i="2"/>
  <c r="AV17" i="2"/>
  <c r="AV15" i="2"/>
  <c r="AV18" i="2"/>
  <c r="AV16" i="2"/>
  <c r="BC29" i="2"/>
  <c r="BC27" i="2"/>
  <c r="BC25" i="2"/>
  <c r="BC30" i="2"/>
  <c r="BC28" i="2"/>
  <c r="BC26" i="2"/>
  <c r="BC24" i="2"/>
  <c r="BC22" i="2"/>
  <c r="BC20" i="2"/>
  <c r="BC19" i="2"/>
  <c r="BC17" i="2"/>
  <c r="BC15" i="2"/>
  <c r="BC21" i="2"/>
  <c r="BG26" i="2"/>
  <c r="BG21" i="2"/>
  <c r="BP26" i="2"/>
  <c r="BP21" i="2"/>
  <c r="BP16" i="2"/>
  <c r="BT26" i="2"/>
  <c r="BT21" i="2"/>
  <c r="BT16" i="2"/>
  <c r="F11" i="2"/>
  <c r="J11" i="2"/>
  <c r="N11" i="2"/>
  <c r="R11" i="2"/>
  <c r="V11" i="2"/>
  <c r="Z11" i="2"/>
  <c r="AD11" i="2"/>
  <c r="AL11" i="2"/>
  <c r="AP11" i="2"/>
  <c r="AT11" i="2"/>
  <c r="AX11" i="2"/>
  <c r="BF11" i="2"/>
  <c r="BN11" i="2"/>
  <c r="BR11" i="2"/>
  <c r="P12" i="2"/>
  <c r="AB12" i="2"/>
  <c r="AF12" i="2"/>
  <c r="AN12" i="2"/>
  <c r="AV12" i="2"/>
  <c r="R13" i="2"/>
  <c r="V13" i="2"/>
  <c r="Z13" i="2"/>
  <c r="AD13" i="2"/>
  <c r="AL13" i="2"/>
  <c r="AP13" i="2"/>
  <c r="AT13" i="2"/>
  <c r="BN13" i="2"/>
  <c r="BR13" i="2"/>
  <c r="P14" i="2"/>
  <c r="AB14" i="2"/>
  <c r="AF14" i="2"/>
  <c r="AV14" i="2"/>
  <c r="Q15" i="2"/>
  <c r="AF15" i="2"/>
  <c r="AE16" i="2"/>
  <c r="BO16" i="2"/>
  <c r="U17" i="2"/>
  <c r="W18" i="2"/>
  <c r="BS18" i="2"/>
  <c r="BE19" i="2"/>
  <c r="BM19" i="2"/>
  <c r="W21" i="2"/>
  <c r="BS21" i="2"/>
  <c r="AF25" i="2"/>
  <c r="AV27" i="2"/>
  <c r="BF1" i="11"/>
  <c r="BG1" i="11"/>
  <c r="BH1" i="11"/>
  <c r="BI1" i="11"/>
  <c r="BJ1" i="11"/>
  <c r="BK1" i="11"/>
  <c r="BL1" i="11"/>
  <c r="BM1" i="11"/>
  <c r="BN1" i="11"/>
  <c r="BO1" i="11"/>
  <c r="BP1" i="11"/>
  <c r="BQ1" i="11"/>
  <c r="BR1" i="11"/>
  <c r="BF2" i="11"/>
  <c r="BG2" i="11"/>
  <c r="BH2" i="11"/>
  <c r="BJ2" i="11"/>
  <c r="BK2" i="11"/>
  <c r="BO2" i="11"/>
  <c r="BP2" i="11"/>
  <c r="B1" i="1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AC1" i="11"/>
  <c r="AD1" i="11"/>
  <c r="AE1" i="11"/>
  <c r="AF1" i="11"/>
  <c r="AG1" i="11"/>
  <c r="AH1" i="11"/>
  <c r="AI1" i="11"/>
  <c r="AJ1" i="11"/>
  <c r="AK1" i="11"/>
  <c r="AL1" i="11"/>
  <c r="AM1" i="11"/>
  <c r="AN1" i="11"/>
  <c r="AO1" i="11"/>
  <c r="AP1" i="11"/>
  <c r="AQ1" i="11"/>
  <c r="AR1" i="11"/>
  <c r="AS1" i="11"/>
  <c r="AT1" i="11"/>
  <c r="AU1" i="11"/>
  <c r="AV1" i="11"/>
  <c r="AW1" i="11"/>
  <c r="AX1" i="11"/>
  <c r="AY1" i="11"/>
  <c r="AZ1" i="11"/>
  <c r="BA1" i="11"/>
  <c r="BB1" i="11"/>
  <c r="BC1" i="11"/>
  <c r="BD1" i="11"/>
  <c r="BE1" i="11"/>
  <c r="A1" i="11"/>
  <c r="AO2" i="11"/>
  <c r="H2" i="11"/>
  <c r="M2" i="11"/>
  <c r="N2" i="11"/>
  <c r="O2" i="11"/>
  <c r="P2" i="11"/>
  <c r="R2" i="11"/>
  <c r="S2" i="11"/>
  <c r="T2" i="11"/>
  <c r="U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M2" i="11"/>
  <c r="AN2" i="11"/>
  <c r="AP2" i="11"/>
  <c r="AQ2" i="11"/>
  <c r="AS2" i="11"/>
  <c r="AW2" i="11"/>
  <c r="AX2" i="11"/>
  <c r="AY2" i="11"/>
  <c r="AZ2" i="11"/>
  <c r="BB2" i="11"/>
  <c r="BE2" i="11"/>
  <c r="BR10" i="2" l="1"/>
  <c r="BJ10" i="2"/>
  <c r="BI10" i="2"/>
  <c r="BH10" i="2"/>
  <c r="BB10" i="2"/>
  <c r="BA10" i="2"/>
  <c r="AZ10" i="2"/>
  <c r="AR10" i="2"/>
  <c r="AQ10" i="2"/>
  <c r="AK10" i="2"/>
  <c r="AJ10" i="2"/>
  <c r="AI10" i="2"/>
  <c r="AH10" i="2"/>
  <c r="AG10" i="2"/>
  <c r="X10" i="2"/>
  <c r="S10" i="2"/>
  <c r="K10" i="2"/>
  <c r="BR7" i="2"/>
  <c r="BJ7" i="2"/>
  <c r="BI7" i="2"/>
  <c r="BH7" i="2"/>
  <c r="BB7" i="2"/>
  <c r="BA7" i="2"/>
  <c r="AZ7" i="2"/>
  <c r="AR7" i="2"/>
  <c r="AQ7" i="2"/>
  <c r="AK7" i="2"/>
  <c r="AJ7" i="2"/>
  <c r="AI7" i="2"/>
  <c r="AH7" i="2"/>
  <c r="AG7" i="2"/>
  <c r="X7" i="2"/>
  <c r="S7" i="2"/>
  <c r="K7" i="2"/>
  <c r="K4" i="2"/>
  <c r="S4" i="2"/>
  <c r="X4" i="2"/>
  <c r="AG4" i="2"/>
  <c r="AH4" i="2"/>
  <c r="AI4" i="2"/>
  <c r="AJ4" i="2"/>
  <c r="AK4" i="2"/>
  <c r="AQ4" i="2"/>
  <c r="AR4" i="2"/>
  <c r="AZ4" i="2"/>
  <c r="BA4" i="2"/>
  <c r="BB4" i="2"/>
  <c r="BH4" i="2"/>
  <c r="BI4" i="2"/>
  <c r="BJ4" i="2"/>
  <c r="BR4" i="2"/>
  <c r="BR9" i="2" l="1"/>
  <c r="BJ9" i="2"/>
  <c r="BI9" i="2"/>
  <c r="BH9" i="2"/>
  <c r="BB9" i="2"/>
  <c r="BA9" i="2"/>
  <c r="AZ9" i="2"/>
  <c r="AR9" i="2"/>
  <c r="AQ9" i="2"/>
  <c r="AK9" i="2"/>
  <c r="AJ9" i="2"/>
  <c r="AI9" i="2"/>
  <c r="AH9" i="2"/>
  <c r="AG9" i="2"/>
  <c r="X9" i="2"/>
  <c r="S9" i="2"/>
  <c r="K9" i="2"/>
  <c r="BR6" i="2"/>
  <c r="BJ6" i="2"/>
  <c r="BI6" i="2"/>
  <c r="BH6" i="2"/>
  <c r="BB6" i="2"/>
  <c r="BA6" i="2"/>
  <c r="AZ6" i="2"/>
  <c r="AR6" i="2"/>
  <c r="AQ6" i="2"/>
  <c r="AK6" i="2"/>
  <c r="AJ6" i="2"/>
  <c r="AI6" i="2"/>
  <c r="AH6" i="2"/>
  <c r="AG6" i="2"/>
  <c r="X6" i="2"/>
  <c r="S6" i="2"/>
  <c r="K6" i="2"/>
  <c r="K3" i="2"/>
  <c r="S3" i="2"/>
  <c r="X3" i="2"/>
  <c r="AG3" i="2"/>
  <c r="AH3" i="2"/>
  <c r="AI3" i="2"/>
  <c r="AJ3" i="2"/>
  <c r="AK3" i="2"/>
  <c r="AQ3" i="2"/>
  <c r="AR3" i="2"/>
  <c r="AZ3" i="2"/>
  <c r="BA3" i="2"/>
  <c r="BB3" i="2"/>
  <c r="BH3" i="2"/>
  <c r="BI3" i="2"/>
  <c r="BJ3" i="2"/>
  <c r="BR3" i="2"/>
  <c r="BR8" i="2"/>
  <c r="BJ8" i="2"/>
  <c r="BI8" i="2"/>
  <c r="BH8" i="2"/>
  <c r="BB8" i="2"/>
  <c r="BA8" i="2"/>
  <c r="AZ8" i="2"/>
  <c r="AR8" i="2"/>
  <c r="AQ8" i="2"/>
  <c r="AK8" i="2"/>
  <c r="AJ8" i="2"/>
  <c r="AI8" i="2"/>
  <c r="AH8" i="2"/>
  <c r="AG8" i="2"/>
  <c r="X8" i="2"/>
  <c r="S8" i="2"/>
  <c r="K8" i="2"/>
  <c r="D8" i="2"/>
  <c r="BR5" i="2"/>
  <c r="BJ5" i="2"/>
  <c r="BI5" i="2"/>
  <c r="BH5" i="2"/>
  <c r="BB5" i="2"/>
  <c r="BA5" i="2"/>
  <c r="AZ5" i="2"/>
  <c r="AR5" i="2"/>
  <c r="AQ5" i="2"/>
  <c r="AK5" i="2"/>
  <c r="AJ5" i="2"/>
  <c r="AI5" i="2"/>
  <c r="AH5" i="2"/>
  <c r="AG5" i="2"/>
  <c r="X5" i="2"/>
  <c r="S5" i="2"/>
  <c r="K5" i="2"/>
  <c r="D5" i="2"/>
  <c r="K2" i="2"/>
  <c r="S2" i="2"/>
  <c r="X2" i="2"/>
  <c r="AG2" i="2"/>
  <c r="AH2" i="2"/>
  <c r="AI2" i="2"/>
  <c r="AJ2" i="2"/>
  <c r="AK2" i="2"/>
  <c r="AQ2" i="2"/>
  <c r="AR2" i="2"/>
  <c r="AZ2" i="2"/>
  <c r="BA2" i="2"/>
  <c r="BB2" i="2"/>
  <c r="BH2" i="2"/>
  <c r="BI2" i="2"/>
  <c r="BJ2" i="2"/>
  <c r="BR2" i="2"/>
  <c r="D2" i="2"/>
  <c r="BF22" i="1"/>
  <c r="BE22" i="1"/>
  <c r="BC22" i="1"/>
  <c r="BO2" i="2"/>
  <c r="AT22" i="1"/>
  <c r="AR22" i="1"/>
  <c r="AN22" i="1"/>
  <c r="X22" i="1"/>
  <c r="S22" i="1"/>
  <c r="BO5" i="2" l="1"/>
  <c r="BO8" i="2"/>
  <c r="BQ2" i="2"/>
  <c r="BQ5" i="2"/>
  <c r="BQ8" i="2"/>
  <c r="BP8" i="2"/>
  <c r="BP2" i="2"/>
  <c r="BP5" i="2"/>
  <c r="BK8" i="1"/>
  <c r="BK18" i="1" s="1"/>
  <c r="BK4" i="10" s="1"/>
  <c r="X7" i="1"/>
  <c r="X2" i="10" s="1"/>
  <c r="BK9" i="1" l="1"/>
  <c r="BK3" i="10" s="1"/>
  <c r="BK14" i="1"/>
  <c r="BK17" i="1"/>
  <c r="BK7" i="1"/>
  <c r="BK2" i="10" s="1"/>
  <c r="V2" i="11"/>
  <c r="M12" i="6"/>
  <c r="N12" i="6"/>
  <c r="I12" i="6"/>
  <c r="J12" i="6"/>
  <c r="J11" i="6"/>
  <c r="N11" i="6" s="1"/>
  <c r="I11" i="6"/>
  <c r="M11" i="6" s="1"/>
  <c r="H8" i="6"/>
  <c r="H12" i="6" s="1"/>
  <c r="L12" i="6" s="1"/>
  <c r="H7" i="6"/>
  <c r="H11" i="6" s="1"/>
  <c r="L11" i="6" s="1"/>
  <c r="D12" i="6"/>
  <c r="E12" i="6"/>
  <c r="F12" i="6"/>
  <c r="F11" i="6"/>
  <c r="E11" i="6"/>
  <c r="L23" i="6" l="1"/>
  <c r="I23" i="6"/>
  <c r="L24" i="6"/>
  <c r="I24" i="6"/>
  <c r="BL30" i="2"/>
  <c r="BL28" i="2"/>
  <c r="BL24" i="2"/>
  <c r="BL29" i="2"/>
  <c r="BL22" i="2"/>
  <c r="BL20" i="2"/>
  <c r="BL25" i="2"/>
  <c r="BL23" i="2"/>
  <c r="BL19" i="2"/>
  <c r="BL17" i="2"/>
  <c r="BL15" i="2"/>
  <c r="BL18" i="2"/>
  <c r="BL27" i="2"/>
  <c r="BL14" i="2"/>
  <c r="BL12" i="2"/>
  <c r="BL13" i="2"/>
  <c r="BI2" i="11"/>
  <c r="BN4" i="2" l="1"/>
  <c r="BN10" i="2"/>
  <c r="BN7" i="2"/>
  <c r="BN5" i="2"/>
  <c r="BN2" i="2"/>
  <c r="BN9" i="2"/>
  <c r="BN3" i="2"/>
  <c r="BN6" i="2"/>
  <c r="BN8" i="2"/>
  <c r="BM7" i="2"/>
  <c r="BM4" i="2"/>
  <c r="BM10" i="2"/>
  <c r="BM6" i="2"/>
  <c r="BM8" i="2"/>
  <c r="BM2" i="2"/>
  <c r="BM3" i="2"/>
  <c r="BM5" i="2"/>
  <c r="BM9" i="2"/>
  <c r="Q4" i="2"/>
  <c r="Q7" i="2"/>
  <c r="Q10" i="2"/>
  <c r="Q8" i="2"/>
  <c r="Q3" i="2"/>
  <c r="Q5" i="2"/>
  <c r="Q9" i="2"/>
  <c r="Q2" i="2"/>
  <c r="Q6" i="2"/>
  <c r="T5" i="2"/>
  <c r="T2" i="2"/>
  <c r="T8" i="2"/>
  <c r="P4" i="2"/>
  <c r="P10" i="2"/>
  <c r="P7" i="2"/>
  <c r="P5" i="2"/>
  <c r="P2" i="2"/>
  <c r="P9" i="2"/>
  <c r="P3" i="2"/>
  <c r="P8" i="2"/>
  <c r="P6" i="2"/>
  <c r="R10" i="2"/>
  <c r="R7" i="2"/>
  <c r="R4" i="2"/>
  <c r="R9" i="2"/>
  <c r="R3" i="2"/>
  <c r="R6" i="2"/>
  <c r="R8" i="2"/>
  <c r="R5" i="2"/>
  <c r="R2" i="2"/>
  <c r="BU2" i="2"/>
  <c r="BU8" i="2"/>
  <c r="BU5" i="2"/>
  <c r="BT2" i="2"/>
  <c r="BT8" i="2"/>
  <c r="BT5" i="2"/>
  <c r="BS7" i="2"/>
  <c r="BS4" i="2"/>
  <c r="BS10" i="2"/>
  <c r="BS6" i="2"/>
  <c r="BS5" i="2"/>
  <c r="BS3" i="2"/>
  <c r="BS9" i="2"/>
  <c r="BS8" i="2"/>
  <c r="BS2" i="2"/>
  <c r="BL7" i="2"/>
  <c r="BL10" i="2"/>
  <c r="BL4" i="2"/>
  <c r="BL6" i="2"/>
  <c r="BL8" i="2"/>
  <c r="BL5" i="2"/>
  <c r="BL9" i="2"/>
  <c r="BL3" i="2"/>
  <c r="BL2" i="2"/>
  <c r="BK4" i="2"/>
  <c r="BK10" i="2"/>
  <c r="BK7" i="2"/>
  <c r="BK8" i="2"/>
  <c r="BK5" i="2"/>
  <c r="BK3" i="2"/>
  <c r="BK9" i="2"/>
  <c r="BK6" i="2"/>
  <c r="BK2" i="2"/>
  <c r="BG5" i="2"/>
  <c r="BG2" i="2"/>
  <c r="BG8" i="2"/>
  <c r="BF8" i="2"/>
  <c r="BF5" i="2"/>
  <c r="BF2" i="2"/>
  <c r="BE10" i="2"/>
  <c r="BE7" i="2"/>
  <c r="BE4" i="2"/>
  <c r="BE9" i="2"/>
  <c r="BE6" i="2"/>
  <c r="BE3" i="2"/>
  <c r="BE5" i="2"/>
  <c r="BE2" i="2"/>
  <c r="BE8" i="2"/>
  <c r="BD8" i="2"/>
  <c r="BD5" i="2"/>
  <c r="BD2" i="2"/>
  <c r="BC7" i="2"/>
  <c r="BC10" i="2"/>
  <c r="BC4" i="2"/>
  <c r="BC5" i="2"/>
  <c r="BC2" i="2"/>
  <c r="BC6" i="2"/>
  <c r="BC9" i="2"/>
  <c r="BC3" i="2"/>
  <c r="BC8" i="2"/>
  <c r="AY5" i="2"/>
  <c r="AY8" i="2"/>
  <c r="AY2" i="2"/>
  <c r="AX2" i="2"/>
  <c r="AX5" i="2"/>
  <c r="AX8" i="2"/>
  <c r="AW2" i="2"/>
  <c r="AW8" i="2"/>
  <c r="AW5" i="2"/>
  <c r="AV4" i="2"/>
  <c r="AV10" i="2"/>
  <c r="AV7" i="2"/>
  <c r="AV9" i="2"/>
  <c r="AV2" i="2"/>
  <c r="AV6" i="2"/>
  <c r="AV8" i="2"/>
  <c r="AV3" i="2"/>
  <c r="AV5" i="2"/>
  <c r="AU5" i="2"/>
  <c r="AU8" i="2"/>
  <c r="AU2" i="2"/>
  <c r="AT4" i="2"/>
  <c r="AT10" i="2"/>
  <c r="AT7" i="2"/>
  <c r="AT9" i="2"/>
  <c r="AT2" i="2"/>
  <c r="AT5" i="2"/>
  <c r="AT6" i="2"/>
  <c r="AT8" i="2"/>
  <c r="AT3" i="2"/>
  <c r="AS2" i="2"/>
  <c r="AS8" i="2"/>
  <c r="AS5" i="2"/>
  <c r="AP7" i="2"/>
  <c r="AP4" i="2"/>
  <c r="AP10" i="2"/>
  <c r="AP6" i="2"/>
  <c r="AP8" i="2"/>
  <c r="AP3" i="2"/>
  <c r="AP5" i="2"/>
  <c r="AP9" i="2"/>
  <c r="AP2" i="2"/>
  <c r="AO8" i="2"/>
  <c r="AO2" i="2"/>
  <c r="AO5" i="2"/>
  <c r="AN7" i="2"/>
  <c r="AN10" i="2"/>
  <c r="AN4" i="2"/>
  <c r="AN6" i="2"/>
  <c r="AN8" i="2"/>
  <c r="AN9" i="2"/>
  <c r="AN3" i="2"/>
  <c r="AN2" i="2"/>
  <c r="AN5" i="2"/>
  <c r="AM4" i="2"/>
  <c r="AM10" i="2"/>
  <c r="AM7" i="2"/>
  <c r="AM8" i="2"/>
  <c r="AM5" i="2"/>
  <c r="AM3" i="2"/>
  <c r="AM9" i="2"/>
  <c r="AM6" i="2"/>
  <c r="AM2" i="2"/>
  <c r="AL7" i="2"/>
  <c r="AL4" i="2"/>
  <c r="AL10" i="2"/>
  <c r="AL6" i="2"/>
  <c r="AL8" i="2"/>
  <c r="AL3" i="2"/>
  <c r="AL5" i="2"/>
  <c r="AL9" i="2"/>
  <c r="AL2" i="2"/>
  <c r="AF7" i="2"/>
  <c r="AF10" i="2"/>
  <c r="AF4" i="2"/>
  <c r="AF5" i="2"/>
  <c r="AF9" i="2"/>
  <c r="AF8" i="2"/>
  <c r="AF2" i="2"/>
  <c r="AF3" i="2"/>
  <c r="AF6" i="2"/>
  <c r="AE7" i="2"/>
  <c r="AE4" i="2"/>
  <c r="AE10" i="2"/>
  <c r="AE3" i="2"/>
  <c r="AE5" i="2"/>
  <c r="AE2" i="2"/>
  <c r="AE6" i="2"/>
  <c r="AE8" i="2"/>
  <c r="AE9" i="2"/>
  <c r="AD4" i="2"/>
  <c r="AD10" i="2"/>
  <c r="AD7" i="2"/>
  <c r="AD8" i="2"/>
  <c r="AD5" i="2"/>
  <c r="AD2" i="2"/>
  <c r="AD6" i="2"/>
  <c r="AD3" i="2"/>
  <c r="AD9" i="2"/>
  <c r="AC10" i="2"/>
  <c r="AC4" i="2"/>
  <c r="AC7" i="2"/>
  <c r="AC9" i="2"/>
  <c r="AC3" i="2"/>
  <c r="AC6" i="2"/>
  <c r="AC8" i="2"/>
  <c r="AC5" i="2"/>
  <c r="AC2" i="2"/>
  <c r="AB7" i="2"/>
  <c r="AB10" i="2"/>
  <c r="AB4" i="2"/>
  <c r="AB9" i="2"/>
  <c r="AB8" i="2"/>
  <c r="AB6" i="2"/>
  <c r="AB5" i="2"/>
  <c r="AB3" i="2"/>
  <c r="AB2" i="2"/>
  <c r="AA7" i="2"/>
  <c r="AA4" i="2"/>
  <c r="AA10" i="2"/>
  <c r="AA3" i="2"/>
  <c r="AA5" i="2"/>
  <c r="AA2" i="2"/>
  <c r="AA6" i="2"/>
  <c r="AA8" i="2"/>
  <c r="AA9" i="2"/>
  <c r="Z7" i="2"/>
  <c r="Z10" i="2"/>
  <c r="Z4" i="2"/>
  <c r="Z8" i="2"/>
  <c r="Z5" i="2"/>
  <c r="Z2" i="2"/>
  <c r="Z3" i="2"/>
  <c r="Z9" i="2"/>
  <c r="Z6" i="2"/>
  <c r="Y8" i="2"/>
  <c r="Y5" i="2"/>
  <c r="Y2" i="2"/>
  <c r="W7" i="2"/>
  <c r="W10" i="2"/>
  <c r="W4" i="2"/>
  <c r="W6" i="2"/>
  <c r="W5" i="2"/>
  <c r="W3" i="2"/>
  <c r="W9" i="2"/>
  <c r="W8" i="2"/>
  <c r="W2" i="2"/>
  <c r="V4" i="2"/>
  <c r="V7" i="2"/>
  <c r="V10" i="2"/>
  <c r="V3" i="2"/>
  <c r="V5" i="2"/>
  <c r="V6" i="2"/>
  <c r="V8" i="2"/>
  <c r="V9" i="2"/>
  <c r="V2" i="2"/>
  <c r="O8" i="2"/>
  <c r="O2" i="2"/>
  <c r="O5" i="2"/>
  <c r="N5" i="2"/>
  <c r="N2" i="2"/>
  <c r="N8" i="2"/>
  <c r="M5" i="2"/>
  <c r="M2" i="2"/>
  <c r="M8" i="2"/>
  <c r="L8" i="2"/>
  <c r="L5" i="2"/>
  <c r="L2" i="2"/>
  <c r="J8" i="2"/>
  <c r="J5" i="2"/>
  <c r="J2" i="2"/>
  <c r="I8" i="2"/>
  <c r="I5" i="2"/>
  <c r="I2" i="2"/>
  <c r="H8" i="2"/>
  <c r="H2" i="2"/>
  <c r="H5" i="2"/>
  <c r="G8" i="2"/>
  <c r="G2" i="2"/>
  <c r="G5" i="2"/>
  <c r="F8" i="2"/>
  <c r="F5" i="2"/>
  <c r="F2" i="2"/>
  <c r="E8" i="2"/>
  <c r="E5" i="2"/>
  <c r="E2" i="2"/>
  <c r="U10" i="2"/>
  <c r="U7" i="2"/>
  <c r="U4" i="2"/>
  <c r="U6" i="2"/>
  <c r="U5" i="2"/>
  <c r="U3" i="2"/>
  <c r="U9" i="2"/>
  <c r="U8" i="2"/>
  <c r="U2" i="2"/>
  <c r="BO7" i="1" l="1"/>
  <c r="BO2" i="10" s="1"/>
  <c r="BP7" i="1"/>
  <c r="BP2" i="10" s="1"/>
  <c r="BN7" i="1"/>
  <c r="BN2" i="10" s="1"/>
  <c r="BO27" i="2" l="1"/>
  <c r="BO22" i="2"/>
  <c r="BO17" i="2"/>
  <c r="BO12" i="2"/>
  <c r="BQ27" i="2"/>
  <c r="BQ22" i="2"/>
  <c r="BQ12" i="2"/>
  <c r="BQ17" i="2"/>
  <c r="BP30" i="2"/>
  <c r="BP28" i="2"/>
  <c r="BP24" i="2"/>
  <c r="BP22" i="2"/>
  <c r="BP20" i="2"/>
  <c r="BP25" i="2"/>
  <c r="BP27" i="2"/>
  <c r="BP23" i="2"/>
  <c r="BP19" i="2"/>
  <c r="BP15" i="2"/>
  <c r="BP29" i="2"/>
  <c r="BP14" i="2"/>
  <c r="BL2" i="11"/>
  <c r="BN2" i="11"/>
  <c r="BM2" i="11"/>
  <c r="BP4" i="2"/>
  <c r="BP9" i="2"/>
  <c r="BP10" i="2"/>
  <c r="BP6" i="2"/>
  <c r="BP7" i="2"/>
  <c r="BP3" i="2"/>
  <c r="F34" i="5"/>
  <c r="G34" i="5"/>
  <c r="E34" i="5"/>
  <c r="G30" i="5"/>
  <c r="G31" i="5"/>
  <c r="G32" i="5"/>
  <c r="G29" i="5"/>
  <c r="K16" i="5"/>
  <c r="I17" i="5"/>
  <c r="H17" i="5"/>
  <c r="G17" i="5"/>
  <c r="G21" i="5" s="1"/>
  <c r="E17" i="5"/>
  <c r="E21" i="5" s="1"/>
  <c r="H18" i="5" l="1"/>
  <c r="H19" i="5" s="1"/>
  <c r="H21" i="5"/>
  <c r="K17" i="5"/>
  <c r="I18" i="5"/>
  <c r="I19" i="5" s="1"/>
  <c r="I21" i="5"/>
  <c r="K21" i="5" s="1"/>
  <c r="E18" i="5"/>
  <c r="E19" i="5" s="1"/>
  <c r="G18" i="5"/>
  <c r="K18" i="5" l="1"/>
  <c r="M21" i="5"/>
  <c r="G19" i="5"/>
  <c r="K19" i="5" s="1"/>
  <c r="AN7" i="1" l="1"/>
  <c r="AN2" i="10" s="1"/>
  <c r="S7" i="1"/>
  <c r="S2" i="10" s="1"/>
  <c r="Q2" i="11" l="1"/>
  <c r="AL2" i="11"/>
  <c r="M7" i="4"/>
  <c r="L6" i="4"/>
  <c r="E10" i="4" l="1"/>
  <c r="C10" i="4"/>
  <c r="M11" i="4"/>
  <c r="L11" i="4"/>
  <c r="AX7" i="1"/>
  <c r="AX2" i="10" s="1"/>
  <c r="AW7" i="1"/>
  <c r="AW2" i="10" s="1"/>
  <c r="AV7" i="1"/>
  <c r="AV2" i="10" s="1"/>
  <c r="M7" i="1"/>
  <c r="M2" i="10" s="1"/>
  <c r="N7" i="1"/>
  <c r="N2" i="10" s="1"/>
  <c r="K7" i="1"/>
  <c r="K2" i="10" s="1"/>
  <c r="L7" i="1"/>
  <c r="L2" i="10" s="1"/>
  <c r="D7" i="1"/>
  <c r="D2" i="10" s="1"/>
  <c r="E7" i="1"/>
  <c r="E2" i="10" s="1"/>
  <c r="F7" i="1"/>
  <c r="F2" i="10" s="1"/>
  <c r="G7" i="1"/>
  <c r="G2" i="10" s="1"/>
  <c r="H7" i="1"/>
  <c r="H2" i="10" s="1"/>
  <c r="I7" i="1"/>
  <c r="I2" i="10" s="1"/>
  <c r="C7" i="1"/>
  <c r="C2" i="10" s="1"/>
  <c r="BF8" i="1"/>
  <c r="BE8" i="1"/>
  <c r="BC8" i="1"/>
  <c r="AT8" i="1"/>
  <c r="AN8" i="1"/>
  <c r="X8" i="1"/>
  <c r="S8" i="1"/>
  <c r="I30" i="2" l="1"/>
  <c r="I28" i="2"/>
  <c r="I29" i="2"/>
  <c r="I27" i="2"/>
  <c r="I25" i="2"/>
  <c r="I23" i="2"/>
  <c r="I20" i="2"/>
  <c r="I22" i="2"/>
  <c r="I18" i="2"/>
  <c r="I24" i="2"/>
  <c r="I12" i="2"/>
  <c r="I17" i="2"/>
  <c r="I15" i="2"/>
  <c r="I13" i="2"/>
  <c r="I14" i="2"/>
  <c r="I19" i="2"/>
  <c r="N29" i="2"/>
  <c r="N27" i="2"/>
  <c r="N25" i="2"/>
  <c r="N23" i="2"/>
  <c r="N28" i="2"/>
  <c r="N30" i="2"/>
  <c r="N24" i="2"/>
  <c r="N22" i="2"/>
  <c r="N20" i="2"/>
  <c r="N18" i="2"/>
  <c r="N19" i="2"/>
  <c r="N17" i="2"/>
  <c r="N15" i="2"/>
  <c r="N13" i="2"/>
  <c r="N14" i="2"/>
  <c r="N12" i="2"/>
  <c r="M30" i="2"/>
  <c r="M28" i="2"/>
  <c r="M29" i="2"/>
  <c r="M27" i="2"/>
  <c r="M25" i="2"/>
  <c r="M23" i="2"/>
  <c r="M24" i="2"/>
  <c r="M18" i="2"/>
  <c r="M20" i="2"/>
  <c r="M19" i="2"/>
  <c r="M17" i="2"/>
  <c r="M14" i="2"/>
  <c r="M13" i="2"/>
  <c r="M22" i="2"/>
  <c r="M15" i="2"/>
  <c r="M12" i="2"/>
  <c r="AW30" i="2"/>
  <c r="AW28" i="2"/>
  <c r="AW29" i="2"/>
  <c r="AW25" i="2"/>
  <c r="AW23" i="2"/>
  <c r="AW24" i="2"/>
  <c r="AW18" i="2"/>
  <c r="AW20" i="2"/>
  <c r="AW19" i="2"/>
  <c r="AW12" i="2"/>
  <c r="AW13" i="2"/>
  <c r="AW14" i="2"/>
  <c r="AW15" i="2"/>
  <c r="AW17" i="2"/>
  <c r="G29" i="2"/>
  <c r="G27" i="2"/>
  <c r="G25" i="2"/>
  <c r="G30" i="2"/>
  <c r="G28" i="2"/>
  <c r="G24" i="2"/>
  <c r="G22" i="2"/>
  <c r="G20" i="2"/>
  <c r="G23" i="2"/>
  <c r="G19" i="2"/>
  <c r="G17" i="2"/>
  <c r="G15" i="2"/>
  <c r="G18" i="2"/>
  <c r="G14" i="2"/>
  <c r="G12" i="2"/>
  <c r="G13" i="2"/>
  <c r="L30" i="2"/>
  <c r="L28" i="2"/>
  <c r="L24" i="2"/>
  <c r="L22" i="2"/>
  <c r="L20" i="2"/>
  <c r="L25" i="2"/>
  <c r="L27" i="2"/>
  <c r="L23" i="2"/>
  <c r="L19" i="2"/>
  <c r="L17" i="2"/>
  <c r="L29" i="2"/>
  <c r="L18" i="2"/>
  <c r="L14" i="2"/>
  <c r="L12" i="2"/>
  <c r="L15" i="2"/>
  <c r="L13" i="2"/>
  <c r="AX29" i="2"/>
  <c r="AX27" i="2"/>
  <c r="AX25" i="2"/>
  <c r="AX28" i="2"/>
  <c r="AX23" i="2"/>
  <c r="AX30" i="2"/>
  <c r="AX24" i="2"/>
  <c r="AX22" i="2"/>
  <c r="AX20" i="2"/>
  <c r="AX18" i="2"/>
  <c r="AX19" i="2"/>
  <c r="AX17" i="2"/>
  <c r="AX15" i="2"/>
  <c r="AX13" i="2"/>
  <c r="AX14" i="2"/>
  <c r="AX12" i="2"/>
  <c r="E30" i="2"/>
  <c r="E28" i="2"/>
  <c r="E27" i="2"/>
  <c r="E25" i="2"/>
  <c r="E23" i="2"/>
  <c r="E18" i="2"/>
  <c r="E22" i="2"/>
  <c r="E20" i="2"/>
  <c r="E13" i="2"/>
  <c r="E12" i="2"/>
  <c r="E17" i="2"/>
  <c r="E15" i="2"/>
  <c r="H30" i="2"/>
  <c r="H28" i="2"/>
  <c r="H27" i="2"/>
  <c r="H24" i="2"/>
  <c r="H22" i="2"/>
  <c r="H29" i="2"/>
  <c r="H23" i="2"/>
  <c r="H19" i="2"/>
  <c r="H17" i="2"/>
  <c r="H20" i="2"/>
  <c r="H18" i="2"/>
  <c r="H25" i="2"/>
  <c r="H14" i="2"/>
  <c r="H12" i="2"/>
  <c r="H15" i="2"/>
  <c r="H13" i="2"/>
  <c r="D30" i="2"/>
  <c r="D28" i="2"/>
  <c r="D25" i="2"/>
  <c r="D24" i="2"/>
  <c r="D22" i="2"/>
  <c r="D27" i="2"/>
  <c r="D29" i="2"/>
  <c r="D23" i="2"/>
  <c r="D19" i="2"/>
  <c r="D17" i="2"/>
  <c r="D18" i="2"/>
  <c r="D15" i="2"/>
  <c r="D14" i="2"/>
  <c r="D12" i="2"/>
  <c r="D20" i="2"/>
  <c r="D13" i="2"/>
  <c r="J29" i="2"/>
  <c r="J27" i="2"/>
  <c r="J25" i="2"/>
  <c r="J30" i="2"/>
  <c r="J23" i="2"/>
  <c r="J24" i="2"/>
  <c r="J22" i="2"/>
  <c r="J20" i="2"/>
  <c r="J18" i="2"/>
  <c r="J28" i="2"/>
  <c r="J19" i="2"/>
  <c r="J17" i="2"/>
  <c r="J15" i="2"/>
  <c r="J13" i="2"/>
  <c r="J14" i="2"/>
  <c r="J12" i="2"/>
  <c r="F29" i="2"/>
  <c r="F27" i="2"/>
  <c r="F25" i="2"/>
  <c r="F28" i="2"/>
  <c r="F23" i="2"/>
  <c r="F30" i="2"/>
  <c r="F24" i="2"/>
  <c r="F22" i="2"/>
  <c r="F20" i="2"/>
  <c r="F18" i="2"/>
  <c r="F19" i="2"/>
  <c r="F17" i="2"/>
  <c r="F15" i="2"/>
  <c r="F13" i="2"/>
  <c r="F14" i="2"/>
  <c r="F12" i="2"/>
  <c r="O29" i="2"/>
  <c r="O27" i="2"/>
  <c r="O25" i="2"/>
  <c r="O30" i="2"/>
  <c r="O28" i="2"/>
  <c r="O24" i="2"/>
  <c r="O22" i="2"/>
  <c r="O20" i="2"/>
  <c r="O19" i="2"/>
  <c r="O17" i="2"/>
  <c r="O15" i="2"/>
  <c r="O23" i="2"/>
  <c r="O14" i="2"/>
  <c r="O12" i="2"/>
  <c r="O18" i="2"/>
  <c r="O13" i="2"/>
  <c r="AY29" i="2"/>
  <c r="AY27" i="2"/>
  <c r="AY25" i="2"/>
  <c r="AY30" i="2"/>
  <c r="AY28" i="2"/>
  <c r="AY24" i="2"/>
  <c r="AY22" i="2"/>
  <c r="AY20" i="2"/>
  <c r="AY19" i="2"/>
  <c r="AY17" i="2"/>
  <c r="AY15" i="2"/>
  <c r="AY23" i="2"/>
  <c r="AY13" i="2"/>
  <c r="AY14" i="2"/>
  <c r="AY12" i="2"/>
  <c r="AY18" i="2"/>
  <c r="K2" i="11"/>
  <c r="N3" i="2"/>
  <c r="N10" i="2"/>
  <c r="N6" i="2"/>
  <c r="N7" i="2"/>
  <c r="N9" i="2"/>
  <c r="N4" i="2"/>
  <c r="E2" i="11"/>
  <c r="H9" i="2"/>
  <c r="H10" i="2"/>
  <c r="H3" i="2"/>
  <c r="H4" i="2"/>
  <c r="H6" i="2"/>
  <c r="H7" i="2"/>
  <c r="J2" i="11"/>
  <c r="M3" i="2"/>
  <c r="M9" i="2"/>
  <c r="M10" i="2"/>
  <c r="M7" i="2"/>
  <c r="M6" i="2"/>
  <c r="M4" i="2"/>
  <c r="AT2" i="11"/>
  <c r="AW10" i="2"/>
  <c r="AW6" i="2"/>
  <c r="AW7" i="2"/>
  <c r="AW3" i="2"/>
  <c r="AW4" i="2"/>
  <c r="AW9" i="2"/>
  <c r="F2" i="11"/>
  <c r="I4" i="2"/>
  <c r="I3" i="2"/>
  <c r="I6" i="2"/>
  <c r="I9" i="2"/>
  <c r="I7" i="2"/>
  <c r="I10" i="2"/>
  <c r="D3" i="2"/>
  <c r="A2" i="11"/>
  <c r="D6" i="2"/>
  <c r="D10" i="2"/>
  <c r="D4" i="2"/>
  <c r="D7" i="2"/>
  <c r="D9" i="2"/>
  <c r="D2" i="11"/>
  <c r="G10" i="2"/>
  <c r="G9" i="2"/>
  <c r="G4" i="2"/>
  <c r="G3" i="2"/>
  <c r="G7" i="2"/>
  <c r="G6" i="2"/>
  <c r="I2" i="11"/>
  <c r="L9" i="2"/>
  <c r="L6" i="2"/>
  <c r="L10" i="2"/>
  <c r="L3" i="2"/>
  <c r="L4" i="2"/>
  <c r="L7" i="2"/>
  <c r="AU2" i="11"/>
  <c r="AX10" i="2"/>
  <c r="AX7" i="2"/>
  <c r="AX3" i="2"/>
  <c r="AX9" i="2"/>
  <c r="AX4" i="2"/>
  <c r="AX6" i="2"/>
  <c r="B2" i="11"/>
  <c r="E7" i="2"/>
  <c r="E9" i="2"/>
  <c r="E4" i="2"/>
  <c r="E3" i="2"/>
  <c r="E10" i="2"/>
  <c r="E6" i="2"/>
  <c r="G2" i="11"/>
  <c r="J4" i="2"/>
  <c r="J10" i="2"/>
  <c r="J3" i="2"/>
  <c r="J7" i="2"/>
  <c r="J6" i="2"/>
  <c r="J9" i="2"/>
  <c r="C2" i="11"/>
  <c r="F7" i="2"/>
  <c r="F6" i="2"/>
  <c r="F10" i="2"/>
  <c r="F3" i="2"/>
  <c r="F9" i="2"/>
  <c r="F4" i="2"/>
  <c r="L2" i="11"/>
  <c r="O7" i="2"/>
  <c r="O10" i="2"/>
  <c r="O4" i="2"/>
  <c r="O9" i="2"/>
  <c r="O3" i="2"/>
  <c r="O6" i="2"/>
  <c r="AV2" i="11"/>
  <c r="AY7" i="2"/>
  <c r="AY10" i="2"/>
  <c r="AY3" i="2"/>
  <c r="AY4" i="2"/>
  <c r="AY6" i="2"/>
  <c r="AY9" i="2"/>
  <c r="BT8" i="1"/>
  <c r="BS8" i="1"/>
  <c r="BS38" i="2"/>
  <c r="BR38" i="2"/>
  <c r="BP38" i="2"/>
  <c r="BN38" i="2"/>
  <c r="BM38" i="2"/>
  <c r="BL38" i="2"/>
  <c r="BK38" i="2"/>
  <c r="BJ38" i="2"/>
  <c r="BI38" i="2"/>
  <c r="BH38" i="2"/>
  <c r="BE38" i="2"/>
  <c r="BC38" i="2"/>
  <c r="BB38" i="2"/>
  <c r="BA38" i="2"/>
  <c r="AZ38" i="2"/>
  <c r="AY38" i="2"/>
  <c r="AX38" i="2"/>
  <c r="AW38" i="2"/>
  <c r="AV38" i="2"/>
  <c r="AT38" i="2"/>
  <c r="AR38" i="2"/>
  <c r="AQ38" i="2"/>
  <c r="AP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X38" i="2"/>
  <c r="W38" i="2"/>
  <c r="V38" i="2"/>
  <c r="U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BS37" i="2"/>
  <c r="BR37" i="2"/>
  <c r="BP37" i="2"/>
  <c r="BN37" i="2"/>
  <c r="BM37" i="2"/>
  <c r="BL37" i="2"/>
  <c r="BK37" i="2"/>
  <c r="BJ37" i="2"/>
  <c r="BI37" i="2"/>
  <c r="BH37" i="2"/>
  <c r="BE37" i="2"/>
  <c r="BC37" i="2"/>
  <c r="BB37" i="2"/>
  <c r="BA37" i="2"/>
  <c r="AZ37" i="2"/>
  <c r="AY37" i="2"/>
  <c r="AX37" i="2"/>
  <c r="AW37" i="2"/>
  <c r="AV37" i="2"/>
  <c r="AT37" i="2"/>
  <c r="AR37" i="2"/>
  <c r="AQ37" i="2"/>
  <c r="AP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X37" i="2"/>
  <c r="W37" i="2"/>
  <c r="V37" i="2"/>
  <c r="U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BS36" i="2"/>
  <c r="BR36" i="2"/>
  <c r="BP36" i="2"/>
  <c r="BN36" i="2"/>
  <c r="BM36" i="2"/>
  <c r="BL36" i="2"/>
  <c r="BK36" i="2"/>
  <c r="BJ36" i="2"/>
  <c r="BI36" i="2"/>
  <c r="BH36" i="2"/>
  <c r="BE36" i="2"/>
  <c r="BC36" i="2"/>
  <c r="BB36" i="2"/>
  <c r="BA36" i="2"/>
  <c r="AZ36" i="2"/>
  <c r="AY36" i="2"/>
  <c r="AX36" i="2"/>
  <c r="AW36" i="2"/>
  <c r="AV36" i="2"/>
  <c r="AT36" i="2"/>
  <c r="AR36" i="2"/>
  <c r="AQ36" i="2"/>
  <c r="AP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X36" i="2"/>
  <c r="W36" i="2"/>
  <c r="V36" i="2"/>
  <c r="U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BS35" i="2"/>
  <c r="BR35" i="2"/>
  <c r="BP35" i="2"/>
  <c r="BN35" i="2"/>
  <c r="BM35" i="2"/>
  <c r="BL35" i="2"/>
  <c r="BK35" i="2"/>
  <c r="BJ35" i="2"/>
  <c r="BI35" i="2"/>
  <c r="BH35" i="2"/>
  <c r="BE35" i="2"/>
  <c r="BC35" i="2"/>
  <c r="BB35" i="2"/>
  <c r="BA35" i="2"/>
  <c r="AZ35" i="2"/>
  <c r="AY35" i="2"/>
  <c r="AX35" i="2"/>
  <c r="AW35" i="2"/>
  <c r="AV35" i="2"/>
  <c r="AT35" i="2"/>
  <c r="AR35" i="2"/>
  <c r="AQ35" i="2"/>
  <c r="AP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X35" i="2"/>
  <c r="W35" i="2"/>
  <c r="V35" i="2"/>
  <c r="U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BS34" i="2"/>
  <c r="BR34" i="2"/>
  <c r="BP34" i="2"/>
  <c r="BN34" i="2"/>
  <c r="BM34" i="2"/>
  <c r="BL34" i="2"/>
  <c r="BK34" i="2"/>
  <c r="BJ34" i="2"/>
  <c r="BI34" i="2"/>
  <c r="BH34" i="2"/>
  <c r="BE34" i="2"/>
  <c r="BC34" i="2"/>
  <c r="BB34" i="2"/>
  <c r="BA34" i="2"/>
  <c r="AZ34" i="2"/>
  <c r="AY34" i="2"/>
  <c r="AX34" i="2"/>
  <c r="AW34" i="2"/>
  <c r="AV34" i="2"/>
  <c r="AT34" i="2"/>
  <c r="AR34" i="2"/>
  <c r="AQ34" i="2"/>
  <c r="AP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X34" i="2"/>
  <c r="W34" i="2"/>
  <c r="V34" i="2"/>
  <c r="U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BS33" i="2"/>
  <c r="BR33" i="2"/>
  <c r="BP33" i="2"/>
  <c r="BN33" i="2"/>
  <c r="BM33" i="2"/>
  <c r="BL33" i="2"/>
  <c r="BK33" i="2"/>
  <c r="BJ33" i="2"/>
  <c r="BI33" i="2"/>
  <c r="BH33" i="2"/>
  <c r="BE33" i="2"/>
  <c r="BC33" i="2"/>
  <c r="BB33" i="2"/>
  <c r="BA33" i="2"/>
  <c r="AZ33" i="2"/>
  <c r="AY33" i="2"/>
  <c r="AX33" i="2"/>
  <c r="AW33" i="2"/>
  <c r="AV33" i="2"/>
  <c r="AT33" i="2"/>
  <c r="AR33" i="2"/>
  <c r="AQ33" i="2"/>
  <c r="AP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X33" i="2"/>
  <c r="W33" i="2"/>
  <c r="V33" i="2"/>
  <c r="U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M29" i="4" l="1"/>
  <c r="L29" i="4"/>
  <c r="M28" i="4"/>
  <c r="BP25" i="1" s="1"/>
  <c r="L28" i="4"/>
  <c r="BN25" i="1" s="1"/>
  <c r="M24" i="4"/>
  <c r="BP21" i="1" s="1"/>
  <c r="L24" i="4"/>
  <c r="BN21" i="1" s="1"/>
  <c r="L19" i="4"/>
  <c r="L20" i="4"/>
  <c r="L21" i="4"/>
  <c r="BN18" i="1" s="1"/>
  <c r="BN4" i="10" s="1"/>
  <c r="M12" i="4"/>
  <c r="BP8" i="1" s="1"/>
  <c r="M13" i="4"/>
  <c r="BP10" i="1" s="1"/>
  <c r="M14" i="4"/>
  <c r="BP11" i="1" s="1"/>
  <c r="M15" i="4"/>
  <c r="BP12" i="1" s="1"/>
  <c r="M16" i="4"/>
  <c r="BP13" i="1" s="1"/>
  <c r="M17" i="4"/>
  <c r="BP14" i="1" s="1"/>
  <c r="M18" i="4"/>
  <c r="BP15" i="1" s="1"/>
  <c r="M19" i="4"/>
  <c r="M20" i="4"/>
  <c r="M21" i="4"/>
  <c r="BP18" i="1" s="1"/>
  <c r="BP4" i="10" s="1"/>
  <c r="M10" i="4"/>
  <c r="L10" i="4"/>
  <c r="BN26" i="1"/>
  <c r="L12" i="4"/>
  <c r="BN8" i="1" s="1"/>
  <c r="L13" i="4"/>
  <c r="BN10" i="1" s="1"/>
  <c r="L14" i="4"/>
  <c r="BN11" i="1" s="1"/>
  <c r="L15" i="4"/>
  <c r="BN12" i="1" s="1"/>
  <c r="L16" i="4"/>
  <c r="BN13" i="1" s="1"/>
  <c r="L17" i="4"/>
  <c r="BN14" i="1" s="1"/>
  <c r="L18" i="4"/>
  <c r="BN15" i="1" s="1"/>
  <c r="BP26" i="1"/>
  <c r="BP16" i="1"/>
  <c r="BQ3" i="2" l="1"/>
  <c r="BQ9" i="2"/>
  <c r="BQ6" i="2"/>
  <c r="BO9" i="2"/>
  <c r="BO6" i="2"/>
  <c r="BO3" i="2"/>
  <c r="BP9" i="1"/>
  <c r="BP3" i="10" s="1"/>
  <c r="BN9" i="1"/>
  <c r="BN3" i="10" s="1"/>
  <c r="BO37" i="2"/>
  <c r="BO35" i="2"/>
  <c r="BO33" i="2"/>
  <c r="BO38" i="2"/>
  <c r="BO36" i="2"/>
  <c r="BO34" i="2"/>
  <c r="BQ38" i="2"/>
  <c r="BQ36" i="2"/>
  <c r="BQ34" i="2"/>
  <c r="BQ37" i="2"/>
  <c r="BQ35" i="2"/>
  <c r="BQ33" i="2"/>
  <c r="AV36" i="1"/>
  <c r="AN36" i="1"/>
  <c r="AN35" i="1"/>
  <c r="AN30" i="1"/>
  <c r="BQ30" i="2" l="1"/>
  <c r="BQ18" i="2"/>
  <c r="BQ13" i="2"/>
  <c r="BQ20" i="2"/>
  <c r="BQ28" i="2"/>
  <c r="BQ25" i="2"/>
  <c r="BQ19" i="2"/>
  <c r="BQ15" i="2"/>
  <c r="BQ24" i="2"/>
  <c r="BQ23" i="2"/>
  <c r="BQ14" i="2"/>
  <c r="BQ29" i="2"/>
  <c r="AO17" i="2"/>
  <c r="AO12" i="2"/>
  <c r="AO27" i="2"/>
  <c r="AO22" i="2"/>
  <c r="BO29" i="2"/>
  <c r="BO28" i="2"/>
  <c r="BO23" i="2"/>
  <c r="BO18" i="2"/>
  <c r="BO20" i="2"/>
  <c r="BO15" i="2"/>
  <c r="BO24" i="2"/>
  <c r="BO19" i="2"/>
  <c r="BO14" i="2"/>
  <c r="BO30" i="2"/>
  <c r="BO13" i="2"/>
  <c r="BO25" i="2"/>
  <c r="AW22" i="2"/>
  <c r="AW27" i="2"/>
  <c r="BO10" i="2"/>
  <c r="BO4" i="2"/>
  <c r="BO7" i="2"/>
  <c r="BQ4" i="2"/>
  <c r="BQ10" i="2"/>
  <c r="BQ7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BG1" i="2"/>
  <c r="BH1" i="2"/>
  <c r="BI1" i="2"/>
  <c r="BJ1" i="2"/>
  <c r="BK1" i="2"/>
  <c r="BL1" i="2"/>
  <c r="BM1" i="2"/>
  <c r="BN1" i="2"/>
  <c r="BO1" i="2"/>
  <c r="BP1" i="2"/>
  <c r="BQ1" i="2"/>
  <c r="BR1" i="2"/>
  <c r="BS1" i="2"/>
  <c r="BT1" i="2"/>
  <c r="BU1" i="2"/>
  <c r="D1" i="2"/>
  <c r="BO31" i="1"/>
  <c r="BO30" i="1"/>
  <c r="BC36" i="1"/>
  <c r="BC31" i="1"/>
  <c r="BC30" i="1"/>
  <c r="BC29" i="1"/>
  <c r="BC26" i="1"/>
  <c r="BC25" i="1"/>
  <c r="BC21" i="1"/>
  <c r="BC18" i="1"/>
  <c r="BC4" i="10" s="1"/>
  <c r="BC14" i="1"/>
  <c r="BC13" i="1"/>
  <c r="BC12" i="1"/>
  <c r="BC11" i="1"/>
  <c r="BC9" i="1"/>
  <c r="BC3" i="10" s="1"/>
  <c r="BC7" i="1"/>
  <c r="BC2" i="10" s="1"/>
  <c r="BF31" i="1"/>
  <c r="BE31" i="1"/>
  <c r="BF29" i="1"/>
  <c r="BE29" i="1"/>
  <c r="BF26" i="1"/>
  <c r="BE26" i="1"/>
  <c r="BF25" i="1"/>
  <c r="BE25" i="1"/>
  <c r="BF21" i="1"/>
  <c r="BE21" i="1"/>
  <c r="BF18" i="1"/>
  <c r="BF4" i="10" s="1"/>
  <c r="BE18" i="1"/>
  <c r="BE4" i="10" s="1"/>
  <c r="BF15" i="1"/>
  <c r="BE15" i="1"/>
  <c r="BF14" i="1"/>
  <c r="BE14" i="1"/>
  <c r="BF13" i="1"/>
  <c r="BE13" i="1"/>
  <c r="BF12" i="1"/>
  <c r="BE12" i="1"/>
  <c r="BF11" i="1"/>
  <c r="BE11" i="1"/>
  <c r="BF10" i="1"/>
  <c r="BE10" i="1"/>
  <c r="BF9" i="1"/>
  <c r="BF3" i="10" s="1"/>
  <c r="BE9" i="1"/>
  <c r="BE3" i="10" s="1"/>
  <c r="BF7" i="1"/>
  <c r="BF2" i="10" s="1"/>
  <c r="BE7" i="1"/>
  <c r="BE2" i="10" s="1"/>
  <c r="BD30" i="1"/>
  <c r="BB35" i="1"/>
  <c r="AR31" i="1"/>
  <c r="AT31" i="1"/>
  <c r="AT36" i="1"/>
  <c r="AT35" i="1"/>
  <c r="AT30" i="1"/>
  <c r="AT29" i="1"/>
  <c r="AT26" i="1"/>
  <c r="AT25" i="1"/>
  <c r="AT18" i="1"/>
  <c r="AT4" i="10" s="1"/>
  <c r="AT10" i="1"/>
  <c r="AT11" i="1"/>
  <c r="AT12" i="1"/>
  <c r="BT12" i="1" s="1"/>
  <c r="AT13" i="1"/>
  <c r="AT14" i="1"/>
  <c r="BT14" i="1" s="1"/>
  <c r="AT15" i="1"/>
  <c r="AT9" i="1"/>
  <c r="AT3" i="10" s="1"/>
  <c r="AT7" i="1"/>
  <c r="AT2" i="10" s="1"/>
  <c r="AR36" i="1"/>
  <c r="AR35" i="1"/>
  <c r="AR30" i="1"/>
  <c r="AR29" i="1"/>
  <c r="AR26" i="1"/>
  <c r="AR25" i="1"/>
  <c r="AR18" i="1"/>
  <c r="AR4" i="10" s="1"/>
  <c r="AR10" i="1"/>
  <c r="AR11" i="1"/>
  <c r="AR12" i="1"/>
  <c r="AR13" i="1"/>
  <c r="AR14" i="1"/>
  <c r="AR15" i="1"/>
  <c r="AR9" i="1"/>
  <c r="AR3" i="10" s="1"/>
  <c r="AN29" i="1"/>
  <c r="AN26" i="1"/>
  <c r="AN25" i="1"/>
  <c r="AN21" i="1"/>
  <c r="AN18" i="1"/>
  <c r="AN4" i="10" s="1"/>
  <c r="AN15" i="1"/>
  <c r="AN14" i="1"/>
  <c r="AN9" i="1"/>
  <c r="AN3" i="10" s="1"/>
  <c r="AM21" i="1"/>
  <c r="AL21" i="1"/>
  <c r="AK36" i="1"/>
  <c r="D21" i="1"/>
  <c r="Z21" i="1"/>
  <c r="X36" i="1"/>
  <c r="X35" i="1"/>
  <c r="X9" i="1"/>
  <c r="X3" i="10" s="1"/>
  <c r="X10" i="1"/>
  <c r="X11" i="1"/>
  <c r="X12" i="1"/>
  <c r="X13" i="1"/>
  <c r="X14" i="1"/>
  <c r="X15" i="1"/>
  <c r="X16" i="1"/>
  <c r="X17" i="1"/>
  <c r="X18" i="1"/>
  <c r="X4" i="10" s="1"/>
  <c r="X21" i="1"/>
  <c r="X25" i="1"/>
  <c r="X26" i="1"/>
  <c r="X29" i="1"/>
  <c r="X30" i="1"/>
  <c r="X31" i="1"/>
  <c r="X34" i="1"/>
  <c r="S9" i="1"/>
  <c r="S3" i="10" s="1"/>
  <c r="S10" i="1"/>
  <c r="S14" i="1"/>
  <c r="S15" i="1"/>
  <c r="S16" i="1"/>
  <c r="S18" i="1"/>
  <c r="S4" i="10" s="1"/>
  <c r="S21" i="1"/>
  <c r="S25" i="1"/>
  <c r="S26" i="1"/>
  <c r="S29" i="1"/>
  <c r="S30" i="1"/>
  <c r="S31" i="1"/>
  <c r="S35" i="1"/>
  <c r="S36" i="1"/>
  <c r="AK30" i="1"/>
  <c r="Y30" i="2" l="1"/>
  <c r="Y25" i="2"/>
  <c r="Y14" i="2"/>
  <c r="Y18" i="2"/>
  <c r="Y28" i="2"/>
  <c r="Y23" i="2"/>
  <c r="Y19" i="2"/>
  <c r="Y24" i="2"/>
  <c r="Y13" i="2"/>
  <c r="Y15" i="2"/>
  <c r="Y29" i="2"/>
  <c r="Y20" i="2"/>
  <c r="E19" i="2"/>
  <c r="E14" i="2"/>
  <c r="E29" i="2"/>
  <c r="E24" i="2"/>
  <c r="AO30" i="2"/>
  <c r="AO25" i="2"/>
  <c r="AO20" i="2"/>
  <c r="AO15" i="2"/>
  <c r="AO24" i="2"/>
  <c r="AO14" i="2"/>
  <c r="AO28" i="2"/>
  <c r="AO23" i="2"/>
  <c r="AO19" i="2"/>
  <c r="AO29" i="2"/>
  <c r="AO13" i="2"/>
  <c r="AO18" i="2"/>
  <c r="AS20" i="2"/>
  <c r="AS28" i="2"/>
  <c r="AS25" i="2"/>
  <c r="AS24" i="2"/>
  <c r="AS30" i="2"/>
  <c r="AS23" i="2"/>
  <c r="AS18" i="2"/>
  <c r="AS13" i="2"/>
  <c r="AS15" i="2"/>
  <c r="BE17" i="2"/>
  <c r="BE12" i="2"/>
  <c r="BP18" i="2"/>
  <c r="BP13" i="2"/>
  <c r="T30" i="2"/>
  <c r="T14" i="2"/>
  <c r="T29" i="2"/>
  <c r="T15" i="2"/>
  <c r="T24" i="2"/>
  <c r="T18" i="2"/>
  <c r="T28" i="2"/>
  <c r="T20" i="2"/>
  <c r="T19" i="2"/>
  <c r="T25" i="2"/>
  <c r="T23" i="2"/>
  <c r="T13" i="2"/>
  <c r="AA14" i="2"/>
  <c r="AA29" i="2"/>
  <c r="AA19" i="2"/>
  <c r="AA24" i="2"/>
  <c r="BP12" i="2"/>
  <c r="BP17" i="2"/>
  <c r="T12" i="2"/>
  <c r="T17" i="2"/>
  <c r="AL27" i="2"/>
  <c r="AL22" i="2"/>
  <c r="AS22" i="2"/>
  <c r="AS27" i="2"/>
  <c r="BF29" i="2"/>
  <c r="BF25" i="2"/>
  <c r="BF28" i="2"/>
  <c r="BF23" i="2"/>
  <c r="BF30" i="2"/>
  <c r="BF20" i="2"/>
  <c r="BF24" i="2"/>
  <c r="BF18" i="2"/>
  <c r="BF19" i="2"/>
  <c r="BF15" i="2"/>
  <c r="BF13" i="2"/>
  <c r="BF14" i="2"/>
  <c r="BF12" i="2"/>
  <c r="BD30" i="2"/>
  <c r="BD28" i="2"/>
  <c r="BD24" i="2"/>
  <c r="BD29" i="2"/>
  <c r="BD22" i="2"/>
  <c r="BD20" i="2"/>
  <c r="BD25" i="2"/>
  <c r="BD23" i="2"/>
  <c r="BD19" i="2"/>
  <c r="BD17" i="2"/>
  <c r="BD15" i="2"/>
  <c r="BD18" i="2"/>
  <c r="BD27" i="2"/>
  <c r="BD14" i="2"/>
  <c r="BD12" i="2"/>
  <c r="BD13" i="2"/>
  <c r="AN24" i="2"/>
  <c r="AN14" i="2"/>
  <c r="AN19" i="2"/>
  <c r="AN29" i="2"/>
  <c r="AS12" i="2"/>
  <c r="AS17" i="2"/>
  <c r="AL17" i="2"/>
  <c r="AL12" i="2"/>
  <c r="T22" i="2"/>
  <c r="T27" i="2"/>
  <c r="Y12" i="2"/>
  <c r="Y17" i="2"/>
  <c r="Y22" i="2"/>
  <c r="Y27" i="2"/>
  <c r="AM14" i="2"/>
  <c r="AM29" i="2"/>
  <c r="AM19" i="2"/>
  <c r="AM24" i="2"/>
  <c r="AU27" i="2"/>
  <c r="AU25" i="2"/>
  <c r="AU30" i="2"/>
  <c r="AU28" i="2"/>
  <c r="AU22" i="2"/>
  <c r="AU20" i="2"/>
  <c r="AU23" i="2"/>
  <c r="AU17" i="2"/>
  <c r="AU15" i="2"/>
  <c r="AU18" i="2"/>
  <c r="AU13" i="2"/>
  <c r="AU12" i="2"/>
  <c r="BG29" i="2"/>
  <c r="BG25" i="2"/>
  <c r="BG30" i="2"/>
  <c r="BG28" i="2"/>
  <c r="BG24" i="2"/>
  <c r="BG20" i="2"/>
  <c r="BG19" i="2"/>
  <c r="BG15" i="2"/>
  <c r="BG23" i="2"/>
  <c r="BG13" i="2"/>
  <c r="BG14" i="2"/>
  <c r="BG18" i="2"/>
  <c r="T9" i="2"/>
  <c r="T3" i="2"/>
  <c r="T6" i="2"/>
  <c r="Y4" i="2"/>
  <c r="Y10" i="2"/>
  <c r="Y7" i="2"/>
  <c r="AO7" i="2"/>
  <c r="AO4" i="2"/>
  <c r="AO10" i="2"/>
  <c r="AS4" i="2"/>
  <c r="AS10" i="2"/>
  <c r="AS7" i="2"/>
  <c r="AS3" i="2"/>
  <c r="AS9" i="2"/>
  <c r="AS6" i="2"/>
  <c r="Y9" i="2"/>
  <c r="Y3" i="2"/>
  <c r="Y6" i="2"/>
  <c r="AO9" i="2"/>
  <c r="AO3" i="2"/>
  <c r="AO6" i="2"/>
  <c r="BC2" i="11"/>
  <c r="BF4" i="2"/>
  <c r="BF3" i="2"/>
  <c r="BF6" i="2"/>
  <c r="BF10" i="2"/>
  <c r="BF7" i="2"/>
  <c r="BF9" i="2"/>
  <c r="BA2" i="11"/>
  <c r="BD7" i="2"/>
  <c r="BD4" i="2"/>
  <c r="BD9" i="2"/>
  <c r="BD10" i="2"/>
  <c r="BD6" i="2"/>
  <c r="BD3" i="2"/>
  <c r="T7" i="2"/>
  <c r="T4" i="2"/>
  <c r="T10" i="2"/>
  <c r="AR2" i="11"/>
  <c r="AU6" i="2"/>
  <c r="AU7" i="2"/>
  <c r="AU3" i="2"/>
  <c r="AU10" i="2"/>
  <c r="AU9" i="2"/>
  <c r="AU4" i="2"/>
  <c r="BD2" i="11"/>
  <c r="BG7" i="2"/>
  <c r="BG3" i="2"/>
  <c r="BG6" i="2"/>
  <c r="BG4" i="2"/>
  <c r="BG9" i="2"/>
  <c r="BG10" i="2"/>
  <c r="BS10" i="1"/>
  <c r="BT13" i="1"/>
  <c r="BS18" i="1"/>
  <c r="BS4" i="10" s="1"/>
  <c r="BT26" i="1"/>
  <c r="AR21" i="1"/>
  <c r="AS29" i="2" s="1"/>
  <c r="BT9" i="1"/>
  <c r="BT3" i="10" s="1"/>
  <c r="BS12" i="1"/>
  <c r="AT21" i="1"/>
  <c r="AU14" i="2" s="1"/>
  <c r="BT7" i="1"/>
  <c r="BT2" i="10" s="1"/>
  <c r="BT18" i="1"/>
  <c r="BT4" i="10" s="1"/>
  <c r="BT15" i="1"/>
  <c r="BT11" i="1"/>
  <c r="BS25" i="1"/>
  <c r="BC35" i="1"/>
  <c r="BF30" i="1"/>
  <c r="BG12" i="2" s="1"/>
  <c r="BT10" i="1"/>
  <c r="BS14" i="1"/>
  <c r="Y38" i="2"/>
  <c r="Y37" i="2"/>
  <c r="Y36" i="2"/>
  <c r="Y35" i="2"/>
  <c r="Y34" i="2"/>
  <c r="Y33" i="2"/>
  <c r="BF38" i="2"/>
  <c r="BF37" i="2"/>
  <c r="BF36" i="2"/>
  <c r="BF35" i="2"/>
  <c r="BF34" i="2"/>
  <c r="BF33" i="2"/>
  <c r="AS38" i="2"/>
  <c r="AS37" i="2"/>
  <c r="AS36" i="2"/>
  <c r="AS35" i="2"/>
  <c r="AS34" i="2"/>
  <c r="AS33" i="2"/>
  <c r="BG38" i="2"/>
  <c r="BG37" i="2"/>
  <c r="BG36" i="2"/>
  <c r="BG35" i="2"/>
  <c r="BG34" i="2"/>
  <c r="BG33" i="2"/>
  <c r="BS9" i="1"/>
  <c r="BS3" i="10" s="1"/>
  <c r="BS11" i="1"/>
  <c r="BS13" i="1"/>
  <c r="BS15" i="1"/>
  <c r="BS26" i="1"/>
  <c r="BT25" i="1"/>
  <c r="T38" i="2"/>
  <c r="T36" i="2"/>
  <c r="T35" i="2"/>
  <c r="T34" i="2"/>
  <c r="T33" i="2"/>
  <c r="T37" i="2"/>
  <c r="AO38" i="2"/>
  <c r="AO37" i="2"/>
  <c r="AO36" i="2"/>
  <c r="AO35" i="2"/>
  <c r="AO34" i="2"/>
  <c r="AO33" i="2"/>
  <c r="AU38" i="2"/>
  <c r="AU37" i="2"/>
  <c r="AU36" i="2"/>
  <c r="AU35" i="2"/>
  <c r="AU34" i="2"/>
  <c r="AU33" i="2"/>
  <c r="BD35" i="1"/>
  <c r="BE30" i="1"/>
  <c r="BF17" i="2" s="1"/>
  <c r="BD38" i="2"/>
  <c r="BD34" i="2"/>
  <c r="BD37" i="2"/>
  <c r="BD33" i="2"/>
  <c r="BD36" i="2"/>
  <c r="BD35" i="2"/>
  <c r="BS7" i="1"/>
  <c r="BS2" i="10" s="1"/>
  <c r="AU24" i="2" l="1"/>
  <c r="BG17" i="2"/>
  <c r="BS21" i="1"/>
  <c r="AU19" i="2"/>
  <c r="BU30" i="2"/>
  <c r="BU28" i="2"/>
  <c r="BU27" i="2"/>
  <c r="BU25" i="2"/>
  <c r="BU23" i="2"/>
  <c r="BU20" i="2"/>
  <c r="BU22" i="2"/>
  <c r="BU18" i="2"/>
  <c r="BU15" i="2"/>
  <c r="BU12" i="2"/>
  <c r="BU17" i="2"/>
  <c r="BU13" i="2"/>
  <c r="AU29" i="2"/>
  <c r="AS14" i="2"/>
  <c r="AS19" i="2"/>
  <c r="BT30" i="2"/>
  <c r="BT28" i="2"/>
  <c r="BT24" i="2"/>
  <c r="BT25" i="2"/>
  <c r="BT22" i="2"/>
  <c r="BT20" i="2"/>
  <c r="BT27" i="2"/>
  <c r="BT29" i="2"/>
  <c r="BT23" i="2"/>
  <c r="BT19" i="2"/>
  <c r="BT17" i="2"/>
  <c r="BT15" i="2"/>
  <c r="BT18" i="2"/>
  <c r="BT14" i="2"/>
  <c r="BT12" i="2"/>
  <c r="BT13" i="2"/>
  <c r="BU35" i="2"/>
  <c r="BU34" i="2"/>
  <c r="BR2" i="11"/>
  <c r="BU4" i="2"/>
  <c r="BU3" i="2"/>
  <c r="BU9" i="2"/>
  <c r="BU6" i="2"/>
  <c r="BU10" i="2"/>
  <c r="BU7" i="2"/>
  <c r="BU38" i="2"/>
  <c r="BU37" i="2"/>
  <c r="BQ2" i="11"/>
  <c r="BT3" i="2"/>
  <c r="BT4" i="2"/>
  <c r="BT9" i="2"/>
  <c r="BT6" i="2"/>
  <c r="BT10" i="2"/>
  <c r="BT7" i="2"/>
  <c r="BU36" i="2"/>
  <c r="BU33" i="2"/>
  <c r="BT21" i="1"/>
  <c r="BU19" i="2" s="1"/>
  <c r="BT38" i="2"/>
  <c r="BT37" i="2"/>
  <c r="BT36" i="2"/>
  <c r="BT35" i="2"/>
  <c r="BT34" i="2"/>
  <c r="BT33" i="2"/>
  <c r="BF35" i="1"/>
  <c r="BD36" i="1"/>
  <c r="BE35" i="1"/>
  <c r="BE22" i="2" l="1"/>
  <c r="BE27" i="2"/>
  <c r="BU14" i="2"/>
  <c r="BU29" i="2"/>
  <c r="BU24" i="2"/>
  <c r="BE36" i="1"/>
  <c r="BF36" i="1"/>
  <c r="BF27" i="2" l="1"/>
  <c r="BF22" i="2"/>
  <c r="BG22" i="2"/>
  <c r="BG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 Karlsson</author>
  </authors>
  <commentList>
    <comment ref="AR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https://doi.org/10.1016/B978-0-08-100596-5.00695-8</t>
        </r>
      </text>
    </comment>
    <comment ref="AR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https://doi.org/10.1016/B978-0-08-100596-5.00695-8</t>
        </r>
      </text>
    </comment>
    <comment ref="BQ2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https://feedtables.com/content/fodder-beet-raw</t>
        </r>
      </text>
    </comment>
    <comment ref="AC2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https://feedtables.com/content/maize-germ-meal-oil-5-20</t>
        </r>
      </text>
    </comment>
    <comment ref="BB2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https://feedtables.com/content/tomato-pulp-dehydrated</t>
        </r>
      </text>
    </comment>
    <comment ref="C2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https://feedtables.com/content/wheat-soft</t>
        </r>
      </text>
    </comment>
    <comment ref="F29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https://feedtables.com/content/barley</t>
        </r>
      </text>
    </comment>
    <comment ref="G29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https://feedtables.com/content/oats</t>
        </r>
      </text>
    </comment>
    <comment ref="BB29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https://feedtables.com/content/tomato-pulp-dehydrated</t>
        </r>
      </text>
    </comment>
    <comment ref="AK30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https://feedtables.com/content/molasses-beet</t>
        </r>
      </text>
    </comment>
    <comment ref="BB30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https://feedtables.com/content/tomato-pulp-dehydrated</t>
        </r>
      </text>
    </comment>
    <comment ref="BD30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ratio NE/DE from tomatoes</t>
        </r>
      </text>
    </comment>
    <comment ref="BO30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ME=1150 kcal/lb.
https://articles.extension.org/pages/27447/forages-for-swine</t>
        </r>
      </text>
    </comment>
    <comment ref="AK3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https://feedtables.com/content/molasses-beet</t>
        </r>
      </text>
    </comment>
    <comment ref="BB31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https://feedtables.com/content/tomato-pulp-dehydrated</t>
        </r>
      </text>
    </comment>
    <comment ref="M35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ground
https://feedtables.com/content/faba-bean-white-flowers</t>
        </r>
      </text>
    </comment>
    <comment ref="N35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https://feedtables.com/content/lupin-blue</t>
        </r>
      </text>
    </comment>
    <comment ref="U35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https://feedtables.com/content/sunflower-meal-oil-5-dehulled</t>
        </r>
      </text>
    </comment>
    <comment ref="AC35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https://feedtables.com/content/maize-germ-meal-oil-5-20</t>
        </r>
      </text>
    </comment>
    <comment ref="AD35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https://feedtables.com/content/wheat-distillers-grains-starch-7-dried</t>
        </r>
      </text>
    </comment>
    <comment ref="AO35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https://feedtables.com/content/whey-powder-sweet</t>
        </r>
      </text>
    </comment>
    <comment ref="AW35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ground</t>
        </r>
      </text>
    </comment>
    <comment ref="BD35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ratio AMEn/DE pig from tomatoes</t>
        </r>
      </text>
    </comment>
    <comment ref="E36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https://feedtables.com/content/rye</t>
        </r>
      </text>
    </comment>
    <comment ref="L36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ground
https://feedtables.com/content/pea</t>
        </r>
      </text>
    </comment>
    <comment ref="M36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ground
https://feedtables.com/content/faba-bean-white-flowers</t>
        </r>
      </text>
    </comment>
    <comment ref="N36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https://feedtables.com/content/lupin-blue</t>
        </r>
      </text>
    </comment>
    <comment ref="U36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https://feedtables.com/content/sunflower-meal-oil-5-dehulled</t>
        </r>
      </text>
    </comment>
    <comment ref="AC36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https://feedtables.com/content/maize-germ-meal-oil-5-20</t>
        </r>
      </text>
    </comment>
    <comment ref="AD36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https://feedtables.com/content/wheat-distillers-grains-starch-7-dried</t>
        </r>
      </text>
    </comment>
    <comment ref="AO36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https://feedtables.com/content/whey-powder-sweet</t>
        </r>
      </text>
    </comment>
    <comment ref="AW36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ground</t>
        </r>
      </text>
    </comment>
    <comment ref="BB36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https://feedtables.com/content/tomato-pulp-dehydrated</t>
        </r>
      </text>
    </comment>
  </commentList>
</comments>
</file>

<file path=xl/sharedStrings.xml><?xml version="1.0" encoding="utf-8"?>
<sst xmlns="http://schemas.openxmlformats.org/spreadsheetml/2006/main" count="599" uniqueCount="352">
  <si>
    <t>Soft wheat</t>
  </si>
  <si>
    <t>Durum wheat</t>
  </si>
  <si>
    <t>Rye and meslin</t>
  </si>
  <si>
    <t>Barley</t>
  </si>
  <si>
    <t>Oats</t>
  </si>
  <si>
    <t>Grain maize</t>
  </si>
  <si>
    <t>Other cereals</t>
  </si>
  <si>
    <t>Paddy rice</t>
  </si>
  <si>
    <t>Rice milled</t>
  </si>
  <si>
    <t>Field peas</t>
  </si>
  <si>
    <t>Broad beans</t>
  </si>
  <si>
    <t>Lupins</t>
  </si>
  <si>
    <t>Rape seed oil</t>
  </si>
  <si>
    <t>Sunflower seed oil</t>
  </si>
  <si>
    <t>Soya oil</t>
  </si>
  <si>
    <t>Olive oil</t>
  </si>
  <si>
    <t>Other oil</t>
  </si>
  <si>
    <t>Rape seed cake</t>
  </si>
  <si>
    <t>Sunflowe seed cake</t>
  </si>
  <si>
    <t>Soya cake</t>
  </si>
  <si>
    <t>Olive cakes</t>
  </si>
  <si>
    <t>Destilled dried grains from bio-ethanol processing</t>
  </si>
  <si>
    <t>Wheat bran</t>
  </si>
  <si>
    <t>Wheat gluten feed</t>
  </si>
  <si>
    <t>Corn gluten meal</t>
  </si>
  <si>
    <t>Corn gluten feed</t>
  </si>
  <si>
    <t>Corn germ meal</t>
  </si>
  <si>
    <t>Wheat distillers grains</t>
  </si>
  <si>
    <t>Corn distillers grains</t>
  </si>
  <si>
    <t>Saltwater fish</t>
  </si>
  <si>
    <t>Fresh water fish</t>
  </si>
  <si>
    <t>Fish and other acquatic products</t>
  </si>
  <si>
    <t>Molasse</t>
  </si>
  <si>
    <t>Starch</t>
  </si>
  <si>
    <t>Energy rich by products</t>
  </si>
  <si>
    <t>Skimmed milk powder</t>
  </si>
  <si>
    <t>Whole milk powder</t>
  </si>
  <si>
    <t>Casein</t>
  </si>
  <si>
    <t>Whey powder</t>
  </si>
  <si>
    <t>Butter</t>
  </si>
  <si>
    <t>Cream</t>
  </si>
  <si>
    <t>Concentrated milk</t>
  </si>
  <si>
    <t>Cheese</t>
  </si>
  <si>
    <t>Fresh milk products</t>
  </si>
  <si>
    <t>Potatoes</t>
  </si>
  <si>
    <t>Rape seed</t>
  </si>
  <si>
    <t>Sunflower seed</t>
  </si>
  <si>
    <t>Soya seed</t>
  </si>
  <si>
    <t>Flax and hemp</t>
  </si>
  <si>
    <t>Tomatoes</t>
  </si>
  <si>
    <t>Other vegetables</t>
  </si>
  <si>
    <t>Apples  pears and peaches</t>
  </si>
  <si>
    <t>Other fruits</t>
  </si>
  <si>
    <t>Citrus fruits</t>
  </si>
  <si>
    <t>Table grapes</t>
  </si>
  <si>
    <t>Table olives</t>
  </si>
  <si>
    <t>Wine</t>
  </si>
  <si>
    <t>Sugar</t>
  </si>
  <si>
    <t>Eggs</t>
  </si>
  <si>
    <t>Pork meat</t>
  </si>
  <si>
    <t>Beef</t>
  </si>
  <si>
    <t>Gras</t>
  </si>
  <si>
    <t>Fodder maize</t>
  </si>
  <si>
    <t>Fodder other on arable land</t>
  </si>
  <si>
    <t>Fodder root crops</t>
  </si>
  <si>
    <t>Straw</t>
  </si>
  <si>
    <t>Milk for feeding</t>
  </si>
  <si>
    <t>Sheep and Goat Milk for feeding</t>
  </si>
  <si>
    <t>Feed name</t>
  </si>
  <si>
    <t>CAPRI code</t>
  </si>
  <si>
    <t>SWHE</t>
  </si>
  <si>
    <t>DWHE</t>
  </si>
  <si>
    <t>RYEM</t>
  </si>
  <si>
    <t>BARL</t>
  </si>
  <si>
    <t>OATS</t>
  </si>
  <si>
    <t>MAIZ</t>
  </si>
  <si>
    <t>OCER</t>
  </si>
  <si>
    <t>PARI</t>
  </si>
  <si>
    <t>RICE</t>
  </si>
  <si>
    <t>PULS</t>
  </si>
  <si>
    <t>RAPO</t>
  </si>
  <si>
    <t>SUNO</t>
  </si>
  <si>
    <t>SOYO</t>
  </si>
  <si>
    <t>OLIO</t>
  </si>
  <si>
    <t>OTHO</t>
  </si>
  <si>
    <t>RAPC</t>
  </si>
  <si>
    <t>SUNC</t>
  </si>
  <si>
    <t>SOYC</t>
  </si>
  <si>
    <t>OLIC</t>
  </si>
  <si>
    <t>DDGS</t>
  </si>
  <si>
    <t>FPRI</t>
  </si>
  <si>
    <t>SFIS</t>
  </si>
  <si>
    <t>FFIS</t>
  </si>
  <si>
    <t>ACQU</t>
  </si>
  <si>
    <t>MOLA</t>
  </si>
  <si>
    <t>STAR</t>
  </si>
  <si>
    <t>FENI</t>
  </si>
  <si>
    <t>SMIP</t>
  </si>
  <si>
    <t>WMIO</t>
  </si>
  <si>
    <t>CASE</t>
  </si>
  <si>
    <t>WHEP</t>
  </si>
  <si>
    <t>BUTT</t>
  </si>
  <si>
    <t>CREM</t>
  </si>
  <si>
    <t>COCM</t>
  </si>
  <si>
    <t>CHES</t>
  </si>
  <si>
    <t>FRMI</t>
  </si>
  <si>
    <t>POTA</t>
  </si>
  <si>
    <t>RAPE</t>
  </si>
  <si>
    <t>SUNF</t>
  </si>
  <si>
    <t>SOYA</t>
  </si>
  <si>
    <t>OOIL</t>
  </si>
  <si>
    <t>TEXT</t>
  </si>
  <si>
    <t>TOMA</t>
  </si>
  <si>
    <t>OVEG</t>
  </si>
  <si>
    <t>APPL</t>
  </si>
  <si>
    <t>OFRU</t>
  </si>
  <si>
    <t>CITR</t>
  </si>
  <si>
    <t>TAGR</t>
  </si>
  <si>
    <t>TABO</t>
  </si>
  <si>
    <t>TWIN</t>
  </si>
  <si>
    <t>SUGA</t>
  </si>
  <si>
    <t>EGGS</t>
  </si>
  <si>
    <t>PORK</t>
  </si>
  <si>
    <t>BEEF</t>
  </si>
  <si>
    <t>FGRA</t>
  </si>
  <si>
    <t>FMAI</t>
  </si>
  <si>
    <t>FOFA</t>
  </si>
  <si>
    <t>FROO</t>
  </si>
  <si>
    <t>FSTR</t>
  </si>
  <si>
    <t>FCOM</t>
  </si>
  <si>
    <t>FSGM</t>
  </si>
  <si>
    <t>Unit</t>
  </si>
  <si>
    <t>GENERAL</t>
  </si>
  <si>
    <t>DM</t>
  </si>
  <si>
    <t>% as fed</t>
  </si>
  <si>
    <t>Crude protein</t>
  </si>
  <si>
    <t>% DM</t>
  </si>
  <si>
    <t>Crude fibre</t>
  </si>
  <si>
    <t>NDF</t>
  </si>
  <si>
    <t>ADF</t>
  </si>
  <si>
    <t>Lignin</t>
  </si>
  <si>
    <t>Ether extract</t>
  </si>
  <si>
    <t>Ash</t>
  </si>
  <si>
    <t>Starch (polarimetry)</t>
  </si>
  <si>
    <t>Total sugars</t>
  </si>
  <si>
    <t>Gross energy</t>
  </si>
  <si>
    <t>MJ/kg DM</t>
  </si>
  <si>
    <t>AMINO ACIDS</t>
  </si>
  <si>
    <t>Lysine</t>
  </si>
  <si>
    <t>% protein</t>
  </si>
  <si>
    <t>RUMINANT</t>
  </si>
  <si>
    <t>ME ruminants</t>
  </si>
  <si>
    <t>Nitrogen digestibility, ruminants</t>
  </si>
  <si>
    <t>%</t>
  </si>
  <si>
    <t>PIG</t>
  </si>
  <si>
    <t>DE growing pig</t>
  </si>
  <si>
    <t>NE growing pig</t>
  </si>
  <si>
    <t>Nitrogen digestibility, growing pig</t>
  </si>
  <si>
    <t>POULTRY</t>
  </si>
  <si>
    <t>AME poultry</t>
  </si>
  <si>
    <t>AMEn cockerel</t>
  </si>
  <si>
    <t>AMEn broiler</t>
  </si>
  <si>
    <t>Wheat grain</t>
  </si>
  <si>
    <t>Rye grain</t>
  </si>
  <si>
    <t>URL</t>
  </si>
  <si>
    <t>https://www.feedipedia.org/node/12754</t>
  </si>
  <si>
    <t>https://www.feedipedia.org/node/12542</t>
  </si>
  <si>
    <t>Barley grain</t>
  </si>
  <si>
    <t>https://www.feedipedia.org/node/11705</t>
  </si>
  <si>
    <t>https://www.feedipedia.org/node/12391</t>
  </si>
  <si>
    <t>Maize grain, Europé</t>
  </si>
  <si>
    <t>Soybeans (all)</t>
  </si>
  <si>
    <t>Rapeseeds, low erucic, low glucosinolates</t>
  </si>
  <si>
    <t>Sonflower seeds</t>
  </si>
  <si>
    <t>Pea seeds</t>
  </si>
  <si>
    <t>Faba bean (Vicia faba), all cultivars</t>
  </si>
  <si>
    <t>Blue lupin (Lupinus angustifolius) seeds</t>
  </si>
  <si>
    <t>Molasses, beet</t>
  </si>
  <si>
    <t>https://feedtables.com/content/wheat-gluten</t>
  </si>
  <si>
    <t>Maize gluten meal</t>
  </si>
  <si>
    <t>Maize germ meal, protein 20-30%, oil &gt; 5%</t>
  </si>
  <si>
    <t>Wheat distillers grain with solubles, starch &lt; 7 </t>
  </si>
  <si>
    <t>Maize distillers dried grains and solubles</t>
  </si>
  <si>
    <t>Rapeseed meal, 00 type, oil &lt; 5% as fed, solvent extraction</t>
  </si>
  <si>
    <t>Sunflower meal, solvent-extracted, dehulled or non-dehulled</t>
  </si>
  <si>
    <t>Soybean meal, low protein (non-dehulled)</t>
  </si>
  <si>
    <t>Wheat straw</t>
  </si>
  <si>
    <t>https://www.feedipedia.org/node/11660</t>
  </si>
  <si>
    <t>https://www.feedipedia.org/node/12434</t>
  </si>
  <si>
    <t>https://www.feedipedia.org/node/12799</t>
  </si>
  <si>
    <t>https://www.feedipedia.org/node/12271</t>
  </si>
  <si>
    <t>https://www.feedipedia.org/node/12503</t>
  </si>
  <si>
    <t>https://www.feedipedia.org/node/12663</t>
  </si>
  <si>
    <t>https://www.feedipedia.org/node/11682</t>
  </si>
  <si>
    <t>https://www.feedipedia.org/node/12751</t>
  </si>
  <si>
    <t>https://www.feedipedia.org/node/12288</t>
  </si>
  <si>
    <t>https://www.feedipedia.org/node/12287</t>
  </si>
  <si>
    <t>https://www.feedipedia.org/node/12286</t>
  </si>
  <si>
    <t>https://www.feedipedia.org/node/12801</t>
  </si>
  <si>
    <t>https://www.feedipedia.org/node/12282</t>
  </si>
  <si>
    <t>https://www.feedipedia.org/node/12340</t>
  </si>
  <si>
    <t>https://www.feedipedia.org/node/12625</t>
  </si>
  <si>
    <t>https://www.feedipedia.org/node/12504</t>
  </si>
  <si>
    <t>https://www.feedipedia.org/node/12666</t>
  </si>
  <si>
    <t>https://www.feedipedia.org/node/12758</t>
  </si>
  <si>
    <t>(copy)</t>
  </si>
  <si>
    <t>https://www.feedipedia.org/node/12893</t>
  </si>
  <si>
    <t>Whey, sweet, dehydrated, skimmed</t>
  </si>
  <si>
    <t>(not used)</t>
  </si>
  <si>
    <t>Milk powder, skimmed</t>
  </si>
  <si>
    <t>https://feedtables.com/content/milk-powder-skimmed</t>
  </si>
  <si>
    <t>Wheat gluten</t>
  </si>
  <si>
    <r>
      <t>Feed name (</t>
    </r>
    <r>
      <rPr>
        <sz val="11"/>
        <color theme="8"/>
        <rFont val="Calibri"/>
        <family val="2"/>
        <scheme val="minor"/>
      </rPr>
      <t>Feedipedia</t>
    </r>
    <r>
      <rPr>
        <sz val="11"/>
        <color theme="1"/>
        <rFont val="Calibri"/>
        <family val="2"/>
        <scheme val="minor"/>
      </rPr>
      <t xml:space="preserve">/ </t>
    </r>
    <r>
      <rPr>
        <sz val="11"/>
        <color theme="9"/>
        <rFont val="Calibri"/>
        <family val="2"/>
        <scheme val="minor"/>
      </rPr>
      <t xml:space="preserve">Feedtables/ </t>
    </r>
    <r>
      <rPr>
        <sz val="11"/>
        <color theme="7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>)</t>
    </r>
  </si>
  <si>
    <t>https://feedtables.com/content/rapeseed-oil</t>
  </si>
  <si>
    <t>Rapeseed oil</t>
  </si>
  <si>
    <t>Soybean oil</t>
  </si>
  <si>
    <t>https://feedtables.com/content/soybean-oil</t>
  </si>
  <si>
    <t>https://feedtables.com/content/sunflower-oil</t>
  </si>
  <si>
    <t>Sunflower oil</t>
  </si>
  <si>
    <t>https://feedtables.com/content/wheat-durum</t>
  </si>
  <si>
    <t>Wheat, durum</t>
  </si>
  <si>
    <t>Triticale grain</t>
  </si>
  <si>
    <t>https://www.feedipedia.org/node/12800</t>
  </si>
  <si>
    <t>Rice grain, polished</t>
  </si>
  <si>
    <t>https://www.feedipedia.org/node/12526</t>
  </si>
  <si>
    <t>https://feedtables.com/content/milk-powder-whole</t>
  </si>
  <si>
    <t>Milk powder, whole</t>
  </si>
  <si>
    <t>Potato, tuber, raw</t>
  </si>
  <si>
    <t>https://www.feedipedia.org/node/12472</t>
  </si>
  <si>
    <t>https://www.feedipedia.org/node/12903</t>
  </si>
  <si>
    <t>Tomato fruits, fresh</t>
  </si>
  <si>
    <t>Apples, whole, fresh</t>
  </si>
  <si>
    <t>https://www.feedipedia.org/node/22401</t>
  </si>
  <si>
    <t>https://www.feedipedia.org/node/11842</t>
  </si>
  <si>
    <t>Beet root, fodder type, fresh</t>
  </si>
  <si>
    <t>Maize silage, dry matter 30-35%</t>
  </si>
  <si>
    <t>https://www.feedipedia.org/node/12871</t>
  </si>
  <si>
    <t>Parameter</t>
  </si>
  <si>
    <t>Constrain (1 = min, -1 = max)</t>
  </si>
  <si>
    <t>Pig Breeding</t>
  </si>
  <si>
    <t>ME, MJ/kg</t>
  </si>
  <si>
    <t>Digestible CP, %</t>
  </si>
  <si>
    <t>NE, MJ/kg</t>
  </si>
  <si>
    <t>Lysine, %CP</t>
  </si>
  <si>
    <t>AMEn, MJ/kg</t>
  </si>
  <si>
    <t>CP, %</t>
  </si>
  <si>
    <t>Sheep and Goat</t>
  </si>
  <si>
    <t>Alfalfa, aerial part, fresh</t>
  </si>
  <si>
    <t>https://www.feedipedia.org/node/11745</t>
  </si>
  <si>
    <t>Timothy (Phleum pratense), aerial part, fresh</t>
  </si>
  <si>
    <t>https://www.feedipedia.org/node/16887</t>
  </si>
  <si>
    <t>Grass</t>
  </si>
  <si>
    <t>(Forage sheet)</t>
  </si>
  <si>
    <t>Timothy</t>
  </si>
  <si>
    <t>Alfalfa</t>
  </si>
  <si>
    <t>Vilka gräs är vanliga i Europeiska betesmarker?</t>
  </si>
  <si>
    <t>Fraction in pastures</t>
  </si>
  <si>
    <t>Fraction in arable forage</t>
  </si>
  <si>
    <t>Dairy Cows</t>
  </si>
  <si>
    <t>Other Cattle and Buffalo</t>
  </si>
  <si>
    <t>Pig Fattening</t>
  </si>
  <si>
    <t>Poultry Eggs</t>
  </si>
  <si>
    <t>Poultry Fattening</t>
  </si>
  <si>
    <t>Animal</t>
  </si>
  <si>
    <t>Fibre max, %</t>
  </si>
  <si>
    <t>Fibre min, %</t>
  </si>
  <si>
    <t>DM (EU standard)</t>
  </si>
  <si>
    <t>Ryegrass</t>
  </si>
  <si>
    <t>Fescue</t>
  </si>
  <si>
    <t>Cocksfoot</t>
  </si>
  <si>
    <t>Cocksfoot, aerial part, fresh</t>
  </si>
  <si>
    <t>https://www.feedipedia.org/node/11991</t>
  </si>
  <si>
    <t>Field</t>
  </si>
  <si>
    <t>Plansilo 122</t>
  </si>
  <si>
    <t>Plansilo 121</t>
  </si>
  <si>
    <t>w.w.</t>
  </si>
  <si>
    <t>d.m.</t>
  </si>
  <si>
    <t>Tornsilo 139</t>
  </si>
  <si>
    <t>Tornsilo 140</t>
  </si>
  <si>
    <t>Slang 1</t>
  </si>
  <si>
    <t>Slang 2-4</t>
  </si>
  <si>
    <t>Balar</t>
  </si>
  <si>
    <t>Linn Abrahamsson (2012) Förluster i olika ensileringssystem</t>
  </si>
  <si>
    <t>Losses during ensilage, %</t>
  </si>
  <si>
    <t>Losses during feeding, %</t>
  </si>
  <si>
    <t>G. Borreani et al. (2018) Silage review: Factors affecting dry matter and quality losses in silages</t>
  </si>
  <si>
    <t>Good management</t>
  </si>
  <si>
    <t>Not so good man…</t>
  </si>
  <si>
    <t>Without covering</t>
  </si>
  <si>
    <t>+ Rain</t>
  </si>
  <si>
    <t>Total</t>
  </si>
  <si>
    <t>Direct ensiling</t>
  </si>
  <si>
    <t>Field curing, respiration and harvesting</t>
  </si>
  <si>
    <t>In silo respiration, fermentation and effluent</t>
  </si>
  <si>
    <t>Top spoilage and feedout</t>
  </si>
  <si>
    <t>Average management</t>
  </si>
  <si>
    <t>https://doi.org/10.3168/jds.2017-13837</t>
  </si>
  <si>
    <t>British Columbia Ministry of Agriculture (2015) Farm Mechanization FACTSHEET - FORAGE HARVESTING, STORAGE AND FEEDING LOSSES</t>
  </si>
  <si>
    <t>https://www2.gov.bc.ca/assets/gov/farming-natural-resources-and-industry/agriculture-and-seafood/farm-management/structures-and-mechanization/200-series/240100-4_forage_harvesting_-_storage_and_feeding_losses.pdf</t>
  </si>
  <si>
    <t>(accessed 2018-01-09)</t>
  </si>
  <si>
    <t>Feeding losses</t>
  </si>
  <si>
    <t>Storage losses</t>
  </si>
  <si>
    <t>Harves losses</t>
  </si>
  <si>
    <t>Respiration weathering</t>
  </si>
  <si>
    <t>min</t>
  </si>
  <si>
    <t>max</t>
  </si>
  <si>
    <t>avg</t>
  </si>
  <si>
    <t>crop is lost before it even enters the animals’ digestive</t>
  </si>
  <si>
    <t>"On average, 25% of the value of the standing forage</t>
  </si>
  <si>
    <t>tract."</t>
  </si>
  <si>
    <r>
      <t xml:space="preserve">DM </t>
    </r>
    <r>
      <rPr>
        <sz val="11"/>
        <color theme="4"/>
        <rFont val="Calibri"/>
        <family val="2"/>
        <scheme val="minor"/>
      </rPr>
      <t>(EU standard)</t>
    </r>
  </si>
  <si>
    <t>CAPRI documentation</t>
  </si>
  <si>
    <t>https://doi.org/10.5194/bg-13-3757-2016</t>
  </si>
  <si>
    <t>Western Europé</t>
  </si>
  <si>
    <t>Eastern Europé</t>
  </si>
  <si>
    <t>Mown</t>
  </si>
  <si>
    <t>Grazed</t>
  </si>
  <si>
    <t>Grassland area (1000 km2, 2000)</t>
  </si>
  <si>
    <t>Mean productivity (kg DM m-2 yr-1)</t>
  </si>
  <si>
    <t>Herbage use efficiency (%)</t>
  </si>
  <si>
    <t>(t DM ha-1 yr-1)</t>
  </si>
  <si>
    <t>CAPRI</t>
  </si>
  <si>
    <t>(1000 ha)</t>
  </si>
  <si>
    <t>Herbage use (t DM ha-1 yr-1)</t>
  </si>
  <si>
    <t>Table 3</t>
  </si>
  <si>
    <t>Using 89% losses for grass (i.e. 11% herbage-use-efficiency) results in too little energy in feed rations for countries with a lot of</t>
  </si>
  <si>
    <t>grass in the rations. Using 70% losses for grass (30% use-efficiency) results in more balanced rations.</t>
  </si>
  <si>
    <t>Methionine</t>
  </si>
  <si>
    <t>Metheonin</t>
  </si>
  <si>
    <t>Tot Feed, kg</t>
  </si>
  <si>
    <t>Lysine, %</t>
  </si>
  <si>
    <t>Metheonine, %</t>
  </si>
  <si>
    <t>Not used</t>
  </si>
  <si>
    <t>LOSSES (%)</t>
  </si>
  <si>
    <t>Handling, storage and feed out</t>
  </si>
  <si>
    <t>USDA food database</t>
  </si>
  <si>
    <t>Mt DM</t>
  </si>
  <si>
    <t>CP</t>
  </si>
  <si>
    <t>GE</t>
  </si>
  <si>
    <t>% of DM</t>
  </si>
  <si>
    <r>
      <t>Heuzé V.</t>
    </r>
    <r>
      <rPr>
        <sz val="10"/>
        <color rgb="FF000000"/>
        <rFont val="Arial"/>
        <family val="2"/>
      </rPr>
      <t>, </t>
    </r>
    <r>
      <rPr>
        <sz val="10"/>
        <color rgb="FF925C00"/>
        <rFont val="Arial"/>
        <family val="2"/>
      </rPr>
      <t>Tran G.</t>
    </r>
    <r>
      <rPr>
        <sz val="10"/>
        <color rgb="FF000000"/>
        <rFont val="Arial"/>
        <family val="2"/>
      </rPr>
      <t>, </t>
    </r>
    <r>
      <rPr>
        <sz val="10"/>
        <color rgb="FF925C00"/>
        <rFont val="Arial"/>
        <family val="2"/>
      </rPr>
      <t>Sauvant D.</t>
    </r>
    <r>
      <rPr>
        <sz val="10"/>
        <color rgb="FF000000"/>
        <rFont val="Arial"/>
        <family val="2"/>
      </rPr>
      <t>, </t>
    </r>
    <r>
      <rPr>
        <sz val="10"/>
        <color rgb="FF925C00"/>
        <rFont val="Arial"/>
        <family val="2"/>
      </rPr>
      <t>Lessire M.</t>
    </r>
    <r>
      <rPr>
        <sz val="10"/>
        <color rgb="FF000000"/>
        <rFont val="Arial"/>
        <family val="2"/>
      </rPr>
      <t>, </t>
    </r>
    <r>
      <rPr>
        <sz val="10"/>
        <color rgb="FF925C00"/>
        <rFont val="Arial"/>
        <family val="2"/>
      </rPr>
      <t>Lebas F.</t>
    </r>
    <r>
      <rPr>
        <sz val="10"/>
        <color rgb="FF000000"/>
        <rFont val="Arial"/>
        <family val="2"/>
      </rPr>
      <t>, 2018. </t>
    </r>
    <r>
      <rPr>
        <i/>
        <sz val="10"/>
        <color rgb="FF000000"/>
        <rFont val="Arial"/>
        <family val="2"/>
      </rPr>
      <t>Rapeseed meal</t>
    </r>
    <r>
      <rPr>
        <sz val="10"/>
        <color rgb="FF000000"/>
        <rFont val="Arial"/>
        <family val="2"/>
      </rPr>
      <t>. Feedipedia, a programme by INRA, CIRAD, AFZ and FAO. </t>
    </r>
    <r>
      <rPr>
        <sz val="10"/>
        <color rgb="FF925C00"/>
        <rFont val="Arial"/>
        <family val="2"/>
      </rPr>
      <t>https://www.feedipedia.org/node/52</t>
    </r>
    <r>
      <rPr>
        <sz val="10"/>
        <color rgb="FF000000"/>
        <rFont val="Arial"/>
        <family val="2"/>
      </rPr>
      <t> </t>
    </r>
    <r>
      <rPr>
        <i/>
        <sz val="10"/>
        <color rgb="FF000000"/>
        <rFont val="Arial"/>
        <family val="2"/>
      </rPr>
      <t>Last updated on June 15, 2018, 15:53</t>
    </r>
  </si>
  <si>
    <t>Growing pigs</t>
  </si>
  <si>
    <t>no limit</t>
  </si>
  <si>
    <t>Broilers</t>
  </si>
  <si>
    <t>Egglayers</t>
  </si>
  <si>
    <t>Rapeseed meal</t>
  </si>
  <si>
    <t>Limit</t>
  </si>
  <si>
    <t>Ruminants</t>
  </si>
  <si>
    <t>Sunflower seed meal</t>
  </si>
  <si>
    <t>Limit (high)</t>
  </si>
  <si>
    <r>
      <t>Heuzé V.</t>
    </r>
    <r>
      <rPr>
        <sz val="10"/>
        <color rgb="FF000000"/>
        <rFont val="Arial"/>
        <family val="2"/>
      </rPr>
      <t>, </t>
    </r>
    <r>
      <rPr>
        <sz val="10"/>
        <color rgb="FF925C00"/>
        <rFont val="Arial"/>
        <family val="2"/>
      </rPr>
      <t>Tran G.</t>
    </r>
    <r>
      <rPr>
        <sz val="10"/>
        <color rgb="FF000000"/>
        <rFont val="Arial"/>
        <family val="2"/>
      </rPr>
      <t>, </t>
    </r>
    <r>
      <rPr>
        <sz val="10"/>
        <color rgb="FF925C00"/>
        <rFont val="Arial"/>
        <family val="2"/>
      </rPr>
      <t>Hassoun P.</t>
    </r>
    <r>
      <rPr>
        <sz val="10"/>
        <color rgb="FF000000"/>
        <rFont val="Arial"/>
        <family val="2"/>
      </rPr>
      <t>, </t>
    </r>
    <r>
      <rPr>
        <sz val="10"/>
        <color rgb="FF925C00"/>
        <rFont val="Arial"/>
        <family val="2"/>
      </rPr>
      <t>Lessire M.</t>
    </r>
    <r>
      <rPr>
        <sz val="10"/>
        <color rgb="FF000000"/>
        <rFont val="Arial"/>
        <family val="2"/>
      </rPr>
      <t>, </t>
    </r>
    <r>
      <rPr>
        <sz val="10"/>
        <color rgb="FF925C00"/>
        <rFont val="Arial"/>
        <family val="2"/>
      </rPr>
      <t>Lebas F.</t>
    </r>
    <r>
      <rPr>
        <sz val="10"/>
        <color rgb="FF000000"/>
        <rFont val="Arial"/>
        <family val="2"/>
      </rPr>
      <t>, 2016. </t>
    </r>
    <r>
      <rPr>
        <i/>
        <sz val="10"/>
        <color rgb="FF000000"/>
        <rFont val="Arial"/>
        <family val="2"/>
      </rPr>
      <t>Sunflower meal</t>
    </r>
    <r>
      <rPr>
        <sz val="10"/>
        <color rgb="FF000000"/>
        <rFont val="Arial"/>
        <family val="2"/>
      </rPr>
      <t>. Feedipedia, a programme by INRA, CIRAD, AFZ and FAO. </t>
    </r>
    <r>
      <rPr>
        <sz val="10"/>
        <color rgb="FF925C00"/>
        <rFont val="Arial"/>
        <family val="2"/>
      </rPr>
      <t>https://www.feedipedia.org/node/732</t>
    </r>
    <r>
      <rPr>
        <sz val="10"/>
        <color rgb="FF000000"/>
        <rFont val="Arial"/>
        <family val="2"/>
      </rPr>
      <t> </t>
    </r>
    <r>
      <rPr>
        <i/>
        <sz val="10"/>
        <color rgb="FF000000"/>
        <rFont val="Arial"/>
        <family val="2"/>
      </rPr>
      <t>Last updated on September 1, 2016, 15:14</t>
    </r>
  </si>
  <si>
    <t>Pigs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</si>
</sst>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8"/>
      <name val="Calibri"/>
      <family val="2"/>
      <scheme val="minor"/>
    </font>
    <font>
      <sz val="9"/>
      <name val="Calibri"/>
      <family val="2"/>
      <scheme val="minor"/>
    </font>
    <font>
      <sz val="9"/>
      <color theme="8"/>
      <name val="Calibri"/>
      <family val="2"/>
      <scheme val="minor"/>
    </font>
    <font>
      <sz val="9"/>
      <color theme="9"/>
      <name val="Calibri"/>
      <family val="2"/>
      <scheme val="minor"/>
    </font>
    <font>
      <sz val="8"/>
      <name val="Calibri"/>
      <family val="2"/>
      <scheme val="minor"/>
    </font>
    <font>
      <sz val="8"/>
      <color theme="9"/>
      <name val="Calibri"/>
      <family val="2"/>
      <scheme val="minor"/>
    </font>
    <font>
      <sz val="8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theme="5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color theme="4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925C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26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textRotation="90"/>
    </xf>
    <xf numFmtId="0" fontId="2" fillId="0" borderId="0" xfId="0" applyFont="1" applyAlignment="1">
      <alignment textRotation="90"/>
    </xf>
    <xf numFmtId="0" fontId="1" fillId="0" borderId="0" xfId="0" applyFont="1"/>
    <xf numFmtId="0" fontId="3" fillId="0" borderId="0" xfId="1" applyFill="1" applyAlignment="1">
      <alignment textRotation="90"/>
    </xf>
    <xf numFmtId="0" fontId="6" fillId="0" borderId="0" xfId="0" applyFont="1"/>
    <xf numFmtId="1" fontId="6" fillId="0" borderId="0" xfId="0" applyNumberFormat="1" applyFont="1"/>
    <xf numFmtId="164" fontId="6" fillId="0" borderId="0" xfId="0" applyNumberFormat="1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wrapText="1"/>
    </xf>
    <xf numFmtId="0" fontId="12" fillId="0" borderId="0" xfId="0" applyFont="1" applyAlignment="1">
      <alignment textRotation="90"/>
    </xf>
    <xf numFmtId="0" fontId="13" fillId="0" borderId="0" xfId="0" applyFont="1" applyAlignment="1">
      <alignment textRotation="90"/>
    </xf>
    <xf numFmtId="0" fontId="14" fillId="0" borderId="0" xfId="0" applyFont="1" applyAlignment="1">
      <alignment textRotation="90"/>
    </xf>
    <xf numFmtId="0" fontId="15" fillId="0" borderId="0" xfId="0" applyFont="1"/>
    <xf numFmtId="0" fontId="16" fillId="0" borderId="0" xfId="0" applyFont="1"/>
    <xf numFmtId="0" fontId="17" fillId="0" borderId="0" xfId="0" applyFont="1"/>
    <xf numFmtId="1" fontId="15" fillId="0" borderId="0" xfId="0" applyNumberFormat="1" applyFont="1"/>
    <xf numFmtId="0" fontId="20" fillId="0" borderId="0" xfId="0" applyFont="1" applyAlignment="1">
      <alignment textRotation="90"/>
    </xf>
    <xf numFmtId="0" fontId="21" fillId="0" borderId="0" xfId="0" applyFont="1"/>
    <xf numFmtId="0" fontId="6" fillId="2" borderId="0" xfId="0" applyFont="1" applyFill="1"/>
    <xf numFmtId="0" fontId="19" fillId="2" borderId="0" xfId="0" applyFont="1" applyFill="1" applyAlignment="1">
      <alignment textRotation="90"/>
    </xf>
    <xf numFmtId="0" fontId="0" fillId="2" borderId="0" xfId="0" applyFill="1" applyAlignment="1">
      <alignment textRotation="90"/>
    </xf>
    <xf numFmtId="0" fontId="3" fillId="2" borderId="0" xfId="1" applyFill="1" applyAlignment="1">
      <alignment textRotation="90"/>
    </xf>
    <xf numFmtId="0" fontId="0" fillId="2" borderId="0" xfId="0" applyFill="1"/>
    <xf numFmtId="164" fontId="6" fillId="2" borderId="0" xfId="0" applyNumberFormat="1" applyFont="1" applyFill="1"/>
    <xf numFmtId="0" fontId="7" fillId="2" borderId="0" xfId="0" applyFont="1" applyFill="1"/>
    <xf numFmtId="0" fontId="8" fillId="2" borderId="0" xfId="0" applyFont="1" applyFill="1"/>
    <xf numFmtId="1" fontId="15" fillId="2" borderId="0" xfId="0" applyNumberFormat="1" applyFont="1" applyFill="1"/>
    <xf numFmtId="0" fontId="15" fillId="2" borderId="0" xfId="0" applyFont="1" applyFill="1"/>
    <xf numFmtId="0" fontId="17" fillId="2" borderId="0" xfId="0" applyFont="1" applyFill="1"/>
    <xf numFmtId="0" fontId="7" fillId="0" borderId="0" xfId="0" applyFont="1"/>
    <xf numFmtId="0" fontId="22" fillId="0" borderId="0" xfId="0" applyFont="1" applyAlignment="1">
      <alignment textRotation="90"/>
    </xf>
    <xf numFmtId="0" fontId="23" fillId="0" borderId="0" xfId="0" applyFont="1" applyAlignment="1">
      <alignment textRotation="90"/>
    </xf>
    <xf numFmtId="0" fontId="16" fillId="2" borderId="0" xfId="0" applyFont="1" applyFill="1"/>
    <xf numFmtId="0" fontId="24" fillId="0" borderId="0" xfId="0" applyFont="1"/>
    <xf numFmtId="0" fontId="25" fillId="0" borderId="0" xfId="0" applyFont="1"/>
    <xf numFmtId="2" fontId="6" fillId="0" borderId="0" xfId="0" applyNumberFormat="1" applyFont="1"/>
    <xf numFmtId="9" fontId="0" fillId="0" borderId="0" xfId="0" applyNumberFormat="1"/>
    <xf numFmtId="0" fontId="27" fillId="0" borderId="0" xfId="0" applyFont="1"/>
    <xf numFmtId="0" fontId="0" fillId="0" borderId="0" xfId="0" quotePrefix="1"/>
    <xf numFmtId="164" fontId="0" fillId="0" borderId="0" xfId="0" applyNumberFormat="1"/>
    <xf numFmtId="1" fontId="0" fillId="0" borderId="0" xfId="0" applyNumberFormat="1"/>
    <xf numFmtId="0" fontId="3" fillId="0" borderId="0" xfId="1"/>
    <xf numFmtId="9" fontId="0" fillId="0" borderId="0" xfId="2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1" fillId="0" borderId="4" xfId="0" applyFont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  <xf numFmtId="0" fontId="1" fillId="0" borderId="0" xfId="0" applyFont="1" applyAlignment="1">
      <alignment horizontal="right"/>
    </xf>
    <xf numFmtId="164" fontId="7" fillId="0" borderId="0" xfId="0" applyNumberFormat="1" applyFont="1"/>
    <xf numFmtId="0" fontId="0" fillId="3" borderId="0" xfId="0" applyFill="1"/>
    <xf numFmtId="0" fontId="0" fillId="4" borderId="0" xfId="0" applyFill="1" applyAlignment="1">
      <alignment textRotation="90"/>
    </xf>
    <xf numFmtId="165" fontId="0" fillId="0" borderId="0" xfId="0" applyNumberFormat="1"/>
    <xf numFmtId="0" fontId="30" fillId="2" borderId="0" xfId="0" applyFont="1" applyFill="1"/>
    <xf numFmtId="1" fontId="7" fillId="0" borderId="0" xfId="0" applyNumberFormat="1" applyFont="1"/>
    <xf numFmtId="165" fontId="6" fillId="0" borderId="0" xfId="0" applyNumberFormat="1" applyFont="1"/>
    <xf numFmtId="0" fontId="32" fillId="0" borderId="0" xfId="0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9</xdr:row>
      <xdr:rowOff>0</xdr:rowOff>
    </xdr:from>
    <xdr:to>
      <xdr:col>31</xdr:col>
      <xdr:colOff>323048</xdr:colOff>
      <xdr:row>16</xdr:row>
      <xdr:rowOff>37929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4375" y="3667125"/>
          <a:ext cx="6419048" cy="1371429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31</xdr:col>
      <xdr:colOff>399238</xdr:colOff>
      <xdr:row>45</xdr:row>
      <xdr:rowOff>151738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4375" y="5381625"/>
          <a:ext cx="6495238" cy="5295238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42</xdr:col>
      <xdr:colOff>370667</xdr:colOff>
      <xdr:row>25</xdr:row>
      <xdr:rowOff>142476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39975" y="3667125"/>
          <a:ext cx="6466667" cy="3190476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29</xdr:row>
      <xdr:rowOff>0</xdr:rowOff>
    </xdr:from>
    <xdr:to>
      <xdr:col>42</xdr:col>
      <xdr:colOff>361143</xdr:colOff>
      <xdr:row>48</xdr:row>
      <xdr:rowOff>66214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39975" y="7286625"/>
          <a:ext cx="6457143" cy="36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</xdr:colOff>
      <xdr:row>4</xdr:row>
      <xdr:rowOff>0</xdr:rowOff>
    </xdr:from>
    <xdr:to>
      <xdr:col>22</xdr:col>
      <xdr:colOff>494435</xdr:colOff>
      <xdr:row>13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1" y="762000"/>
          <a:ext cx="4761634" cy="1790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22</xdr:col>
      <xdr:colOff>485775</xdr:colOff>
      <xdr:row>16</xdr:row>
      <xdr:rowOff>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2667000"/>
          <a:ext cx="4752975" cy="381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edipedia.org/node/11991" TargetMode="External"/><Relationship Id="rId2" Type="http://schemas.openxmlformats.org/officeDocument/2006/relationships/hyperlink" Target="https://www.feedipedia.org/node/16887" TargetMode="External"/><Relationship Id="rId1" Type="http://schemas.openxmlformats.org/officeDocument/2006/relationships/hyperlink" Target="https://www.feedipedia.org/node/11745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eedipedia.org/node/12751" TargetMode="External"/><Relationship Id="rId18" Type="http://schemas.openxmlformats.org/officeDocument/2006/relationships/hyperlink" Target="https://www.feedipedia.org/node/12282" TargetMode="External"/><Relationship Id="rId26" Type="http://schemas.openxmlformats.org/officeDocument/2006/relationships/hyperlink" Target="https://feedtables.com/content/milk-powder-skimmed" TargetMode="External"/><Relationship Id="rId39" Type="http://schemas.openxmlformats.org/officeDocument/2006/relationships/vmlDrawing" Target="../drawings/vmlDrawing1.vml"/><Relationship Id="rId21" Type="http://schemas.openxmlformats.org/officeDocument/2006/relationships/hyperlink" Target="https://www.feedipedia.org/node/12666" TargetMode="External"/><Relationship Id="rId34" Type="http://schemas.openxmlformats.org/officeDocument/2006/relationships/hyperlink" Target="https://www.feedipedia.org/node/12472" TargetMode="External"/><Relationship Id="rId7" Type="http://schemas.openxmlformats.org/officeDocument/2006/relationships/hyperlink" Target="https://www.feedipedia.org/node/12434" TargetMode="External"/><Relationship Id="rId12" Type="http://schemas.openxmlformats.org/officeDocument/2006/relationships/hyperlink" Target="https://www.feedipedia.org/node/11682" TargetMode="External"/><Relationship Id="rId17" Type="http://schemas.openxmlformats.org/officeDocument/2006/relationships/hyperlink" Target="https://www.feedipedia.org/node/12801" TargetMode="External"/><Relationship Id="rId25" Type="http://schemas.openxmlformats.org/officeDocument/2006/relationships/hyperlink" Target="https://www.feedipedia.org/node/12340" TargetMode="External"/><Relationship Id="rId33" Type="http://schemas.openxmlformats.org/officeDocument/2006/relationships/hyperlink" Target="https://feedtables.com/content/milk-powder-whole" TargetMode="External"/><Relationship Id="rId38" Type="http://schemas.openxmlformats.org/officeDocument/2006/relationships/printerSettings" Target="../printerSettings/printerSettings2.bin"/><Relationship Id="rId2" Type="http://schemas.openxmlformats.org/officeDocument/2006/relationships/hyperlink" Target="https://www.feedipedia.org/node/12542" TargetMode="External"/><Relationship Id="rId16" Type="http://schemas.openxmlformats.org/officeDocument/2006/relationships/hyperlink" Target="https://www.feedipedia.org/node/12286" TargetMode="External"/><Relationship Id="rId20" Type="http://schemas.openxmlformats.org/officeDocument/2006/relationships/hyperlink" Target="https://www.feedipedia.org/node/12504" TargetMode="External"/><Relationship Id="rId29" Type="http://schemas.openxmlformats.org/officeDocument/2006/relationships/hyperlink" Target="https://feedtables.com/content/sunflower-oil" TargetMode="External"/><Relationship Id="rId1" Type="http://schemas.openxmlformats.org/officeDocument/2006/relationships/hyperlink" Target="https://www.feedipedia.org/node/12754" TargetMode="External"/><Relationship Id="rId6" Type="http://schemas.openxmlformats.org/officeDocument/2006/relationships/hyperlink" Target="https://www.feedipedia.org/node/11660" TargetMode="External"/><Relationship Id="rId11" Type="http://schemas.openxmlformats.org/officeDocument/2006/relationships/hyperlink" Target="https://www.feedipedia.org/node/12663" TargetMode="External"/><Relationship Id="rId24" Type="http://schemas.openxmlformats.org/officeDocument/2006/relationships/hyperlink" Target="https://www.feedipedia.org/node/12893" TargetMode="External"/><Relationship Id="rId32" Type="http://schemas.openxmlformats.org/officeDocument/2006/relationships/hyperlink" Target="https://www.feedipedia.org/node/12526" TargetMode="External"/><Relationship Id="rId37" Type="http://schemas.openxmlformats.org/officeDocument/2006/relationships/hyperlink" Target="https://www.feedipedia.org/node/11842" TargetMode="External"/><Relationship Id="rId40" Type="http://schemas.openxmlformats.org/officeDocument/2006/relationships/comments" Target="../comments1.xml"/><Relationship Id="rId5" Type="http://schemas.openxmlformats.org/officeDocument/2006/relationships/hyperlink" Target="https://feedtables.com/content/wheat-gluten" TargetMode="External"/><Relationship Id="rId15" Type="http://schemas.openxmlformats.org/officeDocument/2006/relationships/hyperlink" Target="https://www.feedipedia.org/node/12287" TargetMode="External"/><Relationship Id="rId23" Type="http://schemas.openxmlformats.org/officeDocument/2006/relationships/hyperlink" Target="https://www.feedipedia.org/node/12758" TargetMode="External"/><Relationship Id="rId28" Type="http://schemas.openxmlformats.org/officeDocument/2006/relationships/hyperlink" Target="https://feedtables.com/content/soybean-oil" TargetMode="External"/><Relationship Id="rId36" Type="http://schemas.openxmlformats.org/officeDocument/2006/relationships/hyperlink" Target="https://www.feedipedia.org/node/22401" TargetMode="External"/><Relationship Id="rId10" Type="http://schemas.openxmlformats.org/officeDocument/2006/relationships/hyperlink" Target="https://www.feedipedia.org/node/12503" TargetMode="External"/><Relationship Id="rId19" Type="http://schemas.openxmlformats.org/officeDocument/2006/relationships/hyperlink" Target="https://www.feedipedia.org/node/12625" TargetMode="External"/><Relationship Id="rId31" Type="http://schemas.openxmlformats.org/officeDocument/2006/relationships/hyperlink" Target="https://www.feedipedia.org/node/12800" TargetMode="External"/><Relationship Id="rId4" Type="http://schemas.openxmlformats.org/officeDocument/2006/relationships/hyperlink" Target="https://www.feedipedia.org/node/12391" TargetMode="External"/><Relationship Id="rId9" Type="http://schemas.openxmlformats.org/officeDocument/2006/relationships/hyperlink" Target="https://www.feedipedia.org/node/12271" TargetMode="External"/><Relationship Id="rId14" Type="http://schemas.openxmlformats.org/officeDocument/2006/relationships/hyperlink" Target="https://www.feedipedia.org/node/12288" TargetMode="External"/><Relationship Id="rId22" Type="http://schemas.openxmlformats.org/officeDocument/2006/relationships/hyperlink" Target="https://www.feedipedia.org/node/12871" TargetMode="External"/><Relationship Id="rId27" Type="http://schemas.openxmlformats.org/officeDocument/2006/relationships/hyperlink" Target="https://feedtables.com/content/rapeseed-oil" TargetMode="External"/><Relationship Id="rId30" Type="http://schemas.openxmlformats.org/officeDocument/2006/relationships/hyperlink" Target="https://feedtables.com/content/wheat-durum" TargetMode="External"/><Relationship Id="rId35" Type="http://schemas.openxmlformats.org/officeDocument/2006/relationships/hyperlink" Target="https://www.feedipedia.org/node/12903" TargetMode="External"/><Relationship Id="rId8" Type="http://schemas.openxmlformats.org/officeDocument/2006/relationships/hyperlink" Target="https://www.feedipedia.org/node/12799" TargetMode="External"/><Relationship Id="rId3" Type="http://schemas.openxmlformats.org/officeDocument/2006/relationships/hyperlink" Target="https://www.feedipedia.org/node/1170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oi.org/10.3168/jds.2017-13837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i.org/10.5194/bg-13-3757-201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30"/>
  <sheetViews>
    <sheetView workbookViewId="0">
      <selection activeCell="R17" sqref="R17"/>
    </sheetView>
  </sheetViews>
  <sheetFormatPr defaultRowHeight="14.4" x14ac:dyDescent="0.3"/>
  <cols>
    <col min="1" max="1" width="15.6640625" customWidth="1"/>
    <col min="3" max="5" width="3.6640625" customWidth="1"/>
    <col min="6" max="11" width="3.33203125" customWidth="1"/>
    <col min="12" max="13" width="3.6640625" customWidth="1"/>
    <col min="14" max="14" width="3.33203125" customWidth="1"/>
  </cols>
  <sheetData>
    <row r="2" spans="1:33" ht="102" customHeight="1" x14ac:dyDescent="0.3">
      <c r="A2" t="s">
        <v>68</v>
      </c>
      <c r="C2" s="1" t="s">
        <v>254</v>
      </c>
      <c r="D2" s="1" t="s">
        <v>269</v>
      </c>
      <c r="E2" s="1" t="s">
        <v>253</v>
      </c>
      <c r="F2" s="1"/>
      <c r="G2" s="1"/>
      <c r="H2" s="1"/>
      <c r="I2" s="1"/>
      <c r="J2" s="1"/>
      <c r="K2" s="1"/>
      <c r="L2" s="1" t="s">
        <v>251</v>
      </c>
      <c r="M2" s="1" t="s">
        <v>63</v>
      </c>
      <c r="N2" s="1"/>
      <c r="O2" s="1"/>
      <c r="P2" s="1"/>
      <c r="Q2" s="1"/>
    </row>
    <row r="3" spans="1:33" ht="62.25" customHeight="1" x14ac:dyDescent="0.3">
      <c r="A3" s="10" t="s">
        <v>212</v>
      </c>
      <c r="C3" s="12" t="s">
        <v>247</v>
      </c>
      <c r="D3" s="12" t="s">
        <v>270</v>
      </c>
      <c r="E3" s="12" t="s">
        <v>249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33" ht="37.5" customHeight="1" x14ac:dyDescent="0.3">
      <c r="A4" t="s">
        <v>164</v>
      </c>
      <c r="C4" s="4" t="s">
        <v>248</v>
      </c>
      <c r="D4" s="4" t="s">
        <v>271</v>
      </c>
      <c r="E4" s="4" t="s">
        <v>250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33" ht="13.5" customHeight="1" x14ac:dyDescent="0.3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33" ht="13.5" customHeight="1" x14ac:dyDescent="0.3">
      <c r="A6" t="s">
        <v>256</v>
      </c>
      <c r="C6" s="37">
        <v>0</v>
      </c>
      <c r="D6" s="37">
        <v>0.5</v>
      </c>
      <c r="E6" s="37">
        <v>0.5</v>
      </c>
      <c r="F6" s="5"/>
      <c r="G6" s="5"/>
      <c r="H6" s="5"/>
      <c r="I6" s="5"/>
      <c r="J6" s="5"/>
      <c r="K6" s="5"/>
      <c r="L6" s="37">
        <f>SUM(C6:J6)</f>
        <v>1</v>
      </c>
      <c r="M6" s="5"/>
      <c r="N6" s="4"/>
      <c r="O6" s="4"/>
      <c r="P6" s="4"/>
      <c r="Q6" s="4"/>
    </row>
    <row r="7" spans="1:33" ht="15" customHeight="1" x14ac:dyDescent="0.3">
      <c r="A7" t="s">
        <v>257</v>
      </c>
      <c r="C7" s="37">
        <v>0.25</v>
      </c>
      <c r="D7" s="37">
        <v>0.25</v>
      </c>
      <c r="E7" s="37">
        <v>0.5</v>
      </c>
      <c r="F7" s="5"/>
      <c r="G7" s="5"/>
      <c r="H7" s="5"/>
      <c r="I7" s="5"/>
      <c r="J7" s="5"/>
      <c r="K7" s="5"/>
      <c r="L7" s="5"/>
      <c r="M7" s="37">
        <f>SUM(C7:J7)</f>
        <v>1</v>
      </c>
      <c r="N7" s="4"/>
      <c r="O7" s="4"/>
      <c r="P7" s="4"/>
      <c r="Q7" s="4"/>
    </row>
    <row r="9" spans="1:33" x14ac:dyDescent="0.3">
      <c r="A9" s="3" t="s">
        <v>132</v>
      </c>
      <c r="B9" s="3" t="s">
        <v>131</v>
      </c>
      <c r="P9" s="35" t="s">
        <v>255</v>
      </c>
      <c r="V9" s="36" t="s">
        <v>267</v>
      </c>
      <c r="AG9" s="36" t="s">
        <v>269</v>
      </c>
    </row>
    <row r="10" spans="1:33" x14ac:dyDescent="0.3">
      <c r="A10" t="s">
        <v>266</v>
      </c>
      <c r="B10" t="s">
        <v>153</v>
      </c>
      <c r="C10" s="5">
        <f>100-65</f>
        <v>35</v>
      </c>
      <c r="D10" s="5">
        <v>35</v>
      </c>
      <c r="E10" s="5">
        <f>100-65</f>
        <v>35</v>
      </c>
      <c r="F10" s="5"/>
      <c r="G10" s="5"/>
      <c r="H10" s="5"/>
      <c r="I10" s="5"/>
      <c r="J10" s="5"/>
      <c r="K10" s="5"/>
      <c r="L10" s="5">
        <f>SUMPRODUCT(C$6:J$6,C10:J10)</f>
        <v>35</v>
      </c>
      <c r="M10" s="5">
        <f>SUMPRODUCT(C$7:J$7,C10:J10)</f>
        <v>35</v>
      </c>
      <c r="N10" s="5"/>
      <c r="O10" s="5"/>
      <c r="P10" s="35"/>
      <c r="Q10" s="5"/>
    </row>
    <row r="11" spans="1:33" x14ac:dyDescent="0.3">
      <c r="A11" t="s">
        <v>133</v>
      </c>
      <c r="B11" t="s">
        <v>134</v>
      </c>
      <c r="C11" s="5">
        <v>19.899999999999999</v>
      </c>
      <c r="D11" s="5">
        <v>20.7</v>
      </c>
      <c r="E11" s="5">
        <v>27</v>
      </c>
      <c r="F11" s="5"/>
      <c r="G11" s="5"/>
      <c r="H11" s="5"/>
      <c r="I11" s="5"/>
      <c r="J11" s="5"/>
      <c r="K11" s="5"/>
      <c r="L11" s="5">
        <f>SUMPRODUCT(C$6:J$6,C11:J11)</f>
        <v>23.85</v>
      </c>
      <c r="M11" s="5">
        <f>SUMPRODUCT(C$7:J$7,C11:J11)</f>
        <v>23.65</v>
      </c>
      <c r="N11" s="5"/>
      <c r="O11" s="5"/>
      <c r="P11" s="5"/>
      <c r="Q11" s="5"/>
    </row>
    <row r="12" spans="1:33" x14ac:dyDescent="0.3">
      <c r="A12" t="s">
        <v>135</v>
      </c>
      <c r="B12" t="s">
        <v>136</v>
      </c>
      <c r="C12" s="5">
        <v>20.6</v>
      </c>
      <c r="D12" s="5">
        <v>16.3</v>
      </c>
      <c r="E12" s="5">
        <v>13.8</v>
      </c>
      <c r="F12" s="5"/>
      <c r="G12" s="5"/>
      <c r="H12" s="5"/>
      <c r="I12" s="5"/>
      <c r="J12" s="5"/>
      <c r="K12" s="5"/>
      <c r="L12" s="5">
        <f t="shared" ref="L12:L21" si="0">SUMPRODUCT(C$6:J$6,C12:J12)</f>
        <v>15.05</v>
      </c>
      <c r="M12" s="5">
        <f t="shared" ref="M12:M21" si="1">SUMPRODUCT(C$7:J$7,C12:J12)</f>
        <v>16.125</v>
      </c>
      <c r="N12" s="5"/>
      <c r="O12" s="5"/>
      <c r="P12" s="5"/>
      <c r="Q12" s="5"/>
    </row>
    <row r="13" spans="1:33" x14ac:dyDescent="0.3">
      <c r="A13" t="s">
        <v>137</v>
      </c>
      <c r="B13" t="s">
        <v>136</v>
      </c>
      <c r="C13" s="5">
        <v>26.7</v>
      </c>
      <c r="D13" s="5">
        <v>29.7</v>
      </c>
      <c r="E13" s="5">
        <v>31.8</v>
      </c>
      <c r="F13" s="5"/>
      <c r="G13" s="5"/>
      <c r="H13" s="5"/>
      <c r="I13" s="5"/>
      <c r="J13" s="5"/>
      <c r="K13" s="5"/>
      <c r="L13" s="5">
        <f t="shared" si="0"/>
        <v>30.75</v>
      </c>
      <c r="M13" s="5">
        <f t="shared" si="1"/>
        <v>30</v>
      </c>
      <c r="N13" s="5"/>
      <c r="O13" s="5"/>
      <c r="P13" s="5"/>
      <c r="Q13" s="5"/>
    </row>
    <row r="14" spans="1:33" x14ac:dyDescent="0.3">
      <c r="A14" t="s">
        <v>138</v>
      </c>
      <c r="B14" t="s">
        <v>136</v>
      </c>
      <c r="C14" s="5">
        <v>39.299999999999997</v>
      </c>
      <c r="D14" s="5">
        <v>59.9</v>
      </c>
      <c r="E14" s="5">
        <v>62.2</v>
      </c>
      <c r="F14" s="5"/>
      <c r="G14" s="5"/>
      <c r="H14" s="5"/>
      <c r="I14" s="5"/>
      <c r="J14" s="5"/>
      <c r="K14" s="5"/>
      <c r="L14" s="5">
        <f t="shared" si="0"/>
        <v>61.05</v>
      </c>
      <c r="M14" s="5">
        <f t="shared" si="1"/>
        <v>55.9</v>
      </c>
      <c r="N14" s="5"/>
      <c r="O14" s="5"/>
      <c r="P14" s="5"/>
      <c r="Q14" s="5"/>
    </row>
    <row r="15" spans="1:33" x14ac:dyDescent="0.3">
      <c r="A15" t="s">
        <v>139</v>
      </c>
      <c r="B15" t="s">
        <v>136</v>
      </c>
      <c r="C15" s="5">
        <v>30.9</v>
      </c>
      <c r="D15" s="5">
        <v>32.299999999999997</v>
      </c>
      <c r="E15" s="5">
        <v>34.200000000000003</v>
      </c>
      <c r="F15" s="5"/>
      <c r="G15" s="5"/>
      <c r="H15" s="5"/>
      <c r="I15" s="5"/>
      <c r="J15" s="5"/>
      <c r="K15" s="5"/>
      <c r="L15" s="5">
        <f t="shared" si="0"/>
        <v>33.25</v>
      </c>
      <c r="M15" s="5">
        <f t="shared" si="1"/>
        <v>32.9</v>
      </c>
      <c r="N15" s="5"/>
      <c r="O15" s="5"/>
      <c r="P15" s="5"/>
      <c r="Q15" s="5"/>
    </row>
    <row r="16" spans="1:33" x14ac:dyDescent="0.3">
      <c r="A16" t="s">
        <v>140</v>
      </c>
      <c r="B16" t="s">
        <v>136</v>
      </c>
      <c r="C16" s="5">
        <v>7.6</v>
      </c>
      <c r="D16" s="5">
        <v>4.5</v>
      </c>
      <c r="E16" s="5">
        <v>4.5999999999999996</v>
      </c>
      <c r="F16" s="5"/>
      <c r="G16" s="5"/>
      <c r="H16" s="5"/>
      <c r="I16" s="5"/>
      <c r="J16" s="5"/>
      <c r="K16" s="5"/>
      <c r="L16" s="5">
        <f t="shared" si="0"/>
        <v>4.55</v>
      </c>
      <c r="M16" s="5">
        <f t="shared" si="1"/>
        <v>5.3249999999999993</v>
      </c>
      <c r="N16" s="5"/>
      <c r="O16" s="5"/>
      <c r="P16" s="5"/>
      <c r="Q16" s="5"/>
    </row>
    <row r="17" spans="1:33" x14ac:dyDescent="0.3">
      <c r="A17" t="s">
        <v>141</v>
      </c>
      <c r="B17" t="s">
        <v>136</v>
      </c>
      <c r="C17" s="7">
        <v>2.9</v>
      </c>
      <c r="D17" s="7">
        <v>4</v>
      </c>
      <c r="E17" s="7">
        <v>2.2000000000000002</v>
      </c>
      <c r="F17" s="7"/>
      <c r="G17" s="7"/>
      <c r="H17" s="7"/>
      <c r="I17" s="7"/>
      <c r="J17" s="7"/>
      <c r="K17" s="7"/>
      <c r="L17" s="5">
        <f t="shared" si="0"/>
        <v>3.1</v>
      </c>
      <c r="M17" s="5">
        <f t="shared" si="1"/>
        <v>2.8250000000000002</v>
      </c>
      <c r="N17" s="7"/>
      <c r="O17" s="7"/>
      <c r="P17" s="7"/>
      <c r="Q17" s="7"/>
    </row>
    <row r="18" spans="1:33" x14ac:dyDescent="0.3">
      <c r="A18" t="s">
        <v>142</v>
      </c>
      <c r="B18" t="s">
        <v>136</v>
      </c>
      <c r="C18" s="5">
        <v>11.5</v>
      </c>
      <c r="D18" s="5">
        <v>9.6999999999999993</v>
      </c>
      <c r="E18" s="5">
        <v>8</v>
      </c>
      <c r="F18" s="5"/>
      <c r="G18" s="5"/>
      <c r="H18" s="5"/>
      <c r="I18" s="5"/>
      <c r="J18" s="5"/>
      <c r="K18" s="5"/>
      <c r="L18" s="5">
        <f t="shared" si="0"/>
        <v>8.85</v>
      </c>
      <c r="M18" s="5">
        <f t="shared" si="1"/>
        <v>9.3000000000000007</v>
      </c>
      <c r="N18" s="5"/>
      <c r="O18" s="5"/>
      <c r="P18" s="5"/>
      <c r="Q18" s="5"/>
      <c r="V18" s="36" t="s">
        <v>268</v>
      </c>
    </row>
    <row r="19" spans="1:33" x14ac:dyDescent="0.3">
      <c r="A19" t="s">
        <v>143</v>
      </c>
      <c r="B19" t="s">
        <v>136</v>
      </c>
      <c r="C19" s="5">
        <v>0.3</v>
      </c>
      <c r="D19" s="5"/>
      <c r="E19" s="5"/>
      <c r="F19" s="5"/>
      <c r="G19" s="5"/>
      <c r="H19" s="5"/>
      <c r="I19" s="5"/>
      <c r="J19" s="5"/>
      <c r="K19" s="5"/>
      <c r="L19" s="5">
        <f t="shared" si="0"/>
        <v>0</v>
      </c>
      <c r="M19" s="5">
        <f t="shared" si="1"/>
        <v>7.4999999999999997E-2</v>
      </c>
      <c r="N19" s="5"/>
      <c r="O19" s="5"/>
      <c r="P19" s="5"/>
      <c r="Q19" s="5"/>
    </row>
    <row r="20" spans="1:33" x14ac:dyDescent="0.3">
      <c r="A20" t="s">
        <v>144</v>
      </c>
      <c r="B20" t="s">
        <v>136</v>
      </c>
      <c r="C20" s="5"/>
      <c r="D20" s="5">
        <v>10.1</v>
      </c>
      <c r="E20" s="5"/>
      <c r="F20" s="5"/>
      <c r="G20" s="5"/>
      <c r="H20" s="5"/>
      <c r="I20" s="5"/>
      <c r="J20" s="5"/>
      <c r="K20" s="5"/>
      <c r="L20" s="5">
        <f t="shared" si="0"/>
        <v>5.05</v>
      </c>
      <c r="M20" s="5">
        <f t="shared" si="1"/>
        <v>2.5249999999999999</v>
      </c>
      <c r="N20" s="5"/>
      <c r="O20" s="5"/>
      <c r="P20" s="5"/>
      <c r="Q20" s="5"/>
    </row>
    <row r="21" spans="1:33" x14ac:dyDescent="0.3">
      <c r="A21" t="s">
        <v>145</v>
      </c>
      <c r="B21" t="s">
        <v>146</v>
      </c>
      <c r="C21" s="5">
        <v>18.100000000000001</v>
      </c>
      <c r="D21" s="5">
        <v>18</v>
      </c>
      <c r="E21" s="5">
        <v>18.2</v>
      </c>
      <c r="F21" s="5"/>
      <c r="G21" s="5"/>
      <c r="H21" s="5"/>
      <c r="I21" s="5"/>
      <c r="J21" s="5"/>
      <c r="K21" s="5"/>
      <c r="L21" s="5">
        <f t="shared" si="0"/>
        <v>18.100000000000001</v>
      </c>
      <c r="M21" s="5">
        <f t="shared" si="1"/>
        <v>18.125</v>
      </c>
      <c r="N21" s="5"/>
      <c r="O21" s="5"/>
      <c r="P21" s="5"/>
      <c r="Q21" s="5"/>
    </row>
    <row r="22" spans="1:33" x14ac:dyDescent="0.3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33" x14ac:dyDescent="0.3">
      <c r="A23" s="3" t="s">
        <v>147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33" x14ac:dyDescent="0.3">
      <c r="A24" t="s">
        <v>148</v>
      </c>
      <c r="B24" t="s">
        <v>149</v>
      </c>
      <c r="C24" s="5">
        <v>5.5</v>
      </c>
      <c r="D24" s="5">
        <v>6.3</v>
      </c>
      <c r="E24" s="5"/>
      <c r="F24" s="5"/>
      <c r="G24" s="5"/>
      <c r="H24" s="5"/>
      <c r="I24" s="5"/>
      <c r="J24" s="5"/>
      <c r="K24" s="5"/>
      <c r="L24" s="5">
        <f t="shared" ref="L24" si="2">SUMPRODUCT(C$6:J$6,C24:J24)</f>
        <v>3.15</v>
      </c>
      <c r="M24" s="7">
        <f t="shared" ref="M24" si="3">SUMPRODUCT(C$7:J$7,C24:J24)</f>
        <v>2.95</v>
      </c>
      <c r="N24" s="5"/>
      <c r="O24" s="5"/>
      <c r="P24" s="5"/>
      <c r="Q24" s="5"/>
    </row>
    <row r="25" spans="1:33" x14ac:dyDescent="0.3">
      <c r="A25" t="s">
        <v>328</v>
      </c>
      <c r="B25" t="s">
        <v>149</v>
      </c>
      <c r="C25" s="5">
        <v>1.6</v>
      </c>
      <c r="D25" s="5">
        <v>2.2000000000000002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33" x14ac:dyDescent="0.3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33" x14ac:dyDescent="0.3">
      <c r="A27" s="3" t="s">
        <v>150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33" x14ac:dyDescent="0.3">
      <c r="A28" t="s">
        <v>151</v>
      </c>
      <c r="B28" t="s">
        <v>146</v>
      </c>
      <c r="C28" s="5">
        <v>9.4</v>
      </c>
      <c r="D28" s="5">
        <v>9.5</v>
      </c>
      <c r="E28" s="5">
        <v>9.3000000000000007</v>
      </c>
      <c r="F28" s="5"/>
      <c r="G28" s="5"/>
      <c r="H28" s="5"/>
      <c r="I28" s="5"/>
      <c r="J28" s="5"/>
      <c r="K28" s="5"/>
      <c r="L28" s="5">
        <f t="shared" ref="L28:L29" si="4">SUMPRODUCT(C$6:J$6,C28:J28)</f>
        <v>9.4</v>
      </c>
      <c r="M28" s="5">
        <f t="shared" ref="M28:M29" si="5">SUMPRODUCT(C$7:J$7,C28:J28)</f>
        <v>9.375</v>
      </c>
      <c r="N28" s="5"/>
      <c r="O28" s="5"/>
      <c r="P28" s="5"/>
      <c r="Q28" s="5"/>
    </row>
    <row r="29" spans="1:33" x14ac:dyDescent="0.3">
      <c r="A29" t="s">
        <v>152</v>
      </c>
      <c r="B29" t="s">
        <v>153</v>
      </c>
      <c r="C29" s="5">
        <v>78.5</v>
      </c>
      <c r="D29" s="5">
        <v>58.9</v>
      </c>
      <c r="E29" s="5">
        <v>68</v>
      </c>
      <c r="F29" s="5"/>
      <c r="G29" s="5"/>
      <c r="H29" s="5"/>
      <c r="I29" s="5"/>
      <c r="J29" s="5"/>
      <c r="K29" s="5"/>
      <c r="L29" s="5">
        <f t="shared" si="4"/>
        <v>63.45</v>
      </c>
      <c r="M29" s="5">
        <f t="shared" si="5"/>
        <v>68.349999999999994</v>
      </c>
      <c r="N29" s="5"/>
      <c r="O29" s="5"/>
      <c r="P29" s="5"/>
      <c r="Q29" s="5"/>
      <c r="AG29" s="36" t="s">
        <v>253</v>
      </c>
    </row>
    <row r="30" spans="1:33" x14ac:dyDescent="0.3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</sheetData>
  <hyperlinks>
    <hyperlink ref="C4" r:id="rId1" xr:uid="{00000000-0004-0000-0000-000000000000}"/>
    <hyperlink ref="E4" r:id="rId2" xr:uid="{00000000-0004-0000-0000-000001000000}"/>
    <hyperlink ref="D4" r:id="rId3" xr:uid="{00000000-0004-0000-0000-000002000000}"/>
  </hyperlinks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43"/>
  <sheetViews>
    <sheetView tabSelected="1" workbookViewId="0">
      <pane xSplit="2" ySplit="2" topLeftCell="AU3" activePane="bottomRight" state="frozen"/>
      <selection pane="topRight" activeCell="C1" sqref="C1"/>
      <selection pane="bottomLeft" activeCell="A3" sqref="A3"/>
      <selection pane="bottomRight" activeCell="BV9" sqref="BV9"/>
    </sheetView>
  </sheetViews>
  <sheetFormatPr defaultRowHeight="14.4" x14ac:dyDescent="0.3"/>
  <cols>
    <col min="1" max="1" width="18.33203125" customWidth="1"/>
    <col min="2" max="2" width="11.109375" customWidth="1"/>
    <col min="3" max="4" width="3.88671875" customWidth="1"/>
    <col min="5" max="5" width="3.33203125" customWidth="1"/>
    <col min="6" max="72" width="3.88671875" customWidth="1"/>
  </cols>
  <sheetData>
    <row r="1" spans="1:73" ht="34.200000000000003" x14ac:dyDescent="0.3">
      <c r="A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79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90</v>
      </c>
      <c r="AA1" s="1" t="s">
        <v>90</v>
      </c>
      <c r="AB1" s="1" t="s">
        <v>90</v>
      </c>
      <c r="AC1" s="1" t="s">
        <v>90</v>
      </c>
      <c r="AD1" s="1" t="s">
        <v>90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  <c r="AK1" s="1" t="s">
        <v>96</v>
      </c>
      <c r="AL1" s="1" t="s">
        <v>97</v>
      </c>
      <c r="AM1" s="1" t="s">
        <v>98</v>
      </c>
      <c r="AN1" s="1" t="s">
        <v>99</v>
      </c>
      <c r="AO1" s="1" t="s">
        <v>100</v>
      </c>
      <c r="AP1" s="1" t="s">
        <v>101</v>
      </c>
      <c r="AQ1" s="1" t="s">
        <v>102</v>
      </c>
      <c r="AR1" s="1" t="s">
        <v>103</v>
      </c>
      <c r="AS1" s="1" t="s">
        <v>104</v>
      </c>
      <c r="AT1" s="1" t="s">
        <v>105</v>
      </c>
      <c r="AU1" s="1" t="s">
        <v>106</v>
      </c>
      <c r="AV1" s="1" t="s">
        <v>107</v>
      </c>
      <c r="AW1" s="1" t="s">
        <v>108</v>
      </c>
      <c r="AX1" s="1" t="s">
        <v>109</v>
      </c>
      <c r="AY1" s="1" t="s">
        <v>83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  <c r="BG1" s="1" t="s">
        <v>117</v>
      </c>
      <c r="BH1" s="1" t="s">
        <v>118</v>
      </c>
      <c r="BI1" s="1" t="s">
        <v>119</v>
      </c>
      <c r="BJ1" s="1" t="s">
        <v>120</v>
      </c>
      <c r="BK1" s="1" t="s">
        <v>121</v>
      </c>
      <c r="BL1" s="1" t="s">
        <v>122</v>
      </c>
      <c r="BM1" s="1" t="s">
        <v>123</v>
      </c>
      <c r="BN1" s="1" t="s">
        <v>124</v>
      </c>
      <c r="BO1" s="1" t="s">
        <v>125</v>
      </c>
      <c r="BP1" s="1" t="s">
        <v>126</v>
      </c>
      <c r="BQ1" s="1" t="s">
        <v>127</v>
      </c>
      <c r="BR1" s="1" t="s">
        <v>128</v>
      </c>
      <c r="BS1" s="1" t="s">
        <v>129</v>
      </c>
      <c r="BT1" s="1" t="s">
        <v>130</v>
      </c>
    </row>
    <row r="2" spans="1:73" ht="134.25" customHeight="1" x14ac:dyDescent="0.3">
      <c r="A2" t="s">
        <v>68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63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63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63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63" t="s">
        <v>29</v>
      </c>
      <c r="AG2" s="63" t="s">
        <v>30</v>
      </c>
      <c r="AH2" s="63" t="s">
        <v>31</v>
      </c>
      <c r="AI2" s="63" t="s">
        <v>32</v>
      </c>
      <c r="AJ2" s="63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63" t="s">
        <v>39</v>
      </c>
      <c r="AQ2" s="63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63" t="s">
        <v>15</v>
      </c>
      <c r="AZ2" s="63" t="s">
        <v>16</v>
      </c>
      <c r="BA2" s="63" t="s">
        <v>48</v>
      </c>
      <c r="BB2" s="1" t="s">
        <v>49</v>
      </c>
      <c r="BC2" s="1" t="s">
        <v>50</v>
      </c>
      <c r="BD2" s="1" t="s">
        <v>51</v>
      </c>
      <c r="BE2" s="1" t="s">
        <v>52</v>
      </c>
      <c r="BF2" s="1" t="s">
        <v>53</v>
      </c>
      <c r="BG2" s="63" t="s">
        <v>54</v>
      </c>
      <c r="BH2" s="63" t="s">
        <v>55</v>
      </c>
      <c r="BI2" s="63" t="s">
        <v>56</v>
      </c>
      <c r="BJ2" s="1" t="s">
        <v>57</v>
      </c>
      <c r="BK2" s="1" t="s">
        <v>58</v>
      </c>
      <c r="BL2" s="63" t="s">
        <v>59</v>
      </c>
      <c r="BM2" s="63" t="s">
        <v>60</v>
      </c>
      <c r="BN2" s="2" t="s">
        <v>61</v>
      </c>
      <c r="BO2" s="2" t="s">
        <v>62</v>
      </c>
      <c r="BP2" s="2" t="s">
        <v>63</v>
      </c>
      <c r="BQ2" s="2" t="s">
        <v>64</v>
      </c>
      <c r="BR2" s="2" t="s">
        <v>65</v>
      </c>
      <c r="BS2" s="2" t="s">
        <v>66</v>
      </c>
      <c r="BT2" s="2" t="s">
        <v>67</v>
      </c>
    </row>
    <row r="3" spans="1:73" ht="65.25" customHeight="1" x14ac:dyDescent="0.3">
      <c r="A3" s="10" t="s">
        <v>212</v>
      </c>
      <c r="C3" s="12" t="s">
        <v>162</v>
      </c>
      <c r="D3" s="13" t="s">
        <v>220</v>
      </c>
      <c r="E3" s="12" t="s">
        <v>163</v>
      </c>
      <c r="F3" s="12" t="s">
        <v>167</v>
      </c>
      <c r="G3" s="12" t="s">
        <v>4</v>
      </c>
      <c r="H3" s="12" t="s">
        <v>170</v>
      </c>
      <c r="I3" s="12" t="s">
        <v>221</v>
      </c>
      <c r="J3" s="21" t="s">
        <v>208</v>
      </c>
      <c r="K3" s="12" t="s">
        <v>223</v>
      </c>
      <c r="L3" s="12" t="s">
        <v>174</v>
      </c>
      <c r="M3" s="12" t="s">
        <v>175</v>
      </c>
      <c r="N3" s="12" t="s">
        <v>176</v>
      </c>
      <c r="O3" s="13" t="s">
        <v>214</v>
      </c>
      <c r="P3" s="13" t="s">
        <v>218</v>
      </c>
      <c r="Q3" s="13" t="s">
        <v>215</v>
      </c>
      <c r="R3" s="21" t="s">
        <v>208</v>
      </c>
      <c r="S3" s="18" t="s">
        <v>205</v>
      </c>
      <c r="T3" s="12" t="s">
        <v>183</v>
      </c>
      <c r="U3" s="12" t="s">
        <v>184</v>
      </c>
      <c r="V3" s="12" t="s">
        <v>185</v>
      </c>
      <c r="W3" s="21" t="s">
        <v>208</v>
      </c>
      <c r="X3" s="18" t="s">
        <v>205</v>
      </c>
      <c r="Y3" s="12" t="s">
        <v>22</v>
      </c>
      <c r="Z3" s="13" t="s">
        <v>211</v>
      </c>
      <c r="AA3" s="12" t="s">
        <v>179</v>
      </c>
      <c r="AB3" s="12" t="s">
        <v>25</v>
      </c>
      <c r="AC3" s="12" t="s">
        <v>180</v>
      </c>
      <c r="AD3" s="12" t="s">
        <v>181</v>
      </c>
      <c r="AE3" s="12" t="s">
        <v>182</v>
      </c>
      <c r="AF3" s="21" t="s">
        <v>208</v>
      </c>
      <c r="AG3" s="21" t="s">
        <v>208</v>
      </c>
      <c r="AH3" s="21" t="s">
        <v>208</v>
      </c>
      <c r="AI3" s="21" t="s">
        <v>208</v>
      </c>
      <c r="AJ3" s="21" t="s">
        <v>208</v>
      </c>
      <c r="AK3" s="12" t="s">
        <v>177</v>
      </c>
      <c r="AL3" s="13" t="s">
        <v>209</v>
      </c>
      <c r="AM3" s="13" t="s">
        <v>226</v>
      </c>
      <c r="AN3" s="18" t="s">
        <v>205</v>
      </c>
      <c r="AO3" s="12" t="s">
        <v>207</v>
      </c>
      <c r="AP3" s="21" t="s">
        <v>208</v>
      </c>
      <c r="AQ3" s="21" t="s">
        <v>208</v>
      </c>
      <c r="AR3" s="18" t="s">
        <v>205</v>
      </c>
      <c r="AS3" s="32" t="s">
        <v>335</v>
      </c>
      <c r="AT3" s="18" t="s">
        <v>205</v>
      </c>
      <c r="AU3" s="12" t="s">
        <v>227</v>
      </c>
      <c r="AV3" s="12" t="s">
        <v>172</v>
      </c>
      <c r="AW3" s="12" t="s">
        <v>173</v>
      </c>
      <c r="AX3" s="12" t="s">
        <v>171</v>
      </c>
      <c r="AY3" s="21" t="s">
        <v>208</v>
      </c>
      <c r="AZ3" s="21" t="s">
        <v>208</v>
      </c>
      <c r="BA3" s="21" t="s">
        <v>208</v>
      </c>
      <c r="BB3" s="33" t="s">
        <v>230</v>
      </c>
      <c r="BC3" s="18" t="s">
        <v>205</v>
      </c>
      <c r="BD3" s="33" t="s">
        <v>231</v>
      </c>
      <c r="BE3" s="18" t="s">
        <v>205</v>
      </c>
      <c r="BF3" s="18" t="s">
        <v>205</v>
      </c>
      <c r="BG3" s="21" t="s">
        <v>208</v>
      </c>
      <c r="BH3" s="21" t="s">
        <v>208</v>
      </c>
      <c r="BI3" s="21" t="s">
        <v>208</v>
      </c>
      <c r="BJ3" s="11"/>
      <c r="BK3" s="11"/>
      <c r="BL3" s="21" t="s">
        <v>208</v>
      </c>
      <c r="BM3" s="21" t="s">
        <v>208</v>
      </c>
      <c r="BN3" s="32" t="s">
        <v>252</v>
      </c>
      <c r="BO3" s="12" t="s">
        <v>235</v>
      </c>
      <c r="BP3" s="32" t="s">
        <v>252</v>
      </c>
      <c r="BQ3" s="12" t="s">
        <v>234</v>
      </c>
      <c r="BR3" s="12" t="s">
        <v>186</v>
      </c>
      <c r="BS3" s="18" t="s">
        <v>205</v>
      </c>
      <c r="BT3" s="18" t="s">
        <v>205</v>
      </c>
    </row>
    <row r="4" spans="1:73" ht="19.5" customHeight="1" x14ac:dyDescent="0.3">
      <c r="A4" t="s">
        <v>164</v>
      </c>
      <c r="C4" s="4" t="s">
        <v>165</v>
      </c>
      <c r="D4" s="4" t="s">
        <v>219</v>
      </c>
      <c r="E4" s="4" t="s">
        <v>166</v>
      </c>
      <c r="F4" s="4" t="s">
        <v>168</v>
      </c>
      <c r="G4" s="4" t="s">
        <v>169</v>
      </c>
      <c r="H4" s="4" t="s">
        <v>187</v>
      </c>
      <c r="I4" s="4" t="s">
        <v>222</v>
      </c>
      <c r="J4" s="22"/>
      <c r="K4" s="4" t="s">
        <v>224</v>
      </c>
      <c r="L4" s="4" t="s">
        <v>188</v>
      </c>
      <c r="M4" s="4" t="s">
        <v>189</v>
      </c>
      <c r="N4" s="4" t="s">
        <v>190</v>
      </c>
      <c r="O4" s="4" t="s">
        <v>213</v>
      </c>
      <c r="P4" s="4" t="s">
        <v>217</v>
      </c>
      <c r="Q4" s="4" t="s">
        <v>216</v>
      </c>
      <c r="R4" s="22"/>
      <c r="S4" s="1"/>
      <c r="T4" s="4" t="s">
        <v>191</v>
      </c>
      <c r="U4" s="4" t="s">
        <v>192</v>
      </c>
      <c r="V4" s="4" t="s">
        <v>193</v>
      </c>
      <c r="W4" s="22"/>
      <c r="X4" s="1"/>
      <c r="Y4" s="4" t="s">
        <v>194</v>
      </c>
      <c r="Z4" s="4" t="s">
        <v>178</v>
      </c>
      <c r="AA4" s="4" t="s">
        <v>195</v>
      </c>
      <c r="AB4" s="4" t="s">
        <v>196</v>
      </c>
      <c r="AC4" s="4" t="s">
        <v>197</v>
      </c>
      <c r="AD4" s="4" t="s">
        <v>198</v>
      </c>
      <c r="AE4" s="4" t="s">
        <v>199</v>
      </c>
      <c r="AF4" s="22"/>
      <c r="AG4" s="22"/>
      <c r="AH4" s="22"/>
      <c r="AI4" s="23"/>
      <c r="AJ4" s="22"/>
      <c r="AK4" s="4" t="s">
        <v>200</v>
      </c>
      <c r="AL4" s="4" t="s">
        <v>210</v>
      </c>
      <c r="AM4" s="4" t="s">
        <v>225</v>
      </c>
      <c r="AN4" s="1"/>
      <c r="AO4" s="4" t="s">
        <v>206</v>
      </c>
      <c r="AP4" s="22"/>
      <c r="AQ4" s="22"/>
      <c r="AR4" s="1"/>
      <c r="AS4" s="1"/>
      <c r="AT4" s="1"/>
      <c r="AU4" s="4" t="s">
        <v>228</v>
      </c>
      <c r="AV4" s="4" t="s">
        <v>202</v>
      </c>
      <c r="AW4" s="4" t="s">
        <v>203</v>
      </c>
      <c r="AX4" s="4" t="s">
        <v>201</v>
      </c>
      <c r="AY4" s="22"/>
      <c r="AZ4" s="22"/>
      <c r="BA4" s="22"/>
      <c r="BB4" s="4" t="s">
        <v>229</v>
      </c>
      <c r="BC4" s="1"/>
      <c r="BD4" s="4" t="s">
        <v>232</v>
      </c>
      <c r="BE4" s="1"/>
      <c r="BF4" s="1"/>
      <c r="BG4" s="22"/>
      <c r="BH4" s="22"/>
      <c r="BI4" s="22"/>
      <c r="BJ4" s="1"/>
      <c r="BK4" s="1"/>
      <c r="BL4" s="22"/>
      <c r="BM4" s="22"/>
      <c r="BN4" s="1"/>
      <c r="BO4" s="4" t="s">
        <v>236</v>
      </c>
      <c r="BP4" s="1"/>
      <c r="BQ4" s="4" t="s">
        <v>233</v>
      </c>
      <c r="BR4" s="4" t="s">
        <v>204</v>
      </c>
      <c r="BS4" s="1"/>
      <c r="BT4" s="1"/>
    </row>
    <row r="5" spans="1:73" x14ac:dyDescent="0.3">
      <c r="J5" s="24"/>
      <c r="R5" s="24"/>
      <c r="W5" s="24"/>
      <c r="AF5" s="24"/>
      <c r="AG5" s="24"/>
      <c r="AH5" s="24"/>
      <c r="AI5" s="24"/>
      <c r="AJ5" s="24"/>
      <c r="AP5" s="24"/>
      <c r="AQ5" s="24"/>
      <c r="AY5" s="24"/>
      <c r="AZ5" s="24"/>
      <c r="BA5" s="24"/>
      <c r="BG5" s="24"/>
      <c r="BH5" s="24"/>
      <c r="BI5" s="24"/>
      <c r="BL5" s="24"/>
      <c r="BM5" s="24"/>
    </row>
    <row r="6" spans="1:73" x14ac:dyDescent="0.3">
      <c r="A6" s="3" t="s">
        <v>132</v>
      </c>
      <c r="B6" s="3" t="s">
        <v>131</v>
      </c>
      <c r="J6" s="24"/>
      <c r="R6" s="24"/>
      <c r="W6" s="24"/>
      <c r="AF6" s="24"/>
      <c r="AG6" s="24"/>
      <c r="AH6" s="24"/>
      <c r="AI6" s="24"/>
      <c r="AJ6" s="24"/>
      <c r="AP6" s="24"/>
      <c r="AQ6" s="24"/>
      <c r="AY6" s="24"/>
      <c r="AZ6" s="24"/>
      <c r="BA6" s="24"/>
      <c r="BG6" s="24"/>
      <c r="BH6" s="24"/>
      <c r="BI6" s="24"/>
      <c r="BL6" s="24"/>
      <c r="BM6" s="24"/>
    </row>
    <row r="7" spans="1:73" x14ac:dyDescent="0.3">
      <c r="A7" t="s">
        <v>310</v>
      </c>
      <c r="B7" t="s">
        <v>153</v>
      </c>
      <c r="C7" s="45">
        <f>100-14</f>
        <v>86</v>
      </c>
      <c r="D7" s="45">
        <f t="shared" ref="D7:I7" si="0">100-14</f>
        <v>86</v>
      </c>
      <c r="E7" s="45">
        <f t="shared" si="0"/>
        <v>86</v>
      </c>
      <c r="F7" s="45">
        <f t="shared" si="0"/>
        <v>86</v>
      </c>
      <c r="G7" s="45">
        <f t="shared" si="0"/>
        <v>86</v>
      </c>
      <c r="H7" s="45">
        <f t="shared" si="0"/>
        <v>86</v>
      </c>
      <c r="I7" s="45">
        <f t="shared" si="0"/>
        <v>86</v>
      </c>
      <c r="J7" s="20"/>
      <c r="K7" s="45">
        <f>100-13</f>
        <v>87</v>
      </c>
      <c r="L7" s="45">
        <f t="shared" ref="L7:N7" si="1">100-14</f>
        <v>86</v>
      </c>
      <c r="M7" s="45">
        <f t="shared" si="1"/>
        <v>86</v>
      </c>
      <c r="N7" s="45">
        <f t="shared" si="1"/>
        <v>86</v>
      </c>
      <c r="O7" s="19">
        <v>100</v>
      </c>
      <c r="P7" s="19">
        <v>100</v>
      </c>
      <c r="Q7" s="19">
        <v>100</v>
      </c>
      <c r="R7" s="27"/>
      <c r="S7" s="8">
        <f>O7</f>
        <v>100</v>
      </c>
      <c r="T7" s="5">
        <v>88.8</v>
      </c>
      <c r="U7" s="5">
        <v>89</v>
      </c>
      <c r="V7" s="5">
        <v>87.9</v>
      </c>
      <c r="W7" s="20"/>
      <c r="X7" s="19">
        <f>AD7</f>
        <v>90.6</v>
      </c>
      <c r="Y7" s="5">
        <v>87</v>
      </c>
      <c r="Z7" s="5">
        <v>93.8</v>
      </c>
      <c r="AA7" s="5">
        <v>90</v>
      </c>
      <c r="AB7" s="5">
        <v>88.3</v>
      </c>
      <c r="AC7" s="5">
        <v>95.6</v>
      </c>
      <c r="AD7" s="5">
        <v>90.6</v>
      </c>
      <c r="AE7" s="5">
        <v>89</v>
      </c>
      <c r="AF7" s="20"/>
      <c r="AG7" s="20"/>
      <c r="AH7" s="20"/>
      <c r="AI7" s="20"/>
      <c r="AJ7" s="20"/>
      <c r="AK7" s="5">
        <v>75.7</v>
      </c>
      <c r="AL7" s="5">
        <v>94.8</v>
      </c>
      <c r="AM7" s="5">
        <v>96</v>
      </c>
      <c r="AN7" s="19">
        <f>AO7</f>
        <v>97</v>
      </c>
      <c r="AO7" s="5">
        <v>97</v>
      </c>
      <c r="AP7" s="20"/>
      <c r="AQ7" s="20"/>
      <c r="AR7" s="16">
        <v>25</v>
      </c>
      <c r="AS7" s="31">
        <v>64</v>
      </c>
      <c r="AT7" s="5">
        <f>100-87</f>
        <v>13</v>
      </c>
      <c r="AU7" s="5">
        <v>20.6</v>
      </c>
      <c r="AV7" s="45">
        <f>100-9</f>
        <v>91</v>
      </c>
      <c r="AW7" s="45">
        <f>100-9</f>
        <v>91</v>
      </c>
      <c r="AX7" s="45">
        <f>100-14</f>
        <v>86</v>
      </c>
      <c r="AY7" s="20"/>
      <c r="AZ7" s="20"/>
      <c r="BA7" s="20"/>
      <c r="BB7" s="5">
        <v>7.3</v>
      </c>
      <c r="BC7" s="19">
        <f>BB7</f>
        <v>7.3</v>
      </c>
      <c r="BD7" s="5">
        <v>14</v>
      </c>
      <c r="BE7" s="19">
        <f>BD7</f>
        <v>14</v>
      </c>
      <c r="BF7" s="19">
        <f>BD7</f>
        <v>14</v>
      </c>
      <c r="BG7" s="20"/>
      <c r="BH7" s="20"/>
      <c r="BI7" s="20"/>
      <c r="BJ7" s="31">
        <v>100</v>
      </c>
      <c r="BK7" s="31">
        <f>BK8</f>
        <v>23.849999999999994</v>
      </c>
      <c r="BL7" s="20"/>
      <c r="BM7" s="20"/>
      <c r="BN7" s="45">
        <f>100-65</f>
        <v>35</v>
      </c>
      <c r="BO7" s="45">
        <f t="shared" ref="BO7:BP7" si="2">100-65</f>
        <v>35</v>
      </c>
      <c r="BP7" s="45">
        <f t="shared" si="2"/>
        <v>35</v>
      </c>
      <c r="BQ7" s="5">
        <v>16.3</v>
      </c>
      <c r="BR7" s="5">
        <v>91</v>
      </c>
      <c r="BS7" s="19">
        <f>AT7</f>
        <v>13</v>
      </c>
      <c r="BT7" s="19">
        <f>AT7</f>
        <v>13</v>
      </c>
      <c r="BU7" s="5"/>
    </row>
    <row r="8" spans="1:73" x14ac:dyDescent="0.3">
      <c r="A8" t="s">
        <v>133</v>
      </c>
      <c r="B8" t="s">
        <v>134</v>
      </c>
      <c r="C8" s="5">
        <v>87</v>
      </c>
      <c r="D8" s="5">
        <v>87.8</v>
      </c>
      <c r="E8" s="5">
        <v>86.6</v>
      </c>
      <c r="F8" s="5">
        <v>87.1</v>
      </c>
      <c r="G8" s="5">
        <v>87.9</v>
      </c>
      <c r="H8" s="5">
        <v>86.3</v>
      </c>
      <c r="I8" s="5">
        <v>87.1</v>
      </c>
      <c r="J8" s="20"/>
      <c r="K8" s="5">
        <v>89.2</v>
      </c>
      <c r="L8" s="5">
        <v>86.5</v>
      </c>
      <c r="M8" s="5">
        <v>86.6</v>
      </c>
      <c r="N8" s="5">
        <v>90.2</v>
      </c>
      <c r="O8" s="5">
        <v>100</v>
      </c>
      <c r="P8" s="5">
        <v>99.3</v>
      </c>
      <c r="Q8" s="5">
        <v>100</v>
      </c>
      <c r="R8" s="27"/>
      <c r="S8" s="8">
        <f>O8</f>
        <v>100</v>
      </c>
      <c r="T8" s="5">
        <v>88.8</v>
      </c>
      <c r="U8" s="5">
        <v>89</v>
      </c>
      <c r="V8" s="5">
        <v>87.9</v>
      </c>
      <c r="W8" s="20"/>
      <c r="X8" s="19">
        <f>AD8</f>
        <v>90.6</v>
      </c>
      <c r="Y8" s="5">
        <v>87</v>
      </c>
      <c r="Z8" s="5">
        <v>93.8</v>
      </c>
      <c r="AA8" s="5">
        <v>90</v>
      </c>
      <c r="AB8" s="5">
        <v>88.3</v>
      </c>
      <c r="AC8" s="5">
        <v>95.6</v>
      </c>
      <c r="AD8" s="5">
        <v>90.6</v>
      </c>
      <c r="AE8" s="5">
        <v>89</v>
      </c>
      <c r="AF8" s="20"/>
      <c r="AG8" s="20"/>
      <c r="AH8" s="20"/>
      <c r="AI8" s="20"/>
      <c r="AJ8" s="20"/>
      <c r="AK8" s="5">
        <v>75.7</v>
      </c>
      <c r="AL8" s="5">
        <v>94.8</v>
      </c>
      <c r="AM8" s="5">
        <v>96</v>
      </c>
      <c r="AN8" s="19">
        <f>AO8</f>
        <v>97</v>
      </c>
      <c r="AO8" s="5">
        <v>97</v>
      </c>
      <c r="AP8" s="20"/>
      <c r="AQ8" s="20"/>
      <c r="AR8" s="16">
        <v>25</v>
      </c>
      <c r="AS8" s="31">
        <v>64</v>
      </c>
      <c r="AT8" s="5">
        <f>100-87</f>
        <v>13</v>
      </c>
      <c r="AU8" s="5">
        <v>20.6</v>
      </c>
      <c r="AV8" s="5">
        <v>92.3</v>
      </c>
      <c r="AW8" s="5">
        <v>92.8</v>
      </c>
      <c r="AX8" s="5">
        <v>88.7</v>
      </c>
      <c r="AY8" s="20"/>
      <c r="AZ8" s="20"/>
      <c r="BA8" s="20"/>
      <c r="BB8" s="5">
        <v>7.3</v>
      </c>
      <c r="BC8" s="19">
        <f>BB8</f>
        <v>7.3</v>
      </c>
      <c r="BD8" s="5">
        <v>14</v>
      </c>
      <c r="BE8" s="19">
        <f>BD8</f>
        <v>14</v>
      </c>
      <c r="BF8" s="19">
        <f>BD8</f>
        <v>14</v>
      </c>
      <c r="BG8" s="20"/>
      <c r="BH8" s="20"/>
      <c r="BI8" s="20"/>
      <c r="BJ8" s="31">
        <v>100</v>
      </c>
      <c r="BK8" s="31">
        <f>100-76.15</f>
        <v>23.849999999999994</v>
      </c>
      <c r="BL8" s="20"/>
      <c r="BM8" s="20"/>
      <c r="BN8" s="14">
        <f>'Forage crops'!L12</f>
        <v>15.05</v>
      </c>
      <c r="BO8" s="5">
        <v>32.5</v>
      </c>
      <c r="BP8" s="14">
        <f>'Forage crops'!M12</f>
        <v>16.125</v>
      </c>
      <c r="BQ8" s="5">
        <v>16.3</v>
      </c>
      <c r="BR8" s="5">
        <v>91</v>
      </c>
      <c r="BS8" s="19">
        <f>AT8</f>
        <v>13</v>
      </c>
      <c r="BT8" s="19">
        <f>AT8</f>
        <v>13</v>
      </c>
      <c r="BU8" s="5"/>
    </row>
    <row r="9" spans="1:73" x14ac:dyDescent="0.3">
      <c r="A9" t="s">
        <v>135</v>
      </c>
      <c r="B9" t="s">
        <v>136</v>
      </c>
      <c r="C9" s="5">
        <v>12.6</v>
      </c>
      <c r="D9" s="5">
        <v>16.3</v>
      </c>
      <c r="E9" s="5">
        <v>10.3</v>
      </c>
      <c r="F9" s="5">
        <v>11.8</v>
      </c>
      <c r="G9" s="5">
        <v>11</v>
      </c>
      <c r="H9" s="5">
        <v>9.4</v>
      </c>
      <c r="I9" s="5">
        <v>11.7</v>
      </c>
      <c r="J9" s="20"/>
      <c r="K9" s="5">
        <v>10.4</v>
      </c>
      <c r="L9" s="5">
        <v>23.9</v>
      </c>
      <c r="M9" s="5">
        <v>29</v>
      </c>
      <c r="N9" s="5">
        <v>33.700000000000003</v>
      </c>
      <c r="O9" s="5">
        <v>0</v>
      </c>
      <c r="P9" s="5">
        <v>0</v>
      </c>
      <c r="Q9" s="5">
        <v>0</v>
      </c>
      <c r="R9" s="27"/>
      <c r="S9" s="8">
        <f t="shared" ref="S9:S36" si="3">O9</f>
        <v>0</v>
      </c>
      <c r="T9" s="5">
        <v>38.299999999999997</v>
      </c>
      <c r="U9" s="5">
        <v>32.4</v>
      </c>
      <c r="V9" s="5">
        <v>51.8</v>
      </c>
      <c r="W9" s="20"/>
      <c r="X9" s="19">
        <f t="shared" ref="X9:X36" si="4">AD9</f>
        <v>37.299999999999997</v>
      </c>
      <c r="Y9" s="5">
        <v>17.3</v>
      </c>
      <c r="Z9" s="5">
        <v>85.5</v>
      </c>
      <c r="AA9" s="5">
        <v>67.2</v>
      </c>
      <c r="AB9" s="5">
        <v>21.7</v>
      </c>
      <c r="AC9" s="5">
        <v>25.6</v>
      </c>
      <c r="AD9" s="5">
        <v>37.299999999999997</v>
      </c>
      <c r="AE9" s="5">
        <v>29.5</v>
      </c>
      <c r="AF9" s="20"/>
      <c r="AG9" s="20"/>
      <c r="AH9" s="20"/>
      <c r="AI9" s="20"/>
      <c r="AJ9" s="20"/>
      <c r="AK9" s="5">
        <v>14.3</v>
      </c>
      <c r="AL9" s="5">
        <v>35.799999999999997</v>
      </c>
      <c r="AM9" s="5">
        <v>25.4</v>
      </c>
      <c r="AN9" s="19">
        <f>AO9</f>
        <v>12.5</v>
      </c>
      <c r="AO9" s="5">
        <v>12.5</v>
      </c>
      <c r="AP9" s="20"/>
      <c r="AQ9" s="20"/>
      <c r="AR9" s="19">
        <f>AM9</f>
        <v>25.4</v>
      </c>
      <c r="AS9" s="31">
        <v>38</v>
      </c>
      <c r="AT9" s="19">
        <f>AM9</f>
        <v>25.4</v>
      </c>
      <c r="AU9" s="5">
        <v>10.8</v>
      </c>
      <c r="AV9" s="5">
        <v>20.9</v>
      </c>
      <c r="AW9" s="5">
        <v>16.600000000000001</v>
      </c>
      <c r="AX9" s="5">
        <v>39.6</v>
      </c>
      <c r="AY9" s="20"/>
      <c r="AZ9" s="20"/>
      <c r="BA9" s="20"/>
      <c r="BB9" s="5">
        <v>16.7</v>
      </c>
      <c r="BC9" s="19">
        <f>BB9</f>
        <v>16.7</v>
      </c>
      <c r="BD9" s="5">
        <v>1.5</v>
      </c>
      <c r="BE9" s="19">
        <f t="shared" ref="BE9:BE15" si="5">BD9</f>
        <v>1.5</v>
      </c>
      <c r="BF9" s="19">
        <f t="shared" ref="BF9:BF15" si="6">BD9</f>
        <v>1.5</v>
      </c>
      <c r="BG9" s="20"/>
      <c r="BH9" s="20"/>
      <c r="BI9" s="20"/>
      <c r="BJ9" s="31">
        <v>0</v>
      </c>
      <c r="BK9" s="31">
        <f>12.56/BK8*100</f>
        <v>52.662473794549278</v>
      </c>
      <c r="BL9" s="20"/>
      <c r="BM9" s="20"/>
      <c r="BN9" s="14">
        <f>'Forage crops'!L12</f>
        <v>15.05</v>
      </c>
      <c r="BO9" s="5">
        <v>6.9</v>
      </c>
      <c r="BP9" s="14">
        <f>'Forage crops'!M12</f>
        <v>16.125</v>
      </c>
      <c r="BQ9" s="5">
        <v>6.7</v>
      </c>
      <c r="BR9" s="5">
        <v>4.2</v>
      </c>
      <c r="BS9" s="19">
        <f t="shared" ref="BS9:BS18" si="7">AT9</f>
        <v>25.4</v>
      </c>
      <c r="BT9" s="19">
        <f t="shared" ref="BT9:BT18" si="8">AT9</f>
        <v>25.4</v>
      </c>
      <c r="BU9" s="5"/>
    </row>
    <row r="10" spans="1:73" x14ac:dyDescent="0.3">
      <c r="A10" t="s">
        <v>137</v>
      </c>
      <c r="B10" t="s">
        <v>136</v>
      </c>
      <c r="C10" s="5">
        <v>2.6</v>
      </c>
      <c r="D10" s="5">
        <v>3</v>
      </c>
      <c r="E10" s="5">
        <v>2.2000000000000002</v>
      </c>
      <c r="F10" s="5">
        <v>5.2</v>
      </c>
      <c r="G10" s="5">
        <v>13.9</v>
      </c>
      <c r="H10" s="5">
        <v>2.5</v>
      </c>
      <c r="I10" s="5">
        <v>2.7</v>
      </c>
      <c r="J10" s="20"/>
      <c r="K10" s="5">
        <v>0.4</v>
      </c>
      <c r="L10" s="5">
        <v>6</v>
      </c>
      <c r="M10" s="5">
        <v>9.1</v>
      </c>
      <c r="N10" s="5">
        <v>16.100000000000001</v>
      </c>
      <c r="O10" s="5">
        <v>0</v>
      </c>
      <c r="P10" s="5">
        <v>0</v>
      </c>
      <c r="Q10" s="5">
        <v>0</v>
      </c>
      <c r="R10" s="27"/>
      <c r="S10" s="8">
        <f t="shared" si="3"/>
        <v>0</v>
      </c>
      <c r="T10" s="5">
        <v>14.1</v>
      </c>
      <c r="U10" s="5">
        <v>27.9</v>
      </c>
      <c r="V10" s="5">
        <v>6.7</v>
      </c>
      <c r="W10" s="20"/>
      <c r="X10" s="19">
        <f t="shared" si="4"/>
        <v>7.7</v>
      </c>
      <c r="Y10" s="5">
        <v>10.4</v>
      </c>
      <c r="Z10" s="5">
        <v>0.7</v>
      </c>
      <c r="AA10" s="5">
        <v>1.2</v>
      </c>
      <c r="AB10" s="5">
        <v>8.3000000000000007</v>
      </c>
      <c r="AC10" s="5">
        <v>10.4</v>
      </c>
      <c r="AD10" s="5">
        <v>7.7</v>
      </c>
      <c r="AE10" s="5">
        <v>7.9</v>
      </c>
      <c r="AF10" s="20"/>
      <c r="AG10" s="20"/>
      <c r="AH10" s="20"/>
      <c r="AI10" s="20"/>
      <c r="AJ10" s="20"/>
      <c r="AK10" s="5">
        <v>0.1</v>
      </c>
      <c r="AL10" s="5">
        <v>0</v>
      </c>
      <c r="AM10" s="5">
        <v>0</v>
      </c>
      <c r="AN10" s="19"/>
      <c r="AO10" s="5"/>
      <c r="AP10" s="20"/>
      <c r="AQ10" s="20"/>
      <c r="AR10" s="19">
        <f t="shared" ref="AR10:AR15" si="9">AM10</f>
        <v>0</v>
      </c>
      <c r="AS10" s="31"/>
      <c r="AT10" s="19">
        <f t="shared" ref="AT10:AT15" si="10">AM10</f>
        <v>0</v>
      </c>
      <c r="AU10" s="5">
        <v>2.5</v>
      </c>
      <c r="AV10" s="5">
        <v>10.1</v>
      </c>
      <c r="AW10" s="5">
        <v>17.2</v>
      </c>
      <c r="AX10" s="5">
        <v>6.2</v>
      </c>
      <c r="AY10" s="20"/>
      <c r="AZ10" s="20"/>
      <c r="BA10" s="20"/>
      <c r="BB10" s="5"/>
      <c r="BC10" s="5"/>
      <c r="BD10" s="5">
        <v>5.5</v>
      </c>
      <c r="BE10" s="19">
        <f t="shared" si="5"/>
        <v>5.5</v>
      </c>
      <c r="BF10" s="19">
        <f t="shared" si="6"/>
        <v>5.5</v>
      </c>
      <c r="BG10" s="20"/>
      <c r="BH10" s="20"/>
      <c r="BI10" s="20"/>
      <c r="BJ10" s="31"/>
      <c r="BK10" s="31"/>
      <c r="BL10" s="20"/>
      <c r="BM10" s="20"/>
      <c r="BN10" s="14">
        <f>'Forage crops'!L13</f>
        <v>30.75</v>
      </c>
      <c r="BO10" s="5">
        <v>20.2</v>
      </c>
      <c r="BP10" s="14">
        <f>'Forage crops'!M13</f>
        <v>30</v>
      </c>
      <c r="BQ10" s="5">
        <v>5.8</v>
      </c>
      <c r="BR10" s="5">
        <v>41.5</v>
      </c>
      <c r="BS10" s="19">
        <f t="shared" si="7"/>
        <v>0</v>
      </c>
      <c r="BT10" s="19">
        <f t="shared" si="8"/>
        <v>0</v>
      </c>
      <c r="BU10" s="5"/>
    </row>
    <row r="11" spans="1:73" x14ac:dyDescent="0.3">
      <c r="A11" t="s">
        <v>138</v>
      </c>
      <c r="B11" t="s">
        <v>136</v>
      </c>
      <c r="C11" s="5">
        <v>13.9</v>
      </c>
      <c r="D11" s="5">
        <v>15.9</v>
      </c>
      <c r="E11" s="5">
        <v>13.9</v>
      </c>
      <c r="F11" s="5">
        <v>21.7</v>
      </c>
      <c r="G11" s="5">
        <v>35.5</v>
      </c>
      <c r="H11" s="5">
        <v>12.2</v>
      </c>
      <c r="I11" s="5">
        <v>14.6</v>
      </c>
      <c r="J11" s="20"/>
      <c r="K11" s="5">
        <v>4.8</v>
      </c>
      <c r="L11" s="5">
        <v>14.2</v>
      </c>
      <c r="M11" s="5">
        <v>15.9</v>
      </c>
      <c r="N11" s="5"/>
      <c r="O11" s="5"/>
      <c r="P11" s="5"/>
      <c r="Q11" s="5"/>
      <c r="R11" s="27"/>
      <c r="S11" s="8"/>
      <c r="T11" s="5">
        <v>31.1</v>
      </c>
      <c r="U11" s="5">
        <v>45</v>
      </c>
      <c r="V11" s="5">
        <v>13.7</v>
      </c>
      <c r="W11" s="20"/>
      <c r="X11" s="19">
        <f t="shared" si="4"/>
        <v>34</v>
      </c>
      <c r="Y11" s="5">
        <v>45.2</v>
      </c>
      <c r="Z11" s="5">
        <v>0.4</v>
      </c>
      <c r="AA11" s="5">
        <v>4.0999999999999996</v>
      </c>
      <c r="AB11" s="5">
        <v>39.6</v>
      </c>
      <c r="AC11" s="5">
        <v>45</v>
      </c>
      <c r="AD11" s="5">
        <v>34</v>
      </c>
      <c r="AE11" s="5">
        <v>34.200000000000003</v>
      </c>
      <c r="AF11" s="20"/>
      <c r="AG11" s="20"/>
      <c r="AH11" s="20"/>
      <c r="AI11" s="20"/>
      <c r="AJ11" s="20"/>
      <c r="AK11" s="5"/>
      <c r="AL11" s="5">
        <v>0</v>
      </c>
      <c r="AM11" s="5">
        <v>0</v>
      </c>
      <c r="AN11" s="19"/>
      <c r="AO11" s="5"/>
      <c r="AP11" s="20"/>
      <c r="AQ11" s="20"/>
      <c r="AR11" s="19">
        <f t="shared" si="9"/>
        <v>0</v>
      </c>
      <c r="AS11" s="31"/>
      <c r="AT11" s="19">
        <f t="shared" si="10"/>
        <v>0</v>
      </c>
      <c r="AU11" s="5">
        <v>8.3000000000000007</v>
      </c>
      <c r="AV11" s="5">
        <v>20.399999999999999</v>
      </c>
      <c r="AW11" s="5">
        <v>29.6</v>
      </c>
      <c r="AX11" s="5">
        <v>13.2</v>
      </c>
      <c r="AY11" s="20"/>
      <c r="AZ11" s="20"/>
      <c r="BA11" s="20"/>
      <c r="BB11" s="5">
        <v>30.5</v>
      </c>
      <c r="BC11" s="19">
        <f t="shared" ref="BC11:BC14" si="11">BB11</f>
        <v>30.5</v>
      </c>
      <c r="BD11" s="5">
        <v>10.5</v>
      </c>
      <c r="BE11" s="19">
        <f t="shared" si="5"/>
        <v>10.5</v>
      </c>
      <c r="BF11" s="19">
        <f t="shared" si="6"/>
        <v>10.5</v>
      </c>
      <c r="BG11" s="20"/>
      <c r="BH11" s="20"/>
      <c r="BI11" s="20"/>
      <c r="BJ11" s="31"/>
      <c r="BK11" s="31"/>
      <c r="BL11" s="20"/>
      <c r="BM11" s="20"/>
      <c r="BN11" s="14">
        <f>'Forage crops'!L14</f>
        <v>61.05</v>
      </c>
      <c r="BO11" s="5">
        <v>44.3</v>
      </c>
      <c r="BP11" s="14">
        <f>'Forage crops'!M14</f>
        <v>55.9</v>
      </c>
      <c r="BQ11" s="5">
        <v>13.3</v>
      </c>
      <c r="BR11" s="5">
        <v>77.5</v>
      </c>
      <c r="BS11" s="19">
        <f t="shared" si="7"/>
        <v>0</v>
      </c>
      <c r="BT11" s="19">
        <f t="shared" si="8"/>
        <v>0</v>
      </c>
      <c r="BU11" s="5"/>
    </row>
    <row r="12" spans="1:73" x14ac:dyDescent="0.3">
      <c r="A12" t="s">
        <v>139</v>
      </c>
      <c r="B12" t="s">
        <v>136</v>
      </c>
      <c r="C12" s="5">
        <v>3.6</v>
      </c>
      <c r="D12" s="5">
        <v>4.2</v>
      </c>
      <c r="E12" s="5">
        <v>3.2</v>
      </c>
      <c r="F12" s="5">
        <v>6.4</v>
      </c>
      <c r="G12" s="5">
        <v>16.2</v>
      </c>
      <c r="H12" s="5">
        <v>3</v>
      </c>
      <c r="I12" s="5">
        <v>3.7</v>
      </c>
      <c r="J12" s="20"/>
      <c r="K12" s="5">
        <v>1.2</v>
      </c>
      <c r="L12" s="5">
        <v>7</v>
      </c>
      <c r="M12" s="5">
        <v>10.7</v>
      </c>
      <c r="N12" s="5"/>
      <c r="O12" s="5"/>
      <c r="P12" s="5"/>
      <c r="Q12" s="5"/>
      <c r="R12" s="27"/>
      <c r="S12" s="8"/>
      <c r="T12" s="5">
        <v>20.399999999999999</v>
      </c>
      <c r="U12" s="5">
        <v>32</v>
      </c>
      <c r="V12" s="5">
        <v>8.3000000000000007</v>
      </c>
      <c r="W12" s="20"/>
      <c r="X12" s="19">
        <f t="shared" si="4"/>
        <v>14.5</v>
      </c>
      <c r="Y12" s="5">
        <v>13.4</v>
      </c>
      <c r="Z12" s="5">
        <v>0.7</v>
      </c>
      <c r="AA12" s="5">
        <v>1.6</v>
      </c>
      <c r="AB12" s="5">
        <v>10.6</v>
      </c>
      <c r="AC12" s="5">
        <v>12.2</v>
      </c>
      <c r="AD12" s="5">
        <v>14.5</v>
      </c>
      <c r="AE12" s="5">
        <v>13.6</v>
      </c>
      <c r="AF12" s="20"/>
      <c r="AG12" s="20"/>
      <c r="AH12" s="20"/>
      <c r="AI12" s="20"/>
      <c r="AJ12" s="20"/>
      <c r="AK12" s="5"/>
      <c r="AL12" s="5">
        <v>0</v>
      </c>
      <c r="AM12" s="5">
        <v>0</v>
      </c>
      <c r="AN12" s="19"/>
      <c r="AO12" s="5"/>
      <c r="AP12" s="20"/>
      <c r="AQ12" s="20"/>
      <c r="AR12" s="19">
        <f t="shared" si="9"/>
        <v>0</v>
      </c>
      <c r="AS12" s="31"/>
      <c r="AT12" s="19">
        <f t="shared" si="10"/>
        <v>0</v>
      </c>
      <c r="AU12" s="5">
        <v>3.6</v>
      </c>
      <c r="AV12" s="5">
        <v>14.4</v>
      </c>
      <c r="AW12" s="5">
        <v>19.5</v>
      </c>
      <c r="AX12" s="5">
        <v>7.7</v>
      </c>
      <c r="AY12" s="20"/>
      <c r="AZ12" s="20"/>
      <c r="BA12" s="20"/>
      <c r="BB12" s="5">
        <v>20</v>
      </c>
      <c r="BC12" s="19">
        <f t="shared" si="11"/>
        <v>20</v>
      </c>
      <c r="BD12" s="5">
        <v>7.4</v>
      </c>
      <c r="BE12" s="19">
        <f t="shared" si="5"/>
        <v>7.4</v>
      </c>
      <c r="BF12" s="19">
        <f t="shared" si="6"/>
        <v>7.4</v>
      </c>
      <c r="BG12" s="20"/>
      <c r="BH12" s="20"/>
      <c r="BI12" s="20"/>
      <c r="BJ12" s="31"/>
      <c r="BK12" s="31"/>
      <c r="BL12" s="20"/>
      <c r="BM12" s="20"/>
      <c r="BN12" s="14">
        <f>'Forage crops'!L15</f>
        <v>33.25</v>
      </c>
      <c r="BO12" s="5">
        <v>23.3</v>
      </c>
      <c r="BP12" s="14">
        <f>'Forage crops'!M15</f>
        <v>32.9</v>
      </c>
      <c r="BQ12" s="5">
        <v>7.1</v>
      </c>
      <c r="BR12" s="5">
        <v>50</v>
      </c>
      <c r="BS12" s="19">
        <f t="shared" si="7"/>
        <v>0</v>
      </c>
      <c r="BT12" s="19">
        <f t="shared" si="8"/>
        <v>0</v>
      </c>
      <c r="BU12" s="5"/>
    </row>
    <row r="13" spans="1:73" x14ac:dyDescent="0.3">
      <c r="A13" t="s">
        <v>140</v>
      </c>
      <c r="B13" t="s">
        <v>136</v>
      </c>
      <c r="C13" s="5">
        <v>1.1000000000000001</v>
      </c>
      <c r="D13" s="5">
        <v>1.3</v>
      </c>
      <c r="E13" s="5">
        <v>1.1000000000000001</v>
      </c>
      <c r="F13" s="5">
        <v>1.1000000000000001</v>
      </c>
      <c r="G13" s="5">
        <v>2.5</v>
      </c>
      <c r="H13" s="5">
        <v>0.6</v>
      </c>
      <c r="I13" s="5">
        <v>1.1000000000000001</v>
      </c>
      <c r="J13" s="20"/>
      <c r="K13" s="5">
        <v>0.8</v>
      </c>
      <c r="L13" s="5">
        <v>0.4</v>
      </c>
      <c r="M13" s="5">
        <v>1</v>
      </c>
      <c r="N13" s="5">
        <v>1.2</v>
      </c>
      <c r="O13" s="5"/>
      <c r="P13" s="5"/>
      <c r="Q13" s="5"/>
      <c r="R13" s="27"/>
      <c r="S13" s="8"/>
      <c r="T13" s="5">
        <v>9.5</v>
      </c>
      <c r="U13" s="5">
        <v>10.7</v>
      </c>
      <c r="V13" s="5">
        <v>0.8</v>
      </c>
      <c r="W13" s="20"/>
      <c r="X13" s="19">
        <f t="shared" si="4"/>
        <v>4.5999999999999996</v>
      </c>
      <c r="Y13" s="5">
        <v>3.8</v>
      </c>
      <c r="Z13" s="5">
        <v>0.3</v>
      </c>
      <c r="AA13" s="5">
        <v>0.3</v>
      </c>
      <c r="AB13" s="5">
        <v>1.2</v>
      </c>
      <c r="AC13" s="5">
        <v>2.4</v>
      </c>
      <c r="AD13" s="5">
        <v>4.5999999999999996</v>
      </c>
      <c r="AE13" s="5">
        <v>4.3</v>
      </c>
      <c r="AF13" s="20"/>
      <c r="AG13" s="20"/>
      <c r="AH13" s="20"/>
      <c r="AI13" s="20"/>
      <c r="AJ13" s="20"/>
      <c r="AK13" s="5"/>
      <c r="AL13" s="5">
        <v>0</v>
      </c>
      <c r="AM13" s="5">
        <v>0</v>
      </c>
      <c r="AN13" s="19"/>
      <c r="AO13" s="5"/>
      <c r="AP13" s="20"/>
      <c r="AQ13" s="20"/>
      <c r="AR13" s="19">
        <f t="shared" si="9"/>
        <v>0</v>
      </c>
      <c r="AS13" s="31"/>
      <c r="AT13" s="19">
        <f t="shared" si="10"/>
        <v>0</v>
      </c>
      <c r="AU13" s="5">
        <v>0.9</v>
      </c>
      <c r="AV13" s="5">
        <v>6.3</v>
      </c>
      <c r="AW13" s="5">
        <v>6.3</v>
      </c>
      <c r="AX13" s="5">
        <v>1.2</v>
      </c>
      <c r="AY13" s="20"/>
      <c r="AZ13" s="20"/>
      <c r="BA13" s="20"/>
      <c r="BB13" s="5">
        <v>19.5</v>
      </c>
      <c r="BC13" s="19">
        <f t="shared" si="11"/>
        <v>19.5</v>
      </c>
      <c r="BD13" s="5">
        <v>1.8</v>
      </c>
      <c r="BE13" s="19">
        <f t="shared" si="5"/>
        <v>1.8</v>
      </c>
      <c r="BF13" s="19">
        <f t="shared" si="6"/>
        <v>1.8</v>
      </c>
      <c r="BG13" s="20"/>
      <c r="BH13" s="20"/>
      <c r="BI13" s="20"/>
      <c r="BJ13" s="31"/>
      <c r="BK13" s="31"/>
      <c r="BL13" s="20"/>
      <c r="BM13" s="20"/>
      <c r="BN13" s="14">
        <f>'Forage crops'!L16</f>
        <v>4.55</v>
      </c>
      <c r="BO13" s="5">
        <v>2.7</v>
      </c>
      <c r="BP13" s="14">
        <f>'Forage crops'!M16</f>
        <v>5.3249999999999993</v>
      </c>
      <c r="BQ13" s="5">
        <v>1</v>
      </c>
      <c r="BR13" s="5">
        <v>7.2</v>
      </c>
      <c r="BS13" s="19">
        <f t="shared" si="7"/>
        <v>0</v>
      </c>
      <c r="BT13" s="19">
        <f t="shared" si="8"/>
        <v>0</v>
      </c>
      <c r="BU13" s="5"/>
    </row>
    <row r="14" spans="1:73" x14ac:dyDescent="0.3">
      <c r="A14" t="s">
        <v>141</v>
      </c>
      <c r="B14" t="s">
        <v>136</v>
      </c>
      <c r="C14" s="7">
        <v>1.7</v>
      </c>
      <c r="D14" s="7">
        <v>2</v>
      </c>
      <c r="E14" s="7">
        <v>1.4</v>
      </c>
      <c r="F14" s="7">
        <v>2</v>
      </c>
      <c r="G14" s="7">
        <v>5.4</v>
      </c>
      <c r="H14" s="7">
        <v>4.3</v>
      </c>
      <c r="I14" s="7">
        <v>1.5</v>
      </c>
      <c r="J14" s="25"/>
      <c r="K14" s="7">
        <v>0.5</v>
      </c>
      <c r="L14" s="7">
        <v>1.2</v>
      </c>
      <c r="M14" s="7">
        <v>1.4</v>
      </c>
      <c r="N14" s="7">
        <v>6</v>
      </c>
      <c r="O14" s="6">
        <v>99.8</v>
      </c>
      <c r="P14" s="6">
        <v>100</v>
      </c>
      <c r="Q14" s="6">
        <v>99.8</v>
      </c>
      <c r="R14" s="27"/>
      <c r="S14" s="8">
        <f t="shared" si="3"/>
        <v>99.8</v>
      </c>
      <c r="T14" s="7">
        <v>2.7</v>
      </c>
      <c r="U14" s="7">
        <v>2.2000000000000002</v>
      </c>
      <c r="V14" s="7">
        <v>2</v>
      </c>
      <c r="W14" s="25"/>
      <c r="X14" s="19">
        <f t="shared" si="4"/>
        <v>5</v>
      </c>
      <c r="Y14" s="7">
        <v>3.9</v>
      </c>
      <c r="Z14" s="7">
        <v>1.6</v>
      </c>
      <c r="AA14" s="7">
        <v>2.9</v>
      </c>
      <c r="AB14" s="7">
        <v>3.4</v>
      </c>
      <c r="AC14" s="7">
        <v>8.1</v>
      </c>
      <c r="AD14" s="7">
        <v>5</v>
      </c>
      <c r="AE14" s="7">
        <v>11.1</v>
      </c>
      <c r="AF14" s="25"/>
      <c r="AG14" s="25"/>
      <c r="AH14" s="25"/>
      <c r="AI14" s="25"/>
      <c r="AJ14" s="25"/>
      <c r="AK14" s="7">
        <v>0.2</v>
      </c>
      <c r="AL14" s="7">
        <v>1.6</v>
      </c>
      <c r="AM14" s="7">
        <v>25.1</v>
      </c>
      <c r="AN14" s="19">
        <f>AO14</f>
        <v>1.3</v>
      </c>
      <c r="AO14" s="7">
        <v>1.3</v>
      </c>
      <c r="AP14" s="25"/>
      <c r="AQ14" s="25"/>
      <c r="AR14" s="19">
        <f t="shared" si="9"/>
        <v>25.1</v>
      </c>
      <c r="AS14" s="66">
        <v>53</v>
      </c>
      <c r="AT14" s="19">
        <f t="shared" si="10"/>
        <v>25.1</v>
      </c>
      <c r="AU14" s="7">
        <v>0.5</v>
      </c>
      <c r="AV14" s="6">
        <v>46</v>
      </c>
      <c r="AW14" s="6">
        <v>47.9</v>
      </c>
      <c r="AX14" s="6">
        <v>21.4</v>
      </c>
      <c r="AY14" s="25"/>
      <c r="AZ14" s="25"/>
      <c r="BA14" s="25"/>
      <c r="BB14" s="7">
        <v>1.5</v>
      </c>
      <c r="BC14" s="19">
        <f t="shared" si="11"/>
        <v>1.5</v>
      </c>
      <c r="BD14" s="7">
        <v>0.9</v>
      </c>
      <c r="BE14" s="19">
        <f t="shared" si="5"/>
        <v>0.9</v>
      </c>
      <c r="BF14" s="19">
        <f t="shared" si="6"/>
        <v>0.9</v>
      </c>
      <c r="BG14" s="25"/>
      <c r="BH14" s="25"/>
      <c r="BI14" s="25"/>
      <c r="BJ14" s="61">
        <v>0</v>
      </c>
      <c r="BK14" s="61">
        <f>9.51/BK8*100</f>
        <v>39.874213836477992</v>
      </c>
      <c r="BL14" s="25"/>
      <c r="BM14" s="25"/>
      <c r="BN14" s="14">
        <f>'Forage crops'!L17</f>
        <v>3.1</v>
      </c>
      <c r="BO14" s="7">
        <v>2.8</v>
      </c>
      <c r="BP14" s="14">
        <f>'Forage crops'!M17</f>
        <v>2.8250000000000002</v>
      </c>
      <c r="BQ14" s="5">
        <v>0.5</v>
      </c>
      <c r="BR14" s="5">
        <v>1.4</v>
      </c>
      <c r="BS14" s="19">
        <f t="shared" si="7"/>
        <v>25.1</v>
      </c>
      <c r="BT14" s="19">
        <f t="shared" si="8"/>
        <v>25.1</v>
      </c>
      <c r="BU14" s="5"/>
    </row>
    <row r="15" spans="1:73" x14ac:dyDescent="0.3">
      <c r="A15" t="s">
        <v>142</v>
      </c>
      <c r="B15" t="s">
        <v>136</v>
      </c>
      <c r="C15" s="5">
        <v>1.8</v>
      </c>
      <c r="D15" s="5">
        <v>2.1</v>
      </c>
      <c r="E15" s="5">
        <v>2</v>
      </c>
      <c r="F15" s="5">
        <v>2.6</v>
      </c>
      <c r="G15" s="5">
        <v>3</v>
      </c>
      <c r="H15" s="5">
        <v>1.4</v>
      </c>
      <c r="I15" s="5">
        <v>2.1</v>
      </c>
      <c r="J15" s="20"/>
      <c r="K15" s="5">
        <v>0.6</v>
      </c>
      <c r="L15" s="5">
        <v>3.5</v>
      </c>
      <c r="M15" s="5">
        <v>3.9</v>
      </c>
      <c r="N15" s="5">
        <v>3.5</v>
      </c>
      <c r="O15" s="5">
        <v>0.2</v>
      </c>
      <c r="P15" s="5">
        <v>0.05</v>
      </c>
      <c r="Q15" s="5">
        <v>0.2</v>
      </c>
      <c r="R15" s="27"/>
      <c r="S15" s="8">
        <f t="shared" si="3"/>
        <v>0.2</v>
      </c>
      <c r="T15" s="5">
        <v>4.0999999999999996</v>
      </c>
      <c r="U15" s="5">
        <v>7.1</v>
      </c>
      <c r="V15" s="5">
        <v>7.1</v>
      </c>
      <c r="W15" s="20"/>
      <c r="X15" s="19">
        <f t="shared" si="4"/>
        <v>5.9</v>
      </c>
      <c r="Y15" s="5">
        <v>5.6</v>
      </c>
      <c r="Z15" s="5">
        <v>0.9</v>
      </c>
      <c r="AA15" s="5">
        <v>2.1</v>
      </c>
      <c r="AB15" s="5">
        <v>6.9</v>
      </c>
      <c r="AC15" s="5">
        <v>2</v>
      </c>
      <c r="AD15" s="5">
        <v>5.9</v>
      </c>
      <c r="AE15" s="5">
        <v>5.4</v>
      </c>
      <c r="AF15" s="20"/>
      <c r="AG15" s="20"/>
      <c r="AH15" s="20"/>
      <c r="AI15" s="20"/>
      <c r="AJ15" s="20"/>
      <c r="AK15" s="5">
        <v>12.7</v>
      </c>
      <c r="AL15" s="5">
        <v>8.5</v>
      </c>
      <c r="AM15" s="5">
        <v>6.5</v>
      </c>
      <c r="AN15" s="19">
        <f>AO15</f>
        <v>8.1999999999999993</v>
      </c>
      <c r="AO15" s="5">
        <v>8.1999999999999993</v>
      </c>
      <c r="AP15" s="20"/>
      <c r="AQ15" s="20"/>
      <c r="AR15" s="19">
        <f t="shared" si="9"/>
        <v>6.5</v>
      </c>
      <c r="AS15" s="31">
        <v>5.7</v>
      </c>
      <c r="AT15" s="19">
        <f t="shared" si="10"/>
        <v>6.5</v>
      </c>
      <c r="AU15" s="5">
        <v>7.3</v>
      </c>
      <c r="AV15" s="5">
        <v>4.3</v>
      </c>
      <c r="AW15" s="5">
        <v>3.5</v>
      </c>
      <c r="AX15" s="5">
        <v>5.7</v>
      </c>
      <c r="AY15" s="20"/>
      <c r="AZ15" s="20"/>
      <c r="BA15" s="20"/>
      <c r="BB15" s="5"/>
      <c r="BC15" s="5"/>
      <c r="BD15" s="5">
        <v>2.2999999999999998</v>
      </c>
      <c r="BE15" s="19">
        <f t="shared" si="5"/>
        <v>2.2999999999999998</v>
      </c>
      <c r="BF15" s="19">
        <f t="shared" si="6"/>
        <v>2.2999999999999998</v>
      </c>
      <c r="BG15" s="20"/>
      <c r="BH15" s="20"/>
      <c r="BI15" s="20"/>
      <c r="BJ15" s="31"/>
      <c r="BK15" s="31"/>
      <c r="BL15" s="20"/>
      <c r="BM15" s="20"/>
      <c r="BN15" s="14">
        <f>'Forage crops'!L18</f>
        <v>8.85</v>
      </c>
      <c r="BO15" s="5">
        <v>3.7</v>
      </c>
      <c r="BP15" s="14">
        <f>'Forage crops'!M18</f>
        <v>9.3000000000000007</v>
      </c>
      <c r="BQ15" s="5">
        <v>7.2</v>
      </c>
      <c r="BR15" s="5">
        <v>6.7</v>
      </c>
      <c r="BS15" s="19">
        <f t="shared" si="7"/>
        <v>6.5</v>
      </c>
      <c r="BT15" s="19">
        <f t="shared" si="8"/>
        <v>6.5</v>
      </c>
      <c r="BU15" s="5"/>
    </row>
    <row r="16" spans="1:73" x14ac:dyDescent="0.3">
      <c r="A16" t="s">
        <v>143</v>
      </c>
      <c r="B16" t="s">
        <v>136</v>
      </c>
      <c r="C16" s="5">
        <v>69.099999999999994</v>
      </c>
      <c r="D16" s="5">
        <v>64.099999999999994</v>
      </c>
      <c r="E16" s="5">
        <v>62.2</v>
      </c>
      <c r="F16" s="5">
        <v>59.7</v>
      </c>
      <c r="G16" s="5">
        <v>40.6</v>
      </c>
      <c r="H16" s="5">
        <v>73.400000000000006</v>
      </c>
      <c r="I16" s="5">
        <v>67.599999999999994</v>
      </c>
      <c r="J16" s="20"/>
      <c r="K16" s="5">
        <v>85.5</v>
      </c>
      <c r="L16" s="5">
        <v>51.3</v>
      </c>
      <c r="M16" s="5">
        <v>44.7</v>
      </c>
      <c r="N16" s="5">
        <v>4.8</v>
      </c>
      <c r="O16" s="5">
        <v>0</v>
      </c>
      <c r="P16" s="5">
        <v>0</v>
      </c>
      <c r="Q16" s="5">
        <v>0</v>
      </c>
      <c r="R16" s="27"/>
      <c r="S16" s="8">
        <f t="shared" si="3"/>
        <v>0</v>
      </c>
      <c r="T16" s="5">
        <v>7.8</v>
      </c>
      <c r="U16" s="5"/>
      <c r="V16" s="5"/>
      <c r="W16" s="20"/>
      <c r="X16" s="19">
        <f t="shared" si="4"/>
        <v>4.2</v>
      </c>
      <c r="Y16" s="5">
        <v>23.1</v>
      </c>
      <c r="Z16" s="5">
        <v>5.7</v>
      </c>
      <c r="AA16" s="5">
        <v>17.600000000000001</v>
      </c>
      <c r="AB16" s="5">
        <v>21.5</v>
      </c>
      <c r="AC16" s="5">
        <v>22.1</v>
      </c>
      <c r="AD16" s="5">
        <v>4.2</v>
      </c>
      <c r="AE16" s="5">
        <v>9.3000000000000007</v>
      </c>
      <c r="AF16" s="20"/>
      <c r="AG16" s="20"/>
      <c r="AH16" s="20"/>
      <c r="AI16" s="20"/>
      <c r="AJ16" s="20"/>
      <c r="AK16" s="5"/>
      <c r="AL16" s="5">
        <v>0</v>
      </c>
      <c r="AM16" s="5"/>
      <c r="AN16" s="19"/>
      <c r="AO16" s="5"/>
      <c r="AP16" s="20"/>
      <c r="AQ16" s="20"/>
      <c r="AR16" s="19"/>
      <c r="AS16" s="31"/>
      <c r="AT16" s="5"/>
      <c r="AU16" s="5">
        <v>71.900000000000006</v>
      </c>
      <c r="AV16" s="5">
        <v>3.7</v>
      </c>
      <c r="AW16" s="5">
        <v>1.3</v>
      </c>
      <c r="AX16" s="5">
        <v>6.4</v>
      </c>
      <c r="AY16" s="20"/>
      <c r="AZ16" s="20"/>
      <c r="BA16" s="20"/>
      <c r="BB16" s="5"/>
      <c r="BC16" s="5"/>
      <c r="BD16" s="5"/>
      <c r="BE16" s="5"/>
      <c r="BF16" s="5"/>
      <c r="BG16" s="20"/>
      <c r="BH16" s="20"/>
      <c r="BI16" s="20"/>
      <c r="BJ16" s="31"/>
      <c r="BK16" s="31"/>
      <c r="BL16" s="20"/>
      <c r="BM16" s="20"/>
      <c r="BN16" s="14"/>
      <c r="BO16" s="5">
        <v>29.1</v>
      </c>
      <c r="BP16" s="14">
        <f>'Forage crops'!M19</f>
        <v>7.4999999999999997E-2</v>
      </c>
      <c r="BQ16" s="5"/>
      <c r="BR16" s="5">
        <v>1</v>
      </c>
      <c r="BS16" s="19"/>
      <c r="BT16" s="19"/>
      <c r="BU16" s="5"/>
    </row>
    <row r="17" spans="1:73" x14ac:dyDescent="0.3">
      <c r="A17" t="s">
        <v>144</v>
      </c>
      <c r="B17" t="s">
        <v>136</v>
      </c>
      <c r="C17" s="5">
        <v>3.2</v>
      </c>
      <c r="D17" s="5">
        <v>3.2</v>
      </c>
      <c r="E17" s="5">
        <v>3.6</v>
      </c>
      <c r="F17" s="5">
        <v>2.8</v>
      </c>
      <c r="G17" s="5">
        <v>1.6</v>
      </c>
      <c r="H17" s="5">
        <v>2.1</v>
      </c>
      <c r="I17" s="5">
        <v>3.7</v>
      </c>
      <c r="J17" s="20"/>
      <c r="K17" s="5">
        <v>0.7</v>
      </c>
      <c r="L17" s="5">
        <v>4.9000000000000004</v>
      </c>
      <c r="M17" s="5">
        <v>3.6</v>
      </c>
      <c r="N17" s="5">
        <v>5.8</v>
      </c>
      <c r="O17" s="5"/>
      <c r="P17" s="5"/>
      <c r="Q17" s="5"/>
      <c r="R17" s="27"/>
      <c r="S17" s="8"/>
      <c r="T17" s="5">
        <v>10.4</v>
      </c>
      <c r="U17" s="5">
        <v>6.1</v>
      </c>
      <c r="V17" s="5">
        <v>9.4</v>
      </c>
      <c r="W17" s="20"/>
      <c r="X17" s="19">
        <f t="shared" si="4"/>
        <v>2.9</v>
      </c>
      <c r="Y17" s="5">
        <v>7.2</v>
      </c>
      <c r="Z17" s="5">
        <v>0</v>
      </c>
      <c r="AA17" s="5">
        <v>0.5</v>
      </c>
      <c r="AB17" s="5">
        <v>1.8</v>
      </c>
      <c r="AC17" s="5">
        <v>0.7</v>
      </c>
      <c r="AD17" s="5">
        <v>2.9</v>
      </c>
      <c r="AE17" s="5">
        <v>1.7</v>
      </c>
      <c r="AF17" s="20"/>
      <c r="AG17" s="20"/>
      <c r="AH17" s="20"/>
      <c r="AI17" s="20"/>
      <c r="AJ17" s="20"/>
      <c r="AK17" s="5">
        <v>63.2</v>
      </c>
      <c r="AL17" s="5"/>
      <c r="AM17" s="5"/>
      <c r="AN17" s="19"/>
      <c r="AO17" s="5"/>
      <c r="AP17" s="20"/>
      <c r="AQ17" s="20"/>
      <c r="AR17" s="19"/>
      <c r="AS17" s="31"/>
      <c r="AT17" s="5"/>
      <c r="AU17" s="5">
        <v>6.6</v>
      </c>
      <c r="AV17" s="5">
        <v>5.5</v>
      </c>
      <c r="AW17" s="5">
        <v>2.7</v>
      </c>
      <c r="AX17" s="5">
        <v>8.6999999999999993</v>
      </c>
      <c r="AY17" s="20"/>
      <c r="AZ17" s="20"/>
      <c r="BA17" s="20"/>
      <c r="BB17" s="5"/>
      <c r="BC17" s="5"/>
      <c r="BD17" s="5"/>
      <c r="BE17" s="5"/>
      <c r="BF17" s="5"/>
      <c r="BG17" s="20"/>
      <c r="BH17" s="20"/>
      <c r="BI17" s="20"/>
      <c r="BJ17" s="31">
        <v>100</v>
      </c>
      <c r="BK17" s="31">
        <f>0.37/BK8</f>
        <v>1.5513626834381554E-2</v>
      </c>
      <c r="BL17" s="20"/>
      <c r="BM17" s="20"/>
      <c r="BN17" s="14"/>
      <c r="BO17" s="5">
        <v>0.2</v>
      </c>
      <c r="BP17" s="14"/>
      <c r="BQ17" s="5">
        <v>72.5</v>
      </c>
      <c r="BR17" s="5">
        <v>1.2</v>
      </c>
      <c r="BS17" s="19"/>
      <c r="BT17" s="19"/>
      <c r="BU17" s="5"/>
    </row>
    <row r="18" spans="1:73" x14ac:dyDescent="0.3">
      <c r="A18" t="s">
        <v>145</v>
      </c>
      <c r="B18" t="s">
        <v>146</v>
      </c>
      <c r="C18" s="5">
        <v>18.2</v>
      </c>
      <c r="D18" s="5">
        <v>18.5</v>
      </c>
      <c r="E18" s="5">
        <v>18</v>
      </c>
      <c r="F18" s="5">
        <v>18.399999999999999</v>
      </c>
      <c r="G18" s="5">
        <v>19.5</v>
      </c>
      <c r="H18" s="5">
        <v>18.7</v>
      </c>
      <c r="I18" s="5">
        <v>18.100000000000001</v>
      </c>
      <c r="J18" s="20"/>
      <c r="K18" s="5">
        <v>18</v>
      </c>
      <c r="L18" s="5">
        <v>18.3</v>
      </c>
      <c r="M18" s="5">
        <v>18.7</v>
      </c>
      <c r="N18" s="5">
        <v>20.3</v>
      </c>
      <c r="O18" s="5">
        <v>39.299999999999997</v>
      </c>
      <c r="P18" s="5">
        <v>39.299999999999997</v>
      </c>
      <c r="Q18" s="5">
        <v>39.299999999999997</v>
      </c>
      <c r="R18" s="27"/>
      <c r="S18" s="8">
        <f t="shared" si="3"/>
        <v>39.299999999999997</v>
      </c>
      <c r="T18" s="5">
        <v>19.399999999999999</v>
      </c>
      <c r="U18" s="5">
        <v>19.399999999999999</v>
      </c>
      <c r="V18" s="5">
        <v>19.7</v>
      </c>
      <c r="W18" s="20"/>
      <c r="X18" s="19">
        <f t="shared" si="4"/>
        <v>20.5</v>
      </c>
      <c r="Y18" s="5">
        <v>18.899999999999999</v>
      </c>
      <c r="Z18" s="5">
        <v>22.8</v>
      </c>
      <c r="AA18" s="5">
        <v>23.1</v>
      </c>
      <c r="AB18" s="5">
        <v>18.8</v>
      </c>
      <c r="AC18" s="5">
        <v>20.7</v>
      </c>
      <c r="AD18" s="5">
        <v>20.5</v>
      </c>
      <c r="AE18" s="5">
        <v>21.4</v>
      </c>
      <c r="AF18" s="20"/>
      <c r="AG18" s="20"/>
      <c r="AH18" s="20"/>
      <c r="AI18" s="20"/>
      <c r="AJ18" s="20"/>
      <c r="AK18" s="5">
        <v>15.5</v>
      </c>
      <c r="AL18" s="5">
        <v>18.3</v>
      </c>
      <c r="AM18" s="5">
        <v>23.2</v>
      </c>
      <c r="AN18" s="19">
        <f>AO18</f>
        <v>16.100000000000001</v>
      </c>
      <c r="AO18" s="5">
        <v>16.100000000000001</v>
      </c>
      <c r="AP18" s="20"/>
      <c r="AQ18" s="20"/>
      <c r="AR18" s="19">
        <f t="shared" ref="AR18" si="12">AM18</f>
        <v>23.2</v>
      </c>
      <c r="AS18" s="31">
        <v>27</v>
      </c>
      <c r="AT18" s="19">
        <f t="shared" ref="AT18" si="13">AM18</f>
        <v>23.2</v>
      </c>
      <c r="AU18" s="5">
        <v>16.8</v>
      </c>
      <c r="AV18" s="5">
        <v>28.8</v>
      </c>
      <c r="AW18" s="5">
        <v>28.7</v>
      </c>
      <c r="AX18" s="5">
        <v>23.6</v>
      </c>
      <c r="AY18" s="20"/>
      <c r="AZ18" s="20"/>
      <c r="BA18" s="20"/>
      <c r="BB18" s="5">
        <v>18.2</v>
      </c>
      <c r="BC18" s="19">
        <f>BB18</f>
        <v>18.2</v>
      </c>
      <c r="BD18" s="5">
        <v>17.399999999999999</v>
      </c>
      <c r="BE18" s="19">
        <f>BD18</f>
        <v>17.399999999999999</v>
      </c>
      <c r="BF18" s="19">
        <f>BD18</f>
        <v>17.399999999999999</v>
      </c>
      <c r="BG18" s="20"/>
      <c r="BH18" s="20"/>
      <c r="BI18" s="20"/>
      <c r="BJ18" s="31">
        <v>16.2</v>
      </c>
      <c r="BK18" s="31">
        <f>5.99/(BK8/100)</f>
        <v>25.115303983228518</v>
      </c>
      <c r="BL18" s="20"/>
      <c r="BM18" s="20"/>
      <c r="BN18" s="14">
        <f>'Forage crops'!L21</f>
        <v>18.100000000000001</v>
      </c>
      <c r="BO18" s="5">
        <v>18.8</v>
      </c>
      <c r="BP18" s="14">
        <f>'Forage crops'!M21</f>
        <v>18.125</v>
      </c>
      <c r="BQ18" s="5">
        <v>16.7</v>
      </c>
      <c r="BR18" s="5">
        <v>18.5</v>
      </c>
      <c r="BS18" s="19">
        <f t="shared" si="7"/>
        <v>23.2</v>
      </c>
      <c r="BT18" s="19">
        <f t="shared" si="8"/>
        <v>23.2</v>
      </c>
      <c r="BU18" s="5"/>
    </row>
    <row r="19" spans="1:73" x14ac:dyDescent="0.3">
      <c r="C19" s="5"/>
      <c r="D19" s="5"/>
      <c r="E19" s="5"/>
      <c r="F19" s="5"/>
      <c r="G19" s="5"/>
      <c r="H19" s="5"/>
      <c r="I19" s="5"/>
      <c r="J19" s="20"/>
      <c r="K19" s="5"/>
      <c r="L19" s="5"/>
      <c r="M19" s="5"/>
      <c r="N19" s="5"/>
      <c r="O19" s="5"/>
      <c r="P19" s="8"/>
      <c r="Q19" s="9"/>
      <c r="R19" s="27"/>
      <c r="S19" s="8"/>
      <c r="T19" s="5"/>
      <c r="U19" s="5"/>
      <c r="V19" s="5"/>
      <c r="W19" s="20"/>
      <c r="X19" s="19"/>
      <c r="Y19" s="5"/>
      <c r="Z19" s="5"/>
      <c r="AA19" s="5"/>
      <c r="AB19" s="5"/>
      <c r="AC19" s="5"/>
      <c r="AD19" s="5"/>
      <c r="AE19" s="5"/>
      <c r="AF19" s="20"/>
      <c r="AG19" s="20"/>
      <c r="AH19" s="20"/>
      <c r="AI19" s="20"/>
      <c r="AJ19" s="20"/>
      <c r="AK19" s="5"/>
      <c r="AL19" s="5"/>
      <c r="AM19" s="5"/>
      <c r="AN19" s="19"/>
      <c r="AO19" s="5"/>
      <c r="AP19" s="20"/>
      <c r="AQ19" s="20"/>
      <c r="AR19" s="19"/>
      <c r="AS19" s="31"/>
      <c r="AT19" s="5"/>
      <c r="AU19" s="5"/>
      <c r="AV19" s="5"/>
      <c r="AW19" s="5"/>
      <c r="AX19" s="5"/>
      <c r="AY19" s="20"/>
      <c r="AZ19" s="20"/>
      <c r="BA19" s="20"/>
      <c r="BB19" s="5"/>
      <c r="BC19" s="5"/>
      <c r="BD19" s="5"/>
      <c r="BE19" s="5"/>
      <c r="BF19" s="5"/>
      <c r="BG19" s="20"/>
      <c r="BH19" s="20"/>
      <c r="BI19" s="20"/>
      <c r="BJ19" s="5"/>
      <c r="BK19" s="5"/>
      <c r="BL19" s="20"/>
      <c r="BM19" s="20"/>
      <c r="BN19" s="14"/>
      <c r="BO19" s="5"/>
      <c r="BP19" s="14"/>
      <c r="BQ19" s="5"/>
      <c r="BR19" s="5"/>
      <c r="BS19" s="5"/>
      <c r="BT19" s="5"/>
      <c r="BU19" s="5"/>
    </row>
    <row r="20" spans="1:73" x14ac:dyDescent="0.3">
      <c r="A20" s="3" t="s">
        <v>147</v>
      </c>
      <c r="C20" s="5"/>
      <c r="D20" s="5"/>
      <c r="E20" s="5"/>
      <c r="F20" s="5"/>
      <c r="G20" s="5"/>
      <c r="H20" s="5"/>
      <c r="I20" s="5"/>
      <c r="J20" s="20"/>
      <c r="K20" s="5"/>
      <c r="L20" s="5"/>
      <c r="M20" s="5"/>
      <c r="N20" s="5"/>
      <c r="O20" s="5"/>
      <c r="P20" s="8"/>
      <c r="Q20" s="9"/>
      <c r="R20" s="27"/>
      <c r="S20" s="8"/>
      <c r="T20" s="5"/>
      <c r="U20" s="5"/>
      <c r="V20" s="5"/>
      <c r="W20" s="20"/>
      <c r="X20" s="19"/>
      <c r="Y20" s="5"/>
      <c r="Z20" s="5"/>
      <c r="AA20" s="5"/>
      <c r="AB20" s="5"/>
      <c r="AC20" s="5"/>
      <c r="AD20" s="5"/>
      <c r="AE20" s="5"/>
      <c r="AF20" s="20"/>
      <c r="AG20" s="20"/>
      <c r="AH20" s="20"/>
      <c r="AI20" s="20"/>
      <c r="AJ20" s="20"/>
      <c r="AK20" s="5"/>
      <c r="AL20" s="5"/>
      <c r="AM20" s="5"/>
      <c r="AN20" s="19"/>
      <c r="AO20" s="5"/>
      <c r="AP20" s="20"/>
      <c r="AQ20" s="20"/>
      <c r="AR20" s="19"/>
      <c r="AS20" s="31"/>
      <c r="AT20" s="5"/>
      <c r="AU20" s="5"/>
      <c r="AV20" s="5"/>
      <c r="AW20" s="5"/>
      <c r="AX20" s="5"/>
      <c r="AY20" s="20"/>
      <c r="AZ20" s="20"/>
      <c r="BA20" s="20"/>
      <c r="BB20" s="5"/>
      <c r="BC20" s="5"/>
      <c r="BD20" s="5"/>
      <c r="BE20" s="5"/>
      <c r="BF20" s="5"/>
      <c r="BG20" s="20"/>
      <c r="BH20" s="20"/>
      <c r="BI20" s="20"/>
      <c r="BJ20" s="5"/>
      <c r="BK20" s="5"/>
      <c r="BL20" s="20"/>
      <c r="BM20" s="20"/>
      <c r="BN20" s="14"/>
      <c r="BO20" s="5"/>
      <c r="BP20" s="14"/>
      <c r="BQ20" s="5"/>
      <c r="BR20" s="5"/>
      <c r="BS20" s="5"/>
      <c r="BT20" s="5"/>
      <c r="BU20" s="5"/>
    </row>
    <row r="21" spans="1:73" x14ac:dyDescent="0.3">
      <c r="A21" t="s">
        <v>148</v>
      </c>
      <c r="B21" t="s">
        <v>149</v>
      </c>
      <c r="C21" s="5">
        <v>2.9</v>
      </c>
      <c r="D21" s="5">
        <f>4.3/1000/(D9/100)*100</f>
        <v>2.6380368098159508</v>
      </c>
      <c r="E21" s="5">
        <v>3.9</v>
      </c>
      <c r="F21" s="5">
        <v>3.7</v>
      </c>
      <c r="G21" s="5">
        <v>4.3</v>
      </c>
      <c r="H21" s="5">
        <v>3.1</v>
      </c>
      <c r="I21" s="5">
        <v>3.5</v>
      </c>
      <c r="J21" s="20"/>
      <c r="K21" s="5">
        <v>3.7</v>
      </c>
      <c r="L21" s="5">
        <v>7.2</v>
      </c>
      <c r="M21" s="5">
        <v>6.2</v>
      </c>
      <c r="N21" s="7">
        <v>5</v>
      </c>
      <c r="O21" s="7">
        <v>0</v>
      </c>
      <c r="P21" s="7">
        <v>0</v>
      </c>
      <c r="Q21" s="7">
        <v>0</v>
      </c>
      <c r="R21" s="20"/>
      <c r="S21" s="8">
        <f t="shared" si="3"/>
        <v>0</v>
      </c>
      <c r="T21" s="5">
        <v>5.5</v>
      </c>
      <c r="U21" s="5">
        <v>3.5</v>
      </c>
      <c r="V21" s="5">
        <v>6.1</v>
      </c>
      <c r="W21" s="20"/>
      <c r="X21" s="19">
        <f t="shared" si="4"/>
        <v>2.2999999999999998</v>
      </c>
      <c r="Y21" s="7">
        <v>4</v>
      </c>
      <c r="Z21" s="5">
        <f>16.2/1000/(Z9/100)*100</f>
        <v>1.8947368421052628</v>
      </c>
      <c r="AA21" s="5">
        <v>1.7</v>
      </c>
      <c r="AB21" s="5">
        <v>2.9</v>
      </c>
      <c r="AC21" s="7">
        <v>4</v>
      </c>
      <c r="AD21" s="5">
        <v>2.2999999999999998</v>
      </c>
      <c r="AE21" s="7">
        <v>3</v>
      </c>
      <c r="AF21" s="20"/>
      <c r="AG21" s="20"/>
      <c r="AH21" s="20"/>
      <c r="AI21" s="20"/>
      <c r="AJ21" s="20"/>
      <c r="AK21" s="5">
        <v>1.4</v>
      </c>
      <c r="AL21" s="5">
        <f>28.2/1000/(AL9/100)*100</f>
        <v>7.8770949720670389</v>
      </c>
      <c r="AM21" s="5">
        <f>7.8</f>
        <v>7.8</v>
      </c>
      <c r="AN21" s="19">
        <f>AO21</f>
        <v>7.6</v>
      </c>
      <c r="AO21" s="5">
        <v>7.6</v>
      </c>
      <c r="AP21" s="20"/>
      <c r="AQ21" s="20"/>
      <c r="AR21" s="19">
        <f t="shared" ref="AR21:AR22" si="14">AM21</f>
        <v>7.8</v>
      </c>
      <c r="AS21" s="31">
        <v>8.4</v>
      </c>
      <c r="AT21" s="19">
        <f t="shared" ref="AT21:AT22" si="15">AM21</f>
        <v>7.8</v>
      </c>
      <c r="AU21" s="5">
        <v>4.5999999999999996</v>
      </c>
      <c r="AV21" s="5">
        <v>6.3</v>
      </c>
      <c r="AW21" s="5">
        <v>3.9</v>
      </c>
      <c r="AX21" s="5">
        <v>6.2</v>
      </c>
      <c r="AY21" s="20"/>
      <c r="AZ21" s="20"/>
      <c r="BA21" s="20"/>
      <c r="BB21" s="5">
        <v>3.9</v>
      </c>
      <c r="BC21" s="19">
        <f>BB21</f>
        <v>3.9</v>
      </c>
      <c r="BD21" s="5">
        <v>7.7</v>
      </c>
      <c r="BE21" s="19">
        <f>BD21</f>
        <v>7.7</v>
      </c>
      <c r="BF21" s="19">
        <f>BD21</f>
        <v>7.7</v>
      </c>
      <c r="BG21" s="20"/>
      <c r="BH21" s="20"/>
      <c r="BI21" s="20"/>
      <c r="BJ21" s="31"/>
      <c r="BK21" s="31"/>
      <c r="BL21" s="20"/>
      <c r="BM21" s="20"/>
      <c r="BN21" s="14">
        <f>'Forage crops'!L24</f>
        <v>3.15</v>
      </c>
      <c r="BO21" s="5">
        <v>3</v>
      </c>
      <c r="BP21" s="14">
        <f>'Forage crops'!M24</f>
        <v>2.95</v>
      </c>
      <c r="BQ21" s="15">
        <v>5.8</v>
      </c>
      <c r="BR21" s="5"/>
      <c r="BS21" s="19">
        <f t="shared" ref="BS21:BS26" si="16">AT21</f>
        <v>7.8</v>
      </c>
      <c r="BT21" s="19">
        <f t="shared" ref="BT21:BT26" si="17">AT21</f>
        <v>7.8</v>
      </c>
      <c r="BU21" s="5"/>
    </row>
    <row r="22" spans="1:73" x14ac:dyDescent="0.3">
      <c r="A22" t="s">
        <v>327</v>
      </c>
      <c r="B22" t="s">
        <v>149</v>
      </c>
      <c r="C22" s="5">
        <v>1.6</v>
      </c>
      <c r="D22" s="5">
        <v>1.6</v>
      </c>
      <c r="E22" s="5">
        <v>1.7</v>
      </c>
      <c r="F22" s="5">
        <v>1.7</v>
      </c>
      <c r="G22" s="5">
        <v>1.8</v>
      </c>
      <c r="H22" s="5">
        <v>2.1</v>
      </c>
      <c r="I22" s="5">
        <v>1.6</v>
      </c>
      <c r="J22" s="20"/>
      <c r="K22" s="5">
        <v>2.4</v>
      </c>
      <c r="L22" s="7">
        <v>1</v>
      </c>
      <c r="M22" s="5">
        <v>0.8</v>
      </c>
      <c r="N22" s="5">
        <v>0.9</v>
      </c>
      <c r="O22" s="7">
        <v>0</v>
      </c>
      <c r="P22" s="7">
        <v>0</v>
      </c>
      <c r="Q22" s="7">
        <v>0</v>
      </c>
      <c r="R22" s="20"/>
      <c r="S22" s="8">
        <f t="shared" si="3"/>
        <v>0</v>
      </c>
      <c r="T22" s="7">
        <v>2</v>
      </c>
      <c r="U22" s="5">
        <v>2.2999999999999998</v>
      </c>
      <c r="V22" s="5">
        <v>1.4</v>
      </c>
      <c r="W22" s="20"/>
      <c r="X22" s="19">
        <f t="shared" si="4"/>
        <v>1.5</v>
      </c>
      <c r="Y22" s="5">
        <v>1.5</v>
      </c>
      <c r="Z22" s="5">
        <v>1.4</v>
      </c>
      <c r="AA22" s="5">
        <v>2.4</v>
      </c>
      <c r="AB22" s="5">
        <v>1.7</v>
      </c>
      <c r="AC22" s="5">
        <v>1.7</v>
      </c>
      <c r="AD22" s="5">
        <v>1.5</v>
      </c>
      <c r="AE22" s="7">
        <v>2</v>
      </c>
      <c r="AF22" s="20"/>
      <c r="AG22" s="20"/>
      <c r="AH22" s="20"/>
      <c r="AI22" s="20"/>
      <c r="AJ22" s="20"/>
      <c r="AK22" s="5">
        <v>0.2</v>
      </c>
      <c r="AL22" s="5">
        <v>2.8</v>
      </c>
      <c r="AM22" s="5">
        <v>2.2000000000000002</v>
      </c>
      <c r="AN22" s="19">
        <f>AO22</f>
        <v>1.4</v>
      </c>
      <c r="AO22" s="5">
        <v>1.4</v>
      </c>
      <c r="AP22" s="20"/>
      <c r="AQ22" s="20"/>
      <c r="AR22" s="19">
        <f t="shared" si="14"/>
        <v>2.2000000000000002</v>
      </c>
      <c r="AS22" s="31">
        <v>2.4</v>
      </c>
      <c r="AT22" s="19">
        <f t="shared" si="15"/>
        <v>2.2000000000000002</v>
      </c>
      <c r="AU22" s="5">
        <v>1.4</v>
      </c>
      <c r="AV22" s="7">
        <v>2</v>
      </c>
      <c r="AW22" s="5">
        <v>2.2000000000000002</v>
      </c>
      <c r="AX22" s="5">
        <v>1.4</v>
      </c>
      <c r="AY22" s="20"/>
      <c r="AZ22" s="20"/>
      <c r="BA22" s="20"/>
      <c r="BB22" s="5">
        <v>0.8</v>
      </c>
      <c r="BC22" s="19">
        <f>BB22</f>
        <v>0.8</v>
      </c>
      <c r="BD22" s="5">
        <v>0.9</v>
      </c>
      <c r="BE22" s="19">
        <f>BD22</f>
        <v>0.9</v>
      </c>
      <c r="BF22" s="19">
        <f>BD22</f>
        <v>0.9</v>
      </c>
      <c r="BG22" s="20"/>
      <c r="BH22" s="20"/>
      <c r="BI22" s="20"/>
      <c r="BJ22" s="31"/>
      <c r="BK22" s="31"/>
      <c r="BL22" s="20"/>
      <c r="BM22" s="20"/>
      <c r="BN22" s="14"/>
      <c r="BO22" s="5"/>
      <c r="BP22" s="14"/>
      <c r="BQ22" s="15"/>
      <c r="BR22" s="5"/>
      <c r="BS22" s="19"/>
      <c r="BT22" s="19"/>
      <c r="BU22" s="5"/>
    </row>
    <row r="23" spans="1:73" x14ac:dyDescent="0.3">
      <c r="C23" s="5"/>
      <c r="D23" s="5"/>
      <c r="E23" s="5"/>
      <c r="F23" s="5"/>
      <c r="G23" s="5"/>
      <c r="H23" s="5"/>
      <c r="I23" s="5"/>
      <c r="J23" s="20"/>
      <c r="K23" s="5"/>
      <c r="L23" s="5"/>
      <c r="M23" s="5"/>
      <c r="N23" s="5"/>
      <c r="O23" s="5"/>
      <c r="P23" s="5"/>
      <c r="Q23" s="5"/>
      <c r="R23" s="20"/>
      <c r="S23" s="8"/>
      <c r="T23" s="5"/>
      <c r="U23" s="5"/>
      <c r="V23" s="5"/>
      <c r="W23" s="20"/>
      <c r="X23" s="19"/>
      <c r="Y23" s="5"/>
      <c r="Z23" s="5"/>
      <c r="AA23" s="5"/>
      <c r="AB23" s="5"/>
      <c r="AC23" s="5"/>
      <c r="AD23" s="5"/>
      <c r="AE23" s="5"/>
      <c r="AF23" s="20"/>
      <c r="AG23" s="20"/>
      <c r="AH23" s="20"/>
      <c r="AI23" s="20"/>
      <c r="AJ23" s="20"/>
      <c r="AK23" s="5"/>
      <c r="AL23" s="5"/>
      <c r="AM23" s="5"/>
      <c r="AN23" s="19"/>
      <c r="AO23" s="5"/>
      <c r="AP23" s="20"/>
      <c r="AQ23" s="20"/>
      <c r="AR23" s="19"/>
      <c r="AS23" s="31"/>
      <c r="AT23" s="5"/>
      <c r="AU23" s="5"/>
      <c r="AV23" s="5"/>
      <c r="AW23" s="5"/>
      <c r="AX23" s="5"/>
      <c r="AY23" s="20"/>
      <c r="AZ23" s="20"/>
      <c r="BA23" s="20"/>
      <c r="BB23" s="5"/>
      <c r="BC23" s="5"/>
      <c r="BD23" s="5"/>
      <c r="BE23" s="5"/>
      <c r="BF23" s="5"/>
      <c r="BG23" s="20"/>
      <c r="BH23" s="20"/>
      <c r="BI23" s="20"/>
      <c r="BJ23" s="5"/>
      <c r="BK23" s="5"/>
      <c r="BL23" s="20"/>
      <c r="BM23" s="20"/>
      <c r="BN23" s="14"/>
      <c r="BO23" s="5"/>
      <c r="BP23" s="14"/>
      <c r="BQ23" s="5"/>
      <c r="BR23" s="5"/>
      <c r="BS23" s="19"/>
      <c r="BT23" s="19"/>
      <c r="BU23" s="5"/>
    </row>
    <row r="24" spans="1:73" x14ac:dyDescent="0.3">
      <c r="A24" s="3" t="s">
        <v>150</v>
      </c>
      <c r="C24" s="5"/>
      <c r="D24" s="5"/>
      <c r="E24" s="5"/>
      <c r="F24" s="5"/>
      <c r="G24" s="5"/>
      <c r="H24" s="5"/>
      <c r="I24" s="5"/>
      <c r="J24" s="20"/>
      <c r="K24" s="5"/>
      <c r="L24" s="5"/>
      <c r="M24" s="5"/>
      <c r="N24" s="5"/>
      <c r="O24" s="5"/>
      <c r="P24" s="5"/>
      <c r="Q24" s="5"/>
      <c r="R24" s="20"/>
      <c r="S24" s="8"/>
      <c r="T24" s="5"/>
      <c r="U24" s="5"/>
      <c r="V24" s="5"/>
      <c r="W24" s="20"/>
      <c r="X24" s="19"/>
      <c r="Y24" s="5"/>
      <c r="Z24" s="5"/>
      <c r="AA24" s="5"/>
      <c r="AB24" s="5"/>
      <c r="AC24" s="5"/>
      <c r="AD24" s="5"/>
      <c r="AE24" s="5"/>
      <c r="AF24" s="20"/>
      <c r="AG24" s="20"/>
      <c r="AH24" s="20"/>
      <c r="AI24" s="20"/>
      <c r="AJ24" s="20"/>
      <c r="AK24" s="5"/>
      <c r="AL24" s="5"/>
      <c r="AM24" s="5"/>
      <c r="AN24" s="19"/>
      <c r="AO24" s="5"/>
      <c r="AP24" s="20"/>
      <c r="AQ24" s="20"/>
      <c r="AR24" s="19"/>
      <c r="AS24" s="31"/>
      <c r="AT24" s="5"/>
      <c r="AU24" s="5"/>
      <c r="AV24" s="5"/>
      <c r="AW24" s="5"/>
      <c r="AX24" s="5"/>
      <c r="AY24" s="20"/>
      <c r="AZ24" s="20"/>
      <c r="BA24" s="20"/>
      <c r="BB24" s="5"/>
      <c r="BC24" s="5"/>
      <c r="BD24" s="5"/>
      <c r="BE24" s="5"/>
      <c r="BF24" s="5"/>
      <c r="BG24" s="20"/>
      <c r="BH24" s="20"/>
      <c r="BI24" s="20"/>
      <c r="BJ24" s="5"/>
      <c r="BK24" s="5"/>
      <c r="BL24" s="20"/>
      <c r="BM24" s="20"/>
      <c r="BN24" s="14"/>
      <c r="BO24" s="5"/>
      <c r="BP24" s="14"/>
      <c r="BQ24" s="5"/>
      <c r="BR24" s="5"/>
      <c r="BS24" s="19"/>
      <c r="BT24" s="19"/>
      <c r="BU24" s="5"/>
    </row>
    <row r="25" spans="1:73" x14ac:dyDescent="0.3">
      <c r="A25" t="s">
        <v>151</v>
      </c>
      <c r="B25" t="s">
        <v>146</v>
      </c>
      <c r="C25" s="5">
        <v>13.1</v>
      </c>
      <c r="D25" s="5">
        <v>13.1</v>
      </c>
      <c r="E25" s="5">
        <v>13</v>
      </c>
      <c r="F25" s="5">
        <v>12.4</v>
      </c>
      <c r="G25" s="5">
        <v>12.2</v>
      </c>
      <c r="H25" s="5">
        <v>13.6</v>
      </c>
      <c r="I25" s="5">
        <v>12.9</v>
      </c>
      <c r="J25" s="20"/>
      <c r="K25" s="5">
        <v>13.4</v>
      </c>
      <c r="L25" s="5">
        <v>13.4</v>
      </c>
      <c r="M25" s="5">
        <v>13.3</v>
      </c>
      <c r="N25" s="5">
        <v>14.1</v>
      </c>
      <c r="O25" s="17">
        <v>29.8</v>
      </c>
      <c r="P25" s="17">
        <v>29.8</v>
      </c>
      <c r="Q25" s="17">
        <v>29.8</v>
      </c>
      <c r="R25" s="28"/>
      <c r="S25" s="8">
        <f t="shared" si="3"/>
        <v>29.8</v>
      </c>
      <c r="T25" s="5">
        <v>11.2</v>
      </c>
      <c r="U25" s="5">
        <v>9.1</v>
      </c>
      <c r="V25" s="5">
        <v>13.6</v>
      </c>
      <c r="W25" s="20"/>
      <c r="X25" s="19">
        <f t="shared" si="4"/>
        <v>12.5</v>
      </c>
      <c r="Y25" s="5">
        <v>11</v>
      </c>
      <c r="Z25" s="5">
        <v>17.3</v>
      </c>
      <c r="AA25" s="5">
        <v>16.600000000000001</v>
      </c>
      <c r="AB25" s="5">
        <v>12.2</v>
      </c>
      <c r="AC25" s="5">
        <v>13.1</v>
      </c>
      <c r="AD25" s="5">
        <v>12.5</v>
      </c>
      <c r="AE25" s="5">
        <v>14.2</v>
      </c>
      <c r="AF25" s="20"/>
      <c r="AG25" s="20"/>
      <c r="AH25" s="20"/>
      <c r="AI25" s="20"/>
      <c r="AJ25" s="20"/>
      <c r="AK25" s="5">
        <v>11.4</v>
      </c>
      <c r="AL25" s="5">
        <v>13.5</v>
      </c>
      <c r="AM25" s="5">
        <v>18.100000000000001</v>
      </c>
      <c r="AN25" s="19">
        <f>AO25</f>
        <v>12.3</v>
      </c>
      <c r="AO25" s="5">
        <v>12.3</v>
      </c>
      <c r="AP25" s="20"/>
      <c r="AQ25" s="20"/>
      <c r="AR25" s="19">
        <f t="shared" ref="AR25:AR26" si="18">AM25</f>
        <v>18.100000000000001</v>
      </c>
      <c r="AS25" s="31">
        <f>AM25/AM$18*AS$18</f>
        <v>21.064655172413797</v>
      </c>
      <c r="AT25" s="19">
        <f t="shared" ref="AT25:AT26" si="19">AM25</f>
        <v>18.100000000000001</v>
      </c>
      <c r="AU25" s="5">
        <v>11.9</v>
      </c>
      <c r="AV25" s="5">
        <v>20.3</v>
      </c>
      <c r="AW25" s="5"/>
      <c r="AX25" s="5">
        <v>15.3</v>
      </c>
      <c r="AY25" s="20"/>
      <c r="AZ25" s="20"/>
      <c r="BA25" s="20"/>
      <c r="BB25" s="5">
        <v>5.0999999999999996</v>
      </c>
      <c r="BC25" s="19">
        <f t="shared" ref="BC25:BC26" si="20">BB25</f>
        <v>5.0999999999999996</v>
      </c>
      <c r="BD25" s="5">
        <v>11.9</v>
      </c>
      <c r="BE25" s="19">
        <f>BD25</f>
        <v>11.9</v>
      </c>
      <c r="BF25" s="19">
        <f>BD25</f>
        <v>11.9</v>
      </c>
      <c r="BG25" s="20"/>
      <c r="BH25" s="20"/>
      <c r="BI25" s="20"/>
      <c r="BJ25" s="31">
        <v>11</v>
      </c>
      <c r="BK25" s="31">
        <v>15</v>
      </c>
      <c r="BL25" s="20"/>
      <c r="BM25" s="20"/>
      <c r="BN25" s="14">
        <f>'Forage crops'!L28</f>
        <v>9.4</v>
      </c>
      <c r="BO25" s="5">
        <v>10.8</v>
      </c>
      <c r="BP25" s="14">
        <f>'Forage crops'!M28</f>
        <v>9.375</v>
      </c>
      <c r="BQ25" s="5">
        <v>11.9</v>
      </c>
      <c r="BR25" s="5">
        <v>6.8</v>
      </c>
      <c r="BS25" s="19">
        <f t="shared" si="16"/>
        <v>18.100000000000001</v>
      </c>
      <c r="BT25" s="19">
        <f t="shared" si="17"/>
        <v>18.100000000000001</v>
      </c>
      <c r="BU25" s="5"/>
    </row>
    <row r="26" spans="1:73" x14ac:dyDescent="0.3">
      <c r="A26" t="s">
        <v>152</v>
      </c>
      <c r="B26" t="s">
        <v>153</v>
      </c>
      <c r="C26" s="5">
        <v>70.400000000000006</v>
      </c>
      <c r="D26" s="5">
        <v>72.8</v>
      </c>
      <c r="E26" s="5">
        <v>68.3</v>
      </c>
      <c r="F26" s="5">
        <v>66.599999999999994</v>
      </c>
      <c r="G26" s="5">
        <v>63.9</v>
      </c>
      <c r="H26" s="5">
        <v>66.3</v>
      </c>
      <c r="I26" s="5">
        <v>69.5</v>
      </c>
      <c r="J26" s="20"/>
      <c r="K26" s="5">
        <v>70</v>
      </c>
      <c r="L26" s="5">
        <v>78</v>
      </c>
      <c r="M26" s="5">
        <v>78.900000000000006</v>
      </c>
      <c r="N26" s="5">
        <v>80</v>
      </c>
      <c r="O26" s="5">
        <v>0</v>
      </c>
      <c r="P26" s="5">
        <v>0</v>
      </c>
      <c r="Q26" s="5">
        <v>0</v>
      </c>
      <c r="R26" s="20"/>
      <c r="S26" s="8">
        <f t="shared" si="3"/>
        <v>0</v>
      </c>
      <c r="T26" s="5">
        <v>74.7</v>
      </c>
      <c r="U26" s="5">
        <v>84.5</v>
      </c>
      <c r="V26" s="5">
        <v>80.400000000000006</v>
      </c>
      <c r="W26" s="20"/>
      <c r="X26" s="19">
        <f t="shared" si="4"/>
        <v>77.099999999999994</v>
      </c>
      <c r="Y26" s="5">
        <v>68</v>
      </c>
      <c r="Z26" s="5">
        <v>81.2</v>
      </c>
      <c r="AA26" s="5">
        <v>81</v>
      </c>
      <c r="AB26" s="5">
        <v>74.400000000000006</v>
      </c>
      <c r="AC26" s="15">
        <v>75.2</v>
      </c>
      <c r="AD26" s="5">
        <v>77.099999999999994</v>
      </c>
      <c r="AE26" s="5">
        <v>77</v>
      </c>
      <c r="AF26" s="20"/>
      <c r="AG26" s="20"/>
      <c r="AH26" s="20"/>
      <c r="AI26" s="20"/>
      <c r="AJ26" s="20"/>
      <c r="AK26" s="5">
        <v>72.099999999999994</v>
      </c>
      <c r="AL26" s="5">
        <v>79.5</v>
      </c>
      <c r="AM26" s="5">
        <v>78.400000000000006</v>
      </c>
      <c r="AN26" s="19">
        <f>AO26</f>
        <v>73.900000000000006</v>
      </c>
      <c r="AO26" s="5">
        <v>73.900000000000006</v>
      </c>
      <c r="AP26" s="20"/>
      <c r="AQ26" s="20"/>
      <c r="AR26" s="19">
        <f t="shared" si="18"/>
        <v>78.400000000000006</v>
      </c>
      <c r="AS26" s="31">
        <v>78</v>
      </c>
      <c r="AT26" s="19">
        <f t="shared" si="19"/>
        <v>78.400000000000006</v>
      </c>
      <c r="AU26" s="5">
        <v>69</v>
      </c>
      <c r="AV26" s="5">
        <v>74.599999999999994</v>
      </c>
      <c r="AW26" s="5">
        <v>90.1</v>
      </c>
      <c r="AX26" s="5">
        <v>92.5</v>
      </c>
      <c r="AY26" s="20"/>
      <c r="AZ26" s="20"/>
      <c r="BA26" s="20"/>
      <c r="BB26" s="15">
        <v>66.099999999999994</v>
      </c>
      <c r="BC26" s="19">
        <f t="shared" si="20"/>
        <v>66.099999999999994</v>
      </c>
      <c r="BD26" s="5">
        <v>0</v>
      </c>
      <c r="BE26" s="19">
        <f>BD26</f>
        <v>0</v>
      </c>
      <c r="BF26" s="19">
        <f>BD26</f>
        <v>0</v>
      </c>
      <c r="BG26" s="20"/>
      <c r="BH26" s="20"/>
      <c r="BI26" s="20"/>
      <c r="BJ26" s="31">
        <v>0</v>
      </c>
      <c r="BK26" s="31">
        <v>90</v>
      </c>
      <c r="BL26" s="20"/>
      <c r="BM26" s="20"/>
      <c r="BN26" s="14">
        <f>'Forage crops'!L29</f>
        <v>63.45</v>
      </c>
      <c r="BO26" s="5">
        <v>54.6</v>
      </c>
      <c r="BP26" s="14">
        <f>'Forage crops'!M29</f>
        <v>68.349999999999994</v>
      </c>
      <c r="BQ26" s="5">
        <v>52.1</v>
      </c>
      <c r="BR26" s="5">
        <v>3.5</v>
      </c>
      <c r="BS26" s="19">
        <f t="shared" si="16"/>
        <v>78.400000000000006</v>
      </c>
      <c r="BT26" s="19">
        <f t="shared" si="17"/>
        <v>78.400000000000006</v>
      </c>
      <c r="BU26" s="5"/>
    </row>
    <row r="27" spans="1:73" x14ac:dyDescent="0.3">
      <c r="C27" s="5"/>
      <c r="D27" s="5"/>
      <c r="E27" s="5"/>
      <c r="F27" s="5"/>
      <c r="G27" s="5"/>
      <c r="H27" s="5"/>
      <c r="I27" s="5"/>
      <c r="J27" s="20"/>
      <c r="K27" s="5"/>
      <c r="L27" s="5"/>
      <c r="M27" s="5"/>
      <c r="N27" s="5"/>
      <c r="O27" s="5"/>
      <c r="P27" s="5"/>
      <c r="Q27" s="5"/>
      <c r="R27" s="20"/>
      <c r="S27" s="8"/>
      <c r="T27" s="5"/>
      <c r="U27" s="5"/>
      <c r="V27" s="5"/>
      <c r="W27" s="20"/>
      <c r="X27" s="19"/>
      <c r="Y27" s="5"/>
      <c r="Z27" s="5"/>
      <c r="AA27" s="5"/>
      <c r="AB27" s="5"/>
      <c r="AC27" s="5"/>
      <c r="AD27" s="5"/>
      <c r="AE27" s="5"/>
      <c r="AF27" s="20"/>
      <c r="AG27" s="20"/>
      <c r="AH27" s="20"/>
      <c r="AI27" s="20"/>
      <c r="AJ27" s="20"/>
      <c r="AK27" s="5"/>
      <c r="AL27" s="5"/>
      <c r="AM27" s="5"/>
      <c r="AN27" s="19"/>
      <c r="AO27" s="5"/>
      <c r="AP27" s="20"/>
      <c r="AQ27" s="20"/>
      <c r="AR27" s="19"/>
      <c r="AS27" s="31"/>
      <c r="AT27" s="5"/>
      <c r="AU27" s="5"/>
      <c r="AV27" s="5"/>
      <c r="AW27" s="5"/>
      <c r="AX27" s="5"/>
      <c r="AY27" s="20"/>
      <c r="AZ27" s="20"/>
      <c r="BA27" s="20"/>
      <c r="BB27" s="5"/>
      <c r="BC27" s="5"/>
      <c r="BD27" s="5"/>
      <c r="BE27" s="5"/>
      <c r="BF27" s="5"/>
      <c r="BG27" s="20"/>
      <c r="BH27" s="20"/>
      <c r="BI27" s="20"/>
      <c r="BJ27" s="5"/>
      <c r="BK27" s="5"/>
      <c r="BL27" s="20"/>
      <c r="BM27" s="20"/>
      <c r="BN27" s="5"/>
      <c r="BO27" s="5"/>
      <c r="BP27" s="5"/>
      <c r="BQ27" s="5"/>
      <c r="BR27" s="5"/>
      <c r="BS27" s="5"/>
      <c r="BT27" s="5"/>
      <c r="BU27" s="5"/>
    </row>
    <row r="28" spans="1:73" x14ac:dyDescent="0.3">
      <c r="A28" s="3" t="s">
        <v>154</v>
      </c>
      <c r="C28" s="5"/>
      <c r="D28" s="5"/>
      <c r="E28" s="5"/>
      <c r="F28" s="5"/>
      <c r="G28" s="5"/>
      <c r="H28" s="5"/>
      <c r="I28" s="5"/>
      <c r="J28" s="20"/>
      <c r="K28" s="5"/>
      <c r="L28" s="5"/>
      <c r="M28" s="5"/>
      <c r="N28" s="5"/>
      <c r="O28" s="5"/>
      <c r="P28" s="5"/>
      <c r="Q28" s="5"/>
      <c r="R28" s="20"/>
      <c r="S28" s="8"/>
      <c r="T28" s="5"/>
      <c r="U28" s="5"/>
      <c r="V28" s="5"/>
      <c r="W28" s="20"/>
      <c r="X28" s="19"/>
      <c r="Y28" s="5"/>
      <c r="Z28" s="5"/>
      <c r="AA28" s="5"/>
      <c r="AB28" s="5"/>
      <c r="AC28" s="5"/>
      <c r="AD28" s="5"/>
      <c r="AE28" s="5"/>
      <c r="AF28" s="20"/>
      <c r="AG28" s="20"/>
      <c r="AH28" s="20"/>
      <c r="AI28" s="20"/>
      <c r="AJ28" s="20"/>
      <c r="AK28" s="5"/>
      <c r="AL28" s="5"/>
      <c r="AM28" s="5"/>
      <c r="AN28" s="19"/>
      <c r="AO28" s="5"/>
      <c r="AP28" s="20"/>
      <c r="AQ28" s="20"/>
      <c r="AR28" s="19"/>
      <c r="AS28" s="31"/>
      <c r="AT28" s="5"/>
      <c r="AU28" s="5"/>
      <c r="AV28" s="5"/>
      <c r="AW28" s="5"/>
      <c r="AX28" s="5"/>
      <c r="AY28" s="20"/>
      <c r="AZ28" s="20"/>
      <c r="BA28" s="20"/>
      <c r="BB28" s="5"/>
      <c r="BC28" s="5"/>
      <c r="BD28" s="5"/>
      <c r="BE28" s="5"/>
      <c r="BF28" s="5"/>
      <c r="BG28" s="20"/>
      <c r="BH28" s="20"/>
      <c r="BI28" s="20"/>
      <c r="BJ28" s="5"/>
      <c r="BK28" s="5"/>
      <c r="BL28" s="20"/>
      <c r="BM28" s="20"/>
      <c r="BN28" s="20"/>
      <c r="BO28" s="5"/>
      <c r="BP28" s="20"/>
      <c r="BQ28" s="20"/>
      <c r="BR28" s="20"/>
      <c r="BS28" s="20"/>
      <c r="BT28" s="20"/>
      <c r="BU28" s="5"/>
    </row>
    <row r="29" spans="1:73" x14ac:dyDescent="0.3">
      <c r="A29" t="s">
        <v>155</v>
      </c>
      <c r="B29" t="s">
        <v>146</v>
      </c>
      <c r="C29" s="15">
        <v>15.8</v>
      </c>
      <c r="D29" s="5">
        <v>15.9</v>
      </c>
      <c r="E29" s="5">
        <v>15.1</v>
      </c>
      <c r="F29" s="15">
        <v>14.7</v>
      </c>
      <c r="G29" s="15">
        <v>12.7</v>
      </c>
      <c r="H29" s="5">
        <v>16.5</v>
      </c>
      <c r="I29" s="5">
        <v>15.6</v>
      </c>
      <c r="J29" s="20"/>
      <c r="K29" s="5">
        <v>17.100000000000001</v>
      </c>
      <c r="L29" s="5">
        <v>16.5</v>
      </c>
      <c r="M29" s="5">
        <v>15.5</v>
      </c>
      <c r="N29" s="5">
        <v>15.8</v>
      </c>
      <c r="O29" s="14">
        <v>33.4</v>
      </c>
      <c r="P29" s="14">
        <v>33.4</v>
      </c>
      <c r="Q29" s="14">
        <v>33.4</v>
      </c>
      <c r="R29" s="29"/>
      <c r="S29" s="8">
        <f t="shared" si="3"/>
        <v>33.4</v>
      </c>
      <c r="T29" s="5">
        <v>13.4</v>
      </c>
      <c r="U29" s="5">
        <v>10.3</v>
      </c>
      <c r="V29" s="5">
        <v>16.8</v>
      </c>
      <c r="W29" s="20"/>
      <c r="X29" s="19">
        <f t="shared" si="4"/>
        <v>13.9</v>
      </c>
      <c r="Y29" s="5">
        <v>10.8</v>
      </c>
      <c r="Z29" s="5">
        <v>21.8</v>
      </c>
      <c r="AA29" s="5">
        <v>21.4</v>
      </c>
      <c r="AB29" s="5">
        <v>12.3</v>
      </c>
      <c r="AC29" s="5">
        <v>15.4</v>
      </c>
      <c r="AD29" s="5">
        <v>13.9</v>
      </c>
      <c r="AE29" s="5">
        <v>16.3</v>
      </c>
      <c r="AF29" s="20"/>
      <c r="AG29" s="20"/>
      <c r="AH29" s="20"/>
      <c r="AI29" s="20"/>
      <c r="AJ29" s="20"/>
      <c r="AK29" s="5">
        <v>13.9</v>
      </c>
      <c r="AL29" s="5">
        <v>17.399999999999999</v>
      </c>
      <c r="AM29" s="5">
        <v>21.5</v>
      </c>
      <c r="AN29" s="19">
        <f>AO29</f>
        <v>15.3</v>
      </c>
      <c r="AO29" s="5">
        <v>15.3</v>
      </c>
      <c r="AP29" s="20"/>
      <c r="AQ29" s="20"/>
      <c r="AR29" s="19">
        <f t="shared" ref="AR29:AR31" si="21">AM29</f>
        <v>21.5</v>
      </c>
      <c r="AS29" s="31">
        <f>AM29/AM$18*AS$18</f>
        <v>25.021551724137932</v>
      </c>
      <c r="AT29" s="19">
        <f t="shared" ref="AT29:AT31" si="22">AM29</f>
        <v>21.5</v>
      </c>
      <c r="AU29" s="5">
        <v>15.4</v>
      </c>
      <c r="AV29" s="5"/>
      <c r="AW29" s="5"/>
      <c r="AX29" s="5"/>
      <c r="AY29" s="20"/>
      <c r="AZ29" s="20"/>
      <c r="BA29" s="20"/>
      <c r="BB29" s="15">
        <v>7.3</v>
      </c>
      <c r="BC29" s="19">
        <f t="shared" ref="BC29:BC31" si="23">BB29</f>
        <v>7.3</v>
      </c>
      <c r="BD29" s="5">
        <v>14.5</v>
      </c>
      <c r="BE29" s="19">
        <f t="shared" ref="BE29:BE31" si="24">BD29</f>
        <v>14.5</v>
      </c>
      <c r="BF29" s="19">
        <f t="shared" ref="BF29:BF31" si="25">BD29</f>
        <v>14.5</v>
      </c>
      <c r="BG29" s="20"/>
      <c r="BH29" s="20"/>
      <c r="BI29" s="20"/>
      <c r="BJ29" s="31">
        <v>14</v>
      </c>
      <c r="BK29" s="5"/>
      <c r="BL29" s="20"/>
      <c r="BM29" s="20"/>
      <c r="BN29" s="20"/>
      <c r="BO29" s="5"/>
      <c r="BP29" s="20"/>
      <c r="BQ29" s="34"/>
      <c r="BR29" s="20"/>
      <c r="BS29" s="20"/>
      <c r="BT29" s="20"/>
      <c r="BU29" s="5"/>
    </row>
    <row r="30" spans="1:73" x14ac:dyDescent="0.3">
      <c r="A30" t="s">
        <v>156</v>
      </c>
      <c r="B30" t="s">
        <v>146</v>
      </c>
      <c r="C30" s="5">
        <v>12.1</v>
      </c>
      <c r="D30" s="5">
        <v>11.8</v>
      </c>
      <c r="E30" s="5">
        <v>11.3</v>
      </c>
      <c r="F30" s="5">
        <v>11.1</v>
      </c>
      <c r="G30" s="5">
        <v>9.1</v>
      </c>
      <c r="H30" s="5">
        <v>12.9</v>
      </c>
      <c r="I30" s="5">
        <v>11.9</v>
      </c>
      <c r="J30" s="20"/>
      <c r="K30" s="5">
        <v>13.4</v>
      </c>
      <c r="L30" s="5">
        <v>13.4</v>
      </c>
      <c r="M30" s="5">
        <v>14.7</v>
      </c>
      <c r="N30" s="5">
        <v>9.3000000000000007</v>
      </c>
      <c r="O30" s="5">
        <v>29.7</v>
      </c>
      <c r="P30" s="5">
        <v>29.8</v>
      </c>
      <c r="Q30" s="5">
        <v>29.8</v>
      </c>
      <c r="R30" s="20"/>
      <c r="S30" s="8">
        <f t="shared" si="3"/>
        <v>29.7</v>
      </c>
      <c r="T30" s="5">
        <v>7.6</v>
      </c>
      <c r="U30" s="5">
        <v>5.3</v>
      </c>
      <c r="V30" s="5">
        <v>9.3000000000000007</v>
      </c>
      <c r="W30" s="20"/>
      <c r="X30" s="19">
        <f t="shared" si="4"/>
        <v>8.1999999999999993</v>
      </c>
      <c r="Y30" s="5">
        <v>7.2</v>
      </c>
      <c r="Z30" s="5">
        <v>11.6</v>
      </c>
      <c r="AA30" s="5">
        <v>12.7</v>
      </c>
      <c r="AB30" s="5">
        <v>11.6</v>
      </c>
      <c r="AC30" s="5">
        <v>9.1999999999999993</v>
      </c>
      <c r="AD30" s="5">
        <v>8.1999999999999993</v>
      </c>
      <c r="AE30" s="5">
        <v>9.5</v>
      </c>
      <c r="AF30" s="20"/>
      <c r="AG30" s="20"/>
      <c r="AH30" s="20"/>
      <c r="AI30" s="26"/>
      <c r="AJ30" s="20"/>
      <c r="AK30" s="15">
        <f>8.8</f>
        <v>8.8000000000000007</v>
      </c>
      <c r="AL30" s="5">
        <v>12</v>
      </c>
      <c r="AM30" s="5">
        <v>16.2</v>
      </c>
      <c r="AN30" s="19">
        <f>AO30</f>
        <v>12.4</v>
      </c>
      <c r="AO30" s="5">
        <v>12.4</v>
      </c>
      <c r="AP30" s="20"/>
      <c r="AQ30" s="20"/>
      <c r="AR30" s="19">
        <f t="shared" si="21"/>
        <v>16.2</v>
      </c>
      <c r="AS30" s="31">
        <f>AM30/AM$18*AS$18</f>
        <v>18.853448275862068</v>
      </c>
      <c r="AT30" s="19">
        <f t="shared" si="22"/>
        <v>16.2</v>
      </c>
      <c r="AU30" s="5">
        <v>11.8</v>
      </c>
      <c r="AV30" s="5">
        <v>17.8</v>
      </c>
      <c r="AW30" s="5">
        <v>14.5</v>
      </c>
      <c r="AX30" s="5">
        <v>14</v>
      </c>
      <c r="AY30" s="20"/>
      <c r="AZ30" s="20"/>
      <c r="BA30" s="20"/>
      <c r="BB30" s="15">
        <v>3.4</v>
      </c>
      <c r="BC30" s="19">
        <f t="shared" si="23"/>
        <v>3.4</v>
      </c>
      <c r="BD30" s="31">
        <f>BD29*(BB30/BB29)</f>
        <v>6.7534246575342465</v>
      </c>
      <c r="BE30" s="19">
        <f t="shared" si="24"/>
        <v>6.7534246575342465</v>
      </c>
      <c r="BF30" s="19">
        <f t="shared" si="25"/>
        <v>6.7534246575342465</v>
      </c>
      <c r="BG30" s="20"/>
      <c r="BH30" s="20"/>
      <c r="BI30" s="20"/>
      <c r="BJ30" s="31">
        <v>8.8000000000000007</v>
      </c>
      <c r="BK30" s="31">
        <v>14</v>
      </c>
      <c r="BL30" s="20"/>
      <c r="BM30" s="20"/>
      <c r="BN30" s="20"/>
      <c r="BO30" s="16">
        <f>1150*4.184/1000/0.4536</f>
        <v>10.607583774250442</v>
      </c>
      <c r="BP30" s="20"/>
      <c r="BQ30" s="34"/>
      <c r="BR30" s="20"/>
      <c r="BS30" s="20"/>
      <c r="BT30" s="20"/>
      <c r="BU30" s="5"/>
    </row>
    <row r="31" spans="1:73" x14ac:dyDescent="0.3">
      <c r="A31" t="s">
        <v>157</v>
      </c>
      <c r="B31" t="s">
        <v>153</v>
      </c>
      <c r="C31" s="5">
        <v>83.5</v>
      </c>
      <c r="D31" s="5">
        <v>82.5</v>
      </c>
      <c r="E31" s="5">
        <v>70.900000000000006</v>
      </c>
      <c r="F31" s="5">
        <v>76.2</v>
      </c>
      <c r="G31" s="5">
        <v>75.900000000000006</v>
      </c>
      <c r="H31" s="5">
        <v>80.8</v>
      </c>
      <c r="I31" s="5">
        <v>83.9</v>
      </c>
      <c r="J31" s="20"/>
      <c r="K31" s="5">
        <v>92</v>
      </c>
      <c r="L31" s="5">
        <v>84.9</v>
      </c>
      <c r="M31" s="5">
        <v>82</v>
      </c>
      <c r="N31" s="5">
        <v>84</v>
      </c>
      <c r="O31" s="5">
        <v>0</v>
      </c>
      <c r="P31" s="5">
        <v>0</v>
      </c>
      <c r="Q31" s="5">
        <v>0</v>
      </c>
      <c r="R31" s="20"/>
      <c r="S31" s="8">
        <f t="shared" si="3"/>
        <v>0</v>
      </c>
      <c r="T31" s="5">
        <v>80.3</v>
      </c>
      <c r="U31" s="5">
        <v>78.400000000000006</v>
      </c>
      <c r="V31" s="5">
        <v>87</v>
      </c>
      <c r="W31" s="20"/>
      <c r="X31" s="19">
        <f t="shared" si="4"/>
        <v>71.400000000000006</v>
      </c>
      <c r="Y31" s="5">
        <v>64.900000000000006</v>
      </c>
      <c r="Z31" s="5">
        <v>88.1</v>
      </c>
      <c r="AA31" s="5">
        <v>86.2</v>
      </c>
      <c r="AB31" s="5">
        <v>60.2</v>
      </c>
      <c r="AC31" s="5">
        <v>71</v>
      </c>
      <c r="AD31" s="5">
        <v>71.400000000000006</v>
      </c>
      <c r="AE31" s="5">
        <v>83</v>
      </c>
      <c r="AF31" s="20"/>
      <c r="AG31" s="20"/>
      <c r="AH31" s="20"/>
      <c r="AI31" s="26"/>
      <c r="AJ31" s="20"/>
      <c r="AK31" s="15">
        <v>50</v>
      </c>
      <c r="AL31" s="5">
        <v>95</v>
      </c>
      <c r="AM31" s="5">
        <v>95</v>
      </c>
      <c r="AN31" s="31">
        <v>95</v>
      </c>
      <c r="AO31" s="31">
        <v>95</v>
      </c>
      <c r="AP31" s="20"/>
      <c r="AQ31" s="20"/>
      <c r="AR31" s="19">
        <f t="shared" si="21"/>
        <v>95</v>
      </c>
      <c r="AS31" s="31">
        <v>95</v>
      </c>
      <c r="AT31" s="19">
        <f t="shared" si="22"/>
        <v>95</v>
      </c>
      <c r="AU31" s="5">
        <v>60</v>
      </c>
      <c r="AV31" s="5">
        <v>73.3</v>
      </c>
      <c r="AW31" s="5">
        <v>79.400000000000006</v>
      </c>
      <c r="AX31" s="5">
        <v>86.5</v>
      </c>
      <c r="AY31" s="20"/>
      <c r="AZ31" s="20"/>
      <c r="BA31" s="20"/>
      <c r="BB31" s="15">
        <v>39.6</v>
      </c>
      <c r="BC31" s="19">
        <f t="shared" si="23"/>
        <v>39.6</v>
      </c>
      <c r="BD31" s="5">
        <v>73.5</v>
      </c>
      <c r="BE31" s="19">
        <f t="shared" si="24"/>
        <v>73.5</v>
      </c>
      <c r="BF31" s="19">
        <f t="shared" si="25"/>
        <v>73.5</v>
      </c>
      <c r="BG31" s="20"/>
      <c r="BH31" s="20"/>
      <c r="BI31" s="20"/>
      <c r="BJ31" s="31">
        <v>0</v>
      </c>
      <c r="BK31" s="31">
        <v>70</v>
      </c>
      <c r="BL31" s="20"/>
      <c r="BM31" s="20"/>
      <c r="BN31" s="20"/>
      <c r="BO31" s="31">
        <f>BO26</f>
        <v>54.6</v>
      </c>
      <c r="BP31" s="20"/>
      <c r="BQ31" s="34"/>
      <c r="BR31" s="20"/>
      <c r="BS31" s="20"/>
      <c r="BT31" s="20"/>
      <c r="BU31" s="5"/>
    </row>
    <row r="32" spans="1:73" x14ac:dyDescent="0.3">
      <c r="C32" s="5"/>
      <c r="D32" s="5"/>
      <c r="E32" s="5"/>
      <c r="F32" s="5"/>
      <c r="G32" s="5"/>
      <c r="H32" s="5"/>
      <c r="I32" s="5"/>
      <c r="J32" s="20"/>
      <c r="K32" s="5"/>
      <c r="L32" s="5"/>
      <c r="M32" s="5"/>
      <c r="N32" s="5"/>
      <c r="O32" s="5"/>
      <c r="P32" s="5"/>
      <c r="Q32" s="5"/>
      <c r="R32" s="20"/>
      <c r="S32" s="8"/>
      <c r="T32" s="5"/>
      <c r="U32" s="5"/>
      <c r="V32" s="5"/>
      <c r="W32" s="20"/>
      <c r="X32" s="19"/>
      <c r="Y32" s="5"/>
      <c r="Z32" s="5"/>
      <c r="AA32" s="5"/>
      <c r="AB32" s="5"/>
      <c r="AC32" s="5"/>
      <c r="AD32" s="5"/>
      <c r="AE32" s="5"/>
      <c r="AF32" s="20"/>
      <c r="AG32" s="20"/>
      <c r="AH32" s="20"/>
      <c r="AI32" s="20"/>
      <c r="AJ32" s="20"/>
      <c r="AK32" s="5"/>
      <c r="AL32" s="5"/>
      <c r="AM32" s="5"/>
      <c r="AN32" s="5"/>
      <c r="AO32" s="5"/>
      <c r="AP32" s="20"/>
      <c r="AQ32" s="20"/>
      <c r="AR32" s="5"/>
      <c r="AS32" s="31"/>
      <c r="AT32" s="5"/>
      <c r="AU32" s="5"/>
      <c r="AV32" s="5"/>
      <c r="AW32" s="5"/>
      <c r="AX32" s="5"/>
      <c r="AY32" s="20"/>
      <c r="AZ32" s="20"/>
      <c r="BA32" s="20"/>
      <c r="BB32" s="5"/>
      <c r="BC32" s="5"/>
      <c r="BD32" s="5"/>
      <c r="BE32" s="5"/>
      <c r="BF32" s="5"/>
      <c r="BG32" s="20"/>
      <c r="BH32" s="20"/>
      <c r="BI32" s="20"/>
      <c r="BJ32" s="5"/>
      <c r="BK32" s="5"/>
      <c r="BL32" s="20"/>
      <c r="BM32" s="20"/>
      <c r="BN32" s="20"/>
      <c r="BO32" s="5"/>
      <c r="BP32" s="20"/>
      <c r="BQ32" s="20"/>
      <c r="BR32" s="20"/>
      <c r="BS32" s="20"/>
      <c r="BT32" s="20"/>
      <c r="BU32" s="5"/>
    </row>
    <row r="33" spans="1:73" x14ac:dyDescent="0.3">
      <c r="A33" s="3" t="s">
        <v>158</v>
      </c>
      <c r="C33" s="5"/>
      <c r="D33" s="5"/>
      <c r="E33" s="5"/>
      <c r="F33" s="5"/>
      <c r="G33" s="5"/>
      <c r="H33" s="5"/>
      <c r="I33" s="5"/>
      <c r="J33" s="20"/>
      <c r="K33" s="5"/>
      <c r="L33" s="5"/>
      <c r="M33" s="5"/>
      <c r="N33" s="5"/>
      <c r="O33" s="5"/>
      <c r="P33" s="5"/>
      <c r="Q33" s="5"/>
      <c r="R33" s="20"/>
      <c r="S33" s="8"/>
      <c r="T33" s="5"/>
      <c r="U33" s="5"/>
      <c r="V33" s="5"/>
      <c r="W33" s="20"/>
      <c r="X33" s="19"/>
      <c r="Y33" s="5"/>
      <c r="Z33" s="5"/>
      <c r="AA33" s="5"/>
      <c r="AB33" s="5"/>
      <c r="AC33" s="5"/>
      <c r="AD33" s="5"/>
      <c r="AE33" s="5"/>
      <c r="AF33" s="20"/>
      <c r="AG33" s="20"/>
      <c r="AH33" s="20"/>
      <c r="AI33" s="20"/>
      <c r="AJ33" s="20"/>
      <c r="AK33" s="5"/>
      <c r="AL33" s="5"/>
      <c r="AM33" s="5"/>
      <c r="AN33" s="5"/>
      <c r="AO33" s="5"/>
      <c r="AP33" s="20"/>
      <c r="AQ33" s="20"/>
      <c r="AR33" s="5"/>
      <c r="AS33" s="31"/>
      <c r="AT33" s="5"/>
      <c r="AU33" s="5"/>
      <c r="AV33" s="5"/>
      <c r="AW33" s="5"/>
      <c r="AX33" s="5"/>
      <c r="AY33" s="20"/>
      <c r="AZ33" s="20"/>
      <c r="BA33" s="20"/>
      <c r="BB33" s="5"/>
      <c r="BC33" s="5"/>
      <c r="BD33" s="5"/>
      <c r="BE33" s="5"/>
      <c r="BF33" s="5"/>
      <c r="BG33" s="20"/>
      <c r="BH33" s="20"/>
      <c r="BI33" s="20"/>
      <c r="BJ33" s="5"/>
      <c r="BK33" s="5"/>
      <c r="BL33" s="20"/>
      <c r="BM33" s="20"/>
      <c r="BN33" s="20"/>
      <c r="BO33" s="20"/>
      <c r="BP33" s="20"/>
      <c r="BQ33" s="20"/>
      <c r="BR33" s="20"/>
      <c r="BS33" s="20"/>
      <c r="BT33" s="20"/>
      <c r="BU33" s="5"/>
    </row>
    <row r="34" spans="1:73" x14ac:dyDescent="0.3">
      <c r="A34" t="s">
        <v>159</v>
      </c>
      <c r="B34" t="s">
        <v>146</v>
      </c>
      <c r="C34" s="5"/>
      <c r="D34" s="5"/>
      <c r="E34" s="5">
        <v>13.2</v>
      </c>
      <c r="F34" s="5"/>
      <c r="G34" s="5"/>
      <c r="H34" s="5"/>
      <c r="I34" s="5"/>
      <c r="J34" s="20"/>
      <c r="K34" s="5"/>
      <c r="L34" s="5"/>
      <c r="M34" s="5">
        <v>12.2</v>
      </c>
      <c r="N34" s="5"/>
      <c r="O34" s="16"/>
      <c r="P34" s="16"/>
      <c r="Q34" s="16"/>
      <c r="R34" s="30"/>
      <c r="S34" s="8"/>
      <c r="T34" s="5"/>
      <c r="U34" s="5"/>
      <c r="V34" s="5"/>
      <c r="W34" s="20"/>
      <c r="X34" s="19">
        <f t="shared" si="4"/>
        <v>9.9</v>
      </c>
      <c r="Y34" s="5"/>
      <c r="Z34" s="5"/>
      <c r="AA34" s="5"/>
      <c r="AB34" s="5"/>
      <c r="AC34" s="5"/>
      <c r="AD34" s="5">
        <v>9.9</v>
      </c>
      <c r="AE34" s="5"/>
      <c r="AF34" s="20"/>
      <c r="AG34" s="20"/>
      <c r="AH34" s="20"/>
      <c r="AI34" s="20"/>
      <c r="AJ34" s="20"/>
      <c r="AK34" s="5"/>
      <c r="AL34" s="5"/>
      <c r="AM34" s="5"/>
      <c r="AN34" s="5"/>
      <c r="AO34" s="5"/>
      <c r="AP34" s="20"/>
      <c r="AQ34" s="20"/>
      <c r="AR34" s="5"/>
      <c r="AS34" s="31"/>
      <c r="AT34" s="5"/>
      <c r="AU34" s="5"/>
      <c r="AV34" s="5"/>
      <c r="AW34" s="5"/>
      <c r="AX34" s="5"/>
      <c r="AY34" s="20"/>
      <c r="AZ34" s="20"/>
      <c r="BA34" s="20"/>
      <c r="BB34" s="5"/>
      <c r="BC34" s="5"/>
      <c r="BD34" s="5"/>
      <c r="BE34" s="5"/>
      <c r="BF34" s="5"/>
      <c r="BG34" s="20"/>
      <c r="BH34" s="20"/>
      <c r="BI34" s="20"/>
      <c r="BJ34" s="5"/>
      <c r="BK34" s="5"/>
      <c r="BL34" s="20"/>
      <c r="BM34" s="20"/>
      <c r="BN34" s="20"/>
      <c r="BO34" s="20"/>
      <c r="BP34" s="20"/>
      <c r="BQ34" s="20"/>
      <c r="BR34" s="20"/>
      <c r="BS34" s="20"/>
      <c r="BT34" s="20"/>
      <c r="BU34" s="5"/>
    </row>
    <row r="35" spans="1:73" x14ac:dyDescent="0.3">
      <c r="A35" t="s">
        <v>160</v>
      </c>
      <c r="B35" t="s">
        <v>146</v>
      </c>
      <c r="C35" s="5">
        <v>14.4</v>
      </c>
      <c r="D35" s="5">
        <v>14.3</v>
      </c>
      <c r="E35" s="5">
        <v>13.3</v>
      </c>
      <c r="F35" s="5">
        <v>13.2</v>
      </c>
      <c r="G35" s="5">
        <v>11.1</v>
      </c>
      <c r="H35" s="5">
        <v>15.4</v>
      </c>
      <c r="I35" s="5">
        <v>14.2</v>
      </c>
      <c r="J35" s="20"/>
      <c r="K35" s="5">
        <v>15.9</v>
      </c>
      <c r="L35" s="5">
        <v>12.5</v>
      </c>
      <c r="M35" s="15">
        <v>12.1</v>
      </c>
      <c r="N35" s="15">
        <v>9.6999999999999993</v>
      </c>
      <c r="O35" s="14">
        <v>38.1</v>
      </c>
      <c r="P35" s="14">
        <v>38.1</v>
      </c>
      <c r="Q35" s="14">
        <v>38.1</v>
      </c>
      <c r="R35" s="29"/>
      <c r="S35" s="8">
        <f t="shared" si="3"/>
        <v>38.1</v>
      </c>
      <c r="T35" s="5">
        <v>7.4</v>
      </c>
      <c r="U35" s="15">
        <v>7.3</v>
      </c>
      <c r="V35" s="5">
        <v>10.9</v>
      </c>
      <c r="W35" s="20"/>
      <c r="X35" s="19">
        <f t="shared" si="4"/>
        <v>9.3000000000000007</v>
      </c>
      <c r="Y35" s="5">
        <v>7.8</v>
      </c>
      <c r="Z35" s="5">
        <v>16.899999999999999</v>
      </c>
      <c r="AA35" s="5">
        <v>16.8</v>
      </c>
      <c r="AB35" s="5">
        <v>8.6999999999999993</v>
      </c>
      <c r="AC35" s="15">
        <v>10.4</v>
      </c>
      <c r="AD35" s="15">
        <v>9.3000000000000007</v>
      </c>
      <c r="AE35" s="5">
        <v>12.6</v>
      </c>
      <c r="AF35" s="20"/>
      <c r="AG35" s="20"/>
      <c r="AH35" s="20"/>
      <c r="AI35" s="20"/>
      <c r="AJ35" s="20"/>
      <c r="AK35" s="5">
        <v>12.3</v>
      </c>
      <c r="AL35" s="5">
        <v>11</v>
      </c>
      <c r="AM35" s="5">
        <v>16</v>
      </c>
      <c r="AN35" s="19">
        <f>AO35</f>
        <v>8.5</v>
      </c>
      <c r="AO35" s="15">
        <v>8.5</v>
      </c>
      <c r="AP35" s="20"/>
      <c r="AQ35" s="20"/>
      <c r="AR35" s="19">
        <f t="shared" ref="AR35:AR36" si="26">AM35</f>
        <v>16</v>
      </c>
      <c r="AS35" s="31">
        <f>AM35/AM$18*AS$18</f>
        <v>18.620689655172416</v>
      </c>
      <c r="AT35" s="19">
        <f t="shared" ref="AT35:AT36" si="27">AM35</f>
        <v>16</v>
      </c>
      <c r="AU35" s="5">
        <v>14.9</v>
      </c>
      <c r="AV35" s="5">
        <v>16.8</v>
      </c>
      <c r="AW35" s="5">
        <v>19.600000000000001</v>
      </c>
      <c r="AX35" s="5">
        <v>16</v>
      </c>
      <c r="AY35" s="20"/>
      <c r="AZ35" s="20"/>
      <c r="BA35" s="20"/>
      <c r="BB35" s="31">
        <f>BB36</f>
        <v>9.8000000000000007</v>
      </c>
      <c r="BC35" s="19">
        <f t="shared" ref="BC35:BC36" si="28">BB35</f>
        <v>9.8000000000000007</v>
      </c>
      <c r="BD35" s="31">
        <f>BD29*(BB35/BB29)</f>
        <v>19.465753424657535</v>
      </c>
      <c r="BE35" s="19">
        <f t="shared" ref="BE35:BE36" si="29">BD35</f>
        <v>19.465753424657535</v>
      </c>
      <c r="BF35" s="19">
        <f t="shared" ref="BF35:BF36" si="30">BD35</f>
        <v>19.465753424657535</v>
      </c>
      <c r="BG35" s="20"/>
      <c r="BH35" s="20"/>
      <c r="BI35" s="20"/>
      <c r="BJ35" s="31">
        <v>12</v>
      </c>
      <c r="BK35" s="31">
        <v>16</v>
      </c>
      <c r="BL35" s="20"/>
      <c r="BM35" s="20"/>
      <c r="BN35" s="20"/>
      <c r="BO35" s="20"/>
      <c r="BP35" s="20"/>
      <c r="BQ35" s="20"/>
      <c r="BR35" s="20"/>
      <c r="BS35" s="20"/>
      <c r="BT35" s="20"/>
      <c r="BU35" s="5"/>
    </row>
    <row r="36" spans="1:73" x14ac:dyDescent="0.3">
      <c r="A36" t="s">
        <v>161</v>
      </c>
      <c r="B36" t="s">
        <v>146</v>
      </c>
      <c r="C36" s="5">
        <v>13.8</v>
      </c>
      <c r="D36" s="5">
        <v>13.8</v>
      </c>
      <c r="E36" s="15">
        <v>11.2</v>
      </c>
      <c r="F36" s="5">
        <v>11.3</v>
      </c>
      <c r="G36" s="5">
        <v>11.9</v>
      </c>
      <c r="H36" s="5">
        <v>15.1</v>
      </c>
      <c r="I36" s="5">
        <v>13.5</v>
      </c>
      <c r="J36" s="20"/>
      <c r="K36" s="5">
        <v>15.6</v>
      </c>
      <c r="L36" s="15">
        <v>11.7</v>
      </c>
      <c r="M36" s="15">
        <v>11.8</v>
      </c>
      <c r="N36" s="15">
        <v>9.5</v>
      </c>
      <c r="O36" s="14">
        <v>37.700000000000003</v>
      </c>
      <c r="P36" s="14">
        <v>37.700000000000003</v>
      </c>
      <c r="Q36" s="14">
        <v>37.700000000000003</v>
      </c>
      <c r="R36" s="29"/>
      <c r="S36" s="8">
        <f t="shared" si="3"/>
        <v>37.700000000000003</v>
      </c>
      <c r="T36" s="5">
        <v>9.6</v>
      </c>
      <c r="U36" s="15">
        <v>7.2</v>
      </c>
      <c r="V36" s="5">
        <v>10.7</v>
      </c>
      <c r="W36" s="20"/>
      <c r="X36" s="19">
        <f t="shared" si="4"/>
        <v>9.1</v>
      </c>
      <c r="Y36" s="5">
        <v>7.4</v>
      </c>
      <c r="Z36" s="5">
        <v>16.899999999999999</v>
      </c>
      <c r="AA36" s="5">
        <v>16.600000000000001</v>
      </c>
      <c r="AB36" s="5">
        <v>8.5</v>
      </c>
      <c r="AC36" s="15">
        <v>10.1</v>
      </c>
      <c r="AD36" s="15">
        <v>9.1</v>
      </c>
      <c r="AE36" s="5">
        <v>12.3</v>
      </c>
      <c r="AF36" s="20"/>
      <c r="AG36" s="20"/>
      <c r="AH36" s="20"/>
      <c r="AI36" s="20"/>
      <c r="AJ36" s="20"/>
      <c r="AK36" s="31">
        <f>AK35</f>
        <v>12.3</v>
      </c>
      <c r="AL36" s="5">
        <v>11</v>
      </c>
      <c r="AM36" s="5">
        <v>16</v>
      </c>
      <c r="AN36" s="19">
        <f>AO36</f>
        <v>8.5</v>
      </c>
      <c r="AO36" s="15">
        <v>8.5</v>
      </c>
      <c r="AP36" s="20"/>
      <c r="AQ36" s="20"/>
      <c r="AR36" s="19">
        <f t="shared" si="26"/>
        <v>16</v>
      </c>
      <c r="AS36" s="31">
        <f>AM36/AM$18*AS$18</f>
        <v>18.620689655172416</v>
      </c>
      <c r="AT36" s="19">
        <f t="shared" si="27"/>
        <v>16</v>
      </c>
      <c r="AU36" s="5">
        <v>14.8</v>
      </c>
      <c r="AV36" s="31">
        <f>AV35</f>
        <v>16.8</v>
      </c>
      <c r="AW36" s="5">
        <v>18.5</v>
      </c>
      <c r="AX36" s="5">
        <v>17.100000000000001</v>
      </c>
      <c r="AY36" s="20"/>
      <c r="AZ36" s="20"/>
      <c r="BA36" s="20"/>
      <c r="BB36" s="15">
        <v>9.8000000000000007</v>
      </c>
      <c r="BC36" s="19">
        <f t="shared" si="28"/>
        <v>9.8000000000000007</v>
      </c>
      <c r="BD36" s="31">
        <f>BD35</f>
        <v>19.465753424657535</v>
      </c>
      <c r="BE36" s="19">
        <f t="shared" si="29"/>
        <v>19.465753424657535</v>
      </c>
      <c r="BF36" s="19">
        <f t="shared" si="30"/>
        <v>19.465753424657535</v>
      </c>
      <c r="BG36" s="20"/>
      <c r="BH36" s="20"/>
      <c r="BI36" s="20"/>
      <c r="BJ36" s="31">
        <v>12</v>
      </c>
      <c r="BK36" s="31">
        <v>16</v>
      </c>
      <c r="BL36" s="20"/>
      <c r="BM36" s="20"/>
      <c r="BN36" s="20"/>
      <c r="BO36" s="20"/>
      <c r="BP36" s="20"/>
      <c r="BQ36" s="20"/>
      <c r="BR36" s="20"/>
      <c r="BS36" s="20"/>
      <c r="BT36" s="20"/>
      <c r="BU36" s="5"/>
    </row>
    <row r="37" spans="1:73" x14ac:dyDescent="0.3">
      <c r="A37" t="s">
        <v>157</v>
      </c>
      <c r="B37" t="s">
        <v>153</v>
      </c>
      <c r="J37" s="24"/>
      <c r="R37" s="24"/>
      <c r="W37" s="24"/>
      <c r="AF37" s="24"/>
      <c r="AG37" s="24"/>
      <c r="AH37" s="24"/>
      <c r="AI37" s="24"/>
      <c r="AJ37" s="24"/>
      <c r="AP37" s="24"/>
      <c r="AQ37" s="24"/>
      <c r="AY37" s="24"/>
      <c r="AZ37" s="24"/>
      <c r="BA37" s="24"/>
      <c r="BG37" s="24"/>
      <c r="BH37" s="24"/>
      <c r="BI37" s="24"/>
      <c r="BL37" s="24"/>
      <c r="BM37" s="24"/>
    </row>
    <row r="38" spans="1:73" x14ac:dyDescent="0.3">
      <c r="J38" s="24"/>
      <c r="R38" s="24"/>
      <c r="W38" s="24"/>
      <c r="AF38" s="24"/>
      <c r="AG38" s="24"/>
      <c r="AH38" s="24"/>
      <c r="AI38" s="24"/>
      <c r="AJ38" s="24"/>
      <c r="AP38" s="24"/>
      <c r="AQ38" s="24"/>
      <c r="AY38" s="24"/>
      <c r="AZ38" s="24"/>
      <c r="BA38" s="24"/>
      <c r="BG38" s="24"/>
      <c r="BH38" s="24"/>
      <c r="BI38" s="24"/>
      <c r="BL38" s="24"/>
      <c r="BM38" s="24"/>
    </row>
    <row r="39" spans="1:73" x14ac:dyDescent="0.3">
      <c r="A39" s="3" t="s">
        <v>333</v>
      </c>
      <c r="J39" s="24"/>
      <c r="R39" s="24"/>
      <c r="W39" s="24"/>
      <c r="AF39" s="24"/>
      <c r="AG39" s="24"/>
      <c r="AH39" s="24"/>
      <c r="AI39" s="24"/>
      <c r="AJ39" s="24"/>
      <c r="AP39" s="24"/>
      <c r="AQ39" s="24"/>
      <c r="AY39" s="24"/>
      <c r="AZ39" s="24"/>
      <c r="BA39" s="24"/>
      <c r="BG39" s="24"/>
      <c r="BH39" s="24"/>
      <c r="BI39" s="24"/>
      <c r="BL39" s="24"/>
      <c r="BM39" s="24"/>
    </row>
    <row r="40" spans="1:73" x14ac:dyDescent="0.3">
      <c r="A40" t="s">
        <v>272</v>
      </c>
      <c r="C40" s="5">
        <v>2</v>
      </c>
      <c r="D40" s="5">
        <v>2</v>
      </c>
      <c r="E40" s="5">
        <v>2</v>
      </c>
      <c r="F40" s="5">
        <v>2</v>
      </c>
      <c r="G40" s="5">
        <v>2</v>
      </c>
      <c r="H40" s="5">
        <v>2</v>
      </c>
      <c r="I40" s="5">
        <v>2</v>
      </c>
      <c r="J40" s="20"/>
      <c r="K40" s="5">
        <v>2</v>
      </c>
      <c r="L40" s="5">
        <v>2</v>
      </c>
      <c r="M40" s="5">
        <v>2</v>
      </c>
      <c r="N40" s="5">
        <v>2</v>
      </c>
      <c r="O40" s="5"/>
      <c r="P40" s="5"/>
      <c r="Q40" s="5"/>
      <c r="R40" s="20"/>
      <c r="S40" s="5"/>
      <c r="T40" s="5"/>
      <c r="U40" s="5"/>
      <c r="V40" s="5"/>
      <c r="W40" s="20"/>
      <c r="X40" s="5"/>
      <c r="Y40" s="5"/>
      <c r="Z40" s="5"/>
      <c r="AA40" s="5"/>
      <c r="AB40" s="5"/>
      <c r="AC40" s="5"/>
      <c r="AD40" s="5"/>
      <c r="AE40" s="5"/>
      <c r="AF40" s="20"/>
      <c r="AG40" s="20"/>
      <c r="AH40" s="20"/>
      <c r="AI40" s="20"/>
      <c r="AJ40" s="20"/>
      <c r="AK40" s="5"/>
      <c r="AL40" s="5"/>
      <c r="AM40" s="5"/>
      <c r="AN40" s="5"/>
      <c r="AO40" s="5"/>
      <c r="AP40" s="20"/>
      <c r="AQ40" s="20"/>
      <c r="AR40" s="5"/>
      <c r="AS40" s="5"/>
      <c r="AT40" s="5"/>
      <c r="AU40" s="5"/>
      <c r="AV40" s="5">
        <v>10</v>
      </c>
      <c r="AW40" s="5">
        <v>10</v>
      </c>
      <c r="AX40" s="5">
        <v>10</v>
      </c>
      <c r="AY40" s="20"/>
      <c r="AZ40" s="20"/>
      <c r="BA40" s="20"/>
      <c r="BB40" s="5"/>
      <c r="BC40" s="5"/>
      <c r="BD40" s="5"/>
      <c r="BE40" s="5"/>
      <c r="BF40" s="5"/>
      <c r="BG40" s="20"/>
      <c r="BH40" s="20"/>
      <c r="BI40" s="20"/>
      <c r="BJ40" s="5"/>
      <c r="BK40" s="5"/>
      <c r="BL40" s="20"/>
      <c r="BM40" s="20"/>
      <c r="BN40" s="5"/>
      <c r="BO40" s="5">
        <v>10</v>
      </c>
      <c r="BP40" s="5">
        <v>10</v>
      </c>
      <c r="BQ40" s="14">
        <v>5</v>
      </c>
      <c r="BR40" s="5"/>
      <c r="BS40" s="5"/>
      <c r="BT40" s="5"/>
    </row>
    <row r="41" spans="1:73" x14ac:dyDescent="0.3">
      <c r="A41" t="s">
        <v>334</v>
      </c>
      <c r="C41" s="5">
        <v>5</v>
      </c>
      <c r="D41" s="5">
        <v>5</v>
      </c>
      <c r="E41" s="5">
        <v>5</v>
      </c>
      <c r="F41" s="5">
        <v>5</v>
      </c>
      <c r="G41" s="5">
        <v>5</v>
      </c>
      <c r="H41" s="5">
        <v>5</v>
      </c>
      <c r="I41" s="5">
        <v>5</v>
      </c>
      <c r="J41" s="20"/>
      <c r="K41" s="5">
        <v>5</v>
      </c>
      <c r="L41" s="5">
        <v>5</v>
      </c>
      <c r="M41" s="5">
        <v>5</v>
      </c>
      <c r="N41" s="5">
        <v>5</v>
      </c>
      <c r="O41" s="5"/>
      <c r="P41" s="5"/>
      <c r="Q41" s="5"/>
      <c r="R41" s="20"/>
      <c r="S41" s="5"/>
      <c r="T41" s="5">
        <v>5</v>
      </c>
      <c r="U41" s="5">
        <v>5</v>
      </c>
      <c r="V41" s="5">
        <v>5</v>
      </c>
      <c r="W41" s="20"/>
      <c r="X41" s="5">
        <v>5</v>
      </c>
      <c r="Y41" s="5">
        <v>5</v>
      </c>
      <c r="Z41" s="5">
        <v>5</v>
      </c>
      <c r="AA41" s="5">
        <v>5</v>
      </c>
      <c r="AB41" s="5">
        <v>5</v>
      </c>
      <c r="AC41" s="5">
        <v>5</v>
      </c>
      <c r="AD41" s="5">
        <v>5</v>
      </c>
      <c r="AE41" s="5">
        <v>5</v>
      </c>
      <c r="AF41" s="20"/>
      <c r="AG41" s="20"/>
      <c r="AH41" s="20"/>
      <c r="AI41" s="20"/>
      <c r="AJ41" s="20"/>
      <c r="AK41" s="5">
        <v>5</v>
      </c>
      <c r="AL41" s="5">
        <v>5</v>
      </c>
      <c r="AM41" s="5">
        <v>5</v>
      </c>
      <c r="AN41" s="5">
        <v>5</v>
      </c>
      <c r="AO41" s="5">
        <v>5</v>
      </c>
      <c r="AP41" s="20"/>
      <c r="AQ41" s="20"/>
      <c r="AR41" s="5">
        <v>10</v>
      </c>
      <c r="AS41" s="5">
        <v>10</v>
      </c>
      <c r="AT41" s="5">
        <v>10</v>
      </c>
      <c r="AU41" s="5">
        <v>10</v>
      </c>
      <c r="AV41" s="5">
        <v>5</v>
      </c>
      <c r="AW41" s="5">
        <v>5</v>
      </c>
      <c r="AX41" s="5">
        <v>5</v>
      </c>
      <c r="AY41" s="20"/>
      <c r="AZ41" s="20"/>
      <c r="BA41" s="20"/>
      <c r="BB41" s="5">
        <v>10</v>
      </c>
      <c r="BC41" s="5">
        <v>10</v>
      </c>
      <c r="BD41" s="5">
        <v>10</v>
      </c>
      <c r="BE41" s="5">
        <v>10</v>
      </c>
      <c r="BF41" s="5">
        <v>10</v>
      </c>
      <c r="BG41" s="20"/>
      <c r="BH41" s="20"/>
      <c r="BI41" s="20"/>
      <c r="BJ41" s="5">
        <v>0</v>
      </c>
      <c r="BK41" s="5">
        <v>10</v>
      </c>
      <c r="BL41" s="20"/>
      <c r="BM41" s="20"/>
      <c r="BN41" s="5">
        <v>0</v>
      </c>
      <c r="BO41" s="5">
        <v>20</v>
      </c>
      <c r="BP41" s="5">
        <v>20</v>
      </c>
      <c r="BQ41" s="5">
        <v>10</v>
      </c>
      <c r="BR41" s="5">
        <v>10</v>
      </c>
      <c r="BS41" s="5">
        <v>0</v>
      </c>
      <c r="BT41" s="5">
        <v>0</v>
      </c>
      <c r="BU41" s="5"/>
    </row>
    <row r="42" spans="1:73" x14ac:dyDescent="0.3">
      <c r="J42" s="24"/>
      <c r="R42" s="24"/>
      <c r="W42" s="24"/>
      <c r="AF42" s="24"/>
      <c r="AG42" s="24"/>
      <c r="AH42" s="24"/>
      <c r="AI42" s="24"/>
      <c r="AJ42" s="24"/>
      <c r="AP42" s="24"/>
      <c r="AQ42" s="24"/>
      <c r="AY42" s="24"/>
      <c r="AZ42" s="24"/>
      <c r="BA42" s="24"/>
      <c r="BG42" s="24"/>
      <c r="BH42" s="24"/>
      <c r="BI42" s="24"/>
      <c r="BL42" s="24"/>
      <c r="BM42" s="24"/>
    </row>
    <row r="43" spans="1:73" x14ac:dyDescent="0.3">
      <c r="A43" s="3" t="s">
        <v>290</v>
      </c>
      <c r="B43" s="3"/>
      <c r="C43" s="46">
        <f>100-(1-C40/100)*(1-C41/100)*100</f>
        <v>6.9000000000000057</v>
      </c>
      <c r="D43" s="46">
        <f t="shared" ref="D43:AE43" si="31">100-(1-D40/100)*(1-D41/100)*100</f>
        <v>6.9000000000000057</v>
      </c>
      <c r="E43" s="46">
        <f t="shared" si="31"/>
        <v>6.9000000000000057</v>
      </c>
      <c r="F43" s="46">
        <f t="shared" si="31"/>
        <v>6.9000000000000057</v>
      </c>
      <c r="G43" s="46">
        <f t="shared" si="31"/>
        <v>6.9000000000000057</v>
      </c>
      <c r="H43" s="46">
        <f t="shared" si="31"/>
        <v>6.9000000000000057</v>
      </c>
      <c r="I43" s="46">
        <f t="shared" si="31"/>
        <v>6.9000000000000057</v>
      </c>
      <c r="J43" s="65"/>
      <c r="K43" s="46">
        <f t="shared" si="31"/>
        <v>6.9000000000000057</v>
      </c>
      <c r="L43" s="46">
        <f t="shared" si="31"/>
        <v>6.9000000000000057</v>
      </c>
      <c r="M43" s="46">
        <f t="shared" si="31"/>
        <v>6.9000000000000057</v>
      </c>
      <c r="N43" s="46">
        <f t="shared" si="31"/>
        <v>6.9000000000000057</v>
      </c>
      <c r="O43" s="46">
        <f t="shared" si="31"/>
        <v>0</v>
      </c>
      <c r="P43" s="46">
        <f t="shared" si="31"/>
        <v>0</v>
      </c>
      <c r="Q43" s="46">
        <f t="shared" si="31"/>
        <v>0</v>
      </c>
      <c r="R43" s="65"/>
      <c r="S43" s="46">
        <f t="shared" si="31"/>
        <v>0</v>
      </c>
      <c r="T43" s="46">
        <f t="shared" si="31"/>
        <v>5</v>
      </c>
      <c r="U43" s="46">
        <f t="shared" si="31"/>
        <v>5</v>
      </c>
      <c r="V43" s="46">
        <f t="shared" si="31"/>
        <v>5</v>
      </c>
      <c r="W43" s="65"/>
      <c r="X43" s="46">
        <f t="shared" si="31"/>
        <v>5</v>
      </c>
      <c r="Y43" s="46">
        <f t="shared" si="31"/>
        <v>5</v>
      </c>
      <c r="Z43" s="46">
        <f t="shared" si="31"/>
        <v>5</v>
      </c>
      <c r="AA43" s="46">
        <f t="shared" si="31"/>
        <v>5</v>
      </c>
      <c r="AB43" s="46">
        <f t="shared" si="31"/>
        <v>5</v>
      </c>
      <c r="AC43" s="46">
        <f t="shared" si="31"/>
        <v>5</v>
      </c>
      <c r="AD43" s="46">
        <f t="shared" si="31"/>
        <v>5</v>
      </c>
      <c r="AE43" s="46">
        <f t="shared" si="31"/>
        <v>5</v>
      </c>
      <c r="AF43" s="65"/>
      <c r="AG43" s="65"/>
      <c r="AH43" s="65"/>
      <c r="AI43" s="65"/>
      <c r="AJ43" s="65"/>
      <c r="AK43" s="46">
        <f t="shared" ref="AK43:AO43" si="32">100-(1-AK40/100)*(1-AK41/100)*100</f>
        <v>5</v>
      </c>
      <c r="AL43" s="46">
        <f t="shared" si="32"/>
        <v>5</v>
      </c>
      <c r="AM43" s="46">
        <f t="shared" si="32"/>
        <v>5</v>
      </c>
      <c r="AN43" s="46">
        <f t="shared" si="32"/>
        <v>5</v>
      </c>
      <c r="AO43" s="46">
        <f t="shared" si="32"/>
        <v>5</v>
      </c>
      <c r="AP43" s="65"/>
      <c r="AQ43" s="65"/>
      <c r="AR43" s="46">
        <f t="shared" ref="AR43:AX43" si="33">100-(1-AR40/100)*(1-AR41/100)*100</f>
        <v>10</v>
      </c>
      <c r="AS43" s="46">
        <f t="shared" si="33"/>
        <v>10</v>
      </c>
      <c r="AT43" s="46">
        <f t="shared" si="33"/>
        <v>10</v>
      </c>
      <c r="AU43" s="46">
        <f t="shared" si="33"/>
        <v>10</v>
      </c>
      <c r="AV43" s="46">
        <f t="shared" si="33"/>
        <v>14.5</v>
      </c>
      <c r="AW43" s="46">
        <f t="shared" si="33"/>
        <v>14.5</v>
      </c>
      <c r="AX43" s="46">
        <f t="shared" si="33"/>
        <v>14.5</v>
      </c>
      <c r="AY43" s="65"/>
      <c r="AZ43" s="65"/>
      <c r="BA43" s="65"/>
      <c r="BB43" s="46">
        <f t="shared" ref="BB43:BF43" si="34">100-(1-BB40/100)*(1-BB41/100)*100</f>
        <v>10</v>
      </c>
      <c r="BC43" s="46">
        <f t="shared" si="34"/>
        <v>10</v>
      </c>
      <c r="BD43" s="46">
        <f t="shared" si="34"/>
        <v>10</v>
      </c>
      <c r="BE43" s="46">
        <f t="shared" si="34"/>
        <v>10</v>
      </c>
      <c r="BF43" s="46">
        <f t="shared" si="34"/>
        <v>10</v>
      </c>
      <c r="BG43" s="65"/>
      <c r="BH43" s="65"/>
      <c r="BI43" s="65"/>
      <c r="BJ43" s="46">
        <f t="shared" ref="BJ43:BK43" si="35">100-(1-BJ40/100)*(1-BJ41/100)*100</f>
        <v>0</v>
      </c>
      <c r="BK43" s="46">
        <f t="shared" si="35"/>
        <v>10</v>
      </c>
      <c r="BL43" s="65">
        <f>100-(1-BL40/100)*(1-BL41/100)*(1-BL42/100)*100</f>
        <v>0</v>
      </c>
      <c r="BM43" s="65">
        <f>100-(1-BM40/100)*(1-BM41/100)*(1-BM42/100)*100</f>
        <v>0</v>
      </c>
      <c r="BN43" s="46">
        <f t="shared" ref="BN43:BT43" si="36">100-(1-BN40/100)*(1-BN41/100)*100</f>
        <v>0</v>
      </c>
      <c r="BO43" s="46">
        <f t="shared" si="36"/>
        <v>27.999999999999986</v>
      </c>
      <c r="BP43" s="46">
        <f t="shared" si="36"/>
        <v>27.999999999999986</v>
      </c>
      <c r="BQ43" s="46">
        <f t="shared" si="36"/>
        <v>14.5</v>
      </c>
      <c r="BR43" s="46">
        <f t="shared" si="36"/>
        <v>10</v>
      </c>
      <c r="BS43" s="46">
        <f t="shared" si="36"/>
        <v>0</v>
      </c>
      <c r="BT43" s="46">
        <f t="shared" si="36"/>
        <v>0</v>
      </c>
    </row>
  </sheetData>
  <sortState xmlns:xlrd2="http://schemas.microsoft.com/office/spreadsheetml/2017/richdata2" ref="BD49:BE85">
    <sortCondition descending="1" ref="BD49:BD85"/>
  </sortState>
  <conditionalFormatting sqref="C39:BT39">
    <cfRule type="colorScale" priority="1">
      <colorScale>
        <cfvo type="min"/>
        <cfvo type="max"/>
        <color rgb="FFFCFCFF"/>
        <color rgb="FFF8696B"/>
      </colorScale>
    </cfRule>
  </conditionalFormatting>
  <hyperlinks>
    <hyperlink ref="C4" r:id="rId1" xr:uid="{00000000-0004-0000-0100-000000000000}"/>
    <hyperlink ref="E4" r:id="rId2" xr:uid="{00000000-0004-0000-0100-000001000000}"/>
    <hyperlink ref="F4" r:id="rId3" xr:uid="{00000000-0004-0000-0100-000002000000}"/>
    <hyperlink ref="G4" r:id="rId4" xr:uid="{00000000-0004-0000-0100-000003000000}"/>
    <hyperlink ref="Z4" r:id="rId5" xr:uid="{00000000-0004-0000-0100-000004000000}"/>
    <hyperlink ref="H4" r:id="rId6" xr:uid="{00000000-0004-0000-0100-000005000000}"/>
    <hyperlink ref="L4" r:id="rId7" xr:uid="{00000000-0004-0000-0100-000006000000}"/>
    <hyperlink ref="M4" r:id="rId8" xr:uid="{00000000-0004-0000-0100-000007000000}"/>
    <hyperlink ref="N4" r:id="rId9" xr:uid="{00000000-0004-0000-0100-000008000000}"/>
    <hyperlink ref="T4" r:id="rId10" xr:uid="{00000000-0004-0000-0100-000009000000}"/>
    <hyperlink ref="U4" r:id="rId11" xr:uid="{00000000-0004-0000-0100-00000A000000}"/>
    <hyperlink ref="V4" r:id="rId12" xr:uid="{00000000-0004-0000-0100-00000B000000}"/>
    <hyperlink ref="Y4" r:id="rId13" xr:uid="{00000000-0004-0000-0100-00000C000000}"/>
    <hyperlink ref="AA4" r:id="rId14" xr:uid="{00000000-0004-0000-0100-00000D000000}"/>
    <hyperlink ref="AB4" r:id="rId15" xr:uid="{00000000-0004-0000-0100-00000E000000}"/>
    <hyperlink ref="AC4" r:id="rId16" xr:uid="{00000000-0004-0000-0100-00000F000000}"/>
    <hyperlink ref="AD4" r:id="rId17" xr:uid="{00000000-0004-0000-0100-000010000000}"/>
    <hyperlink ref="AE4" r:id="rId18" xr:uid="{00000000-0004-0000-0100-000011000000}"/>
    <hyperlink ref="AX4" r:id="rId19" xr:uid="{00000000-0004-0000-0100-000012000000}"/>
    <hyperlink ref="AV4" r:id="rId20" xr:uid="{00000000-0004-0000-0100-000013000000}"/>
    <hyperlink ref="AW4" r:id="rId21" xr:uid="{00000000-0004-0000-0100-000014000000}"/>
    <hyperlink ref="BO4" r:id="rId22" xr:uid="{00000000-0004-0000-0100-000015000000}"/>
    <hyperlink ref="BR4" r:id="rId23" xr:uid="{00000000-0004-0000-0100-000016000000}"/>
    <hyperlink ref="AO4" r:id="rId24" xr:uid="{00000000-0004-0000-0100-000017000000}"/>
    <hyperlink ref="AK4" r:id="rId25" xr:uid="{00000000-0004-0000-0100-000018000000}"/>
    <hyperlink ref="AL4" r:id="rId26" xr:uid="{00000000-0004-0000-0100-000019000000}"/>
    <hyperlink ref="O4" r:id="rId27" xr:uid="{00000000-0004-0000-0100-00001A000000}"/>
    <hyperlink ref="Q4" r:id="rId28" xr:uid="{00000000-0004-0000-0100-00001B000000}"/>
    <hyperlink ref="P4" r:id="rId29" xr:uid="{00000000-0004-0000-0100-00001C000000}"/>
    <hyperlink ref="D4" r:id="rId30" xr:uid="{00000000-0004-0000-0100-00001D000000}"/>
    <hyperlink ref="I4" r:id="rId31" xr:uid="{00000000-0004-0000-0100-00001E000000}"/>
    <hyperlink ref="K4" r:id="rId32" xr:uid="{00000000-0004-0000-0100-00001F000000}"/>
    <hyperlink ref="AM4" r:id="rId33" xr:uid="{00000000-0004-0000-0100-000020000000}"/>
    <hyperlink ref="AU4" r:id="rId34" xr:uid="{00000000-0004-0000-0100-000021000000}"/>
    <hyperlink ref="BB4" r:id="rId35" xr:uid="{00000000-0004-0000-0100-000022000000}"/>
    <hyperlink ref="BD4" r:id="rId36" xr:uid="{00000000-0004-0000-0100-000023000000}"/>
    <hyperlink ref="BQ4" r:id="rId37" xr:uid="{00000000-0004-0000-0100-000024000000}"/>
  </hyperlinks>
  <pageMargins left="0.7" right="0.7" top="0.75" bottom="0.75" header="0.3" footer="0.3"/>
  <pageSetup paperSize="9" orientation="portrait" r:id="rId38"/>
  <legacy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3"/>
  <sheetViews>
    <sheetView workbookViewId="0">
      <selection activeCell="E30" sqref="E30"/>
    </sheetView>
  </sheetViews>
  <sheetFormatPr defaultRowHeight="14.4" x14ac:dyDescent="0.3"/>
  <sheetData>
    <row r="2" spans="2:5" x14ac:dyDescent="0.3">
      <c r="B2" s="3" t="s">
        <v>345</v>
      </c>
    </row>
    <row r="3" spans="2:5" x14ac:dyDescent="0.3">
      <c r="B3" s="68" t="s">
        <v>340</v>
      </c>
    </row>
    <row r="5" spans="2:5" x14ac:dyDescent="0.3">
      <c r="D5" s="3" t="s">
        <v>346</v>
      </c>
      <c r="E5" s="3" t="s">
        <v>349</v>
      </c>
    </row>
    <row r="6" spans="2:5" x14ac:dyDescent="0.3">
      <c r="B6" t="s">
        <v>347</v>
      </c>
      <c r="D6" t="s">
        <v>342</v>
      </c>
      <c r="E6" t="s">
        <v>342</v>
      </c>
    </row>
    <row r="8" spans="2:5" x14ac:dyDescent="0.3">
      <c r="B8" t="s">
        <v>341</v>
      </c>
      <c r="D8" t="s">
        <v>342</v>
      </c>
      <c r="E8" t="s">
        <v>342</v>
      </c>
    </row>
    <row r="10" spans="2:5" x14ac:dyDescent="0.3">
      <c r="B10" t="s">
        <v>343</v>
      </c>
      <c r="D10" s="38">
        <v>0.2</v>
      </c>
      <c r="E10" s="38">
        <v>0.3</v>
      </c>
    </row>
    <row r="11" spans="2:5" x14ac:dyDescent="0.3">
      <c r="B11" t="s">
        <v>344</v>
      </c>
      <c r="D11" s="38">
        <v>0.1</v>
      </c>
      <c r="E11" s="38">
        <v>0.2</v>
      </c>
    </row>
    <row r="14" spans="2:5" x14ac:dyDescent="0.3">
      <c r="B14" s="3" t="s">
        <v>348</v>
      </c>
    </row>
    <row r="15" spans="2:5" x14ac:dyDescent="0.3">
      <c r="B15" s="68" t="s">
        <v>350</v>
      </c>
    </row>
    <row r="17" spans="2:5" x14ac:dyDescent="0.3">
      <c r="D17" s="3" t="s">
        <v>346</v>
      </c>
      <c r="E17" s="3" t="s">
        <v>349</v>
      </c>
    </row>
    <row r="18" spans="2:5" x14ac:dyDescent="0.3">
      <c r="B18" t="s">
        <v>347</v>
      </c>
      <c r="D18" t="s">
        <v>342</v>
      </c>
      <c r="E18" t="s">
        <v>342</v>
      </c>
    </row>
    <row r="20" spans="2:5" x14ac:dyDescent="0.3">
      <c r="B20" t="s">
        <v>351</v>
      </c>
      <c r="D20" s="38">
        <v>0.1</v>
      </c>
      <c r="E20" s="38">
        <v>0.2</v>
      </c>
    </row>
    <row r="22" spans="2:5" x14ac:dyDescent="0.3">
      <c r="B22" t="s">
        <v>343</v>
      </c>
      <c r="D22" s="38">
        <v>0.3</v>
      </c>
      <c r="E22" s="38"/>
    </row>
    <row r="23" spans="2:5" x14ac:dyDescent="0.3">
      <c r="B23" t="s">
        <v>344</v>
      </c>
      <c r="D23" s="38">
        <v>0.3</v>
      </c>
      <c r="E23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U34"/>
  <sheetViews>
    <sheetView workbookViewId="0">
      <selection activeCell="N6" sqref="N6"/>
    </sheetView>
  </sheetViews>
  <sheetFormatPr defaultRowHeight="14.4" x14ac:dyDescent="0.3"/>
  <sheetData>
    <row r="3" spans="2:21" x14ac:dyDescent="0.3">
      <c r="B3" s="3" t="s">
        <v>283</v>
      </c>
    </row>
    <row r="5" spans="2:21" x14ac:dyDescent="0.3">
      <c r="B5" s="39" t="s">
        <v>282</v>
      </c>
    </row>
    <row r="6" spans="2:21" x14ac:dyDescent="0.3">
      <c r="B6" s="39"/>
      <c r="D6" t="s">
        <v>275</v>
      </c>
      <c r="E6" t="s">
        <v>276</v>
      </c>
    </row>
    <row r="7" spans="2:21" x14ac:dyDescent="0.3">
      <c r="B7" t="s">
        <v>274</v>
      </c>
      <c r="D7">
        <v>17.100000000000001</v>
      </c>
      <c r="E7">
        <v>29.2</v>
      </c>
    </row>
    <row r="8" spans="2:21" x14ac:dyDescent="0.3">
      <c r="B8" t="s">
        <v>273</v>
      </c>
      <c r="D8">
        <v>14.7</v>
      </c>
      <c r="E8">
        <v>26.2</v>
      </c>
    </row>
    <row r="9" spans="2:21" x14ac:dyDescent="0.3">
      <c r="B9" t="s">
        <v>277</v>
      </c>
      <c r="D9">
        <v>28.4</v>
      </c>
      <c r="E9">
        <v>24.3</v>
      </c>
    </row>
    <row r="10" spans="2:21" x14ac:dyDescent="0.3">
      <c r="B10" t="s">
        <v>278</v>
      </c>
      <c r="D10">
        <v>32.5</v>
      </c>
      <c r="E10">
        <v>24.9</v>
      </c>
    </row>
    <row r="11" spans="2:21" x14ac:dyDescent="0.3">
      <c r="B11" t="s">
        <v>279</v>
      </c>
      <c r="D11">
        <v>16.62</v>
      </c>
      <c r="E11">
        <v>21.7</v>
      </c>
    </row>
    <row r="12" spans="2:21" x14ac:dyDescent="0.3">
      <c r="B12" t="s">
        <v>280</v>
      </c>
      <c r="D12">
        <v>26.7</v>
      </c>
      <c r="E12">
        <v>18.100000000000001</v>
      </c>
    </row>
    <row r="13" spans="2:21" x14ac:dyDescent="0.3">
      <c r="B13" t="s">
        <v>281</v>
      </c>
      <c r="D13">
        <v>0.8</v>
      </c>
      <c r="E13">
        <v>0.78</v>
      </c>
    </row>
    <row r="14" spans="2:21" x14ac:dyDescent="0.3">
      <c r="B14" s="39" t="s">
        <v>285</v>
      </c>
      <c r="L14" s="43" t="s">
        <v>296</v>
      </c>
    </row>
    <row r="15" spans="2:21" x14ac:dyDescent="0.3">
      <c r="B15" s="39"/>
      <c r="E15" t="s">
        <v>291</v>
      </c>
      <c r="G15" t="s">
        <v>292</v>
      </c>
      <c r="H15" t="s">
        <v>293</v>
      </c>
      <c r="I15" t="s">
        <v>294</v>
      </c>
      <c r="K15" t="s">
        <v>290</v>
      </c>
    </row>
    <row r="16" spans="2:21" x14ac:dyDescent="0.3">
      <c r="B16" t="s">
        <v>286</v>
      </c>
      <c r="E16">
        <v>1</v>
      </c>
      <c r="G16">
        <v>4</v>
      </c>
      <c r="H16">
        <v>5</v>
      </c>
      <c r="I16">
        <v>3</v>
      </c>
      <c r="K16" s="42">
        <f>100-(1-G16/100)*(1-H16/100)*(1-I16/100)*100</f>
        <v>11.536000000000016</v>
      </c>
      <c r="U16" s="41"/>
    </row>
    <row r="17" spans="2:15" x14ac:dyDescent="0.3">
      <c r="B17" t="s">
        <v>287</v>
      </c>
      <c r="E17">
        <f>E16+3</f>
        <v>4</v>
      </c>
      <c r="G17">
        <f>G16+11</f>
        <v>15</v>
      </c>
      <c r="H17">
        <f>H16+13</f>
        <v>18</v>
      </c>
      <c r="I17">
        <f>I16+18</f>
        <v>21</v>
      </c>
      <c r="K17" s="42">
        <f t="shared" ref="K17:K19" si="0">100-(1-G17/100)*(1-H17/100)*(1-I17/100)*100</f>
        <v>44.936999999999991</v>
      </c>
      <c r="M17" s="42"/>
    </row>
    <row r="18" spans="2:15" x14ac:dyDescent="0.3">
      <c r="B18" t="s">
        <v>288</v>
      </c>
      <c r="E18">
        <f>E17</f>
        <v>4</v>
      </c>
      <c r="G18">
        <f>G17</f>
        <v>15</v>
      </c>
      <c r="H18">
        <f>H17+3</f>
        <v>21</v>
      </c>
      <c r="I18">
        <f>I17+13</f>
        <v>34</v>
      </c>
      <c r="K18" s="42">
        <f t="shared" si="0"/>
        <v>55.681000000000012</v>
      </c>
    </row>
    <row r="19" spans="2:15" x14ac:dyDescent="0.3">
      <c r="B19" s="40" t="s">
        <v>289</v>
      </c>
      <c r="E19">
        <f>E18</f>
        <v>4</v>
      </c>
      <c r="G19">
        <f>G18+5</f>
        <v>20</v>
      </c>
      <c r="H19">
        <f>H18</f>
        <v>21</v>
      </c>
      <c r="I19">
        <f>I18</f>
        <v>34</v>
      </c>
      <c r="K19" s="42">
        <f t="shared" si="0"/>
        <v>58.287999999999997</v>
      </c>
    </row>
    <row r="21" spans="2:15" x14ac:dyDescent="0.3">
      <c r="B21" t="s">
        <v>295</v>
      </c>
      <c r="D21" s="42"/>
      <c r="E21" s="42">
        <f t="shared" ref="E21" si="1">AVERAGE(E16:E17)</f>
        <v>2.5</v>
      </c>
      <c r="F21" s="42"/>
      <c r="G21" s="42">
        <f t="shared" ref="G21:I21" si="2">AVERAGE(G16:G17)</f>
        <v>9.5</v>
      </c>
      <c r="H21" s="42">
        <f t="shared" si="2"/>
        <v>11.5</v>
      </c>
      <c r="I21" s="42">
        <f t="shared" si="2"/>
        <v>12</v>
      </c>
      <c r="J21" s="42"/>
      <c r="K21" s="42">
        <f>100-(1-G21/100)*(1-H21/100)*(1-I21/100)*100</f>
        <v>29.518599999999992</v>
      </c>
      <c r="M21" s="42">
        <f>100-(1-H21/100)*(1-I21/100)*100</f>
        <v>22.11999999999999</v>
      </c>
    </row>
    <row r="25" spans="2:15" x14ac:dyDescent="0.3">
      <c r="B25" s="3" t="s">
        <v>284</v>
      </c>
    </row>
    <row r="26" spans="2:15" x14ac:dyDescent="0.3">
      <c r="B26" s="39" t="s">
        <v>297</v>
      </c>
      <c r="O26" t="s">
        <v>298</v>
      </c>
    </row>
    <row r="27" spans="2:15" x14ac:dyDescent="0.3">
      <c r="O27" t="s">
        <v>299</v>
      </c>
    </row>
    <row r="28" spans="2:15" x14ac:dyDescent="0.3">
      <c r="E28" t="s">
        <v>304</v>
      </c>
      <c r="F28" t="s">
        <v>305</v>
      </c>
      <c r="G28" t="s">
        <v>306</v>
      </c>
    </row>
    <row r="29" spans="2:15" x14ac:dyDescent="0.3">
      <c r="B29" t="s">
        <v>302</v>
      </c>
      <c r="E29" s="38">
        <v>0.02</v>
      </c>
      <c r="F29" s="38">
        <v>0.1</v>
      </c>
      <c r="G29" s="38">
        <f>AVERAGE(E29:F29)</f>
        <v>6.0000000000000005E-2</v>
      </c>
      <c r="J29" s="39" t="s">
        <v>308</v>
      </c>
    </row>
    <row r="30" spans="2:15" x14ac:dyDescent="0.3">
      <c r="B30" t="s">
        <v>303</v>
      </c>
      <c r="E30" s="38">
        <v>0.04</v>
      </c>
      <c r="F30" s="38">
        <v>0.1</v>
      </c>
      <c r="G30" s="38">
        <f t="shared" ref="G30:G32" si="3">AVERAGE(E30:F30)</f>
        <v>7.0000000000000007E-2</v>
      </c>
      <c r="J30" s="39" t="s">
        <v>307</v>
      </c>
    </row>
    <row r="31" spans="2:15" x14ac:dyDescent="0.3">
      <c r="B31" t="s">
        <v>301</v>
      </c>
      <c r="E31" s="38">
        <v>0.03</v>
      </c>
      <c r="F31" s="38">
        <v>0.1</v>
      </c>
      <c r="G31" s="38">
        <f t="shared" si="3"/>
        <v>6.5000000000000002E-2</v>
      </c>
      <c r="J31" s="39" t="s">
        <v>309</v>
      </c>
    </row>
    <row r="32" spans="2:15" x14ac:dyDescent="0.3">
      <c r="B32" t="s">
        <v>300</v>
      </c>
      <c r="E32" s="38">
        <v>0.15</v>
      </c>
      <c r="F32" s="38">
        <v>0.4</v>
      </c>
      <c r="G32" s="38">
        <f t="shared" si="3"/>
        <v>0.27500000000000002</v>
      </c>
    </row>
    <row r="34" spans="2:7" x14ac:dyDescent="0.3">
      <c r="B34" t="s">
        <v>290</v>
      </c>
      <c r="E34" s="44">
        <f>1-(1-E29)*(1-E30)*(1-E31)*(1-E32)</f>
        <v>0.22431040000000002</v>
      </c>
      <c r="F34" s="44">
        <f t="shared" ref="F34:G34" si="4">1-(1-F29)*(1-F30)*(1-F31)*(1-F32)</f>
        <v>0.56259999999999999</v>
      </c>
      <c r="G34" s="44">
        <f t="shared" si="4"/>
        <v>0.40740167500000013</v>
      </c>
    </row>
  </sheetData>
  <hyperlinks>
    <hyperlink ref="L14" r:id="rId1" tooltip="Persistent link using digital object identifier" xr:uid="{00000000-0004-0000-03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P24"/>
  <sheetViews>
    <sheetView workbookViewId="0">
      <selection activeCell="Z11" sqref="Z11"/>
    </sheetView>
  </sheetViews>
  <sheetFormatPr defaultRowHeight="14.4" x14ac:dyDescent="0.3"/>
  <cols>
    <col min="9" max="9" width="10" bestFit="1" customWidth="1"/>
  </cols>
  <sheetData>
    <row r="3" spans="2:16" x14ac:dyDescent="0.3">
      <c r="B3" s="43" t="s">
        <v>312</v>
      </c>
      <c r="P3" s="3" t="s">
        <v>311</v>
      </c>
    </row>
    <row r="4" spans="2:16" x14ac:dyDescent="0.3">
      <c r="B4" s="47"/>
      <c r="N4" s="60" t="s">
        <v>324</v>
      </c>
    </row>
    <row r="5" spans="2:16" x14ac:dyDescent="0.3">
      <c r="B5" s="50"/>
      <c r="C5" s="51"/>
      <c r="D5" s="51" t="s">
        <v>317</v>
      </c>
      <c r="E5" s="51"/>
      <c r="F5" s="51"/>
      <c r="G5" s="51"/>
      <c r="H5" s="51" t="s">
        <v>318</v>
      </c>
      <c r="I5" s="51"/>
      <c r="J5" s="51"/>
      <c r="K5" s="51"/>
      <c r="L5" s="51" t="s">
        <v>319</v>
      </c>
      <c r="M5" s="51"/>
      <c r="N5" s="52"/>
    </row>
    <row r="6" spans="2:16" x14ac:dyDescent="0.3">
      <c r="B6" s="53"/>
      <c r="D6" t="s">
        <v>290</v>
      </c>
      <c r="E6" t="s">
        <v>315</v>
      </c>
      <c r="F6" t="s">
        <v>316</v>
      </c>
      <c r="H6" t="s">
        <v>290</v>
      </c>
      <c r="I6" t="s">
        <v>315</v>
      </c>
      <c r="J6" t="s">
        <v>316</v>
      </c>
      <c r="L6" t="s">
        <v>290</v>
      </c>
      <c r="N6" s="54"/>
    </row>
    <row r="7" spans="2:16" x14ac:dyDescent="0.3">
      <c r="B7" s="55" t="s">
        <v>313</v>
      </c>
      <c r="D7">
        <v>555</v>
      </c>
      <c r="E7">
        <v>44</v>
      </c>
      <c r="F7">
        <v>522</v>
      </c>
      <c r="H7" s="48">
        <f>SUMPRODUCT(I7:J7,E7:F7)/SUM(E7:F7)</f>
        <v>0.35197879858657244</v>
      </c>
      <c r="I7">
        <v>0.85</v>
      </c>
      <c r="J7">
        <v>0.31</v>
      </c>
      <c r="L7">
        <v>10.6</v>
      </c>
      <c r="N7" s="54"/>
    </row>
    <row r="8" spans="2:16" x14ac:dyDescent="0.3">
      <c r="B8" s="56" t="s">
        <v>314</v>
      </c>
      <c r="C8" s="57"/>
      <c r="D8" s="57">
        <v>366</v>
      </c>
      <c r="E8" s="57">
        <v>93</v>
      </c>
      <c r="F8" s="57">
        <v>274</v>
      </c>
      <c r="G8" s="57"/>
      <c r="H8" s="58">
        <f>SUMPRODUCT(I8:J8,E8:F8)/SUM(E8:F8)</f>
        <v>0.29362397820163488</v>
      </c>
      <c r="I8" s="57">
        <v>0.54</v>
      </c>
      <c r="J8" s="57">
        <v>0.21</v>
      </c>
      <c r="K8" s="57"/>
      <c r="L8" s="57">
        <v>9.8000000000000007</v>
      </c>
      <c r="M8" s="57"/>
      <c r="N8" s="59"/>
    </row>
    <row r="10" spans="2:16" x14ac:dyDescent="0.3">
      <c r="D10" t="s">
        <v>322</v>
      </c>
      <c r="H10" t="s">
        <v>320</v>
      </c>
      <c r="L10" t="s">
        <v>323</v>
      </c>
    </row>
    <row r="11" spans="2:16" x14ac:dyDescent="0.3">
      <c r="B11" t="s">
        <v>313</v>
      </c>
      <c r="D11" s="49">
        <f>D7*100</f>
        <v>55500</v>
      </c>
      <c r="E11" s="49">
        <f t="shared" ref="D11:F12" si="0">E7*100</f>
        <v>4400</v>
      </c>
      <c r="F11" s="49">
        <f t="shared" si="0"/>
        <v>52200</v>
      </c>
      <c r="H11" s="41">
        <f>H7*10000/1000</f>
        <v>3.5197879858657242</v>
      </c>
      <c r="I11">
        <f t="shared" ref="H11:J12" si="1">I7*10000/1000</f>
        <v>8.5</v>
      </c>
      <c r="J11">
        <f t="shared" si="1"/>
        <v>3.1</v>
      </c>
      <c r="L11" s="48">
        <f>H11*$L7/100</f>
        <v>0.37309752650176675</v>
      </c>
      <c r="M11" s="48">
        <f>I11*$L7/100</f>
        <v>0.90099999999999991</v>
      </c>
      <c r="N11" s="48">
        <f>J11*$L7/100</f>
        <v>0.3286</v>
      </c>
      <c r="O11" s="44"/>
    </row>
    <row r="12" spans="2:16" x14ac:dyDescent="0.3">
      <c r="B12" t="s">
        <v>314</v>
      </c>
      <c r="D12" s="49">
        <f t="shared" si="0"/>
        <v>36600</v>
      </c>
      <c r="E12" s="49">
        <f t="shared" si="0"/>
        <v>9300</v>
      </c>
      <c r="F12" s="49">
        <f t="shared" si="0"/>
        <v>27400</v>
      </c>
      <c r="H12" s="41">
        <f t="shared" si="1"/>
        <v>2.9362397820163486</v>
      </c>
      <c r="I12">
        <f t="shared" si="1"/>
        <v>5.4</v>
      </c>
      <c r="J12">
        <f t="shared" si="1"/>
        <v>2.1</v>
      </c>
      <c r="L12" s="48">
        <f t="shared" ref="L12:N12" si="2">H12*$L8/100</f>
        <v>0.28775149863760219</v>
      </c>
      <c r="M12" s="48">
        <f t="shared" si="2"/>
        <v>0.52920000000000011</v>
      </c>
      <c r="N12" s="48">
        <f t="shared" si="2"/>
        <v>0.20580000000000001</v>
      </c>
    </row>
    <row r="13" spans="2:16" x14ac:dyDescent="0.3">
      <c r="L13" s="48"/>
    </row>
    <row r="14" spans="2:16" x14ac:dyDescent="0.3">
      <c r="B14" t="s">
        <v>321</v>
      </c>
      <c r="D14" s="49">
        <v>60121.796666666676</v>
      </c>
      <c r="H14">
        <v>4.43</v>
      </c>
      <c r="L14" s="48">
        <f>H14*$L7/100</f>
        <v>0.46958</v>
      </c>
    </row>
    <row r="15" spans="2:16" x14ac:dyDescent="0.3">
      <c r="L15" s="48"/>
    </row>
    <row r="16" spans="2:16" x14ac:dyDescent="0.3">
      <c r="B16" t="s">
        <v>325</v>
      </c>
    </row>
    <row r="17" spans="2:12" x14ac:dyDescent="0.3">
      <c r="B17" t="s">
        <v>326</v>
      </c>
    </row>
    <row r="23" spans="2:12" x14ac:dyDescent="0.3">
      <c r="I23" s="42">
        <f>(E11*I11+F11*J11)*1000/1000000</f>
        <v>199.22</v>
      </c>
      <c r="J23" t="s">
        <v>336</v>
      </c>
      <c r="L23">
        <f>(E11*M11+F11*N11)*1000/1000000</f>
        <v>21.117319999999999</v>
      </c>
    </row>
    <row r="24" spans="2:12" x14ac:dyDescent="0.3">
      <c r="I24" s="42">
        <f>(E12*I12+F12*J12)*1000/1000000</f>
        <v>107.76</v>
      </c>
      <c r="J24" t="s">
        <v>336</v>
      </c>
      <c r="L24">
        <f>(E12*M12+F12*N12)*1000/1000000</f>
        <v>10.560480000000002</v>
      </c>
    </row>
  </sheetData>
  <hyperlinks>
    <hyperlink ref="B3" r:id="rId1" xr:uid="{00000000-0004-0000-0400-000000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C2"/>
  <sheetViews>
    <sheetView workbookViewId="0">
      <selection activeCell="CC2" sqref="BS1:CC2"/>
    </sheetView>
  </sheetViews>
  <sheetFormatPr defaultRowHeight="14.4" x14ac:dyDescent="0.3"/>
  <sheetData>
    <row r="1" spans="1:81" x14ac:dyDescent="0.3">
      <c r="A1" t="str">
        <f>'Main table'!C2</f>
        <v>Soft wheat</v>
      </c>
      <c r="B1" t="str">
        <f>'Main table'!D2</f>
        <v>Durum wheat</v>
      </c>
      <c r="C1" t="str">
        <f>'Main table'!E2</f>
        <v>Rye and meslin</v>
      </c>
      <c r="D1" t="str">
        <f>'Main table'!F2</f>
        <v>Barley</v>
      </c>
      <c r="E1" t="str">
        <f>'Main table'!G2</f>
        <v>Oats</v>
      </c>
      <c r="F1" t="str">
        <f>'Main table'!H2</f>
        <v>Grain maize</v>
      </c>
      <c r="G1" t="str">
        <f>'Main table'!I2</f>
        <v>Other cereals</v>
      </c>
      <c r="H1" t="str">
        <f>'Main table'!J2</f>
        <v>Paddy rice</v>
      </c>
      <c r="I1" t="str">
        <f>'Main table'!K2</f>
        <v>Rice milled</v>
      </c>
      <c r="J1" t="str">
        <f>'Main table'!L2</f>
        <v>Field peas</v>
      </c>
      <c r="K1" t="str">
        <f>'Main table'!M2</f>
        <v>Broad beans</v>
      </c>
      <c r="L1" t="str">
        <f>'Main table'!N2</f>
        <v>Lupins</v>
      </c>
      <c r="M1" t="str">
        <f>'Main table'!O2</f>
        <v>Rape seed oil</v>
      </c>
      <c r="N1" t="str">
        <f>'Main table'!P2</f>
        <v>Sunflower seed oil</v>
      </c>
      <c r="O1" t="str">
        <f>'Main table'!Q2</f>
        <v>Soya oil</v>
      </c>
      <c r="P1" t="str">
        <f>'Main table'!R2</f>
        <v>Olive oil</v>
      </c>
      <c r="Q1" t="str">
        <f>'Main table'!S2</f>
        <v>Other oil</v>
      </c>
      <c r="R1" t="str">
        <f>'Main table'!T2</f>
        <v>Rape seed cake</v>
      </c>
      <c r="S1" t="str">
        <f>'Main table'!U2</f>
        <v>Sunflowe seed cake</v>
      </c>
      <c r="T1" t="str">
        <f>'Main table'!V2</f>
        <v>Soya cake</v>
      </c>
      <c r="U1" t="str">
        <f>'Main table'!W2</f>
        <v>Olive cakes</v>
      </c>
      <c r="V1" t="str">
        <f>'Main table'!X2</f>
        <v>Destilled dried grains from bio-ethanol processing</v>
      </c>
      <c r="W1" t="str">
        <f>'Main table'!Y2</f>
        <v>Wheat bran</v>
      </c>
      <c r="X1" t="str">
        <f>'Main table'!Z2</f>
        <v>Wheat gluten feed</v>
      </c>
      <c r="Y1" t="str">
        <f>'Main table'!AA2</f>
        <v>Corn gluten meal</v>
      </c>
      <c r="Z1" t="str">
        <f>'Main table'!AB2</f>
        <v>Corn gluten feed</v>
      </c>
      <c r="AA1" t="str">
        <f>'Main table'!AC2</f>
        <v>Corn germ meal</v>
      </c>
      <c r="AB1" t="str">
        <f>'Main table'!AD2</f>
        <v>Wheat distillers grains</v>
      </c>
      <c r="AC1" t="str">
        <f>'Main table'!AE2</f>
        <v>Corn distillers grains</v>
      </c>
      <c r="AD1" t="str">
        <f>'Main table'!AF2</f>
        <v>Saltwater fish</v>
      </c>
      <c r="AE1" t="str">
        <f>'Main table'!AG2</f>
        <v>Fresh water fish</v>
      </c>
      <c r="AF1" t="str">
        <f>'Main table'!AH2</f>
        <v>Fish and other acquatic products</v>
      </c>
      <c r="AG1" t="str">
        <f>'Main table'!AI2</f>
        <v>Molasse</v>
      </c>
      <c r="AH1" t="str">
        <f>'Main table'!AJ2</f>
        <v>Starch</v>
      </c>
      <c r="AI1" t="str">
        <f>'Main table'!AK2</f>
        <v>Energy rich by products</v>
      </c>
      <c r="AJ1" t="str">
        <f>'Main table'!AL2</f>
        <v>Skimmed milk powder</v>
      </c>
      <c r="AK1" t="str">
        <f>'Main table'!AM2</f>
        <v>Whole milk powder</v>
      </c>
      <c r="AL1" t="str">
        <f>'Main table'!AN2</f>
        <v>Casein</v>
      </c>
      <c r="AM1" t="str">
        <f>'Main table'!AO2</f>
        <v>Whey powder</v>
      </c>
      <c r="AN1" t="str">
        <f>'Main table'!AP2</f>
        <v>Butter</v>
      </c>
      <c r="AO1" t="str">
        <f>'Main table'!AQ2</f>
        <v>Cream</v>
      </c>
      <c r="AP1" t="str">
        <f>'Main table'!AR2</f>
        <v>Concentrated milk</v>
      </c>
      <c r="AQ1" t="str">
        <f>'Main table'!AS2</f>
        <v>Cheese</v>
      </c>
      <c r="AR1" t="str">
        <f>'Main table'!AT2</f>
        <v>Fresh milk products</v>
      </c>
      <c r="AS1" t="str">
        <f>'Main table'!AU2</f>
        <v>Potatoes</v>
      </c>
      <c r="AT1" t="str">
        <f>'Main table'!AV2</f>
        <v>Rape seed</v>
      </c>
      <c r="AU1" t="str">
        <f>'Main table'!AW2</f>
        <v>Sunflower seed</v>
      </c>
      <c r="AV1" t="str">
        <f>'Main table'!AX2</f>
        <v>Soya seed</v>
      </c>
      <c r="AW1" t="str">
        <f>'Main table'!AY2</f>
        <v>Olive oil</v>
      </c>
      <c r="AX1" t="str">
        <f>'Main table'!AZ2</f>
        <v>Other oil</v>
      </c>
      <c r="AY1" t="str">
        <f>'Main table'!BA2</f>
        <v>Flax and hemp</v>
      </c>
      <c r="AZ1" t="str">
        <f>'Main table'!BB2</f>
        <v>Tomatoes</v>
      </c>
      <c r="BA1" t="str">
        <f>'Main table'!BC2</f>
        <v>Other vegetables</v>
      </c>
      <c r="BB1" t="str">
        <f>'Main table'!BD2</f>
        <v>Apples  pears and peaches</v>
      </c>
      <c r="BC1" t="str">
        <f>'Main table'!BE2</f>
        <v>Other fruits</v>
      </c>
      <c r="BD1" t="str">
        <f>'Main table'!BF2</f>
        <v>Citrus fruits</v>
      </c>
      <c r="BE1" t="str">
        <f>'Main table'!BG2</f>
        <v>Table grapes</v>
      </c>
      <c r="BF1" t="str">
        <f>'Main table'!BH2</f>
        <v>Table olives</v>
      </c>
      <c r="BG1" t="str">
        <f>'Main table'!BI2</f>
        <v>Wine</v>
      </c>
      <c r="BH1" t="str">
        <f>'Main table'!BJ2</f>
        <v>Sugar</v>
      </c>
      <c r="BI1" t="str">
        <f>'Main table'!BK2</f>
        <v>Eggs</v>
      </c>
      <c r="BJ1" t="str">
        <f>'Main table'!BL2</f>
        <v>Pork meat</v>
      </c>
      <c r="BK1" t="str">
        <f>'Main table'!BM2</f>
        <v>Beef</v>
      </c>
      <c r="BL1" t="str">
        <f>'Main table'!BN2</f>
        <v>Gras</v>
      </c>
      <c r="BM1" t="str">
        <f>'Main table'!BO2</f>
        <v>Fodder maize</v>
      </c>
      <c r="BN1" t="str">
        <f>'Main table'!BP2</f>
        <v>Fodder other on arable land</v>
      </c>
      <c r="BO1" t="str">
        <f>'Main table'!BQ2</f>
        <v>Fodder root crops</v>
      </c>
      <c r="BP1" t="str">
        <f>'Main table'!BR2</f>
        <v>Straw</v>
      </c>
      <c r="BQ1" t="str">
        <f>'Main table'!BS2</f>
        <v>Milk for feeding</v>
      </c>
      <c r="BR1" t="str">
        <f>'Main table'!BT2</f>
        <v>Sheep and Goat Milk for feeding</v>
      </c>
    </row>
    <row r="2" spans="1:81" x14ac:dyDescent="0.3">
      <c r="A2" s="64">
        <f>'Main table'!C7/100</f>
        <v>0.86</v>
      </c>
      <c r="B2" s="64">
        <f>'Main table'!D7/100</f>
        <v>0.86</v>
      </c>
      <c r="C2" s="64">
        <f>'Main table'!E7/100</f>
        <v>0.86</v>
      </c>
      <c r="D2" s="64">
        <f>'Main table'!F7/100</f>
        <v>0.86</v>
      </c>
      <c r="E2" s="64">
        <f>'Main table'!G7/100</f>
        <v>0.86</v>
      </c>
      <c r="F2" s="64">
        <f>'Main table'!H7/100</f>
        <v>0.86</v>
      </c>
      <c r="G2" s="64">
        <f>'Main table'!I7/100</f>
        <v>0.86</v>
      </c>
      <c r="H2" s="64">
        <f>'Main table'!J7/100</f>
        <v>0</v>
      </c>
      <c r="I2" s="64">
        <f>'Main table'!K7/100</f>
        <v>0.87</v>
      </c>
      <c r="J2" s="64">
        <f>'Main table'!L7/100</f>
        <v>0.86</v>
      </c>
      <c r="K2" s="64">
        <f>'Main table'!M7/100</f>
        <v>0.86</v>
      </c>
      <c r="L2" s="64">
        <f>'Main table'!N7/100</f>
        <v>0.86</v>
      </c>
      <c r="M2" s="64">
        <f>'Main table'!O7/100</f>
        <v>1</v>
      </c>
      <c r="N2" s="64">
        <f>'Main table'!P7/100</f>
        <v>1</v>
      </c>
      <c r="O2" s="64">
        <f>'Main table'!Q7/100</f>
        <v>1</v>
      </c>
      <c r="P2" s="64">
        <f>'Main table'!R7/100</f>
        <v>0</v>
      </c>
      <c r="Q2" s="64">
        <f>'Main table'!S7/100</f>
        <v>1</v>
      </c>
      <c r="R2" s="64">
        <f>'Main table'!T7/100</f>
        <v>0.88800000000000001</v>
      </c>
      <c r="S2" s="64">
        <f>'Main table'!U7/100</f>
        <v>0.89</v>
      </c>
      <c r="T2" s="64">
        <f>'Main table'!V7/100</f>
        <v>0.879</v>
      </c>
      <c r="U2" s="64">
        <f>'Main table'!W7/100</f>
        <v>0</v>
      </c>
      <c r="V2" s="64">
        <f>'Main table'!X7/100</f>
        <v>0.90599999999999992</v>
      </c>
      <c r="W2" s="64">
        <f>'Main table'!Y7/100</f>
        <v>0.87</v>
      </c>
      <c r="X2" s="64">
        <f>'Main table'!Z7/100</f>
        <v>0.93799999999999994</v>
      </c>
      <c r="Y2" s="64">
        <f>'Main table'!AA7/100</f>
        <v>0.9</v>
      </c>
      <c r="Z2" s="64">
        <f>'Main table'!AB7/100</f>
        <v>0.88300000000000001</v>
      </c>
      <c r="AA2" s="64">
        <f>'Main table'!AC7/100</f>
        <v>0.95599999999999996</v>
      </c>
      <c r="AB2" s="64">
        <f>'Main table'!AD7/100</f>
        <v>0.90599999999999992</v>
      </c>
      <c r="AC2" s="64">
        <f>'Main table'!AE7/100</f>
        <v>0.89</v>
      </c>
      <c r="AD2" s="64">
        <f>'Main table'!AF7/100</f>
        <v>0</v>
      </c>
      <c r="AE2" s="64">
        <f>'Main table'!AG7/100</f>
        <v>0</v>
      </c>
      <c r="AF2" s="64">
        <f>'Main table'!AH7/100</f>
        <v>0</v>
      </c>
      <c r="AG2" s="64">
        <f>'Main table'!AI7/100</f>
        <v>0</v>
      </c>
      <c r="AH2" s="64">
        <f>'Main table'!AJ7/100</f>
        <v>0</v>
      </c>
      <c r="AI2" s="64">
        <f>'Main table'!AK7/100</f>
        <v>0.75700000000000001</v>
      </c>
      <c r="AJ2" s="64">
        <f>'Main table'!AL7/100</f>
        <v>0.94799999999999995</v>
      </c>
      <c r="AK2" s="64">
        <f>'Main table'!AM7/100</f>
        <v>0.96</v>
      </c>
      <c r="AL2" s="64">
        <f>'Main table'!AN7/100</f>
        <v>0.97</v>
      </c>
      <c r="AM2" s="64">
        <f>'Main table'!AO7/100</f>
        <v>0.97</v>
      </c>
      <c r="AN2" s="64">
        <f>'Main table'!AP7/100</f>
        <v>0</v>
      </c>
      <c r="AO2" s="64">
        <f>'Main table'!AQ7/100</f>
        <v>0</v>
      </c>
      <c r="AP2" s="64">
        <f>'Main table'!AR7/100</f>
        <v>0.25</v>
      </c>
      <c r="AQ2" s="64">
        <f>'Main table'!AS7/100</f>
        <v>0.64</v>
      </c>
      <c r="AR2" s="64">
        <f>'Main table'!AT7/100</f>
        <v>0.13</v>
      </c>
      <c r="AS2" s="64">
        <f>'Main table'!AU7/100</f>
        <v>0.20600000000000002</v>
      </c>
      <c r="AT2" s="64">
        <f>'Main table'!AV7/100</f>
        <v>0.91</v>
      </c>
      <c r="AU2" s="64">
        <f>'Main table'!AW7/100</f>
        <v>0.91</v>
      </c>
      <c r="AV2" s="64">
        <f>'Main table'!AX7/100</f>
        <v>0.86</v>
      </c>
      <c r="AW2" s="64">
        <f>'Main table'!AY7/100</f>
        <v>0</v>
      </c>
      <c r="AX2" s="64">
        <f>'Main table'!AZ7/100</f>
        <v>0</v>
      </c>
      <c r="AY2" s="64">
        <f>'Main table'!BA7/100</f>
        <v>0</v>
      </c>
      <c r="AZ2" s="64">
        <f>'Main table'!BB7/100</f>
        <v>7.2999999999999995E-2</v>
      </c>
      <c r="BA2" s="64">
        <f>'Main table'!BC7/100</f>
        <v>7.2999999999999995E-2</v>
      </c>
      <c r="BB2" s="64">
        <f>'Main table'!BD7/100</f>
        <v>0.14000000000000001</v>
      </c>
      <c r="BC2" s="64">
        <f>'Main table'!BE7/100</f>
        <v>0.14000000000000001</v>
      </c>
      <c r="BD2" s="64">
        <f>'Main table'!BF7/100</f>
        <v>0.14000000000000001</v>
      </c>
      <c r="BE2" s="64">
        <f>'Main table'!BG7/100</f>
        <v>0</v>
      </c>
      <c r="BF2" s="64">
        <f>'Main table'!BH7/100</f>
        <v>0</v>
      </c>
      <c r="BG2" s="64">
        <f>'Main table'!BI7/100</f>
        <v>0</v>
      </c>
      <c r="BH2" s="64">
        <f>'Main table'!BJ7/100</f>
        <v>1</v>
      </c>
      <c r="BI2" s="64">
        <f>'Main table'!BK7/100</f>
        <v>0.23849999999999993</v>
      </c>
      <c r="BJ2" s="64">
        <f>'Main table'!BL7/100</f>
        <v>0</v>
      </c>
      <c r="BK2" s="64">
        <f>'Main table'!BM7/100</f>
        <v>0</v>
      </c>
      <c r="BL2" s="64">
        <f>'Main table'!BN7/100</f>
        <v>0.35</v>
      </c>
      <c r="BM2" s="64">
        <f>'Main table'!BO7/100</f>
        <v>0.35</v>
      </c>
      <c r="BN2" s="64">
        <f>'Main table'!BP7/100</f>
        <v>0.35</v>
      </c>
      <c r="BO2" s="64">
        <f>'Main table'!BQ7/100</f>
        <v>0.16300000000000001</v>
      </c>
      <c r="BP2" s="64">
        <f>'Main table'!BR7/100</f>
        <v>0.91</v>
      </c>
      <c r="BQ2" s="64">
        <f>'Main table'!BS7/100</f>
        <v>0.13</v>
      </c>
      <c r="BR2" s="64">
        <f>'Main table'!BT7/100</f>
        <v>0.13</v>
      </c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U38"/>
  <sheetViews>
    <sheetView workbookViewId="0">
      <selection activeCell="U2" sqref="U2"/>
    </sheetView>
  </sheetViews>
  <sheetFormatPr defaultRowHeight="14.4" x14ac:dyDescent="0.3"/>
  <cols>
    <col min="1" max="1" width="27.44140625" bestFit="1" customWidth="1"/>
    <col min="2" max="2" width="15.44140625" bestFit="1" customWidth="1"/>
    <col min="3" max="3" width="16.5546875" customWidth="1"/>
    <col min="4" max="4" width="5.5546875" style="5" customWidth="1"/>
    <col min="5" max="5" width="5.88671875" style="5" customWidth="1"/>
    <col min="6" max="6" width="5.6640625" style="5" customWidth="1"/>
    <col min="7" max="8" width="5.33203125" style="5" customWidth="1"/>
    <col min="9" max="9" width="5.6640625" style="5" customWidth="1"/>
    <col min="10" max="10" width="5.5546875" style="5" customWidth="1"/>
    <col min="11" max="11" width="5.33203125" style="5" customWidth="1"/>
    <col min="12" max="12" width="6.109375" style="5" customWidth="1"/>
    <col min="13" max="13" width="6" style="5" customWidth="1"/>
    <col min="14" max="14" width="5.6640625" style="5" customWidth="1"/>
    <col min="15" max="15" width="5.88671875" style="5" customWidth="1"/>
    <col min="16" max="17" width="5.6640625" style="5" customWidth="1"/>
    <col min="18" max="18" width="5.5546875" style="5" customWidth="1"/>
    <col min="19" max="19" width="5.33203125" style="5" customWidth="1"/>
    <col min="20" max="21" width="6" style="5" customWidth="1"/>
    <col min="22" max="23" width="5.88671875" style="5" customWidth="1"/>
    <col min="24" max="24" width="5.33203125" style="5" customWidth="1"/>
    <col min="25" max="25" width="5.6640625" style="5" customWidth="1"/>
    <col min="26" max="26" width="5.5546875" style="5" customWidth="1"/>
    <col min="27" max="27" width="5.6640625" style="5" customWidth="1"/>
    <col min="28" max="28" width="5.88671875" style="5" customWidth="1"/>
    <col min="29" max="29" width="6" style="5" customWidth="1"/>
    <col min="30" max="30" width="5.5546875" style="5" customWidth="1"/>
    <col min="31" max="31" width="6.109375" style="5" customWidth="1"/>
    <col min="32" max="32" width="6.44140625" style="5" customWidth="1"/>
    <col min="33" max="36" width="5.33203125" style="5" customWidth="1"/>
    <col min="37" max="37" width="5.44140625" style="5" customWidth="1"/>
    <col min="38" max="38" width="5.5546875" style="5" customWidth="1"/>
    <col min="39" max="39" width="5.88671875" style="5" customWidth="1"/>
    <col min="40" max="40" width="6.109375" style="5" customWidth="1"/>
    <col min="41" max="41" width="6" style="5" customWidth="1"/>
    <col min="42" max="42" width="6.44140625" style="5" customWidth="1"/>
    <col min="43" max="45" width="5.33203125" style="5" customWidth="1"/>
    <col min="46" max="46" width="5.6640625" style="5" customWidth="1"/>
    <col min="47" max="48" width="5.33203125" style="5" customWidth="1"/>
    <col min="49" max="49" width="9.109375" style="5" customWidth="1"/>
    <col min="50" max="50" width="5.88671875" style="5" customWidth="1"/>
    <col min="51" max="51" width="5.44140625" style="5" customWidth="1"/>
    <col min="52" max="62" width="5.33203125" style="5" customWidth="1"/>
    <col min="63" max="63" width="5.44140625" style="5" customWidth="1"/>
    <col min="64" max="64" width="5.88671875" style="5" customWidth="1"/>
    <col min="65" max="68" width="5.33203125" style="5" customWidth="1"/>
    <col min="69" max="69" width="5.5546875" style="5" customWidth="1"/>
    <col min="70" max="73" width="5.33203125" style="5" customWidth="1"/>
  </cols>
  <sheetData>
    <row r="1" spans="1:73" x14ac:dyDescent="0.3">
      <c r="A1" t="s">
        <v>263</v>
      </c>
      <c r="B1" t="s">
        <v>237</v>
      </c>
      <c r="C1" t="s">
        <v>238</v>
      </c>
      <c r="D1" t="str">
        <f>'Main table'!C2</f>
        <v>Soft wheat</v>
      </c>
      <c r="E1" t="str">
        <f>'Main table'!D2</f>
        <v>Durum wheat</v>
      </c>
      <c r="F1" t="str">
        <f>'Main table'!E2</f>
        <v>Rye and meslin</v>
      </c>
      <c r="G1" t="str">
        <f>'Main table'!F2</f>
        <v>Barley</v>
      </c>
      <c r="H1" t="str">
        <f>'Main table'!G2</f>
        <v>Oats</v>
      </c>
      <c r="I1" t="str">
        <f>'Main table'!H2</f>
        <v>Grain maize</v>
      </c>
      <c r="J1" t="str">
        <f>'Main table'!I2</f>
        <v>Other cereals</v>
      </c>
      <c r="K1" t="str">
        <f>'Main table'!J2</f>
        <v>Paddy rice</v>
      </c>
      <c r="L1" t="str">
        <f>'Main table'!K2</f>
        <v>Rice milled</v>
      </c>
      <c r="M1" t="str">
        <f>'Main table'!L2</f>
        <v>Field peas</v>
      </c>
      <c r="N1" t="str">
        <f>'Main table'!M2</f>
        <v>Broad beans</v>
      </c>
      <c r="O1" t="str">
        <f>'Main table'!N2</f>
        <v>Lupins</v>
      </c>
      <c r="P1" t="str">
        <f>'Main table'!O2</f>
        <v>Rape seed oil</v>
      </c>
      <c r="Q1" t="str">
        <f>'Main table'!P2</f>
        <v>Sunflower seed oil</v>
      </c>
      <c r="R1" t="str">
        <f>'Main table'!Q2</f>
        <v>Soya oil</v>
      </c>
      <c r="S1" t="str">
        <f>'Main table'!R2</f>
        <v>Olive oil</v>
      </c>
      <c r="T1" t="str">
        <f>'Main table'!S2</f>
        <v>Other oil</v>
      </c>
      <c r="U1" t="str">
        <f>'Main table'!T2</f>
        <v>Rape seed cake</v>
      </c>
      <c r="V1" t="str">
        <f>'Main table'!U2</f>
        <v>Sunflowe seed cake</v>
      </c>
      <c r="W1" t="str">
        <f>'Main table'!V2</f>
        <v>Soya cake</v>
      </c>
      <c r="X1" t="str">
        <f>'Main table'!W2</f>
        <v>Olive cakes</v>
      </c>
      <c r="Y1" t="str">
        <f>'Main table'!X2</f>
        <v>Destilled dried grains from bio-ethanol processing</v>
      </c>
      <c r="Z1" t="str">
        <f>'Main table'!Y2</f>
        <v>Wheat bran</v>
      </c>
      <c r="AA1" t="str">
        <f>'Main table'!Z2</f>
        <v>Wheat gluten feed</v>
      </c>
      <c r="AB1" t="str">
        <f>'Main table'!AA2</f>
        <v>Corn gluten meal</v>
      </c>
      <c r="AC1" t="str">
        <f>'Main table'!AB2</f>
        <v>Corn gluten feed</v>
      </c>
      <c r="AD1" t="str">
        <f>'Main table'!AC2</f>
        <v>Corn germ meal</v>
      </c>
      <c r="AE1" t="str">
        <f>'Main table'!AD2</f>
        <v>Wheat distillers grains</v>
      </c>
      <c r="AF1" t="str">
        <f>'Main table'!AE2</f>
        <v>Corn distillers grains</v>
      </c>
      <c r="AG1" t="str">
        <f>'Main table'!AF2</f>
        <v>Saltwater fish</v>
      </c>
      <c r="AH1" t="str">
        <f>'Main table'!AG2</f>
        <v>Fresh water fish</v>
      </c>
      <c r="AI1" t="str">
        <f>'Main table'!AH2</f>
        <v>Fish and other acquatic products</v>
      </c>
      <c r="AJ1" t="str">
        <f>'Main table'!AI2</f>
        <v>Molasse</v>
      </c>
      <c r="AK1" t="str">
        <f>'Main table'!AJ2</f>
        <v>Starch</v>
      </c>
      <c r="AL1" t="str">
        <f>'Main table'!AK2</f>
        <v>Energy rich by products</v>
      </c>
      <c r="AM1" t="str">
        <f>'Main table'!AL2</f>
        <v>Skimmed milk powder</v>
      </c>
      <c r="AN1" t="str">
        <f>'Main table'!AM2</f>
        <v>Whole milk powder</v>
      </c>
      <c r="AO1" t="str">
        <f>'Main table'!AN2</f>
        <v>Casein</v>
      </c>
      <c r="AP1" t="str">
        <f>'Main table'!AO2</f>
        <v>Whey powder</v>
      </c>
      <c r="AQ1" t="str">
        <f>'Main table'!AP2</f>
        <v>Butter</v>
      </c>
      <c r="AR1" t="str">
        <f>'Main table'!AQ2</f>
        <v>Cream</v>
      </c>
      <c r="AS1" t="str">
        <f>'Main table'!AR2</f>
        <v>Concentrated milk</v>
      </c>
      <c r="AT1" t="str">
        <f>'Main table'!AS2</f>
        <v>Cheese</v>
      </c>
      <c r="AU1" t="str">
        <f>'Main table'!AT2</f>
        <v>Fresh milk products</v>
      </c>
      <c r="AV1" t="str">
        <f>'Main table'!AU2</f>
        <v>Potatoes</v>
      </c>
      <c r="AW1" t="str">
        <f>'Main table'!AV2</f>
        <v>Rape seed</v>
      </c>
      <c r="AX1" t="str">
        <f>'Main table'!AW2</f>
        <v>Sunflower seed</v>
      </c>
      <c r="AY1" t="str">
        <f>'Main table'!AX2</f>
        <v>Soya seed</v>
      </c>
      <c r="AZ1" t="str">
        <f>'Main table'!AY2</f>
        <v>Olive oil</v>
      </c>
      <c r="BA1" t="str">
        <f>'Main table'!AZ2</f>
        <v>Other oil</v>
      </c>
      <c r="BB1" t="str">
        <f>'Main table'!BA2</f>
        <v>Flax and hemp</v>
      </c>
      <c r="BC1" t="str">
        <f>'Main table'!BB2</f>
        <v>Tomatoes</v>
      </c>
      <c r="BD1" t="str">
        <f>'Main table'!BC2</f>
        <v>Other vegetables</v>
      </c>
      <c r="BE1" t="str">
        <f>'Main table'!BD2</f>
        <v>Apples  pears and peaches</v>
      </c>
      <c r="BF1" t="str">
        <f>'Main table'!BE2</f>
        <v>Other fruits</v>
      </c>
      <c r="BG1" t="str">
        <f>'Main table'!BF2</f>
        <v>Citrus fruits</v>
      </c>
      <c r="BH1" t="str">
        <f>'Main table'!BG2</f>
        <v>Table grapes</v>
      </c>
      <c r="BI1" t="str">
        <f>'Main table'!BH2</f>
        <v>Table olives</v>
      </c>
      <c r="BJ1" t="str">
        <f>'Main table'!BI2</f>
        <v>Wine</v>
      </c>
      <c r="BK1" t="str">
        <f>'Main table'!BJ2</f>
        <v>Sugar</v>
      </c>
      <c r="BL1" t="str">
        <f>'Main table'!BK2</f>
        <v>Eggs</v>
      </c>
      <c r="BM1" t="str">
        <f>'Main table'!BL2</f>
        <v>Pork meat</v>
      </c>
      <c r="BN1" t="str">
        <f>'Main table'!BM2</f>
        <v>Beef</v>
      </c>
      <c r="BO1" t="str">
        <f>'Main table'!BN2</f>
        <v>Gras</v>
      </c>
      <c r="BP1" t="str">
        <f>'Main table'!BO2</f>
        <v>Fodder maize</v>
      </c>
      <c r="BQ1" t="str">
        <f>'Main table'!BP2</f>
        <v>Fodder other on arable land</v>
      </c>
      <c r="BR1" t="str">
        <f>'Main table'!BQ2</f>
        <v>Fodder root crops</v>
      </c>
      <c r="BS1" t="str">
        <f>'Main table'!BR2</f>
        <v>Straw</v>
      </c>
      <c r="BT1" t="str">
        <f>'Main table'!BS2</f>
        <v>Milk for feeding</v>
      </c>
      <c r="BU1" t="str">
        <f>'Main table'!BT2</f>
        <v>Sheep and Goat Milk for feeding</v>
      </c>
    </row>
    <row r="2" spans="1:73" x14ac:dyDescent="0.3">
      <c r="A2" s="62" t="s">
        <v>258</v>
      </c>
      <c r="B2" t="s">
        <v>329</v>
      </c>
      <c r="C2">
        <v>-1</v>
      </c>
      <c r="D2" s="67">
        <f>1-'Main table'!C$43/100</f>
        <v>0.93099999999999994</v>
      </c>
      <c r="E2" s="67">
        <f>1-'Main table'!D$43/100</f>
        <v>0.93099999999999994</v>
      </c>
      <c r="F2" s="67">
        <f>1-'Main table'!E$43/100</f>
        <v>0.93099999999999994</v>
      </c>
      <c r="G2" s="67">
        <f>1-'Main table'!F$43/100</f>
        <v>0.93099999999999994</v>
      </c>
      <c r="H2" s="67">
        <f>1-'Main table'!G$43/100</f>
        <v>0.93099999999999994</v>
      </c>
      <c r="I2" s="67">
        <f>1-'Main table'!H$43/100</f>
        <v>0.93099999999999994</v>
      </c>
      <c r="J2" s="67">
        <f>1-'Main table'!I$43/100</f>
        <v>0.93099999999999994</v>
      </c>
      <c r="K2" s="67">
        <f>1-'Main table'!J$43/100</f>
        <v>1</v>
      </c>
      <c r="L2" s="67">
        <f>1-'Main table'!K$43/100</f>
        <v>0.93099999999999994</v>
      </c>
      <c r="M2" s="67">
        <f>1-'Main table'!L$43/100</f>
        <v>0.93099999999999994</v>
      </c>
      <c r="N2" s="67">
        <f>1-'Main table'!M$43/100</f>
        <v>0.93099999999999994</v>
      </c>
      <c r="O2" s="67">
        <f>1-'Main table'!N$43/100</f>
        <v>0.93099999999999994</v>
      </c>
      <c r="P2" s="67">
        <f>1-'Main table'!O$43/100</f>
        <v>1</v>
      </c>
      <c r="Q2" s="67">
        <f>1-'Main table'!P$43/100</f>
        <v>1</v>
      </c>
      <c r="R2" s="67">
        <f>1-'Main table'!Q$43/100</f>
        <v>1</v>
      </c>
      <c r="S2" s="67">
        <f>1-'Main table'!R$43/100</f>
        <v>1</v>
      </c>
      <c r="T2" s="67">
        <f>1-'Main table'!S$43/100</f>
        <v>1</v>
      </c>
      <c r="U2" s="67">
        <f>1-'Main table'!T$43/100</f>
        <v>0.95</v>
      </c>
      <c r="V2" s="67">
        <f>1-'Main table'!U$43/100</f>
        <v>0.95</v>
      </c>
      <c r="W2" s="67">
        <f>1-'Main table'!V$43/100</f>
        <v>0.95</v>
      </c>
      <c r="X2" s="67">
        <f>1-'Main table'!W$43/100</f>
        <v>1</v>
      </c>
      <c r="Y2" s="67">
        <f>1-'Main table'!X$43/100</f>
        <v>0.95</v>
      </c>
      <c r="Z2" s="67">
        <f>1-'Main table'!Y$43/100</f>
        <v>0.95</v>
      </c>
      <c r="AA2" s="67">
        <f>1-'Main table'!Z$43/100</f>
        <v>0.95</v>
      </c>
      <c r="AB2" s="67">
        <f>1-'Main table'!AA$43/100</f>
        <v>0.95</v>
      </c>
      <c r="AC2" s="67">
        <f>1-'Main table'!AB$43/100</f>
        <v>0.95</v>
      </c>
      <c r="AD2" s="67">
        <f>1-'Main table'!AC$43/100</f>
        <v>0.95</v>
      </c>
      <c r="AE2" s="67">
        <f>1-'Main table'!AD$43/100</f>
        <v>0.95</v>
      </c>
      <c r="AF2" s="67">
        <f>1-'Main table'!AE$43/100</f>
        <v>0.95</v>
      </c>
      <c r="AG2" s="67">
        <f>1-'Main table'!AF$43/100</f>
        <v>1</v>
      </c>
      <c r="AH2" s="67">
        <f>1-'Main table'!AG$43/100</f>
        <v>1</v>
      </c>
      <c r="AI2" s="67">
        <f>1-'Main table'!AH$43/100</f>
        <v>1</v>
      </c>
      <c r="AJ2" s="67">
        <f>1-'Main table'!AI$43/100</f>
        <v>1</v>
      </c>
      <c r="AK2" s="67">
        <f>1-'Main table'!AJ$43/100</f>
        <v>1</v>
      </c>
      <c r="AL2" s="67">
        <f>1-'Main table'!AK$43/100</f>
        <v>0.95</v>
      </c>
      <c r="AM2" s="67">
        <f>1-'Main table'!AL$43/100</f>
        <v>0.95</v>
      </c>
      <c r="AN2" s="67">
        <f>1-'Main table'!AM$43/100</f>
        <v>0.95</v>
      </c>
      <c r="AO2" s="67">
        <f>1-'Main table'!AN$43/100</f>
        <v>0.95</v>
      </c>
      <c r="AP2" s="67">
        <f>1-'Main table'!AO$43/100</f>
        <v>0.95</v>
      </c>
      <c r="AQ2" s="67">
        <f>1-'Main table'!AP$43/100</f>
        <v>1</v>
      </c>
      <c r="AR2" s="67">
        <f>1-'Main table'!AQ$43/100</f>
        <v>1</v>
      </c>
      <c r="AS2" s="67">
        <f>1-'Main table'!AR$43/100</f>
        <v>0.9</v>
      </c>
      <c r="AT2" s="67">
        <f>1-'Main table'!AS$43/100</f>
        <v>0.9</v>
      </c>
      <c r="AU2" s="67">
        <f>1-'Main table'!AT$43/100</f>
        <v>0.9</v>
      </c>
      <c r="AV2" s="67">
        <f>1-'Main table'!AU$43/100</f>
        <v>0.9</v>
      </c>
      <c r="AW2" s="67">
        <f>1-'Main table'!AV$43/100</f>
        <v>0.85499999999999998</v>
      </c>
      <c r="AX2" s="67">
        <f>1-'Main table'!AW$43/100</f>
        <v>0.85499999999999998</v>
      </c>
      <c r="AY2" s="67">
        <f>1-'Main table'!AX$43/100</f>
        <v>0.85499999999999998</v>
      </c>
      <c r="AZ2" s="67">
        <f>1-'Main table'!AY$43/100</f>
        <v>1</v>
      </c>
      <c r="BA2" s="67">
        <f>1-'Main table'!AZ$43/100</f>
        <v>1</v>
      </c>
      <c r="BB2" s="67">
        <f>1-'Main table'!BA$43/100</f>
        <v>1</v>
      </c>
      <c r="BC2" s="67">
        <f>1-'Main table'!BB$43/100</f>
        <v>0.9</v>
      </c>
      <c r="BD2" s="67">
        <f>1-'Main table'!BC$43/100</f>
        <v>0.9</v>
      </c>
      <c r="BE2" s="67">
        <f>1-'Main table'!BD$43/100</f>
        <v>0.9</v>
      </c>
      <c r="BF2" s="67">
        <f>1-'Main table'!BE$43/100</f>
        <v>0.9</v>
      </c>
      <c r="BG2" s="67">
        <f>1-'Main table'!BF$43/100</f>
        <v>0.9</v>
      </c>
      <c r="BH2" s="67">
        <f>1-'Main table'!BG$43/100</f>
        <v>1</v>
      </c>
      <c r="BI2" s="67">
        <f>1-'Main table'!BH$43/100</f>
        <v>1</v>
      </c>
      <c r="BJ2" s="67">
        <f>1-'Main table'!BI$43/100</f>
        <v>1</v>
      </c>
      <c r="BK2" s="67">
        <f>1-'Main table'!BJ$43/100</f>
        <v>1</v>
      </c>
      <c r="BL2" s="67">
        <f>1-'Main table'!BK$43/100</f>
        <v>0.9</v>
      </c>
      <c r="BM2" s="67">
        <f>1-'Main table'!BL$43/100</f>
        <v>1</v>
      </c>
      <c r="BN2" s="67">
        <f>1-'Main table'!BM$43/100</f>
        <v>1</v>
      </c>
      <c r="BO2" s="67">
        <f>1-'Main table'!BN$43/100</f>
        <v>1</v>
      </c>
      <c r="BP2" s="67">
        <f>1-'Main table'!BO$43/100</f>
        <v>0.7200000000000002</v>
      </c>
      <c r="BQ2" s="67">
        <f>1-'Main table'!BP$43/100</f>
        <v>0.7200000000000002</v>
      </c>
      <c r="BR2" s="67">
        <f>1-'Main table'!BQ$43/100</f>
        <v>0.85499999999999998</v>
      </c>
      <c r="BS2" s="67">
        <f>1-'Main table'!BR$43/100</f>
        <v>0.9</v>
      </c>
      <c r="BT2" s="67">
        <f>1-'Main table'!BS$43/100</f>
        <v>1</v>
      </c>
      <c r="BU2" s="67">
        <f>1-'Main table'!BT$43/100</f>
        <v>1</v>
      </c>
    </row>
    <row r="3" spans="1:73" x14ac:dyDescent="0.3">
      <c r="A3" s="62" t="s">
        <v>258</v>
      </c>
      <c r="B3" t="s">
        <v>240</v>
      </c>
      <c r="C3">
        <v>1</v>
      </c>
      <c r="D3" s="67">
        <f>'Main table'!C$7/100*(1-'Main table'!C$43/100)*'Main table'!C$25</f>
        <v>10.488645999999999</v>
      </c>
      <c r="E3" s="67">
        <f>'Main table'!D$7/100*(1-'Main table'!D$43/100)*'Main table'!D$25</f>
        <v>10.488645999999999</v>
      </c>
      <c r="F3" s="67">
        <f>'Main table'!E$7/100*(1-'Main table'!E$43/100)*'Main table'!E$25</f>
        <v>10.408579999999999</v>
      </c>
      <c r="G3" s="67">
        <f>'Main table'!F$7/100*(1-'Main table'!F$43/100)*'Main table'!F$25</f>
        <v>9.9281839999999999</v>
      </c>
      <c r="H3" s="67">
        <f>'Main table'!G$7/100*(1-'Main table'!G$43/100)*'Main table'!G$25</f>
        <v>9.7680519999999991</v>
      </c>
      <c r="I3" s="67">
        <f>'Main table'!H$7/100*(1-'Main table'!H$43/100)*'Main table'!H$25</f>
        <v>10.888976</v>
      </c>
      <c r="J3" s="67">
        <f>'Main table'!I$7/100*(1-'Main table'!I$43/100)*'Main table'!I$25</f>
        <v>10.328514</v>
      </c>
      <c r="K3" s="67">
        <f>'Main table'!J$7/100*(1-'Main table'!J$43/100)*'Main table'!J$25</f>
        <v>0</v>
      </c>
      <c r="L3" s="67">
        <f>'Main table'!K$7/100*(1-'Main table'!K$43/100)*'Main table'!K$25</f>
        <v>10.853598</v>
      </c>
      <c r="M3" s="67">
        <f>'Main table'!L$7/100*(1-'Main table'!L$43/100)*'Main table'!L$25</f>
        <v>10.728843999999999</v>
      </c>
      <c r="N3" s="67">
        <f>'Main table'!M$7/100*(1-'Main table'!M$43/100)*'Main table'!M$25</f>
        <v>10.648778</v>
      </c>
      <c r="O3" s="67">
        <f>'Main table'!N$7/100*(1-'Main table'!N$43/100)*'Main table'!N$25</f>
        <v>11.289305999999998</v>
      </c>
      <c r="P3" s="67">
        <f>'Main table'!O$7/100*(1-'Main table'!O$43/100)*'Main table'!O$25</f>
        <v>29.8</v>
      </c>
      <c r="Q3" s="67">
        <f>'Main table'!P$7/100*(1-'Main table'!P$43/100)*'Main table'!P$25</f>
        <v>29.8</v>
      </c>
      <c r="R3" s="67">
        <f>'Main table'!Q$7/100*(1-'Main table'!Q$43/100)*'Main table'!Q$25</f>
        <v>29.8</v>
      </c>
      <c r="S3" s="67">
        <f>'Main table'!R$7/100*(1-'Main table'!R$43/100)*'Main table'!R$25</f>
        <v>0</v>
      </c>
      <c r="T3" s="67">
        <f>'Main table'!S$7/100*(1-'Main table'!S$43/100)*'Main table'!S$25</f>
        <v>29.8</v>
      </c>
      <c r="U3" s="67">
        <f>'Main table'!T$7/100*(1-'Main table'!T$43/100)*'Main table'!T$25</f>
        <v>9.4483199999999989</v>
      </c>
      <c r="V3" s="67">
        <f>'Main table'!U$7/100*(1-'Main table'!U$43/100)*'Main table'!U$25</f>
        <v>7.6940499999999989</v>
      </c>
      <c r="W3" s="67">
        <f>'Main table'!V$7/100*(1-'Main table'!V$43/100)*'Main table'!V$25</f>
        <v>11.356679999999999</v>
      </c>
      <c r="X3" s="67">
        <f>'Main table'!W$7/100*(1-'Main table'!W$43/100)*'Main table'!W$25</f>
        <v>0</v>
      </c>
      <c r="Y3" s="67">
        <f>'Main table'!X$7/100*(1-'Main table'!X$43/100)*'Main table'!X$25</f>
        <v>10.758749999999999</v>
      </c>
      <c r="Z3" s="67">
        <f>'Main table'!Y$7/100*(1-'Main table'!Y$43/100)*'Main table'!Y$25</f>
        <v>9.0914999999999999</v>
      </c>
      <c r="AA3" s="67">
        <f>'Main table'!Z$7/100*(1-'Main table'!Z$43/100)*'Main table'!Z$25</f>
        <v>15.416029999999999</v>
      </c>
      <c r="AB3" s="67">
        <f>'Main table'!AA$7/100*(1-'Main table'!AA$43/100)*'Main table'!AA$25</f>
        <v>14.193000000000001</v>
      </c>
      <c r="AC3" s="67">
        <f>'Main table'!AB$7/100*(1-'Main table'!AB$43/100)*'Main table'!AB$25</f>
        <v>10.233969999999999</v>
      </c>
      <c r="AD3" s="67">
        <f>'Main table'!AC$7/100*(1-'Main table'!AC$43/100)*'Main table'!AC$25</f>
        <v>11.897419999999999</v>
      </c>
      <c r="AE3" s="67">
        <f>'Main table'!AD$7/100*(1-'Main table'!AD$43/100)*'Main table'!AD$25</f>
        <v>10.758749999999999</v>
      </c>
      <c r="AF3" s="67">
        <f>'Main table'!AE$7/100*(1-'Main table'!AE$43/100)*'Main table'!AE$25</f>
        <v>12.006099999999998</v>
      </c>
      <c r="AG3" s="67">
        <f>'Main table'!AF$7/100*(1-'Main table'!AF$43/100)*'Main table'!AF$25</f>
        <v>0</v>
      </c>
      <c r="AH3" s="67">
        <f>'Main table'!AG$7/100*(1-'Main table'!AG$43/100)*'Main table'!AG$25</f>
        <v>0</v>
      </c>
      <c r="AI3" s="67">
        <f>'Main table'!AH$7/100*(1-'Main table'!AH$43/100)*'Main table'!AH$25</f>
        <v>0</v>
      </c>
      <c r="AJ3" s="67">
        <f>'Main table'!AI$7/100*(1-'Main table'!AI$43/100)*'Main table'!AI$25</f>
        <v>0</v>
      </c>
      <c r="AK3" s="67">
        <f>'Main table'!AJ$7/100*(1-'Main table'!AJ$43/100)*'Main table'!AJ$25</f>
        <v>0</v>
      </c>
      <c r="AL3" s="67">
        <f>'Main table'!AK$7/100*(1-'Main table'!AK$43/100)*'Main table'!AK$25</f>
        <v>8.1983099999999993</v>
      </c>
      <c r="AM3" s="67">
        <f>'Main table'!AL$7/100*(1-'Main table'!AL$43/100)*'Main table'!AL$25</f>
        <v>12.158099999999999</v>
      </c>
      <c r="AN3" s="67">
        <f>'Main table'!AM$7/100*(1-'Main table'!AM$43/100)*'Main table'!AM$25</f>
        <v>16.507200000000001</v>
      </c>
      <c r="AO3" s="67">
        <f>'Main table'!AN$7/100*(1-'Main table'!AN$43/100)*'Main table'!AN$25</f>
        <v>11.33445</v>
      </c>
      <c r="AP3" s="67">
        <f>'Main table'!AO$7/100*(1-'Main table'!AO$43/100)*'Main table'!AO$25</f>
        <v>11.33445</v>
      </c>
      <c r="AQ3" s="67">
        <f>'Main table'!AP$7/100*(1-'Main table'!AP$43/100)*'Main table'!AP$25</f>
        <v>0</v>
      </c>
      <c r="AR3" s="67">
        <f>'Main table'!AQ$7/100*(1-'Main table'!AQ$43/100)*'Main table'!AQ$25</f>
        <v>0</v>
      </c>
      <c r="AS3" s="67">
        <f>'Main table'!AR$7/100*(1-'Main table'!AR$43/100)*'Main table'!AR$25</f>
        <v>4.0725000000000007</v>
      </c>
      <c r="AT3" s="67">
        <f>'Main table'!AS$7/100*(1-'Main table'!AS$43/100)*'Main table'!AS$25</f>
        <v>12.133241379310348</v>
      </c>
      <c r="AU3" s="67">
        <f>'Main table'!AT$7/100*(1-'Main table'!AT$43/100)*'Main table'!AT$25</f>
        <v>2.1177000000000001</v>
      </c>
      <c r="AV3" s="67">
        <f>'Main table'!AU$7/100*(1-'Main table'!AU$43/100)*'Main table'!AU$25</f>
        <v>2.2062600000000003</v>
      </c>
      <c r="AW3" s="67">
        <f>'Main table'!AV$7/100*(1-'Main table'!AV$43/100)*'Main table'!AV$25</f>
        <v>15.794415000000001</v>
      </c>
      <c r="AX3" s="67">
        <f>'Main table'!AW$7/100*(1-'Main table'!AW$43/100)*'Main table'!AW$25</f>
        <v>0</v>
      </c>
      <c r="AY3" s="67">
        <f>'Main table'!AX$7/100*(1-'Main table'!AX$43/100)*'Main table'!AX$25</f>
        <v>11.25009</v>
      </c>
      <c r="AZ3" s="67">
        <f>'Main table'!AY$7/100*(1-'Main table'!AY$43/100)*'Main table'!AY$25</f>
        <v>0</v>
      </c>
      <c r="BA3" s="67">
        <f>'Main table'!AZ$7/100*(1-'Main table'!AZ$43/100)*'Main table'!AZ$25</f>
        <v>0</v>
      </c>
      <c r="BB3" s="67">
        <f>'Main table'!BA$7/100*(1-'Main table'!BA$43/100)*'Main table'!BA$25</f>
        <v>0</v>
      </c>
      <c r="BC3" s="67">
        <f>'Main table'!BB$7/100*(1-'Main table'!BB$43/100)*'Main table'!BB$25</f>
        <v>0.33506999999999992</v>
      </c>
      <c r="BD3" s="67">
        <f>'Main table'!BC$7/100*(1-'Main table'!BC$43/100)*'Main table'!BC$25</f>
        <v>0.33506999999999992</v>
      </c>
      <c r="BE3" s="67">
        <f>'Main table'!BD$7/100*(1-'Main table'!BD$43/100)*'Main table'!BD$25</f>
        <v>1.4994000000000003</v>
      </c>
      <c r="BF3" s="67">
        <f>'Main table'!BE$7/100*(1-'Main table'!BE$43/100)*'Main table'!BE$25</f>
        <v>1.4994000000000003</v>
      </c>
      <c r="BG3" s="67">
        <f>'Main table'!BF$7/100*(1-'Main table'!BF$43/100)*'Main table'!BF$25</f>
        <v>1.4994000000000003</v>
      </c>
      <c r="BH3" s="67">
        <f>'Main table'!BG$7/100*(1-'Main table'!BG$43/100)*'Main table'!BG$25</f>
        <v>0</v>
      </c>
      <c r="BI3" s="67">
        <f>'Main table'!BH$7/100*(1-'Main table'!BH$43/100)*'Main table'!BH$25</f>
        <v>0</v>
      </c>
      <c r="BJ3" s="67">
        <f>'Main table'!BI$7/100*(1-'Main table'!BI$43/100)*'Main table'!BI$25</f>
        <v>0</v>
      </c>
      <c r="BK3" s="67">
        <f>'Main table'!BJ$7/100*(1-'Main table'!BJ$43/100)*'Main table'!BJ$25</f>
        <v>11</v>
      </c>
      <c r="BL3" s="67">
        <f>'Main table'!BK$7/100*(1-'Main table'!BK$43/100)*'Main table'!BK$25</f>
        <v>3.2197499999999994</v>
      </c>
      <c r="BM3" s="67">
        <f>'Main table'!BL$7/100*(1-'Main table'!BL$43/100)*'Main table'!BL$25</f>
        <v>0</v>
      </c>
      <c r="BN3" s="67">
        <f>'Main table'!BM$7/100*(1-'Main table'!BM$43/100)*'Main table'!BM$25</f>
        <v>0</v>
      </c>
      <c r="BO3" s="67">
        <f>'Main table'!BN$7/100*(1-'Main table'!BN$43/100)*'Main table'!BN$25</f>
        <v>3.29</v>
      </c>
      <c r="BP3" s="67">
        <f>'Main table'!BO$7/100*(1-'Main table'!BO$43/100)*'Main table'!BO$25</f>
        <v>2.7216000000000009</v>
      </c>
      <c r="BQ3" s="67">
        <f>'Main table'!BP$7/100*(1-'Main table'!BP$43/100)*'Main table'!BP$25</f>
        <v>2.3625000000000007</v>
      </c>
      <c r="BR3" s="67">
        <f>'Main table'!BQ$7/100*(1-'Main table'!BQ$43/100)*'Main table'!BQ$25</f>
        <v>1.6584435</v>
      </c>
      <c r="BS3" s="67">
        <f>'Main table'!BR$7/100*(1-'Main table'!BR$43/100)*'Main table'!BR$25</f>
        <v>5.5692000000000004</v>
      </c>
      <c r="BT3" s="67">
        <f>'Main table'!BS$7/100*(1-'Main table'!BS$43/100)*'Main table'!BS$25</f>
        <v>2.3530000000000002</v>
      </c>
      <c r="BU3" s="67">
        <f>'Main table'!BT$7/100*(1-'Main table'!BT$43/100)*'Main table'!BT$25</f>
        <v>2.3530000000000002</v>
      </c>
    </row>
    <row r="4" spans="1:73" x14ac:dyDescent="0.3">
      <c r="A4" s="62" t="s">
        <v>258</v>
      </c>
      <c r="B4" t="s">
        <v>241</v>
      </c>
      <c r="C4">
        <v>1</v>
      </c>
      <c r="D4" s="67">
        <f>'Main table'!C$7/100*(1-'Main table'!C$43/100)*'Main table'!C$9*'Main table'!C$26/100</f>
        <v>7.102174464</v>
      </c>
      <c r="E4" s="67">
        <f>'Main table'!D$7/100*(1-'Main table'!D$43/100)*'Main table'!D$9*'Main table'!D$26/100</f>
        <v>9.5009518239999995</v>
      </c>
      <c r="F4" s="67">
        <f>'Main table'!E$7/100*(1-'Main table'!E$43/100)*'Main table'!E$9*'Main table'!E$26/100</f>
        <v>5.6325630339999995</v>
      </c>
      <c r="G4" s="67">
        <f>'Main table'!F$7/100*(1-'Main table'!F$43/100)*'Main table'!F$9*'Main table'!F$26/100</f>
        <v>6.2922268079999988</v>
      </c>
      <c r="H4" s="67">
        <f>'Main table'!G$7/100*(1-'Main table'!G$43/100)*'Main table'!G$9*'Main table'!G$26/100</f>
        <v>5.6278391399999999</v>
      </c>
      <c r="I4" s="67">
        <f>'Main table'!H$7/100*(1-'Main table'!H$43/100)*'Main table'!H$9*'Main table'!H$26/100</f>
        <v>4.9898732519999998</v>
      </c>
      <c r="J4" s="67">
        <f>'Main table'!I$7/100*(1-'Main table'!I$43/100)*'Main table'!I$9*'Main table'!I$26/100</f>
        <v>6.5105667899999995</v>
      </c>
      <c r="K4" s="67">
        <f>'Main table'!J$7/100*(1-'Main table'!J$43/100)*'Main table'!J$9*'Main table'!J$26/100</f>
        <v>0</v>
      </c>
      <c r="L4" s="67">
        <f>'Main table'!K$7/100*(1-'Main table'!K$43/100)*'Main table'!K$9*'Main table'!K$26/100</f>
        <v>5.8965816000000011</v>
      </c>
      <c r="M4" s="67">
        <f>'Main table'!L$7/100*(1-'Main table'!L$43/100)*'Main table'!L$9*'Main table'!L$26/100</f>
        <v>14.925903719999999</v>
      </c>
      <c r="N4" s="67">
        <f>'Main table'!M$7/100*(1-'Main table'!M$43/100)*'Main table'!M$9*'Main table'!M$26/100</f>
        <v>18.319901460000001</v>
      </c>
      <c r="O4" s="67">
        <f>'Main table'!N$7/100*(1-'Main table'!N$43/100)*'Main table'!N$9*'Main table'!N$26/100</f>
        <v>21.585793599999999</v>
      </c>
      <c r="P4" s="67">
        <f>'Main table'!O$7/100*(1-'Main table'!O$43/100)*'Main table'!O$9*'Main table'!O$26/100</f>
        <v>0</v>
      </c>
      <c r="Q4" s="67">
        <f>'Main table'!P$7/100*(1-'Main table'!P$43/100)*'Main table'!P$9*'Main table'!P$26/100</f>
        <v>0</v>
      </c>
      <c r="R4" s="67">
        <f>'Main table'!Q$7/100*(1-'Main table'!Q$43/100)*'Main table'!Q$9*'Main table'!Q$26/100</f>
        <v>0</v>
      </c>
      <c r="S4" s="67">
        <f>'Main table'!R$7/100*(1-'Main table'!R$43/100)*'Main table'!R$9*'Main table'!R$26/100</f>
        <v>0</v>
      </c>
      <c r="T4" s="67">
        <f>'Main table'!S$7/100*(1-'Main table'!S$43/100)*'Main table'!S$9*'Main table'!S$26/100</f>
        <v>0</v>
      </c>
      <c r="U4" s="67">
        <f>'Main table'!T$7/100*(1-'Main table'!T$43/100)*'Main table'!T$9*'Main table'!T$26/100</f>
        <v>24.135480360000003</v>
      </c>
      <c r="V4" s="67">
        <f>'Main table'!U$7/100*(1-'Main table'!U$43/100)*'Main table'!U$9*'Main table'!U$26/100</f>
        <v>23.148098999999998</v>
      </c>
      <c r="W4" s="67">
        <f>'Main table'!V$7/100*(1-'Main table'!V$43/100)*'Main table'!V$9*'Main table'!V$26/100</f>
        <v>34.777494359999999</v>
      </c>
      <c r="X4" s="67">
        <f>'Main table'!W$7/100*(1-'Main table'!W$43/100)*'Main table'!W$9*'Main table'!W$26/100</f>
        <v>0</v>
      </c>
      <c r="Y4" s="67">
        <f>'Main table'!X$7/100*(1-'Main table'!X$43/100)*'Main table'!X$9*'Main table'!X$26/100</f>
        <v>24.75226880999999</v>
      </c>
      <c r="Z4" s="67">
        <f>'Main table'!Y$7/100*(1-'Main table'!Y$43/100)*'Main table'!Y$9*'Main table'!Y$26/100</f>
        <v>9.7229460000000003</v>
      </c>
      <c r="AA4" s="67">
        <f>'Main table'!Z$7/100*(1-'Main table'!Z$43/100)*'Main table'!Z$9*'Main table'!Z$26/100</f>
        <v>61.865508599999991</v>
      </c>
      <c r="AB4" s="67">
        <f>'Main table'!AA$7/100*(1-'Main table'!AA$43/100)*'Main table'!AA$9*'Main table'!AA$26/100</f>
        <v>46.539360000000009</v>
      </c>
      <c r="AC4" s="67">
        <f>'Main table'!AB$7/100*(1-'Main table'!AB$43/100)*'Main table'!AB$9*'Main table'!AB$26/100</f>
        <v>13.543065480000001</v>
      </c>
      <c r="AD4" s="67">
        <f>'Main table'!AC$7/100*(1-'Main table'!AC$43/100)*'Main table'!AC$9*'Main table'!AC$26/100</f>
        <v>17.483939840000001</v>
      </c>
      <c r="AE4" s="67">
        <f>'Main table'!AD$7/100*(1-'Main table'!AD$43/100)*'Main table'!AD$9*'Main table'!AD$26/100</f>
        <v>24.75226880999999</v>
      </c>
      <c r="AF4" s="67">
        <f>'Main table'!AE$7/100*(1-'Main table'!AE$43/100)*'Main table'!AE$9*'Main table'!AE$26/100</f>
        <v>19.2055325</v>
      </c>
      <c r="AG4" s="67">
        <f>'Main table'!AF$7/100*(1-'Main table'!AF$43/100)*'Main table'!AF$9*'Main table'!AF$26/100</f>
        <v>0</v>
      </c>
      <c r="AH4" s="67">
        <f>'Main table'!AG$7/100*(1-'Main table'!AG$43/100)*'Main table'!AG$9*'Main table'!AG$26/100</f>
        <v>0</v>
      </c>
      <c r="AI4" s="67">
        <f>'Main table'!AH$7/100*(1-'Main table'!AH$43/100)*'Main table'!AH$9*'Main table'!AH$26/100</f>
        <v>0</v>
      </c>
      <c r="AJ4" s="67">
        <f>'Main table'!AI$7/100*(1-'Main table'!AI$43/100)*'Main table'!AI$9*'Main table'!AI$26/100</f>
        <v>0</v>
      </c>
      <c r="AK4" s="67">
        <f>'Main table'!AJ$7/100*(1-'Main table'!AJ$43/100)*'Main table'!AJ$9*'Main table'!AJ$26/100</f>
        <v>0</v>
      </c>
      <c r="AL4" s="67">
        <f>'Main table'!AK$7/100*(1-'Main table'!AK$43/100)*'Main table'!AK$9*'Main table'!AK$26/100</f>
        <v>7.4146522449999983</v>
      </c>
      <c r="AM4" s="67">
        <f>'Main table'!AL$7/100*(1-'Main table'!AL$43/100)*'Main table'!AL$9*'Main table'!AL$26/100</f>
        <v>25.631976599999998</v>
      </c>
      <c r="AN4" s="67">
        <f>'Main table'!AM$7/100*(1-'Main table'!AM$43/100)*'Main table'!AM$9*'Main table'!AM$26/100</f>
        <v>18.161203199999999</v>
      </c>
      <c r="AO4" s="67">
        <f>'Main table'!AN$7/100*(1-'Main table'!AN$43/100)*'Main table'!AN$9*'Main table'!AN$26/100</f>
        <v>8.5123562500000016</v>
      </c>
      <c r="AP4" s="67">
        <f>'Main table'!AO$7/100*(1-'Main table'!AO$43/100)*'Main table'!AO$9*'Main table'!AO$26/100</f>
        <v>8.5123562500000016</v>
      </c>
      <c r="AQ4" s="67">
        <f>'Main table'!AP$7/100*(1-'Main table'!AP$43/100)*'Main table'!AP$9*'Main table'!AP$26/100</f>
        <v>0</v>
      </c>
      <c r="AR4" s="67">
        <f>'Main table'!AQ$7/100*(1-'Main table'!AQ$43/100)*'Main table'!AQ$9*'Main table'!AQ$26/100</f>
        <v>0</v>
      </c>
      <c r="AS4" s="67">
        <f>'Main table'!AR$7/100*(1-'Main table'!AR$43/100)*'Main table'!AR$9*'Main table'!AR$26/100</f>
        <v>4.4805600000000005</v>
      </c>
      <c r="AT4" s="67">
        <f>'Main table'!AS$7/100*(1-'Main table'!AS$43/100)*'Main table'!AS$9*'Main table'!AS$26/100</f>
        <v>17.07264</v>
      </c>
      <c r="AU4" s="67">
        <f>'Main table'!AT$7/100*(1-'Main table'!AT$43/100)*'Main table'!AT$9*'Main table'!AT$26/100</f>
        <v>2.3298912000000001</v>
      </c>
      <c r="AV4" s="67">
        <f>'Main table'!AU$7/100*(1-'Main table'!AU$43/100)*'Main table'!AU$9*'Main table'!AU$26/100</f>
        <v>1.3816008</v>
      </c>
      <c r="AW4" s="67">
        <f>'Main table'!AV$7/100*(1-'Main table'!AV$43/100)*'Main table'!AV$9*'Main table'!AV$26/100</f>
        <v>12.130888769999999</v>
      </c>
      <c r="AX4" s="67">
        <f>'Main table'!AW$7/100*(1-'Main table'!AW$43/100)*'Main table'!AW$9*'Main table'!AW$26/100</f>
        <v>11.63698263</v>
      </c>
      <c r="AY4" s="67">
        <f>'Main table'!AX$7/100*(1-'Main table'!AX$43/100)*'Main table'!AX$9*'Main table'!AX$26/100</f>
        <v>26.934038999999999</v>
      </c>
      <c r="AZ4" s="67">
        <f>'Main table'!AY$7/100*(1-'Main table'!AY$43/100)*'Main table'!AY$9*'Main table'!AY$26/100</f>
        <v>0</v>
      </c>
      <c r="BA4" s="67">
        <f>'Main table'!AZ$7/100*(1-'Main table'!AZ$43/100)*'Main table'!AZ$9*'Main table'!AZ$26/100</f>
        <v>0</v>
      </c>
      <c r="BB4" s="67">
        <f>'Main table'!BA$7/100*(1-'Main table'!BA$43/100)*'Main table'!BA$9*'Main table'!BA$26/100</f>
        <v>0</v>
      </c>
      <c r="BC4" s="67">
        <f>'Main table'!BB$7/100*(1-'Main table'!BB$43/100)*'Main table'!BB$9*'Main table'!BB$26/100</f>
        <v>0.72524258999999991</v>
      </c>
      <c r="BD4" s="67">
        <f>'Main table'!BC$7/100*(1-'Main table'!BC$43/100)*'Main table'!BC$9*'Main table'!BC$26/100</f>
        <v>0.72524258999999991</v>
      </c>
      <c r="BE4" s="67">
        <f>'Main table'!BD$7/100*(1-'Main table'!BD$43/100)*'Main table'!BD$9*'Main table'!BD$26/100</f>
        <v>0</v>
      </c>
      <c r="BF4" s="67">
        <f>'Main table'!BE$7/100*(1-'Main table'!BE$43/100)*'Main table'!BE$9*'Main table'!BE$26/100</f>
        <v>0</v>
      </c>
      <c r="BG4" s="67">
        <f>'Main table'!BF$7/100*(1-'Main table'!BF$43/100)*'Main table'!BF$9*'Main table'!BF$26/100</f>
        <v>0</v>
      </c>
      <c r="BH4" s="67">
        <f>'Main table'!BG$7/100*(1-'Main table'!BG$43/100)*'Main table'!BG$9*'Main table'!BG$26/100</f>
        <v>0</v>
      </c>
      <c r="BI4" s="67">
        <f>'Main table'!BH$7/100*(1-'Main table'!BH$43/100)*'Main table'!BH$9*'Main table'!BH$26/100</f>
        <v>0</v>
      </c>
      <c r="BJ4" s="67">
        <f>'Main table'!BI$7/100*(1-'Main table'!BI$43/100)*'Main table'!BI$9*'Main table'!BI$26/100</f>
        <v>0</v>
      </c>
      <c r="BK4" s="67">
        <f>'Main table'!BJ$7/100*(1-'Main table'!BJ$43/100)*'Main table'!BJ$9*'Main table'!BJ$26/100</f>
        <v>0</v>
      </c>
      <c r="BL4" s="67">
        <f>'Main table'!BK$7/100*(1-'Main table'!BK$43/100)*'Main table'!BK$9*'Main table'!BK$26/100</f>
        <v>10.1736</v>
      </c>
      <c r="BM4" s="67">
        <f>'Main table'!BL$7/100*(1-'Main table'!BL$43/100)*'Main table'!BL$9*'Main table'!BL$26/100</f>
        <v>0</v>
      </c>
      <c r="BN4" s="67">
        <f>'Main table'!BM$7/100*(1-'Main table'!BM$43/100)*'Main table'!BM$9*'Main table'!BM$26/100</f>
        <v>0</v>
      </c>
      <c r="BO4" s="67">
        <f>'Main table'!BN$7/100*(1-'Main table'!BN$43/100)*'Main table'!BN$9*'Main table'!BN$26/100</f>
        <v>3.3422287500000003</v>
      </c>
      <c r="BP4" s="67">
        <f>'Main table'!BO$7/100*(1-'Main table'!BO$43/100)*'Main table'!BO$9*'Main table'!BO$26/100</f>
        <v>0.94938480000000025</v>
      </c>
      <c r="BQ4" s="67">
        <f>'Main table'!BP$7/100*(1-'Main table'!BP$43/100)*'Main table'!BP$9*'Main table'!BP$26/100</f>
        <v>2.7774022500000006</v>
      </c>
      <c r="BR4" s="67">
        <f>'Main table'!BQ$7/100*(1-'Main table'!BQ$43/100)*'Main table'!BQ$9*'Main table'!BQ$26/100</f>
        <v>0.48648140549999996</v>
      </c>
      <c r="BS4" s="67">
        <f>'Main table'!BR$7/100*(1-'Main table'!BR$43/100)*'Main table'!BR$9*'Main table'!BR$26/100</f>
        <v>0.12039300000000001</v>
      </c>
      <c r="BT4" s="67">
        <f>'Main table'!BS$7/100*(1-'Main table'!BS$43/100)*'Main table'!BS$9*'Main table'!BS$26/100</f>
        <v>2.588768</v>
      </c>
      <c r="BU4" s="67">
        <f>'Main table'!BT$7/100*(1-'Main table'!BT$43/100)*'Main table'!BT$9*'Main table'!BT$26/100</f>
        <v>2.588768</v>
      </c>
    </row>
    <row r="5" spans="1:73" x14ac:dyDescent="0.3">
      <c r="A5" s="62" t="s">
        <v>259</v>
      </c>
      <c r="B5" t="s">
        <v>329</v>
      </c>
      <c r="C5">
        <v>-1</v>
      </c>
      <c r="D5" s="67">
        <f>1-'Main table'!C$43/100</f>
        <v>0.93099999999999994</v>
      </c>
      <c r="E5" s="67">
        <f>1-'Main table'!D$43/100</f>
        <v>0.93099999999999994</v>
      </c>
      <c r="F5" s="67">
        <f>1-'Main table'!E$43/100</f>
        <v>0.93099999999999994</v>
      </c>
      <c r="G5" s="67">
        <f>1-'Main table'!F$43/100</f>
        <v>0.93099999999999994</v>
      </c>
      <c r="H5" s="67">
        <f>1-'Main table'!G$43/100</f>
        <v>0.93099999999999994</v>
      </c>
      <c r="I5" s="67">
        <f>1-'Main table'!H$43/100</f>
        <v>0.93099999999999994</v>
      </c>
      <c r="J5" s="67">
        <f>1-'Main table'!I$43/100</f>
        <v>0.93099999999999994</v>
      </c>
      <c r="K5" s="67">
        <f>1-'Main table'!J$43/100</f>
        <v>1</v>
      </c>
      <c r="L5" s="67">
        <f>1-'Main table'!K$43/100</f>
        <v>0.93099999999999994</v>
      </c>
      <c r="M5" s="67">
        <f>1-'Main table'!L$43/100</f>
        <v>0.93099999999999994</v>
      </c>
      <c r="N5" s="67">
        <f>1-'Main table'!M$43/100</f>
        <v>0.93099999999999994</v>
      </c>
      <c r="O5" s="67">
        <f>1-'Main table'!N$43/100</f>
        <v>0.93099999999999994</v>
      </c>
      <c r="P5" s="67">
        <f>1-'Main table'!O$43/100</f>
        <v>1</v>
      </c>
      <c r="Q5" s="67">
        <f>1-'Main table'!P$43/100</f>
        <v>1</v>
      </c>
      <c r="R5" s="67">
        <f>1-'Main table'!Q$43/100</f>
        <v>1</v>
      </c>
      <c r="S5" s="67">
        <f>1-'Main table'!R$43/100</f>
        <v>1</v>
      </c>
      <c r="T5" s="67">
        <f>1-'Main table'!S$43/100</f>
        <v>1</v>
      </c>
      <c r="U5" s="67">
        <f>1-'Main table'!T$43/100</f>
        <v>0.95</v>
      </c>
      <c r="V5" s="67">
        <f>1-'Main table'!U$43/100</f>
        <v>0.95</v>
      </c>
      <c r="W5" s="67">
        <f>1-'Main table'!V$43/100</f>
        <v>0.95</v>
      </c>
      <c r="X5" s="67">
        <f>1-'Main table'!W$43/100</f>
        <v>1</v>
      </c>
      <c r="Y5" s="67">
        <f>1-'Main table'!X$43/100</f>
        <v>0.95</v>
      </c>
      <c r="Z5" s="67">
        <f>1-'Main table'!Y$43/100</f>
        <v>0.95</v>
      </c>
      <c r="AA5" s="67">
        <f>1-'Main table'!Z$43/100</f>
        <v>0.95</v>
      </c>
      <c r="AB5" s="67">
        <f>1-'Main table'!AA$43/100</f>
        <v>0.95</v>
      </c>
      <c r="AC5" s="67">
        <f>1-'Main table'!AB$43/100</f>
        <v>0.95</v>
      </c>
      <c r="AD5" s="67">
        <f>1-'Main table'!AC$43/100</f>
        <v>0.95</v>
      </c>
      <c r="AE5" s="67">
        <f>1-'Main table'!AD$43/100</f>
        <v>0.95</v>
      </c>
      <c r="AF5" s="67">
        <f>1-'Main table'!AE$43/100</f>
        <v>0.95</v>
      </c>
      <c r="AG5" s="67">
        <f>1-'Main table'!AF$43/100</f>
        <v>1</v>
      </c>
      <c r="AH5" s="67">
        <f>1-'Main table'!AG$43/100</f>
        <v>1</v>
      </c>
      <c r="AI5" s="67">
        <f>1-'Main table'!AH$43/100</f>
        <v>1</v>
      </c>
      <c r="AJ5" s="67">
        <f>1-'Main table'!AI$43/100</f>
        <v>1</v>
      </c>
      <c r="AK5" s="67">
        <f>1-'Main table'!AJ$43/100</f>
        <v>1</v>
      </c>
      <c r="AL5" s="67">
        <f>1-'Main table'!AK$43/100</f>
        <v>0.95</v>
      </c>
      <c r="AM5" s="67">
        <f>1-'Main table'!AL$43/100</f>
        <v>0.95</v>
      </c>
      <c r="AN5" s="67">
        <f>1-'Main table'!AM$43/100</f>
        <v>0.95</v>
      </c>
      <c r="AO5" s="67">
        <f>1-'Main table'!AN$43/100</f>
        <v>0.95</v>
      </c>
      <c r="AP5" s="67">
        <f>1-'Main table'!AO$43/100</f>
        <v>0.95</v>
      </c>
      <c r="AQ5" s="67">
        <f>1-'Main table'!AP$43/100</f>
        <v>1</v>
      </c>
      <c r="AR5" s="67">
        <f>1-'Main table'!AQ$43/100</f>
        <v>1</v>
      </c>
      <c r="AS5" s="67">
        <f>1-'Main table'!AR$43/100</f>
        <v>0.9</v>
      </c>
      <c r="AT5" s="67">
        <f>1-'Main table'!AS$43/100</f>
        <v>0.9</v>
      </c>
      <c r="AU5" s="67">
        <f>1-'Main table'!AT$43/100</f>
        <v>0.9</v>
      </c>
      <c r="AV5" s="67">
        <f>1-'Main table'!AU$43/100</f>
        <v>0.9</v>
      </c>
      <c r="AW5" s="67">
        <f>1-'Main table'!AV$43/100</f>
        <v>0.85499999999999998</v>
      </c>
      <c r="AX5" s="67">
        <f>1-'Main table'!AW$43/100</f>
        <v>0.85499999999999998</v>
      </c>
      <c r="AY5" s="67">
        <f>1-'Main table'!AX$43/100</f>
        <v>0.85499999999999998</v>
      </c>
      <c r="AZ5" s="67">
        <f>1-'Main table'!AY$43/100</f>
        <v>1</v>
      </c>
      <c r="BA5" s="67">
        <f>1-'Main table'!AZ$43/100</f>
        <v>1</v>
      </c>
      <c r="BB5" s="67">
        <f>1-'Main table'!BA$43/100</f>
        <v>1</v>
      </c>
      <c r="BC5" s="67">
        <f>1-'Main table'!BB$43/100</f>
        <v>0.9</v>
      </c>
      <c r="BD5" s="67">
        <f>1-'Main table'!BC$43/100</f>
        <v>0.9</v>
      </c>
      <c r="BE5" s="67">
        <f>1-'Main table'!BD$43/100</f>
        <v>0.9</v>
      </c>
      <c r="BF5" s="67">
        <f>1-'Main table'!BE$43/100</f>
        <v>0.9</v>
      </c>
      <c r="BG5" s="67">
        <f>1-'Main table'!BF$43/100</f>
        <v>0.9</v>
      </c>
      <c r="BH5" s="67">
        <f>1-'Main table'!BG$43/100</f>
        <v>1</v>
      </c>
      <c r="BI5" s="67">
        <f>1-'Main table'!BH$43/100</f>
        <v>1</v>
      </c>
      <c r="BJ5" s="67">
        <f>1-'Main table'!BI$43/100</f>
        <v>1</v>
      </c>
      <c r="BK5" s="67">
        <f>1-'Main table'!BJ$43/100</f>
        <v>1</v>
      </c>
      <c r="BL5" s="67">
        <f>1-'Main table'!BK$43/100</f>
        <v>0.9</v>
      </c>
      <c r="BM5" s="67">
        <f>1-'Main table'!BL$43/100</f>
        <v>1</v>
      </c>
      <c r="BN5" s="67">
        <f>1-'Main table'!BM$43/100</f>
        <v>1</v>
      </c>
      <c r="BO5" s="67">
        <f>1-'Main table'!BN$43/100</f>
        <v>1</v>
      </c>
      <c r="BP5" s="67">
        <f>1-'Main table'!BO$43/100</f>
        <v>0.7200000000000002</v>
      </c>
      <c r="BQ5" s="67">
        <f>1-'Main table'!BP$43/100</f>
        <v>0.7200000000000002</v>
      </c>
      <c r="BR5" s="67">
        <f>1-'Main table'!BQ$43/100</f>
        <v>0.85499999999999998</v>
      </c>
      <c r="BS5" s="67">
        <f>1-'Main table'!BR$43/100</f>
        <v>0.9</v>
      </c>
      <c r="BT5" s="67">
        <f>1-'Main table'!BS$43/100</f>
        <v>1</v>
      </c>
      <c r="BU5" s="67">
        <f>1-'Main table'!BT$43/100</f>
        <v>1</v>
      </c>
    </row>
    <row r="6" spans="1:73" x14ac:dyDescent="0.3">
      <c r="A6" s="62" t="s">
        <v>259</v>
      </c>
      <c r="B6" t="s">
        <v>240</v>
      </c>
      <c r="C6">
        <v>1</v>
      </c>
      <c r="D6" s="67">
        <f>'Main table'!C$7/100*(1-'Main table'!C$43/100)*'Main table'!C$25</f>
        <v>10.488645999999999</v>
      </c>
      <c r="E6" s="67">
        <f>'Main table'!D$7/100*(1-'Main table'!D$43/100)*'Main table'!D$25</f>
        <v>10.488645999999999</v>
      </c>
      <c r="F6" s="67">
        <f>'Main table'!E$7/100*(1-'Main table'!E$43/100)*'Main table'!E$25</f>
        <v>10.408579999999999</v>
      </c>
      <c r="G6" s="67">
        <f>'Main table'!F$7/100*(1-'Main table'!F$43/100)*'Main table'!F$25</f>
        <v>9.9281839999999999</v>
      </c>
      <c r="H6" s="67">
        <f>'Main table'!G$7/100*(1-'Main table'!G$43/100)*'Main table'!G$25</f>
        <v>9.7680519999999991</v>
      </c>
      <c r="I6" s="67">
        <f>'Main table'!H$7/100*(1-'Main table'!H$43/100)*'Main table'!H$25</f>
        <v>10.888976</v>
      </c>
      <c r="J6" s="67">
        <f>'Main table'!I$7/100*(1-'Main table'!I$43/100)*'Main table'!I$25</f>
        <v>10.328514</v>
      </c>
      <c r="K6" s="67">
        <f>'Main table'!J$7/100*(1-'Main table'!J$43/100)*'Main table'!J$25</f>
        <v>0</v>
      </c>
      <c r="L6" s="67">
        <f>'Main table'!K$7/100*(1-'Main table'!K$43/100)*'Main table'!K$25</f>
        <v>10.853598</v>
      </c>
      <c r="M6" s="67">
        <f>'Main table'!L$7/100*(1-'Main table'!L$43/100)*'Main table'!L$25</f>
        <v>10.728843999999999</v>
      </c>
      <c r="N6" s="67">
        <f>'Main table'!M$7/100*(1-'Main table'!M$43/100)*'Main table'!M$25</f>
        <v>10.648778</v>
      </c>
      <c r="O6" s="67">
        <f>'Main table'!N$7/100*(1-'Main table'!N$43/100)*'Main table'!N$25</f>
        <v>11.289305999999998</v>
      </c>
      <c r="P6" s="67">
        <f>'Main table'!O$7/100*(1-'Main table'!O$43/100)*'Main table'!O$25</f>
        <v>29.8</v>
      </c>
      <c r="Q6" s="67">
        <f>'Main table'!P$7/100*(1-'Main table'!P$43/100)*'Main table'!P$25</f>
        <v>29.8</v>
      </c>
      <c r="R6" s="67">
        <f>'Main table'!Q$7/100*(1-'Main table'!Q$43/100)*'Main table'!Q$25</f>
        <v>29.8</v>
      </c>
      <c r="S6" s="67">
        <f>'Main table'!R$7/100*(1-'Main table'!R$43/100)*'Main table'!R$25</f>
        <v>0</v>
      </c>
      <c r="T6" s="67">
        <f>'Main table'!S$7/100*(1-'Main table'!S$43/100)*'Main table'!S$25</f>
        <v>29.8</v>
      </c>
      <c r="U6" s="67">
        <f>'Main table'!T$7/100*(1-'Main table'!T$43/100)*'Main table'!T$25</f>
        <v>9.4483199999999989</v>
      </c>
      <c r="V6" s="67">
        <f>'Main table'!U$7/100*(1-'Main table'!U$43/100)*'Main table'!U$25</f>
        <v>7.6940499999999989</v>
      </c>
      <c r="W6" s="67">
        <f>'Main table'!V$7/100*(1-'Main table'!V$43/100)*'Main table'!V$25</f>
        <v>11.356679999999999</v>
      </c>
      <c r="X6" s="67">
        <f>'Main table'!W$7/100*(1-'Main table'!W$43/100)*'Main table'!W$25</f>
        <v>0</v>
      </c>
      <c r="Y6" s="67">
        <f>'Main table'!X$7/100*(1-'Main table'!X$43/100)*'Main table'!X$25</f>
        <v>10.758749999999999</v>
      </c>
      <c r="Z6" s="67">
        <f>'Main table'!Y$7/100*(1-'Main table'!Y$43/100)*'Main table'!Y$25</f>
        <v>9.0914999999999999</v>
      </c>
      <c r="AA6" s="67">
        <f>'Main table'!Z$7/100*(1-'Main table'!Z$43/100)*'Main table'!Z$25</f>
        <v>15.416029999999999</v>
      </c>
      <c r="AB6" s="67">
        <f>'Main table'!AA$7/100*(1-'Main table'!AA$43/100)*'Main table'!AA$25</f>
        <v>14.193000000000001</v>
      </c>
      <c r="AC6" s="67">
        <f>'Main table'!AB$7/100*(1-'Main table'!AB$43/100)*'Main table'!AB$25</f>
        <v>10.233969999999999</v>
      </c>
      <c r="AD6" s="67">
        <f>'Main table'!AC$7/100*(1-'Main table'!AC$43/100)*'Main table'!AC$25</f>
        <v>11.897419999999999</v>
      </c>
      <c r="AE6" s="67">
        <f>'Main table'!AD$7/100*(1-'Main table'!AD$43/100)*'Main table'!AD$25</f>
        <v>10.758749999999999</v>
      </c>
      <c r="AF6" s="67">
        <f>'Main table'!AE$7/100*(1-'Main table'!AE$43/100)*'Main table'!AE$25</f>
        <v>12.006099999999998</v>
      </c>
      <c r="AG6" s="67">
        <f>'Main table'!AF$7/100*(1-'Main table'!AF$43/100)*'Main table'!AF$25</f>
        <v>0</v>
      </c>
      <c r="AH6" s="67">
        <f>'Main table'!AG$7/100*(1-'Main table'!AG$43/100)*'Main table'!AG$25</f>
        <v>0</v>
      </c>
      <c r="AI6" s="67">
        <f>'Main table'!AH$7/100*(1-'Main table'!AH$43/100)*'Main table'!AH$25</f>
        <v>0</v>
      </c>
      <c r="AJ6" s="67">
        <f>'Main table'!AI$7/100*(1-'Main table'!AI$43/100)*'Main table'!AI$25</f>
        <v>0</v>
      </c>
      <c r="AK6" s="67">
        <f>'Main table'!AJ$7/100*(1-'Main table'!AJ$43/100)*'Main table'!AJ$25</f>
        <v>0</v>
      </c>
      <c r="AL6" s="67">
        <f>'Main table'!AK$7/100*(1-'Main table'!AK$43/100)*'Main table'!AK$25</f>
        <v>8.1983099999999993</v>
      </c>
      <c r="AM6" s="67">
        <f>'Main table'!AL$7/100*(1-'Main table'!AL$43/100)*'Main table'!AL$25</f>
        <v>12.158099999999999</v>
      </c>
      <c r="AN6" s="67">
        <f>'Main table'!AM$7/100*(1-'Main table'!AM$43/100)*'Main table'!AM$25</f>
        <v>16.507200000000001</v>
      </c>
      <c r="AO6" s="67">
        <f>'Main table'!AN$7/100*(1-'Main table'!AN$43/100)*'Main table'!AN$25</f>
        <v>11.33445</v>
      </c>
      <c r="AP6" s="67">
        <f>'Main table'!AO$7/100*(1-'Main table'!AO$43/100)*'Main table'!AO$25</f>
        <v>11.33445</v>
      </c>
      <c r="AQ6" s="67">
        <f>'Main table'!AP$7/100*(1-'Main table'!AP$43/100)*'Main table'!AP$25</f>
        <v>0</v>
      </c>
      <c r="AR6" s="67">
        <f>'Main table'!AQ$7/100*(1-'Main table'!AQ$43/100)*'Main table'!AQ$25</f>
        <v>0</v>
      </c>
      <c r="AS6" s="67">
        <f>'Main table'!AR$7/100*(1-'Main table'!AR$43/100)*'Main table'!AR$25</f>
        <v>4.0725000000000007</v>
      </c>
      <c r="AT6" s="67">
        <f>'Main table'!AS$7/100*(1-'Main table'!AS$43/100)*'Main table'!AS$25</f>
        <v>12.133241379310348</v>
      </c>
      <c r="AU6" s="67">
        <f>'Main table'!AT$7/100*(1-'Main table'!AT$43/100)*'Main table'!AT$25</f>
        <v>2.1177000000000001</v>
      </c>
      <c r="AV6" s="67">
        <f>'Main table'!AU$7/100*(1-'Main table'!AU$43/100)*'Main table'!AU$25</f>
        <v>2.2062600000000003</v>
      </c>
      <c r="AW6" s="67">
        <f>'Main table'!AV$7/100*(1-'Main table'!AV$43/100)*'Main table'!AV$25</f>
        <v>15.794415000000001</v>
      </c>
      <c r="AX6" s="67">
        <f>'Main table'!AW$7/100*(1-'Main table'!AW$43/100)*'Main table'!AW$25</f>
        <v>0</v>
      </c>
      <c r="AY6" s="67">
        <f>'Main table'!AX$7/100*(1-'Main table'!AX$43/100)*'Main table'!AX$25</f>
        <v>11.25009</v>
      </c>
      <c r="AZ6" s="67">
        <f>'Main table'!AY$7/100*(1-'Main table'!AY$43/100)*'Main table'!AY$25</f>
        <v>0</v>
      </c>
      <c r="BA6" s="67">
        <f>'Main table'!AZ$7/100*(1-'Main table'!AZ$43/100)*'Main table'!AZ$25</f>
        <v>0</v>
      </c>
      <c r="BB6" s="67">
        <f>'Main table'!BA$7/100*(1-'Main table'!BA$43/100)*'Main table'!BA$25</f>
        <v>0</v>
      </c>
      <c r="BC6" s="67">
        <f>'Main table'!BB$7/100*(1-'Main table'!BB$43/100)*'Main table'!BB$25</f>
        <v>0.33506999999999992</v>
      </c>
      <c r="BD6" s="67">
        <f>'Main table'!BC$7/100*(1-'Main table'!BC$43/100)*'Main table'!BC$25</f>
        <v>0.33506999999999992</v>
      </c>
      <c r="BE6" s="67">
        <f>'Main table'!BD$7/100*(1-'Main table'!BD$43/100)*'Main table'!BD$25</f>
        <v>1.4994000000000003</v>
      </c>
      <c r="BF6" s="67">
        <f>'Main table'!BE$7/100*(1-'Main table'!BE$43/100)*'Main table'!BE$25</f>
        <v>1.4994000000000003</v>
      </c>
      <c r="BG6" s="67">
        <f>'Main table'!BF$7/100*(1-'Main table'!BF$43/100)*'Main table'!BF$25</f>
        <v>1.4994000000000003</v>
      </c>
      <c r="BH6" s="67">
        <f>'Main table'!BG$7/100*(1-'Main table'!BG$43/100)*'Main table'!BG$25</f>
        <v>0</v>
      </c>
      <c r="BI6" s="67">
        <f>'Main table'!BH$7/100*(1-'Main table'!BH$43/100)*'Main table'!BH$25</f>
        <v>0</v>
      </c>
      <c r="BJ6" s="67">
        <f>'Main table'!BI$7/100*(1-'Main table'!BI$43/100)*'Main table'!BI$25</f>
        <v>0</v>
      </c>
      <c r="BK6" s="67">
        <f>'Main table'!BJ$7/100*(1-'Main table'!BJ$43/100)*'Main table'!BJ$25</f>
        <v>11</v>
      </c>
      <c r="BL6" s="67">
        <f>'Main table'!BK$7/100*(1-'Main table'!BK$43/100)*'Main table'!BK$25</f>
        <v>3.2197499999999994</v>
      </c>
      <c r="BM6" s="67">
        <f>'Main table'!BL$7/100*(1-'Main table'!BL$43/100)*'Main table'!BL$25</f>
        <v>0</v>
      </c>
      <c r="BN6" s="67">
        <f>'Main table'!BM$7/100*(1-'Main table'!BM$43/100)*'Main table'!BM$25</f>
        <v>0</v>
      </c>
      <c r="BO6" s="67">
        <f>'Main table'!BN$7/100*(1-'Main table'!BN$43/100)*'Main table'!BN$25</f>
        <v>3.29</v>
      </c>
      <c r="BP6" s="67">
        <f>'Main table'!BO$7/100*(1-'Main table'!BO$43/100)*'Main table'!BO$25</f>
        <v>2.7216000000000009</v>
      </c>
      <c r="BQ6" s="67">
        <f>'Main table'!BP$7/100*(1-'Main table'!BP$43/100)*'Main table'!BP$25</f>
        <v>2.3625000000000007</v>
      </c>
      <c r="BR6" s="67">
        <f>'Main table'!BQ$7/100*(1-'Main table'!BQ$43/100)*'Main table'!BQ$25</f>
        <v>1.6584435</v>
      </c>
      <c r="BS6" s="67">
        <f>'Main table'!BR$7/100*(1-'Main table'!BR$43/100)*'Main table'!BR$25</f>
        <v>5.5692000000000004</v>
      </c>
      <c r="BT6" s="67">
        <f>'Main table'!BS$7/100*(1-'Main table'!BS$43/100)*'Main table'!BS$25</f>
        <v>2.3530000000000002</v>
      </c>
      <c r="BU6" s="67">
        <f>'Main table'!BT$7/100*(1-'Main table'!BT$43/100)*'Main table'!BT$25</f>
        <v>2.3530000000000002</v>
      </c>
    </row>
    <row r="7" spans="1:73" x14ac:dyDescent="0.3">
      <c r="A7" s="62" t="s">
        <v>259</v>
      </c>
      <c r="B7" t="s">
        <v>241</v>
      </c>
      <c r="C7">
        <v>1</v>
      </c>
      <c r="D7" s="67">
        <f>'Main table'!C$7/100*(1-'Main table'!C$43/100)*'Main table'!C$9*'Main table'!C$26/100</f>
        <v>7.102174464</v>
      </c>
      <c r="E7" s="67">
        <f>'Main table'!D$7/100*(1-'Main table'!D$43/100)*'Main table'!D$9*'Main table'!D$26/100</f>
        <v>9.5009518239999995</v>
      </c>
      <c r="F7" s="67">
        <f>'Main table'!E$7/100*(1-'Main table'!E$43/100)*'Main table'!E$9*'Main table'!E$26/100</f>
        <v>5.6325630339999995</v>
      </c>
      <c r="G7" s="67">
        <f>'Main table'!F$7/100*(1-'Main table'!F$43/100)*'Main table'!F$9*'Main table'!F$26/100</f>
        <v>6.2922268079999988</v>
      </c>
      <c r="H7" s="67">
        <f>'Main table'!G$7/100*(1-'Main table'!G$43/100)*'Main table'!G$9*'Main table'!G$26/100</f>
        <v>5.6278391399999999</v>
      </c>
      <c r="I7" s="67">
        <f>'Main table'!H$7/100*(1-'Main table'!H$43/100)*'Main table'!H$9*'Main table'!H$26/100</f>
        <v>4.9898732519999998</v>
      </c>
      <c r="J7" s="67">
        <f>'Main table'!I$7/100*(1-'Main table'!I$43/100)*'Main table'!I$9*'Main table'!I$26/100</f>
        <v>6.5105667899999995</v>
      </c>
      <c r="K7" s="67">
        <f>'Main table'!J$7/100*(1-'Main table'!J$43/100)*'Main table'!J$9*'Main table'!J$26/100</f>
        <v>0</v>
      </c>
      <c r="L7" s="67">
        <f>'Main table'!K$7/100*(1-'Main table'!K$43/100)*'Main table'!K$9*'Main table'!K$26/100</f>
        <v>5.8965816000000011</v>
      </c>
      <c r="M7" s="67">
        <f>'Main table'!L$7/100*(1-'Main table'!L$43/100)*'Main table'!L$9*'Main table'!L$26/100</f>
        <v>14.925903719999999</v>
      </c>
      <c r="N7" s="67">
        <f>'Main table'!M$7/100*(1-'Main table'!M$43/100)*'Main table'!M$9*'Main table'!M$26/100</f>
        <v>18.319901460000001</v>
      </c>
      <c r="O7" s="67">
        <f>'Main table'!N$7/100*(1-'Main table'!N$43/100)*'Main table'!N$9*'Main table'!N$26/100</f>
        <v>21.585793599999999</v>
      </c>
      <c r="P7" s="67">
        <f>'Main table'!O$7/100*(1-'Main table'!O$43/100)*'Main table'!O$9*'Main table'!O$26/100</f>
        <v>0</v>
      </c>
      <c r="Q7" s="67">
        <f>'Main table'!P$7/100*(1-'Main table'!P$43/100)*'Main table'!P$9*'Main table'!P$26/100</f>
        <v>0</v>
      </c>
      <c r="R7" s="67">
        <f>'Main table'!Q$7/100*(1-'Main table'!Q$43/100)*'Main table'!Q$9*'Main table'!Q$26/100</f>
        <v>0</v>
      </c>
      <c r="S7" s="67">
        <f>'Main table'!R$7/100*(1-'Main table'!R$43/100)*'Main table'!R$9*'Main table'!R$26/100</f>
        <v>0</v>
      </c>
      <c r="T7" s="67">
        <f>'Main table'!S$7/100*(1-'Main table'!S$43/100)*'Main table'!S$9*'Main table'!S$26/100</f>
        <v>0</v>
      </c>
      <c r="U7" s="67">
        <f>'Main table'!T$7/100*(1-'Main table'!T$43/100)*'Main table'!T$9*'Main table'!T$26/100</f>
        <v>24.135480360000003</v>
      </c>
      <c r="V7" s="67">
        <f>'Main table'!U$7/100*(1-'Main table'!U$43/100)*'Main table'!U$9*'Main table'!U$26/100</f>
        <v>23.148098999999998</v>
      </c>
      <c r="W7" s="67">
        <f>'Main table'!V$7/100*(1-'Main table'!V$43/100)*'Main table'!V$9*'Main table'!V$26/100</f>
        <v>34.777494359999999</v>
      </c>
      <c r="X7" s="67">
        <f>'Main table'!W$7/100*(1-'Main table'!W$43/100)*'Main table'!W$9*'Main table'!W$26/100</f>
        <v>0</v>
      </c>
      <c r="Y7" s="67">
        <f>'Main table'!X$7/100*(1-'Main table'!X$43/100)*'Main table'!X$9*'Main table'!X$26/100</f>
        <v>24.75226880999999</v>
      </c>
      <c r="Z7" s="67">
        <f>'Main table'!Y$7/100*(1-'Main table'!Y$43/100)*'Main table'!Y$9*'Main table'!Y$26/100</f>
        <v>9.7229460000000003</v>
      </c>
      <c r="AA7" s="67">
        <f>'Main table'!Z$7/100*(1-'Main table'!Z$43/100)*'Main table'!Z$9*'Main table'!Z$26/100</f>
        <v>61.865508599999991</v>
      </c>
      <c r="AB7" s="67">
        <f>'Main table'!AA$7/100*(1-'Main table'!AA$43/100)*'Main table'!AA$9*'Main table'!AA$26/100</f>
        <v>46.539360000000009</v>
      </c>
      <c r="AC7" s="67">
        <f>'Main table'!AB$7/100*(1-'Main table'!AB$43/100)*'Main table'!AB$9*'Main table'!AB$26/100</f>
        <v>13.543065480000001</v>
      </c>
      <c r="AD7" s="67">
        <f>'Main table'!AC$7/100*(1-'Main table'!AC$43/100)*'Main table'!AC$9*'Main table'!AC$26/100</f>
        <v>17.483939840000001</v>
      </c>
      <c r="AE7" s="67">
        <f>'Main table'!AD$7/100*(1-'Main table'!AD$43/100)*'Main table'!AD$9*'Main table'!AD$26/100</f>
        <v>24.75226880999999</v>
      </c>
      <c r="AF7" s="67">
        <f>'Main table'!AE$7/100*(1-'Main table'!AE$43/100)*'Main table'!AE$9*'Main table'!AE$26/100</f>
        <v>19.2055325</v>
      </c>
      <c r="AG7" s="67">
        <f>'Main table'!AF$7/100*(1-'Main table'!AF$43/100)*'Main table'!AF$9*'Main table'!AF$26/100</f>
        <v>0</v>
      </c>
      <c r="AH7" s="67">
        <f>'Main table'!AG$7/100*(1-'Main table'!AG$43/100)*'Main table'!AG$9*'Main table'!AG$26/100</f>
        <v>0</v>
      </c>
      <c r="AI7" s="67">
        <f>'Main table'!AH$7/100*(1-'Main table'!AH$43/100)*'Main table'!AH$9*'Main table'!AH$26/100</f>
        <v>0</v>
      </c>
      <c r="AJ7" s="67">
        <f>'Main table'!AI$7/100*(1-'Main table'!AI$43/100)*'Main table'!AI$9*'Main table'!AI$26/100</f>
        <v>0</v>
      </c>
      <c r="AK7" s="67">
        <f>'Main table'!AJ$7/100*(1-'Main table'!AJ$43/100)*'Main table'!AJ$9*'Main table'!AJ$26/100</f>
        <v>0</v>
      </c>
      <c r="AL7" s="67">
        <f>'Main table'!AK$7/100*(1-'Main table'!AK$43/100)*'Main table'!AK$9*'Main table'!AK$26/100</f>
        <v>7.4146522449999983</v>
      </c>
      <c r="AM7" s="67">
        <f>'Main table'!AL$7/100*(1-'Main table'!AL$43/100)*'Main table'!AL$9*'Main table'!AL$26/100</f>
        <v>25.631976599999998</v>
      </c>
      <c r="AN7" s="67">
        <f>'Main table'!AM$7/100*(1-'Main table'!AM$43/100)*'Main table'!AM$9*'Main table'!AM$26/100</f>
        <v>18.161203199999999</v>
      </c>
      <c r="AO7" s="67">
        <f>'Main table'!AN$7/100*(1-'Main table'!AN$43/100)*'Main table'!AN$9*'Main table'!AN$26/100</f>
        <v>8.5123562500000016</v>
      </c>
      <c r="AP7" s="67">
        <f>'Main table'!AO$7/100*(1-'Main table'!AO$43/100)*'Main table'!AO$9*'Main table'!AO$26/100</f>
        <v>8.5123562500000016</v>
      </c>
      <c r="AQ7" s="67">
        <f>'Main table'!AP$7/100*(1-'Main table'!AP$43/100)*'Main table'!AP$9*'Main table'!AP$26/100</f>
        <v>0</v>
      </c>
      <c r="AR7" s="67">
        <f>'Main table'!AQ$7/100*(1-'Main table'!AQ$43/100)*'Main table'!AQ$9*'Main table'!AQ$26/100</f>
        <v>0</v>
      </c>
      <c r="AS7" s="67">
        <f>'Main table'!AR$7/100*(1-'Main table'!AR$43/100)*'Main table'!AR$9*'Main table'!AR$26/100</f>
        <v>4.4805600000000005</v>
      </c>
      <c r="AT7" s="67">
        <f>'Main table'!AS$7/100*(1-'Main table'!AS$43/100)*'Main table'!AS$9*'Main table'!AS$26/100</f>
        <v>17.07264</v>
      </c>
      <c r="AU7" s="67">
        <f>'Main table'!AT$7/100*(1-'Main table'!AT$43/100)*'Main table'!AT$9*'Main table'!AT$26/100</f>
        <v>2.3298912000000001</v>
      </c>
      <c r="AV7" s="67">
        <f>'Main table'!AU$7/100*(1-'Main table'!AU$43/100)*'Main table'!AU$9*'Main table'!AU$26/100</f>
        <v>1.3816008</v>
      </c>
      <c r="AW7" s="67">
        <f>'Main table'!AV$7/100*(1-'Main table'!AV$43/100)*'Main table'!AV$9*'Main table'!AV$26/100</f>
        <v>12.130888769999999</v>
      </c>
      <c r="AX7" s="67">
        <f>'Main table'!AW$7/100*(1-'Main table'!AW$43/100)*'Main table'!AW$9*'Main table'!AW$26/100</f>
        <v>11.63698263</v>
      </c>
      <c r="AY7" s="67">
        <f>'Main table'!AX$7/100*(1-'Main table'!AX$43/100)*'Main table'!AX$9*'Main table'!AX$26/100</f>
        <v>26.934038999999999</v>
      </c>
      <c r="AZ7" s="67">
        <f>'Main table'!AY$7/100*(1-'Main table'!AY$43/100)*'Main table'!AY$9*'Main table'!AY$26/100</f>
        <v>0</v>
      </c>
      <c r="BA7" s="67">
        <f>'Main table'!AZ$7/100*(1-'Main table'!AZ$43/100)*'Main table'!AZ$9*'Main table'!AZ$26/100</f>
        <v>0</v>
      </c>
      <c r="BB7" s="67">
        <f>'Main table'!BA$7/100*(1-'Main table'!BA$43/100)*'Main table'!BA$9*'Main table'!BA$26/100</f>
        <v>0</v>
      </c>
      <c r="BC7" s="67">
        <f>'Main table'!BB$7/100*(1-'Main table'!BB$43/100)*'Main table'!BB$9*'Main table'!BB$26/100</f>
        <v>0.72524258999999991</v>
      </c>
      <c r="BD7" s="67">
        <f>'Main table'!BC$7/100*(1-'Main table'!BC$43/100)*'Main table'!BC$9*'Main table'!BC$26/100</f>
        <v>0.72524258999999991</v>
      </c>
      <c r="BE7" s="67">
        <f>'Main table'!BD$7/100*(1-'Main table'!BD$43/100)*'Main table'!BD$9*'Main table'!BD$26/100</f>
        <v>0</v>
      </c>
      <c r="BF7" s="67">
        <f>'Main table'!BE$7/100*(1-'Main table'!BE$43/100)*'Main table'!BE$9*'Main table'!BE$26/100</f>
        <v>0</v>
      </c>
      <c r="BG7" s="67">
        <f>'Main table'!BF$7/100*(1-'Main table'!BF$43/100)*'Main table'!BF$9*'Main table'!BF$26/100</f>
        <v>0</v>
      </c>
      <c r="BH7" s="67">
        <f>'Main table'!BG$7/100*(1-'Main table'!BG$43/100)*'Main table'!BG$9*'Main table'!BG$26/100</f>
        <v>0</v>
      </c>
      <c r="BI7" s="67">
        <f>'Main table'!BH$7/100*(1-'Main table'!BH$43/100)*'Main table'!BH$9*'Main table'!BH$26/100</f>
        <v>0</v>
      </c>
      <c r="BJ7" s="67">
        <f>'Main table'!BI$7/100*(1-'Main table'!BI$43/100)*'Main table'!BI$9*'Main table'!BI$26/100</f>
        <v>0</v>
      </c>
      <c r="BK7" s="67">
        <f>'Main table'!BJ$7/100*(1-'Main table'!BJ$43/100)*'Main table'!BJ$9*'Main table'!BJ$26/100</f>
        <v>0</v>
      </c>
      <c r="BL7" s="67">
        <f>'Main table'!BK$7/100*(1-'Main table'!BK$43/100)*'Main table'!BK$9*'Main table'!BK$26/100</f>
        <v>10.1736</v>
      </c>
      <c r="BM7" s="67">
        <f>'Main table'!BL$7/100*(1-'Main table'!BL$43/100)*'Main table'!BL$9*'Main table'!BL$26/100</f>
        <v>0</v>
      </c>
      <c r="BN7" s="67">
        <f>'Main table'!BM$7/100*(1-'Main table'!BM$43/100)*'Main table'!BM$9*'Main table'!BM$26/100</f>
        <v>0</v>
      </c>
      <c r="BO7" s="67">
        <f>'Main table'!BN$7/100*(1-'Main table'!BN$43/100)*'Main table'!BN$9*'Main table'!BN$26/100</f>
        <v>3.3422287500000003</v>
      </c>
      <c r="BP7" s="67">
        <f>'Main table'!BO$7/100*(1-'Main table'!BO$43/100)*'Main table'!BO$9*'Main table'!BO$26/100</f>
        <v>0.94938480000000025</v>
      </c>
      <c r="BQ7" s="67">
        <f>'Main table'!BP$7/100*(1-'Main table'!BP$43/100)*'Main table'!BP$9*'Main table'!BP$26/100</f>
        <v>2.7774022500000006</v>
      </c>
      <c r="BR7" s="67">
        <f>'Main table'!BQ$7/100*(1-'Main table'!BQ$43/100)*'Main table'!BQ$9*'Main table'!BQ$26/100</f>
        <v>0.48648140549999996</v>
      </c>
      <c r="BS7" s="67">
        <f>'Main table'!BR$7/100*(1-'Main table'!BR$43/100)*'Main table'!BR$9*'Main table'!BR$26/100</f>
        <v>0.12039300000000001</v>
      </c>
      <c r="BT7" s="67">
        <f>'Main table'!BS$7/100*(1-'Main table'!BS$43/100)*'Main table'!BS$9*'Main table'!BS$26/100</f>
        <v>2.588768</v>
      </c>
      <c r="BU7" s="67">
        <f>'Main table'!BT$7/100*(1-'Main table'!BT$43/100)*'Main table'!BT$9*'Main table'!BT$26/100</f>
        <v>2.588768</v>
      </c>
    </row>
    <row r="8" spans="1:73" x14ac:dyDescent="0.3">
      <c r="A8" s="62" t="s">
        <v>246</v>
      </c>
      <c r="B8" t="s">
        <v>329</v>
      </c>
      <c r="C8">
        <v>-1</v>
      </c>
      <c r="D8" s="67">
        <f>1-'Main table'!C$43/100</f>
        <v>0.93099999999999994</v>
      </c>
      <c r="E8" s="67">
        <f>1-'Main table'!D$43/100</f>
        <v>0.93099999999999994</v>
      </c>
      <c r="F8" s="67">
        <f>1-'Main table'!E$43/100</f>
        <v>0.93099999999999994</v>
      </c>
      <c r="G8" s="67">
        <f>1-'Main table'!F$43/100</f>
        <v>0.93099999999999994</v>
      </c>
      <c r="H8" s="67">
        <f>1-'Main table'!G$43/100</f>
        <v>0.93099999999999994</v>
      </c>
      <c r="I8" s="67">
        <f>1-'Main table'!H$43/100</f>
        <v>0.93099999999999994</v>
      </c>
      <c r="J8" s="67">
        <f>1-'Main table'!I$43/100</f>
        <v>0.93099999999999994</v>
      </c>
      <c r="K8" s="67">
        <f>1-'Main table'!J$43/100</f>
        <v>1</v>
      </c>
      <c r="L8" s="67">
        <f>1-'Main table'!K$43/100</f>
        <v>0.93099999999999994</v>
      </c>
      <c r="M8" s="67">
        <f>1-'Main table'!L$43/100</f>
        <v>0.93099999999999994</v>
      </c>
      <c r="N8" s="67">
        <f>1-'Main table'!M$43/100</f>
        <v>0.93099999999999994</v>
      </c>
      <c r="O8" s="67">
        <f>1-'Main table'!N$43/100</f>
        <v>0.93099999999999994</v>
      </c>
      <c r="P8" s="67">
        <f>1-'Main table'!O$43/100</f>
        <v>1</v>
      </c>
      <c r="Q8" s="67">
        <f>1-'Main table'!P$43/100</f>
        <v>1</v>
      </c>
      <c r="R8" s="67">
        <f>1-'Main table'!Q$43/100</f>
        <v>1</v>
      </c>
      <c r="S8" s="67">
        <f>1-'Main table'!R$43/100</f>
        <v>1</v>
      </c>
      <c r="T8" s="67">
        <f>1-'Main table'!S$43/100</f>
        <v>1</v>
      </c>
      <c r="U8" s="67">
        <f>1-'Main table'!T$43/100</f>
        <v>0.95</v>
      </c>
      <c r="V8" s="67">
        <f>1-'Main table'!U$43/100</f>
        <v>0.95</v>
      </c>
      <c r="W8" s="67">
        <f>1-'Main table'!V$43/100</f>
        <v>0.95</v>
      </c>
      <c r="X8" s="67">
        <f>1-'Main table'!W$43/100</f>
        <v>1</v>
      </c>
      <c r="Y8" s="67">
        <f>1-'Main table'!X$43/100</f>
        <v>0.95</v>
      </c>
      <c r="Z8" s="67">
        <f>1-'Main table'!Y$43/100</f>
        <v>0.95</v>
      </c>
      <c r="AA8" s="67">
        <f>1-'Main table'!Z$43/100</f>
        <v>0.95</v>
      </c>
      <c r="AB8" s="67">
        <f>1-'Main table'!AA$43/100</f>
        <v>0.95</v>
      </c>
      <c r="AC8" s="67">
        <f>1-'Main table'!AB$43/100</f>
        <v>0.95</v>
      </c>
      <c r="AD8" s="67">
        <f>1-'Main table'!AC$43/100</f>
        <v>0.95</v>
      </c>
      <c r="AE8" s="67">
        <f>1-'Main table'!AD$43/100</f>
        <v>0.95</v>
      </c>
      <c r="AF8" s="67">
        <f>1-'Main table'!AE$43/100</f>
        <v>0.95</v>
      </c>
      <c r="AG8" s="67">
        <f>1-'Main table'!AF$43/100</f>
        <v>1</v>
      </c>
      <c r="AH8" s="67">
        <f>1-'Main table'!AG$43/100</f>
        <v>1</v>
      </c>
      <c r="AI8" s="67">
        <f>1-'Main table'!AH$43/100</f>
        <v>1</v>
      </c>
      <c r="AJ8" s="67">
        <f>1-'Main table'!AI$43/100</f>
        <v>1</v>
      </c>
      <c r="AK8" s="67">
        <f>1-'Main table'!AJ$43/100</f>
        <v>1</v>
      </c>
      <c r="AL8" s="67">
        <f>1-'Main table'!AK$43/100</f>
        <v>0.95</v>
      </c>
      <c r="AM8" s="67">
        <f>1-'Main table'!AL$43/100</f>
        <v>0.95</v>
      </c>
      <c r="AN8" s="67">
        <f>1-'Main table'!AM$43/100</f>
        <v>0.95</v>
      </c>
      <c r="AO8" s="67">
        <f>1-'Main table'!AN$43/100</f>
        <v>0.95</v>
      </c>
      <c r="AP8" s="67">
        <f>1-'Main table'!AO$43/100</f>
        <v>0.95</v>
      </c>
      <c r="AQ8" s="67">
        <f>1-'Main table'!AP$43/100</f>
        <v>1</v>
      </c>
      <c r="AR8" s="67">
        <f>1-'Main table'!AQ$43/100</f>
        <v>1</v>
      </c>
      <c r="AS8" s="67">
        <f>1-'Main table'!AR$43/100</f>
        <v>0.9</v>
      </c>
      <c r="AT8" s="67">
        <f>1-'Main table'!AS$43/100</f>
        <v>0.9</v>
      </c>
      <c r="AU8" s="67">
        <f>1-'Main table'!AT$43/100</f>
        <v>0.9</v>
      </c>
      <c r="AV8" s="67">
        <f>1-'Main table'!AU$43/100</f>
        <v>0.9</v>
      </c>
      <c r="AW8" s="67">
        <f>1-'Main table'!AV$43/100</f>
        <v>0.85499999999999998</v>
      </c>
      <c r="AX8" s="67">
        <f>1-'Main table'!AW$43/100</f>
        <v>0.85499999999999998</v>
      </c>
      <c r="AY8" s="67">
        <f>1-'Main table'!AX$43/100</f>
        <v>0.85499999999999998</v>
      </c>
      <c r="AZ8" s="67">
        <f>1-'Main table'!AY$43/100</f>
        <v>1</v>
      </c>
      <c r="BA8" s="67">
        <f>1-'Main table'!AZ$43/100</f>
        <v>1</v>
      </c>
      <c r="BB8" s="67">
        <f>1-'Main table'!BA$43/100</f>
        <v>1</v>
      </c>
      <c r="BC8" s="67">
        <f>1-'Main table'!BB$43/100</f>
        <v>0.9</v>
      </c>
      <c r="BD8" s="67">
        <f>1-'Main table'!BC$43/100</f>
        <v>0.9</v>
      </c>
      <c r="BE8" s="67">
        <f>1-'Main table'!BD$43/100</f>
        <v>0.9</v>
      </c>
      <c r="BF8" s="67">
        <f>1-'Main table'!BE$43/100</f>
        <v>0.9</v>
      </c>
      <c r="BG8" s="67">
        <f>1-'Main table'!BF$43/100</f>
        <v>0.9</v>
      </c>
      <c r="BH8" s="67">
        <f>1-'Main table'!BG$43/100</f>
        <v>1</v>
      </c>
      <c r="BI8" s="67">
        <f>1-'Main table'!BH$43/100</f>
        <v>1</v>
      </c>
      <c r="BJ8" s="67">
        <f>1-'Main table'!BI$43/100</f>
        <v>1</v>
      </c>
      <c r="BK8" s="67">
        <f>1-'Main table'!BJ$43/100</f>
        <v>1</v>
      </c>
      <c r="BL8" s="67">
        <f>1-'Main table'!BK$43/100</f>
        <v>0.9</v>
      </c>
      <c r="BM8" s="67">
        <f>1-'Main table'!BL$43/100</f>
        <v>1</v>
      </c>
      <c r="BN8" s="67">
        <f>1-'Main table'!BM$43/100</f>
        <v>1</v>
      </c>
      <c r="BO8" s="67">
        <f>1-'Main table'!BN$43/100</f>
        <v>1</v>
      </c>
      <c r="BP8" s="67">
        <f>1-'Main table'!BO$43/100</f>
        <v>0.7200000000000002</v>
      </c>
      <c r="BQ8" s="67">
        <f>1-'Main table'!BP$43/100</f>
        <v>0.7200000000000002</v>
      </c>
      <c r="BR8" s="67">
        <f>1-'Main table'!BQ$43/100</f>
        <v>0.85499999999999998</v>
      </c>
      <c r="BS8" s="67">
        <f>1-'Main table'!BR$43/100</f>
        <v>0.9</v>
      </c>
      <c r="BT8" s="67">
        <f>1-'Main table'!BS$43/100</f>
        <v>1</v>
      </c>
      <c r="BU8" s="67">
        <f>1-'Main table'!BT$43/100</f>
        <v>1</v>
      </c>
    </row>
    <row r="9" spans="1:73" x14ac:dyDescent="0.3">
      <c r="A9" s="62" t="s">
        <v>246</v>
      </c>
      <c r="B9" t="s">
        <v>240</v>
      </c>
      <c r="C9">
        <v>1</v>
      </c>
      <c r="D9" s="67">
        <f>'Main table'!C$7/100*(1-'Main table'!C$43/100)*'Main table'!C$25</f>
        <v>10.488645999999999</v>
      </c>
      <c r="E9" s="67">
        <f>'Main table'!D$7/100*(1-'Main table'!D$43/100)*'Main table'!D$25</f>
        <v>10.488645999999999</v>
      </c>
      <c r="F9" s="67">
        <f>'Main table'!E$7/100*(1-'Main table'!E$43/100)*'Main table'!E$25</f>
        <v>10.408579999999999</v>
      </c>
      <c r="G9" s="67">
        <f>'Main table'!F$7/100*(1-'Main table'!F$43/100)*'Main table'!F$25</f>
        <v>9.9281839999999999</v>
      </c>
      <c r="H9" s="67">
        <f>'Main table'!G$7/100*(1-'Main table'!G$43/100)*'Main table'!G$25</f>
        <v>9.7680519999999991</v>
      </c>
      <c r="I9" s="67">
        <f>'Main table'!H$7/100*(1-'Main table'!H$43/100)*'Main table'!H$25</f>
        <v>10.888976</v>
      </c>
      <c r="J9" s="67">
        <f>'Main table'!I$7/100*(1-'Main table'!I$43/100)*'Main table'!I$25</f>
        <v>10.328514</v>
      </c>
      <c r="K9" s="67">
        <f>'Main table'!J$7/100*(1-'Main table'!J$43/100)*'Main table'!J$25</f>
        <v>0</v>
      </c>
      <c r="L9" s="67">
        <f>'Main table'!K$7/100*(1-'Main table'!K$43/100)*'Main table'!K$25</f>
        <v>10.853598</v>
      </c>
      <c r="M9" s="67">
        <f>'Main table'!L$7/100*(1-'Main table'!L$43/100)*'Main table'!L$25</f>
        <v>10.728843999999999</v>
      </c>
      <c r="N9" s="67">
        <f>'Main table'!M$7/100*(1-'Main table'!M$43/100)*'Main table'!M$25</f>
        <v>10.648778</v>
      </c>
      <c r="O9" s="67">
        <f>'Main table'!N$7/100*(1-'Main table'!N$43/100)*'Main table'!N$25</f>
        <v>11.289305999999998</v>
      </c>
      <c r="P9" s="67">
        <f>'Main table'!O$7/100*(1-'Main table'!O$43/100)*'Main table'!O$25</f>
        <v>29.8</v>
      </c>
      <c r="Q9" s="67">
        <f>'Main table'!P$7/100*(1-'Main table'!P$43/100)*'Main table'!P$25</f>
        <v>29.8</v>
      </c>
      <c r="R9" s="67">
        <f>'Main table'!Q$7/100*(1-'Main table'!Q$43/100)*'Main table'!Q$25</f>
        <v>29.8</v>
      </c>
      <c r="S9" s="67">
        <f>'Main table'!R$7/100*(1-'Main table'!R$43/100)*'Main table'!R$25</f>
        <v>0</v>
      </c>
      <c r="T9" s="67">
        <f>'Main table'!S$7/100*(1-'Main table'!S$43/100)*'Main table'!S$25</f>
        <v>29.8</v>
      </c>
      <c r="U9" s="67">
        <f>'Main table'!T$7/100*(1-'Main table'!T$43/100)*'Main table'!T$25</f>
        <v>9.4483199999999989</v>
      </c>
      <c r="V9" s="67">
        <f>'Main table'!U$7/100*(1-'Main table'!U$43/100)*'Main table'!U$25</f>
        <v>7.6940499999999989</v>
      </c>
      <c r="W9" s="67">
        <f>'Main table'!V$7/100*(1-'Main table'!V$43/100)*'Main table'!V$25</f>
        <v>11.356679999999999</v>
      </c>
      <c r="X9" s="67">
        <f>'Main table'!W$7/100*(1-'Main table'!W$43/100)*'Main table'!W$25</f>
        <v>0</v>
      </c>
      <c r="Y9" s="67">
        <f>'Main table'!X$7/100*(1-'Main table'!X$43/100)*'Main table'!X$25</f>
        <v>10.758749999999999</v>
      </c>
      <c r="Z9" s="67">
        <f>'Main table'!Y$7/100*(1-'Main table'!Y$43/100)*'Main table'!Y$25</f>
        <v>9.0914999999999999</v>
      </c>
      <c r="AA9" s="67">
        <f>'Main table'!Z$7/100*(1-'Main table'!Z$43/100)*'Main table'!Z$25</f>
        <v>15.416029999999999</v>
      </c>
      <c r="AB9" s="67">
        <f>'Main table'!AA$7/100*(1-'Main table'!AA$43/100)*'Main table'!AA$25</f>
        <v>14.193000000000001</v>
      </c>
      <c r="AC9" s="67">
        <f>'Main table'!AB$7/100*(1-'Main table'!AB$43/100)*'Main table'!AB$25</f>
        <v>10.233969999999999</v>
      </c>
      <c r="AD9" s="67">
        <f>'Main table'!AC$7/100*(1-'Main table'!AC$43/100)*'Main table'!AC$25</f>
        <v>11.897419999999999</v>
      </c>
      <c r="AE9" s="67">
        <f>'Main table'!AD$7/100*(1-'Main table'!AD$43/100)*'Main table'!AD$25</f>
        <v>10.758749999999999</v>
      </c>
      <c r="AF9" s="67">
        <f>'Main table'!AE$7/100*(1-'Main table'!AE$43/100)*'Main table'!AE$25</f>
        <v>12.006099999999998</v>
      </c>
      <c r="AG9" s="67">
        <f>'Main table'!AF$7/100*(1-'Main table'!AF$43/100)*'Main table'!AF$25</f>
        <v>0</v>
      </c>
      <c r="AH9" s="67">
        <f>'Main table'!AG$7/100*(1-'Main table'!AG$43/100)*'Main table'!AG$25</f>
        <v>0</v>
      </c>
      <c r="AI9" s="67">
        <f>'Main table'!AH$7/100*(1-'Main table'!AH$43/100)*'Main table'!AH$25</f>
        <v>0</v>
      </c>
      <c r="AJ9" s="67">
        <f>'Main table'!AI$7/100*(1-'Main table'!AI$43/100)*'Main table'!AI$25</f>
        <v>0</v>
      </c>
      <c r="AK9" s="67">
        <f>'Main table'!AJ$7/100*(1-'Main table'!AJ$43/100)*'Main table'!AJ$25</f>
        <v>0</v>
      </c>
      <c r="AL9" s="67">
        <f>'Main table'!AK$7/100*(1-'Main table'!AK$43/100)*'Main table'!AK$25</f>
        <v>8.1983099999999993</v>
      </c>
      <c r="AM9" s="67">
        <f>'Main table'!AL$7/100*(1-'Main table'!AL$43/100)*'Main table'!AL$25</f>
        <v>12.158099999999999</v>
      </c>
      <c r="AN9" s="67">
        <f>'Main table'!AM$7/100*(1-'Main table'!AM$43/100)*'Main table'!AM$25</f>
        <v>16.507200000000001</v>
      </c>
      <c r="AO9" s="67">
        <f>'Main table'!AN$7/100*(1-'Main table'!AN$43/100)*'Main table'!AN$25</f>
        <v>11.33445</v>
      </c>
      <c r="AP9" s="67">
        <f>'Main table'!AO$7/100*(1-'Main table'!AO$43/100)*'Main table'!AO$25</f>
        <v>11.33445</v>
      </c>
      <c r="AQ9" s="67">
        <f>'Main table'!AP$7/100*(1-'Main table'!AP$43/100)*'Main table'!AP$25</f>
        <v>0</v>
      </c>
      <c r="AR9" s="67">
        <f>'Main table'!AQ$7/100*(1-'Main table'!AQ$43/100)*'Main table'!AQ$25</f>
        <v>0</v>
      </c>
      <c r="AS9" s="67">
        <f>'Main table'!AR$7/100*(1-'Main table'!AR$43/100)*'Main table'!AR$25</f>
        <v>4.0725000000000007</v>
      </c>
      <c r="AT9" s="67">
        <f>'Main table'!AS$7/100*(1-'Main table'!AS$43/100)*'Main table'!AS$25</f>
        <v>12.133241379310348</v>
      </c>
      <c r="AU9" s="67">
        <f>'Main table'!AT$7/100*(1-'Main table'!AT$43/100)*'Main table'!AT$25</f>
        <v>2.1177000000000001</v>
      </c>
      <c r="AV9" s="67">
        <f>'Main table'!AU$7/100*(1-'Main table'!AU$43/100)*'Main table'!AU$25</f>
        <v>2.2062600000000003</v>
      </c>
      <c r="AW9" s="67">
        <f>'Main table'!AV$7/100*(1-'Main table'!AV$43/100)*'Main table'!AV$25</f>
        <v>15.794415000000001</v>
      </c>
      <c r="AX9" s="67">
        <f>'Main table'!AW$7/100*(1-'Main table'!AW$43/100)*'Main table'!AW$25</f>
        <v>0</v>
      </c>
      <c r="AY9" s="67">
        <f>'Main table'!AX$7/100*(1-'Main table'!AX$43/100)*'Main table'!AX$25</f>
        <v>11.25009</v>
      </c>
      <c r="AZ9" s="67">
        <f>'Main table'!AY$7/100*(1-'Main table'!AY$43/100)*'Main table'!AY$25</f>
        <v>0</v>
      </c>
      <c r="BA9" s="67">
        <f>'Main table'!AZ$7/100*(1-'Main table'!AZ$43/100)*'Main table'!AZ$25</f>
        <v>0</v>
      </c>
      <c r="BB9" s="67">
        <f>'Main table'!BA$7/100*(1-'Main table'!BA$43/100)*'Main table'!BA$25</f>
        <v>0</v>
      </c>
      <c r="BC9" s="67">
        <f>'Main table'!BB$7/100*(1-'Main table'!BB$43/100)*'Main table'!BB$25</f>
        <v>0.33506999999999992</v>
      </c>
      <c r="BD9" s="67">
        <f>'Main table'!BC$7/100*(1-'Main table'!BC$43/100)*'Main table'!BC$25</f>
        <v>0.33506999999999992</v>
      </c>
      <c r="BE9" s="67">
        <f>'Main table'!BD$7/100*(1-'Main table'!BD$43/100)*'Main table'!BD$25</f>
        <v>1.4994000000000003</v>
      </c>
      <c r="BF9" s="67">
        <f>'Main table'!BE$7/100*(1-'Main table'!BE$43/100)*'Main table'!BE$25</f>
        <v>1.4994000000000003</v>
      </c>
      <c r="BG9" s="67">
        <f>'Main table'!BF$7/100*(1-'Main table'!BF$43/100)*'Main table'!BF$25</f>
        <v>1.4994000000000003</v>
      </c>
      <c r="BH9" s="67">
        <f>'Main table'!BG$7/100*(1-'Main table'!BG$43/100)*'Main table'!BG$25</f>
        <v>0</v>
      </c>
      <c r="BI9" s="67">
        <f>'Main table'!BH$7/100*(1-'Main table'!BH$43/100)*'Main table'!BH$25</f>
        <v>0</v>
      </c>
      <c r="BJ9" s="67">
        <f>'Main table'!BI$7/100*(1-'Main table'!BI$43/100)*'Main table'!BI$25</f>
        <v>0</v>
      </c>
      <c r="BK9" s="67">
        <f>'Main table'!BJ$7/100*(1-'Main table'!BJ$43/100)*'Main table'!BJ$25</f>
        <v>11</v>
      </c>
      <c r="BL9" s="67">
        <f>'Main table'!BK$7/100*(1-'Main table'!BK$43/100)*'Main table'!BK$25</f>
        <v>3.2197499999999994</v>
      </c>
      <c r="BM9" s="67">
        <f>'Main table'!BL$7/100*(1-'Main table'!BL$43/100)*'Main table'!BL$25</f>
        <v>0</v>
      </c>
      <c r="BN9" s="67">
        <f>'Main table'!BM$7/100*(1-'Main table'!BM$43/100)*'Main table'!BM$25</f>
        <v>0</v>
      </c>
      <c r="BO9" s="67">
        <f>'Main table'!BN$7/100*(1-'Main table'!BN$43/100)*'Main table'!BN$25</f>
        <v>3.29</v>
      </c>
      <c r="BP9" s="67">
        <f>'Main table'!BO$7/100*(1-'Main table'!BO$43/100)*'Main table'!BO$25</f>
        <v>2.7216000000000009</v>
      </c>
      <c r="BQ9" s="67">
        <f>'Main table'!BP$7/100*(1-'Main table'!BP$43/100)*'Main table'!BP$25</f>
        <v>2.3625000000000007</v>
      </c>
      <c r="BR9" s="67">
        <f>'Main table'!BQ$7/100*(1-'Main table'!BQ$43/100)*'Main table'!BQ$25</f>
        <v>1.6584435</v>
      </c>
      <c r="BS9" s="67">
        <f>'Main table'!BR$7/100*(1-'Main table'!BR$43/100)*'Main table'!BR$25</f>
        <v>5.5692000000000004</v>
      </c>
      <c r="BT9" s="67">
        <f>'Main table'!BS$7/100*(1-'Main table'!BS$43/100)*'Main table'!BS$25</f>
        <v>2.3530000000000002</v>
      </c>
      <c r="BU9" s="67">
        <f>'Main table'!BT$7/100*(1-'Main table'!BT$43/100)*'Main table'!BT$25</f>
        <v>2.3530000000000002</v>
      </c>
    </row>
    <row r="10" spans="1:73" x14ac:dyDescent="0.3">
      <c r="A10" s="62" t="s">
        <v>246</v>
      </c>
      <c r="B10" t="s">
        <v>241</v>
      </c>
      <c r="C10">
        <v>1</v>
      </c>
      <c r="D10" s="67">
        <f>'Main table'!C$7/100*(1-'Main table'!C$43/100)*'Main table'!C$9*'Main table'!C$26/100</f>
        <v>7.102174464</v>
      </c>
      <c r="E10" s="67">
        <f>'Main table'!D$7/100*(1-'Main table'!D$43/100)*'Main table'!D$9*'Main table'!D$26/100</f>
        <v>9.5009518239999995</v>
      </c>
      <c r="F10" s="67">
        <f>'Main table'!E$7/100*(1-'Main table'!E$43/100)*'Main table'!E$9*'Main table'!E$26/100</f>
        <v>5.6325630339999995</v>
      </c>
      <c r="G10" s="67">
        <f>'Main table'!F$7/100*(1-'Main table'!F$43/100)*'Main table'!F$9*'Main table'!F$26/100</f>
        <v>6.2922268079999988</v>
      </c>
      <c r="H10" s="67">
        <f>'Main table'!G$7/100*(1-'Main table'!G$43/100)*'Main table'!G$9*'Main table'!G$26/100</f>
        <v>5.6278391399999999</v>
      </c>
      <c r="I10" s="67">
        <f>'Main table'!H$7/100*(1-'Main table'!H$43/100)*'Main table'!H$9*'Main table'!H$26/100</f>
        <v>4.9898732519999998</v>
      </c>
      <c r="J10" s="67">
        <f>'Main table'!I$7/100*(1-'Main table'!I$43/100)*'Main table'!I$9*'Main table'!I$26/100</f>
        <v>6.5105667899999995</v>
      </c>
      <c r="K10" s="67">
        <f>'Main table'!J$7/100*(1-'Main table'!J$43/100)*'Main table'!J$9*'Main table'!J$26/100</f>
        <v>0</v>
      </c>
      <c r="L10" s="67">
        <f>'Main table'!K$7/100*(1-'Main table'!K$43/100)*'Main table'!K$9*'Main table'!K$26/100</f>
        <v>5.8965816000000011</v>
      </c>
      <c r="M10" s="67">
        <f>'Main table'!L$7/100*(1-'Main table'!L$43/100)*'Main table'!L$9*'Main table'!L$26/100</f>
        <v>14.925903719999999</v>
      </c>
      <c r="N10" s="67">
        <f>'Main table'!M$7/100*(1-'Main table'!M$43/100)*'Main table'!M$9*'Main table'!M$26/100</f>
        <v>18.319901460000001</v>
      </c>
      <c r="O10" s="67">
        <f>'Main table'!N$7/100*(1-'Main table'!N$43/100)*'Main table'!N$9*'Main table'!N$26/100</f>
        <v>21.585793599999999</v>
      </c>
      <c r="P10" s="67">
        <f>'Main table'!O$7/100*(1-'Main table'!O$43/100)*'Main table'!O$9*'Main table'!O$26/100</f>
        <v>0</v>
      </c>
      <c r="Q10" s="67">
        <f>'Main table'!P$7/100*(1-'Main table'!P$43/100)*'Main table'!P$9*'Main table'!P$26/100</f>
        <v>0</v>
      </c>
      <c r="R10" s="67">
        <f>'Main table'!Q$7/100*(1-'Main table'!Q$43/100)*'Main table'!Q$9*'Main table'!Q$26/100</f>
        <v>0</v>
      </c>
      <c r="S10" s="67">
        <f>'Main table'!R$7/100*(1-'Main table'!R$43/100)*'Main table'!R$9*'Main table'!R$26/100</f>
        <v>0</v>
      </c>
      <c r="T10" s="67">
        <f>'Main table'!S$7/100*(1-'Main table'!S$43/100)*'Main table'!S$9*'Main table'!S$26/100</f>
        <v>0</v>
      </c>
      <c r="U10" s="67">
        <f>'Main table'!T$7/100*(1-'Main table'!T$43/100)*'Main table'!T$9*'Main table'!T$26/100</f>
        <v>24.135480360000003</v>
      </c>
      <c r="V10" s="67">
        <f>'Main table'!U$7/100*(1-'Main table'!U$43/100)*'Main table'!U$9*'Main table'!U$26/100</f>
        <v>23.148098999999998</v>
      </c>
      <c r="W10" s="67">
        <f>'Main table'!V$7/100*(1-'Main table'!V$43/100)*'Main table'!V$9*'Main table'!V$26/100</f>
        <v>34.777494359999999</v>
      </c>
      <c r="X10" s="67">
        <f>'Main table'!W$7/100*(1-'Main table'!W$43/100)*'Main table'!W$9*'Main table'!W$26/100</f>
        <v>0</v>
      </c>
      <c r="Y10" s="67">
        <f>'Main table'!X$7/100*(1-'Main table'!X$43/100)*'Main table'!X$9*'Main table'!X$26/100</f>
        <v>24.75226880999999</v>
      </c>
      <c r="Z10" s="67">
        <f>'Main table'!Y$7/100*(1-'Main table'!Y$43/100)*'Main table'!Y$9*'Main table'!Y$26/100</f>
        <v>9.7229460000000003</v>
      </c>
      <c r="AA10" s="67">
        <f>'Main table'!Z$7/100*(1-'Main table'!Z$43/100)*'Main table'!Z$9*'Main table'!Z$26/100</f>
        <v>61.865508599999991</v>
      </c>
      <c r="AB10" s="67">
        <f>'Main table'!AA$7/100*(1-'Main table'!AA$43/100)*'Main table'!AA$9*'Main table'!AA$26/100</f>
        <v>46.539360000000009</v>
      </c>
      <c r="AC10" s="67">
        <f>'Main table'!AB$7/100*(1-'Main table'!AB$43/100)*'Main table'!AB$9*'Main table'!AB$26/100</f>
        <v>13.543065480000001</v>
      </c>
      <c r="AD10" s="67">
        <f>'Main table'!AC$7/100*(1-'Main table'!AC$43/100)*'Main table'!AC$9*'Main table'!AC$26/100</f>
        <v>17.483939840000001</v>
      </c>
      <c r="AE10" s="67">
        <f>'Main table'!AD$7/100*(1-'Main table'!AD$43/100)*'Main table'!AD$9*'Main table'!AD$26/100</f>
        <v>24.75226880999999</v>
      </c>
      <c r="AF10" s="67">
        <f>'Main table'!AE$7/100*(1-'Main table'!AE$43/100)*'Main table'!AE$9*'Main table'!AE$26/100</f>
        <v>19.2055325</v>
      </c>
      <c r="AG10" s="67">
        <f>'Main table'!AF$7/100*(1-'Main table'!AF$43/100)*'Main table'!AF$9*'Main table'!AF$26/100</f>
        <v>0</v>
      </c>
      <c r="AH10" s="67">
        <f>'Main table'!AG$7/100*(1-'Main table'!AG$43/100)*'Main table'!AG$9*'Main table'!AG$26/100</f>
        <v>0</v>
      </c>
      <c r="AI10" s="67">
        <f>'Main table'!AH$7/100*(1-'Main table'!AH$43/100)*'Main table'!AH$9*'Main table'!AH$26/100</f>
        <v>0</v>
      </c>
      <c r="AJ10" s="67">
        <f>'Main table'!AI$7/100*(1-'Main table'!AI$43/100)*'Main table'!AI$9*'Main table'!AI$26/100</f>
        <v>0</v>
      </c>
      <c r="AK10" s="67">
        <f>'Main table'!AJ$7/100*(1-'Main table'!AJ$43/100)*'Main table'!AJ$9*'Main table'!AJ$26/100</f>
        <v>0</v>
      </c>
      <c r="AL10" s="67">
        <f>'Main table'!AK$7/100*(1-'Main table'!AK$43/100)*'Main table'!AK$9*'Main table'!AK$26/100</f>
        <v>7.4146522449999983</v>
      </c>
      <c r="AM10" s="67">
        <f>'Main table'!AL$7/100*(1-'Main table'!AL$43/100)*'Main table'!AL$9*'Main table'!AL$26/100</f>
        <v>25.631976599999998</v>
      </c>
      <c r="AN10" s="67">
        <f>'Main table'!AM$7/100*(1-'Main table'!AM$43/100)*'Main table'!AM$9*'Main table'!AM$26/100</f>
        <v>18.161203199999999</v>
      </c>
      <c r="AO10" s="67">
        <f>'Main table'!AN$7/100*(1-'Main table'!AN$43/100)*'Main table'!AN$9*'Main table'!AN$26/100</f>
        <v>8.5123562500000016</v>
      </c>
      <c r="AP10" s="67">
        <f>'Main table'!AO$7/100*(1-'Main table'!AO$43/100)*'Main table'!AO$9*'Main table'!AO$26/100</f>
        <v>8.5123562500000016</v>
      </c>
      <c r="AQ10" s="67">
        <f>'Main table'!AP$7/100*(1-'Main table'!AP$43/100)*'Main table'!AP$9*'Main table'!AP$26/100</f>
        <v>0</v>
      </c>
      <c r="AR10" s="67">
        <f>'Main table'!AQ$7/100*(1-'Main table'!AQ$43/100)*'Main table'!AQ$9*'Main table'!AQ$26/100</f>
        <v>0</v>
      </c>
      <c r="AS10" s="67">
        <f>'Main table'!AR$7/100*(1-'Main table'!AR$43/100)*'Main table'!AR$9*'Main table'!AR$26/100</f>
        <v>4.4805600000000005</v>
      </c>
      <c r="AT10" s="67">
        <f>'Main table'!AS$7/100*(1-'Main table'!AS$43/100)*'Main table'!AS$9*'Main table'!AS$26/100</f>
        <v>17.07264</v>
      </c>
      <c r="AU10" s="67">
        <f>'Main table'!AT$7/100*(1-'Main table'!AT$43/100)*'Main table'!AT$9*'Main table'!AT$26/100</f>
        <v>2.3298912000000001</v>
      </c>
      <c r="AV10" s="67">
        <f>'Main table'!AU$7/100*(1-'Main table'!AU$43/100)*'Main table'!AU$9*'Main table'!AU$26/100</f>
        <v>1.3816008</v>
      </c>
      <c r="AW10" s="67">
        <f>'Main table'!AV$7/100*(1-'Main table'!AV$43/100)*'Main table'!AV$9*'Main table'!AV$26/100</f>
        <v>12.130888769999999</v>
      </c>
      <c r="AX10" s="67">
        <f>'Main table'!AW$7/100*(1-'Main table'!AW$43/100)*'Main table'!AW$9*'Main table'!AW$26/100</f>
        <v>11.63698263</v>
      </c>
      <c r="AY10" s="67">
        <f>'Main table'!AX$7/100*(1-'Main table'!AX$43/100)*'Main table'!AX$9*'Main table'!AX$26/100</f>
        <v>26.934038999999999</v>
      </c>
      <c r="AZ10" s="67">
        <f>'Main table'!AY$7/100*(1-'Main table'!AY$43/100)*'Main table'!AY$9*'Main table'!AY$26/100</f>
        <v>0</v>
      </c>
      <c r="BA10" s="67">
        <f>'Main table'!AZ$7/100*(1-'Main table'!AZ$43/100)*'Main table'!AZ$9*'Main table'!AZ$26/100</f>
        <v>0</v>
      </c>
      <c r="BB10" s="67">
        <f>'Main table'!BA$7/100*(1-'Main table'!BA$43/100)*'Main table'!BA$9*'Main table'!BA$26/100</f>
        <v>0</v>
      </c>
      <c r="BC10" s="67">
        <f>'Main table'!BB$7/100*(1-'Main table'!BB$43/100)*'Main table'!BB$9*'Main table'!BB$26/100</f>
        <v>0.72524258999999991</v>
      </c>
      <c r="BD10" s="67">
        <f>'Main table'!BC$7/100*(1-'Main table'!BC$43/100)*'Main table'!BC$9*'Main table'!BC$26/100</f>
        <v>0.72524258999999991</v>
      </c>
      <c r="BE10" s="67">
        <f>'Main table'!BD$7/100*(1-'Main table'!BD$43/100)*'Main table'!BD$9*'Main table'!BD$26/100</f>
        <v>0</v>
      </c>
      <c r="BF10" s="67">
        <f>'Main table'!BE$7/100*(1-'Main table'!BE$43/100)*'Main table'!BE$9*'Main table'!BE$26/100</f>
        <v>0</v>
      </c>
      <c r="BG10" s="67">
        <f>'Main table'!BF$7/100*(1-'Main table'!BF$43/100)*'Main table'!BF$9*'Main table'!BF$26/100</f>
        <v>0</v>
      </c>
      <c r="BH10" s="67">
        <f>'Main table'!BG$7/100*(1-'Main table'!BG$43/100)*'Main table'!BG$9*'Main table'!BG$26/100</f>
        <v>0</v>
      </c>
      <c r="BI10" s="67">
        <f>'Main table'!BH$7/100*(1-'Main table'!BH$43/100)*'Main table'!BH$9*'Main table'!BH$26/100</f>
        <v>0</v>
      </c>
      <c r="BJ10" s="67">
        <f>'Main table'!BI$7/100*(1-'Main table'!BI$43/100)*'Main table'!BI$9*'Main table'!BI$26/100</f>
        <v>0</v>
      </c>
      <c r="BK10" s="67">
        <f>'Main table'!BJ$7/100*(1-'Main table'!BJ$43/100)*'Main table'!BJ$9*'Main table'!BJ$26/100</f>
        <v>0</v>
      </c>
      <c r="BL10" s="67">
        <f>'Main table'!BK$7/100*(1-'Main table'!BK$43/100)*'Main table'!BK$9*'Main table'!BK$26/100</f>
        <v>10.1736</v>
      </c>
      <c r="BM10" s="67">
        <f>'Main table'!BL$7/100*(1-'Main table'!BL$43/100)*'Main table'!BL$9*'Main table'!BL$26/100</f>
        <v>0</v>
      </c>
      <c r="BN10" s="67">
        <f>'Main table'!BM$7/100*(1-'Main table'!BM$43/100)*'Main table'!BM$9*'Main table'!BM$26/100</f>
        <v>0</v>
      </c>
      <c r="BO10" s="67">
        <f>'Main table'!BN$7/100*(1-'Main table'!BN$43/100)*'Main table'!BN$9*'Main table'!BN$26/100</f>
        <v>3.3422287500000003</v>
      </c>
      <c r="BP10" s="67">
        <f>'Main table'!BO$7/100*(1-'Main table'!BO$43/100)*'Main table'!BO$9*'Main table'!BO$26/100</f>
        <v>0.94938480000000025</v>
      </c>
      <c r="BQ10" s="67">
        <f>'Main table'!BP$7/100*(1-'Main table'!BP$43/100)*'Main table'!BP$9*'Main table'!BP$26/100</f>
        <v>2.7774022500000006</v>
      </c>
      <c r="BR10" s="67">
        <f>'Main table'!BQ$7/100*(1-'Main table'!BQ$43/100)*'Main table'!BQ$9*'Main table'!BQ$26/100</f>
        <v>0.48648140549999996</v>
      </c>
      <c r="BS10" s="67">
        <f>'Main table'!BR$7/100*(1-'Main table'!BR$43/100)*'Main table'!BR$9*'Main table'!BR$26/100</f>
        <v>0.12039300000000001</v>
      </c>
      <c r="BT10" s="67">
        <f>'Main table'!BS$7/100*(1-'Main table'!BS$43/100)*'Main table'!BS$9*'Main table'!BS$26/100</f>
        <v>2.588768</v>
      </c>
      <c r="BU10" s="67">
        <f>'Main table'!BT$7/100*(1-'Main table'!BT$43/100)*'Main table'!BT$9*'Main table'!BT$26/100</f>
        <v>2.588768</v>
      </c>
    </row>
    <row r="11" spans="1:73" x14ac:dyDescent="0.3">
      <c r="A11" s="62" t="s">
        <v>260</v>
      </c>
      <c r="B11" t="s">
        <v>329</v>
      </c>
      <c r="C11">
        <v>-1</v>
      </c>
      <c r="D11" s="67">
        <f>1-'Main table'!C$43/100</f>
        <v>0.93099999999999994</v>
      </c>
      <c r="E11" s="67">
        <f>1-'Main table'!D$43/100</f>
        <v>0.93099999999999994</v>
      </c>
      <c r="F11" s="67">
        <f>1-'Main table'!E$43/100</f>
        <v>0.93099999999999994</v>
      </c>
      <c r="G11" s="67">
        <f>1-'Main table'!F$43/100</f>
        <v>0.93099999999999994</v>
      </c>
      <c r="H11" s="67">
        <f>1-'Main table'!G$43/100</f>
        <v>0.93099999999999994</v>
      </c>
      <c r="I11" s="67">
        <f>1-'Main table'!H$43/100</f>
        <v>0.93099999999999994</v>
      </c>
      <c r="J11" s="67">
        <f>1-'Main table'!I$43/100</f>
        <v>0.93099999999999994</v>
      </c>
      <c r="K11" s="67">
        <f>1-'Main table'!J$43/100</f>
        <v>1</v>
      </c>
      <c r="L11" s="67">
        <f>1-'Main table'!K$43/100</f>
        <v>0.93099999999999994</v>
      </c>
      <c r="M11" s="67">
        <f>1-'Main table'!L$43/100</f>
        <v>0.93099999999999994</v>
      </c>
      <c r="N11" s="67">
        <f>1-'Main table'!M$43/100</f>
        <v>0.93099999999999994</v>
      </c>
      <c r="O11" s="67">
        <f>1-'Main table'!N$43/100</f>
        <v>0.93099999999999994</v>
      </c>
      <c r="P11" s="67">
        <f>1-'Main table'!O$43/100</f>
        <v>1</v>
      </c>
      <c r="Q11" s="67">
        <f>1-'Main table'!P$43/100</f>
        <v>1</v>
      </c>
      <c r="R11" s="67">
        <f>1-'Main table'!Q$43/100</f>
        <v>1</v>
      </c>
      <c r="S11" s="67">
        <f>1-'Main table'!R$43/100</f>
        <v>1</v>
      </c>
      <c r="T11" s="67">
        <f>1-'Main table'!S$43/100</f>
        <v>1</v>
      </c>
      <c r="U11" s="67">
        <f>1-'Main table'!T$43/100</f>
        <v>0.95</v>
      </c>
      <c r="V11" s="67">
        <f>1-'Main table'!U$43/100</f>
        <v>0.95</v>
      </c>
      <c r="W11" s="67">
        <f>1-'Main table'!V$43/100</f>
        <v>0.95</v>
      </c>
      <c r="X11" s="67">
        <f>1-'Main table'!W$43/100</f>
        <v>1</v>
      </c>
      <c r="Y11" s="67">
        <f>1-'Main table'!X$43/100</f>
        <v>0.95</v>
      </c>
      <c r="Z11" s="67">
        <f>1-'Main table'!Y$43/100</f>
        <v>0.95</v>
      </c>
      <c r="AA11" s="67">
        <f>1-'Main table'!Z$43/100</f>
        <v>0.95</v>
      </c>
      <c r="AB11" s="67">
        <f>1-'Main table'!AA$43/100</f>
        <v>0.95</v>
      </c>
      <c r="AC11" s="67">
        <f>1-'Main table'!AB$43/100</f>
        <v>0.95</v>
      </c>
      <c r="AD11" s="67">
        <f>1-'Main table'!AC$43/100</f>
        <v>0.95</v>
      </c>
      <c r="AE11" s="67">
        <f>1-'Main table'!AD$43/100</f>
        <v>0.95</v>
      </c>
      <c r="AF11" s="67">
        <f>1-'Main table'!AE$43/100</f>
        <v>0.95</v>
      </c>
      <c r="AG11" s="67">
        <f>1-'Main table'!AF$43/100</f>
        <v>1</v>
      </c>
      <c r="AH11" s="67">
        <f>1-'Main table'!AG$43/100</f>
        <v>1</v>
      </c>
      <c r="AI11" s="67">
        <f>1-'Main table'!AH$43/100</f>
        <v>1</v>
      </c>
      <c r="AJ11" s="67">
        <f>1-'Main table'!AI$43/100</f>
        <v>1</v>
      </c>
      <c r="AK11" s="67">
        <f>1-'Main table'!AJ$43/100</f>
        <v>1</v>
      </c>
      <c r="AL11" s="67">
        <f>1-'Main table'!AK$43/100</f>
        <v>0.95</v>
      </c>
      <c r="AM11" s="67">
        <f>1-'Main table'!AL$43/100</f>
        <v>0.95</v>
      </c>
      <c r="AN11" s="67">
        <f>1-'Main table'!AM$43/100</f>
        <v>0.95</v>
      </c>
      <c r="AO11" s="67">
        <f>1-'Main table'!AN$43/100</f>
        <v>0.95</v>
      </c>
      <c r="AP11" s="67">
        <f>1-'Main table'!AO$43/100</f>
        <v>0.95</v>
      </c>
      <c r="AQ11" s="67">
        <f>1-'Main table'!AP$43/100</f>
        <v>1</v>
      </c>
      <c r="AR11" s="67">
        <f>1-'Main table'!AQ$43/100</f>
        <v>1</v>
      </c>
      <c r="AS11" s="67">
        <f>1-'Main table'!AR$43/100</f>
        <v>0.9</v>
      </c>
      <c r="AT11" s="67">
        <f>1-'Main table'!AS$43/100</f>
        <v>0.9</v>
      </c>
      <c r="AU11" s="67">
        <f>1-'Main table'!AT$43/100</f>
        <v>0.9</v>
      </c>
      <c r="AV11" s="67">
        <f>1-'Main table'!AU$43/100</f>
        <v>0.9</v>
      </c>
      <c r="AW11" s="67">
        <f>1-'Main table'!AV$43/100</f>
        <v>0.85499999999999998</v>
      </c>
      <c r="AX11" s="67">
        <f>1-'Main table'!AW$43/100</f>
        <v>0.85499999999999998</v>
      </c>
      <c r="AY11" s="67">
        <f>1-'Main table'!AX$43/100</f>
        <v>0.85499999999999998</v>
      </c>
      <c r="AZ11" s="67">
        <f>1-'Main table'!AY$43/100</f>
        <v>1</v>
      </c>
      <c r="BA11" s="67">
        <f>1-'Main table'!AZ$43/100</f>
        <v>1</v>
      </c>
      <c r="BB11" s="67">
        <f>1-'Main table'!BA$43/100</f>
        <v>1</v>
      </c>
      <c r="BC11" s="67">
        <f>1-'Main table'!BB$43/100</f>
        <v>0.9</v>
      </c>
      <c r="BD11" s="67">
        <f>1-'Main table'!BC$43/100</f>
        <v>0.9</v>
      </c>
      <c r="BE11" s="67">
        <f>1-'Main table'!BD$43/100</f>
        <v>0.9</v>
      </c>
      <c r="BF11" s="67">
        <f>1-'Main table'!BE$43/100</f>
        <v>0.9</v>
      </c>
      <c r="BG11" s="67">
        <f>1-'Main table'!BF$43/100</f>
        <v>0.9</v>
      </c>
      <c r="BH11" s="67">
        <f>1-'Main table'!BG$43/100</f>
        <v>1</v>
      </c>
      <c r="BI11" s="67">
        <f>1-'Main table'!BH$43/100</f>
        <v>1</v>
      </c>
      <c r="BJ11" s="67">
        <f>1-'Main table'!BI$43/100</f>
        <v>1</v>
      </c>
      <c r="BK11" s="67">
        <f>1-'Main table'!BJ$43/100</f>
        <v>1</v>
      </c>
      <c r="BL11" s="67">
        <f>1-'Main table'!BK$43/100</f>
        <v>0.9</v>
      </c>
      <c r="BM11" s="67">
        <f>1-'Main table'!BL$43/100</f>
        <v>1</v>
      </c>
      <c r="BN11" s="67">
        <f>1-'Main table'!BM$43/100</f>
        <v>1</v>
      </c>
      <c r="BO11" s="67">
        <f>1-'Main table'!BN$43/100</f>
        <v>1</v>
      </c>
      <c r="BP11" s="67">
        <f>1-'Main table'!BO$43/100</f>
        <v>0.7200000000000002</v>
      </c>
      <c r="BQ11" s="67">
        <f>1-'Main table'!BP$43/100</f>
        <v>0.7200000000000002</v>
      </c>
      <c r="BR11" s="67">
        <f>1-'Main table'!BQ$43/100</f>
        <v>0.85499999999999998</v>
      </c>
      <c r="BS11" s="67">
        <f>1-'Main table'!BR$43/100</f>
        <v>0.9</v>
      </c>
      <c r="BT11" s="67">
        <f>1-'Main table'!BS$43/100</f>
        <v>1</v>
      </c>
      <c r="BU11" s="67">
        <f>1-'Main table'!BT$43/100</f>
        <v>1</v>
      </c>
    </row>
    <row r="12" spans="1:73" x14ac:dyDescent="0.3">
      <c r="A12" s="62" t="s">
        <v>260</v>
      </c>
      <c r="B12" t="s">
        <v>242</v>
      </c>
      <c r="C12">
        <v>1</v>
      </c>
      <c r="D12" s="67">
        <f>'Main table'!C$7/100*(1-'Main table'!C$43/100)*'Main table'!C$30</f>
        <v>9.6879859999999987</v>
      </c>
      <c r="E12" s="67">
        <f>'Main table'!D$7/100*(1-'Main table'!D$43/100)*'Main table'!D$30</f>
        <v>9.4477879999999992</v>
      </c>
      <c r="F12" s="67">
        <f>'Main table'!E$7/100*(1-'Main table'!E$43/100)*'Main table'!E$30</f>
        <v>9.0474579999999989</v>
      </c>
      <c r="G12" s="67">
        <f>'Main table'!F$7/100*(1-'Main table'!F$43/100)*'Main table'!F$30</f>
        <v>8.8873259999999981</v>
      </c>
      <c r="H12" s="67">
        <f>'Main table'!G$7/100*(1-'Main table'!G$43/100)*'Main table'!G$30</f>
        <v>7.2860059999999987</v>
      </c>
      <c r="I12" s="67">
        <f>'Main table'!H$7/100*(1-'Main table'!H$43/100)*'Main table'!H$30</f>
        <v>10.328514</v>
      </c>
      <c r="J12" s="67">
        <f>'Main table'!I$7/100*(1-'Main table'!I$43/100)*'Main table'!I$30</f>
        <v>9.5278539999999996</v>
      </c>
      <c r="K12" s="67">
        <f>'Main table'!J$7/100*(1-'Main table'!J$43/100)*'Main table'!J$30</f>
        <v>0</v>
      </c>
      <c r="L12" s="67">
        <f>'Main table'!K$7/100*(1-'Main table'!K$43/100)*'Main table'!K$30</f>
        <v>10.853598</v>
      </c>
      <c r="M12" s="67">
        <f>'Main table'!L$7/100*(1-'Main table'!L$43/100)*'Main table'!L$30</f>
        <v>10.728843999999999</v>
      </c>
      <c r="N12" s="67">
        <f>'Main table'!M$7/100*(1-'Main table'!M$43/100)*'Main table'!M$30</f>
        <v>11.769701999999999</v>
      </c>
      <c r="O12" s="67">
        <f>'Main table'!N$7/100*(1-'Main table'!N$43/100)*'Main table'!N$30</f>
        <v>7.4461379999999995</v>
      </c>
      <c r="P12" s="67">
        <f>'Main table'!O$7/100*(1-'Main table'!O$43/100)*'Main table'!O$30</f>
        <v>29.7</v>
      </c>
      <c r="Q12" s="67">
        <f>'Main table'!P$7/100*(1-'Main table'!P$43/100)*'Main table'!P$30</f>
        <v>29.8</v>
      </c>
      <c r="R12" s="67">
        <f>'Main table'!Q$7/100*(1-'Main table'!Q$43/100)*'Main table'!Q$30</f>
        <v>29.8</v>
      </c>
      <c r="S12" s="67">
        <f>'Main table'!R$7/100*(1-'Main table'!R$43/100)*'Main table'!R$30</f>
        <v>0</v>
      </c>
      <c r="T12" s="67">
        <f>'Main table'!S$7/100*(1-'Main table'!S$43/100)*'Main table'!S$30</f>
        <v>29.7</v>
      </c>
      <c r="U12" s="67">
        <f>'Main table'!T$7/100*(1-'Main table'!T$43/100)*'Main table'!T$30</f>
        <v>6.4113600000000002</v>
      </c>
      <c r="V12" s="67">
        <f>'Main table'!U$7/100*(1-'Main table'!U$43/100)*'Main table'!U$30</f>
        <v>4.4811499999999995</v>
      </c>
      <c r="W12" s="67">
        <f>'Main table'!V$7/100*(1-'Main table'!V$43/100)*'Main table'!V$30</f>
        <v>7.7659650000000005</v>
      </c>
      <c r="X12" s="67">
        <f>'Main table'!W$7/100*(1-'Main table'!W$43/100)*'Main table'!W$30</f>
        <v>0</v>
      </c>
      <c r="Y12" s="67">
        <f>'Main table'!X$7/100*(1-'Main table'!X$43/100)*'Main table'!X$30</f>
        <v>7.057739999999999</v>
      </c>
      <c r="Z12" s="67">
        <f>'Main table'!Y$7/100*(1-'Main table'!Y$43/100)*'Main table'!Y$30</f>
        <v>5.9508000000000001</v>
      </c>
      <c r="AA12" s="67">
        <f>'Main table'!Z$7/100*(1-'Main table'!Z$43/100)*'Main table'!Z$30</f>
        <v>10.336759999999998</v>
      </c>
      <c r="AB12" s="67">
        <f>'Main table'!AA$7/100*(1-'Main table'!AA$43/100)*'Main table'!AA$30</f>
        <v>10.858499999999999</v>
      </c>
      <c r="AC12" s="67">
        <f>'Main table'!AB$7/100*(1-'Main table'!AB$43/100)*'Main table'!AB$30</f>
        <v>9.7306600000000003</v>
      </c>
      <c r="AD12" s="67">
        <f>'Main table'!AC$7/100*(1-'Main table'!AC$43/100)*'Main table'!AC$30</f>
        <v>8.355439999999998</v>
      </c>
      <c r="AE12" s="67">
        <f>'Main table'!AD$7/100*(1-'Main table'!AD$43/100)*'Main table'!AD$30</f>
        <v>7.057739999999999</v>
      </c>
      <c r="AF12" s="67">
        <f>'Main table'!AE$7/100*(1-'Main table'!AE$43/100)*'Main table'!AE$30</f>
        <v>8.0322499999999994</v>
      </c>
      <c r="AG12" s="67">
        <f>'Main table'!AF$7/100*(1-'Main table'!AF$43/100)*'Main table'!AF$30</f>
        <v>0</v>
      </c>
      <c r="AH12" s="67">
        <f>'Main table'!AG$7/100*(1-'Main table'!AG$43/100)*'Main table'!AG$30</f>
        <v>0</v>
      </c>
      <c r="AI12" s="67">
        <f>'Main table'!AH$7/100*(1-'Main table'!AH$43/100)*'Main table'!AH$30</f>
        <v>0</v>
      </c>
      <c r="AJ12" s="67">
        <f>'Main table'!AI$7/100*(1-'Main table'!AI$43/100)*'Main table'!AI$30</f>
        <v>0</v>
      </c>
      <c r="AK12" s="67">
        <f>'Main table'!AJ$7/100*(1-'Main table'!AJ$43/100)*'Main table'!AJ$30</f>
        <v>0</v>
      </c>
      <c r="AL12" s="67">
        <f>'Main table'!AK$7/100*(1-'Main table'!AK$43/100)*'Main table'!AK$30</f>
        <v>6.3285200000000001</v>
      </c>
      <c r="AM12" s="67">
        <f>'Main table'!AL$7/100*(1-'Main table'!AL$43/100)*'Main table'!AL$30</f>
        <v>10.8072</v>
      </c>
      <c r="AN12" s="67">
        <f>'Main table'!AM$7/100*(1-'Main table'!AM$43/100)*'Main table'!AM$30</f>
        <v>14.774399999999998</v>
      </c>
      <c r="AO12" s="67">
        <f>'Main table'!AN$7/100*(1-'Main table'!AN$43/100)*'Main table'!AN$30</f>
        <v>11.426600000000001</v>
      </c>
      <c r="AP12" s="67">
        <f>'Main table'!AO$7/100*(1-'Main table'!AO$43/100)*'Main table'!AO$30</f>
        <v>11.426600000000001</v>
      </c>
      <c r="AQ12" s="67">
        <f>'Main table'!AP$7/100*(1-'Main table'!AP$43/100)*'Main table'!AP$30</f>
        <v>0</v>
      </c>
      <c r="AR12" s="67">
        <f>'Main table'!AQ$7/100*(1-'Main table'!AQ$43/100)*'Main table'!AQ$30</f>
        <v>0</v>
      </c>
      <c r="AS12" s="67">
        <f>'Main table'!AR$7/100*(1-'Main table'!AR$43/100)*'Main table'!AR$30</f>
        <v>3.645</v>
      </c>
      <c r="AT12" s="67">
        <f>'Main table'!AS$7/100*(1-'Main table'!AS$43/100)*'Main table'!AS$30</f>
        <v>10.859586206896552</v>
      </c>
      <c r="AU12" s="67">
        <f>'Main table'!AT$7/100*(1-'Main table'!AT$43/100)*'Main table'!AT$30</f>
        <v>1.8954</v>
      </c>
      <c r="AV12" s="67">
        <f>'Main table'!AU$7/100*(1-'Main table'!AU$43/100)*'Main table'!AU$30</f>
        <v>2.1877200000000001</v>
      </c>
      <c r="AW12" s="67">
        <f>'Main table'!AV$7/100*(1-'Main table'!AV$43/100)*'Main table'!AV$30</f>
        <v>13.849290000000002</v>
      </c>
      <c r="AX12" s="67">
        <f>'Main table'!AW$7/100*(1-'Main table'!AW$43/100)*'Main table'!AW$30</f>
        <v>11.281725</v>
      </c>
      <c r="AY12" s="67">
        <f>'Main table'!AX$7/100*(1-'Main table'!AX$43/100)*'Main table'!AX$30</f>
        <v>10.2942</v>
      </c>
      <c r="AZ12" s="67">
        <f>'Main table'!AY$7/100*(1-'Main table'!AY$43/100)*'Main table'!AY$30</f>
        <v>0</v>
      </c>
      <c r="BA12" s="67">
        <f>'Main table'!AZ$7/100*(1-'Main table'!AZ$43/100)*'Main table'!AZ$30</f>
        <v>0</v>
      </c>
      <c r="BB12" s="67">
        <f>'Main table'!BA$7/100*(1-'Main table'!BA$43/100)*'Main table'!BA$30</f>
        <v>0</v>
      </c>
      <c r="BC12" s="67">
        <f>'Main table'!BB$7/100*(1-'Main table'!BB$43/100)*'Main table'!BB$30</f>
        <v>0.22337999999999997</v>
      </c>
      <c r="BD12" s="67">
        <f>'Main table'!BC$7/100*(1-'Main table'!BC$43/100)*'Main table'!BC$30</f>
        <v>0.22337999999999997</v>
      </c>
      <c r="BE12" s="67">
        <f>'Main table'!BD$7/100*(1-'Main table'!BD$43/100)*'Main table'!BD$30</f>
        <v>0.85093150684931529</v>
      </c>
      <c r="BF12" s="67">
        <f>'Main table'!BE$7/100*(1-'Main table'!BE$43/100)*'Main table'!BE$30</f>
        <v>0.85093150684931529</v>
      </c>
      <c r="BG12" s="67">
        <f>'Main table'!BF$7/100*(1-'Main table'!BF$43/100)*'Main table'!BF$30</f>
        <v>0.85093150684931529</v>
      </c>
      <c r="BH12" s="67">
        <f>'Main table'!BG$7/100*(1-'Main table'!BG$43/100)*'Main table'!BG$30</f>
        <v>0</v>
      </c>
      <c r="BI12" s="67">
        <f>'Main table'!BH$7/100*(1-'Main table'!BH$43/100)*'Main table'!BH$30</f>
        <v>0</v>
      </c>
      <c r="BJ12" s="67">
        <f>'Main table'!BI$7/100*(1-'Main table'!BI$43/100)*'Main table'!BI$30</f>
        <v>0</v>
      </c>
      <c r="BK12" s="67">
        <f>'Main table'!BJ$7/100*(1-'Main table'!BJ$43/100)*'Main table'!BJ$30</f>
        <v>8.8000000000000007</v>
      </c>
      <c r="BL12" s="67">
        <f>'Main table'!BK$7/100*(1-'Main table'!BK$43/100)*'Main table'!BK$30</f>
        <v>3.0050999999999992</v>
      </c>
      <c r="BM12" s="67">
        <f>'Main table'!BL$7/100*(1-'Main table'!BL$43/100)*'Main table'!BL$30</f>
        <v>0</v>
      </c>
      <c r="BN12" s="67">
        <f>'Main table'!BM$7/100*(1-'Main table'!BM$43/100)*'Main table'!BM$30</f>
        <v>0</v>
      </c>
      <c r="BO12" s="67">
        <f>'Main table'!BN$7/100*(1-'Main table'!BN$43/100)*'Main table'!BN$30</f>
        <v>0</v>
      </c>
      <c r="BP12" s="67">
        <f>'Main table'!BO$7/100*(1-'Main table'!BO$43/100)*'Main table'!BO$30</f>
        <v>2.6731111111111119</v>
      </c>
      <c r="BQ12" s="67">
        <f>'Main table'!BP$7/100*(1-'Main table'!BP$43/100)*'Main table'!BP$30</f>
        <v>0</v>
      </c>
      <c r="BR12" s="67">
        <f>'Main table'!BQ$7/100*(1-'Main table'!BQ$43/100)*'Main table'!BQ$30</f>
        <v>0</v>
      </c>
      <c r="BS12" s="67">
        <f>'Main table'!BR$7/100*(1-'Main table'!BR$43/100)*'Main table'!BR$30</f>
        <v>0</v>
      </c>
      <c r="BT12" s="67">
        <f>'Main table'!BS$7/100*(1-'Main table'!BS$43/100)*'Main table'!BS$30</f>
        <v>0</v>
      </c>
      <c r="BU12" s="67">
        <f>'Main table'!BT$7/100*(1-'Main table'!BT$43/100)*'Main table'!BT$30</f>
        <v>0</v>
      </c>
    </row>
    <row r="13" spans="1:73" x14ac:dyDescent="0.3">
      <c r="A13" s="62" t="s">
        <v>260</v>
      </c>
      <c r="B13" t="s">
        <v>241</v>
      </c>
      <c r="C13">
        <v>1</v>
      </c>
      <c r="D13" s="67">
        <f>'Main table'!C$7/100*(1-'Main table'!C$43/100)*'Main table'!C$9*'Main table'!C$31/100</f>
        <v>8.4237438600000001</v>
      </c>
      <c r="E13" s="67">
        <f>'Main table'!D$7/100*(1-'Main table'!D$43/100)*'Main table'!D$9*'Main table'!D$31/100</f>
        <v>10.766875349999999</v>
      </c>
      <c r="F13" s="67">
        <f>'Main table'!E$7/100*(1-'Main table'!E$43/100)*'Main table'!E$9*'Main table'!E$31/100</f>
        <v>5.8469797820000009</v>
      </c>
      <c r="G13" s="67">
        <f>'Main table'!F$7/100*(1-'Main table'!F$43/100)*'Main table'!F$9*'Main table'!F$31/100</f>
        <v>7.199214456</v>
      </c>
      <c r="H13" s="67">
        <f>'Main table'!G$7/100*(1-'Main table'!G$43/100)*'Main table'!G$9*'Main table'!G$31/100</f>
        <v>6.6847103400000005</v>
      </c>
      <c r="I13" s="67">
        <f>'Main table'!H$7/100*(1-'Main table'!H$43/100)*'Main table'!H$9*'Main table'!H$31/100</f>
        <v>6.081172832</v>
      </c>
      <c r="J13" s="67">
        <f>'Main table'!I$7/100*(1-'Main table'!I$43/100)*'Main table'!I$9*'Main table'!I$31/100</f>
        <v>7.8595187579999992</v>
      </c>
      <c r="K13" s="67">
        <f>'Main table'!J$7/100*(1-'Main table'!J$43/100)*'Main table'!J$9*'Main table'!J$31/100</f>
        <v>0</v>
      </c>
      <c r="L13" s="67">
        <f>'Main table'!K$7/100*(1-'Main table'!K$43/100)*'Main table'!K$9*'Main table'!K$31/100</f>
        <v>7.7497929599999997</v>
      </c>
      <c r="M13" s="67">
        <f>'Main table'!L$7/100*(1-'Main table'!L$43/100)*'Main table'!L$9*'Main table'!L$31/100</f>
        <v>16.246272125999997</v>
      </c>
      <c r="N13" s="67">
        <f>'Main table'!M$7/100*(1-'Main table'!M$43/100)*'Main table'!M$9*'Main table'!M$31/100</f>
        <v>19.039694799999999</v>
      </c>
      <c r="O13" s="67">
        <f>'Main table'!N$7/100*(1-'Main table'!N$43/100)*'Main table'!N$9*'Main table'!N$31/100</f>
        <v>22.665083279999998</v>
      </c>
      <c r="P13" s="67">
        <f>'Main table'!O$7/100*(1-'Main table'!O$43/100)*'Main table'!O$9*'Main table'!O$31/100</f>
        <v>0</v>
      </c>
      <c r="Q13" s="67">
        <f>'Main table'!P$7/100*(1-'Main table'!P$43/100)*'Main table'!P$9*'Main table'!P$31/100</f>
        <v>0</v>
      </c>
      <c r="R13" s="67">
        <f>'Main table'!Q$7/100*(1-'Main table'!Q$43/100)*'Main table'!Q$9*'Main table'!Q$31/100</f>
        <v>0</v>
      </c>
      <c r="S13" s="67">
        <f>'Main table'!R$7/100*(1-'Main table'!R$43/100)*'Main table'!R$9*'Main table'!R$31/100</f>
        <v>0</v>
      </c>
      <c r="T13" s="67">
        <f>'Main table'!S$7/100*(1-'Main table'!S$43/100)*'Main table'!S$9*'Main table'!S$31/100</f>
        <v>0</v>
      </c>
      <c r="U13" s="67">
        <f>'Main table'!T$7/100*(1-'Main table'!T$43/100)*'Main table'!T$9*'Main table'!T$31/100</f>
        <v>25.944833639999999</v>
      </c>
      <c r="V13" s="67">
        <f>'Main table'!U$7/100*(1-'Main table'!U$43/100)*'Main table'!U$9*'Main table'!U$31/100</f>
        <v>21.477052800000003</v>
      </c>
      <c r="W13" s="67">
        <f>'Main table'!V$7/100*(1-'Main table'!V$43/100)*'Main table'!V$9*'Main table'!V$31/100</f>
        <v>37.632363299999994</v>
      </c>
      <c r="X13" s="67">
        <f>'Main table'!W$7/100*(1-'Main table'!W$43/100)*'Main table'!W$9*'Main table'!W$31/100</f>
        <v>0</v>
      </c>
      <c r="Y13" s="67">
        <f>'Main table'!X$7/100*(1-'Main table'!X$43/100)*'Main table'!X$9*'Main table'!X$31/100</f>
        <v>22.922334539999998</v>
      </c>
      <c r="Z13" s="67">
        <f>'Main table'!Y$7/100*(1-'Main table'!Y$43/100)*'Main table'!Y$9*'Main table'!Y$31/100</f>
        <v>9.2796940500000016</v>
      </c>
      <c r="AA13" s="67">
        <f>'Main table'!Z$7/100*(1-'Main table'!Z$43/100)*'Main table'!Z$9*'Main table'!Z$31/100</f>
        <v>67.122553049999993</v>
      </c>
      <c r="AB13" s="67">
        <f>'Main table'!AA$7/100*(1-'Main table'!AA$43/100)*'Main table'!AA$9*'Main table'!AA$31/100</f>
        <v>49.527072000000004</v>
      </c>
      <c r="AC13" s="67">
        <f>'Main table'!AB$7/100*(1-'Main table'!AB$43/100)*'Main table'!AB$9*'Main table'!AB$31/100</f>
        <v>10.95823309</v>
      </c>
      <c r="AD13" s="67">
        <f>'Main table'!AC$7/100*(1-'Main table'!AC$43/100)*'Main table'!AC$9*'Main table'!AC$31/100</f>
        <v>16.507443200000001</v>
      </c>
      <c r="AE13" s="67">
        <f>'Main table'!AD$7/100*(1-'Main table'!AD$43/100)*'Main table'!AD$9*'Main table'!AD$31/100</f>
        <v>22.922334539999998</v>
      </c>
      <c r="AF13" s="67">
        <f>'Main table'!AE$7/100*(1-'Main table'!AE$43/100)*'Main table'!AE$9*'Main table'!AE$31/100</f>
        <v>20.702067499999998</v>
      </c>
      <c r="AG13" s="67">
        <f>'Main table'!AF$7/100*(1-'Main table'!AF$43/100)*'Main table'!AF$9*'Main table'!AF$31/100</f>
        <v>0</v>
      </c>
      <c r="AH13" s="67">
        <f>'Main table'!AG$7/100*(1-'Main table'!AG$43/100)*'Main table'!AG$9*'Main table'!AG$31/100</f>
        <v>0</v>
      </c>
      <c r="AI13" s="67">
        <f>'Main table'!AH$7/100*(1-'Main table'!AH$43/100)*'Main table'!AH$9*'Main table'!AH$31/100</f>
        <v>0</v>
      </c>
      <c r="AJ13" s="67">
        <f>'Main table'!AI$7/100*(1-'Main table'!AI$43/100)*'Main table'!AI$9*'Main table'!AI$31/100</f>
        <v>0</v>
      </c>
      <c r="AK13" s="67">
        <f>'Main table'!AJ$7/100*(1-'Main table'!AJ$43/100)*'Main table'!AJ$9*'Main table'!AJ$31/100</f>
        <v>0</v>
      </c>
      <c r="AL13" s="67">
        <f>'Main table'!AK$7/100*(1-'Main table'!AK$43/100)*'Main table'!AK$9*'Main table'!AK$31/100</f>
        <v>5.1419224999999997</v>
      </c>
      <c r="AM13" s="67">
        <f>'Main table'!AL$7/100*(1-'Main table'!AL$43/100)*'Main table'!AL$9*'Main table'!AL$31/100</f>
        <v>30.629405999999996</v>
      </c>
      <c r="AN13" s="67">
        <f>'Main table'!AM$7/100*(1-'Main table'!AM$43/100)*'Main table'!AM$9*'Main table'!AM$31/100</f>
        <v>22.006559999999993</v>
      </c>
      <c r="AO13" s="67">
        <f>'Main table'!AN$7/100*(1-'Main table'!AN$43/100)*'Main table'!AN$9*'Main table'!AN$31/100</f>
        <v>10.9428125</v>
      </c>
      <c r="AP13" s="67">
        <f>'Main table'!AO$7/100*(1-'Main table'!AO$43/100)*'Main table'!AO$9*'Main table'!AO$31/100</f>
        <v>10.9428125</v>
      </c>
      <c r="AQ13" s="67">
        <f>'Main table'!AP$7/100*(1-'Main table'!AP$43/100)*'Main table'!AP$9*'Main table'!AP$31/100</f>
        <v>0</v>
      </c>
      <c r="AR13" s="67">
        <f>'Main table'!AQ$7/100*(1-'Main table'!AQ$43/100)*'Main table'!AQ$9*'Main table'!AQ$31/100</f>
        <v>0</v>
      </c>
      <c r="AS13" s="67">
        <f>'Main table'!AR$7/100*(1-'Main table'!AR$43/100)*'Main table'!AR$9*'Main table'!AR$31/100</f>
        <v>5.4292499999999997</v>
      </c>
      <c r="AT13" s="67">
        <f>'Main table'!AS$7/100*(1-'Main table'!AS$43/100)*'Main table'!AS$9*'Main table'!AS$31/100</f>
        <v>20.793600000000001</v>
      </c>
      <c r="AU13" s="67">
        <f>'Main table'!AT$7/100*(1-'Main table'!AT$43/100)*'Main table'!AT$9*'Main table'!AT$31/100</f>
        <v>2.8232100000000004</v>
      </c>
      <c r="AV13" s="67">
        <f>'Main table'!AU$7/100*(1-'Main table'!AU$43/100)*'Main table'!AU$9*'Main table'!AU$31/100</f>
        <v>1.201392</v>
      </c>
      <c r="AW13" s="67">
        <f>'Main table'!AV$7/100*(1-'Main table'!AV$43/100)*'Main table'!AV$9*'Main table'!AV$31/100</f>
        <v>11.919492584999999</v>
      </c>
      <c r="AX13" s="67">
        <f>'Main table'!AW$7/100*(1-'Main table'!AW$43/100)*'Main table'!AW$9*'Main table'!AW$31/100</f>
        <v>10.255010220000001</v>
      </c>
      <c r="AY13" s="67">
        <f>'Main table'!AX$7/100*(1-'Main table'!AX$43/100)*'Main table'!AX$9*'Main table'!AX$31/100</f>
        <v>25.186966200000001</v>
      </c>
      <c r="AZ13" s="67">
        <f>'Main table'!AY$7/100*(1-'Main table'!AY$43/100)*'Main table'!AY$9*'Main table'!AY$31/100</f>
        <v>0</v>
      </c>
      <c r="BA13" s="67">
        <f>'Main table'!AZ$7/100*(1-'Main table'!AZ$43/100)*'Main table'!AZ$9*'Main table'!AZ$31/100</f>
        <v>0</v>
      </c>
      <c r="BB13" s="67">
        <f>'Main table'!BA$7/100*(1-'Main table'!BA$43/100)*'Main table'!BA$9*'Main table'!BA$31/100</f>
        <v>0</v>
      </c>
      <c r="BC13" s="67">
        <f>'Main table'!BB$7/100*(1-'Main table'!BB$43/100)*'Main table'!BB$9*'Main table'!BB$31/100</f>
        <v>0.43448724</v>
      </c>
      <c r="BD13" s="67">
        <f>'Main table'!BC$7/100*(1-'Main table'!BC$43/100)*'Main table'!BC$9*'Main table'!BC$31/100</f>
        <v>0.43448724</v>
      </c>
      <c r="BE13" s="67">
        <f>'Main table'!BD$7/100*(1-'Main table'!BD$43/100)*'Main table'!BD$9*'Main table'!BD$31/100</f>
        <v>0.13891500000000004</v>
      </c>
      <c r="BF13" s="67">
        <f>'Main table'!BE$7/100*(1-'Main table'!BE$43/100)*'Main table'!BE$9*'Main table'!BE$31/100</f>
        <v>0.13891500000000004</v>
      </c>
      <c r="BG13" s="67">
        <f>'Main table'!BF$7/100*(1-'Main table'!BF$43/100)*'Main table'!BF$9*'Main table'!BF$31/100</f>
        <v>0.13891500000000004</v>
      </c>
      <c r="BH13" s="67">
        <f>'Main table'!BG$7/100*(1-'Main table'!BG$43/100)*'Main table'!BG$9*'Main table'!BG$31/100</f>
        <v>0</v>
      </c>
      <c r="BI13" s="67">
        <f>'Main table'!BH$7/100*(1-'Main table'!BH$43/100)*'Main table'!BH$9*'Main table'!BH$31/100</f>
        <v>0</v>
      </c>
      <c r="BJ13" s="67">
        <f>'Main table'!BI$7/100*(1-'Main table'!BI$43/100)*'Main table'!BI$9*'Main table'!BI$31/100</f>
        <v>0</v>
      </c>
      <c r="BK13" s="67">
        <f>'Main table'!BJ$7/100*(1-'Main table'!BJ$43/100)*'Main table'!BJ$9*'Main table'!BJ$31/100</f>
        <v>0</v>
      </c>
      <c r="BL13" s="67">
        <f>'Main table'!BK$7/100*(1-'Main table'!BK$43/100)*'Main table'!BK$9*'Main table'!BK$31/100</f>
        <v>7.9127999999999998</v>
      </c>
      <c r="BM13" s="67">
        <f>'Main table'!BL$7/100*(1-'Main table'!BL$43/100)*'Main table'!BL$9*'Main table'!BL$31/100</f>
        <v>0</v>
      </c>
      <c r="BN13" s="67">
        <f>'Main table'!BM$7/100*(1-'Main table'!BM$43/100)*'Main table'!BM$9*'Main table'!BM$31/100</f>
        <v>0</v>
      </c>
      <c r="BO13" s="67">
        <f>'Main table'!BN$7/100*(1-'Main table'!BN$43/100)*'Main table'!BN$9*'Main table'!BN$31/100</f>
        <v>0</v>
      </c>
      <c r="BP13" s="67">
        <f>'Main table'!BO$7/100*(1-'Main table'!BO$43/100)*'Main table'!BO$9*'Main table'!BO$31/100</f>
        <v>0.94938480000000025</v>
      </c>
      <c r="BQ13" s="67">
        <f>'Main table'!BP$7/100*(1-'Main table'!BP$43/100)*'Main table'!BP$9*'Main table'!BP$31/100</f>
        <v>0</v>
      </c>
      <c r="BR13" s="67">
        <f>'Main table'!BQ$7/100*(1-'Main table'!BQ$43/100)*'Main table'!BQ$9*'Main table'!BQ$31/100</f>
        <v>0</v>
      </c>
      <c r="BS13" s="67">
        <f>'Main table'!BR$7/100*(1-'Main table'!BR$43/100)*'Main table'!BR$9*'Main table'!BR$31/100</f>
        <v>0</v>
      </c>
      <c r="BT13" s="67">
        <f>'Main table'!BS$7/100*(1-'Main table'!BS$43/100)*'Main table'!BS$9*'Main table'!BS$31/100</f>
        <v>0</v>
      </c>
      <c r="BU13" s="67">
        <f>'Main table'!BT$7/100*(1-'Main table'!BT$43/100)*'Main table'!BT$9*'Main table'!BT$31/100</f>
        <v>0</v>
      </c>
    </row>
    <row r="14" spans="1:73" x14ac:dyDescent="0.3">
      <c r="A14" s="62" t="s">
        <v>260</v>
      </c>
      <c r="B14" t="s">
        <v>330</v>
      </c>
      <c r="C14">
        <v>1</v>
      </c>
      <c r="D14" s="67">
        <f>'Main table'!C$7/100*(1-'Main table'!C$43/100)*'Main table'!C$9*'Main table'!C$21/100</f>
        <v>0.29256116399999998</v>
      </c>
      <c r="E14" s="67">
        <f>'Main table'!D$7/100*(1-'Main table'!D$43/100)*'Main table'!D$9*'Main table'!D$21/100</f>
        <v>0.34428379999999997</v>
      </c>
      <c r="F14" s="67">
        <f>'Main table'!E$7/100*(1-'Main table'!E$43/100)*'Main table'!E$9*'Main table'!E$21/100</f>
        <v>0.32162512200000004</v>
      </c>
      <c r="G14" s="67">
        <f>'Main table'!F$7/100*(1-'Main table'!F$43/100)*'Main table'!F$9*'Main table'!F$21/100</f>
        <v>0.34956815599999996</v>
      </c>
      <c r="H14" s="67">
        <f>'Main table'!G$7/100*(1-'Main table'!G$43/100)*'Main table'!G$9*'Main table'!G$21/100</f>
        <v>0.37871218000000001</v>
      </c>
      <c r="I14" s="67">
        <f>'Main table'!H$7/100*(1-'Main table'!H$43/100)*'Main table'!H$9*'Main table'!H$21/100</f>
        <v>0.23331232400000002</v>
      </c>
      <c r="J14" s="67">
        <f>'Main table'!I$7/100*(1-'Main table'!I$43/100)*'Main table'!I$9*'Main table'!I$21/100</f>
        <v>0.32787026999999996</v>
      </c>
      <c r="K14" s="67">
        <f>'Main table'!J$7/100*(1-'Main table'!J$43/100)*'Main table'!J$9*'Main table'!J$21/100</f>
        <v>0</v>
      </c>
      <c r="L14" s="67">
        <f>'Main table'!K$7/100*(1-'Main table'!K$43/100)*'Main table'!K$9*'Main table'!K$21/100</f>
        <v>0.31167645600000005</v>
      </c>
      <c r="M14" s="67">
        <f>'Main table'!L$7/100*(1-'Main table'!L$43/100)*'Main table'!L$9*'Main table'!L$21/100</f>
        <v>1.377775728</v>
      </c>
      <c r="N14" s="67">
        <f>'Main table'!M$7/100*(1-'Main table'!M$43/100)*'Main table'!M$9*'Main table'!M$21/100</f>
        <v>1.4395866799999999</v>
      </c>
      <c r="O14" s="67">
        <f>'Main table'!N$7/100*(1-'Main table'!N$43/100)*'Main table'!N$9*'Main table'!N$21/100</f>
        <v>1.3491120999999999</v>
      </c>
      <c r="P14" s="67">
        <f>'Main table'!O$7/100*(1-'Main table'!O$43/100)*'Main table'!O$9*'Main table'!O$21/100</f>
        <v>0</v>
      </c>
      <c r="Q14" s="67">
        <f>'Main table'!P$7/100*(1-'Main table'!P$43/100)*'Main table'!P$9*'Main table'!P$21/100</f>
        <v>0</v>
      </c>
      <c r="R14" s="67">
        <f>'Main table'!Q$7/100*(1-'Main table'!Q$43/100)*'Main table'!Q$9*'Main table'!Q$21/100</f>
        <v>0</v>
      </c>
      <c r="S14" s="67">
        <f>'Main table'!R$7/100*(1-'Main table'!R$43/100)*'Main table'!R$9*'Main table'!R$21/100</f>
        <v>0</v>
      </c>
      <c r="T14" s="67">
        <f>'Main table'!S$7/100*(1-'Main table'!S$43/100)*'Main table'!S$9*'Main table'!S$21/100</f>
        <v>0</v>
      </c>
      <c r="U14" s="67">
        <f>'Main table'!T$7/100*(1-'Main table'!T$43/100)*'Main table'!T$9*'Main table'!T$21/100</f>
        <v>1.7770433999999999</v>
      </c>
      <c r="V14" s="67">
        <f>'Main table'!U$7/100*(1-'Main table'!U$43/100)*'Main table'!U$9*'Main table'!U$21/100</f>
        <v>0.9587969999999999</v>
      </c>
      <c r="W14" s="67">
        <f>'Main table'!V$7/100*(1-'Main table'!V$43/100)*'Main table'!V$9*'Main table'!V$21/100</f>
        <v>2.6385909899999995</v>
      </c>
      <c r="X14" s="67">
        <f>'Main table'!W$7/100*(1-'Main table'!W$43/100)*'Main table'!W$9*'Main table'!W$21/100</f>
        <v>0</v>
      </c>
      <c r="Y14" s="67">
        <f>'Main table'!X$7/100*(1-'Main table'!X$43/100)*'Main table'!X$9*'Main table'!X$21/100</f>
        <v>0.73839452999999977</v>
      </c>
      <c r="Z14" s="67">
        <f>'Main table'!Y$7/100*(1-'Main table'!Y$43/100)*'Main table'!Y$9*'Main table'!Y$21/100</f>
        <v>0.57193800000000006</v>
      </c>
      <c r="AA14" s="67">
        <f>'Main table'!Z$7/100*(1-'Main table'!Z$43/100)*'Main table'!Z$9*'Main table'!Z$21/100</f>
        <v>1.4435819999999995</v>
      </c>
      <c r="AB14" s="67">
        <f>'Main table'!AA$7/100*(1-'Main table'!AA$43/100)*'Main table'!AA$9*'Main table'!AA$21/100</f>
        <v>0.97675200000000006</v>
      </c>
      <c r="AC14" s="67">
        <f>'Main table'!AB$7/100*(1-'Main table'!AB$43/100)*'Main table'!AB$9*'Main table'!AB$21/100</f>
        <v>0.52788830499999995</v>
      </c>
      <c r="AD14" s="67">
        <f>'Main table'!AC$7/100*(1-'Main table'!AC$43/100)*'Main table'!AC$9*'Main table'!AC$21/100</f>
        <v>0.92999679999999996</v>
      </c>
      <c r="AE14" s="67">
        <f>'Main table'!AD$7/100*(1-'Main table'!AD$43/100)*'Main table'!AD$9*'Main table'!AD$21/100</f>
        <v>0.73839452999999977</v>
      </c>
      <c r="AF14" s="67">
        <f>'Main table'!AE$7/100*(1-'Main table'!AE$43/100)*'Main table'!AE$9*'Main table'!AE$21/100</f>
        <v>0.74826749999999986</v>
      </c>
      <c r="AG14" s="67">
        <f>'Main table'!AF$7/100*(1-'Main table'!AF$43/100)*'Main table'!AF$9*'Main table'!AF$21/100</f>
        <v>0</v>
      </c>
      <c r="AH14" s="67">
        <f>'Main table'!AG$7/100*(1-'Main table'!AG$43/100)*'Main table'!AG$9*'Main table'!AG$21/100</f>
        <v>0</v>
      </c>
      <c r="AI14" s="67">
        <f>'Main table'!AH$7/100*(1-'Main table'!AH$43/100)*'Main table'!AH$9*'Main table'!AH$21/100</f>
        <v>0</v>
      </c>
      <c r="AJ14" s="67">
        <f>'Main table'!AI$7/100*(1-'Main table'!AI$43/100)*'Main table'!AI$9*'Main table'!AI$21/100</f>
        <v>0</v>
      </c>
      <c r="AK14" s="67">
        <f>'Main table'!AJ$7/100*(1-'Main table'!AJ$43/100)*'Main table'!AJ$9*'Main table'!AJ$21/100</f>
        <v>0</v>
      </c>
      <c r="AL14" s="67">
        <f>'Main table'!AK$7/100*(1-'Main table'!AK$43/100)*'Main table'!AK$9*'Main table'!AK$21/100</f>
        <v>0.14397382999999997</v>
      </c>
      <c r="AM14" s="67">
        <f>'Main table'!AL$7/100*(1-'Main table'!AL$43/100)*'Main table'!AL$9*'Main table'!AL$21/100</f>
        <v>2.5396919999999996</v>
      </c>
      <c r="AN14" s="67">
        <f>'Main table'!AM$7/100*(1-'Main table'!AM$43/100)*'Main table'!AM$9*'Main table'!AM$21/100</f>
        <v>1.8068543999999997</v>
      </c>
      <c r="AO14" s="67">
        <f>'Main table'!AN$7/100*(1-'Main table'!AN$43/100)*'Main table'!AN$9*'Main table'!AN$21/100</f>
        <v>0.87542500000000001</v>
      </c>
      <c r="AP14" s="67">
        <f>'Main table'!AO$7/100*(1-'Main table'!AO$43/100)*'Main table'!AO$9*'Main table'!AO$21/100</f>
        <v>0.87542500000000001</v>
      </c>
      <c r="AQ14" s="67">
        <f>'Main table'!AP$7/100*(1-'Main table'!AP$43/100)*'Main table'!AP$9*'Main table'!AP$21/100</f>
        <v>0</v>
      </c>
      <c r="AR14" s="67">
        <f>'Main table'!AQ$7/100*(1-'Main table'!AQ$43/100)*'Main table'!AQ$9*'Main table'!AQ$21/100</f>
        <v>0</v>
      </c>
      <c r="AS14" s="67">
        <f>'Main table'!AR$7/100*(1-'Main table'!AR$43/100)*'Main table'!AR$9*'Main table'!AR$21/100</f>
        <v>0.44577</v>
      </c>
      <c r="AT14" s="67">
        <f>'Main table'!AS$7/100*(1-'Main table'!AS$43/100)*'Main table'!AS$9*'Main table'!AS$21/100</f>
        <v>1.8385920000000002</v>
      </c>
      <c r="AU14" s="67">
        <f>'Main table'!AT$7/100*(1-'Main table'!AT$43/100)*'Main table'!AT$9*'Main table'!AT$21/100</f>
        <v>0.23180039999999999</v>
      </c>
      <c r="AV14" s="67">
        <f>'Main table'!AU$7/100*(1-'Main table'!AU$43/100)*'Main table'!AU$9*'Main table'!AU$21/100</f>
        <v>9.2106719999999989E-2</v>
      </c>
      <c r="AW14" s="67">
        <f>'Main table'!AV$7/100*(1-'Main table'!AV$43/100)*'Main table'!AV$9*'Main table'!AV$21/100</f>
        <v>1.0244584349999999</v>
      </c>
      <c r="AX14" s="67">
        <f>'Main table'!AW$7/100*(1-'Main table'!AW$43/100)*'Main table'!AW$9*'Main table'!AW$21/100</f>
        <v>0.50370957000000005</v>
      </c>
      <c r="AY14" s="67">
        <f>'Main table'!AX$7/100*(1-'Main table'!AX$43/100)*'Main table'!AX$9*'Main table'!AX$21/100</f>
        <v>1.8053085600000001</v>
      </c>
      <c r="AZ14" s="67">
        <f>'Main table'!AY$7/100*(1-'Main table'!AY$43/100)*'Main table'!AY$9*'Main table'!AY$21/100</f>
        <v>0</v>
      </c>
      <c r="BA14" s="67">
        <f>'Main table'!AZ$7/100*(1-'Main table'!AZ$43/100)*'Main table'!AZ$9*'Main table'!AZ$21/100</f>
        <v>0</v>
      </c>
      <c r="BB14" s="67">
        <f>'Main table'!BA$7/100*(1-'Main table'!BA$43/100)*'Main table'!BA$9*'Main table'!BA$21/100</f>
        <v>0</v>
      </c>
      <c r="BC14" s="67">
        <f>'Main table'!BB$7/100*(1-'Main table'!BB$43/100)*'Main table'!BB$9*'Main table'!BB$21/100</f>
        <v>4.2790409999999994E-2</v>
      </c>
      <c r="BD14" s="67">
        <f>'Main table'!BC$7/100*(1-'Main table'!BC$43/100)*'Main table'!BC$9*'Main table'!BC$21/100</f>
        <v>4.2790409999999994E-2</v>
      </c>
      <c r="BE14" s="67">
        <f>'Main table'!BD$7/100*(1-'Main table'!BD$43/100)*'Main table'!BD$9*'Main table'!BD$21/100</f>
        <v>1.4553000000000005E-2</v>
      </c>
      <c r="BF14" s="67">
        <f>'Main table'!BE$7/100*(1-'Main table'!BE$43/100)*'Main table'!BE$9*'Main table'!BE$21/100</f>
        <v>1.4553000000000005E-2</v>
      </c>
      <c r="BG14" s="67">
        <f>'Main table'!BF$7/100*(1-'Main table'!BF$43/100)*'Main table'!BF$9*'Main table'!BF$21/100</f>
        <v>1.4553000000000005E-2</v>
      </c>
      <c r="BH14" s="67">
        <f>'Main table'!BG$7/100*(1-'Main table'!BG$43/100)*'Main table'!BG$9*'Main table'!BG$21/100</f>
        <v>0</v>
      </c>
      <c r="BI14" s="67">
        <f>'Main table'!BH$7/100*(1-'Main table'!BH$43/100)*'Main table'!BH$9*'Main table'!BH$21/100</f>
        <v>0</v>
      </c>
      <c r="BJ14" s="67">
        <f>'Main table'!BI$7/100*(1-'Main table'!BI$43/100)*'Main table'!BI$9*'Main table'!BI$21/100</f>
        <v>0</v>
      </c>
      <c r="BK14" s="67">
        <f>'Main table'!BJ$7/100*(1-'Main table'!BJ$43/100)*'Main table'!BJ$9*'Main table'!BJ$21/100</f>
        <v>0</v>
      </c>
      <c r="BL14" s="67">
        <f>'Main table'!BK$7/100*(1-'Main table'!BK$43/100)*'Main table'!BK$9*'Main table'!BK$21/100</f>
        <v>0</v>
      </c>
      <c r="BM14" s="67">
        <f>'Main table'!BL$7/100*(1-'Main table'!BL$43/100)*'Main table'!BL$9*'Main table'!BL$21/100</f>
        <v>0</v>
      </c>
      <c r="BN14" s="67">
        <f>'Main table'!BM$7/100*(1-'Main table'!BM$43/100)*'Main table'!BM$9*'Main table'!BM$21/100</f>
        <v>0</v>
      </c>
      <c r="BO14" s="67">
        <f>'Main table'!BN$7/100*(1-'Main table'!BN$43/100)*'Main table'!BN$9*'Main table'!BN$21/100</f>
        <v>0.16592624999999997</v>
      </c>
      <c r="BP14" s="67">
        <f>'Main table'!BO$7/100*(1-'Main table'!BO$43/100)*'Main table'!BO$9*'Main table'!BO$21/100</f>
        <v>5.2164000000000016E-2</v>
      </c>
      <c r="BQ14" s="67">
        <f>'Main table'!BP$7/100*(1-'Main table'!BP$43/100)*'Main table'!BP$9*'Main table'!BP$21/100</f>
        <v>0.11987325000000004</v>
      </c>
      <c r="BR14" s="67">
        <f>'Main table'!BQ$7/100*(1-'Main table'!BQ$43/100)*'Main table'!BQ$9*'Main table'!BQ$21/100</f>
        <v>5.4157238999999989E-2</v>
      </c>
      <c r="BS14" s="67">
        <f>'Main table'!BR$7/100*(1-'Main table'!BR$43/100)*'Main table'!BR$9*'Main table'!BR$21/100</f>
        <v>0</v>
      </c>
      <c r="BT14" s="67">
        <f>'Main table'!BS$7/100*(1-'Main table'!BS$43/100)*'Main table'!BS$9*'Main table'!BS$21/100</f>
        <v>0.25755600000000001</v>
      </c>
      <c r="BU14" s="67">
        <f>'Main table'!BT$7/100*(1-'Main table'!BT$43/100)*'Main table'!BT$9*'Main table'!BT$21/100</f>
        <v>0.25755600000000001</v>
      </c>
    </row>
    <row r="15" spans="1:73" x14ac:dyDescent="0.3">
      <c r="A15" s="62" t="s">
        <v>260</v>
      </c>
      <c r="B15" t="s">
        <v>331</v>
      </c>
      <c r="C15">
        <v>1</v>
      </c>
      <c r="D15" s="67">
        <f>'Main table'!C$7/100*(1-'Main table'!C$43/100)*'Main table'!C$9*'Main table'!C$22/100</f>
        <v>0.161413056</v>
      </c>
      <c r="E15" s="67">
        <f>'Main table'!D$7/100*(1-'Main table'!D$43/100)*'Main table'!D$9*'Main table'!D$22/100</f>
        <v>0.20881212800000001</v>
      </c>
      <c r="F15" s="67">
        <f>'Main table'!E$7/100*(1-'Main table'!E$43/100)*'Main table'!E$9*'Main table'!E$22/100</f>
        <v>0.14019556599999999</v>
      </c>
      <c r="G15" s="67">
        <f>'Main table'!F$7/100*(1-'Main table'!F$43/100)*'Main table'!F$9*'Main table'!F$22/100</f>
        <v>0.16061239599999996</v>
      </c>
      <c r="H15" s="67">
        <f>'Main table'!G$7/100*(1-'Main table'!G$43/100)*'Main table'!G$9*'Main table'!G$22/100</f>
        <v>0.15853067999999998</v>
      </c>
      <c r="I15" s="67">
        <f>'Main table'!H$7/100*(1-'Main table'!H$43/100)*'Main table'!H$9*'Main table'!H$22/100</f>
        <v>0.15805028400000001</v>
      </c>
      <c r="J15" s="67">
        <f>'Main table'!I$7/100*(1-'Main table'!I$43/100)*'Main table'!I$9*'Main table'!I$22/100</f>
        <v>0.149883552</v>
      </c>
      <c r="K15" s="67">
        <f>'Main table'!J$7/100*(1-'Main table'!J$43/100)*'Main table'!J$9*'Main table'!J$22/100</f>
        <v>0</v>
      </c>
      <c r="L15" s="67">
        <f>'Main table'!K$7/100*(1-'Main table'!K$43/100)*'Main table'!K$9*'Main table'!K$22/100</f>
        <v>0.20216851199999999</v>
      </c>
      <c r="M15" s="67">
        <f>'Main table'!L$7/100*(1-'Main table'!L$43/100)*'Main table'!L$9*'Main table'!L$22/100</f>
        <v>0.19135773999999997</v>
      </c>
      <c r="N15" s="67">
        <f>'Main table'!M$7/100*(1-'Main table'!M$43/100)*'Main table'!M$9*'Main table'!M$22/100</f>
        <v>0.18575311999999999</v>
      </c>
      <c r="O15" s="67">
        <f>'Main table'!N$7/100*(1-'Main table'!N$43/100)*'Main table'!N$9*'Main table'!N$22/100</f>
        <v>0.24284017800000002</v>
      </c>
      <c r="P15" s="67">
        <f>'Main table'!O$7/100*(1-'Main table'!O$43/100)*'Main table'!O$9*'Main table'!O$22/100</f>
        <v>0</v>
      </c>
      <c r="Q15" s="67">
        <f>'Main table'!P$7/100*(1-'Main table'!P$43/100)*'Main table'!P$9*'Main table'!P$22/100</f>
        <v>0</v>
      </c>
      <c r="R15" s="67">
        <f>'Main table'!Q$7/100*(1-'Main table'!Q$43/100)*'Main table'!Q$9*'Main table'!Q$22/100</f>
        <v>0</v>
      </c>
      <c r="S15" s="67">
        <f>'Main table'!R$7/100*(1-'Main table'!R$43/100)*'Main table'!R$9*'Main table'!R$22/100</f>
        <v>0</v>
      </c>
      <c r="T15" s="67">
        <f>'Main table'!S$7/100*(1-'Main table'!S$43/100)*'Main table'!S$9*'Main table'!S$22/100</f>
        <v>0</v>
      </c>
      <c r="U15" s="67">
        <f>'Main table'!T$7/100*(1-'Main table'!T$43/100)*'Main table'!T$9*'Main table'!T$22/100</f>
        <v>0.64619760000000004</v>
      </c>
      <c r="V15" s="67">
        <f>'Main table'!U$7/100*(1-'Main table'!U$43/100)*'Main table'!U$9*'Main table'!U$22/100</f>
        <v>0.63006659999999992</v>
      </c>
      <c r="W15" s="67">
        <f>'Main table'!V$7/100*(1-'Main table'!V$43/100)*'Main table'!V$9*'Main table'!V$22/100</f>
        <v>0.60557825999999992</v>
      </c>
      <c r="X15" s="67">
        <f>'Main table'!W$7/100*(1-'Main table'!W$43/100)*'Main table'!W$9*'Main table'!W$22/100</f>
        <v>0</v>
      </c>
      <c r="Y15" s="67">
        <f>'Main table'!X$7/100*(1-'Main table'!X$43/100)*'Main table'!X$9*'Main table'!X$22/100</f>
        <v>0.4815616499999999</v>
      </c>
      <c r="Z15" s="67">
        <f>'Main table'!Y$7/100*(1-'Main table'!Y$43/100)*'Main table'!Y$9*'Main table'!Y$22/100</f>
        <v>0.21447674999999999</v>
      </c>
      <c r="AA15" s="67">
        <f>'Main table'!Z$7/100*(1-'Main table'!Z$43/100)*'Main table'!Z$9*'Main table'!Z$22/100</f>
        <v>1.0666466999999999</v>
      </c>
      <c r="AB15" s="67">
        <f>'Main table'!AA$7/100*(1-'Main table'!AA$43/100)*'Main table'!AA$9*'Main table'!AA$22/100</f>
        <v>1.3789439999999999</v>
      </c>
      <c r="AC15" s="67">
        <f>'Main table'!AB$7/100*(1-'Main table'!AB$43/100)*'Main table'!AB$9*'Main table'!AB$22/100</f>
        <v>0.30945176499999999</v>
      </c>
      <c r="AD15" s="67">
        <f>'Main table'!AC$7/100*(1-'Main table'!AC$43/100)*'Main table'!AC$9*'Main table'!AC$22/100</f>
        <v>0.39524863999999998</v>
      </c>
      <c r="AE15" s="67">
        <f>'Main table'!AD$7/100*(1-'Main table'!AD$43/100)*'Main table'!AD$9*'Main table'!AD$22/100</f>
        <v>0.4815616499999999</v>
      </c>
      <c r="AF15" s="67">
        <f>'Main table'!AE$7/100*(1-'Main table'!AE$43/100)*'Main table'!AE$9*'Main table'!AE$22/100</f>
        <v>0.49884499999999998</v>
      </c>
      <c r="AG15" s="67">
        <f>'Main table'!AF$7/100*(1-'Main table'!AF$43/100)*'Main table'!AF$9*'Main table'!AF$22/100</f>
        <v>0</v>
      </c>
      <c r="AH15" s="67">
        <f>'Main table'!AG$7/100*(1-'Main table'!AG$43/100)*'Main table'!AG$9*'Main table'!AG$22/100</f>
        <v>0</v>
      </c>
      <c r="AI15" s="67">
        <f>'Main table'!AH$7/100*(1-'Main table'!AH$43/100)*'Main table'!AH$9*'Main table'!AH$22/100</f>
        <v>0</v>
      </c>
      <c r="AJ15" s="67">
        <f>'Main table'!AI$7/100*(1-'Main table'!AI$43/100)*'Main table'!AI$9*'Main table'!AI$22/100</f>
        <v>0</v>
      </c>
      <c r="AK15" s="67">
        <f>'Main table'!AJ$7/100*(1-'Main table'!AJ$43/100)*'Main table'!AJ$9*'Main table'!AJ$22/100</f>
        <v>0</v>
      </c>
      <c r="AL15" s="67">
        <f>'Main table'!AK$7/100*(1-'Main table'!AK$43/100)*'Main table'!AK$9*'Main table'!AK$22/100</f>
        <v>2.056769E-2</v>
      </c>
      <c r="AM15" s="67">
        <f>'Main table'!AL$7/100*(1-'Main table'!AL$43/100)*'Main table'!AL$9*'Main table'!AL$22/100</f>
        <v>0.90276143999999992</v>
      </c>
      <c r="AN15" s="67">
        <f>'Main table'!AM$7/100*(1-'Main table'!AM$43/100)*'Main table'!AM$9*'Main table'!AM$22/100</f>
        <v>0.50962560000000001</v>
      </c>
      <c r="AO15" s="67">
        <f>'Main table'!AN$7/100*(1-'Main table'!AN$43/100)*'Main table'!AN$9*'Main table'!AN$22/100</f>
        <v>0.16126249999999998</v>
      </c>
      <c r="AP15" s="67">
        <f>'Main table'!AO$7/100*(1-'Main table'!AO$43/100)*'Main table'!AO$9*'Main table'!AO$22/100</f>
        <v>0.16126249999999998</v>
      </c>
      <c r="AQ15" s="67">
        <f>'Main table'!AP$7/100*(1-'Main table'!AP$43/100)*'Main table'!AP$9*'Main table'!AP$22/100</f>
        <v>0</v>
      </c>
      <c r="AR15" s="67">
        <f>'Main table'!AQ$7/100*(1-'Main table'!AQ$43/100)*'Main table'!AQ$9*'Main table'!AQ$22/100</f>
        <v>0</v>
      </c>
      <c r="AS15" s="67">
        <f>'Main table'!AR$7/100*(1-'Main table'!AR$43/100)*'Main table'!AR$9*'Main table'!AR$22/100</f>
        <v>0.12573000000000001</v>
      </c>
      <c r="AT15" s="67">
        <f>'Main table'!AS$7/100*(1-'Main table'!AS$43/100)*'Main table'!AS$9*'Main table'!AS$22/100</f>
        <v>0.525312</v>
      </c>
      <c r="AU15" s="67">
        <f>'Main table'!AT$7/100*(1-'Main table'!AT$43/100)*'Main table'!AT$9*'Main table'!AT$22/100</f>
        <v>6.537960000000001E-2</v>
      </c>
      <c r="AV15" s="67">
        <f>'Main table'!AU$7/100*(1-'Main table'!AU$43/100)*'Main table'!AU$9*'Main table'!AU$22/100</f>
        <v>2.8032479999999999E-2</v>
      </c>
      <c r="AW15" s="67">
        <f>'Main table'!AV$7/100*(1-'Main table'!AV$43/100)*'Main table'!AV$9*'Main table'!AV$22/100</f>
        <v>0.32522489999999998</v>
      </c>
      <c r="AX15" s="67">
        <f>'Main table'!AW$7/100*(1-'Main table'!AW$43/100)*'Main table'!AW$9*'Main table'!AW$22/100</f>
        <v>0.28414386000000008</v>
      </c>
      <c r="AY15" s="67">
        <f>'Main table'!AX$7/100*(1-'Main table'!AX$43/100)*'Main table'!AX$9*'Main table'!AX$22/100</f>
        <v>0.40765031999999995</v>
      </c>
      <c r="AZ15" s="67">
        <f>'Main table'!AY$7/100*(1-'Main table'!AY$43/100)*'Main table'!AY$9*'Main table'!AY$22/100</f>
        <v>0</v>
      </c>
      <c r="BA15" s="67">
        <f>'Main table'!AZ$7/100*(1-'Main table'!AZ$43/100)*'Main table'!AZ$9*'Main table'!AZ$22/100</f>
        <v>0</v>
      </c>
      <c r="BB15" s="67">
        <f>'Main table'!BA$7/100*(1-'Main table'!BA$43/100)*'Main table'!BA$9*'Main table'!BA$22/100</f>
        <v>0</v>
      </c>
      <c r="BC15" s="67">
        <f>'Main table'!BB$7/100*(1-'Main table'!BB$43/100)*'Main table'!BB$9*'Main table'!BB$22/100</f>
        <v>8.7775200000000005E-3</v>
      </c>
      <c r="BD15" s="67">
        <f>'Main table'!BC$7/100*(1-'Main table'!BC$43/100)*'Main table'!BC$9*'Main table'!BC$22/100</f>
        <v>8.7775200000000005E-3</v>
      </c>
      <c r="BE15" s="67">
        <f>'Main table'!BD$7/100*(1-'Main table'!BD$43/100)*'Main table'!BD$9*'Main table'!BD$22/100</f>
        <v>1.7010000000000005E-3</v>
      </c>
      <c r="BF15" s="67">
        <f>'Main table'!BE$7/100*(1-'Main table'!BE$43/100)*'Main table'!BE$9*'Main table'!BE$22/100</f>
        <v>1.7010000000000005E-3</v>
      </c>
      <c r="BG15" s="67">
        <f>'Main table'!BF$7/100*(1-'Main table'!BF$43/100)*'Main table'!BF$9*'Main table'!BF$22/100</f>
        <v>1.7010000000000005E-3</v>
      </c>
      <c r="BH15" s="67">
        <f>'Main table'!BG$7/100*(1-'Main table'!BG$43/100)*'Main table'!BG$9*'Main table'!BG$22/100</f>
        <v>0</v>
      </c>
      <c r="BI15" s="67">
        <f>'Main table'!BH$7/100*(1-'Main table'!BH$43/100)*'Main table'!BH$9*'Main table'!BH$22/100</f>
        <v>0</v>
      </c>
      <c r="BJ15" s="67">
        <f>'Main table'!BI$7/100*(1-'Main table'!BI$43/100)*'Main table'!BI$9*'Main table'!BI$22/100</f>
        <v>0</v>
      </c>
      <c r="BK15" s="67">
        <f>'Main table'!BJ$7/100*(1-'Main table'!BJ$43/100)*'Main table'!BJ$9*'Main table'!BJ$22/100</f>
        <v>0</v>
      </c>
      <c r="BL15" s="67">
        <f>'Main table'!BK$7/100*(1-'Main table'!BK$43/100)*'Main table'!BK$9*'Main table'!BK$22/100</f>
        <v>0</v>
      </c>
      <c r="BM15" s="67">
        <f>'Main table'!BL$7/100*(1-'Main table'!BL$43/100)*'Main table'!BL$9*'Main table'!BL$22/100</f>
        <v>0</v>
      </c>
      <c r="BN15" s="67">
        <f>'Main table'!BM$7/100*(1-'Main table'!BM$43/100)*'Main table'!BM$9*'Main table'!BM$22/100</f>
        <v>0</v>
      </c>
      <c r="BO15" s="67">
        <f>'Main table'!BN$7/100*(1-'Main table'!BN$43/100)*'Main table'!BN$9*'Main table'!BN$22/100</f>
        <v>0</v>
      </c>
      <c r="BP15" s="67">
        <f>'Main table'!BO$7/100*(1-'Main table'!BO$43/100)*'Main table'!BO$9*'Main table'!BO$22/100</f>
        <v>0</v>
      </c>
      <c r="BQ15" s="67">
        <f>'Main table'!BP$7/100*(1-'Main table'!BP$43/100)*'Main table'!BP$9*'Main table'!BP$22/100</f>
        <v>0</v>
      </c>
      <c r="BR15" s="67">
        <f>'Main table'!BQ$7/100*(1-'Main table'!BQ$43/100)*'Main table'!BQ$9*'Main table'!BQ$22/100</f>
        <v>0</v>
      </c>
      <c r="BS15" s="67">
        <f>'Main table'!BR$7/100*(1-'Main table'!BR$43/100)*'Main table'!BR$9*'Main table'!BR$22/100</f>
        <v>0</v>
      </c>
      <c r="BT15" s="67">
        <f>'Main table'!BS$7/100*(1-'Main table'!BS$43/100)*'Main table'!BS$9*'Main table'!BS$22/100</f>
        <v>0</v>
      </c>
      <c r="BU15" s="67">
        <f>'Main table'!BT$7/100*(1-'Main table'!BT$43/100)*'Main table'!BT$9*'Main table'!BT$22/100</f>
        <v>0</v>
      </c>
    </row>
    <row r="16" spans="1:73" x14ac:dyDescent="0.3">
      <c r="A16" s="62" t="s">
        <v>239</v>
      </c>
      <c r="B16" t="s">
        <v>329</v>
      </c>
      <c r="C16">
        <v>-1</v>
      </c>
      <c r="D16" s="67">
        <f>1-'Main table'!C$43/100</f>
        <v>0.93099999999999994</v>
      </c>
      <c r="E16" s="67">
        <f>1-'Main table'!D$43/100</f>
        <v>0.93099999999999994</v>
      </c>
      <c r="F16" s="67">
        <f>1-'Main table'!E$43/100</f>
        <v>0.93099999999999994</v>
      </c>
      <c r="G16" s="67">
        <f>1-'Main table'!F$43/100</f>
        <v>0.93099999999999994</v>
      </c>
      <c r="H16" s="67">
        <f>1-'Main table'!G$43/100</f>
        <v>0.93099999999999994</v>
      </c>
      <c r="I16" s="67">
        <f>1-'Main table'!H$43/100</f>
        <v>0.93099999999999994</v>
      </c>
      <c r="J16" s="67">
        <f>1-'Main table'!I$43/100</f>
        <v>0.93099999999999994</v>
      </c>
      <c r="K16" s="67">
        <f>1-'Main table'!J$43/100</f>
        <v>1</v>
      </c>
      <c r="L16" s="67">
        <f>1-'Main table'!K$43/100</f>
        <v>0.93099999999999994</v>
      </c>
      <c r="M16" s="67">
        <f>1-'Main table'!L$43/100</f>
        <v>0.93099999999999994</v>
      </c>
      <c r="N16" s="67">
        <f>1-'Main table'!M$43/100</f>
        <v>0.93099999999999994</v>
      </c>
      <c r="O16" s="67">
        <f>1-'Main table'!N$43/100</f>
        <v>0.93099999999999994</v>
      </c>
      <c r="P16" s="67">
        <f>1-'Main table'!O$43/100</f>
        <v>1</v>
      </c>
      <c r="Q16" s="67">
        <f>1-'Main table'!P$43/100</f>
        <v>1</v>
      </c>
      <c r="R16" s="67">
        <f>1-'Main table'!Q$43/100</f>
        <v>1</v>
      </c>
      <c r="S16" s="67">
        <f>1-'Main table'!R$43/100</f>
        <v>1</v>
      </c>
      <c r="T16" s="67">
        <f>1-'Main table'!S$43/100</f>
        <v>1</v>
      </c>
      <c r="U16" s="67">
        <f>1-'Main table'!T$43/100</f>
        <v>0.95</v>
      </c>
      <c r="V16" s="67">
        <f>1-'Main table'!U$43/100</f>
        <v>0.95</v>
      </c>
      <c r="W16" s="67">
        <f>1-'Main table'!V$43/100</f>
        <v>0.95</v>
      </c>
      <c r="X16" s="67">
        <f>1-'Main table'!W$43/100</f>
        <v>1</v>
      </c>
      <c r="Y16" s="67">
        <f>1-'Main table'!X$43/100</f>
        <v>0.95</v>
      </c>
      <c r="Z16" s="67">
        <f>1-'Main table'!Y$43/100</f>
        <v>0.95</v>
      </c>
      <c r="AA16" s="67">
        <f>1-'Main table'!Z$43/100</f>
        <v>0.95</v>
      </c>
      <c r="AB16" s="67">
        <f>1-'Main table'!AA$43/100</f>
        <v>0.95</v>
      </c>
      <c r="AC16" s="67">
        <f>1-'Main table'!AB$43/100</f>
        <v>0.95</v>
      </c>
      <c r="AD16" s="67">
        <f>1-'Main table'!AC$43/100</f>
        <v>0.95</v>
      </c>
      <c r="AE16" s="67">
        <f>1-'Main table'!AD$43/100</f>
        <v>0.95</v>
      </c>
      <c r="AF16" s="67">
        <f>1-'Main table'!AE$43/100</f>
        <v>0.95</v>
      </c>
      <c r="AG16" s="67">
        <f>1-'Main table'!AF$43/100</f>
        <v>1</v>
      </c>
      <c r="AH16" s="67">
        <f>1-'Main table'!AG$43/100</f>
        <v>1</v>
      </c>
      <c r="AI16" s="67">
        <f>1-'Main table'!AH$43/100</f>
        <v>1</v>
      </c>
      <c r="AJ16" s="67">
        <f>1-'Main table'!AI$43/100</f>
        <v>1</v>
      </c>
      <c r="AK16" s="67">
        <f>1-'Main table'!AJ$43/100</f>
        <v>1</v>
      </c>
      <c r="AL16" s="67">
        <f>1-'Main table'!AK$43/100</f>
        <v>0.95</v>
      </c>
      <c r="AM16" s="67">
        <f>1-'Main table'!AL$43/100</f>
        <v>0.95</v>
      </c>
      <c r="AN16" s="67">
        <f>1-'Main table'!AM$43/100</f>
        <v>0.95</v>
      </c>
      <c r="AO16" s="67">
        <f>1-'Main table'!AN$43/100</f>
        <v>0.95</v>
      </c>
      <c r="AP16" s="67">
        <f>1-'Main table'!AO$43/100</f>
        <v>0.95</v>
      </c>
      <c r="AQ16" s="67">
        <f>1-'Main table'!AP$43/100</f>
        <v>1</v>
      </c>
      <c r="AR16" s="67">
        <f>1-'Main table'!AQ$43/100</f>
        <v>1</v>
      </c>
      <c r="AS16" s="67">
        <f>1-'Main table'!AR$43/100</f>
        <v>0.9</v>
      </c>
      <c r="AT16" s="67">
        <f>1-'Main table'!AS$43/100</f>
        <v>0.9</v>
      </c>
      <c r="AU16" s="67">
        <f>1-'Main table'!AT$43/100</f>
        <v>0.9</v>
      </c>
      <c r="AV16" s="67">
        <f>1-'Main table'!AU$43/100</f>
        <v>0.9</v>
      </c>
      <c r="AW16" s="67">
        <f>1-'Main table'!AV$43/100</f>
        <v>0.85499999999999998</v>
      </c>
      <c r="AX16" s="67">
        <f>1-'Main table'!AW$43/100</f>
        <v>0.85499999999999998</v>
      </c>
      <c r="AY16" s="67">
        <f>1-'Main table'!AX$43/100</f>
        <v>0.85499999999999998</v>
      </c>
      <c r="AZ16" s="67">
        <f>1-'Main table'!AY$43/100</f>
        <v>1</v>
      </c>
      <c r="BA16" s="67">
        <f>1-'Main table'!AZ$43/100</f>
        <v>1</v>
      </c>
      <c r="BB16" s="67">
        <f>1-'Main table'!BA$43/100</f>
        <v>1</v>
      </c>
      <c r="BC16" s="67">
        <f>1-'Main table'!BB$43/100</f>
        <v>0.9</v>
      </c>
      <c r="BD16" s="67">
        <f>1-'Main table'!BC$43/100</f>
        <v>0.9</v>
      </c>
      <c r="BE16" s="67">
        <f>1-'Main table'!BD$43/100</f>
        <v>0.9</v>
      </c>
      <c r="BF16" s="67">
        <f>1-'Main table'!BE$43/100</f>
        <v>0.9</v>
      </c>
      <c r="BG16" s="67">
        <f>1-'Main table'!BF$43/100</f>
        <v>0.9</v>
      </c>
      <c r="BH16" s="67">
        <f>1-'Main table'!BG$43/100</f>
        <v>1</v>
      </c>
      <c r="BI16" s="67">
        <f>1-'Main table'!BH$43/100</f>
        <v>1</v>
      </c>
      <c r="BJ16" s="67">
        <f>1-'Main table'!BI$43/100</f>
        <v>1</v>
      </c>
      <c r="BK16" s="67">
        <f>1-'Main table'!BJ$43/100</f>
        <v>1</v>
      </c>
      <c r="BL16" s="67">
        <f>1-'Main table'!BK$43/100</f>
        <v>0.9</v>
      </c>
      <c r="BM16" s="67">
        <f>1-'Main table'!BL$43/100</f>
        <v>1</v>
      </c>
      <c r="BN16" s="67">
        <f>1-'Main table'!BM$43/100</f>
        <v>1</v>
      </c>
      <c r="BO16" s="67">
        <f>1-'Main table'!BN$43/100</f>
        <v>1</v>
      </c>
      <c r="BP16" s="67">
        <f>1-'Main table'!BO$43/100</f>
        <v>0.7200000000000002</v>
      </c>
      <c r="BQ16" s="67">
        <f>1-'Main table'!BP$43/100</f>
        <v>0.7200000000000002</v>
      </c>
      <c r="BR16" s="67">
        <f>1-'Main table'!BQ$43/100</f>
        <v>0.85499999999999998</v>
      </c>
      <c r="BS16" s="67">
        <f>1-'Main table'!BR$43/100</f>
        <v>0.9</v>
      </c>
      <c r="BT16" s="67">
        <f>1-'Main table'!BS$43/100</f>
        <v>1</v>
      </c>
      <c r="BU16" s="67">
        <f>1-'Main table'!BT$43/100</f>
        <v>1</v>
      </c>
    </row>
    <row r="17" spans="1:73" x14ac:dyDescent="0.3">
      <c r="A17" s="62" t="s">
        <v>239</v>
      </c>
      <c r="B17" t="s">
        <v>242</v>
      </c>
      <c r="C17">
        <v>1</v>
      </c>
      <c r="D17" s="67">
        <f>'Main table'!C$7/100*(1-'Main table'!C$43/100)*'Main table'!C$30</f>
        <v>9.6879859999999987</v>
      </c>
      <c r="E17" s="67">
        <f>'Main table'!D$7/100*(1-'Main table'!D$43/100)*'Main table'!D$30</f>
        <v>9.4477879999999992</v>
      </c>
      <c r="F17" s="67">
        <f>'Main table'!E$7/100*(1-'Main table'!E$43/100)*'Main table'!E$30</f>
        <v>9.0474579999999989</v>
      </c>
      <c r="G17" s="67">
        <f>'Main table'!F$7/100*(1-'Main table'!F$43/100)*'Main table'!F$30</f>
        <v>8.8873259999999981</v>
      </c>
      <c r="H17" s="67">
        <f>'Main table'!G$7/100*(1-'Main table'!G$43/100)*'Main table'!G$30</f>
        <v>7.2860059999999987</v>
      </c>
      <c r="I17" s="67">
        <f>'Main table'!H$7/100*(1-'Main table'!H$43/100)*'Main table'!H$30</f>
        <v>10.328514</v>
      </c>
      <c r="J17" s="67">
        <f>'Main table'!I$7/100*(1-'Main table'!I$43/100)*'Main table'!I$30</f>
        <v>9.5278539999999996</v>
      </c>
      <c r="K17" s="67">
        <f>'Main table'!J$7/100*(1-'Main table'!J$43/100)*'Main table'!J$30</f>
        <v>0</v>
      </c>
      <c r="L17" s="67">
        <f>'Main table'!K$7/100*(1-'Main table'!K$43/100)*'Main table'!K$30</f>
        <v>10.853598</v>
      </c>
      <c r="M17" s="67">
        <f>'Main table'!L$7/100*(1-'Main table'!L$43/100)*'Main table'!L$30</f>
        <v>10.728843999999999</v>
      </c>
      <c r="N17" s="67">
        <f>'Main table'!M$7/100*(1-'Main table'!M$43/100)*'Main table'!M$30</f>
        <v>11.769701999999999</v>
      </c>
      <c r="O17" s="67">
        <f>'Main table'!N$7/100*(1-'Main table'!N$43/100)*'Main table'!N$30</f>
        <v>7.4461379999999995</v>
      </c>
      <c r="P17" s="67">
        <f>'Main table'!O$7/100*(1-'Main table'!O$43/100)*'Main table'!O$30</f>
        <v>29.7</v>
      </c>
      <c r="Q17" s="67">
        <f>'Main table'!P$7/100*(1-'Main table'!P$43/100)*'Main table'!P$30</f>
        <v>29.8</v>
      </c>
      <c r="R17" s="67">
        <f>'Main table'!Q$7/100*(1-'Main table'!Q$43/100)*'Main table'!Q$30</f>
        <v>29.8</v>
      </c>
      <c r="S17" s="67">
        <f>'Main table'!R$7/100*(1-'Main table'!R$43/100)*'Main table'!R$30</f>
        <v>0</v>
      </c>
      <c r="T17" s="67">
        <f>'Main table'!S$7/100*(1-'Main table'!S$43/100)*'Main table'!S$30</f>
        <v>29.7</v>
      </c>
      <c r="U17" s="67">
        <f>'Main table'!T$7/100*(1-'Main table'!T$43/100)*'Main table'!T$30</f>
        <v>6.4113600000000002</v>
      </c>
      <c r="V17" s="67">
        <f>'Main table'!U$7/100*(1-'Main table'!U$43/100)*'Main table'!U$30</f>
        <v>4.4811499999999995</v>
      </c>
      <c r="W17" s="67">
        <f>'Main table'!V$7/100*(1-'Main table'!V$43/100)*'Main table'!V$30</f>
        <v>7.7659650000000005</v>
      </c>
      <c r="X17" s="67">
        <f>'Main table'!W$7/100*(1-'Main table'!W$43/100)*'Main table'!W$30</f>
        <v>0</v>
      </c>
      <c r="Y17" s="67">
        <f>'Main table'!X$7/100*(1-'Main table'!X$43/100)*'Main table'!X$30</f>
        <v>7.057739999999999</v>
      </c>
      <c r="Z17" s="67">
        <f>'Main table'!Y$7/100*(1-'Main table'!Y$43/100)*'Main table'!Y$30</f>
        <v>5.9508000000000001</v>
      </c>
      <c r="AA17" s="67">
        <f>'Main table'!Z$7/100*(1-'Main table'!Z$43/100)*'Main table'!Z$30</f>
        <v>10.336759999999998</v>
      </c>
      <c r="AB17" s="67">
        <f>'Main table'!AA$7/100*(1-'Main table'!AA$43/100)*'Main table'!AA$30</f>
        <v>10.858499999999999</v>
      </c>
      <c r="AC17" s="67">
        <f>'Main table'!AB$7/100*(1-'Main table'!AB$43/100)*'Main table'!AB$30</f>
        <v>9.7306600000000003</v>
      </c>
      <c r="AD17" s="67">
        <f>'Main table'!AC$7/100*(1-'Main table'!AC$43/100)*'Main table'!AC$30</f>
        <v>8.355439999999998</v>
      </c>
      <c r="AE17" s="67">
        <f>'Main table'!AD$7/100*(1-'Main table'!AD$43/100)*'Main table'!AD$30</f>
        <v>7.057739999999999</v>
      </c>
      <c r="AF17" s="67">
        <f>'Main table'!AE$7/100*(1-'Main table'!AE$43/100)*'Main table'!AE$30</f>
        <v>8.0322499999999994</v>
      </c>
      <c r="AG17" s="67">
        <f>'Main table'!AF$7/100*(1-'Main table'!AF$43/100)*'Main table'!AF$30</f>
        <v>0</v>
      </c>
      <c r="AH17" s="67">
        <f>'Main table'!AG$7/100*(1-'Main table'!AG$43/100)*'Main table'!AG$30</f>
        <v>0</v>
      </c>
      <c r="AI17" s="67">
        <f>'Main table'!AH$7/100*(1-'Main table'!AH$43/100)*'Main table'!AH$30</f>
        <v>0</v>
      </c>
      <c r="AJ17" s="67">
        <f>'Main table'!AI$7/100*(1-'Main table'!AI$43/100)*'Main table'!AI$30</f>
        <v>0</v>
      </c>
      <c r="AK17" s="67">
        <f>'Main table'!AJ$7/100*(1-'Main table'!AJ$43/100)*'Main table'!AJ$30</f>
        <v>0</v>
      </c>
      <c r="AL17" s="67">
        <f>'Main table'!AK$7/100*(1-'Main table'!AK$43/100)*'Main table'!AK$30</f>
        <v>6.3285200000000001</v>
      </c>
      <c r="AM17" s="67">
        <f>'Main table'!AL$7/100*(1-'Main table'!AL$43/100)*'Main table'!AL$30</f>
        <v>10.8072</v>
      </c>
      <c r="AN17" s="67">
        <f>'Main table'!AM$7/100*(1-'Main table'!AM$43/100)*'Main table'!AM$30</f>
        <v>14.774399999999998</v>
      </c>
      <c r="AO17" s="67">
        <f>'Main table'!AN$7/100*(1-'Main table'!AN$43/100)*'Main table'!AN$30</f>
        <v>11.426600000000001</v>
      </c>
      <c r="AP17" s="67">
        <f>'Main table'!AO$7/100*(1-'Main table'!AO$43/100)*'Main table'!AO$30</f>
        <v>11.426600000000001</v>
      </c>
      <c r="AQ17" s="67">
        <f>'Main table'!AP$7/100*(1-'Main table'!AP$43/100)*'Main table'!AP$30</f>
        <v>0</v>
      </c>
      <c r="AR17" s="67">
        <f>'Main table'!AQ$7/100*(1-'Main table'!AQ$43/100)*'Main table'!AQ$30</f>
        <v>0</v>
      </c>
      <c r="AS17" s="67">
        <f>'Main table'!AR$7/100*(1-'Main table'!AR$43/100)*'Main table'!AR$30</f>
        <v>3.645</v>
      </c>
      <c r="AT17" s="67">
        <f>'Main table'!AS$7/100*(1-'Main table'!AS$43/100)*'Main table'!AS$30</f>
        <v>10.859586206896552</v>
      </c>
      <c r="AU17" s="67">
        <f>'Main table'!AT$7/100*(1-'Main table'!AT$43/100)*'Main table'!AT$30</f>
        <v>1.8954</v>
      </c>
      <c r="AV17" s="67">
        <f>'Main table'!AU$7/100*(1-'Main table'!AU$43/100)*'Main table'!AU$30</f>
        <v>2.1877200000000001</v>
      </c>
      <c r="AW17" s="67">
        <f>'Main table'!AV$7/100*(1-'Main table'!AV$43/100)*'Main table'!AV$30</f>
        <v>13.849290000000002</v>
      </c>
      <c r="AX17" s="67">
        <f>'Main table'!AW$7/100*(1-'Main table'!AW$43/100)*'Main table'!AW$30</f>
        <v>11.281725</v>
      </c>
      <c r="AY17" s="67">
        <f>'Main table'!AX$7/100*(1-'Main table'!AX$43/100)*'Main table'!AX$30</f>
        <v>10.2942</v>
      </c>
      <c r="AZ17" s="67">
        <f>'Main table'!AY$7/100*(1-'Main table'!AY$43/100)*'Main table'!AY$30</f>
        <v>0</v>
      </c>
      <c r="BA17" s="67">
        <f>'Main table'!AZ$7/100*(1-'Main table'!AZ$43/100)*'Main table'!AZ$30</f>
        <v>0</v>
      </c>
      <c r="BB17" s="67">
        <f>'Main table'!BA$7/100*(1-'Main table'!BA$43/100)*'Main table'!BA$30</f>
        <v>0</v>
      </c>
      <c r="BC17" s="67">
        <f>'Main table'!BB$7/100*(1-'Main table'!BB$43/100)*'Main table'!BB$30</f>
        <v>0.22337999999999997</v>
      </c>
      <c r="BD17" s="67">
        <f>'Main table'!BC$7/100*(1-'Main table'!BC$43/100)*'Main table'!BC$30</f>
        <v>0.22337999999999997</v>
      </c>
      <c r="BE17" s="67">
        <f>'Main table'!BD$7/100*(1-'Main table'!BD$43/100)*'Main table'!BD$30</f>
        <v>0.85093150684931529</v>
      </c>
      <c r="BF17" s="67">
        <f>'Main table'!BE$7/100*(1-'Main table'!BE$43/100)*'Main table'!BE$30</f>
        <v>0.85093150684931529</v>
      </c>
      <c r="BG17" s="67">
        <f>'Main table'!BF$7/100*(1-'Main table'!BF$43/100)*'Main table'!BF$30</f>
        <v>0.85093150684931529</v>
      </c>
      <c r="BH17" s="67">
        <f>'Main table'!BG$7/100*(1-'Main table'!BG$43/100)*'Main table'!BG$30</f>
        <v>0</v>
      </c>
      <c r="BI17" s="67">
        <f>'Main table'!BH$7/100*(1-'Main table'!BH$43/100)*'Main table'!BH$30</f>
        <v>0</v>
      </c>
      <c r="BJ17" s="67">
        <f>'Main table'!BI$7/100*(1-'Main table'!BI$43/100)*'Main table'!BI$30</f>
        <v>0</v>
      </c>
      <c r="BK17" s="67">
        <f>'Main table'!BJ$7/100*(1-'Main table'!BJ$43/100)*'Main table'!BJ$30</f>
        <v>8.8000000000000007</v>
      </c>
      <c r="BL17" s="67">
        <f>'Main table'!BK$7/100*(1-'Main table'!BK$43/100)*'Main table'!BK$30</f>
        <v>3.0050999999999992</v>
      </c>
      <c r="BM17" s="67">
        <f>'Main table'!BL$7/100*(1-'Main table'!BL$43/100)*'Main table'!BL$30</f>
        <v>0</v>
      </c>
      <c r="BN17" s="67">
        <f>'Main table'!BM$7/100*(1-'Main table'!BM$43/100)*'Main table'!BM$30</f>
        <v>0</v>
      </c>
      <c r="BO17" s="67">
        <f>'Main table'!BN$7/100*(1-'Main table'!BN$43/100)*'Main table'!BN$30</f>
        <v>0</v>
      </c>
      <c r="BP17" s="67">
        <f>'Main table'!BO$7/100*(1-'Main table'!BO$43/100)*'Main table'!BO$30</f>
        <v>2.6731111111111119</v>
      </c>
      <c r="BQ17" s="67">
        <f>'Main table'!BP$7/100*(1-'Main table'!BP$43/100)*'Main table'!BP$30</f>
        <v>0</v>
      </c>
      <c r="BR17" s="67">
        <f>'Main table'!BQ$7/100*(1-'Main table'!BQ$43/100)*'Main table'!BQ$30</f>
        <v>0</v>
      </c>
      <c r="BS17" s="67">
        <f>'Main table'!BR$7/100*(1-'Main table'!BR$43/100)*'Main table'!BR$30</f>
        <v>0</v>
      </c>
      <c r="BT17" s="67">
        <f>'Main table'!BS$7/100*(1-'Main table'!BS$43/100)*'Main table'!BS$30</f>
        <v>0</v>
      </c>
      <c r="BU17" s="67">
        <f>'Main table'!BT$7/100*(1-'Main table'!BT$43/100)*'Main table'!BT$30</f>
        <v>0</v>
      </c>
    </row>
    <row r="18" spans="1:73" x14ac:dyDescent="0.3">
      <c r="A18" s="62" t="s">
        <v>239</v>
      </c>
      <c r="B18" t="s">
        <v>241</v>
      </c>
      <c r="C18">
        <v>1</v>
      </c>
      <c r="D18" s="67">
        <f>'Main table'!C$7/100*(1-'Main table'!C$43/100)*'Main table'!C$9*'Main table'!C$31/100</f>
        <v>8.4237438600000001</v>
      </c>
      <c r="E18" s="67">
        <f>'Main table'!D$7/100*(1-'Main table'!D$43/100)*'Main table'!D$9*'Main table'!D$31/100</f>
        <v>10.766875349999999</v>
      </c>
      <c r="F18" s="67">
        <f>'Main table'!E$7/100*(1-'Main table'!E$43/100)*'Main table'!E$9*'Main table'!E$31/100</f>
        <v>5.8469797820000009</v>
      </c>
      <c r="G18" s="67">
        <f>'Main table'!F$7/100*(1-'Main table'!F$43/100)*'Main table'!F$9*'Main table'!F$31/100</f>
        <v>7.199214456</v>
      </c>
      <c r="H18" s="67">
        <f>'Main table'!G$7/100*(1-'Main table'!G$43/100)*'Main table'!G$9*'Main table'!G$31/100</f>
        <v>6.6847103400000005</v>
      </c>
      <c r="I18" s="67">
        <f>'Main table'!H$7/100*(1-'Main table'!H$43/100)*'Main table'!H$9*'Main table'!H$31/100</f>
        <v>6.081172832</v>
      </c>
      <c r="J18" s="67">
        <f>'Main table'!I$7/100*(1-'Main table'!I$43/100)*'Main table'!I$9*'Main table'!I$31/100</f>
        <v>7.8595187579999992</v>
      </c>
      <c r="K18" s="67">
        <f>'Main table'!J$7/100*(1-'Main table'!J$43/100)*'Main table'!J$9*'Main table'!J$31/100</f>
        <v>0</v>
      </c>
      <c r="L18" s="67">
        <f>'Main table'!K$7/100*(1-'Main table'!K$43/100)*'Main table'!K$9*'Main table'!K$31/100</f>
        <v>7.7497929599999997</v>
      </c>
      <c r="M18" s="67">
        <f>'Main table'!L$7/100*(1-'Main table'!L$43/100)*'Main table'!L$9*'Main table'!L$31/100</f>
        <v>16.246272125999997</v>
      </c>
      <c r="N18" s="67">
        <f>'Main table'!M$7/100*(1-'Main table'!M$43/100)*'Main table'!M$9*'Main table'!M$31/100</f>
        <v>19.039694799999999</v>
      </c>
      <c r="O18" s="67">
        <f>'Main table'!N$7/100*(1-'Main table'!N$43/100)*'Main table'!N$9*'Main table'!N$31/100</f>
        <v>22.665083279999998</v>
      </c>
      <c r="P18" s="67">
        <f>'Main table'!O$7/100*(1-'Main table'!O$43/100)*'Main table'!O$9*'Main table'!O$31/100</f>
        <v>0</v>
      </c>
      <c r="Q18" s="67">
        <f>'Main table'!P$7/100*(1-'Main table'!P$43/100)*'Main table'!P$9*'Main table'!P$31/100</f>
        <v>0</v>
      </c>
      <c r="R18" s="67">
        <f>'Main table'!Q$7/100*(1-'Main table'!Q$43/100)*'Main table'!Q$9*'Main table'!Q$31/100</f>
        <v>0</v>
      </c>
      <c r="S18" s="67">
        <f>'Main table'!R$7/100*(1-'Main table'!R$43/100)*'Main table'!R$9*'Main table'!R$31/100</f>
        <v>0</v>
      </c>
      <c r="T18" s="67">
        <f>'Main table'!S$7/100*(1-'Main table'!S$43/100)*'Main table'!S$9*'Main table'!S$31/100</f>
        <v>0</v>
      </c>
      <c r="U18" s="67">
        <f>'Main table'!T$7/100*(1-'Main table'!T$43/100)*'Main table'!T$9*'Main table'!T$31/100</f>
        <v>25.944833639999999</v>
      </c>
      <c r="V18" s="67">
        <f>'Main table'!U$7/100*(1-'Main table'!U$43/100)*'Main table'!U$9*'Main table'!U$31/100</f>
        <v>21.477052800000003</v>
      </c>
      <c r="W18" s="67">
        <f>'Main table'!V$7/100*(1-'Main table'!V$43/100)*'Main table'!V$9*'Main table'!V$31/100</f>
        <v>37.632363299999994</v>
      </c>
      <c r="X18" s="67">
        <f>'Main table'!W$7/100*(1-'Main table'!W$43/100)*'Main table'!W$9*'Main table'!W$31/100</f>
        <v>0</v>
      </c>
      <c r="Y18" s="67">
        <f>'Main table'!X$7/100*(1-'Main table'!X$43/100)*'Main table'!X$9*'Main table'!X$31/100</f>
        <v>22.922334539999998</v>
      </c>
      <c r="Z18" s="67">
        <f>'Main table'!Y$7/100*(1-'Main table'!Y$43/100)*'Main table'!Y$9*'Main table'!Y$31/100</f>
        <v>9.2796940500000016</v>
      </c>
      <c r="AA18" s="67">
        <f>'Main table'!Z$7/100*(1-'Main table'!Z$43/100)*'Main table'!Z$9*'Main table'!Z$31/100</f>
        <v>67.122553049999993</v>
      </c>
      <c r="AB18" s="67">
        <f>'Main table'!AA$7/100*(1-'Main table'!AA$43/100)*'Main table'!AA$9*'Main table'!AA$31/100</f>
        <v>49.527072000000004</v>
      </c>
      <c r="AC18" s="67">
        <f>'Main table'!AB$7/100*(1-'Main table'!AB$43/100)*'Main table'!AB$9*'Main table'!AB$31/100</f>
        <v>10.95823309</v>
      </c>
      <c r="AD18" s="67">
        <f>'Main table'!AC$7/100*(1-'Main table'!AC$43/100)*'Main table'!AC$9*'Main table'!AC$31/100</f>
        <v>16.507443200000001</v>
      </c>
      <c r="AE18" s="67">
        <f>'Main table'!AD$7/100*(1-'Main table'!AD$43/100)*'Main table'!AD$9*'Main table'!AD$31/100</f>
        <v>22.922334539999998</v>
      </c>
      <c r="AF18" s="67">
        <f>'Main table'!AE$7/100*(1-'Main table'!AE$43/100)*'Main table'!AE$9*'Main table'!AE$31/100</f>
        <v>20.702067499999998</v>
      </c>
      <c r="AG18" s="67">
        <f>'Main table'!AF$7/100*(1-'Main table'!AF$43/100)*'Main table'!AF$9*'Main table'!AF$31/100</f>
        <v>0</v>
      </c>
      <c r="AH18" s="67">
        <f>'Main table'!AG$7/100*(1-'Main table'!AG$43/100)*'Main table'!AG$9*'Main table'!AG$31/100</f>
        <v>0</v>
      </c>
      <c r="AI18" s="67">
        <f>'Main table'!AH$7/100*(1-'Main table'!AH$43/100)*'Main table'!AH$9*'Main table'!AH$31/100</f>
        <v>0</v>
      </c>
      <c r="AJ18" s="67">
        <f>'Main table'!AI$7/100*(1-'Main table'!AI$43/100)*'Main table'!AI$9*'Main table'!AI$31/100</f>
        <v>0</v>
      </c>
      <c r="AK18" s="67">
        <f>'Main table'!AJ$7/100*(1-'Main table'!AJ$43/100)*'Main table'!AJ$9*'Main table'!AJ$31/100</f>
        <v>0</v>
      </c>
      <c r="AL18" s="67">
        <f>'Main table'!AK$7/100*(1-'Main table'!AK$43/100)*'Main table'!AK$9*'Main table'!AK$31/100</f>
        <v>5.1419224999999997</v>
      </c>
      <c r="AM18" s="67">
        <f>'Main table'!AL$7/100*(1-'Main table'!AL$43/100)*'Main table'!AL$9*'Main table'!AL$31/100</f>
        <v>30.629405999999996</v>
      </c>
      <c r="AN18" s="67">
        <f>'Main table'!AM$7/100*(1-'Main table'!AM$43/100)*'Main table'!AM$9*'Main table'!AM$31/100</f>
        <v>22.006559999999993</v>
      </c>
      <c r="AO18" s="67">
        <f>'Main table'!AN$7/100*(1-'Main table'!AN$43/100)*'Main table'!AN$9*'Main table'!AN$31/100</f>
        <v>10.9428125</v>
      </c>
      <c r="AP18" s="67">
        <f>'Main table'!AO$7/100*(1-'Main table'!AO$43/100)*'Main table'!AO$9*'Main table'!AO$31/100</f>
        <v>10.9428125</v>
      </c>
      <c r="AQ18" s="67">
        <f>'Main table'!AP$7/100*(1-'Main table'!AP$43/100)*'Main table'!AP$9*'Main table'!AP$31/100</f>
        <v>0</v>
      </c>
      <c r="AR18" s="67">
        <f>'Main table'!AQ$7/100*(1-'Main table'!AQ$43/100)*'Main table'!AQ$9*'Main table'!AQ$31/100</f>
        <v>0</v>
      </c>
      <c r="AS18" s="67">
        <f>'Main table'!AR$7/100*(1-'Main table'!AR$43/100)*'Main table'!AR$9*'Main table'!AR$31/100</f>
        <v>5.4292499999999997</v>
      </c>
      <c r="AT18" s="67">
        <f>'Main table'!AS$7/100*(1-'Main table'!AS$43/100)*'Main table'!AS$9*'Main table'!AS$31/100</f>
        <v>20.793600000000001</v>
      </c>
      <c r="AU18" s="67">
        <f>'Main table'!AT$7/100*(1-'Main table'!AT$43/100)*'Main table'!AT$9*'Main table'!AT$31/100</f>
        <v>2.8232100000000004</v>
      </c>
      <c r="AV18" s="67">
        <f>'Main table'!AU$7/100*(1-'Main table'!AU$43/100)*'Main table'!AU$9*'Main table'!AU$31/100</f>
        <v>1.201392</v>
      </c>
      <c r="AW18" s="67">
        <f>'Main table'!AV$7/100*(1-'Main table'!AV$43/100)*'Main table'!AV$9*'Main table'!AV$31/100</f>
        <v>11.919492584999999</v>
      </c>
      <c r="AX18" s="67">
        <f>'Main table'!AW$7/100*(1-'Main table'!AW$43/100)*'Main table'!AW$9*'Main table'!AW$31/100</f>
        <v>10.255010220000001</v>
      </c>
      <c r="AY18" s="67">
        <f>'Main table'!AX$7/100*(1-'Main table'!AX$43/100)*'Main table'!AX$9*'Main table'!AX$31/100</f>
        <v>25.186966200000001</v>
      </c>
      <c r="AZ18" s="67">
        <f>'Main table'!AY$7/100*(1-'Main table'!AY$43/100)*'Main table'!AY$9*'Main table'!AY$31/100</f>
        <v>0</v>
      </c>
      <c r="BA18" s="67">
        <f>'Main table'!AZ$7/100*(1-'Main table'!AZ$43/100)*'Main table'!AZ$9*'Main table'!AZ$31/100</f>
        <v>0</v>
      </c>
      <c r="BB18" s="67">
        <f>'Main table'!BA$7/100*(1-'Main table'!BA$43/100)*'Main table'!BA$9*'Main table'!BA$31/100</f>
        <v>0</v>
      </c>
      <c r="BC18" s="67">
        <f>'Main table'!BB$7/100*(1-'Main table'!BB$43/100)*'Main table'!BB$9*'Main table'!BB$31/100</f>
        <v>0.43448724</v>
      </c>
      <c r="BD18" s="67">
        <f>'Main table'!BC$7/100*(1-'Main table'!BC$43/100)*'Main table'!BC$9*'Main table'!BC$31/100</f>
        <v>0.43448724</v>
      </c>
      <c r="BE18" s="67">
        <f>'Main table'!BD$7/100*(1-'Main table'!BD$43/100)*'Main table'!BD$9*'Main table'!BD$31/100</f>
        <v>0.13891500000000004</v>
      </c>
      <c r="BF18" s="67">
        <f>'Main table'!BE$7/100*(1-'Main table'!BE$43/100)*'Main table'!BE$9*'Main table'!BE$31/100</f>
        <v>0.13891500000000004</v>
      </c>
      <c r="BG18" s="67">
        <f>'Main table'!BF$7/100*(1-'Main table'!BF$43/100)*'Main table'!BF$9*'Main table'!BF$31/100</f>
        <v>0.13891500000000004</v>
      </c>
      <c r="BH18" s="67">
        <f>'Main table'!BG$7/100*(1-'Main table'!BG$43/100)*'Main table'!BG$9*'Main table'!BG$31/100</f>
        <v>0</v>
      </c>
      <c r="BI18" s="67">
        <f>'Main table'!BH$7/100*(1-'Main table'!BH$43/100)*'Main table'!BH$9*'Main table'!BH$31/100</f>
        <v>0</v>
      </c>
      <c r="BJ18" s="67">
        <f>'Main table'!BI$7/100*(1-'Main table'!BI$43/100)*'Main table'!BI$9*'Main table'!BI$31/100</f>
        <v>0</v>
      </c>
      <c r="BK18" s="67">
        <f>'Main table'!BJ$7/100*(1-'Main table'!BJ$43/100)*'Main table'!BJ$9*'Main table'!BJ$31/100</f>
        <v>0</v>
      </c>
      <c r="BL18" s="67">
        <f>'Main table'!BK$7/100*(1-'Main table'!BK$43/100)*'Main table'!BK$9*'Main table'!BK$31/100</f>
        <v>7.9127999999999998</v>
      </c>
      <c r="BM18" s="67">
        <f>'Main table'!BL$7/100*(1-'Main table'!BL$43/100)*'Main table'!BL$9*'Main table'!BL$31/100</f>
        <v>0</v>
      </c>
      <c r="BN18" s="67">
        <f>'Main table'!BM$7/100*(1-'Main table'!BM$43/100)*'Main table'!BM$9*'Main table'!BM$31/100</f>
        <v>0</v>
      </c>
      <c r="BO18" s="67">
        <f>'Main table'!BN$7/100*(1-'Main table'!BN$43/100)*'Main table'!BN$9*'Main table'!BN$31/100</f>
        <v>0</v>
      </c>
      <c r="BP18" s="67">
        <f>'Main table'!BO$7/100*(1-'Main table'!BO$43/100)*'Main table'!BO$9*'Main table'!BO$31/100</f>
        <v>0.94938480000000025</v>
      </c>
      <c r="BQ18" s="67">
        <f>'Main table'!BP$7/100*(1-'Main table'!BP$43/100)*'Main table'!BP$9*'Main table'!BP$31/100</f>
        <v>0</v>
      </c>
      <c r="BR18" s="67">
        <f>'Main table'!BQ$7/100*(1-'Main table'!BQ$43/100)*'Main table'!BQ$9*'Main table'!BQ$31/100</f>
        <v>0</v>
      </c>
      <c r="BS18" s="67">
        <f>'Main table'!BR$7/100*(1-'Main table'!BR$43/100)*'Main table'!BR$9*'Main table'!BR$31/100</f>
        <v>0</v>
      </c>
      <c r="BT18" s="67">
        <f>'Main table'!BS$7/100*(1-'Main table'!BS$43/100)*'Main table'!BS$9*'Main table'!BS$31/100</f>
        <v>0</v>
      </c>
      <c r="BU18" s="67">
        <f>'Main table'!BT$7/100*(1-'Main table'!BT$43/100)*'Main table'!BT$9*'Main table'!BT$31/100</f>
        <v>0</v>
      </c>
    </row>
    <row r="19" spans="1:73" x14ac:dyDescent="0.3">
      <c r="A19" s="62" t="s">
        <v>239</v>
      </c>
      <c r="B19" t="s">
        <v>243</v>
      </c>
      <c r="C19">
        <v>1</v>
      </c>
      <c r="D19" s="67">
        <f>'Main table'!C$7/100*(1-'Main table'!C$43/100)*'Main table'!C$9*'Main table'!C$21/100</f>
        <v>0.29256116399999998</v>
      </c>
      <c r="E19" s="67">
        <f>'Main table'!D$7/100*(1-'Main table'!D$43/100)*'Main table'!D$9*'Main table'!D$21/100</f>
        <v>0.34428379999999997</v>
      </c>
      <c r="F19" s="67">
        <f>'Main table'!E$7/100*(1-'Main table'!E$43/100)*'Main table'!E$9*'Main table'!E$21/100</f>
        <v>0.32162512200000004</v>
      </c>
      <c r="G19" s="67">
        <f>'Main table'!F$7/100*(1-'Main table'!F$43/100)*'Main table'!F$9*'Main table'!F$21/100</f>
        <v>0.34956815599999996</v>
      </c>
      <c r="H19" s="67">
        <f>'Main table'!G$7/100*(1-'Main table'!G$43/100)*'Main table'!G$9*'Main table'!G$21/100</f>
        <v>0.37871218000000001</v>
      </c>
      <c r="I19" s="67">
        <f>'Main table'!H$7/100*(1-'Main table'!H$43/100)*'Main table'!H$9*'Main table'!H$21/100</f>
        <v>0.23331232400000002</v>
      </c>
      <c r="J19" s="67">
        <f>'Main table'!I$7/100*(1-'Main table'!I$43/100)*'Main table'!I$9*'Main table'!I$21/100</f>
        <v>0.32787026999999996</v>
      </c>
      <c r="K19" s="67">
        <f>'Main table'!J$7/100*(1-'Main table'!J$43/100)*'Main table'!J$9*'Main table'!J$21/100</f>
        <v>0</v>
      </c>
      <c r="L19" s="67">
        <f>'Main table'!K$7/100*(1-'Main table'!K$43/100)*'Main table'!K$9*'Main table'!K$21/100</f>
        <v>0.31167645600000005</v>
      </c>
      <c r="M19" s="67">
        <f>'Main table'!L$7/100*(1-'Main table'!L$43/100)*'Main table'!L$9*'Main table'!L$21/100</f>
        <v>1.377775728</v>
      </c>
      <c r="N19" s="67">
        <f>'Main table'!M$7/100*(1-'Main table'!M$43/100)*'Main table'!M$9*'Main table'!M$21/100</f>
        <v>1.4395866799999999</v>
      </c>
      <c r="O19" s="67">
        <f>'Main table'!N$7/100*(1-'Main table'!N$43/100)*'Main table'!N$9*'Main table'!N$21/100</f>
        <v>1.3491120999999999</v>
      </c>
      <c r="P19" s="67">
        <f>'Main table'!O$7/100*(1-'Main table'!O$43/100)*'Main table'!O$9*'Main table'!O$21/100</f>
        <v>0</v>
      </c>
      <c r="Q19" s="67">
        <f>'Main table'!P$7/100*(1-'Main table'!P$43/100)*'Main table'!P$9*'Main table'!P$21/100</f>
        <v>0</v>
      </c>
      <c r="R19" s="67">
        <f>'Main table'!Q$7/100*(1-'Main table'!Q$43/100)*'Main table'!Q$9*'Main table'!Q$21/100</f>
        <v>0</v>
      </c>
      <c r="S19" s="67">
        <f>'Main table'!R$7/100*(1-'Main table'!R$43/100)*'Main table'!R$9*'Main table'!R$21/100</f>
        <v>0</v>
      </c>
      <c r="T19" s="67">
        <f>'Main table'!S$7/100*(1-'Main table'!S$43/100)*'Main table'!S$9*'Main table'!S$21/100</f>
        <v>0</v>
      </c>
      <c r="U19" s="67">
        <f>'Main table'!T$7/100*(1-'Main table'!T$43/100)*'Main table'!T$9*'Main table'!T$21/100</f>
        <v>1.7770433999999999</v>
      </c>
      <c r="V19" s="67">
        <f>'Main table'!U$7/100*(1-'Main table'!U$43/100)*'Main table'!U$9*'Main table'!U$21/100</f>
        <v>0.9587969999999999</v>
      </c>
      <c r="W19" s="67">
        <f>'Main table'!V$7/100*(1-'Main table'!V$43/100)*'Main table'!V$9*'Main table'!V$21/100</f>
        <v>2.6385909899999995</v>
      </c>
      <c r="X19" s="67">
        <f>'Main table'!W$7/100*(1-'Main table'!W$43/100)*'Main table'!W$9*'Main table'!W$21/100</f>
        <v>0</v>
      </c>
      <c r="Y19" s="67">
        <f>'Main table'!X$7/100*(1-'Main table'!X$43/100)*'Main table'!X$9*'Main table'!X$21/100</f>
        <v>0.73839452999999977</v>
      </c>
      <c r="Z19" s="67">
        <f>'Main table'!Y$7/100*(1-'Main table'!Y$43/100)*'Main table'!Y$9*'Main table'!Y$21/100</f>
        <v>0.57193800000000006</v>
      </c>
      <c r="AA19" s="67">
        <f>'Main table'!Z$7/100*(1-'Main table'!Z$43/100)*'Main table'!Z$9*'Main table'!Z$21/100</f>
        <v>1.4435819999999995</v>
      </c>
      <c r="AB19" s="67">
        <f>'Main table'!AA$7/100*(1-'Main table'!AA$43/100)*'Main table'!AA$9*'Main table'!AA$21/100</f>
        <v>0.97675200000000006</v>
      </c>
      <c r="AC19" s="67">
        <f>'Main table'!AB$7/100*(1-'Main table'!AB$43/100)*'Main table'!AB$9*'Main table'!AB$21/100</f>
        <v>0.52788830499999995</v>
      </c>
      <c r="AD19" s="67">
        <f>'Main table'!AC$7/100*(1-'Main table'!AC$43/100)*'Main table'!AC$9*'Main table'!AC$21/100</f>
        <v>0.92999679999999996</v>
      </c>
      <c r="AE19" s="67">
        <f>'Main table'!AD$7/100*(1-'Main table'!AD$43/100)*'Main table'!AD$9*'Main table'!AD$21/100</f>
        <v>0.73839452999999977</v>
      </c>
      <c r="AF19" s="67">
        <f>'Main table'!AE$7/100*(1-'Main table'!AE$43/100)*'Main table'!AE$9*'Main table'!AE$21/100</f>
        <v>0.74826749999999986</v>
      </c>
      <c r="AG19" s="67">
        <f>'Main table'!AF$7/100*(1-'Main table'!AF$43/100)*'Main table'!AF$9*'Main table'!AF$21/100</f>
        <v>0</v>
      </c>
      <c r="AH19" s="67">
        <f>'Main table'!AG$7/100*(1-'Main table'!AG$43/100)*'Main table'!AG$9*'Main table'!AG$21/100</f>
        <v>0</v>
      </c>
      <c r="AI19" s="67">
        <f>'Main table'!AH$7/100*(1-'Main table'!AH$43/100)*'Main table'!AH$9*'Main table'!AH$21/100</f>
        <v>0</v>
      </c>
      <c r="AJ19" s="67">
        <f>'Main table'!AI$7/100*(1-'Main table'!AI$43/100)*'Main table'!AI$9*'Main table'!AI$21/100</f>
        <v>0</v>
      </c>
      <c r="AK19" s="67">
        <f>'Main table'!AJ$7/100*(1-'Main table'!AJ$43/100)*'Main table'!AJ$9*'Main table'!AJ$21/100</f>
        <v>0</v>
      </c>
      <c r="AL19" s="67">
        <f>'Main table'!AK$7/100*(1-'Main table'!AK$43/100)*'Main table'!AK$9*'Main table'!AK$21/100</f>
        <v>0.14397382999999997</v>
      </c>
      <c r="AM19" s="67">
        <f>'Main table'!AL$7/100*(1-'Main table'!AL$43/100)*'Main table'!AL$9*'Main table'!AL$21/100</f>
        <v>2.5396919999999996</v>
      </c>
      <c r="AN19" s="67">
        <f>'Main table'!AM$7/100*(1-'Main table'!AM$43/100)*'Main table'!AM$9*'Main table'!AM$21/100</f>
        <v>1.8068543999999997</v>
      </c>
      <c r="AO19" s="67">
        <f>'Main table'!AN$7/100*(1-'Main table'!AN$43/100)*'Main table'!AN$9*'Main table'!AN$21/100</f>
        <v>0.87542500000000001</v>
      </c>
      <c r="AP19" s="67">
        <f>'Main table'!AO$7/100*(1-'Main table'!AO$43/100)*'Main table'!AO$9*'Main table'!AO$21/100</f>
        <v>0.87542500000000001</v>
      </c>
      <c r="AQ19" s="67">
        <f>'Main table'!AP$7/100*(1-'Main table'!AP$43/100)*'Main table'!AP$9*'Main table'!AP$21/100</f>
        <v>0</v>
      </c>
      <c r="AR19" s="67">
        <f>'Main table'!AQ$7/100*(1-'Main table'!AQ$43/100)*'Main table'!AQ$9*'Main table'!AQ$21/100</f>
        <v>0</v>
      </c>
      <c r="AS19" s="67">
        <f>'Main table'!AR$7/100*(1-'Main table'!AR$43/100)*'Main table'!AR$9*'Main table'!AR$21/100</f>
        <v>0.44577</v>
      </c>
      <c r="AT19" s="67">
        <f>'Main table'!AS$7/100*(1-'Main table'!AS$43/100)*'Main table'!AS$9*'Main table'!AS$21/100</f>
        <v>1.8385920000000002</v>
      </c>
      <c r="AU19" s="67">
        <f>'Main table'!AT$7/100*(1-'Main table'!AT$43/100)*'Main table'!AT$9*'Main table'!AT$21/100</f>
        <v>0.23180039999999999</v>
      </c>
      <c r="AV19" s="67">
        <f>'Main table'!AU$7/100*(1-'Main table'!AU$43/100)*'Main table'!AU$9*'Main table'!AU$21/100</f>
        <v>9.2106719999999989E-2</v>
      </c>
      <c r="AW19" s="67">
        <f>'Main table'!AV$7/100*(1-'Main table'!AV$43/100)*'Main table'!AV$9*'Main table'!AV$21/100</f>
        <v>1.0244584349999999</v>
      </c>
      <c r="AX19" s="67">
        <f>'Main table'!AW$7/100*(1-'Main table'!AW$43/100)*'Main table'!AW$9*'Main table'!AW$21/100</f>
        <v>0.50370957000000005</v>
      </c>
      <c r="AY19" s="67">
        <f>'Main table'!AX$7/100*(1-'Main table'!AX$43/100)*'Main table'!AX$9*'Main table'!AX$21/100</f>
        <v>1.8053085600000001</v>
      </c>
      <c r="AZ19" s="67">
        <f>'Main table'!AY$7/100*(1-'Main table'!AY$43/100)*'Main table'!AY$9*'Main table'!AY$21/100</f>
        <v>0</v>
      </c>
      <c r="BA19" s="67">
        <f>'Main table'!AZ$7/100*(1-'Main table'!AZ$43/100)*'Main table'!AZ$9*'Main table'!AZ$21/100</f>
        <v>0</v>
      </c>
      <c r="BB19" s="67">
        <f>'Main table'!BA$7/100*(1-'Main table'!BA$43/100)*'Main table'!BA$9*'Main table'!BA$21/100</f>
        <v>0</v>
      </c>
      <c r="BC19" s="67">
        <f>'Main table'!BB$7/100*(1-'Main table'!BB$43/100)*'Main table'!BB$9*'Main table'!BB$21/100</f>
        <v>4.2790409999999994E-2</v>
      </c>
      <c r="BD19" s="67">
        <f>'Main table'!BC$7/100*(1-'Main table'!BC$43/100)*'Main table'!BC$9*'Main table'!BC$21/100</f>
        <v>4.2790409999999994E-2</v>
      </c>
      <c r="BE19" s="67">
        <f>'Main table'!BD$7/100*(1-'Main table'!BD$43/100)*'Main table'!BD$9*'Main table'!BD$21/100</f>
        <v>1.4553000000000005E-2</v>
      </c>
      <c r="BF19" s="67">
        <f>'Main table'!BE$7/100*(1-'Main table'!BE$43/100)*'Main table'!BE$9*'Main table'!BE$21/100</f>
        <v>1.4553000000000005E-2</v>
      </c>
      <c r="BG19" s="67">
        <f>'Main table'!BF$7/100*(1-'Main table'!BF$43/100)*'Main table'!BF$9*'Main table'!BF$21/100</f>
        <v>1.4553000000000005E-2</v>
      </c>
      <c r="BH19" s="67">
        <f>'Main table'!BG$7/100*(1-'Main table'!BG$43/100)*'Main table'!BG$9*'Main table'!BG$21/100</f>
        <v>0</v>
      </c>
      <c r="BI19" s="67">
        <f>'Main table'!BH$7/100*(1-'Main table'!BH$43/100)*'Main table'!BH$9*'Main table'!BH$21/100</f>
        <v>0</v>
      </c>
      <c r="BJ19" s="67">
        <f>'Main table'!BI$7/100*(1-'Main table'!BI$43/100)*'Main table'!BI$9*'Main table'!BI$21/100</f>
        <v>0</v>
      </c>
      <c r="BK19" s="67">
        <f>'Main table'!BJ$7/100*(1-'Main table'!BJ$43/100)*'Main table'!BJ$9*'Main table'!BJ$21/100</f>
        <v>0</v>
      </c>
      <c r="BL19" s="67">
        <f>'Main table'!BK$7/100*(1-'Main table'!BK$43/100)*'Main table'!BK$9*'Main table'!BK$21/100</f>
        <v>0</v>
      </c>
      <c r="BM19" s="67">
        <f>'Main table'!BL$7/100*(1-'Main table'!BL$43/100)*'Main table'!BL$9*'Main table'!BL$21/100</f>
        <v>0</v>
      </c>
      <c r="BN19" s="67">
        <f>'Main table'!BM$7/100*(1-'Main table'!BM$43/100)*'Main table'!BM$9*'Main table'!BM$21/100</f>
        <v>0</v>
      </c>
      <c r="BO19" s="67">
        <f>'Main table'!BN$7/100*(1-'Main table'!BN$43/100)*'Main table'!BN$9*'Main table'!BN$21/100</f>
        <v>0.16592624999999997</v>
      </c>
      <c r="BP19" s="67">
        <f>'Main table'!BO$7/100*(1-'Main table'!BO$43/100)*'Main table'!BO$9*'Main table'!BO$21/100</f>
        <v>5.2164000000000016E-2</v>
      </c>
      <c r="BQ19" s="67">
        <f>'Main table'!BP$7/100*(1-'Main table'!BP$43/100)*'Main table'!BP$9*'Main table'!BP$21/100</f>
        <v>0.11987325000000004</v>
      </c>
      <c r="BR19" s="67">
        <f>'Main table'!BQ$7/100*(1-'Main table'!BQ$43/100)*'Main table'!BQ$9*'Main table'!BQ$21/100</f>
        <v>5.4157238999999989E-2</v>
      </c>
      <c r="BS19" s="67">
        <f>'Main table'!BR$7/100*(1-'Main table'!BR$43/100)*'Main table'!BR$9*'Main table'!BR$21/100</f>
        <v>0</v>
      </c>
      <c r="BT19" s="67">
        <f>'Main table'!BS$7/100*(1-'Main table'!BS$43/100)*'Main table'!BS$9*'Main table'!BS$21/100</f>
        <v>0.25755600000000001</v>
      </c>
      <c r="BU19" s="67">
        <f>'Main table'!BT$7/100*(1-'Main table'!BT$43/100)*'Main table'!BT$9*'Main table'!BT$21/100</f>
        <v>0.25755600000000001</v>
      </c>
    </row>
    <row r="20" spans="1:73" x14ac:dyDescent="0.3">
      <c r="A20" s="62" t="s">
        <v>239</v>
      </c>
      <c r="B20" t="s">
        <v>331</v>
      </c>
      <c r="C20">
        <v>1</v>
      </c>
      <c r="D20" s="67">
        <f>'Main table'!C$7/100*(1-'Main table'!C$43/100)*'Main table'!C$9*'Main table'!C$22/100</f>
        <v>0.161413056</v>
      </c>
      <c r="E20" s="67">
        <f>'Main table'!D$7/100*(1-'Main table'!D$43/100)*'Main table'!D$9*'Main table'!D$22/100</f>
        <v>0.20881212800000001</v>
      </c>
      <c r="F20" s="67">
        <f>'Main table'!E$7/100*(1-'Main table'!E$43/100)*'Main table'!E$9*'Main table'!E$22/100</f>
        <v>0.14019556599999999</v>
      </c>
      <c r="G20" s="67">
        <f>'Main table'!F$7/100*(1-'Main table'!F$43/100)*'Main table'!F$9*'Main table'!F$22/100</f>
        <v>0.16061239599999996</v>
      </c>
      <c r="H20" s="67">
        <f>'Main table'!G$7/100*(1-'Main table'!G$43/100)*'Main table'!G$9*'Main table'!G$22/100</f>
        <v>0.15853067999999998</v>
      </c>
      <c r="I20" s="67">
        <f>'Main table'!H$7/100*(1-'Main table'!H$43/100)*'Main table'!H$9*'Main table'!H$22/100</f>
        <v>0.15805028400000001</v>
      </c>
      <c r="J20" s="67">
        <f>'Main table'!I$7/100*(1-'Main table'!I$43/100)*'Main table'!I$9*'Main table'!I$22/100</f>
        <v>0.149883552</v>
      </c>
      <c r="K20" s="67">
        <f>'Main table'!J$7/100*(1-'Main table'!J$43/100)*'Main table'!J$9*'Main table'!J$22/100</f>
        <v>0</v>
      </c>
      <c r="L20" s="67">
        <f>'Main table'!K$7/100*(1-'Main table'!K$43/100)*'Main table'!K$9*'Main table'!K$22/100</f>
        <v>0.20216851199999999</v>
      </c>
      <c r="M20" s="67">
        <f>'Main table'!L$7/100*(1-'Main table'!L$43/100)*'Main table'!L$9*'Main table'!L$22/100</f>
        <v>0.19135773999999997</v>
      </c>
      <c r="N20" s="67">
        <f>'Main table'!M$7/100*(1-'Main table'!M$43/100)*'Main table'!M$9*'Main table'!M$22/100</f>
        <v>0.18575311999999999</v>
      </c>
      <c r="O20" s="67">
        <f>'Main table'!N$7/100*(1-'Main table'!N$43/100)*'Main table'!N$9*'Main table'!N$22/100</f>
        <v>0.24284017800000002</v>
      </c>
      <c r="P20" s="67">
        <f>'Main table'!O$7/100*(1-'Main table'!O$43/100)*'Main table'!O$9*'Main table'!O$22/100</f>
        <v>0</v>
      </c>
      <c r="Q20" s="67">
        <f>'Main table'!P$7/100*(1-'Main table'!P$43/100)*'Main table'!P$9*'Main table'!P$22/100</f>
        <v>0</v>
      </c>
      <c r="R20" s="67">
        <f>'Main table'!Q$7/100*(1-'Main table'!Q$43/100)*'Main table'!Q$9*'Main table'!Q$22/100</f>
        <v>0</v>
      </c>
      <c r="S20" s="67">
        <f>'Main table'!R$7/100*(1-'Main table'!R$43/100)*'Main table'!R$9*'Main table'!R$22/100</f>
        <v>0</v>
      </c>
      <c r="T20" s="67">
        <f>'Main table'!S$7/100*(1-'Main table'!S$43/100)*'Main table'!S$9*'Main table'!S$22/100</f>
        <v>0</v>
      </c>
      <c r="U20" s="67">
        <f>'Main table'!T$7/100*(1-'Main table'!T$43/100)*'Main table'!T$9*'Main table'!T$22/100</f>
        <v>0.64619760000000004</v>
      </c>
      <c r="V20" s="67">
        <f>'Main table'!U$7/100*(1-'Main table'!U$43/100)*'Main table'!U$9*'Main table'!U$22/100</f>
        <v>0.63006659999999992</v>
      </c>
      <c r="W20" s="67">
        <f>'Main table'!V$7/100*(1-'Main table'!V$43/100)*'Main table'!V$9*'Main table'!V$22/100</f>
        <v>0.60557825999999992</v>
      </c>
      <c r="X20" s="67">
        <f>'Main table'!W$7/100*(1-'Main table'!W$43/100)*'Main table'!W$9*'Main table'!W$22/100</f>
        <v>0</v>
      </c>
      <c r="Y20" s="67">
        <f>'Main table'!X$7/100*(1-'Main table'!X$43/100)*'Main table'!X$9*'Main table'!X$22/100</f>
        <v>0.4815616499999999</v>
      </c>
      <c r="Z20" s="67">
        <f>'Main table'!Y$7/100*(1-'Main table'!Y$43/100)*'Main table'!Y$9*'Main table'!Y$22/100</f>
        <v>0.21447674999999999</v>
      </c>
      <c r="AA20" s="67">
        <f>'Main table'!Z$7/100*(1-'Main table'!Z$43/100)*'Main table'!Z$9*'Main table'!Z$22/100</f>
        <v>1.0666466999999999</v>
      </c>
      <c r="AB20" s="67">
        <f>'Main table'!AA$7/100*(1-'Main table'!AA$43/100)*'Main table'!AA$9*'Main table'!AA$22/100</f>
        <v>1.3789439999999999</v>
      </c>
      <c r="AC20" s="67">
        <f>'Main table'!AB$7/100*(1-'Main table'!AB$43/100)*'Main table'!AB$9*'Main table'!AB$22/100</f>
        <v>0.30945176499999999</v>
      </c>
      <c r="AD20" s="67">
        <f>'Main table'!AC$7/100*(1-'Main table'!AC$43/100)*'Main table'!AC$9*'Main table'!AC$22/100</f>
        <v>0.39524863999999998</v>
      </c>
      <c r="AE20" s="67">
        <f>'Main table'!AD$7/100*(1-'Main table'!AD$43/100)*'Main table'!AD$9*'Main table'!AD$22/100</f>
        <v>0.4815616499999999</v>
      </c>
      <c r="AF20" s="67">
        <f>'Main table'!AE$7/100*(1-'Main table'!AE$43/100)*'Main table'!AE$9*'Main table'!AE$22/100</f>
        <v>0.49884499999999998</v>
      </c>
      <c r="AG20" s="67">
        <f>'Main table'!AF$7/100*(1-'Main table'!AF$43/100)*'Main table'!AF$9*'Main table'!AF$22/100</f>
        <v>0</v>
      </c>
      <c r="AH20" s="67">
        <f>'Main table'!AG$7/100*(1-'Main table'!AG$43/100)*'Main table'!AG$9*'Main table'!AG$22/100</f>
        <v>0</v>
      </c>
      <c r="AI20" s="67">
        <f>'Main table'!AH$7/100*(1-'Main table'!AH$43/100)*'Main table'!AH$9*'Main table'!AH$22/100</f>
        <v>0</v>
      </c>
      <c r="AJ20" s="67">
        <f>'Main table'!AI$7/100*(1-'Main table'!AI$43/100)*'Main table'!AI$9*'Main table'!AI$22/100</f>
        <v>0</v>
      </c>
      <c r="AK20" s="67">
        <f>'Main table'!AJ$7/100*(1-'Main table'!AJ$43/100)*'Main table'!AJ$9*'Main table'!AJ$22/100</f>
        <v>0</v>
      </c>
      <c r="AL20" s="67">
        <f>'Main table'!AK$7/100*(1-'Main table'!AK$43/100)*'Main table'!AK$9*'Main table'!AK$22/100</f>
        <v>2.056769E-2</v>
      </c>
      <c r="AM20" s="67">
        <f>'Main table'!AL$7/100*(1-'Main table'!AL$43/100)*'Main table'!AL$9*'Main table'!AL$22/100</f>
        <v>0.90276143999999992</v>
      </c>
      <c r="AN20" s="67">
        <f>'Main table'!AM$7/100*(1-'Main table'!AM$43/100)*'Main table'!AM$9*'Main table'!AM$22/100</f>
        <v>0.50962560000000001</v>
      </c>
      <c r="AO20" s="67">
        <f>'Main table'!AN$7/100*(1-'Main table'!AN$43/100)*'Main table'!AN$9*'Main table'!AN$22/100</f>
        <v>0.16126249999999998</v>
      </c>
      <c r="AP20" s="67">
        <f>'Main table'!AO$7/100*(1-'Main table'!AO$43/100)*'Main table'!AO$9*'Main table'!AO$22/100</f>
        <v>0.16126249999999998</v>
      </c>
      <c r="AQ20" s="67">
        <f>'Main table'!AP$7/100*(1-'Main table'!AP$43/100)*'Main table'!AP$9*'Main table'!AP$22/100</f>
        <v>0</v>
      </c>
      <c r="AR20" s="67">
        <f>'Main table'!AQ$7/100*(1-'Main table'!AQ$43/100)*'Main table'!AQ$9*'Main table'!AQ$22/100</f>
        <v>0</v>
      </c>
      <c r="AS20" s="67">
        <f>'Main table'!AR$7/100*(1-'Main table'!AR$43/100)*'Main table'!AR$9*'Main table'!AR$22/100</f>
        <v>0.12573000000000001</v>
      </c>
      <c r="AT20" s="67">
        <f>'Main table'!AS$7/100*(1-'Main table'!AS$43/100)*'Main table'!AS$9*'Main table'!AS$22/100</f>
        <v>0.525312</v>
      </c>
      <c r="AU20" s="67">
        <f>'Main table'!AT$7/100*(1-'Main table'!AT$43/100)*'Main table'!AT$9*'Main table'!AT$22/100</f>
        <v>6.537960000000001E-2</v>
      </c>
      <c r="AV20" s="67">
        <f>'Main table'!AU$7/100*(1-'Main table'!AU$43/100)*'Main table'!AU$9*'Main table'!AU$22/100</f>
        <v>2.8032479999999999E-2</v>
      </c>
      <c r="AW20" s="67">
        <f>'Main table'!AV$7/100*(1-'Main table'!AV$43/100)*'Main table'!AV$9*'Main table'!AV$22/100</f>
        <v>0.32522489999999998</v>
      </c>
      <c r="AX20" s="67">
        <f>'Main table'!AW$7/100*(1-'Main table'!AW$43/100)*'Main table'!AW$9*'Main table'!AW$22/100</f>
        <v>0.28414386000000008</v>
      </c>
      <c r="AY20" s="67">
        <f>'Main table'!AX$7/100*(1-'Main table'!AX$43/100)*'Main table'!AX$9*'Main table'!AX$22/100</f>
        <v>0.40765031999999995</v>
      </c>
      <c r="AZ20" s="67">
        <f>'Main table'!AY$7/100*(1-'Main table'!AY$43/100)*'Main table'!AY$9*'Main table'!AY$22/100</f>
        <v>0</v>
      </c>
      <c r="BA20" s="67">
        <f>'Main table'!AZ$7/100*(1-'Main table'!AZ$43/100)*'Main table'!AZ$9*'Main table'!AZ$22/100</f>
        <v>0</v>
      </c>
      <c r="BB20" s="67">
        <f>'Main table'!BA$7/100*(1-'Main table'!BA$43/100)*'Main table'!BA$9*'Main table'!BA$22/100</f>
        <v>0</v>
      </c>
      <c r="BC20" s="67">
        <f>'Main table'!BB$7/100*(1-'Main table'!BB$43/100)*'Main table'!BB$9*'Main table'!BB$22/100</f>
        <v>8.7775200000000005E-3</v>
      </c>
      <c r="BD20" s="67">
        <f>'Main table'!BC$7/100*(1-'Main table'!BC$43/100)*'Main table'!BC$9*'Main table'!BC$22/100</f>
        <v>8.7775200000000005E-3</v>
      </c>
      <c r="BE20" s="67">
        <f>'Main table'!BD$7/100*(1-'Main table'!BD$43/100)*'Main table'!BD$9*'Main table'!BD$22/100</f>
        <v>1.7010000000000005E-3</v>
      </c>
      <c r="BF20" s="67">
        <f>'Main table'!BE$7/100*(1-'Main table'!BE$43/100)*'Main table'!BE$9*'Main table'!BE$22/100</f>
        <v>1.7010000000000005E-3</v>
      </c>
      <c r="BG20" s="67">
        <f>'Main table'!BF$7/100*(1-'Main table'!BF$43/100)*'Main table'!BF$9*'Main table'!BF$22/100</f>
        <v>1.7010000000000005E-3</v>
      </c>
      <c r="BH20" s="67">
        <f>'Main table'!BG$7/100*(1-'Main table'!BG$43/100)*'Main table'!BG$9*'Main table'!BG$22/100</f>
        <v>0</v>
      </c>
      <c r="BI20" s="67">
        <f>'Main table'!BH$7/100*(1-'Main table'!BH$43/100)*'Main table'!BH$9*'Main table'!BH$22/100</f>
        <v>0</v>
      </c>
      <c r="BJ20" s="67">
        <f>'Main table'!BI$7/100*(1-'Main table'!BI$43/100)*'Main table'!BI$9*'Main table'!BI$22/100</f>
        <v>0</v>
      </c>
      <c r="BK20" s="67">
        <f>'Main table'!BJ$7/100*(1-'Main table'!BJ$43/100)*'Main table'!BJ$9*'Main table'!BJ$22/100</f>
        <v>0</v>
      </c>
      <c r="BL20" s="67">
        <f>'Main table'!BK$7/100*(1-'Main table'!BK$43/100)*'Main table'!BK$9*'Main table'!BK$22/100</f>
        <v>0</v>
      </c>
      <c r="BM20" s="67">
        <f>'Main table'!BL$7/100*(1-'Main table'!BL$43/100)*'Main table'!BL$9*'Main table'!BL$22/100</f>
        <v>0</v>
      </c>
      <c r="BN20" s="67">
        <f>'Main table'!BM$7/100*(1-'Main table'!BM$43/100)*'Main table'!BM$9*'Main table'!BM$22/100</f>
        <v>0</v>
      </c>
      <c r="BO20" s="67">
        <f>'Main table'!BN$7/100*(1-'Main table'!BN$43/100)*'Main table'!BN$9*'Main table'!BN$22/100</f>
        <v>0</v>
      </c>
      <c r="BP20" s="67">
        <f>'Main table'!BO$7/100*(1-'Main table'!BO$43/100)*'Main table'!BO$9*'Main table'!BO$22/100</f>
        <v>0</v>
      </c>
      <c r="BQ20" s="67">
        <f>'Main table'!BP$7/100*(1-'Main table'!BP$43/100)*'Main table'!BP$9*'Main table'!BP$22/100</f>
        <v>0</v>
      </c>
      <c r="BR20" s="67">
        <f>'Main table'!BQ$7/100*(1-'Main table'!BQ$43/100)*'Main table'!BQ$9*'Main table'!BQ$22/100</f>
        <v>0</v>
      </c>
      <c r="BS20" s="67">
        <f>'Main table'!BR$7/100*(1-'Main table'!BR$43/100)*'Main table'!BR$9*'Main table'!BR$22/100</f>
        <v>0</v>
      </c>
      <c r="BT20" s="67">
        <f>'Main table'!BS$7/100*(1-'Main table'!BS$43/100)*'Main table'!BS$9*'Main table'!BS$22/100</f>
        <v>0</v>
      </c>
      <c r="BU20" s="67">
        <f>'Main table'!BT$7/100*(1-'Main table'!BT$43/100)*'Main table'!BT$9*'Main table'!BT$22/100</f>
        <v>0</v>
      </c>
    </row>
    <row r="21" spans="1:73" x14ac:dyDescent="0.3">
      <c r="A21" s="62" t="s">
        <v>261</v>
      </c>
      <c r="B21" t="s">
        <v>329</v>
      </c>
      <c r="C21">
        <v>-1</v>
      </c>
      <c r="D21" s="67">
        <f>1-'Main table'!C$43/100</f>
        <v>0.93099999999999994</v>
      </c>
      <c r="E21" s="67">
        <f>1-'Main table'!D$43/100</f>
        <v>0.93099999999999994</v>
      </c>
      <c r="F21" s="67">
        <f>1-'Main table'!E$43/100</f>
        <v>0.93099999999999994</v>
      </c>
      <c r="G21" s="67">
        <f>1-'Main table'!F$43/100</f>
        <v>0.93099999999999994</v>
      </c>
      <c r="H21" s="67">
        <f>1-'Main table'!G$43/100</f>
        <v>0.93099999999999994</v>
      </c>
      <c r="I21" s="67">
        <f>1-'Main table'!H$43/100</f>
        <v>0.93099999999999994</v>
      </c>
      <c r="J21" s="67">
        <f>1-'Main table'!I$43/100</f>
        <v>0.93099999999999994</v>
      </c>
      <c r="K21" s="67">
        <f>1-'Main table'!J$43/100</f>
        <v>1</v>
      </c>
      <c r="L21" s="67">
        <f>1-'Main table'!K$43/100</f>
        <v>0.93099999999999994</v>
      </c>
      <c r="M21" s="67">
        <f>1-'Main table'!L$43/100</f>
        <v>0.93099999999999994</v>
      </c>
      <c r="N21" s="67">
        <f>1-'Main table'!M$43/100</f>
        <v>0.93099999999999994</v>
      </c>
      <c r="O21" s="67">
        <f>1-'Main table'!N$43/100</f>
        <v>0.93099999999999994</v>
      </c>
      <c r="P21" s="67">
        <f>1-'Main table'!O$43/100</f>
        <v>1</v>
      </c>
      <c r="Q21" s="67">
        <f>1-'Main table'!P$43/100</f>
        <v>1</v>
      </c>
      <c r="R21" s="67">
        <f>1-'Main table'!Q$43/100</f>
        <v>1</v>
      </c>
      <c r="S21" s="67">
        <f>1-'Main table'!R$43/100</f>
        <v>1</v>
      </c>
      <c r="T21" s="67">
        <f>1-'Main table'!S$43/100</f>
        <v>1</v>
      </c>
      <c r="U21" s="67">
        <f>1-'Main table'!T$43/100</f>
        <v>0.95</v>
      </c>
      <c r="V21" s="67">
        <f>1-'Main table'!U$43/100</f>
        <v>0.95</v>
      </c>
      <c r="W21" s="67">
        <f>1-'Main table'!V$43/100</f>
        <v>0.95</v>
      </c>
      <c r="X21" s="67">
        <f>1-'Main table'!W$43/100</f>
        <v>1</v>
      </c>
      <c r="Y21" s="67">
        <f>1-'Main table'!X$43/100</f>
        <v>0.95</v>
      </c>
      <c r="Z21" s="67">
        <f>1-'Main table'!Y$43/100</f>
        <v>0.95</v>
      </c>
      <c r="AA21" s="67">
        <f>1-'Main table'!Z$43/100</f>
        <v>0.95</v>
      </c>
      <c r="AB21" s="67">
        <f>1-'Main table'!AA$43/100</f>
        <v>0.95</v>
      </c>
      <c r="AC21" s="67">
        <f>1-'Main table'!AB$43/100</f>
        <v>0.95</v>
      </c>
      <c r="AD21" s="67">
        <f>1-'Main table'!AC$43/100</f>
        <v>0.95</v>
      </c>
      <c r="AE21" s="67">
        <f>1-'Main table'!AD$43/100</f>
        <v>0.95</v>
      </c>
      <c r="AF21" s="67">
        <f>1-'Main table'!AE$43/100</f>
        <v>0.95</v>
      </c>
      <c r="AG21" s="67">
        <f>1-'Main table'!AF$43/100</f>
        <v>1</v>
      </c>
      <c r="AH21" s="67">
        <f>1-'Main table'!AG$43/100</f>
        <v>1</v>
      </c>
      <c r="AI21" s="67">
        <f>1-'Main table'!AH$43/100</f>
        <v>1</v>
      </c>
      <c r="AJ21" s="67">
        <f>1-'Main table'!AI$43/100</f>
        <v>1</v>
      </c>
      <c r="AK21" s="67">
        <f>1-'Main table'!AJ$43/100</f>
        <v>1</v>
      </c>
      <c r="AL21" s="67">
        <f>1-'Main table'!AK$43/100</f>
        <v>0.95</v>
      </c>
      <c r="AM21" s="67">
        <f>1-'Main table'!AL$43/100</f>
        <v>0.95</v>
      </c>
      <c r="AN21" s="67">
        <f>1-'Main table'!AM$43/100</f>
        <v>0.95</v>
      </c>
      <c r="AO21" s="67">
        <f>1-'Main table'!AN$43/100</f>
        <v>0.95</v>
      </c>
      <c r="AP21" s="67">
        <f>1-'Main table'!AO$43/100</f>
        <v>0.95</v>
      </c>
      <c r="AQ21" s="67">
        <f>1-'Main table'!AP$43/100</f>
        <v>1</v>
      </c>
      <c r="AR21" s="67">
        <f>1-'Main table'!AQ$43/100</f>
        <v>1</v>
      </c>
      <c r="AS21" s="67">
        <f>1-'Main table'!AR$43/100</f>
        <v>0.9</v>
      </c>
      <c r="AT21" s="67">
        <f>1-'Main table'!AS$43/100</f>
        <v>0.9</v>
      </c>
      <c r="AU21" s="67">
        <f>1-'Main table'!AT$43/100</f>
        <v>0.9</v>
      </c>
      <c r="AV21" s="67">
        <f>1-'Main table'!AU$43/100</f>
        <v>0.9</v>
      </c>
      <c r="AW21" s="67">
        <f>1-'Main table'!AV$43/100</f>
        <v>0.85499999999999998</v>
      </c>
      <c r="AX21" s="67">
        <f>1-'Main table'!AW$43/100</f>
        <v>0.85499999999999998</v>
      </c>
      <c r="AY21" s="67">
        <f>1-'Main table'!AX$43/100</f>
        <v>0.85499999999999998</v>
      </c>
      <c r="AZ21" s="67">
        <f>1-'Main table'!AY$43/100</f>
        <v>1</v>
      </c>
      <c r="BA21" s="67">
        <f>1-'Main table'!AZ$43/100</f>
        <v>1</v>
      </c>
      <c r="BB21" s="67">
        <f>1-'Main table'!BA$43/100</f>
        <v>1</v>
      </c>
      <c r="BC21" s="67">
        <f>1-'Main table'!BB$43/100</f>
        <v>0.9</v>
      </c>
      <c r="BD21" s="67">
        <f>1-'Main table'!BC$43/100</f>
        <v>0.9</v>
      </c>
      <c r="BE21" s="67">
        <f>1-'Main table'!BD$43/100</f>
        <v>0.9</v>
      </c>
      <c r="BF21" s="67">
        <f>1-'Main table'!BE$43/100</f>
        <v>0.9</v>
      </c>
      <c r="BG21" s="67">
        <f>1-'Main table'!BF$43/100</f>
        <v>0.9</v>
      </c>
      <c r="BH21" s="67">
        <f>1-'Main table'!BG$43/100</f>
        <v>1</v>
      </c>
      <c r="BI21" s="67">
        <f>1-'Main table'!BH$43/100</f>
        <v>1</v>
      </c>
      <c r="BJ21" s="67">
        <f>1-'Main table'!BI$43/100</f>
        <v>1</v>
      </c>
      <c r="BK21" s="67">
        <f>1-'Main table'!BJ$43/100</f>
        <v>1</v>
      </c>
      <c r="BL21" s="67">
        <f>1-'Main table'!BK$43/100</f>
        <v>0.9</v>
      </c>
      <c r="BM21" s="67">
        <f>1-'Main table'!BL$43/100</f>
        <v>1</v>
      </c>
      <c r="BN21" s="67">
        <f>1-'Main table'!BM$43/100</f>
        <v>1</v>
      </c>
      <c r="BO21" s="67">
        <f>1-'Main table'!BN$43/100</f>
        <v>1</v>
      </c>
      <c r="BP21" s="67">
        <f>1-'Main table'!BO$43/100</f>
        <v>0.7200000000000002</v>
      </c>
      <c r="BQ21" s="67">
        <f>1-'Main table'!BP$43/100</f>
        <v>0.7200000000000002</v>
      </c>
      <c r="BR21" s="67">
        <f>1-'Main table'!BQ$43/100</f>
        <v>0.85499999999999998</v>
      </c>
      <c r="BS21" s="67">
        <f>1-'Main table'!BR$43/100</f>
        <v>0.9</v>
      </c>
      <c r="BT21" s="67">
        <f>1-'Main table'!BS$43/100</f>
        <v>1</v>
      </c>
      <c r="BU21" s="67">
        <f>1-'Main table'!BT$43/100</f>
        <v>1</v>
      </c>
    </row>
    <row r="22" spans="1:73" x14ac:dyDescent="0.3">
      <c r="A22" s="62" t="s">
        <v>261</v>
      </c>
      <c r="B22" t="s">
        <v>244</v>
      </c>
      <c r="C22">
        <v>1</v>
      </c>
      <c r="D22" s="67">
        <f>'Main table'!C$7/100*(1-'Main table'!C$43/100)*'Main table'!C$36</f>
        <v>11.049108</v>
      </c>
      <c r="E22" s="67">
        <f>'Main table'!D$7/100*(1-'Main table'!D$43/100)*'Main table'!D$36</f>
        <v>11.049108</v>
      </c>
      <c r="F22" s="67">
        <f>'Main table'!E$7/100*(1-'Main table'!E$43/100)*'Main table'!E$36</f>
        <v>8.9673919999999985</v>
      </c>
      <c r="G22" s="67">
        <f>'Main table'!F$7/100*(1-'Main table'!F$43/100)*'Main table'!F$36</f>
        <v>9.0474579999999989</v>
      </c>
      <c r="H22" s="67">
        <f>'Main table'!G$7/100*(1-'Main table'!G$43/100)*'Main table'!G$36</f>
        <v>9.5278539999999996</v>
      </c>
      <c r="I22" s="67">
        <f>'Main table'!H$7/100*(1-'Main table'!H$43/100)*'Main table'!H$36</f>
        <v>12.089965999999999</v>
      </c>
      <c r="J22" s="67">
        <f>'Main table'!I$7/100*(1-'Main table'!I$43/100)*'Main table'!I$36</f>
        <v>10.808909999999999</v>
      </c>
      <c r="K22" s="67">
        <f>'Main table'!J$7/100*(1-'Main table'!J$43/100)*'Main table'!J$36</f>
        <v>0</v>
      </c>
      <c r="L22" s="67">
        <f>'Main table'!K$7/100*(1-'Main table'!K$43/100)*'Main table'!K$36</f>
        <v>12.635532</v>
      </c>
      <c r="M22" s="67">
        <f>'Main table'!L$7/100*(1-'Main table'!L$43/100)*'Main table'!L$36</f>
        <v>9.3677219999999988</v>
      </c>
      <c r="N22" s="67">
        <f>'Main table'!M$7/100*(1-'Main table'!M$43/100)*'Main table'!M$36</f>
        <v>9.4477879999999992</v>
      </c>
      <c r="O22" s="67">
        <f>'Main table'!N$7/100*(1-'Main table'!N$43/100)*'Main table'!N$36</f>
        <v>7.6062699999999994</v>
      </c>
      <c r="P22" s="67">
        <f>'Main table'!O$7/100*(1-'Main table'!O$43/100)*'Main table'!O$36</f>
        <v>37.700000000000003</v>
      </c>
      <c r="Q22" s="67">
        <f>'Main table'!P$7/100*(1-'Main table'!P$43/100)*'Main table'!P$36</f>
        <v>37.700000000000003</v>
      </c>
      <c r="R22" s="67">
        <f>'Main table'!Q$7/100*(1-'Main table'!Q$43/100)*'Main table'!Q$36</f>
        <v>37.700000000000003</v>
      </c>
      <c r="S22" s="67">
        <f>'Main table'!R$7/100*(1-'Main table'!R$43/100)*'Main table'!R$36</f>
        <v>0</v>
      </c>
      <c r="T22" s="67">
        <f>'Main table'!S$7/100*(1-'Main table'!S$43/100)*'Main table'!S$36</f>
        <v>37.700000000000003</v>
      </c>
      <c r="U22" s="67">
        <f>'Main table'!T$7/100*(1-'Main table'!T$43/100)*'Main table'!T$36</f>
        <v>8.0985599999999991</v>
      </c>
      <c r="V22" s="67">
        <f>'Main table'!U$7/100*(1-'Main table'!U$43/100)*'Main table'!U$36</f>
        <v>6.0875999999999992</v>
      </c>
      <c r="W22" s="67">
        <f>'Main table'!V$7/100*(1-'Main table'!V$43/100)*'Main table'!V$36</f>
        <v>8.9350349999999992</v>
      </c>
      <c r="X22" s="67">
        <f>'Main table'!W$7/100*(1-'Main table'!W$43/100)*'Main table'!W$36</f>
        <v>0</v>
      </c>
      <c r="Y22" s="67">
        <f>'Main table'!X$7/100*(1-'Main table'!X$43/100)*'Main table'!X$36</f>
        <v>7.8323699999999992</v>
      </c>
      <c r="Z22" s="67">
        <f>'Main table'!Y$7/100*(1-'Main table'!Y$43/100)*'Main table'!Y$36</f>
        <v>6.1161000000000003</v>
      </c>
      <c r="AA22" s="67">
        <f>'Main table'!Z$7/100*(1-'Main table'!Z$43/100)*'Main table'!Z$36</f>
        <v>15.059589999999996</v>
      </c>
      <c r="AB22" s="67">
        <f>'Main table'!AA$7/100*(1-'Main table'!AA$43/100)*'Main table'!AA$36</f>
        <v>14.193000000000001</v>
      </c>
      <c r="AC22" s="67">
        <f>'Main table'!AB$7/100*(1-'Main table'!AB$43/100)*'Main table'!AB$36</f>
        <v>7.1302250000000003</v>
      </c>
      <c r="AD22" s="67">
        <f>'Main table'!AC$7/100*(1-'Main table'!AC$43/100)*'Main table'!AC$36</f>
        <v>9.172819999999998</v>
      </c>
      <c r="AE22" s="67">
        <f>'Main table'!AD$7/100*(1-'Main table'!AD$43/100)*'Main table'!AD$36</f>
        <v>7.8323699999999992</v>
      </c>
      <c r="AF22" s="67">
        <f>'Main table'!AE$7/100*(1-'Main table'!AE$43/100)*'Main table'!AE$36</f>
        <v>10.399649999999999</v>
      </c>
      <c r="AG22" s="67">
        <f>'Main table'!AF$7/100*(1-'Main table'!AF$43/100)*'Main table'!AF$36</f>
        <v>0</v>
      </c>
      <c r="AH22" s="67">
        <f>'Main table'!AG$7/100*(1-'Main table'!AG$43/100)*'Main table'!AG$36</f>
        <v>0</v>
      </c>
      <c r="AI22" s="67">
        <f>'Main table'!AH$7/100*(1-'Main table'!AH$43/100)*'Main table'!AH$36</f>
        <v>0</v>
      </c>
      <c r="AJ22" s="67">
        <f>'Main table'!AI$7/100*(1-'Main table'!AI$43/100)*'Main table'!AI$36</f>
        <v>0</v>
      </c>
      <c r="AK22" s="67">
        <f>'Main table'!AJ$7/100*(1-'Main table'!AJ$43/100)*'Main table'!AJ$36</f>
        <v>0</v>
      </c>
      <c r="AL22" s="67">
        <f>'Main table'!AK$7/100*(1-'Main table'!AK$43/100)*'Main table'!AK$36</f>
        <v>8.8455449999999995</v>
      </c>
      <c r="AM22" s="67">
        <f>'Main table'!AL$7/100*(1-'Main table'!AL$43/100)*'Main table'!AL$36</f>
        <v>9.9065999999999992</v>
      </c>
      <c r="AN22" s="67">
        <f>'Main table'!AM$7/100*(1-'Main table'!AM$43/100)*'Main table'!AM$36</f>
        <v>14.591999999999999</v>
      </c>
      <c r="AO22" s="67">
        <f>'Main table'!AN$7/100*(1-'Main table'!AN$43/100)*'Main table'!AN$36</f>
        <v>7.8327499999999999</v>
      </c>
      <c r="AP22" s="67">
        <f>'Main table'!AO$7/100*(1-'Main table'!AO$43/100)*'Main table'!AO$36</f>
        <v>7.8327499999999999</v>
      </c>
      <c r="AQ22" s="67">
        <f>'Main table'!AP$7/100*(1-'Main table'!AP$43/100)*'Main table'!AP$36</f>
        <v>0</v>
      </c>
      <c r="AR22" s="67">
        <f>'Main table'!AQ$7/100*(1-'Main table'!AQ$43/100)*'Main table'!AQ$36</f>
        <v>0</v>
      </c>
      <c r="AS22" s="67">
        <f>'Main table'!AR$7/100*(1-'Main table'!AR$43/100)*'Main table'!AR$36</f>
        <v>3.6</v>
      </c>
      <c r="AT22" s="67">
        <f>'Main table'!AS$7/100*(1-'Main table'!AS$43/100)*'Main table'!AS$36</f>
        <v>10.725517241379313</v>
      </c>
      <c r="AU22" s="67">
        <f>'Main table'!AT$7/100*(1-'Main table'!AT$43/100)*'Main table'!AT$36</f>
        <v>1.8720000000000001</v>
      </c>
      <c r="AV22" s="67">
        <f>'Main table'!AU$7/100*(1-'Main table'!AU$43/100)*'Main table'!AU$36</f>
        <v>2.7439200000000001</v>
      </c>
      <c r="AW22" s="67">
        <f>'Main table'!AV$7/100*(1-'Main table'!AV$43/100)*'Main table'!AV$36</f>
        <v>13.071240000000001</v>
      </c>
      <c r="AX22" s="67">
        <f>'Main table'!AW$7/100*(1-'Main table'!AW$43/100)*'Main table'!AW$36</f>
        <v>14.393925000000001</v>
      </c>
      <c r="AY22" s="67">
        <f>'Main table'!AX$7/100*(1-'Main table'!AX$43/100)*'Main table'!AX$36</f>
        <v>12.57363</v>
      </c>
      <c r="AZ22" s="67">
        <f>'Main table'!AY$7/100*(1-'Main table'!AY$43/100)*'Main table'!AY$36</f>
        <v>0</v>
      </c>
      <c r="BA22" s="67">
        <f>'Main table'!AZ$7/100*(1-'Main table'!AZ$43/100)*'Main table'!AZ$36</f>
        <v>0</v>
      </c>
      <c r="BB22" s="67">
        <f>'Main table'!BA$7/100*(1-'Main table'!BA$43/100)*'Main table'!BA$36</f>
        <v>0</v>
      </c>
      <c r="BC22" s="67">
        <f>'Main table'!BB$7/100*(1-'Main table'!BB$43/100)*'Main table'!BB$36</f>
        <v>0.64385999999999999</v>
      </c>
      <c r="BD22" s="67">
        <f>'Main table'!BC$7/100*(1-'Main table'!BC$43/100)*'Main table'!BC$36</f>
        <v>0.64385999999999999</v>
      </c>
      <c r="BE22" s="67">
        <f>'Main table'!BD$7/100*(1-'Main table'!BD$43/100)*'Main table'!BD$36</f>
        <v>2.45268493150685</v>
      </c>
      <c r="BF22" s="67">
        <f>'Main table'!BE$7/100*(1-'Main table'!BE$43/100)*'Main table'!BE$36</f>
        <v>2.45268493150685</v>
      </c>
      <c r="BG22" s="67">
        <f>'Main table'!BF$7/100*(1-'Main table'!BF$43/100)*'Main table'!BF$36</f>
        <v>2.45268493150685</v>
      </c>
      <c r="BH22" s="67">
        <f>'Main table'!BG$7/100*(1-'Main table'!BG$43/100)*'Main table'!BG$36</f>
        <v>0</v>
      </c>
      <c r="BI22" s="67">
        <f>'Main table'!BH$7/100*(1-'Main table'!BH$43/100)*'Main table'!BH$36</f>
        <v>0</v>
      </c>
      <c r="BJ22" s="67">
        <f>'Main table'!BI$7/100*(1-'Main table'!BI$43/100)*'Main table'!BI$36</f>
        <v>0</v>
      </c>
      <c r="BK22" s="67">
        <f>'Main table'!BJ$7/100*(1-'Main table'!BJ$43/100)*'Main table'!BJ$36</f>
        <v>12</v>
      </c>
      <c r="BL22" s="67">
        <f>'Main table'!BK$7/100*(1-'Main table'!BK$43/100)*'Main table'!BK$36</f>
        <v>3.4343999999999992</v>
      </c>
      <c r="BM22" s="67">
        <f>'Main table'!BL$7/100*(1-'Main table'!BL$43/100)*'Main table'!BL$36</f>
        <v>0</v>
      </c>
      <c r="BN22" s="67">
        <f>'Main table'!BM$7/100*(1-'Main table'!BM$43/100)*'Main table'!BM$36</f>
        <v>0</v>
      </c>
      <c r="BO22" s="67">
        <f>'Main table'!BN$7/100*(1-'Main table'!BN$43/100)*'Main table'!BN$36</f>
        <v>0</v>
      </c>
      <c r="BP22" s="67">
        <f>'Main table'!BO$7/100*(1-'Main table'!BO$43/100)*'Main table'!BO$36</f>
        <v>0</v>
      </c>
      <c r="BQ22" s="67">
        <f>'Main table'!BP$7/100*(1-'Main table'!BP$43/100)*'Main table'!BP$36</f>
        <v>0</v>
      </c>
      <c r="BR22" s="67">
        <f>'Main table'!BQ$7/100*(1-'Main table'!BQ$43/100)*'Main table'!BQ$36</f>
        <v>0</v>
      </c>
      <c r="BS22" s="67">
        <f>'Main table'!BR$7/100*(1-'Main table'!BR$43/100)*'Main table'!BR$36</f>
        <v>0</v>
      </c>
      <c r="BT22" s="67">
        <f>'Main table'!BS$7/100*(1-'Main table'!BS$43/100)*'Main table'!BS$36</f>
        <v>0</v>
      </c>
      <c r="BU22" s="67">
        <f>'Main table'!BT$7/100*(1-'Main table'!BT$43/100)*'Main table'!BT$36</f>
        <v>0</v>
      </c>
    </row>
    <row r="23" spans="1:73" x14ac:dyDescent="0.3">
      <c r="A23" s="62" t="s">
        <v>261</v>
      </c>
      <c r="B23" t="s">
        <v>245</v>
      </c>
      <c r="C23">
        <v>1</v>
      </c>
      <c r="D23" s="67">
        <f>'Main table'!C$7/100*(1-'Main table'!C$43/100)*'Main table'!C$9</f>
        <v>10.088315999999999</v>
      </c>
      <c r="E23" s="67">
        <f>'Main table'!D$7/100*(1-'Main table'!D$43/100)*'Main table'!D$9</f>
        <v>13.050758</v>
      </c>
      <c r="F23" s="67">
        <f>'Main table'!E$7/100*(1-'Main table'!E$43/100)*'Main table'!E$9</f>
        <v>8.2467980000000001</v>
      </c>
      <c r="G23" s="67">
        <f>'Main table'!F$7/100*(1-'Main table'!F$43/100)*'Main table'!F$9</f>
        <v>9.4477879999999992</v>
      </c>
      <c r="H23" s="67">
        <f>'Main table'!G$7/100*(1-'Main table'!G$43/100)*'Main table'!G$9</f>
        <v>8.8072599999999994</v>
      </c>
      <c r="I23" s="67">
        <f>'Main table'!H$7/100*(1-'Main table'!H$43/100)*'Main table'!H$9</f>
        <v>7.5262039999999999</v>
      </c>
      <c r="J23" s="67">
        <f>'Main table'!I$7/100*(1-'Main table'!I$43/100)*'Main table'!I$9</f>
        <v>9.3677219999999988</v>
      </c>
      <c r="K23" s="67">
        <f>'Main table'!J$7/100*(1-'Main table'!J$43/100)*'Main table'!J$9</f>
        <v>0</v>
      </c>
      <c r="L23" s="67">
        <f>'Main table'!K$7/100*(1-'Main table'!K$43/100)*'Main table'!K$9</f>
        <v>8.4236880000000003</v>
      </c>
      <c r="M23" s="67">
        <f>'Main table'!L$7/100*(1-'Main table'!L$43/100)*'Main table'!L$9</f>
        <v>19.135773999999998</v>
      </c>
      <c r="N23" s="67">
        <f>'Main table'!M$7/100*(1-'Main table'!M$43/100)*'Main table'!M$9</f>
        <v>23.219139999999999</v>
      </c>
      <c r="O23" s="67">
        <f>'Main table'!N$7/100*(1-'Main table'!N$43/100)*'Main table'!N$9</f>
        <v>26.982241999999999</v>
      </c>
      <c r="P23" s="67">
        <f>'Main table'!O$7/100*(1-'Main table'!O$43/100)*'Main table'!O$9</f>
        <v>0</v>
      </c>
      <c r="Q23" s="67">
        <f>'Main table'!P$7/100*(1-'Main table'!P$43/100)*'Main table'!P$9</f>
        <v>0</v>
      </c>
      <c r="R23" s="67">
        <f>'Main table'!Q$7/100*(1-'Main table'!Q$43/100)*'Main table'!Q$9</f>
        <v>0</v>
      </c>
      <c r="S23" s="67">
        <f>'Main table'!R$7/100*(1-'Main table'!R$43/100)*'Main table'!R$9</f>
        <v>0</v>
      </c>
      <c r="T23" s="67">
        <f>'Main table'!S$7/100*(1-'Main table'!S$43/100)*'Main table'!S$9</f>
        <v>0</v>
      </c>
      <c r="U23" s="67">
        <f>'Main table'!T$7/100*(1-'Main table'!T$43/100)*'Main table'!T$9</f>
        <v>32.30988</v>
      </c>
      <c r="V23" s="67">
        <f>'Main table'!U$7/100*(1-'Main table'!U$43/100)*'Main table'!U$9</f>
        <v>27.394199999999998</v>
      </c>
      <c r="W23" s="67">
        <f>'Main table'!V$7/100*(1-'Main table'!V$43/100)*'Main table'!V$9</f>
        <v>43.255589999999998</v>
      </c>
      <c r="X23" s="67">
        <f>'Main table'!W$7/100*(1-'Main table'!W$43/100)*'Main table'!W$9</f>
        <v>0</v>
      </c>
      <c r="Y23" s="67">
        <f>'Main table'!X$7/100*(1-'Main table'!X$43/100)*'Main table'!X$9</f>
        <v>32.104109999999991</v>
      </c>
      <c r="Z23" s="67">
        <f>'Main table'!Y$7/100*(1-'Main table'!Y$43/100)*'Main table'!Y$9</f>
        <v>14.298450000000001</v>
      </c>
      <c r="AA23" s="67">
        <f>'Main table'!Z$7/100*(1-'Main table'!Z$43/100)*'Main table'!Z$9</f>
        <v>76.189049999999995</v>
      </c>
      <c r="AB23" s="67">
        <f>'Main table'!AA$7/100*(1-'Main table'!AA$43/100)*'Main table'!AA$9</f>
        <v>57.456000000000003</v>
      </c>
      <c r="AC23" s="67">
        <f>'Main table'!AB$7/100*(1-'Main table'!AB$43/100)*'Main table'!AB$9</f>
        <v>18.203044999999999</v>
      </c>
      <c r="AD23" s="67">
        <f>'Main table'!AC$7/100*(1-'Main table'!AC$43/100)*'Main table'!AC$9</f>
        <v>23.249919999999999</v>
      </c>
      <c r="AE23" s="67">
        <f>'Main table'!AD$7/100*(1-'Main table'!AD$43/100)*'Main table'!AD$9</f>
        <v>32.104109999999991</v>
      </c>
      <c r="AF23" s="67">
        <f>'Main table'!AE$7/100*(1-'Main table'!AE$43/100)*'Main table'!AE$9</f>
        <v>24.942249999999998</v>
      </c>
      <c r="AG23" s="67">
        <f>'Main table'!AF$7/100*(1-'Main table'!AF$43/100)*'Main table'!AF$9</f>
        <v>0</v>
      </c>
      <c r="AH23" s="67">
        <f>'Main table'!AG$7/100*(1-'Main table'!AG$43/100)*'Main table'!AG$9</f>
        <v>0</v>
      </c>
      <c r="AI23" s="67">
        <f>'Main table'!AH$7/100*(1-'Main table'!AH$43/100)*'Main table'!AH$9</f>
        <v>0</v>
      </c>
      <c r="AJ23" s="67">
        <f>'Main table'!AI$7/100*(1-'Main table'!AI$43/100)*'Main table'!AI$9</f>
        <v>0</v>
      </c>
      <c r="AK23" s="67">
        <f>'Main table'!AJ$7/100*(1-'Main table'!AJ$43/100)*'Main table'!AJ$9</f>
        <v>0</v>
      </c>
      <c r="AL23" s="67">
        <f>'Main table'!AK$7/100*(1-'Main table'!AK$43/100)*'Main table'!AK$9</f>
        <v>10.283844999999999</v>
      </c>
      <c r="AM23" s="67">
        <f>'Main table'!AL$7/100*(1-'Main table'!AL$43/100)*'Main table'!AL$9</f>
        <v>32.241479999999996</v>
      </c>
      <c r="AN23" s="67">
        <f>'Main table'!AM$7/100*(1-'Main table'!AM$43/100)*'Main table'!AM$9</f>
        <v>23.164799999999996</v>
      </c>
      <c r="AO23" s="67">
        <f>'Main table'!AN$7/100*(1-'Main table'!AN$43/100)*'Main table'!AN$9</f>
        <v>11.518750000000001</v>
      </c>
      <c r="AP23" s="67">
        <f>'Main table'!AO$7/100*(1-'Main table'!AO$43/100)*'Main table'!AO$9</f>
        <v>11.518750000000001</v>
      </c>
      <c r="AQ23" s="67">
        <f>'Main table'!AP$7/100*(1-'Main table'!AP$43/100)*'Main table'!AP$9</f>
        <v>0</v>
      </c>
      <c r="AR23" s="67">
        <f>'Main table'!AQ$7/100*(1-'Main table'!AQ$43/100)*'Main table'!AQ$9</f>
        <v>0</v>
      </c>
      <c r="AS23" s="67">
        <f>'Main table'!AR$7/100*(1-'Main table'!AR$43/100)*'Main table'!AR$9</f>
        <v>5.7149999999999999</v>
      </c>
      <c r="AT23" s="67">
        <f>'Main table'!AS$7/100*(1-'Main table'!AS$43/100)*'Main table'!AS$9</f>
        <v>21.888000000000002</v>
      </c>
      <c r="AU23" s="67">
        <f>'Main table'!AT$7/100*(1-'Main table'!AT$43/100)*'Main table'!AT$9</f>
        <v>2.9718</v>
      </c>
      <c r="AV23" s="67">
        <f>'Main table'!AU$7/100*(1-'Main table'!AU$43/100)*'Main table'!AU$9</f>
        <v>2.0023200000000001</v>
      </c>
      <c r="AW23" s="67">
        <f>'Main table'!AV$7/100*(1-'Main table'!AV$43/100)*'Main table'!AV$9</f>
        <v>16.261244999999999</v>
      </c>
      <c r="AX23" s="67">
        <f>'Main table'!AW$7/100*(1-'Main table'!AW$43/100)*'Main table'!AW$9</f>
        <v>12.915630000000002</v>
      </c>
      <c r="AY23" s="67">
        <f>'Main table'!AX$7/100*(1-'Main table'!AX$43/100)*'Main table'!AX$9</f>
        <v>29.11788</v>
      </c>
      <c r="AZ23" s="67">
        <f>'Main table'!AY$7/100*(1-'Main table'!AY$43/100)*'Main table'!AY$9</f>
        <v>0</v>
      </c>
      <c r="BA23" s="67">
        <f>'Main table'!AZ$7/100*(1-'Main table'!AZ$43/100)*'Main table'!AZ$9</f>
        <v>0</v>
      </c>
      <c r="BB23" s="67">
        <f>'Main table'!BA$7/100*(1-'Main table'!BA$43/100)*'Main table'!BA$9</f>
        <v>0</v>
      </c>
      <c r="BC23" s="67">
        <f>'Main table'!BB$7/100*(1-'Main table'!BB$43/100)*'Main table'!BB$9</f>
        <v>1.0971899999999999</v>
      </c>
      <c r="BD23" s="67">
        <f>'Main table'!BC$7/100*(1-'Main table'!BC$43/100)*'Main table'!BC$9</f>
        <v>1.0971899999999999</v>
      </c>
      <c r="BE23" s="67">
        <f>'Main table'!BD$7/100*(1-'Main table'!BD$43/100)*'Main table'!BD$9</f>
        <v>0.18900000000000006</v>
      </c>
      <c r="BF23" s="67">
        <f>'Main table'!BE$7/100*(1-'Main table'!BE$43/100)*'Main table'!BE$9</f>
        <v>0.18900000000000006</v>
      </c>
      <c r="BG23" s="67">
        <f>'Main table'!BF$7/100*(1-'Main table'!BF$43/100)*'Main table'!BF$9</f>
        <v>0.18900000000000006</v>
      </c>
      <c r="BH23" s="67">
        <f>'Main table'!BG$7/100*(1-'Main table'!BG$43/100)*'Main table'!BG$9</f>
        <v>0</v>
      </c>
      <c r="BI23" s="67">
        <f>'Main table'!BH$7/100*(1-'Main table'!BH$43/100)*'Main table'!BH$9</f>
        <v>0</v>
      </c>
      <c r="BJ23" s="67">
        <f>'Main table'!BI$7/100*(1-'Main table'!BI$43/100)*'Main table'!BI$9</f>
        <v>0</v>
      </c>
      <c r="BK23" s="67">
        <f>'Main table'!BJ$7/100*(1-'Main table'!BJ$43/100)*'Main table'!BJ$9</f>
        <v>0</v>
      </c>
      <c r="BL23" s="67">
        <f>'Main table'!BK$7/100*(1-'Main table'!BK$43/100)*'Main table'!BK$9</f>
        <v>11.304</v>
      </c>
      <c r="BM23" s="67">
        <f>'Main table'!BL$7/100*(1-'Main table'!BL$43/100)*'Main table'!BL$9</f>
        <v>0</v>
      </c>
      <c r="BN23" s="67">
        <f>'Main table'!BM$7/100*(1-'Main table'!BM$43/100)*'Main table'!BM$9</f>
        <v>0</v>
      </c>
      <c r="BO23" s="67">
        <f>'Main table'!BN$7/100*(1-'Main table'!BN$43/100)*'Main table'!BN$9</f>
        <v>5.2675000000000001</v>
      </c>
      <c r="BP23" s="67">
        <f>'Main table'!BO$7/100*(1-'Main table'!BO$43/100)*'Main table'!BO$9</f>
        <v>1.7388000000000006</v>
      </c>
      <c r="BQ23" s="67">
        <f>'Main table'!BP$7/100*(1-'Main table'!BP$43/100)*'Main table'!BP$9</f>
        <v>4.0635000000000012</v>
      </c>
      <c r="BR23" s="67">
        <f>'Main table'!BQ$7/100*(1-'Main table'!BQ$43/100)*'Main table'!BQ$9</f>
        <v>0.9337454999999999</v>
      </c>
      <c r="BS23" s="67">
        <f>'Main table'!BR$7/100*(1-'Main table'!BR$43/100)*'Main table'!BR$9</f>
        <v>3.4398000000000004</v>
      </c>
      <c r="BT23" s="67">
        <f>'Main table'!BS$7/100*(1-'Main table'!BS$43/100)*'Main table'!BS$9</f>
        <v>3.302</v>
      </c>
      <c r="BU23" s="67">
        <f>'Main table'!BT$7/100*(1-'Main table'!BT$43/100)*'Main table'!BT$9</f>
        <v>3.302</v>
      </c>
    </row>
    <row r="24" spans="1:73" x14ac:dyDescent="0.3">
      <c r="A24" s="62" t="s">
        <v>261</v>
      </c>
      <c r="B24" t="s">
        <v>330</v>
      </c>
      <c r="C24">
        <v>1</v>
      </c>
      <c r="D24" s="67">
        <f>'Main table'!C$7/100*(1-'Main table'!C$43/100)*'Main table'!C$9*'Main table'!C$21/100</f>
        <v>0.29256116399999998</v>
      </c>
      <c r="E24" s="67">
        <f>'Main table'!D$7/100*(1-'Main table'!D$43/100)*'Main table'!D$9*'Main table'!D$21/100</f>
        <v>0.34428379999999997</v>
      </c>
      <c r="F24" s="67">
        <f>'Main table'!E$7/100*(1-'Main table'!E$43/100)*'Main table'!E$9*'Main table'!E$21/100</f>
        <v>0.32162512200000004</v>
      </c>
      <c r="G24" s="67">
        <f>'Main table'!F$7/100*(1-'Main table'!F$43/100)*'Main table'!F$9*'Main table'!F$21/100</f>
        <v>0.34956815599999996</v>
      </c>
      <c r="H24" s="67">
        <f>'Main table'!G$7/100*(1-'Main table'!G$43/100)*'Main table'!G$9*'Main table'!G$21/100</f>
        <v>0.37871218000000001</v>
      </c>
      <c r="I24" s="67">
        <f>'Main table'!H$7/100*(1-'Main table'!H$43/100)*'Main table'!H$9*'Main table'!H$21/100</f>
        <v>0.23331232400000002</v>
      </c>
      <c r="J24" s="67">
        <f>'Main table'!I$7/100*(1-'Main table'!I$43/100)*'Main table'!I$9*'Main table'!I$21/100</f>
        <v>0.32787026999999996</v>
      </c>
      <c r="K24" s="67">
        <f>'Main table'!J$7/100*(1-'Main table'!J$43/100)*'Main table'!J$9*'Main table'!J$21/100</f>
        <v>0</v>
      </c>
      <c r="L24" s="67">
        <f>'Main table'!K$7/100*(1-'Main table'!K$43/100)*'Main table'!K$9*'Main table'!K$21/100</f>
        <v>0.31167645600000005</v>
      </c>
      <c r="M24" s="67">
        <f>'Main table'!L$7/100*(1-'Main table'!L$43/100)*'Main table'!L$9*'Main table'!L$21/100</f>
        <v>1.377775728</v>
      </c>
      <c r="N24" s="67">
        <f>'Main table'!M$7/100*(1-'Main table'!M$43/100)*'Main table'!M$9*'Main table'!M$21/100</f>
        <v>1.4395866799999999</v>
      </c>
      <c r="O24" s="67">
        <f>'Main table'!N$7/100*(1-'Main table'!N$43/100)*'Main table'!N$9*'Main table'!N$21/100</f>
        <v>1.3491120999999999</v>
      </c>
      <c r="P24" s="67">
        <f>'Main table'!O$7/100*(1-'Main table'!O$43/100)*'Main table'!O$9*'Main table'!O$21/100</f>
        <v>0</v>
      </c>
      <c r="Q24" s="67">
        <f>'Main table'!P$7/100*(1-'Main table'!P$43/100)*'Main table'!P$9*'Main table'!P$21/100</f>
        <v>0</v>
      </c>
      <c r="R24" s="67">
        <f>'Main table'!Q$7/100*(1-'Main table'!Q$43/100)*'Main table'!Q$9*'Main table'!Q$21/100</f>
        <v>0</v>
      </c>
      <c r="S24" s="67">
        <f>'Main table'!R$7/100*(1-'Main table'!R$43/100)*'Main table'!R$9*'Main table'!R$21/100</f>
        <v>0</v>
      </c>
      <c r="T24" s="67">
        <f>'Main table'!S$7/100*(1-'Main table'!S$43/100)*'Main table'!S$9*'Main table'!S$21/100</f>
        <v>0</v>
      </c>
      <c r="U24" s="67">
        <f>'Main table'!T$7/100*(1-'Main table'!T$43/100)*'Main table'!T$9*'Main table'!T$21/100</f>
        <v>1.7770433999999999</v>
      </c>
      <c r="V24" s="67">
        <f>'Main table'!U$7/100*(1-'Main table'!U$43/100)*'Main table'!U$9*'Main table'!U$21/100</f>
        <v>0.9587969999999999</v>
      </c>
      <c r="W24" s="67">
        <f>'Main table'!V$7/100*(1-'Main table'!V$43/100)*'Main table'!V$9*'Main table'!V$21/100</f>
        <v>2.6385909899999995</v>
      </c>
      <c r="X24" s="67">
        <f>'Main table'!W$7/100*(1-'Main table'!W$43/100)*'Main table'!W$9*'Main table'!W$21/100</f>
        <v>0</v>
      </c>
      <c r="Y24" s="67">
        <f>'Main table'!X$7/100*(1-'Main table'!X$43/100)*'Main table'!X$9*'Main table'!X$21/100</f>
        <v>0.73839452999999977</v>
      </c>
      <c r="Z24" s="67">
        <f>'Main table'!Y$7/100*(1-'Main table'!Y$43/100)*'Main table'!Y$9*'Main table'!Y$21/100</f>
        <v>0.57193800000000006</v>
      </c>
      <c r="AA24" s="67">
        <f>'Main table'!Z$7/100*(1-'Main table'!Z$43/100)*'Main table'!Z$9*'Main table'!Z$21/100</f>
        <v>1.4435819999999995</v>
      </c>
      <c r="AB24" s="67">
        <f>'Main table'!AA$7/100*(1-'Main table'!AA$43/100)*'Main table'!AA$9*'Main table'!AA$21/100</f>
        <v>0.97675200000000006</v>
      </c>
      <c r="AC24" s="67">
        <f>'Main table'!AB$7/100*(1-'Main table'!AB$43/100)*'Main table'!AB$9*'Main table'!AB$21/100</f>
        <v>0.52788830499999995</v>
      </c>
      <c r="AD24" s="67">
        <f>'Main table'!AC$7/100*(1-'Main table'!AC$43/100)*'Main table'!AC$9*'Main table'!AC$21/100</f>
        <v>0.92999679999999996</v>
      </c>
      <c r="AE24" s="67">
        <f>'Main table'!AD$7/100*(1-'Main table'!AD$43/100)*'Main table'!AD$9*'Main table'!AD$21/100</f>
        <v>0.73839452999999977</v>
      </c>
      <c r="AF24" s="67">
        <f>'Main table'!AE$7/100*(1-'Main table'!AE$43/100)*'Main table'!AE$9*'Main table'!AE$21/100</f>
        <v>0.74826749999999986</v>
      </c>
      <c r="AG24" s="67">
        <f>'Main table'!AF$7/100*(1-'Main table'!AF$43/100)*'Main table'!AF$9*'Main table'!AF$21/100</f>
        <v>0</v>
      </c>
      <c r="AH24" s="67">
        <f>'Main table'!AG$7/100*(1-'Main table'!AG$43/100)*'Main table'!AG$9*'Main table'!AG$21/100</f>
        <v>0</v>
      </c>
      <c r="AI24" s="67">
        <f>'Main table'!AH$7/100*(1-'Main table'!AH$43/100)*'Main table'!AH$9*'Main table'!AH$21/100</f>
        <v>0</v>
      </c>
      <c r="AJ24" s="67">
        <f>'Main table'!AI$7/100*(1-'Main table'!AI$43/100)*'Main table'!AI$9*'Main table'!AI$21/100</f>
        <v>0</v>
      </c>
      <c r="AK24" s="67">
        <f>'Main table'!AJ$7/100*(1-'Main table'!AJ$43/100)*'Main table'!AJ$9*'Main table'!AJ$21/100</f>
        <v>0</v>
      </c>
      <c r="AL24" s="67">
        <f>'Main table'!AK$7/100*(1-'Main table'!AK$43/100)*'Main table'!AK$9*'Main table'!AK$21/100</f>
        <v>0.14397382999999997</v>
      </c>
      <c r="AM24" s="67">
        <f>'Main table'!AL$7/100*(1-'Main table'!AL$43/100)*'Main table'!AL$9*'Main table'!AL$21/100</f>
        <v>2.5396919999999996</v>
      </c>
      <c r="AN24" s="67">
        <f>'Main table'!AM$7/100*(1-'Main table'!AM$43/100)*'Main table'!AM$9*'Main table'!AM$21/100</f>
        <v>1.8068543999999997</v>
      </c>
      <c r="AO24" s="67">
        <f>'Main table'!AN$7/100*(1-'Main table'!AN$43/100)*'Main table'!AN$9*'Main table'!AN$21/100</f>
        <v>0.87542500000000001</v>
      </c>
      <c r="AP24" s="67">
        <f>'Main table'!AO$7/100*(1-'Main table'!AO$43/100)*'Main table'!AO$9*'Main table'!AO$21/100</f>
        <v>0.87542500000000001</v>
      </c>
      <c r="AQ24" s="67">
        <f>'Main table'!AP$7/100*(1-'Main table'!AP$43/100)*'Main table'!AP$9*'Main table'!AP$21/100</f>
        <v>0</v>
      </c>
      <c r="AR24" s="67">
        <f>'Main table'!AQ$7/100*(1-'Main table'!AQ$43/100)*'Main table'!AQ$9*'Main table'!AQ$21/100</f>
        <v>0</v>
      </c>
      <c r="AS24" s="67">
        <f>'Main table'!AR$7/100*(1-'Main table'!AR$43/100)*'Main table'!AR$9*'Main table'!AR$21/100</f>
        <v>0.44577</v>
      </c>
      <c r="AT24" s="67">
        <f>'Main table'!AS$7/100*(1-'Main table'!AS$43/100)*'Main table'!AS$9*'Main table'!AS$21/100</f>
        <v>1.8385920000000002</v>
      </c>
      <c r="AU24" s="67">
        <f>'Main table'!AT$7/100*(1-'Main table'!AT$43/100)*'Main table'!AT$9*'Main table'!AT$21/100</f>
        <v>0.23180039999999999</v>
      </c>
      <c r="AV24" s="67">
        <f>'Main table'!AU$7/100*(1-'Main table'!AU$43/100)*'Main table'!AU$9*'Main table'!AU$21/100</f>
        <v>9.2106719999999989E-2</v>
      </c>
      <c r="AW24" s="67">
        <f>'Main table'!AV$7/100*(1-'Main table'!AV$43/100)*'Main table'!AV$9*'Main table'!AV$21/100</f>
        <v>1.0244584349999999</v>
      </c>
      <c r="AX24" s="67">
        <f>'Main table'!AW$7/100*(1-'Main table'!AW$43/100)*'Main table'!AW$9*'Main table'!AW$21/100</f>
        <v>0.50370957000000005</v>
      </c>
      <c r="AY24" s="67">
        <f>'Main table'!AX$7/100*(1-'Main table'!AX$43/100)*'Main table'!AX$9*'Main table'!AX$21/100</f>
        <v>1.8053085600000001</v>
      </c>
      <c r="AZ24" s="67">
        <f>'Main table'!AY$7/100*(1-'Main table'!AY$43/100)*'Main table'!AY$9*'Main table'!AY$21/100</f>
        <v>0</v>
      </c>
      <c r="BA24" s="67">
        <f>'Main table'!AZ$7/100*(1-'Main table'!AZ$43/100)*'Main table'!AZ$9*'Main table'!AZ$21/100</f>
        <v>0</v>
      </c>
      <c r="BB24" s="67">
        <f>'Main table'!BA$7/100*(1-'Main table'!BA$43/100)*'Main table'!BA$9*'Main table'!BA$21/100</f>
        <v>0</v>
      </c>
      <c r="BC24" s="67">
        <f>'Main table'!BB$7/100*(1-'Main table'!BB$43/100)*'Main table'!BB$9*'Main table'!BB$21/100</f>
        <v>4.2790409999999994E-2</v>
      </c>
      <c r="BD24" s="67">
        <f>'Main table'!BC$7/100*(1-'Main table'!BC$43/100)*'Main table'!BC$9*'Main table'!BC$21/100</f>
        <v>4.2790409999999994E-2</v>
      </c>
      <c r="BE24" s="67">
        <f>'Main table'!BD$7/100*(1-'Main table'!BD$43/100)*'Main table'!BD$9*'Main table'!BD$21/100</f>
        <v>1.4553000000000005E-2</v>
      </c>
      <c r="BF24" s="67">
        <f>'Main table'!BE$7/100*(1-'Main table'!BE$43/100)*'Main table'!BE$9*'Main table'!BE$21/100</f>
        <v>1.4553000000000005E-2</v>
      </c>
      <c r="BG24" s="67">
        <f>'Main table'!BF$7/100*(1-'Main table'!BF$43/100)*'Main table'!BF$9*'Main table'!BF$21/100</f>
        <v>1.4553000000000005E-2</v>
      </c>
      <c r="BH24" s="67">
        <f>'Main table'!BG$7/100*(1-'Main table'!BG$43/100)*'Main table'!BG$9*'Main table'!BG$21/100</f>
        <v>0</v>
      </c>
      <c r="BI24" s="67">
        <f>'Main table'!BH$7/100*(1-'Main table'!BH$43/100)*'Main table'!BH$9*'Main table'!BH$21/100</f>
        <v>0</v>
      </c>
      <c r="BJ24" s="67">
        <f>'Main table'!BI$7/100*(1-'Main table'!BI$43/100)*'Main table'!BI$9*'Main table'!BI$21/100</f>
        <v>0</v>
      </c>
      <c r="BK24" s="67">
        <f>'Main table'!BJ$7/100*(1-'Main table'!BJ$43/100)*'Main table'!BJ$9*'Main table'!BJ$21/100</f>
        <v>0</v>
      </c>
      <c r="BL24" s="67">
        <f>'Main table'!BK$7/100*(1-'Main table'!BK$43/100)*'Main table'!BK$9*'Main table'!BK$21/100</f>
        <v>0</v>
      </c>
      <c r="BM24" s="67">
        <f>'Main table'!BL$7/100*(1-'Main table'!BL$43/100)*'Main table'!BL$9*'Main table'!BL$21/100</f>
        <v>0</v>
      </c>
      <c r="BN24" s="67">
        <f>'Main table'!BM$7/100*(1-'Main table'!BM$43/100)*'Main table'!BM$9*'Main table'!BM$21/100</f>
        <v>0</v>
      </c>
      <c r="BO24" s="67">
        <f>'Main table'!BN$7/100*(1-'Main table'!BN$43/100)*'Main table'!BN$9*'Main table'!BN$21/100</f>
        <v>0.16592624999999997</v>
      </c>
      <c r="BP24" s="67">
        <f>'Main table'!BO$7/100*(1-'Main table'!BO$43/100)*'Main table'!BO$9*'Main table'!BO$21/100</f>
        <v>5.2164000000000016E-2</v>
      </c>
      <c r="BQ24" s="67">
        <f>'Main table'!BP$7/100*(1-'Main table'!BP$43/100)*'Main table'!BP$9*'Main table'!BP$21/100</f>
        <v>0.11987325000000004</v>
      </c>
      <c r="BR24" s="67">
        <f>'Main table'!BQ$7/100*(1-'Main table'!BQ$43/100)*'Main table'!BQ$9*'Main table'!BQ$21/100</f>
        <v>5.4157238999999989E-2</v>
      </c>
      <c r="BS24" s="67">
        <f>'Main table'!BR$7/100*(1-'Main table'!BR$43/100)*'Main table'!BR$9*'Main table'!BR$21/100</f>
        <v>0</v>
      </c>
      <c r="BT24" s="67">
        <f>'Main table'!BS$7/100*(1-'Main table'!BS$43/100)*'Main table'!BS$9*'Main table'!BS$21/100</f>
        <v>0.25755600000000001</v>
      </c>
      <c r="BU24" s="67">
        <f>'Main table'!BT$7/100*(1-'Main table'!BT$43/100)*'Main table'!BT$9*'Main table'!BT$21/100</f>
        <v>0.25755600000000001</v>
      </c>
    </row>
    <row r="25" spans="1:73" x14ac:dyDescent="0.3">
      <c r="A25" s="62" t="s">
        <v>261</v>
      </c>
      <c r="B25" t="s">
        <v>331</v>
      </c>
      <c r="C25">
        <v>1</v>
      </c>
      <c r="D25" s="67">
        <f>'Main table'!C$7/100*(1-'Main table'!C$43/100)*'Main table'!C$9*'Main table'!C$22/100</f>
        <v>0.161413056</v>
      </c>
      <c r="E25" s="67">
        <f>'Main table'!D$7/100*(1-'Main table'!D$43/100)*'Main table'!D$9*'Main table'!D$22/100</f>
        <v>0.20881212800000001</v>
      </c>
      <c r="F25" s="67">
        <f>'Main table'!E$7/100*(1-'Main table'!E$43/100)*'Main table'!E$9*'Main table'!E$22/100</f>
        <v>0.14019556599999999</v>
      </c>
      <c r="G25" s="67">
        <f>'Main table'!F$7/100*(1-'Main table'!F$43/100)*'Main table'!F$9*'Main table'!F$22/100</f>
        <v>0.16061239599999996</v>
      </c>
      <c r="H25" s="67">
        <f>'Main table'!G$7/100*(1-'Main table'!G$43/100)*'Main table'!G$9*'Main table'!G$22/100</f>
        <v>0.15853067999999998</v>
      </c>
      <c r="I25" s="67">
        <f>'Main table'!H$7/100*(1-'Main table'!H$43/100)*'Main table'!H$9*'Main table'!H$22/100</f>
        <v>0.15805028400000001</v>
      </c>
      <c r="J25" s="67">
        <f>'Main table'!I$7/100*(1-'Main table'!I$43/100)*'Main table'!I$9*'Main table'!I$22/100</f>
        <v>0.149883552</v>
      </c>
      <c r="K25" s="67">
        <f>'Main table'!J$7/100*(1-'Main table'!J$43/100)*'Main table'!J$9*'Main table'!J$22/100</f>
        <v>0</v>
      </c>
      <c r="L25" s="67">
        <f>'Main table'!K$7/100*(1-'Main table'!K$43/100)*'Main table'!K$9*'Main table'!K$22/100</f>
        <v>0.20216851199999999</v>
      </c>
      <c r="M25" s="67">
        <f>'Main table'!L$7/100*(1-'Main table'!L$43/100)*'Main table'!L$9*'Main table'!L$22/100</f>
        <v>0.19135773999999997</v>
      </c>
      <c r="N25" s="67">
        <f>'Main table'!M$7/100*(1-'Main table'!M$43/100)*'Main table'!M$9*'Main table'!M$22/100</f>
        <v>0.18575311999999999</v>
      </c>
      <c r="O25" s="67">
        <f>'Main table'!N$7/100*(1-'Main table'!N$43/100)*'Main table'!N$9*'Main table'!N$22/100</f>
        <v>0.24284017800000002</v>
      </c>
      <c r="P25" s="67">
        <f>'Main table'!O$7/100*(1-'Main table'!O$43/100)*'Main table'!O$9*'Main table'!O$22/100</f>
        <v>0</v>
      </c>
      <c r="Q25" s="67">
        <f>'Main table'!P$7/100*(1-'Main table'!P$43/100)*'Main table'!P$9*'Main table'!P$22/100</f>
        <v>0</v>
      </c>
      <c r="R25" s="67">
        <f>'Main table'!Q$7/100*(1-'Main table'!Q$43/100)*'Main table'!Q$9*'Main table'!Q$22/100</f>
        <v>0</v>
      </c>
      <c r="S25" s="67">
        <f>'Main table'!R$7/100*(1-'Main table'!R$43/100)*'Main table'!R$9*'Main table'!R$22/100</f>
        <v>0</v>
      </c>
      <c r="T25" s="67">
        <f>'Main table'!S$7/100*(1-'Main table'!S$43/100)*'Main table'!S$9*'Main table'!S$22/100</f>
        <v>0</v>
      </c>
      <c r="U25" s="67">
        <f>'Main table'!T$7/100*(1-'Main table'!T$43/100)*'Main table'!T$9*'Main table'!T$22/100</f>
        <v>0.64619760000000004</v>
      </c>
      <c r="V25" s="67">
        <f>'Main table'!U$7/100*(1-'Main table'!U$43/100)*'Main table'!U$9*'Main table'!U$22/100</f>
        <v>0.63006659999999992</v>
      </c>
      <c r="W25" s="67">
        <f>'Main table'!V$7/100*(1-'Main table'!V$43/100)*'Main table'!V$9*'Main table'!V$22/100</f>
        <v>0.60557825999999992</v>
      </c>
      <c r="X25" s="67">
        <f>'Main table'!W$7/100*(1-'Main table'!W$43/100)*'Main table'!W$9*'Main table'!W$22/100</f>
        <v>0</v>
      </c>
      <c r="Y25" s="67">
        <f>'Main table'!X$7/100*(1-'Main table'!X$43/100)*'Main table'!X$9*'Main table'!X$22/100</f>
        <v>0.4815616499999999</v>
      </c>
      <c r="Z25" s="67">
        <f>'Main table'!Y$7/100*(1-'Main table'!Y$43/100)*'Main table'!Y$9*'Main table'!Y$22/100</f>
        <v>0.21447674999999999</v>
      </c>
      <c r="AA25" s="67">
        <f>'Main table'!Z$7/100*(1-'Main table'!Z$43/100)*'Main table'!Z$9*'Main table'!Z$22/100</f>
        <v>1.0666466999999999</v>
      </c>
      <c r="AB25" s="67">
        <f>'Main table'!AA$7/100*(1-'Main table'!AA$43/100)*'Main table'!AA$9*'Main table'!AA$22/100</f>
        <v>1.3789439999999999</v>
      </c>
      <c r="AC25" s="67">
        <f>'Main table'!AB$7/100*(1-'Main table'!AB$43/100)*'Main table'!AB$9*'Main table'!AB$22/100</f>
        <v>0.30945176499999999</v>
      </c>
      <c r="AD25" s="67">
        <f>'Main table'!AC$7/100*(1-'Main table'!AC$43/100)*'Main table'!AC$9*'Main table'!AC$22/100</f>
        <v>0.39524863999999998</v>
      </c>
      <c r="AE25" s="67">
        <f>'Main table'!AD$7/100*(1-'Main table'!AD$43/100)*'Main table'!AD$9*'Main table'!AD$22/100</f>
        <v>0.4815616499999999</v>
      </c>
      <c r="AF25" s="67">
        <f>'Main table'!AE$7/100*(1-'Main table'!AE$43/100)*'Main table'!AE$9*'Main table'!AE$22/100</f>
        <v>0.49884499999999998</v>
      </c>
      <c r="AG25" s="67">
        <f>'Main table'!AF$7/100*(1-'Main table'!AF$43/100)*'Main table'!AF$9*'Main table'!AF$22/100</f>
        <v>0</v>
      </c>
      <c r="AH25" s="67">
        <f>'Main table'!AG$7/100*(1-'Main table'!AG$43/100)*'Main table'!AG$9*'Main table'!AG$22/100</f>
        <v>0</v>
      </c>
      <c r="AI25" s="67">
        <f>'Main table'!AH$7/100*(1-'Main table'!AH$43/100)*'Main table'!AH$9*'Main table'!AH$22/100</f>
        <v>0</v>
      </c>
      <c r="AJ25" s="67">
        <f>'Main table'!AI$7/100*(1-'Main table'!AI$43/100)*'Main table'!AI$9*'Main table'!AI$22/100</f>
        <v>0</v>
      </c>
      <c r="AK25" s="67">
        <f>'Main table'!AJ$7/100*(1-'Main table'!AJ$43/100)*'Main table'!AJ$9*'Main table'!AJ$22/100</f>
        <v>0</v>
      </c>
      <c r="AL25" s="67">
        <f>'Main table'!AK$7/100*(1-'Main table'!AK$43/100)*'Main table'!AK$9*'Main table'!AK$22/100</f>
        <v>2.056769E-2</v>
      </c>
      <c r="AM25" s="67">
        <f>'Main table'!AL$7/100*(1-'Main table'!AL$43/100)*'Main table'!AL$9*'Main table'!AL$22/100</f>
        <v>0.90276143999999992</v>
      </c>
      <c r="AN25" s="67">
        <f>'Main table'!AM$7/100*(1-'Main table'!AM$43/100)*'Main table'!AM$9*'Main table'!AM$22/100</f>
        <v>0.50962560000000001</v>
      </c>
      <c r="AO25" s="67">
        <f>'Main table'!AN$7/100*(1-'Main table'!AN$43/100)*'Main table'!AN$9*'Main table'!AN$22/100</f>
        <v>0.16126249999999998</v>
      </c>
      <c r="AP25" s="67">
        <f>'Main table'!AO$7/100*(1-'Main table'!AO$43/100)*'Main table'!AO$9*'Main table'!AO$22/100</f>
        <v>0.16126249999999998</v>
      </c>
      <c r="AQ25" s="67">
        <f>'Main table'!AP$7/100*(1-'Main table'!AP$43/100)*'Main table'!AP$9*'Main table'!AP$22/100</f>
        <v>0</v>
      </c>
      <c r="AR25" s="67">
        <f>'Main table'!AQ$7/100*(1-'Main table'!AQ$43/100)*'Main table'!AQ$9*'Main table'!AQ$22/100</f>
        <v>0</v>
      </c>
      <c r="AS25" s="67">
        <f>'Main table'!AR$7/100*(1-'Main table'!AR$43/100)*'Main table'!AR$9*'Main table'!AR$22/100</f>
        <v>0.12573000000000001</v>
      </c>
      <c r="AT25" s="67">
        <f>'Main table'!AS$7/100*(1-'Main table'!AS$43/100)*'Main table'!AS$9*'Main table'!AS$22/100</f>
        <v>0.525312</v>
      </c>
      <c r="AU25" s="67">
        <f>'Main table'!AT$7/100*(1-'Main table'!AT$43/100)*'Main table'!AT$9*'Main table'!AT$22/100</f>
        <v>6.537960000000001E-2</v>
      </c>
      <c r="AV25" s="67">
        <f>'Main table'!AU$7/100*(1-'Main table'!AU$43/100)*'Main table'!AU$9*'Main table'!AU$22/100</f>
        <v>2.8032479999999999E-2</v>
      </c>
      <c r="AW25" s="67">
        <f>'Main table'!AV$7/100*(1-'Main table'!AV$43/100)*'Main table'!AV$9*'Main table'!AV$22/100</f>
        <v>0.32522489999999998</v>
      </c>
      <c r="AX25" s="67">
        <f>'Main table'!AW$7/100*(1-'Main table'!AW$43/100)*'Main table'!AW$9*'Main table'!AW$22/100</f>
        <v>0.28414386000000008</v>
      </c>
      <c r="AY25" s="67">
        <f>'Main table'!AX$7/100*(1-'Main table'!AX$43/100)*'Main table'!AX$9*'Main table'!AX$22/100</f>
        <v>0.40765031999999995</v>
      </c>
      <c r="AZ25" s="67">
        <f>'Main table'!AY$7/100*(1-'Main table'!AY$43/100)*'Main table'!AY$9*'Main table'!AY$22/100</f>
        <v>0</v>
      </c>
      <c r="BA25" s="67">
        <f>'Main table'!AZ$7/100*(1-'Main table'!AZ$43/100)*'Main table'!AZ$9*'Main table'!AZ$22/100</f>
        <v>0</v>
      </c>
      <c r="BB25" s="67">
        <f>'Main table'!BA$7/100*(1-'Main table'!BA$43/100)*'Main table'!BA$9*'Main table'!BA$22/100</f>
        <v>0</v>
      </c>
      <c r="BC25" s="67">
        <f>'Main table'!BB$7/100*(1-'Main table'!BB$43/100)*'Main table'!BB$9*'Main table'!BB$22/100</f>
        <v>8.7775200000000005E-3</v>
      </c>
      <c r="BD25" s="67">
        <f>'Main table'!BC$7/100*(1-'Main table'!BC$43/100)*'Main table'!BC$9*'Main table'!BC$22/100</f>
        <v>8.7775200000000005E-3</v>
      </c>
      <c r="BE25" s="67">
        <f>'Main table'!BD$7/100*(1-'Main table'!BD$43/100)*'Main table'!BD$9*'Main table'!BD$22/100</f>
        <v>1.7010000000000005E-3</v>
      </c>
      <c r="BF25" s="67">
        <f>'Main table'!BE$7/100*(1-'Main table'!BE$43/100)*'Main table'!BE$9*'Main table'!BE$22/100</f>
        <v>1.7010000000000005E-3</v>
      </c>
      <c r="BG25" s="67">
        <f>'Main table'!BF$7/100*(1-'Main table'!BF$43/100)*'Main table'!BF$9*'Main table'!BF$22/100</f>
        <v>1.7010000000000005E-3</v>
      </c>
      <c r="BH25" s="67">
        <f>'Main table'!BG$7/100*(1-'Main table'!BG$43/100)*'Main table'!BG$9*'Main table'!BG$22/100</f>
        <v>0</v>
      </c>
      <c r="BI25" s="67">
        <f>'Main table'!BH$7/100*(1-'Main table'!BH$43/100)*'Main table'!BH$9*'Main table'!BH$22/100</f>
        <v>0</v>
      </c>
      <c r="BJ25" s="67">
        <f>'Main table'!BI$7/100*(1-'Main table'!BI$43/100)*'Main table'!BI$9*'Main table'!BI$22/100</f>
        <v>0</v>
      </c>
      <c r="BK25" s="67">
        <f>'Main table'!BJ$7/100*(1-'Main table'!BJ$43/100)*'Main table'!BJ$9*'Main table'!BJ$22/100</f>
        <v>0</v>
      </c>
      <c r="BL25" s="67">
        <f>'Main table'!BK$7/100*(1-'Main table'!BK$43/100)*'Main table'!BK$9*'Main table'!BK$22/100</f>
        <v>0</v>
      </c>
      <c r="BM25" s="67">
        <f>'Main table'!BL$7/100*(1-'Main table'!BL$43/100)*'Main table'!BL$9*'Main table'!BL$22/100</f>
        <v>0</v>
      </c>
      <c r="BN25" s="67">
        <f>'Main table'!BM$7/100*(1-'Main table'!BM$43/100)*'Main table'!BM$9*'Main table'!BM$22/100</f>
        <v>0</v>
      </c>
      <c r="BO25" s="67">
        <f>'Main table'!BN$7/100*(1-'Main table'!BN$43/100)*'Main table'!BN$9*'Main table'!BN$22/100</f>
        <v>0</v>
      </c>
      <c r="BP25" s="67">
        <f>'Main table'!BO$7/100*(1-'Main table'!BO$43/100)*'Main table'!BO$9*'Main table'!BO$22/100</f>
        <v>0</v>
      </c>
      <c r="BQ25" s="67">
        <f>'Main table'!BP$7/100*(1-'Main table'!BP$43/100)*'Main table'!BP$9*'Main table'!BP$22/100</f>
        <v>0</v>
      </c>
      <c r="BR25" s="67">
        <f>'Main table'!BQ$7/100*(1-'Main table'!BQ$43/100)*'Main table'!BQ$9*'Main table'!BQ$22/100</f>
        <v>0</v>
      </c>
      <c r="BS25" s="67">
        <f>'Main table'!BR$7/100*(1-'Main table'!BR$43/100)*'Main table'!BR$9*'Main table'!BR$22/100</f>
        <v>0</v>
      </c>
      <c r="BT25" s="67">
        <f>'Main table'!BS$7/100*(1-'Main table'!BS$43/100)*'Main table'!BS$9*'Main table'!BS$22/100</f>
        <v>0</v>
      </c>
      <c r="BU25" s="67">
        <f>'Main table'!BT$7/100*(1-'Main table'!BT$43/100)*'Main table'!BT$9*'Main table'!BT$22/100</f>
        <v>0</v>
      </c>
    </row>
    <row r="26" spans="1:73" x14ac:dyDescent="0.3">
      <c r="A26" s="62" t="s">
        <v>262</v>
      </c>
      <c r="B26" t="s">
        <v>329</v>
      </c>
      <c r="C26">
        <v>-1</v>
      </c>
      <c r="D26" s="67">
        <f>1-'Main table'!C$43/100</f>
        <v>0.93099999999999994</v>
      </c>
      <c r="E26" s="67">
        <f>1-'Main table'!D$43/100</f>
        <v>0.93099999999999994</v>
      </c>
      <c r="F26" s="67">
        <f>1-'Main table'!E$43/100</f>
        <v>0.93099999999999994</v>
      </c>
      <c r="G26" s="67">
        <f>1-'Main table'!F$43/100</f>
        <v>0.93099999999999994</v>
      </c>
      <c r="H26" s="67">
        <f>1-'Main table'!G$43/100</f>
        <v>0.93099999999999994</v>
      </c>
      <c r="I26" s="67">
        <f>1-'Main table'!H$43/100</f>
        <v>0.93099999999999994</v>
      </c>
      <c r="J26" s="67">
        <f>1-'Main table'!I$43/100</f>
        <v>0.93099999999999994</v>
      </c>
      <c r="K26" s="67">
        <f>1-'Main table'!J$43/100</f>
        <v>1</v>
      </c>
      <c r="L26" s="67">
        <f>1-'Main table'!K$43/100</f>
        <v>0.93099999999999994</v>
      </c>
      <c r="M26" s="67">
        <f>1-'Main table'!L$43/100</f>
        <v>0.93099999999999994</v>
      </c>
      <c r="N26" s="67">
        <f>1-'Main table'!M$43/100</f>
        <v>0.93099999999999994</v>
      </c>
      <c r="O26" s="67">
        <f>1-'Main table'!N$43/100</f>
        <v>0.93099999999999994</v>
      </c>
      <c r="P26" s="67">
        <f>1-'Main table'!O$43/100</f>
        <v>1</v>
      </c>
      <c r="Q26" s="67">
        <f>1-'Main table'!P$43/100</f>
        <v>1</v>
      </c>
      <c r="R26" s="67">
        <f>1-'Main table'!Q$43/100</f>
        <v>1</v>
      </c>
      <c r="S26" s="67">
        <f>1-'Main table'!R$43/100</f>
        <v>1</v>
      </c>
      <c r="T26" s="67">
        <f>1-'Main table'!S$43/100</f>
        <v>1</v>
      </c>
      <c r="U26" s="67">
        <f>1-'Main table'!T$43/100</f>
        <v>0.95</v>
      </c>
      <c r="V26" s="67">
        <f>1-'Main table'!U$43/100</f>
        <v>0.95</v>
      </c>
      <c r="W26" s="67">
        <f>1-'Main table'!V$43/100</f>
        <v>0.95</v>
      </c>
      <c r="X26" s="67">
        <f>1-'Main table'!W$43/100</f>
        <v>1</v>
      </c>
      <c r="Y26" s="67">
        <f>1-'Main table'!X$43/100</f>
        <v>0.95</v>
      </c>
      <c r="Z26" s="67">
        <f>1-'Main table'!Y$43/100</f>
        <v>0.95</v>
      </c>
      <c r="AA26" s="67">
        <f>1-'Main table'!Z$43/100</f>
        <v>0.95</v>
      </c>
      <c r="AB26" s="67">
        <f>1-'Main table'!AA$43/100</f>
        <v>0.95</v>
      </c>
      <c r="AC26" s="67">
        <f>1-'Main table'!AB$43/100</f>
        <v>0.95</v>
      </c>
      <c r="AD26" s="67">
        <f>1-'Main table'!AC$43/100</f>
        <v>0.95</v>
      </c>
      <c r="AE26" s="67">
        <f>1-'Main table'!AD$43/100</f>
        <v>0.95</v>
      </c>
      <c r="AF26" s="67">
        <f>1-'Main table'!AE$43/100</f>
        <v>0.95</v>
      </c>
      <c r="AG26" s="67">
        <f>1-'Main table'!AF$43/100</f>
        <v>1</v>
      </c>
      <c r="AH26" s="67">
        <f>1-'Main table'!AG$43/100</f>
        <v>1</v>
      </c>
      <c r="AI26" s="67">
        <f>1-'Main table'!AH$43/100</f>
        <v>1</v>
      </c>
      <c r="AJ26" s="67">
        <f>1-'Main table'!AI$43/100</f>
        <v>1</v>
      </c>
      <c r="AK26" s="67">
        <f>1-'Main table'!AJ$43/100</f>
        <v>1</v>
      </c>
      <c r="AL26" s="67">
        <f>1-'Main table'!AK$43/100</f>
        <v>0.95</v>
      </c>
      <c r="AM26" s="67">
        <f>1-'Main table'!AL$43/100</f>
        <v>0.95</v>
      </c>
      <c r="AN26" s="67">
        <f>1-'Main table'!AM$43/100</f>
        <v>0.95</v>
      </c>
      <c r="AO26" s="67">
        <f>1-'Main table'!AN$43/100</f>
        <v>0.95</v>
      </c>
      <c r="AP26" s="67">
        <f>1-'Main table'!AO$43/100</f>
        <v>0.95</v>
      </c>
      <c r="AQ26" s="67">
        <f>1-'Main table'!AP$43/100</f>
        <v>1</v>
      </c>
      <c r="AR26" s="67">
        <f>1-'Main table'!AQ$43/100</f>
        <v>1</v>
      </c>
      <c r="AS26" s="67">
        <f>1-'Main table'!AR$43/100</f>
        <v>0.9</v>
      </c>
      <c r="AT26" s="67">
        <f>1-'Main table'!AS$43/100</f>
        <v>0.9</v>
      </c>
      <c r="AU26" s="67">
        <f>1-'Main table'!AT$43/100</f>
        <v>0.9</v>
      </c>
      <c r="AV26" s="67">
        <f>1-'Main table'!AU$43/100</f>
        <v>0.9</v>
      </c>
      <c r="AW26" s="67">
        <f>1-'Main table'!AV$43/100</f>
        <v>0.85499999999999998</v>
      </c>
      <c r="AX26" s="67">
        <f>1-'Main table'!AW$43/100</f>
        <v>0.85499999999999998</v>
      </c>
      <c r="AY26" s="67">
        <f>1-'Main table'!AX$43/100</f>
        <v>0.85499999999999998</v>
      </c>
      <c r="AZ26" s="67">
        <f>1-'Main table'!AY$43/100</f>
        <v>1</v>
      </c>
      <c r="BA26" s="67">
        <f>1-'Main table'!AZ$43/100</f>
        <v>1</v>
      </c>
      <c r="BB26" s="67">
        <f>1-'Main table'!BA$43/100</f>
        <v>1</v>
      </c>
      <c r="BC26" s="67">
        <f>1-'Main table'!BB$43/100</f>
        <v>0.9</v>
      </c>
      <c r="BD26" s="67">
        <f>1-'Main table'!BC$43/100</f>
        <v>0.9</v>
      </c>
      <c r="BE26" s="67">
        <f>1-'Main table'!BD$43/100</f>
        <v>0.9</v>
      </c>
      <c r="BF26" s="67">
        <f>1-'Main table'!BE$43/100</f>
        <v>0.9</v>
      </c>
      <c r="BG26" s="67">
        <f>1-'Main table'!BF$43/100</f>
        <v>0.9</v>
      </c>
      <c r="BH26" s="67">
        <f>1-'Main table'!BG$43/100</f>
        <v>1</v>
      </c>
      <c r="BI26" s="67">
        <f>1-'Main table'!BH$43/100</f>
        <v>1</v>
      </c>
      <c r="BJ26" s="67">
        <f>1-'Main table'!BI$43/100</f>
        <v>1</v>
      </c>
      <c r="BK26" s="67">
        <f>1-'Main table'!BJ$43/100</f>
        <v>1</v>
      </c>
      <c r="BL26" s="67">
        <f>1-'Main table'!BK$43/100</f>
        <v>0.9</v>
      </c>
      <c r="BM26" s="67">
        <f>1-'Main table'!BL$43/100</f>
        <v>1</v>
      </c>
      <c r="BN26" s="67">
        <f>1-'Main table'!BM$43/100</f>
        <v>1</v>
      </c>
      <c r="BO26" s="67">
        <f>1-'Main table'!BN$43/100</f>
        <v>1</v>
      </c>
      <c r="BP26" s="67">
        <f>1-'Main table'!BO$43/100</f>
        <v>0.7200000000000002</v>
      </c>
      <c r="BQ26" s="67">
        <f>1-'Main table'!BP$43/100</f>
        <v>0.7200000000000002</v>
      </c>
      <c r="BR26" s="67">
        <f>1-'Main table'!BQ$43/100</f>
        <v>0.85499999999999998</v>
      </c>
      <c r="BS26" s="67">
        <f>1-'Main table'!BR$43/100</f>
        <v>0.9</v>
      </c>
      <c r="BT26" s="67">
        <f>1-'Main table'!BS$43/100</f>
        <v>1</v>
      </c>
      <c r="BU26" s="67">
        <f>1-'Main table'!BT$43/100</f>
        <v>1</v>
      </c>
    </row>
    <row r="27" spans="1:73" x14ac:dyDescent="0.3">
      <c r="A27" s="62" t="s">
        <v>262</v>
      </c>
      <c r="B27" t="s">
        <v>244</v>
      </c>
      <c r="C27">
        <v>1</v>
      </c>
      <c r="D27" s="67">
        <f>'Main table'!C$7/100*(1-'Main table'!C$43/100)*'Main table'!C$36</f>
        <v>11.049108</v>
      </c>
      <c r="E27" s="67">
        <f>'Main table'!D$7/100*(1-'Main table'!D$43/100)*'Main table'!D$36</f>
        <v>11.049108</v>
      </c>
      <c r="F27" s="67">
        <f>'Main table'!E$7/100*(1-'Main table'!E$43/100)*'Main table'!E$36</f>
        <v>8.9673919999999985</v>
      </c>
      <c r="G27" s="67">
        <f>'Main table'!F$7/100*(1-'Main table'!F$43/100)*'Main table'!F$36</f>
        <v>9.0474579999999989</v>
      </c>
      <c r="H27" s="67">
        <f>'Main table'!G$7/100*(1-'Main table'!G$43/100)*'Main table'!G$36</f>
        <v>9.5278539999999996</v>
      </c>
      <c r="I27" s="67">
        <f>'Main table'!H$7/100*(1-'Main table'!H$43/100)*'Main table'!H$36</f>
        <v>12.089965999999999</v>
      </c>
      <c r="J27" s="67">
        <f>'Main table'!I$7/100*(1-'Main table'!I$43/100)*'Main table'!I$36</f>
        <v>10.808909999999999</v>
      </c>
      <c r="K27" s="67">
        <f>'Main table'!J$7/100*(1-'Main table'!J$43/100)*'Main table'!J$36</f>
        <v>0</v>
      </c>
      <c r="L27" s="67">
        <f>'Main table'!K$7/100*(1-'Main table'!K$43/100)*'Main table'!K$36</f>
        <v>12.635532</v>
      </c>
      <c r="M27" s="67">
        <f>'Main table'!L$7/100*(1-'Main table'!L$43/100)*'Main table'!L$36</f>
        <v>9.3677219999999988</v>
      </c>
      <c r="N27" s="67">
        <f>'Main table'!M$7/100*(1-'Main table'!M$43/100)*'Main table'!M$36</f>
        <v>9.4477879999999992</v>
      </c>
      <c r="O27" s="67">
        <f>'Main table'!N$7/100*(1-'Main table'!N$43/100)*'Main table'!N$36</f>
        <v>7.6062699999999994</v>
      </c>
      <c r="P27" s="67">
        <f>'Main table'!O$7/100*(1-'Main table'!O$43/100)*'Main table'!O$36</f>
        <v>37.700000000000003</v>
      </c>
      <c r="Q27" s="67">
        <f>'Main table'!P$7/100*(1-'Main table'!P$43/100)*'Main table'!P$36</f>
        <v>37.700000000000003</v>
      </c>
      <c r="R27" s="67">
        <f>'Main table'!Q$7/100*(1-'Main table'!Q$43/100)*'Main table'!Q$36</f>
        <v>37.700000000000003</v>
      </c>
      <c r="S27" s="67">
        <f>'Main table'!R$7/100*(1-'Main table'!R$43/100)*'Main table'!R$36</f>
        <v>0</v>
      </c>
      <c r="T27" s="67">
        <f>'Main table'!S$7/100*(1-'Main table'!S$43/100)*'Main table'!S$36</f>
        <v>37.700000000000003</v>
      </c>
      <c r="U27" s="67">
        <f>'Main table'!T$7/100*(1-'Main table'!T$43/100)*'Main table'!T$36</f>
        <v>8.0985599999999991</v>
      </c>
      <c r="V27" s="67">
        <f>'Main table'!U$7/100*(1-'Main table'!U$43/100)*'Main table'!U$36</f>
        <v>6.0875999999999992</v>
      </c>
      <c r="W27" s="67">
        <f>'Main table'!V$7/100*(1-'Main table'!V$43/100)*'Main table'!V$36</f>
        <v>8.9350349999999992</v>
      </c>
      <c r="X27" s="67">
        <f>'Main table'!W$7/100*(1-'Main table'!W$43/100)*'Main table'!W$36</f>
        <v>0</v>
      </c>
      <c r="Y27" s="67">
        <f>'Main table'!X$7/100*(1-'Main table'!X$43/100)*'Main table'!X$36</f>
        <v>7.8323699999999992</v>
      </c>
      <c r="Z27" s="67">
        <f>'Main table'!Y$7/100*(1-'Main table'!Y$43/100)*'Main table'!Y$36</f>
        <v>6.1161000000000003</v>
      </c>
      <c r="AA27" s="67">
        <f>'Main table'!Z$7/100*(1-'Main table'!Z$43/100)*'Main table'!Z$36</f>
        <v>15.059589999999996</v>
      </c>
      <c r="AB27" s="67">
        <f>'Main table'!AA$7/100*(1-'Main table'!AA$43/100)*'Main table'!AA$36</f>
        <v>14.193000000000001</v>
      </c>
      <c r="AC27" s="67">
        <f>'Main table'!AB$7/100*(1-'Main table'!AB$43/100)*'Main table'!AB$36</f>
        <v>7.1302250000000003</v>
      </c>
      <c r="AD27" s="67">
        <f>'Main table'!AC$7/100*(1-'Main table'!AC$43/100)*'Main table'!AC$36</f>
        <v>9.172819999999998</v>
      </c>
      <c r="AE27" s="67">
        <f>'Main table'!AD$7/100*(1-'Main table'!AD$43/100)*'Main table'!AD$36</f>
        <v>7.8323699999999992</v>
      </c>
      <c r="AF27" s="67">
        <f>'Main table'!AE$7/100*(1-'Main table'!AE$43/100)*'Main table'!AE$36</f>
        <v>10.399649999999999</v>
      </c>
      <c r="AG27" s="67">
        <f>'Main table'!AF$7/100*(1-'Main table'!AF$43/100)*'Main table'!AF$36</f>
        <v>0</v>
      </c>
      <c r="AH27" s="67">
        <f>'Main table'!AG$7/100*(1-'Main table'!AG$43/100)*'Main table'!AG$36</f>
        <v>0</v>
      </c>
      <c r="AI27" s="67">
        <f>'Main table'!AH$7/100*(1-'Main table'!AH$43/100)*'Main table'!AH$36</f>
        <v>0</v>
      </c>
      <c r="AJ27" s="67">
        <f>'Main table'!AI$7/100*(1-'Main table'!AI$43/100)*'Main table'!AI$36</f>
        <v>0</v>
      </c>
      <c r="AK27" s="67">
        <f>'Main table'!AJ$7/100*(1-'Main table'!AJ$43/100)*'Main table'!AJ$36</f>
        <v>0</v>
      </c>
      <c r="AL27" s="67">
        <f>'Main table'!AK$7/100*(1-'Main table'!AK$43/100)*'Main table'!AK$36</f>
        <v>8.8455449999999995</v>
      </c>
      <c r="AM27" s="67">
        <f>'Main table'!AL$7/100*(1-'Main table'!AL$43/100)*'Main table'!AL$36</f>
        <v>9.9065999999999992</v>
      </c>
      <c r="AN27" s="67">
        <f>'Main table'!AM$7/100*(1-'Main table'!AM$43/100)*'Main table'!AM$36</f>
        <v>14.591999999999999</v>
      </c>
      <c r="AO27" s="67">
        <f>'Main table'!AN$7/100*(1-'Main table'!AN$43/100)*'Main table'!AN$36</f>
        <v>7.8327499999999999</v>
      </c>
      <c r="AP27" s="67">
        <f>'Main table'!AO$7/100*(1-'Main table'!AO$43/100)*'Main table'!AO$36</f>
        <v>7.8327499999999999</v>
      </c>
      <c r="AQ27" s="67">
        <f>'Main table'!AP$7/100*(1-'Main table'!AP$43/100)*'Main table'!AP$36</f>
        <v>0</v>
      </c>
      <c r="AR27" s="67">
        <f>'Main table'!AQ$7/100*(1-'Main table'!AQ$43/100)*'Main table'!AQ$36</f>
        <v>0</v>
      </c>
      <c r="AS27" s="67">
        <f>'Main table'!AR$7/100*(1-'Main table'!AR$43/100)*'Main table'!AR$36</f>
        <v>3.6</v>
      </c>
      <c r="AT27" s="67">
        <f>'Main table'!AS$7/100*(1-'Main table'!AS$43/100)*'Main table'!AS$36</f>
        <v>10.725517241379313</v>
      </c>
      <c r="AU27" s="67">
        <f>'Main table'!AT$7/100*(1-'Main table'!AT$43/100)*'Main table'!AT$36</f>
        <v>1.8720000000000001</v>
      </c>
      <c r="AV27" s="67">
        <f>'Main table'!AU$7/100*(1-'Main table'!AU$43/100)*'Main table'!AU$36</f>
        <v>2.7439200000000001</v>
      </c>
      <c r="AW27" s="67">
        <f>'Main table'!AV$7/100*(1-'Main table'!AV$43/100)*'Main table'!AV$36</f>
        <v>13.071240000000001</v>
      </c>
      <c r="AX27" s="67">
        <f>'Main table'!AW$7/100*(1-'Main table'!AW$43/100)*'Main table'!AW$36</f>
        <v>14.393925000000001</v>
      </c>
      <c r="AY27" s="67">
        <f>'Main table'!AX$7/100*(1-'Main table'!AX$43/100)*'Main table'!AX$36</f>
        <v>12.57363</v>
      </c>
      <c r="AZ27" s="67">
        <f>'Main table'!AY$7/100*(1-'Main table'!AY$43/100)*'Main table'!AY$36</f>
        <v>0</v>
      </c>
      <c r="BA27" s="67">
        <f>'Main table'!AZ$7/100*(1-'Main table'!AZ$43/100)*'Main table'!AZ$36</f>
        <v>0</v>
      </c>
      <c r="BB27" s="67">
        <f>'Main table'!BA$7/100*(1-'Main table'!BA$43/100)*'Main table'!BA$36</f>
        <v>0</v>
      </c>
      <c r="BC27" s="67">
        <f>'Main table'!BB$7/100*(1-'Main table'!BB$43/100)*'Main table'!BB$36</f>
        <v>0.64385999999999999</v>
      </c>
      <c r="BD27" s="67">
        <f>'Main table'!BC$7/100*(1-'Main table'!BC$43/100)*'Main table'!BC$36</f>
        <v>0.64385999999999999</v>
      </c>
      <c r="BE27" s="67">
        <f>'Main table'!BD$7/100*(1-'Main table'!BD$43/100)*'Main table'!BD$36</f>
        <v>2.45268493150685</v>
      </c>
      <c r="BF27" s="67">
        <f>'Main table'!BE$7/100*(1-'Main table'!BE$43/100)*'Main table'!BE$36</f>
        <v>2.45268493150685</v>
      </c>
      <c r="BG27" s="67">
        <f>'Main table'!BF$7/100*(1-'Main table'!BF$43/100)*'Main table'!BF$36</f>
        <v>2.45268493150685</v>
      </c>
      <c r="BH27" s="67">
        <f>'Main table'!BG$7/100*(1-'Main table'!BG$43/100)*'Main table'!BG$36</f>
        <v>0</v>
      </c>
      <c r="BI27" s="67">
        <f>'Main table'!BH$7/100*(1-'Main table'!BH$43/100)*'Main table'!BH$36</f>
        <v>0</v>
      </c>
      <c r="BJ27" s="67">
        <f>'Main table'!BI$7/100*(1-'Main table'!BI$43/100)*'Main table'!BI$36</f>
        <v>0</v>
      </c>
      <c r="BK27" s="67">
        <f>'Main table'!BJ$7/100*(1-'Main table'!BJ$43/100)*'Main table'!BJ$36</f>
        <v>12</v>
      </c>
      <c r="BL27" s="67">
        <f>'Main table'!BK$7/100*(1-'Main table'!BK$43/100)*'Main table'!BK$36</f>
        <v>3.4343999999999992</v>
      </c>
      <c r="BM27" s="67">
        <f>'Main table'!BL$7/100*(1-'Main table'!BL$43/100)*'Main table'!BL$36</f>
        <v>0</v>
      </c>
      <c r="BN27" s="67">
        <f>'Main table'!BM$7/100*(1-'Main table'!BM$43/100)*'Main table'!BM$36</f>
        <v>0</v>
      </c>
      <c r="BO27" s="67">
        <f>'Main table'!BN$7/100*(1-'Main table'!BN$43/100)*'Main table'!BN$36</f>
        <v>0</v>
      </c>
      <c r="BP27" s="67">
        <f>'Main table'!BO$7/100*(1-'Main table'!BO$43/100)*'Main table'!BO$36</f>
        <v>0</v>
      </c>
      <c r="BQ27" s="67">
        <f>'Main table'!BP$7/100*(1-'Main table'!BP$43/100)*'Main table'!BP$36</f>
        <v>0</v>
      </c>
      <c r="BR27" s="67">
        <f>'Main table'!BQ$7/100*(1-'Main table'!BQ$43/100)*'Main table'!BQ$36</f>
        <v>0</v>
      </c>
      <c r="BS27" s="67">
        <f>'Main table'!BR$7/100*(1-'Main table'!BR$43/100)*'Main table'!BR$36</f>
        <v>0</v>
      </c>
      <c r="BT27" s="67">
        <f>'Main table'!BS$7/100*(1-'Main table'!BS$43/100)*'Main table'!BS$36</f>
        <v>0</v>
      </c>
      <c r="BU27" s="67">
        <f>'Main table'!BT$7/100*(1-'Main table'!BT$43/100)*'Main table'!BT$36</f>
        <v>0</v>
      </c>
    </row>
    <row r="28" spans="1:73" x14ac:dyDescent="0.3">
      <c r="A28" s="62" t="s">
        <v>262</v>
      </c>
      <c r="B28" t="s">
        <v>245</v>
      </c>
      <c r="C28">
        <v>1</v>
      </c>
      <c r="D28" s="67">
        <f>'Main table'!C$7/100*(1-'Main table'!C$43/100)*'Main table'!C$9</f>
        <v>10.088315999999999</v>
      </c>
      <c r="E28" s="67">
        <f>'Main table'!D$7/100*(1-'Main table'!D$43/100)*'Main table'!D$9</f>
        <v>13.050758</v>
      </c>
      <c r="F28" s="67">
        <f>'Main table'!E$7/100*(1-'Main table'!E$43/100)*'Main table'!E$9</f>
        <v>8.2467980000000001</v>
      </c>
      <c r="G28" s="67">
        <f>'Main table'!F$7/100*(1-'Main table'!F$43/100)*'Main table'!F$9</f>
        <v>9.4477879999999992</v>
      </c>
      <c r="H28" s="67">
        <f>'Main table'!G$7/100*(1-'Main table'!G$43/100)*'Main table'!G$9</f>
        <v>8.8072599999999994</v>
      </c>
      <c r="I28" s="67">
        <f>'Main table'!H$7/100*(1-'Main table'!H$43/100)*'Main table'!H$9</f>
        <v>7.5262039999999999</v>
      </c>
      <c r="J28" s="67">
        <f>'Main table'!I$7/100*(1-'Main table'!I$43/100)*'Main table'!I$9</f>
        <v>9.3677219999999988</v>
      </c>
      <c r="K28" s="67">
        <f>'Main table'!J$7/100*(1-'Main table'!J$43/100)*'Main table'!J$9</f>
        <v>0</v>
      </c>
      <c r="L28" s="67">
        <f>'Main table'!K$7/100*(1-'Main table'!K$43/100)*'Main table'!K$9</f>
        <v>8.4236880000000003</v>
      </c>
      <c r="M28" s="67">
        <f>'Main table'!L$7/100*(1-'Main table'!L$43/100)*'Main table'!L$9</f>
        <v>19.135773999999998</v>
      </c>
      <c r="N28" s="67">
        <f>'Main table'!M$7/100*(1-'Main table'!M$43/100)*'Main table'!M$9</f>
        <v>23.219139999999999</v>
      </c>
      <c r="O28" s="67">
        <f>'Main table'!N$7/100*(1-'Main table'!N$43/100)*'Main table'!N$9</f>
        <v>26.982241999999999</v>
      </c>
      <c r="P28" s="67">
        <f>'Main table'!O$7/100*(1-'Main table'!O$43/100)*'Main table'!O$9</f>
        <v>0</v>
      </c>
      <c r="Q28" s="67">
        <f>'Main table'!P$7/100*(1-'Main table'!P$43/100)*'Main table'!P$9</f>
        <v>0</v>
      </c>
      <c r="R28" s="67">
        <f>'Main table'!Q$7/100*(1-'Main table'!Q$43/100)*'Main table'!Q$9</f>
        <v>0</v>
      </c>
      <c r="S28" s="67">
        <f>'Main table'!R$7/100*(1-'Main table'!R$43/100)*'Main table'!R$9</f>
        <v>0</v>
      </c>
      <c r="T28" s="67">
        <f>'Main table'!S$7/100*(1-'Main table'!S$43/100)*'Main table'!S$9</f>
        <v>0</v>
      </c>
      <c r="U28" s="67">
        <f>'Main table'!T$7/100*(1-'Main table'!T$43/100)*'Main table'!T$9</f>
        <v>32.30988</v>
      </c>
      <c r="V28" s="67">
        <f>'Main table'!U$7/100*(1-'Main table'!U$43/100)*'Main table'!U$9</f>
        <v>27.394199999999998</v>
      </c>
      <c r="W28" s="67">
        <f>'Main table'!V$7/100*(1-'Main table'!V$43/100)*'Main table'!V$9</f>
        <v>43.255589999999998</v>
      </c>
      <c r="X28" s="67">
        <f>'Main table'!W$7/100*(1-'Main table'!W$43/100)*'Main table'!W$9</f>
        <v>0</v>
      </c>
      <c r="Y28" s="67">
        <f>'Main table'!X$7/100*(1-'Main table'!X$43/100)*'Main table'!X$9</f>
        <v>32.104109999999991</v>
      </c>
      <c r="Z28" s="67">
        <f>'Main table'!Y$7/100*(1-'Main table'!Y$43/100)*'Main table'!Y$9</f>
        <v>14.298450000000001</v>
      </c>
      <c r="AA28" s="67">
        <f>'Main table'!Z$7/100*(1-'Main table'!Z$43/100)*'Main table'!Z$9</f>
        <v>76.189049999999995</v>
      </c>
      <c r="AB28" s="67">
        <f>'Main table'!AA$7/100*(1-'Main table'!AA$43/100)*'Main table'!AA$9</f>
        <v>57.456000000000003</v>
      </c>
      <c r="AC28" s="67">
        <f>'Main table'!AB$7/100*(1-'Main table'!AB$43/100)*'Main table'!AB$9</f>
        <v>18.203044999999999</v>
      </c>
      <c r="AD28" s="67">
        <f>'Main table'!AC$7/100*(1-'Main table'!AC$43/100)*'Main table'!AC$9</f>
        <v>23.249919999999999</v>
      </c>
      <c r="AE28" s="67">
        <f>'Main table'!AD$7/100*(1-'Main table'!AD$43/100)*'Main table'!AD$9</f>
        <v>32.104109999999991</v>
      </c>
      <c r="AF28" s="67">
        <f>'Main table'!AE$7/100*(1-'Main table'!AE$43/100)*'Main table'!AE$9</f>
        <v>24.942249999999998</v>
      </c>
      <c r="AG28" s="67">
        <f>'Main table'!AF$7/100*(1-'Main table'!AF$43/100)*'Main table'!AF$9</f>
        <v>0</v>
      </c>
      <c r="AH28" s="67">
        <f>'Main table'!AG$7/100*(1-'Main table'!AG$43/100)*'Main table'!AG$9</f>
        <v>0</v>
      </c>
      <c r="AI28" s="67">
        <f>'Main table'!AH$7/100*(1-'Main table'!AH$43/100)*'Main table'!AH$9</f>
        <v>0</v>
      </c>
      <c r="AJ28" s="67">
        <f>'Main table'!AI$7/100*(1-'Main table'!AI$43/100)*'Main table'!AI$9</f>
        <v>0</v>
      </c>
      <c r="AK28" s="67">
        <f>'Main table'!AJ$7/100*(1-'Main table'!AJ$43/100)*'Main table'!AJ$9</f>
        <v>0</v>
      </c>
      <c r="AL28" s="67">
        <f>'Main table'!AK$7/100*(1-'Main table'!AK$43/100)*'Main table'!AK$9</f>
        <v>10.283844999999999</v>
      </c>
      <c r="AM28" s="67">
        <f>'Main table'!AL$7/100*(1-'Main table'!AL$43/100)*'Main table'!AL$9</f>
        <v>32.241479999999996</v>
      </c>
      <c r="AN28" s="67">
        <f>'Main table'!AM$7/100*(1-'Main table'!AM$43/100)*'Main table'!AM$9</f>
        <v>23.164799999999996</v>
      </c>
      <c r="AO28" s="67">
        <f>'Main table'!AN$7/100*(1-'Main table'!AN$43/100)*'Main table'!AN$9</f>
        <v>11.518750000000001</v>
      </c>
      <c r="AP28" s="67">
        <f>'Main table'!AO$7/100*(1-'Main table'!AO$43/100)*'Main table'!AO$9</f>
        <v>11.518750000000001</v>
      </c>
      <c r="AQ28" s="67">
        <f>'Main table'!AP$7/100*(1-'Main table'!AP$43/100)*'Main table'!AP$9</f>
        <v>0</v>
      </c>
      <c r="AR28" s="67">
        <f>'Main table'!AQ$7/100*(1-'Main table'!AQ$43/100)*'Main table'!AQ$9</f>
        <v>0</v>
      </c>
      <c r="AS28" s="67">
        <f>'Main table'!AR$7/100*(1-'Main table'!AR$43/100)*'Main table'!AR$9</f>
        <v>5.7149999999999999</v>
      </c>
      <c r="AT28" s="67">
        <f>'Main table'!AS$7/100*(1-'Main table'!AS$43/100)*'Main table'!AS$9</f>
        <v>21.888000000000002</v>
      </c>
      <c r="AU28" s="67">
        <f>'Main table'!AT$7/100*(1-'Main table'!AT$43/100)*'Main table'!AT$9</f>
        <v>2.9718</v>
      </c>
      <c r="AV28" s="67">
        <f>'Main table'!AU$7/100*(1-'Main table'!AU$43/100)*'Main table'!AU$9</f>
        <v>2.0023200000000001</v>
      </c>
      <c r="AW28" s="67">
        <f>'Main table'!AV$7/100*(1-'Main table'!AV$43/100)*'Main table'!AV$9</f>
        <v>16.261244999999999</v>
      </c>
      <c r="AX28" s="67">
        <f>'Main table'!AW$7/100*(1-'Main table'!AW$43/100)*'Main table'!AW$9</f>
        <v>12.915630000000002</v>
      </c>
      <c r="AY28" s="67">
        <f>'Main table'!AX$7/100*(1-'Main table'!AX$43/100)*'Main table'!AX$9</f>
        <v>29.11788</v>
      </c>
      <c r="AZ28" s="67">
        <f>'Main table'!AY$7/100*(1-'Main table'!AY$43/100)*'Main table'!AY$9</f>
        <v>0</v>
      </c>
      <c r="BA28" s="67">
        <f>'Main table'!AZ$7/100*(1-'Main table'!AZ$43/100)*'Main table'!AZ$9</f>
        <v>0</v>
      </c>
      <c r="BB28" s="67">
        <f>'Main table'!BA$7/100*(1-'Main table'!BA$43/100)*'Main table'!BA$9</f>
        <v>0</v>
      </c>
      <c r="BC28" s="67">
        <f>'Main table'!BB$7/100*(1-'Main table'!BB$43/100)*'Main table'!BB$9</f>
        <v>1.0971899999999999</v>
      </c>
      <c r="BD28" s="67">
        <f>'Main table'!BC$7/100*(1-'Main table'!BC$43/100)*'Main table'!BC$9</f>
        <v>1.0971899999999999</v>
      </c>
      <c r="BE28" s="67">
        <f>'Main table'!BD$7/100*(1-'Main table'!BD$43/100)*'Main table'!BD$9</f>
        <v>0.18900000000000006</v>
      </c>
      <c r="BF28" s="67">
        <f>'Main table'!BE$7/100*(1-'Main table'!BE$43/100)*'Main table'!BE$9</f>
        <v>0.18900000000000006</v>
      </c>
      <c r="BG28" s="67">
        <f>'Main table'!BF$7/100*(1-'Main table'!BF$43/100)*'Main table'!BF$9</f>
        <v>0.18900000000000006</v>
      </c>
      <c r="BH28" s="67">
        <f>'Main table'!BG$7/100*(1-'Main table'!BG$43/100)*'Main table'!BG$9</f>
        <v>0</v>
      </c>
      <c r="BI28" s="67">
        <f>'Main table'!BH$7/100*(1-'Main table'!BH$43/100)*'Main table'!BH$9</f>
        <v>0</v>
      </c>
      <c r="BJ28" s="67">
        <f>'Main table'!BI$7/100*(1-'Main table'!BI$43/100)*'Main table'!BI$9</f>
        <v>0</v>
      </c>
      <c r="BK28" s="67">
        <f>'Main table'!BJ$7/100*(1-'Main table'!BJ$43/100)*'Main table'!BJ$9</f>
        <v>0</v>
      </c>
      <c r="BL28" s="67">
        <f>'Main table'!BK$7/100*(1-'Main table'!BK$43/100)*'Main table'!BK$9</f>
        <v>11.304</v>
      </c>
      <c r="BM28" s="67">
        <f>'Main table'!BL$7/100*(1-'Main table'!BL$43/100)*'Main table'!BL$9</f>
        <v>0</v>
      </c>
      <c r="BN28" s="67">
        <f>'Main table'!BM$7/100*(1-'Main table'!BM$43/100)*'Main table'!BM$9</f>
        <v>0</v>
      </c>
      <c r="BO28" s="67">
        <f>'Main table'!BN$7/100*(1-'Main table'!BN$43/100)*'Main table'!BN$9</f>
        <v>5.2675000000000001</v>
      </c>
      <c r="BP28" s="67">
        <f>'Main table'!BO$7/100*(1-'Main table'!BO$43/100)*'Main table'!BO$9</f>
        <v>1.7388000000000006</v>
      </c>
      <c r="BQ28" s="67">
        <f>'Main table'!BP$7/100*(1-'Main table'!BP$43/100)*'Main table'!BP$9</f>
        <v>4.0635000000000012</v>
      </c>
      <c r="BR28" s="67">
        <f>'Main table'!BQ$7/100*(1-'Main table'!BQ$43/100)*'Main table'!BQ$9</f>
        <v>0.9337454999999999</v>
      </c>
      <c r="BS28" s="67">
        <f>'Main table'!BR$7/100*(1-'Main table'!BR$43/100)*'Main table'!BR$9</f>
        <v>3.4398000000000004</v>
      </c>
      <c r="BT28" s="67">
        <f>'Main table'!BS$7/100*(1-'Main table'!BS$43/100)*'Main table'!BS$9</f>
        <v>3.302</v>
      </c>
      <c r="BU28" s="67">
        <f>'Main table'!BT$7/100*(1-'Main table'!BT$43/100)*'Main table'!BT$9</f>
        <v>3.302</v>
      </c>
    </row>
    <row r="29" spans="1:73" x14ac:dyDescent="0.3">
      <c r="A29" s="62" t="s">
        <v>262</v>
      </c>
      <c r="B29" t="s">
        <v>330</v>
      </c>
      <c r="C29">
        <v>1</v>
      </c>
      <c r="D29" s="67">
        <f>'Main table'!C$7/100*(1-'Main table'!C$43/100)*'Main table'!C$9*'Main table'!C$21/100</f>
        <v>0.29256116399999998</v>
      </c>
      <c r="E29" s="67">
        <f>'Main table'!D$7/100*(1-'Main table'!D$43/100)*'Main table'!D$9*'Main table'!D$21/100</f>
        <v>0.34428379999999997</v>
      </c>
      <c r="F29" s="67">
        <f>'Main table'!E$7/100*(1-'Main table'!E$43/100)*'Main table'!E$9*'Main table'!E$21/100</f>
        <v>0.32162512200000004</v>
      </c>
      <c r="G29" s="67">
        <f>'Main table'!F$7/100*(1-'Main table'!F$43/100)*'Main table'!F$9*'Main table'!F$21/100</f>
        <v>0.34956815599999996</v>
      </c>
      <c r="H29" s="67">
        <f>'Main table'!G$7/100*(1-'Main table'!G$43/100)*'Main table'!G$9*'Main table'!G$21/100</f>
        <v>0.37871218000000001</v>
      </c>
      <c r="I29" s="67">
        <f>'Main table'!H$7/100*(1-'Main table'!H$43/100)*'Main table'!H$9*'Main table'!H$21/100</f>
        <v>0.23331232400000002</v>
      </c>
      <c r="J29" s="67">
        <f>'Main table'!I$7/100*(1-'Main table'!I$43/100)*'Main table'!I$9*'Main table'!I$21/100</f>
        <v>0.32787026999999996</v>
      </c>
      <c r="K29" s="67">
        <f>'Main table'!J$7/100*(1-'Main table'!J$43/100)*'Main table'!J$9*'Main table'!J$21/100</f>
        <v>0</v>
      </c>
      <c r="L29" s="67">
        <f>'Main table'!K$7/100*(1-'Main table'!K$43/100)*'Main table'!K$9*'Main table'!K$21/100</f>
        <v>0.31167645600000005</v>
      </c>
      <c r="M29" s="67">
        <f>'Main table'!L$7/100*(1-'Main table'!L$43/100)*'Main table'!L$9*'Main table'!L$21/100</f>
        <v>1.377775728</v>
      </c>
      <c r="N29" s="67">
        <f>'Main table'!M$7/100*(1-'Main table'!M$43/100)*'Main table'!M$9*'Main table'!M$21/100</f>
        <v>1.4395866799999999</v>
      </c>
      <c r="O29" s="67">
        <f>'Main table'!N$7/100*(1-'Main table'!N$43/100)*'Main table'!N$9*'Main table'!N$21/100</f>
        <v>1.3491120999999999</v>
      </c>
      <c r="P29" s="67">
        <f>'Main table'!O$7/100*(1-'Main table'!O$43/100)*'Main table'!O$9*'Main table'!O$21/100</f>
        <v>0</v>
      </c>
      <c r="Q29" s="67">
        <f>'Main table'!P$7/100*(1-'Main table'!P$43/100)*'Main table'!P$9*'Main table'!P$21/100</f>
        <v>0</v>
      </c>
      <c r="R29" s="67">
        <f>'Main table'!Q$7/100*(1-'Main table'!Q$43/100)*'Main table'!Q$9*'Main table'!Q$21/100</f>
        <v>0</v>
      </c>
      <c r="S29" s="67">
        <f>'Main table'!R$7/100*(1-'Main table'!R$43/100)*'Main table'!R$9*'Main table'!R$21/100</f>
        <v>0</v>
      </c>
      <c r="T29" s="67">
        <f>'Main table'!S$7/100*(1-'Main table'!S$43/100)*'Main table'!S$9*'Main table'!S$21/100</f>
        <v>0</v>
      </c>
      <c r="U29" s="67">
        <f>'Main table'!T$7/100*(1-'Main table'!T$43/100)*'Main table'!T$9*'Main table'!T$21/100</f>
        <v>1.7770433999999999</v>
      </c>
      <c r="V29" s="67">
        <f>'Main table'!U$7/100*(1-'Main table'!U$43/100)*'Main table'!U$9*'Main table'!U$21/100</f>
        <v>0.9587969999999999</v>
      </c>
      <c r="W29" s="67">
        <f>'Main table'!V$7/100*(1-'Main table'!V$43/100)*'Main table'!V$9*'Main table'!V$21/100</f>
        <v>2.6385909899999995</v>
      </c>
      <c r="X29" s="67">
        <f>'Main table'!W$7/100*(1-'Main table'!W$43/100)*'Main table'!W$9*'Main table'!W$21/100</f>
        <v>0</v>
      </c>
      <c r="Y29" s="67">
        <f>'Main table'!X$7/100*(1-'Main table'!X$43/100)*'Main table'!X$9*'Main table'!X$21/100</f>
        <v>0.73839452999999977</v>
      </c>
      <c r="Z29" s="67">
        <f>'Main table'!Y$7/100*(1-'Main table'!Y$43/100)*'Main table'!Y$9*'Main table'!Y$21/100</f>
        <v>0.57193800000000006</v>
      </c>
      <c r="AA29" s="67">
        <f>'Main table'!Z$7/100*(1-'Main table'!Z$43/100)*'Main table'!Z$9*'Main table'!Z$21/100</f>
        <v>1.4435819999999995</v>
      </c>
      <c r="AB29" s="67">
        <f>'Main table'!AA$7/100*(1-'Main table'!AA$43/100)*'Main table'!AA$9*'Main table'!AA$21/100</f>
        <v>0.97675200000000006</v>
      </c>
      <c r="AC29" s="67">
        <f>'Main table'!AB$7/100*(1-'Main table'!AB$43/100)*'Main table'!AB$9*'Main table'!AB$21/100</f>
        <v>0.52788830499999995</v>
      </c>
      <c r="AD29" s="67">
        <f>'Main table'!AC$7/100*(1-'Main table'!AC$43/100)*'Main table'!AC$9*'Main table'!AC$21/100</f>
        <v>0.92999679999999996</v>
      </c>
      <c r="AE29" s="67">
        <f>'Main table'!AD$7/100*(1-'Main table'!AD$43/100)*'Main table'!AD$9*'Main table'!AD$21/100</f>
        <v>0.73839452999999977</v>
      </c>
      <c r="AF29" s="67">
        <f>'Main table'!AE$7/100*(1-'Main table'!AE$43/100)*'Main table'!AE$9*'Main table'!AE$21/100</f>
        <v>0.74826749999999986</v>
      </c>
      <c r="AG29" s="67">
        <f>'Main table'!AF$7/100*(1-'Main table'!AF$43/100)*'Main table'!AF$9*'Main table'!AF$21/100</f>
        <v>0</v>
      </c>
      <c r="AH29" s="67">
        <f>'Main table'!AG$7/100*(1-'Main table'!AG$43/100)*'Main table'!AG$9*'Main table'!AG$21/100</f>
        <v>0</v>
      </c>
      <c r="AI29" s="67">
        <f>'Main table'!AH$7/100*(1-'Main table'!AH$43/100)*'Main table'!AH$9*'Main table'!AH$21/100</f>
        <v>0</v>
      </c>
      <c r="AJ29" s="67">
        <f>'Main table'!AI$7/100*(1-'Main table'!AI$43/100)*'Main table'!AI$9*'Main table'!AI$21/100</f>
        <v>0</v>
      </c>
      <c r="AK29" s="67">
        <f>'Main table'!AJ$7/100*(1-'Main table'!AJ$43/100)*'Main table'!AJ$9*'Main table'!AJ$21/100</f>
        <v>0</v>
      </c>
      <c r="AL29" s="67">
        <f>'Main table'!AK$7/100*(1-'Main table'!AK$43/100)*'Main table'!AK$9*'Main table'!AK$21/100</f>
        <v>0.14397382999999997</v>
      </c>
      <c r="AM29" s="67">
        <f>'Main table'!AL$7/100*(1-'Main table'!AL$43/100)*'Main table'!AL$9*'Main table'!AL$21/100</f>
        <v>2.5396919999999996</v>
      </c>
      <c r="AN29" s="67">
        <f>'Main table'!AM$7/100*(1-'Main table'!AM$43/100)*'Main table'!AM$9*'Main table'!AM$21/100</f>
        <v>1.8068543999999997</v>
      </c>
      <c r="AO29" s="67">
        <f>'Main table'!AN$7/100*(1-'Main table'!AN$43/100)*'Main table'!AN$9*'Main table'!AN$21/100</f>
        <v>0.87542500000000001</v>
      </c>
      <c r="AP29" s="67">
        <f>'Main table'!AO$7/100*(1-'Main table'!AO$43/100)*'Main table'!AO$9*'Main table'!AO$21/100</f>
        <v>0.87542500000000001</v>
      </c>
      <c r="AQ29" s="67">
        <f>'Main table'!AP$7/100*(1-'Main table'!AP$43/100)*'Main table'!AP$9*'Main table'!AP$21/100</f>
        <v>0</v>
      </c>
      <c r="AR29" s="67">
        <f>'Main table'!AQ$7/100*(1-'Main table'!AQ$43/100)*'Main table'!AQ$9*'Main table'!AQ$21/100</f>
        <v>0</v>
      </c>
      <c r="AS29" s="67">
        <f>'Main table'!AR$7/100*(1-'Main table'!AR$43/100)*'Main table'!AR$9*'Main table'!AR$21/100</f>
        <v>0.44577</v>
      </c>
      <c r="AT29" s="67">
        <f>'Main table'!AS$7/100*(1-'Main table'!AS$43/100)*'Main table'!AS$9*'Main table'!AS$21/100</f>
        <v>1.8385920000000002</v>
      </c>
      <c r="AU29" s="67">
        <f>'Main table'!AT$7/100*(1-'Main table'!AT$43/100)*'Main table'!AT$9*'Main table'!AT$21/100</f>
        <v>0.23180039999999999</v>
      </c>
      <c r="AV29" s="67">
        <f>'Main table'!AU$7/100*(1-'Main table'!AU$43/100)*'Main table'!AU$9*'Main table'!AU$21/100</f>
        <v>9.2106719999999989E-2</v>
      </c>
      <c r="AW29" s="67">
        <f>'Main table'!AV$7/100*(1-'Main table'!AV$43/100)*'Main table'!AV$9*'Main table'!AV$21/100</f>
        <v>1.0244584349999999</v>
      </c>
      <c r="AX29" s="67">
        <f>'Main table'!AW$7/100*(1-'Main table'!AW$43/100)*'Main table'!AW$9*'Main table'!AW$21/100</f>
        <v>0.50370957000000005</v>
      </c>
      <c r="AY29" s="67">
        <f>'Main table'!AX$7/100*(1-'Main table'!AX$43/100)*'Main table'!AX$9*'Main table'!AX$21/100</f>
        <v>1.8053085600000001</v>
      </c>
      <c r="AZ29" s="67">
        <f>'Main table'!AY$7/100*(1-'Main table'!AY$43/100)*'Main table'!AY$9*'Main table'!AY$21/100</f>
        <v>0</v>
      </c>
      <c r="BA29" s="67">
        <f>'Main table'!AZ$7/100*(1-'Main table'!AZ$43/100)*'Main table'!AZ$9*'Main table'!AZ$21/100</f>
        <v>0</v>
      </c>
      <c r="BB29" s="67">
        <f>'Main table'!BA$7/100*(1-'Main table'!BA$43/100)*'Main table'!BA$9*'Main table'!BA$21/100</f>
        <v>0</v>
      </c>
      <c r="BC29" s="67">
        <f>'Main table'!BB$7/100*(1-'Main table'!BB$43/100)*'Main table'!BB$9*'Main table'!BB$21/100</f>
        <v>4.2790409999999994E-2</v>
      </c>
      <c r="BD29" s="67">
        <f>'Main table'!BC$7/100*(1-'Main table'!BC$43/100)*'Main table'!BC$9*'Main table'!BC$21/100</f>
        <v>4.2790409999999994E-2</v>
      </c>
      <c r="BE29" s="67">
        <f>'Main table'!BD$7/100*(1-'Main table'!BD$43/100)*'Main table'!BD$9*'Main table'!BD$21/100</f>
        <v>1.4553000000000005E-2</v>
      </c>
      <c r="BF29" s="67">
        <f>'Main table'!BE$7/100*(1-'Main table'!BE$43/100)*'Main table'!BE$9*'Main table'!BE$21/100</f>
        <v>1.4553000000000005E-2</v>
      </c>
      <c r="BG29" s="67">
        <f>'Main table'!BF$7/100*(1-'Main table'!BF$43/100)*'Main table'!BF$9*'Main table'!BF$21/100</f>
        <v>1.4553000000000005E-2</v>
      </c>
      <c r="BH29" s="67">
        <f>'Main table'!BG$7/100*(1-'Main table'!BG$43/100)*'Main table'!BG$9*'Main table'!BG$21/100</f>
        <v>0</v>
      </c>
      <c r="BI29" s="67">
        <f>'Main table'!BH$7/100*(1-'Main table'!BH$43/100)*'Main table'!BH$9*'Main table'!BH$21/100</f>
        <v>0</v>
      </c>
      <c r="BJ29" s="67">
        <f>'Main table'!BI$7/100*(1-'Main table'!BI$43/100)*'Main table'!BI$9*'Main table'!BI$21/100</f>
        <v>0</v>
      </c>
      <c r="BK29" s="67">
        <f>'Main table'!BJ$7/100*(1-'Main table'!BJ$43/100)*'Main table'!BJ$9*'Main table'!BJ$21/100</f>
        <v>0</v>
      </c>
      <c r="BL29" s="67">
        <f>'Main table'!BK$7/100*(1-'Main table'!BK$43/100)*'Main table'!BK$9*'Main table'!BK$21/100</f>
        <v>0</v>
      </c>
      <c r="BM29" s="67">
        <f>'Main table'!BL$7/100*(1-'Main table'!BL$43/100)*'Main table'!BL$9*'Main table'!BL$21/100</f>
        <v>0</v>
      </c>
      <c r="BN29" s="67">
        <f>'Main table'!BM$7/100*(1-'Main table'!BM$43/100)*'Main table'!BM$9*'Main table'!BM$21/100</f>
        <v>0</v>
      </c>
      <c r="BO29" s="67">
        <f>'Main table'!BN$7/100*(1-'Main table'!BN$43/100)*'Main table'!BN$9*'Main table'!BN$21/100</f>
        <v>0.16592624999999997</v>
      </c>
      <c r="BP29" s="67">
        <f>'Main table'!BO$7/100*(1-'Main table'!BO$43/100)*'Main table'!BO$9*'Main table'!BO$21/100</f>
        <v>5.2164000000000016E-2</v>
      </c>
      <c r="BQ29" s="67">
        <f>'Main table'!BP$7/100*(1-'Main table'!BP$43/100)*'Main table'!BP$9*'Main table'!BP$21/100</f>
        <v>0.11987325000000004</v>
      </c>
      <c r="BR29" s="67">
        <f>'Main table'!BQ$7/100*(1-'Main table'!BQ$43/100)*'Main table'!BQ$9*'Main table'!BQ$21/100</f>
        <v>5.4157238999999989E-2</v>
      </c>
      <c r="BS29" s="67">
        <f>'Main table'!BR$7/100*(1-'Main table'!BR$43/100)*'Main table'!BR$9*'Main table'!BR$21/100</f>
        <v>0</v>
      </c>
      <c r="BT29" s="67">
        <f>'Main table'!BS$7/100*(1-'Main table'!BS$43/100)*'Main table'!BS$9*'Main table'!BS$21/100</f>
        <v>0.25755600000000001</v>
      </c>
      <c r="BU29" s="67">
        <f>'Main table'!BT$7/100*(1-'Main table'!BT$43/100)*'Main table'!BT$9*'Main table'!BT$21/100</f>
        <v>0.25755600000000001</v>
      </c>
    </row>
    <row r="30" spans="1:73" x14ac:dyDescent="0.3">
      <c r="A30" s="62" t="s">
        <v>262</v>
      </c>
      <c r="B30" t="s">
        <v>331</v>
      </c>
      <c r="C30">
        <v>1</v>
      </c>
      <c r="D30" s="67">
        <f>'Main table'!C$7/100*(1-'Main table'!C$43/100)*'Main table'!C$9*'Main table'!C$22/100</f>
        <v>0.161413056</v>
      </c>
      <c r="E30" s="67">
        <f>'Main table'!D$7/100*(1-'Main table'!D$43/100)*'Main table'!D$9*'Main table'!D$22/100</f>
        <v>0.20881212800000001</v>
      </c>
      <c r="F30" s="67">
        <f>'Main table'!E$7/100*(1-'Main table'!E$43/100)*'Main table'!E$9*'Main table'!E$22/100</f>
        <v>0.14019556599999999</v>
      </c>
      <c r="G30" s="67">
        <f>'Main table'!F$7/100*(1-'Main table'!F$43/100)*'Main table'!F$9*'Main table'!F$22/100</f>
        <v>0.16061239599999996</v>
      </c>
      <c r="H30" s="67">
        <f>'Main table'!G$7/100*(1-'Main table'!G$43/100)*'Main table'!G$9*'Main table'!G$22/100</f>
        <v>0.15853067999999998</v>
      </c>
      <c r="I30" s="67">
        <f>'Main table'!H$7/100*(1-'Main table'!H$43/100)*'Main table'!H$9*'Main table'!H$22/100</f>
        <v>0.15805028400000001</v>
      </c>
      <c r="J30" s="67">
        <f>'Main table'!I$7/100*(1-'Main table'!I$43/100)*'Main table'!I$9*'Main table'!I$22/100</f>
        <v>0.149883552</v>
      </c>
      <c r="K30" s="67">
        <f>'Main table'!J$7/100*(1-'Main table'!J$43/100)*'Main table'!J$9*'Main table'!J$22/100</f>
        <v>0</v>
      </c>
      <c r="L30" s="67">
        <f>'Main table'!K$7/100*(1-'Main table'!K$43/100)*'Main table'!K$9*'Main table'!K$22/100</f>
        <v>0.20216851199999999</v>
      </c>
      <c r="M30" s="67">
        <f>'Main table'!L$7/100*(1-'Main table'!L$43/100)*'Main table'!L$9*'Main table'!L$22/100</f>
        <v>0.19135773999999997</v>
      </c>
      <c r="N30" s="67">
        <f>'Main table'!M$7/100*(1-'Main table'!M$43/100)*'Main table'!M$9*'Main table'!M$22/100</f>
        <v>0.18575311999999999</v>
      </c>
      <c r="O30" s="67">
        <f>'Main table'!N$7/100*(1-'Main table'!N$43/100)*'Main table'!N$9*'Main table'!N$22/100</f>
        <v>0.24284017800000002</v>
      </c>
      <c r="P30" s="67">
        <f>'Main table'!O$7/100*(1-'Main table'!O$43/100)*'Main table'!O$9*'Main table'!O$22/100</f>
        <v>0</v>
      </c>
      <c r="Q30" s="67">
        <f>'Main table'!P$7/100*(1-'Main table'!P$43/100)*'Main table'!P$9*'Main table'!P$22/100</f>
        <v>0</v>
      </c>
      <c r="R30" s="67">
        <f>'Main table'!Q$7/100*(1-'Main table'!Q$43/100)*'Main table'!Q$9*'Main table'!Q$22/100</f>
        <v>0</v>
      </c>
      <c r="S30" s="67">
        <f>'Main table'!R$7/100*(1-'Main table'!R$43/100)*'Main table'!R$9*'Main table'!R$22/100</f>
        <v>0</v>
      </c>
      <c r="T30" s="67">
        <f>'Main table'!S$7/100*(1-'Main table'!S$43/100)*'Main table'!S$9*'Main table'!S$22/100</f>
        <v>0</v>
      </c>
      <c r="U30" s="67">
        <f>'Main table'!T$7/100*(1-'Main table'!T$43/100)*'Main table'!T$9*'Main table'!T$22/100</f>
        <v>0.64619760000000004</v>
      </c>
      <c r="V30" s="67">
        <f>'Main table'!U$7/100*(1-'Main table'!U$43/100)*'Main table'!U$9*'Main table'!U$22/100</f>
        <v>0.63006659999999992</v>
      </c>
      <c r="W30" s="67">
        <f>'Main table'!V$7/100*(1-'Main table'!V$43/100)*'Main table'!V$9*'Main table'!V$22/100</f>
        <v>0.60557825999999992</v>
      </c>
      <c r="X30" s="67">
        <f>'Main table'!W$7/100*(1-'Main table'!W$43/100)*'Main table'!W$9*'Main table'!W$22/100</f>
        <v>0</v>
      </c>
      <c r="Y30" s="67">
        <f>'Main table'!X$7/100*(1-'Main table'!X$43/100)*'Main table'!X$9*'Main table'!X$22/100</f>
        <v>0.4815616499999999</v>
      </c>
      <c r="Z30" s="67">
        <f>'Main table'!Y$7/100*(1-'Main table'!Y$43/100)*'Main table'!Y$9*'Main table'!Y$22/100</f>
        <v>0.21447674999999999</v>
      </c>
      <c r="AA30" s="67">
        <f>'Main table'!Z$7/100*(1-'Main table'!Z$43/100)*'Main table'!Z$9*'Main table'!Z$22/100</f>
        <v>1.0666466999999999</v>
      </c>
      <c r="AB30" s="67">
        <f>'Main table'!AA$7/100*(1-'Main table'!AA$43/100)*'Main table'!AA$9*'Main table'!AA$22/100</f>
        <v>1.3789439999999999</v>
      </c>
      <c r="AC30" s="67">
        <f>'Main table'!AB$7/100*(1-'Main table'!AB$43/100)*'Main table'!AB$9*'Main table'!AB$22/100</f>
        <v>0.30945176499999999</v>
      </c>
      <c r="AD30" s="67">
        <f>'Main table'!AC$7/100*(1-'Main table'!AC$43/100)*'Main table'!AC$9*'Main table'!AC$22/100</f>
        <v>0.39524863999999998</v>
      </c>
      <c r="AE30" s="67">
        <f>'Main table'!AD$7/100*(1-'Main table'!AD$43/100)*'Main table'!AD$9*'Main table'!AD$22/100</f>
        <v>0.4815616499999999</v>
      </c>
      <c r="AF30" s="67">
        <f>'Main table'!AE$7/100*(1-'Main table'!AE$43/100)*'Main table'!AE$9*'Main table'!AE$22/100</f>
        <v>0.49884499999999998</v>
      </c>
      <c r="AG30" s="67">
        <f>'Main table'!AF$7/100*(1-'Main table'!AF$43/100)*'Main table'!AF$9*'Main table'!AF$22/100</f>
        <v>0</v>
      </c>
      <c r="AH30" s="67">
        <f>'Main table'!AG$7/100*(1-'Main table'!AG$43/100)*'Main table'!AG$9*'Main table'!AG$22/100</f>
        <v>0</v>
      </c>
      <c r="AI30" s="67">
        <f>'Main table'!AH$7/100*(1-'Main table'!AH$43/100)*'Main table'!AH$9*'Main table'!AH$22/100</f>
        <v>0</v>
      </c>
      <c r="AJ30" s="67">
        <f>'Main table'!AI$7/100*(1-'Main table'!AI$43/100)*'Main table'!AI$9*'Main table'!AI$22/100</f>
        <v>0</v>
      </c>
      <c r="AK30" s="67">
        <f>'Main table'!AJ$7/100*(1-'Main table'!AJ$43/100)*'Main table'!AJ$9*'Main table'!AJ$22/100</f>
        <v>0</v>
      </c>
      <c r="AL30" s="67">
        <f>'Main table'!AK$7/100*(1-'Main table'!AK$43/100)*'Main table'!AK$9*'Main table'!AK$22/100</f>
        <v>2.056769E-2</v>
      </c>
      <c r="AM30" s="67">
        <f>'Main table'!AL$7/100*(1-'Main table'!AL$43/100)*'Main table'!AL$9*'Main table'!AL$22/100</f>
        <v>0.90276143999999992</v>
      </c>
      <c r="AN30" s="67">
        <f>'Main table'!AM$7/100*(1-'Main table'!AM$43/100)*'Main table'!AM$9*'Main table'!AM$22/100</f>
        <v>0.50962560000000001</v>
      </c>
      <c r="AO30" s="67">
        <f>'Main table'!AN$7/100*(1-'Main table'!AN$43/100)*'Main table'!AN$9*'Main table'!AN$22/100</f>
        <v>0.16126249999999998</v>
      </c>
      <c r="AP30" s="67">
        <f>'Main table'!AO$7/100*(1-'Main table'!AO$43/100)*'Main table'!AO$9*'Main table'!AO$22/100</f>
        <v>0.16126249999999998</v>
      </c>
      <c r="AQ30" s="67">
        <f>'Main table'!AP$7/100*(1-'Main table'!AP$43/100)*'Main table'!AP$9*'Main table'!AP$22/100</f>
        <v>0</v>
      </c>
      <c r="AR30" s="67">
        <f>'Main table'!AQ$7/100*(1-'Main table'!AQ$43/100)*'Main table'!AQ$9*'Main table'!AQ$22/100</f>
        <v>0</v>
      </c>
      <c r="AS30" s="67">
        <f>'Main table'!AR$7/100*(1-'Main table'!AR$43/100)*'Main table'!AR$9*'Main table'!AR$22/100</f>
        <v>0.12573000000000001</v>
      </c>
      <c r="AT30" s="67">
        <f>'Main table'!AS$7/100*(1-'Main table'!AS$43/100)*'Main table'!AS$9*'Main table'!AS$22/100</f>
        <v>0.525312</v>
      </c>
      <c r="AU30" s="67">
        <f>'Main table'!AT$7/100*(1-'Main table'!AT$43/100)*'Main table'!AT$9*'Main table'!AT$22/100</f>
        <v>6.537960000000001E-2</v>
      </c>
      <c r="AV30" s="67">
        <f>'Main table'!AU$7/100*(1-'Main table'!AU$43/100)*'Main table'!AU$9*'Main table'!AU$22/100</f>
        <v>2.8032479999999999E-2</v>
      </c>
      <c r="AW30" s="67">
        <f>'Main table'!AV$7/100*(1-'Main table'!AV$43/100)*'Main table'!AV$9*'Main table'!AV$22/100</f>
        <v>0.32522489999999998</v>
      </c>
      <c r="AX30" s="67">
        <f>'Main table'!AW$7/100*(1-'Main table'!AW$43/100)*'Main table'!AW$9*'Main table'!AW$22/100</f>
        <v>0.28414386000000008</v>
      </c>
      <c r="AY30" s="67">
        <f>'Main table'!AX$7/100*(1-'Main table'!AX$43/100)*'Main table'!AX$9*'Main table'!AX$22/100</f>
        <v>0.40765031999999995</v>
      </c>
      <c r="AZ30" s="67">
        <f>'Main table'!AY$7/100*(1-'Main table'!AY$43/100)*'Main table'!AY$9*'Main table'!AY$22/100</f>
        <v>0</v>
      </c>
      <c r="BA30" s="67">
        <f>'Main table'!AZ$7/100*(1-'Main table'!AZ$43/100)*'Main table'!AZ$9*'Main table'!AZ$22/100</f>
        <v>0</v>
      </c>
      <c r="BB30" s="67">
        <f>'Main table'!BA$7/100*(1-'Main table'!BA$43/100)*'Main table'!BA$9*'Main table'!BA$22/100</f>
        <v>0</v>
      </c>
      <c r="BC30" s="67">
        <f>'Main table'!BB$7/100*(1-'Main table'!BB$43/100)*'Main table'!BB$9*'Main table'!BB$22/100</f>
        <v>8.7775200000000005E-3</v>
      </c>
      <c r="BD30" s="67">
        <f>'Main table'!BC$7/100*(1-'Main table'!BC$43/100)*'Main table'!BC$9*'Main table'!BC$22/100</f>
        <v>8.7775200000000005E-3</v>
      </c>
      <c r="BE30" s="67">
        <f>'Main table'!BD$7/100*(1-'Main table'!BD$43/100)*'Main table'!BD$9*'Main table'!BD$22/100</f>
        <v>1.7010000000000005E-3</v>
      </c>
      <c r="BF30" s="67">
        <f>'Main table'!BE$7/100*(1-'Main table'!BE$43/100)*'Main table'!BE$9*'Main table'!BE$22/100</f>
        <v>1.7010000000000005E-3</v>
      </c>
      <c r="BG30" s="67">
        <f>'Main table'!BF$7/100*(1-'Main table'!BF$43/100)*'Main table'!BF$9*'Main table'!BF$22/100</f>
        <v>1.7010000000000005E-3</v>
      </c>
      <c r="BH30" s="67">
        <f>'Main table'!BG$7/100*(1-'Main table'!BG$43/100)*'Main table'!BG$9*'Main table'!BG$22/100</f>
        <v>0</v>
      </c>
      <c r="BI30" s="67">
        <f>'Main table'!BH$7/100*(1-'Main table'!BH$43/100)*'Main table'!BH$9*'Main table'!BH$22/100</f>
        <v>0</v>
      </c>
      <c r="BJ30" s="67">
        <f>'Main table'!BI$7/100*(1-'Main table'!BI$43/100)*'Main table'!BI$9*'Main table'!BI$22/100</f>
        <v>0</v>
      </c>
      <c r="BK30" s="67">
        <f>'Main table'!BJ$7/100*(1-'Main table'!BJ$43/100)*'Main table'!BJ$9*'Main table'!BJ$22/100</f>
        <v>0</v>
      </c>
      <c r="BL30" s="67">
        <f>'Main table'!BK$7/100*(1-'Main table'!BK$43/100)*'Main table'!BK$9*'Main table'!BK$22/100</f>
        <v>0</v>
      </c>
      <c r="BM30" s="67">
        <f>'Main table'!BL$7/100*(1-'Main table'!BL$43/100)*'Main table'!BL$9*'Main table'!BL$22/100</f>
        <v>0</v>
      </c>
      <c r="BN30" s="67">
        <f>'Main table'!BM$7/100*(1-'Main table'!BM$43/100)*'Main table'!BM$9*'Main table'!BM$22/100</f>
        <v>0</v>
      </c>
      <c r="BO30" s="67">
        <f>'Main table'!BN$7/100*(1-'Main table'!BN$43/100)*'Main table'!BN$9*'Main table'!BN$22/100</f>
        <v>0</v>
      </c>
      <c r="BP30" s="67">
        <f>'Main table'!BO$7/100*(1-'Main table'!BO$43/100)*'Main table'!BO$9*'Main table'!BO$22/100</f>
        <v>0</v>
      </c>
      <c r="BQ30" s="67">
        <f>'Main table'!BP$7/100*(1-'Main table'!BP$43/100)*'Main table'!BP$9*'Main table'!BP$22/100</f>
        <v>0</v>
      </c>
      <c r="BR30" s="67">
        <f>'Main table'!BQ$7/100*(1-'Main table'!BQ$43/100)*'Main table'!BQ$9*'Main table'!BQ$22/100</f>
        <v>0</v>
      </c>
      <c r="BS30" s="67">
        <f>'Main table'!BR$7/100*(1-'Main table'!BR$43/100)*'Main table'!BR$9*'Main table'!BR$22/100</f>
        <v>0</v>
      </c>
      <c r="BT30" s="67">
        <f>'Main table'!BS$7/100*(1-'Main table'!BS$43/100)*'Main table'!BS$9*'Main table'!BS$22/100</f>
        <v>0</v>
      </c>
      <c r="BU30" s="67">
        <f>'Main table'!BT$7/100*(1-'Main table'!BT$43/100)*'Main table'!BT$9*'Main table'!BT$22/100</f>
        <v>0</v>
      </c>
    </row>
    <row r="32" spans="1:73" x14ac:dyDescent="0.3">
      <c r="A32" s="36" t="s">
        <v>332</v>
      </c>
      <c r="E32" s="67"/>
    </row>
    <row r="33" spans="1:73" x14ac:dyDescent="0.3">
      <c r="A33" t="s">
        <v>258</v>
      </c>
      <c r="B33" t="s">
        <v>264</v>
      </c>
      <c r="C33">
        <v>0.9</v>
      </c>
      <c r="D33" s="5">
        <f>'Main table'!C7/100*'Main table'!C10</f>
        <v>2.2360000000000002</v>
      </c>
      <c r="E33" s="5">
        <f>'Main table'!D7/100*'Main table'!D10</f>
        <v>2.58</v>
      </c>
      <c r="F33" s="5">
        <f>'Main table'!E7/100*'Main table'!E10</f>
        <v>1.8920000000000001</v>
      </c>
      <c r="G33" s="5">
        <f>'Main table'!F7/100*'Main table'!F10</f>
        <v>4.4720000000000004</v>
      </c>
      <c r="H33" s="5">
        <f>'Main table'!G7/100*'Main table'!G10</f>
        <v>11.954000000000001</v>
      </c>
      <c r="I33" s="5">
        <f>'Main table'!H7/100*'Main table'!H10</f>
        <v>2.15</v>
      </c>
      <c r="J33" s="5">
        <f>'Main table'!I7/100*'Main table'!I10</f>
        <v>2.3220000000000001</v>
      </c>
      <c r="K33" s="5">
        <f>'Main table'!J7/100*'Main table'!J10</f>
        <v>0</v>
      </c>
      <c r="L33" s="5">
        <f>'Main table'!K7/100*'Main table'!K10</f>
        <v>0.34800000000000003</v>
      </c>
      <c r="M33" s="5">
        <f>'Main table'!L7/100*'Main table'!L10</f>
        <v>5.16</v>
      </c>
      <c r="N33" s="5">
        <f>'Main table'!M7/100*'Main table'!M10</f>
        <v>7.8259999999999996</v>
      </c>
      <c r="O33" s="5">
        <f>'Main table'!N7/100*'Main table'!N10</f>
        <v>13.846000000000002</v>
      </c>
      <c r="P33" s="5">
        <f>'Main table'!O7/100*'Main table'!O10</f>
        <v>0</v>
      </c>
      <c r="Q33" s="5">
        <f>'Main table'!P7/100*'Main table'!P10</f>
        <v>0</v>
      </c>
      <c r="R33" s="5">
        <f>'Main table'!Q7/100*'Main table'!Q10</f>
        <v>0</v>
      </c>
      <c r="S33" s="5">
        <f>'Main table'!R7/100*'Main table'!R10</f>
        <v>0</v>
      </c>
      <c r="T33" s="5">
        <f>'Main table'!S7/100*'Main table'!S10</f>
        <v>0</v>
      </c>
      <c r="U33" s="5">
        <f>'Main table'!T7/100*'Main table'!T10</f>
        <v>12.520799999999999</v>
      </c>
      <c r="V33" s="5">
        <f>'Main table'!U7/100*'Main table'!U10</f>
        <v>24.831</v>
      </c>
      <c r="W33" s="5">
        <f>'Main table'!V7/100*'Main table'!V10</f>
        <v>5.8893000000000004</v>
      </c>
      <c r="X33" s="5">
        <f>'Main table'!W7/100*'Main table'!W10</f>
        <v>0</v>
      </c>
      <c r="Y33" s="5">
        <f>'Main table'!X7/100*'Main table'!X10</f>
        <v>6.9761999999999995</v>
      </c>
      <c r="Z33" s="5">
        <f>'Main table'!Y7/100*'Main table'!Y10</f>
        <v>9.048</v>
      </c>
      <c r="AA33" s="5">
        <f>'Main table'!Z7/100*'Main table'!Z10</f>
        <v>0.65659999999999996</v>
      </c>
      <c r="AB33" s="5">
        <f>'Main table'!AA7/100*'Main table'!AA10</f>
        <v>1.08</v>
      </c>
      <c r="AC33" s="5">
        <f>'Main table'!AB7/100*'Main table'!AB10</f>
        <v>7.3289000000000009</v>
      </c>
      <c r="AD33" s="5">
        <f>'Main table'!AC7/100*'Main table'!AC10</f>
        <v>9.9423999999999992</v>
      </c>
      <c r="AE33" s="5">
        <f>'Main table'!AD7/100*'Main table'!AD10</f>
        <v>6.9761999999999995</v>
      </c>
      <c r="AF33" s="5">
        <f>'Main table'!AE7/100*'Main table'!AE10</f>
        <v>7.0310000000000006</v>
      </c>
      <c r="AG33" s="5">
        <f>'Main table'!AF7/100*'Main table'!AF10</f>
        <v>0</v>
      </c>
      <c r="AH33" s="5">
        <f>'Main table'!AG7/100*'Main table'!AG10</f>
        <v>0</v>
      </c>
      <c r="AI33" s="5">
        <f>'Main table'!AH7/100*'Main table'!AH10</f>
        <v>0</v>
      </c>
      <c r="AJ33" s="5">
        <f>'Main table'!AI7/100*'Main table'!AI10</f>
        <v>0</v>
      </c>
      <c r="AK33" s="5">
        <f>'Main table'!AJ7/100*'Main table'!AJ10</f>
        <v>0</v>
      </c>
      <c r="AL33" s="5">
        <f>'Main table'!AK7/100*'Main table'!AK10</f>
        <v>7.5700000000000003E-2</v>
      </c>
      <c r="AM33" s="5">
        <f>'Main table'!AL7/100*'Main table'!AL10</f>
        <v>0</v>
      </c>
      <c r="AN33" s="5">
        <f>'Main table'!AM7/100*'Main table'!AM10</f>
        <v>0</v>
      </c>
      <c r="AO33" s="5">
        <f>'Main table'!AN7/100*'Main table'!AN10</f>
        <v>0</v>
      </c>
      <c r="AP33" s="5">
        <f>'Main table'!AO7/100*'Main table'!AO10</f>
        <v>0</v>
      </c>
      <c r="AQ33" s="5">
        <f>'Main table'!AP7/100*'Main table'!AP10</f>
        <v>0</v>
      </c>
      <c r="AR33" s="5">
        <f>'Main table'!AQ7/100*'Main table'!AQ10</f>
        <v>0</v>
      </c>
      <c r="AS33" s="5">
        <f>'Main table'!AR7/100*'Main table'!AR10</f>
        <v>0</v>
      </c>
      <c r="AT33" s="5">
        <f>'Main table'!AS7/100*'Main table'!AS10</f>
        <v>0</v>
      </c>
      <c r="AU33" s="5">
        <f>'Main table'!AT7/100*'Main table'!AT10</f>
        <v>0</v>
      </c>
      <c r="AV33" s="5">
        <f>'Main table'!AU7/100*'Main table'!AU10</f>
        <v>0.51500000000000001</v>
      </c>
      <c r="AW33" s="5">
        <f>'Main table'!AV7/100*'Main table'!AV10</f>
        <v>9.1910000000000007</v>
      </c>
      <c r="AX33" s="5">
        <f>'Main table'!AW7/100*'Main table'!AW10</f>
        <v>15.651999999999999</v>
      </c>
      <c r="AY33" s="5">
        <f>'Main table'!AX7/100*'Main table'!AX10</f>
        <v>5.3319999999999999</v>
      </c>
      <c r="AZ33" s="5">
        <f>'Main table'!AY7/100*'Main table'!AY10</f>
        <v>0</v>
      </c>
      <c r="BA33" s="5">
        <f>'Main table'!AZ7/100*'Main table'!AZ10</f>
        <v>0</v>
      </c>
      <c r="BB33" s="5">
        <f>'Main table'!BA7/100*'Main table'!BA10</f>
        <v>0</v>
      </c>
      <c r="BC33" s="5">
        <f>'Main table'!BB7/100*'Main table'!BB10</f>
        <v>0</v>
      </c>
      <c r="BD33" s="5">
        <f>'Main table'!BC7/100*'Main table'!BC10</f>
        <v>0</v>
      </c>
      <c r="BE33" s="5">
        <f>'Main table'!BD7/100*'Main table'!BD10</f>
        <v>0.77</v>
      </c>
      <c r="BF33" s="5">
        <f>'Main table'!BE7/100*'Main table'!BE10</f>
        <v>0.77</v>
      </c>
      <c r="BG33" s="5">
        <f>'Main table'!BF7/100*'Main table'!BF10</f>
        <v>0.77</v>
      </c>
      <c r="BH33" s="5">
        <f>'Main table'!BG7/100*'Main table'!BG10</f>
        <v>0</v>
      </c>
      <c r="BI33" s="5">
        <f>'Main table'!BH7/100*'Main table'!BH10</f>
        <v>0</v>
      </c>
      <c r="BJ33" s="5">
        <f>'Main table'!BI7/100*'Main table'!BI10</f>
        <v>0</v>
      </c>
      <c r="BK33" s="5">
        <f>'Main table'!BJ7/100*'Main table'!BJ10</f>
        <v>0</v>
      </c>
      <c r="BL33" s="5">
        <f>'Main table'!BK7/100*'Main table'!BK10</f>
        <v>0</v>
      </c>
      <c r="BM33" s="5">
        <f>'Main table'!BL7/100*'Main table'!BL10</f>
        <v>0</v>
      </c>
      <c r="BN33" s="5">
        <f>'Main table'!BM7/100*'Main table'!BM10</f>
        <v>0</v>
      </c>
      <c r="BO33" s="5">
        <f>'Main table'!BN7/100*'Main table'!BN10</f>
        <v>10.762499999999999</v>
      </c>
      <c r="BP33" s="5">
        <f>'Main table'!BO7/100*'Main table'!BO10</f>
        <v>7.0699999999999994</v>
      </c>
      <c r="BQ33" s="5">
        <f>'Main table'!BP7/100*'Main table'!BP10</f>
        <v>10.5</v>
      </c>
      <c r="BR33" s="5">
        <f>'Main table'!BQ7/100*'Main table'!BQ10</f>
        <v>0.94540000000000002</v>
      </c>
      <c r="BS33" s="5">
        <f>'Main table'!BR7/100*'Main table'!BR10</f>
        <v>37.765000000000001</v>
      </c>
      <c r="BT33" s="5">
        <f>'Main table'!BS7/100*'Main table'!BS10</f>
        <v>0</v>
      </c>
      <c r="BU33" s="5">
        <f>'Main table'!BT7/100*'Main table'!BT10</f>
        <v>0</v>
      </c>
    </row>
    <row r="34" spans="1:73" x14ac:dyDescent="0.3">
      <c r="A34" t="s">
        <v>258</v>
      </c>
      <c r="B34" t="s">
        <v>265</v>
      </c>
      <c r="C34">
        <v>-1.1000000000000001</v>
      </c>
      <c r="D34" s="5">
        <f>'Main table'!C7/100*'Main table'!C10</f>
        <v>2.2360000000000002</v>
      </c>
      <c r="E34" s="5">
        <f>'Main table'!D7/100*'Main table'!D10</f>
        <v>2.58</v>
      </c>
      <c r="F34" s="5">
        <f>'Main table'!E7/100*'Main table'!E10</f>
        <v>1.8920000000000001</v>
      </c>
      <c r="G34" s="5">
        <f>'Main table'!F7/100*'Main table'!F10</f>
        <v>4.4720000000000004</v>
      </c>
      <c r="H34" s="5">
        <f>'Main table'!G7/100*'Main table'!G10</f>
        <v>11.954000000000001</v>
      </c>
      <c r="I34" s="5">
        <f>'Main table'!H7/100*'Main table'!H10</f>
        <v>2.15</v>
      </c>
      <c r="J34" s="5">
        <f>'Main table'!I7/100*'Main table'!I10</f>
        <v>2.3220000000000001</v>
      </c>
      <c r="K34" s="5">
        <f>'Main table'!J7/100*'Main table'!J10</f>
        <v>0</v>
      </c>
      <c r="L34" s="5">
        <f>'Main table'!K7/100*'Main table'!K10</f>
        <v>0.34800000000000003</v>
      </c>
      <c r="M34" s="5">
        <f>'Main table'!L7/100*'Main table'!L10</f>
        <v>5.16</v>
      </c>
      <c r="N34" s="5">
        <f>'Main table'!M7/100*'Main table'!M10</f>
        <v>7.8259999999999996</v>
      </c>
      <c r="O34" s="5">
        <f>'Main table'!N7/100*'Main table'!N10</f>
        <v>13.846000000000002</v>
      </c>
      <c r="P34" s="5">
        <f>'Main table'!O7/100*'Main table'!O10</f>
        <v>0</v>
      </c>
      <c r="Q34" s="5">
        <f>'Main table'!P7/100*'Main table'!P10</f>
        <v>0</v>
      </c>
      <c r="R34" s="5">
        <f>'Main table'!Q7/100*'Main table'!Q10</f>
        <v>0</v>
      </c>
      <c r="S34" s="5">
        <f>'Main table'!R7/100*'Main table'!R10</f>
        <v>0</v>
      </c>
      <c r="T34" s="5">
        <f>'Main table'!S7/100*'Main table'!S10</f>
        <v>0</v>
      </c>
      <c r="U34" s="5">
        <f>'Main table'!T7/100*'Main table'!T10</f>
        <v>12.520799999999999</v>
      </c>
      <c r="V34" s="5">
        <f>'Main table'!U7/100*'Main table'!U10</f>
        <v>24.831</v>
      </c>
      <c r="W34" s="5">
        <f>'Main table'!V7/100*'Main table'!V10</f>
        <v>5.8893000000000004</v>
      </c>
      <c r="X34" s="5">
        <f>'Main table'!W7/100*'Main table'!W10</f>
        <v>0</v>
      </c>
      <c r="Y34" s="5">
        <f>'Main table'!X7/100*'Main table'!X10</f>
        <v>6.9761999999999995</v>
      </c>
      <c r="Z34" s="5">
        <f>'Main table'!Y7/100*'Main table'!Y10</f>
        <v>9.048</v>
      </c>
      <c r="AA34" s="5">
        <f>'Main table'!Z7/100*'Main table'!Z10</f>
        <v>0.65659999999999996</v>
      </c>
      <c r="AB34" s="5">
        <f>'Main table'!AA7/100*'Main table'!AA10</f>
        <v>1.08</v>
      </c>
      <c r="AC34" s="5">
        <f>'Main table'!AB7/100*'Main table'!AB10</f>
        <v>7.3289000000000009</v>
      </c>
      <c r="AD34" s="5">
        <f>'Main table'!AC7/100*'Main table'!AC10</f>
        <v>9.9423999999999992</v>
      </c>
      <c r="AE34" s="5">
        <f>'Main table'!AD7/100*'Main table'!AD10</f>
        <v>6.9761999999999995</v>
      </c>
      <c r="AF34" s="5">
        <f>'Main table'!AE7/100*'Main table'!AE10</f>
        <v>7.0310000000000006</v>
      </c>
      <c r="AG34" s="5">
        <f>'Main table'!AF7/100*'Main table'!AF10</f>
        <v>0</v>
      </c>
      <c r="AH34" s="5">
        <f>'Main table'!AG7/100*'Main table'!AG10</f>
        <v>0</v>
      </c>
      <c r="AI34" s="5">
        <f>'Main table'!AH7/100*'Main table'!AH10</f>
        <v>0</v>
      </c>
      <c r="AJ34" s="5">
        <f>'Main table'!AI7/100*'Main table'!AI10</f>
        <v>0</v>
      </c>
      <c r="AK34" s="5">
        <f>'Main table'!AJ7/100*'Main table'!AJ10</f>
        <v>0</v>
      </c>
      <c r="AL34" s="5">
        <f>'Main table'!AK7/100*'Main table'!AK10</f>
        <v>7.5700000000000003E-2</v>
      </c>
      <c r="AM34" s="5">
        <f>'Main table'!AL7/100*'Main table'!AL10</f>
        <v>0</v>
      </c>
      <c r="AN34" s="5">
        <f>'Main table'!AM7/100*'Main table'!AM10</f>
        <v>0</v>
      </c>
      <c r="AO34" s="5">
        <f>'Main table'!AN7/100*'Main table'!AN10</f>
        <v>0</v>
      </c>
      <c r="AP34" s="5">
        <f>'Main table'!AO7/100*'Main table'!AO10</f>
        <v>0</v>
      </c>
      <c r="AQ34" s="5">
        <f>'Main table'!AP7/100*'Main table'!AP10</f>
        <v>0</v>
      </c>
      <c r="AR34" s="5">
        <f>'Main table'!AQ7/100*'Main table'!AQ10</f>
        <v>0</v>
      </c>
      <c r="AS34" s="5">
        <f>'Main table'!AR7/100*'Main table'!AR10</f>
        <v>0</v>
      </c>
      <c r="AT34" s="5">
        <f>'Main table'!AS7/100*'Main table'!AS10</f>
        <v>0</v>
      </c>
      <c r="AU34" s="5">
        <f>'Main table'!AT7/100*'Main table'!AT10</f>
        <v>0</v>
      </c>
      <c r="AV34" s="5">
        <f>'Main table'!AU7/100*'Main table'!AU10</f>
        <v>0.51500000000000001</v>
      </c>
      <c r="AW34" s="5">
        <f>'Main table'!AV7/100*'Main table'!AV10</f>
        <v>9.1910000000000007</v>
      </c>
      <c r="AX34" s="5">
        <f>'Main table'!AW7/100*'Main table'!AW10</f>
        <v>15.651999999999999</v>
      </c>
      <c r="AY34" s="5">
        <f>'Main table'!AX7/100*'Main table'!AX10</f>
        <v>5.3319999999999999</v>
      </c>
      <c r="AZ34" s="5">
        <f>'Main table'!AY7/100*'Main table'!AY10</f>
        <v>0</v>
      </c>
      <c r="BA34" s="5">
        <f>'Main table'!AZ7/100*'Main table'!AZ10</f>
        <v>0</v>
      </c>
      <c r="BB34" s="5">
        <f>'Main table'!BA7/100*'Main table'!BA10</f>
        <v>0</v>
      </c>
      <c r="BC34" s="5">
        <f>'Main table'!BB7/100*'Main table'!BB10</f>
        <v>0</v>
      </c>
      <c r="BD34" s="5">
        <f>'Main table'!BC7/100*'Main table'!BC10</f>
        <v>0</v>
      </c>
      <c r="BE34" s="5">
        <f>'Main table'!BD7/100*'Main table'!BD10</f>
        <v>0.77</v>
      </c>
      <c r="BF34" s="5">
        <f>'Main table'!BE7/100*'Main table'!BE10</f>
        <v>0.77</v>
      </c>
      <c r="BG34" s="5">
        <f>'Main table'!BF7/100*'Main table'!BF10</f>
        <v>0.77</v>
      </c>
      <c r="BH34" s="5">
        <f>'Main table'!BG7/100*'Main table'!BG10</f>
        <v>0</v>
      </c>
      <c r="BI34" s="5">
        <f>'Main table'!BH7/100*'Main table'!BH10</f>
        <v>0</v>
      </c>
      <c r="BJ34" s="5">
        <f>'Main table'!BI7/100*'Main table'!BI10</f>
        <v>0</v>
      </c>
      <c r="BK34" s="5">
        <f>'Main table'!BJ7/100*'Main table'!BJ10</f>
        <v>0</v>
      </c>
      <c r="BL34" s="5">
        <f>'Main table'!BK7/100*'Main table'!BK10</f>
        <v>0</v>
      </c>
      <c r="BM34" s="5">
        <f>'Main table'!BL7/100*'Main table'!BL10</f>
        <v>0</v>
      </c>
      <c r="BN34" s="5">
        <f>'Main table'!BM7/100*'Main table'!BM10</f>
        <v>0</v>
      </c>
      <c r="BO34" s="5">
        <f>'Main table'!BN7/100*'Main table'!BN10</f>
        <v>10.762499999999999</v>
      </c>
      <c r="BP34" s="5">
        <f>'Main table'!BO7/100*'Main table'!BO10</f>
        <v>7.0699999999999994</v>
      </c>
      <c r="BQ34" s="5">
        <f>'Main table'!BP7/100*'Main table'!BP10</f>
        <v>10.5</v>
      </c>
      <c r="BR34" s="5">
        <f>'Main table'!BQ7/100*'Main table'!BQ10</f>
        <v>0.94540000000000002</v>
      </c>
      <c r="BS34" s="5">
        <f>'Main table'!BR7/100*'Main table'!BR10</f>
        <v>37.765000000000001</v>
      </c>
      <c r="BT34" s="5">
        <f>'Main table'!BS7/100*'Main table'!BS10</f>
        <v>0</v>
      </c>
      <c r="BU34" s="5">
        <f>'Main table'!BT7/100*'Main table'!BT10</f>
        <v>0</v>
      </c>
    </row>
    <row r="35" spans="1:73" x14ac:dyDescent="0.3">
      <c r="A35" t="s">
        <v>259</v>
      </c>
      <c r="B35" t="s">
        <v>264</v>
      </c>
      <c r="C35">
        <v>0.9</v>
      </c>
      <c r="D35" s="5">
        <f>'Main table'!C7/100*'Main table'!C10</f>
        <v>2.2360000000000002</v>
      </c>
      <c r="E35" s="5">
        <f>'Main table'!D7/100*'Main table'!D10</f>
        <v>2.58</v>
      </c>
      <c r="F35" s="5">
        <f>'Main table'!E7/100*'Main table'!E10</f>
        <v>1.8920000000000001</v>
      </c>
      <c r="G35" s="5">
        <f>'Main table'!F7/100*'Main table'!F10</f>
        <v>4.4720000000000004</v>
      </c>
      <c r="H35" s="5">
        <f>'Main table'!G7/100*'Main table'!G10</f>
        <v>11.954000000000001</v>
      </c>
      <c r="I35" s="5">
        <f>'Main table'!H7/100*'Main table'!H10</f>
        <v>2.15</v>
      </c>
      <c r="J35" s="5">
        <f>'Main table'!I7/100*'Main table'!I10</f>
        <v>2.3220000000000001</v>
      </c>
      <c r="K35" s="5">
        <f>'Main table'!J7/100*'Main table'!J10</f>
        <v>0</v>
      </c>
      <c r="L35" s="5">
        <f>'Main table'!K7/100*'Main table'!K10</f>
        <v>0.34800000000000003</v>
      </c>
      <c r="M35" s="5">
        <f>'Main table'!L7/100*'Main table'!L10</f>
        <v>5.16</v>
      </c>
      <c r="N35" s="5">
        <f>'Main table'!M7/100*'Main table'!M10</f>
        <v>7.8259999999999996</v>
      </c>
      <c r="O35" s="5">
        <f>'Main table'!N7/100*'Main table'!N10</f>
        <v>13.846000000000002</v>
      </c>
      <c r="P35" s="5">
        <f>'Main table'!O7/100*'Main table'!O10</f>
        <v>0</v>
      </c>
      <c r="Q35" s="5">
        <f>'Main table'!P7/100*'Main table'!P10</f>
        <v>0</v>
      </c>
      <c r="R35" s="5">
        <f>'Main table'!Q7/100*'Main table'!Q10</f>
        <v>0</v>
      </c>
      <c r="S35" s="5">
        <f>'Main table'!R7/100*'Main table'!R10</f>
        <v>0</v>
      </c>
      <c r="T35" s="5">
        <f>'Main table'!S7/100*'Main table'!S10</f>
        <v>0</v>
      </c>
      <c r="U35" s="5">
        <f>'Main table'!T7/100*'Main table'!T10</f>
        <v>12.520799999999999</v>
      </c>
      <c r="V35" s="5">
        <f>'Main table'!U7/100*'Main table'!U10</f>
        <v>24.831</v>
      </c>
      <c r="W35" s="5">
        <f>'Main table'!V7/100*'Main table'!V10</f>
        <v>5.8893000000000004</v>
      </c>
      <c r="X35" s="5">
        <f>'Main table'!W7/100*'Main table'!W10</f>
        <v>0</v>
      </c>
      <c r="Y35" s="5">
        <f>'Main table'!X7/100*'Main table'!X10</f>
        <v>6.9761999999999995</v>
      </c>
      <c r="Z35" s="5">
        <f>'Main table'!Y7/100*'Main table'!Y10</f>
        <v>9.048</v>
      </c>
      <c r="AA35" s="5">
        <f>'Main table'!Z7/100*'Main table'!Z10</f>
        <v>0.65659999999999996</v>
      </c>
      <c r="AB35" s="5">
        <f>'Main table'!AA7/100*'Main table'!AA10</f>
        <v>1.08</v>
      </c>
      <c r="AC35" s="5">
        <f>'Main table'!AB7/100*'Main table'!AB10</f>
        <v>7.3289000000000009</v>
      </c>
      <c r="AD35" s="5">
        <f>'Main table'!AC7/100*'Main table'!AC10</f>
        <v>9.9423999999999992</v>
      </c>
      <c r="AE35" s="5">
        <f>'Main table'!AD7/100*'Main table'!AD10</f>
        <v>6.9761999999999995</v>
      </c>
      <c r="AF35" s="5">
        <f>'Main table'!AE7/100*'Main table'!AE10</f>
        <v>7.0310000000000006</v>
      </c>
      <c r="AG35" s="5">
        <f>'Main table'!AF7/100*'Main table'!AF10</f>
        <v>0</v>
      </c>
      <c r="AH35" s="5">
        <f>'Main table'!AG7/100*'Main table'!AG10</f>
        <v>0</v>
      </c>
      <c r="AI35" s="5">
        <f>'Main table'!AH7/100*'Main table'!AH10</f>
        <v>0</v>
      </c>
      <c r="AJ35" s="5">
        <f>'Main table'!AI7/100*'Main table'!AI10</f>
        <v>0</v>
      </c>
      <c r="AK35" s="5">
        <f>'Main table'!AJ7/100*'Main table'!AJ10</f>
        <v>0</v>
      </c>
      <c r="AL35" s="5">
        <f>'Main table'!AK7/100*'Main table'!AK10</f>
        <v>7.5700000000000003E-2</v>
      </c>
      <c r="AM35" s="5">
        <f>'Main table'!AL7/100*'Main table'!AL10</f>
        <v>0</v>
      </c>
      <c r="AN35" s="5">
        <f>'Main table'!AM7/100*'Main table'!AM10</f>
        <v>0</v>
      </c>
      <c r="AO35" s="5">
        <f>'Main table'!AN7/100*'Main table'!AN10</f>
        <v>0</v>
      </c>
      <c r="AP35" s="5">
        <f>'Main table'!AO7/100*'Main table'!AO10</f>
        <v>0</v>
      </c>
      <c r="AQ35" s="5">
        <f>'Main table'!AP7/100*'Main table'!AP10</f>
        <v>0</v>
      </c>
      <c r="AR35" s="5">
        <f>'Main table'!AQ7/100*'Main table'!AQ10</f>
        <v>0</v>
      </c>
      <c r="AS35" s="5">
        <f>'Main table'!AR7/100*'Main table'!AR10</f>
        <v>0</v>
      </c>
      <c r="AT35" s="5">
        <f>'Main table'!AS7/100*'Main table'!AS10</f>
        <v>0</v>
      </c>
      <c r="AU35" s="5">
        <f>'Main table'!AT7/100*'Main table'!AT10</f>
        <v>0</v>
      </c>
      <c r="AV35" s="5">
        <f>'Main table'!AU7/100*'Main table'!AU10</f>
        <v>0.51500000000000001</v>
      </c>
      <c r="AW35" s="5">
        <f>'Main table'!AV7/100*'Main table'!AV10</f>
        <v>9.1910000000000007</v>
      </c>
      <c r="AX35" s="5">
        <f>'Main table'!AW7/100*'Main table'!AW10</f>
        <v>15.651999999999999</v>
      </c>
      <c r="AY35" s="5">
        <f>'Main table'!AX7/100*'Main table'!AX10</f>
        <v>5.3319999999999999</v>
      </c>
      <c r="AZ35" s="5">
        <f>'Main table'!AY7/100*'Main table'!AY10</f>
        <v>0</v>
      </c>
      <c r="BA35" s="5">
        <f>'Main table'!AZ7/100*'Main table'!AZ10</f>
        <v>0</v>
      </c>
      <c r="BB35" s="5">
        <f>'Main table'!BA7/100*'Main table'!BA10</f>
        <v>0</v>
      </c>
      <c r="BC35" s="5">
        <f>'Main table'!BB7/100*'Main table'!BB10</f>
        <v>0</v>
      </c>
      <c r="BD35" s="5">
        <f>'Main table'!BC7/100*'Main table'!BC10</f>
        <v>0</v>
      </c>
      <c r="BE35" s="5">
        <f>'Main table'!BD7/100*'Main table'!BD10</f>
        <v>0.77</v>
      </c>
      <c r="BF35" s="5">
        <f>'Main table'!BE7/100*'Main table'!BE10</f>
        <v>0.77</v>
      </c>
      <c r="BG35" s="5">
        <f>'Main table'!BF7/100*'Main table'!BF10</f>
        <v>0.77</v>
      </c>
      <c r="BH35" s="5">
        <f>'Main table'!BG7/100*'Main table'!BG10</f>
        <v>0</v>
      </c>
      <c r="BI35" s="5">
        <f>'Main table'!BH7/100*'Main table'!BH10</f>
        <v>0</v>
      </c>
      <c r="BJ35" s="5">
        <f>'Main table'!BI7/100*'Main table'!BI10</f>
        <v>0</v>
      </c>
      <c r="BK35" s="5">
        <f>'Main table'!BJ7/100*'Main table'!BJ10</f>
        <v>0</v>
      </c>
      <c r="BL35" s="5">
        <f>'Main table'!BK7/100*'Main table'!BK10</f>
        <v>0</v>
      </c>
      <c r="BM35" s="5">
        <f>'Main table'!BL7/100*'Main table'!BL10</f>
        <v>0</v>
      </c>
      <c r="BN35" s="5">
        <f>'Main table'!BM7/100*'Main table'!BM10</f>
        <v>0</v>
      </c>
      <c r="BO35" s="5">
        <f>'Main table'!BN7/100*'Main table'!BN10</f>
        <v>10.762499999999999</v>
      </c>
      <c r="BP35" s="5">
        <f>'Main table'!BO7/100*'Main table'!BO10</f>
        <v>7.0699999999999994</v>
      </c>
      <c r="BQ35" s="5">
        <f>'Main table'!BP7/100*'Main table'!BP10</f>
        <v>10.5</v>
      </c>
      <c r="BR35" s="5">
        <f>'Main table'!BQ7/100*'Main table'!BQ10</f>
        <v>0.94540000000000002</v>
      </c>
      <c r="BS35" s="5">
        <f>'Main table'!BR7/100*'Main table'!BR10</f>
        <v>37.765000000000001</v>
      </c>
      <c r="BT35" s="5">
        <f>'Main table'!BS7/100*'Main table'!BS10</f>
        <v>0</v>
      </c>
      <c r="BU35" s="5">
        <f>'Main table'!BT7/100*'Main table'!BT10</f>
        <v>0</v>
      </c>
    </row>
    <row r="36" spans="1:73" x14ac:dyDescent="0.3">
      <c r="A36" t="s">
        <v>259</v>
      </c>
      <c r="B36" t="s">
        <v>265</v>
      </c>
      <c r="C36">
        <v>-1.1000000000000001</v>
      </c>
      <c r="D36" s="5">
        <f>'Main table'!C7/100*'Main table'!C10</f>
        <v>2.2360000000000002</v>
      </c>
      <c r="E36" s="5">
        <f>'Main table'!D7/100*'Main table'!D10</f>
        <v>2.58</v>
      </c>
      <c r="F36" s="5">
        <f>'Main table'!E7/100*'Main table'!E10</f>
        <v>1.8920000000000001</v>
      </c>
      <c r="G36" s="5">
        <f>'Main table'!F7/100*'Main table'!F10</f>
        <v>4.4720000000000004</v>
      </c>
      <c r="H36" s="5">
        <f>'Main table'!G7/100*'Main table'!G10</f>
        <v>11.954000000000001</v>
      </c>
      <c r="I36" s="5">
        <f>'Main table'!H7/100*'Main table'!H10</f>
        <v>2.15</v>
      </c>
      <c r="J36" s="5">
        <f>'Main table'!I7/100*'Main table'!I10</f>
        <v>2.3220000000000001</v>
      </c>
      <c r="K36" s="5">
        <f>'Main table'!J7/100*'Main table'!J10</f>
        <v>0</v>
      </c>
      <c r="L36" s="5">
        <f>'Main table'!K7/100*'Main table'!K10</f>
        <v>0.34800000000000003</v>
      </c>
      <c r="M36" s="5">
        <f>'Main table'!L7/100*'Main table'!L10</f>
        <v>5.16</v>
      </c>
      <c r="N36" s="5">
        <f>'Main table'!M7/100*'Main table'!M10</f>
        <v>7.8259999999999996</v>
      </c>
      <c r="O36" s="5">
        <f>'Main table'!N7/100*'Main table'!N10</f>
        <v>13.846000000000002</v>
      </c>
      <c r="P36" s="5">
        <f>'Main table'!O7/100*'Main table'!O10</f>
        <v>0</v>
      </c>
      <c r="Q36" s="5">
        <f>'Main table'!P7/100*'Main table'!P10</f>
        <v>0</v>
      </c>
      <c r="R36" s="5">
        <f>'Main table'!Q7/100*'Main table'!Q10</f>
        <v>0</v>
      </c>
      <c r="S36" s="5">
        <f>'Main table'!R7/100*'Main table'!R10</f>
        <v>0</v>
      </c>
      <c r="T36" s="5">
        <f>'Main table'!S7/100*'Main table'!S10</f>
        <v>0</v>
      </c>
      <c r="U36" s="5">
        <f>'Main table'!T7/100*'Main table'!T10</f>
        <v>12.520799999999999</v>
      </c>
      <c r="V36" s="5">
        <f>'Main table'!U7/100*'Main table'!U10</f>
        <v>24.831</v>
      </c>
      <c r="W36" s="5">
        <f>'Main table'!V7/100*'Main table'!V10</f>
        <v>5.8893000000000004</v>
      </c>
      <c r="X36" s="5">
        <f>'Main table'!W7/100*'Main table'!W10</f>
        <v>0</v>
      </c>
      <c r="Y36" s="5">
        <f>'Main table'!X7/100*'Main table'!X10</f>
        <v>6.9761999999999995</v>
      </c>
      <c r="Z36" s="5">
        <f>'Main table'!Y7/100*'Main table'!Y10</f>
        <v>9.048</v>
      </c>
      <c r="AA36" s="5">
        <f>'Main table'!Z7/100*'Main table'!Z10</f>
        <v>0.65659999999999996</v>
      </c>
      <c r="AB36" s="5">
        <f>'Main table'!AA7/100*'Main table'!AA10</f>
        <v>1.08</v>
      </c>
      <c r="AC36" s="5">
        <f>'Main table'!AB7/100*'Main table'!AB10</f>
        <v>7.3289000000000009</v>
      </c>
      <c r="AD36" s="5">
        <f>'Main table'!AC7/100*'Main table'!AC10</f>
        <v>9.9423999999999992</v>
      </c>
      <c r="AE36" s="5">
        <f>'Main table'!AD7/100*'Main table'!AD10</f>
        <v>6.9761999999999995</v>
      </c>
      <c r="AF36" s="5">
        <f>'Main table'!AE7/100*'Main table'!AE10</f>
        <v>7.0310000000000006</v>
      </c>
      <c r="AG36" s="5">
        <f>'Main table'!AF7/100*'Main table'!AF10</f>
        <v>0</v>
      </c>
      <c r="AH36" s="5">
        <f>'Main table'!AG7/100*'Main table'!AG10</f>
        <v>0</v>
      </c>
      <c r="AI36" s="5">
        <f>'Main table'!AH7/100*'Main table'!AH10</f>
        <v>0</v>
      </c>
      <c r="AJ36" s="5">
        <f>'Main table'!AI7/100*'Main table'!AI10</f>
        <v>0</v>
      </c>
      <c r="AK36" s="5">
        <f>'Main table'!AJ7/100*'Main table'!AJ10</f>
        <v>0</v>
      </c>
      <c r="AL36" s="5">
        <f>'Main table'!AK7/100*'Main table'!AK10</f>
        <v>7.5700000000000003E-2</v>
      </c>
      <c r="AM36" s="5">
        <f>'Main table'!AL7/100*'Main table'!AL10</f>
        <v>0</v>
      </c>
      <c r="AN36" s="5">
        <f>'Main table'!AM7/100*'Main table'!AM10</f>
        <v>0</v>
      </c>
      <c r="AO36" s="5">
        <f>'Main table'!AN7/100*'Main table'!AN10</f>
        <v>0</v>
      </c>
      <c r="AP36" s="5">
        <f>'Main table'!AO7/100*'Main table'!AO10</f>
        <v>0</v>
      </c>
      <c r="AQ36" s="5">
        <f>'Main table'!AP7/100*'Main table'!AP10</f>
        <v>0</v>
      </c>
      <c r="AR36" s="5">
        <f>'Main table'!AQ7/100*'Main table'!AQ10</f>
        <v>0</v>
      </c>
      <c r="AS36" s="5">
        <f>'Main table'!AR7/100*'Main table'!AR10</f>
        <v>0</v>
      </c>
      <c r="AT36" s="5">
        <f>'Main table'!AS7/100*'Main table'!AS10</f>
        <v>0</v>
      </c>
      <c r="AU36" s="5">
        <f>'Main table'!AT7/100*'Main table'!AT10</f>
        <v>0</v>
      </c>
      <c r="AV36" s="5">
        <f>'Main table'!AU7/100*'Main table'!AU10</f>
        <v>0.51500000000000001</v>
      </c>
      <c r="AW36" s="5">
        <f>'Main table'!AV7/100*'Main table'!AV10</f>
        <v>9.1910000000000007</v>
      </c>
      <c r="AX36" s="5">
        <f>'Main table'!AW7/100*'Main table'!AW10</f>
        <v>15.651999999999999</v>
      </c>
      <c r="AY36" s="5">
        <f>'Main table'!AX7/100*'Main table'!AX10</f>
        <v>5.3319999999999999</v>
      </c>
      <c r="AZ36" s="5">
        <f>'Main table'!AY7/100*'Main table'!AY10</f>
        <v>0</v>
      </c>
      <c r="BA36" s="5">
        <f>'Main table'!AZ7/100*'Main table'!AZ10</f>
        <v>0</v>
      </c>
      <c r="BB36" s="5">
        <f>'Main table'!BA7/100*'Main table'!BA10</f>
        <v>0</v>
      </c>
      <c r="BC36" s="5">
        <f>'Main table'!BB7/100*'Main table'!BB10</f>
        <v>0</v>
      </c>
      <c r="BD36" s="5">
        <f>'Main table'!BC7/100*'Main table'!BC10</f>
        <v>0</v>
      </c>
      <c r="BE36" s="5">
        <f>'Main table'!BD7/100*'Main table'!BD10</f>
        <v>0.77</v>
      </c>
      <c r="BF36" s="5">
        <f>'Main table'!BE7/100*'Main table'!BE10</f>
        <v>0.77</v>
      </c>
      <c r="BG36" s="5">
        <f>'Main table'!BF7/100*'Main table'!BF10</f>
        <v>0.77</v>
      </c>
      <c r="BH36" s="5">
        <f>'Main table'!BG7/100*'Main table'!BG10</f>
        <v>0</v>
      </c>
      <c r="BI36" s="5">
        <f>'Main table'!BH7/100*'Main table'!BH10</f>
        <v>0</v>
      </c>
      <c r="BJ36" s="5">
        <f>'Main table'!BI7/100*'Main table'!BI10</f>
        <v>0</v>
      </c>
      <c r="BK36" s="5">
        <f>'Main table'!BJ7/100*'Main table'!BJ10</f>
        <v>0</v>
      </c>
      <c r="BL36" s="5">
        <f>'Main table'!BK7/100*'Main table'!BK10</f>
        <v>0</v>
      </c>
      <c r="BM36" s="5">
        <f>'Main table'!BL7/100*'Main table'!BL10</f>
        <v>0</v>
      </c>
      <c r="BN36" s="5">
        <f>'Main table'!BM7/100*'Main table'!BM10</f>
        <v>0</v>
      </c>
      <c r="BO36" s="5">
        <f>'Main table'!BN7/100*'Main table'!BN10</f>
        <v>10.762499999999999</v>
      </c>
      <c r="BP36" s="5">
        <f>'Main table'!BO7/100*'Main table'!BO10</f>
        <v>7.0699999999999994</v>
      </c>
      <c r="BQ36" s="5">
        <f>'Main table'!BP7/100*'Main table'!BP10</f>
        <v>10.5</v>
      </c>
      <c r="BR36" s="5">
        <f>'Main table'!BQ7/100*'Main table'!BQ10</f>
        <v>0.94540000000000002</v>
      </c>
      <c r="BS36" s="5">
        <f>'Main table'!BR7/100*'Main table'!BR10</f>
        <v>37.765000000000001</v>
      </c>
      <c r="BT36" s="5">
        <f>'Main table'!BS7/100*'Main table'!BS10</f>
        <v>0</v>
      </c>
      <c r="BU36" s="5">
        <f>'Main table'!BT7/100*'Main table'!BT10</f>
        <v>0</v>
      </c>
    </row>
    <row r="37" spans="1:73" x14ac:dyDescent="0.3">
      <c r="A37" t="s">
        <v>246</v>
      </c>
      <c r="B37" t="s">
        <v>264</v>
      </c>
      <c r="C37">
        <v>0.9</v>
      </c>
      <c r="D37" s="5">
        <f>'Main table'!C7/100*'Main table'!C10</f>
        <v>2.2360000000000002</v>
      </c>
      <c r="E37" s="5">
        <f>'Main table'!D7/100*'Main table'!D10</f>
        <v>2.58</v>
      </c>
      <c r="F37" s="5">
        <f>'Main table'!E7/100*'Main table'!E10</f>
        <v>1.8920000000000001</v>
      </c>
      <c r="G37" s="5">
        <f>'Main table'!F7/100*'Main table'!F10</f>
        <v>4.4720000000000004</v>
      </c>
      <c r="H37" s="5">
        <f>'Main table'!G7/100*'Main table'!G10</f>
        <v>11.954000000000001</v>
      </c>
      <c r="I37" s="5">
        <f>'Main table'!H7/100*'Main table'!H10</f>
        <v>2.15</v>
      </c>
      <c r="J37" s="5">
        <f>'Main table'!I7/100*'Main table'!I10</f>
        <v>2.3220000000000001</v>
      </c>
      <c r="K37" s="5">
        <f>'Main table'!J7/100*'Main table'!J10</f>
        <v>0</v>
      </c>
      <c r="L37" s="5">
        <f>'Main table'!K7/100*'Main table'!K10</f>
        <v>0.34800000000000003</v>
      </c>
      <c r="M37" s="5">
        <f>'Main table'!L7/100*'Main table'!L10</f>
        <v>5.16</v>
      </c>
      <c r="N37" s="5">
        <f>'Main table'!M7/100*'Main table'!M10</f>
        <v>7.8259999999999996</v>
      </c>
      <c r="O37" s="5">
        <f>'Main table'!N7/100*'Main table'!N10</f>
        <v>13.846000000000002</v>
      </c>
      <c r="P37" s="5">
        <f>'Main table'!O7/100*'Main table'!O10</f>
        <v>0</v>
      </c>
      <c r="Q37" s="5">
        <f>'Main table'!P7/100*'Main table'!P10</f>
        <v>0</v>
      </c>
      <c r="R37" s="5">
        <f>'Main table'!Q7/100*'Main table'!Q10</f>
        <v>0</v>
      </c>
      <c r="S37" s="5">
        <f>'Main table'!R7/100*'Main table'!R10</f>
        <v>0</v>
      </c>
      <c r="T37" s="5">
        <f>'Main table'!S7/100*'Main table'!S10</f>
        <v>0</v>
      </c>
      <c r="U37" s="5">
        <f>'Main table'!T7/100*'Main table'!T10</f>
        <v>12.520799999999999</v>
      </c>
      <c r="V37" s="5">
        <f>'Main table'!U7/100*'Main table'!U10</f>
        <v>24.831</v>
      </c>
      <c r="W37" s="5">
        <f>'Main table'!V7/100*'Main table'!V10</f>
        <v>5.8893000000000004</v>
      </c>
      <c r="X37" s="5">
        <f>'Main table'!W7/100*'Main table'!W10</f>
        <v>0</v>
      </c>
      <c r="Y37" s="5">
        <f>'Main table'!X7/100*'Main table'!X10</f>
        <v>6.9761999999999995</v>
      </c>
      <c r="Z37" s="5">
        <f>'Main table'!Y7/100*'Main table'!Y10</f>
        <v>9.048</v>
      </c>
      <c r="AA37" s="5">
        <f>'Main table'!Z7/100*'Main table'!Z10</f>
        <v>0.65659999999999996</v>
      </c>
      <c r="AB37" s="5">
        <f>'Main table'!AA7/100*'Main table'!AA10</f>
        <v>1.08</v>
      </c>
      <c r="AC37" s="5">
        <f>'Main table'!AB7/100*'Main table'!AB10</f>
        <v>7.3289000000000009</v>
      </c>
      <c r="AD37" s="5">
        <f>'Main table'!AC7/100*'Main table'!AC10</f>
        <v>9.9423999999999992</v>
      </c>
      <c r="AE37" s="5">
        <f>'Main table'!AD7/100*'Main table'!AD10</f>
        <v>6.9761999999999995</v>
      </c>
      <c r="AF37" s="5">
        <f>'Main table'!AE7/100*'Main table'!AE10</f>
        <v>7.0310000000000006</v>
      </c>
      <c r="AG37" s="5">
        <f>'Main table'!AF7/100*'Main table'!AF10</f>
        <v>0</v>
      </c>
      <c r="AH37" s="5">
        <f>'Main table'!AG7/100*'Main table'!AG10</f>
        <v>0</v>
      </c>
      <c r="AI37" s="5">
        <f>'Main table'!AH7/100*'Main table'!AH10</f>
        <v>0</v>
      </c>
      <c r="AJ37" s="5">
        <f>'Main table'!AI7/100*'Main table'!AI10</f>
        <v>0</v>
      </c>
      <c r="AK37" s="5">
        <f>'Main table'!AJ7/100*'Main table'!AJ10</f>
        <v>0</v>
      </c>
      <c r="AL37" s="5">
        <f>'Main table'!AK7/100*'Main table'!AK10</f>
        <v>7.5700000000000003E-2</v>
      </c>
      <c r="AM37" s="5">
        <f>'Main table'!AL7/100*'Main table'!AL10</f>
        <v>0</v>
      </c>
      <c r="AN37" s="5">
        <f>'Main table'!AM7/100*'Main table'!AM10</f>
        <v>0</v>
      </c>
      <c r="AO37" s="5">
        <f>'Main table'!AN7/100*'Main table'!AN10</f>
        <v>0</v>
      </c>
      <c r="AP37" s="5">
        <f>'Main table'!AO7/100*'Main table'!AO10</f>
        <v>0</v>
      </c>
      <c r="AQ37" s="5">
        <f>'Main table'!AP7/100*'Main table'!AP10</f>
        <v>0</v>
      </c>
      <c r="AR37" s="5">
        <f>'Main table'!AQ7/100*'Main table'!AQ10</f>
        <v>0</v>
      </c>
      <c r="AS37" s="5">
        <f>'Main table'!AR7/100*'Main table'!AR10</f>
        <v>0</v>
      </c>
      <c r="AT37" s="5">
        <f>'Main table'!AS7/100*'Main table'!AS10</f>
        <v>0</v>
      </c>
      <c r="AU37" s="5">
        <f>'Main table'!AT7/100*'Main table'!AT10</f>
        <v>0</v>
      </c>
      <c r="AV37" s="5">
        <f>'Main table'!AU7/100*'Main table'!AU10</f>
        <v>0.51500000000000001</v>
      </c>
      <c r="AW37" s="5">
        <f>'Main table'!AV7/100*'Main table'!AV10</f>
        <v>9.1910000000000007</v>
      </c>
      <c r="AX37" s="5">
        <f>'Main table'!AW7/100*'Main table'!AW10</f>
        <v>15.651999999999999</v>
      </c>
      <c r="AY37" s="5">
        <f>'Main table'!AX7/100*'Main table'!AX10</f>
        <v>5.3319999999999999</v>
      </c>
      <c r="AZ37" s="5">
        <f>'Main table'!AY7/100*'Main table'!AY10</f>
        <v>0</v>
      </c>
      <c r="BA37" s="5">
        <f>'Main table'!AZ7/100*'Main table'!AZ10</f>
        <v>0</v>
      </c>
      <c r="BB37" s="5">
        <f>'Main table'!BA7/100*'Main table'!BA10</f>
        <v>0</v>
      </c>
      <c r="BC37" s="5">
        <f>'Main table'!BB7/100*'Main table'!BB10</f>
        <v>0</v>
      </c>
      <c r="BD37" s="5">
        <f>'Main table'!BC7/100*'Main table'!BC10</f>
        <v>0</v>
      </c>
      <c r="BE37" s="5">
        <f>'Main table'!BD7/100*'Main table'!BD10</f>
        <v>0.77</v>
      </c>
      <c r="BF37" s="5">
        <f>'Main table'!BE7/100*'Main table'!BE10</f>
        <v>0.77</v>
      </c>
      <c r="BG37" s="5">
        <f>'Main table'!BF7/100*'Main table'!BF10</f>
        <v>0.77</v>
      </c>
      <c r="BH37" s="5">
        <f>'Main table'!BG7/100*'Main table'!BG10</f>
        <v>0</v>
      </c>
      <c r="BI37" s="5">
        <f>'Main table'!BH7/100*'Main table'!BH10</f>
        <v>0</v>
      </c>
      <c r="BJ37" s="5">
        <f>'Main table'!BI7/100*'Main table'!BI10</f>
        <v>0</v>
      </c>
      <c r="BK37" s="5">
        <f>'Main table'!BJ7/100*'Main table'!BJ10</f>
        <v>0</v>
      </c>
      <c r="BL37" s="5">
        <f>'Main table'!BK7/100*'Main table'!BK10</f>
        <v>0</v>
      </c>
      <c r="BM37" s="5">
        <f>'Main table'!BL7/100*'Main table'!BL10</f>
        <v>0</v>
      </c>
      <c r="BN37" s="5">
        <f>'Main table'!BM7/100*'Main table'!BM10</f>
        <v>0</v>
      </c>
      <c r="BO37" s="5">
        <f>'Main table'!BN7/100*'Main table'!BN10</f>
        <v>10.762499999999999</v>
      </c>
      <c r="BP37" s="5">
        <f>'Main table'!BO7/100*'Main table'!BO10</f>
        <v>7.0699999999999994</v>
      </c>
      <c r="BQ37" s="5">
        <f>'Main table'!BP7/100*'Main table'!BP10</f>
        <v>10.5</v>
      </c>
      <c r="BR37" s="5">
        <f>'Main table'!BQ7/100*'Main table'!BQ10</f>
        <v>0.94540000000000002</v>
      </c>
      <c r="BS37" s="5">
        <f>'Main table'!BR7/100*'Main table'!BR10</f>
        <v>37.765000000000001</v>
      </c>
      <c r="BT37" s="5">
        <f>'Main table'!BS7/100*'Main table'!BS10</f>
        <v>0</v>
      </c>
      <c r="BU37" s="5">
        <f>'Main table'!BT7/100*'Main table'!BT10</f>
        <v>0</v>
      </c>
    </row>
    <row r="38" spans="1:73" x14ac:dyDescent="0.3">
      <c r="A38" t="s">
        <v>246</v>
      </c>
      <c r="B38" t="s">
        <v>265</v>
      </c>
      <c r="C38">
        <v>-1.1000000000000001</v>
      </c>
      <c r="D38" s="5">
        <f>'Main table'!C7/100*'Main table'!C10</f>
        <v>2.2360000000000002</v>
      </c>
      <c r="E38" s="5">
        <f>'Main table'!D7/100*'Main table'!D10</f>
        <v>2.58</v>
      </c>
      <c r="F38" s="5">
        <f>'Main table'!E7/100*'Main table'!E10</f>
        <v>1.8920000000000001</v>
      </c>
      <c r="G38" s="5">
        <f>'Main table'!F7/100*'Main table'!F10</f>
        <v>4.4720000000000004</v>
      </c>
      <c r="H38" s="5">
        <f>'Main table'!G7/100*'Main table'!G10</f>
        <v>11.954000000000001</v>
      </c>
      <c r="I38" s="5">
        <f>'Main table'!H7/100*'Main table'!H10</f>
        <v>2.15</v>
      </c>
      <c r="J38" s="5">
        <f>'Main table'!I7/100*'Main table'!I10</f>
        <v>2.3220000000000001</v>
      </c>
      <c r="K38" s="5">
        <f>'Main table'!J7/100*'Main table'!J10</f>
        <v>0</v>
      </c>
      <c r="L38" s="5">
        <f>'Main table'!K7/100*'Main table'!K10</f>
        <v>0.34800000000000003</v>
      </c>
      <c r="M38" s="5">
        <f>'Main table'!L7/100*'Main table'!L10</f>
        <v>5.16</v>
      </c>
      <c r="N38" s="5">
        <f>'Main table'!M7/100*'Main table'!M10</f>
        <v>7.8259999999999996</v>
      </c>
      <c r="O38" s="5">
        <f>'Main table'!N7/100*'Main table'!N10</f>
        <v>13.846000000000002</v>
      </c>
      <c r="P38" s="5">
        <f>'Main table'!O7/100*'Main table'!O10</f>
        <v>0</v>
      </c>
      <c r="Q38" s="5">
        <f>'Main table'!P7/100*'Main table'!P10</f>
        <v>0</v>
      </c>
      <c r="R38" s="5">
        <f>'Main table'!Q7/100*'Main table'!Q10</f>
        <v>0</v>
      </c>
      <c r="S38" s="5">
        <f>'Main table'!R7/100*'Main table'!R10</f>
        <v>0</v>
      </c>
      <c r="T38" s="5">
        <f>'Main table'!S7/100*'Main table'!S10</f>
        <v>0</v>
      </c>
      <c r="U38" s="5">
        <f>'Main table'!T7/100*'Main table'!T10</f>
        <v>12.520799999999999</v>
      </c>
      <c r="V38" s="5">
        <f>'Main table'!U7/100*'Main table'!U10</f>
        <v>24.831</v>
      </c>
      <c r="W38" s="5">
        <f>'Main table'!V7/100*'Main table'!V10</f>
        <v>5.8893000000000004</v>
      </c>
      <c r="X38" s="5">
        <f>'Main table'!W7/100*'Main table'!W10</f>
        <v>0</v>
      </c>
      <c r="Y38" s="5">
        <f>'Main table'!X7/100*'Main table'!X10</f>
        <v>6.9761999999999995</v>
      </c>
      <c r="Z38" s="5">
        <f>'Main table'!Y7/100*'Main table'!Y10</f>
        <v>9.048</v>
      </c>
      <c r="AA38" s="5">
        <f>'Main table'!Z7/100*'Main table'!Z10</f>
        <v>0.65659999999999996</v>
      </c>
      <c r="AB38" s="5">
        <f>'Main table'!AA7/100*'Main table'!AA10</f>
        <v>1.08</v>
      </c>
      <c r="AC38" s="5">
        <f>'Main table'!AB7/100*'Main table'!AB10</f>
        <v>7.3289000000000009</v>
      </c>
      <c r="AD38" s="5">
        <f>'Main table'!AC7/100*'Main table'!AC10</f>
        <v>9.9423999999999992</v>
      </c>
      <c r="AE38" s="5">
        <f>'Main table'!AD7/100*'Main table'!AD10</f>
        <v>6.9761999999999995</v>
      </c>
      <c r="AF38" s="5">
        <f>'Main table'!AE7/100*'Main table'!AE10</f>
        <v>7.0310000000000006</v>
      </c>
      <c r="AG38" s="5">
        <f>'Main table'!AF7/100*'Main table'!AF10</f>
        <v>0</v>
      </c>
      <c r="AH38" s="5">
        <f>'Main table'!AG7/100*'Main table'!AG10</f>
        <v>0</v>
      </c>
      <c r="AI38" s="5">
        <f>'Main table'!AH7/100*'Main table'!AH10</f>
        <v>0</v>
      </c>
      <c r="AJ38" s="5">
        <f>'Main table'!AI7/100*'Main table'!AI10</f>
        <v>0</v>
      </c>
      <c r="AK38" s="5">
        <f>'Main table'!AJ7/100*'Main table'!AJ10</f>
        <v>0</v>
      </c>
      <c r="AL38" s="5">
        <f>'Main table'!AK7/100*'Main table'!AK10</f>
        <v>7.5700000000000003E-2</v>
      </c>
      <c r="AM38" s="5">
        <f>'Main table'!AL7/100*'Main table'!AL10</f>
        <v>0</v>
      </c>
      <c r="AN38" s="5">
        <f>'Main table'!AM7/100*'Main table'!AM10</f>
        <v>0</v>
      </c>
      <c r="AO38" s="5">
        <f>'Main table'!AN7/100*'Main table'!AN10</f>
        <v>0</v>
      </c>
      <c r="AP38" s="5">
        <f>'Main table'!AO7/100*'Main table'!AO10</f>
        <v>0</v>
      </c>
      <c r="AQ38" s="5">
        <f>'Main table'!AP7/100*'Main table'!AP10</f>
        <v>0</v>
      </c>
      <c r="AR38" s="5">
        <f>'Main table'!AQ7/100*'Main table'!AQ10</f>
        <v>0</v>
      </c>
      <c r="AS38" s="5">
        <f>'Main table'!AR7/100*'Main table'!AR10</f>
        <v>0</v>
      </c>
      <c r="AT38" s="5">
        <f>'Main table'!AS7/100*'Main table'!AS10</f>
        <v>0</v>
      </c>
      <c r="AU38" s="5">
        <f>'Main table'!AT7/100*'Main table'!AT10</f>
        <v>0</v>
      </c>
      <c r="AV38" s="5">
        <f>'Main table'!AU7/100*'Main table'!AU10</f>
        <v>0.51500000000000001</v>
      </c>
      <c r="AW38" s="5">
        <f>'Main table'!AV7/100*'Main table'!AV10</f>
        <v>9.1910000000000007</v>
      </c>
      <c r="AX38" s="5">
        <f>'Main table'!AW7/100*'Main table'!AW10</f>
        <v>15.651999999999999</v>
      </c>
      <c r="AY38" s="5">
        <f>'Main table'!AX7/100*'Main table'!AX10</f>
        <v>5.3319999999999999</v>
      </c>
      <c r="AZ38" s="5">
        <f>'Main table'!AY7/100*'Main table'!AY10</f>
        <v>0</v>
      </c>
      <c r="BA38" s="5">
        <f>'Main table'!AZ7/100*'Main table'!AZ10</f>
        <v>0</v>
      </c>
      <c r="BB38" s="5">
        <f>'Main table'!BA7/100*'Main table'!BA10</f>
        <v>0</v>
      </c>
      <c r="BC38" s="5">
        <f>'Main table'!BB7/100*'Main table'!BB10</f>
        <v>0</v>
      </c>
      <c r="BD38" s="5">
        <f>'Main table'!BC7/100*'Main table'!BC10</f>
        <v>0</v>
      </c>
      <c r="BE38" s="5">
        <f>'Main table'!BD7/100*'Main table'!BD10</f>
        <v>0.77</v>
      </c>
      <c r="BF38" s="5">
        <f>'Main table'!BE7/100*'Main table'!BE10</f>
        <v>0.77</v>
      </c>
      <c r="BG38" s="5">
        <f>'Main table'!BF7/100*'Main table'!BF10</f>
        <v>0.77</v>
      </c>
      <c r="BH38" s="5">
        <f>'Main table'!BG7/100*'Main table'!BG10</f>
        <v>0</v>
      </c>
      <c r="BI38" s="5">
        <f>'Main table'!BH7/100*'Main table'!BH10</f>
        <v>0</v>
      </c>
      <c r="BJ38" s="5">
        <f>'Main table'!BI7/100*'Main table'!BI10</f>
        <v>0</v>
      </c>
      <c r="BK38" s="5">
        <f>'Main table'!BJ7/100*'Main table'!BJ10</f>
        <v>0</v>
      </c>
      <c r="BL38" s="5">
        <f>'Main table'!BK7/100*'Main table'!BK10</f>
        <v>0</v>
      </c>
      <c r="BM38" s="5">
        <f>'Main table'!BL7/100*'Main table'!BL10</f>
        <v>0</v>
      </c>
      <c r="BN38" s="5">
        <f>'Main table'!BM7/100*'Main table'!BM10</f>
        <v>0</v>
      </c>
      <c r="BO38" s="5">
        <f>'Main table'!BN7/100*'Main table'!BN10</f>
        <v>10.762499999999999</v>
      </c>
      <c r="BP38" s="5">
        <f>'Main table'!BO7/100*'Main table'!BO10</f>
        <v>7.0699999999999994</v>
      </c>
      <c r="BQ38" s="5">
        <f>'Main table'!BP7/100*'Main table'!BP10</f>
        <v>10.5</v>
      </c>
      <c r="BR38" s="5">
        <f>'Main table'!BQ7/100*'Main table'!BQ10</f>
        <v>0.94540000000000002</v>
      </c>
      <c r="BS38" s="5">
        <f>'Main table'!BR7/100*'Main table'!BR10</f>
        <v>37.765000000000001</v>
      </c>
      <c r="BT38" s="5">
        <f>'Main table'!BS7/100*'Main table'!BS10</f>
        <v>0</v>
      </c>
      <c r="BU38" s="5">
        <f>'Main table'!BT7/100*'Main table'!BT10</f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T4"/>
  <sheetViews>
    <sheetView workbookViewId="0">
      <selection activeCell="G8" sqref="G8"/>
    </sheetView>
  </sheetViews>
  <sheetFormatPr defaultRowHeight="14.4" x14ac:dyDescent="0.3"/>
  <sheetData>
    <row r="1" spans="1:72" x14ac:dyDescent="0.3">
      <c r="A1" t="s">
        <v>237</v>
      </c>
      <c r="B1" t="s">
        <v>131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15</v>
      </c>
      <c r="AZ1" t="s">
        <v>16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3">
      <c r="A2" t="s">
        <v>133</v>
      </c>
      <c r="B2" t="s">
        <v>134</v>
      </c>
      <c r="C2">
        <f>'Main table'!C7</f>
        <v>86</v>
      </c>
      <c r="D2">
        <f>'Main table'!D7</f>
        <v>86</v>
      </c>
      <c r="E2">
        <f>'Main table'!E7</f>
        <v>86</v>
      </c>
      <c r="F2">
        <f>'Main table'!F7</f>
        <v>86</v>
      </c>
      <c r="G2">
        <f>'Main table'!G7</f>
        <v>86</v>
      </c>
      <c r="H2">
        <f>'Main table'!H7</f>
        <v>86</v>
      </c>
      <c r="I2">
        <f>'Main table'!I7</f>
        <v>86</v>
      </c>
      <c r="J2">
        <f>'Main table'!J7</f>
        <v>0</v>
      </c>
      <c r="K2">
        <f>'Main table'!K7</f>
        <v>87</v>
      </c>
      <c r="L2">
        <f>'Main table'!L7</f>
        <v>86</v>
      </c>
      <c r="M2">
        <f>'Main table'!M7</f>
        <v>86</v>
      </c>
      <c r="N2">
        <f>'Main table'!N7</f>
        <v>86</v>
      </c>
      <c r="O2">
        <f>'Main table'!O7</f>
        <v>100</v>
      </c>
      <c r="P2">
        <f>'Main table'!P7</f>
        <v>100</v>
      </c>
      <c r="Q2">
        <f>'Main table'!Q7</f>
        <v>100</v>
      </c>
      <c r="R2">
        <f>'Main table'!R7</f>
        <v>0</v>
      </c>
      <c r="S2">
        <f>'Main table'!S7</f>
        <v>100</v>
      </c>
      <c r="T2">
        <f>'Main table'!T7</f>
        <v>88.8</v>
      </c>
      <c r="U2">
        <f>'Main table'!U7</f>
        <v>89</v>
      </c>
      <c r="V2">
        <f>'Main table'!V7</f>
        <v>87.9</v>
      </c>
      <c r="W2">
        <f>'Main table'!W7</f>
        <v>0</v>
      </c>
      <c r="X2">
        <f>'Main table'!X7</f>
        <v>90.6</v>
      </c>
      <c r="Y2">
        <f>'Main table'!Y7</f>
        <v>87</v>
      </c>
      <c r="Z2">
        <f>'Main table'!Z7</f>
        <v>93.8</v>
      </c>
      <c r="AA2">
        <f>'Main table'!AA7</f>
        <v>90</v>
      </c>
      <c r="AB2">
        <f>'Main table'!AB7</f>
        <v>88.3</v>
      </c>
      <c r="AC2">
        <f>'Main table'!AC7</f>
        <v>95.6</v>
      </c>
      <c r="AD2">
        <f>'Main table'!AD7</f>
        <v>90.6</v>
      </c>
      <c r="AE2">
        <f>'Main table'!AE7</f>
        <v>89</v>
      </c>
      <c r="AF2">
        <f>'Main table'!AF7</f>
        <v>0</v>
      </c>
      <c r="AG2">
        <f>'Main table'!AG7</f>
        <v>0</v>
      </c>
      <c r="AH2">
        <f>'Main table'!AH7</f>
        <v>0</v>
      </c>
      <c r="AI2">
        <f>'Main table'!AI7</f>
        <v>0</v>
      </c>
      <c r="AJ2">
        <f>'Main table'!AJ7</f>
        <v>0</v>
      </c>
      <c r="AK2">
        <f>'Main table'!AK7</f>
        <v>75.7</v>
      </c>
      <c r="AL2">
        <f>'Main table'!AL7</f>
        <v>94.8</v>
      </c>
      <c r="AM2">
        <f>'Main table'!AM7</f>
        <v>96</v>
      </c>
      <c r="AN2">
        <f>'Main table'!AN7</f>
        <v>97</v>
      </c>
      <c r="AO2">
        <f>'Main table'!AO7</f>
        <v>97</v>
      </c>
      <c r="AP2">
        <f>'Main table'!AP7</f>
        <v>0</v>
      </c>
      <c r="AQ2">
        <f>'Main table'!AQ7</f>
        <v>0</v>
      </c>
      <c r="AR2">
        <f>'Main table'!AR7</f>
        <v>25</v>
      </c>
      <c r="AS2">
        <f>'Main table'!AS7</f>
        <v>64</v>
      </c>
      <c r="AT2">
        <f>'Main table'!AT7</f>
        <v>13</v>
      </c>
      <c r="AU2">
        <f>'Main table'!AU7</f>
        <v>20.6</v>
      </c>
      <c r="AV2">
        <f>'Main table'!AV7</f>
        <v>91</v>
      </c>
      <c r="AW2">
        <f>'Main table'!AW7</f>
        <v>91</v>
      </c>
      <c r="AX2">
        <f>'Main table'!AX7</f>
        <v>86</v>
      </c>
      <c r="AY2">
        <f>'Main table'!AY7</f>
        <v>0</v>
      </c>
      <c r="AZ2">
        <f>'Main table'!AZ7</f>
        <v>0</v>
      </c>
      <c r="BA2">
        <f>'Main table'!BA7</f>
        <v>0</v>
      </c>
      <c r="BB2">
        <f>'Main table'!BB7</f>
        <v>7.3</v>
      </c>
      <c r="BC2">
        <f>'Main table'!BC7</f>
        <v>7.3</v>
      </c>
      <c r="BD2">
        <f>'Main table'!BD7</f>
        <v>14</v>
      </c>
      <c r="BE2">
        <f>'Main table'!BE7</f>
        <v>14</v>
      </c>
      <c r="BF2">
        <f>'Main table'!BF7</f>
        <v>14</v>
      </c>
      <c r="BG2">
        <f>'Main table'!BG7</f>
        <v>0</v>
      </c>
      <c r="BH2">
        <f>'Main table'!BH7</f>
        <v>0</v>
      </c>
      <c r="BI2">
        <f>'Main table'!BI7</f>
        <v>0</v>
      </c>
      <c r="BJ2">
        <f>'Main table'!BJ7</f>
        <v>100</v>
      </c>
      <c r="BK2">
        <f>'Main table'!BK7</f>
        <v>23.849999999999994</v>
      </c>
      <c r="BL2">
        <f>'Main table'!BL7</f>
        <v>0</v>
      </c>
      <c r="BM2">
        <f>'Main table'!BM7</f>
        <v>0</v>
      </c>
      <c r="BN2">
        <f>'Main table'!BN7</f>
        <v>35</v>
      </c>
      <c r="BO2">
        <f>'Main table'!BO7</f>
        <v>35</v>
      </c>
      <c r="BP2">
        <f>'Main table'!BP7</f>
        <v>35</v>
      </c>
      <c r="BQ2">
        <f>'Main table'!BQ7</f>
        <v>16.3</v>
      </c>
      <c r="BR2">
        <f>'Main table'!BR7</f>
        <v>91</v>
      </c>
      <c r="BS2">
        <f>'Main table'!BS7</f>
        <v>13</v>
      </c>
      <c r="BT2">
        <f>'Main table'!BT7</f>
        <v>13</v>
      </c>
    </row>
    <row r="3" spans="1:72" x14ac:dyDescent="0.3">
      <c r="A3" t="s">
        <v>337</v>
      </c>
      <c r="B3" t="s">
        <v>339</v>
      </c>
      <c r="C3">
        <f>'Main table'!C9</f>
        <v>12.6</v>
      </c>
      <c r="D3">
        <f>'Main table'!D9</f>
        <v>16.3</v>
      </c>
      <c r="E3">
        <f>'Main table'!E9</f>
        <v>10.3</v>
      </c>
      <c r="F3">
        <f>'Main table'!F9</f>
        <v>11.8</v>
      </c>
      <c r="G3">
        <f>'Main table'!G9</f>
        <v>11</v>
      </c>
      <c r="H3">
        <f>'Main table'!H9</f>
        <v>9.4</v>
      </c>
      <c r="I3">
        <f>'Main table'!I9</f>
        <v>11.7</v>
      </c>
      <c r="J3">
        <f>'Main table'!J9</f>
        <v>0</v>
      </c>
      <c r="K3">
        <f>'Main table'!K9</f>
        <v>10.4</v>
      </c>
      <c r="L3">
        <f>'Main table'!L9</f>
        <v>23.9</v>
      </c>
      <c r="M3">
        <f>'Main table'!M9</f>
        <v>29</v>
      </c>
      <c r="N3">
        <f>'Main table'!N9</f>
        <v>33.700000000000003</v>
      </c>
      <c r="O3">
        <f>'Main table'!O9</f>
        <v>0</v>
      </c>
      <c r="P3">
        <f>'Main table'!P9</f>
        <v>0</v>
      </c>
      <c r="Q3">
        <f>'Main table'!Q9</f>
        <v>0</v>
      </c>
      <c r="R3">
        <f>'Main table'!R9</f>
        <v>0</v>
      </c>
      <c r="S3">
        <f>'Main table'!S9</f>
        <v>0</v>
      </c>
      <c r="T3">
        <f>'Main table'!T9</f>
        <v>38.299999999999997</v>
      </c>
      <c r="U3">
        <f>'Main table'!U9</f>
        <v>32.4</v>
      </c>
      <c r="V3">
        <f>'Main table'!V9</f>
        <v>51.8</v>
      </c>
      <c r="W3">
        <f>'Main table'!W9</f>
        <v>0</v>
      </c>
      <c r="X3">
        <f>'Main table'!X9</f>
        <v>37.299999999999997</v>
      </c>
      <c r="Y3">
        <f>'Main table'!Y9</f>
        <v>17.3</v>
      </c>
      <c r="Z3">
        <f>'Main table'!Z9</f>
        <v>85.5</v>
      </c>
      <c r="AA3">
        <f>'Main table'!AA9</f>
        <v>67.2</v>
      </c>
      <c r="AB3">
        <f>'Main table'!AB9</f>
        <v>21.7</v>
      </c>
      <c r="AC3">
        <f>'Main table'!AC9</f>
        <v>25.6</v>
      </c>
      <c r="AD3">
        <f>'Main table'!AD9</f>
        <v>37.299999999999997</v>
      </c>
      <c r="AE3">
        <f>'Main table'!AE9</f>
        <v>29.5</v>
      </c>
      <c r="AF3">
        <f>'Main table'!AF9</f>
        <v>0</v>
      </c>
      <c r="AG3">
        <f>'Main table'!AG9</f>
        <v>0</v>
      </c>
      <c r="AH3">
        <f>'Main table'!AH9</f>
        <v>0</v>
      </c>
      <c r="AI3">
        <f>'Main table'!AI9</f>
        <v>0</v>
      </c>
      <c r="AJ3">
        <f>'Main table'!AJ9</f>
        <v>0</v>
      </c>
      <c r="AK3">
        <f>'Main table'!AK9</f>
        <v>14.3</v>
      </c>
      <c r="AL3">
        <f>'Main table'!AL9</f>
        <v>35.799999999999997</v>
      </c>
      <c r="AM3">
        <f>'Main table'!AM9</f>
        <v>25.4</v>
      </c>
      <c r="AN3">
        <f>'Main table'!AN9</f>
        <v>12.5</v>
      </c>
      <c r="AO3">
        <f>'Main table'!AO9</f>
        <v>12.5</v>
      </c>
      <c r="AP3">
        <f>'Main table'!AP9</f>
        <v>0</v>
      </c>
      <c r="AQ3">
        <f>'Main table'!AQ9</f>
        <v>0</v>
      </c>
      <c r="AR3">
        <f>'Main table'!AR9</f>
        <v>25.4</v>
      </c>
      <c r="AS3">
        <f>'Main table'!AS9</f>
        <v>38</v>
      </c>
      <c r="AT3">
        <f>'Main table'!AT9</f>
        <v>25.4</v>
      </c>
      <c r="AU3">
        <f>'Main table'!AU9</f>
        <v>10.8</v>
      </c>
      <c r="AV3">
        <f>'Main table'!AV9</f>
        <v>20.9</v>
      </c>
      <c r="AW3">
        <f>'Main table'!AW9</f>
        <v>16.600000000000001</v>
      </c>
      <c r="AX3">
        <f>'Main table'!AX9</f>
        <v>39.6</v>
      </c>
      <c r="AY3">
        <f>'Main table'!AY9</f>
        <v>0</v>
      </c>
      <c r="AZ3">
        <f>'Main table'!AZ9</f>
        <v>0</v>
      </c>
      <c r="BA3">
        <f>'Main table'!BA9</f>
        <v>0</v>
      </c>
      <c r="BB3">
        <f>'Main table'!BB9</f>
        <v>16.7</v>
      </c>
      <c r="BC3">
        <f>'Main table'!BC9</f>
        <v>16.7</v>
      </c>
      <c r="BD3">
        <f>'Main table'!BD9</f>
        <v>1.5</v>
      </c>
      <c r="BE3">
        <f>'Main table'!BE9</f>
        <v>1.5</v>
      </c>
      <c r="BF3">
        <f>'Main table'!BF9</f>
        <v>1.5</v>
      </c>
      <c r="BG3">
        <f>'Main table'!BG9</f>
        <v>0</v>
      </c>
      <c r="BH3">
        <f>'Main table'!BH9</f>
        <v>0</v>
      </c>
      <c r="BI3">
        <f>'Main table'!BI9</f>
        <v>0</v>
      </c>
      <c r="BJ3">
        <f>'Main table'!BJ9</f>
        <v>0</v>
      </c>
      <c r="BK3">
        <f>'Main table'!BK9</f>
        <v>52.662473794549278</v>
      </c>
      <c r="BL3">
        <f>'Main table'!BL9</f>
        <v>0</v>
      </c>
      <c r="BM3">
        <f>'Main table'!BM9</f>
        <v>0</v>
      </c>
      <c r="BN3">
        <f>'Main table'!BN9</f>
        <v>15.05</v>
      </c>
      <c r="BO3">
        <f>'Main table'!BO9</f>
        <v>6.9</v>
      </c>
      <c r="BP3">
        <f>'Main table'!BP9</f>
        <v>16.125</v>
      </c>
      <c r="BQ3">
        <f>'Main table'!BQ9</f>
        <v>6.7</v>
      </c>
      <c r="BR3">
        <f>'Main table'!BR9</f>
        <v>4.2</v>
      </c>
      <c r="BS3">
        <f>'Main table'!BS9</f>
        <v>25.4</v>
      </c>
      <c r="BT3">
        <f>'Main table'!BT9</f>
        <v>25.4</v>
      </c>
    </row>
    <row r="4" spans="1:72" x14ac:dyDescent="0.3">
      <c r="A4" t="s">
        <v>338</v>
      </c>
      <c r="B4" t="s">
        <v>146</v>
      </c>
      <c r="C4">
        <f>'Main table'!C18</f>
        <v>18.2</v>
      </c>
      <c r="D4">
        <f>'Main table'!D18</f>
        <v>18.5</v>
      </c>
      <c r="E4">
        <f>'Main table'!E18</f>
        <v>18</v>
      </c>
      <c r="F4">
        <f>'Main table'!F18</f>
        <v>18.399999999999999</v>
      </c>
      <c r="G4">
        <f>'Main table'!G18</f>
        <v>19.5</v>
      </c>
      <c r="H4">
        <f>'Main table'!H18</f>
        <v>18.7</v>
      </c>
      <c r="I4">
        <f>'Main table'!I18</f>
        <v>18.100000000000001</v>
      </c>
      <c r="J4">
        <f>'Main table'!J18</f>
        <v>0</v>
      </c>
      <c r="K4">
        <f>'Main table'!K18</f>
        <v>18</v>
      </c>
      <c r="L4">
        <f>'Main table'!L18</f>
        <v>18.3</v>
      </c>
      <c r="M4">
        <f>'Main table'!M18</f>
        <v>18.7</v>
      </c>
      <c r="N4">
        <f>'Main table'!N18</f>
        <v>20.3</v>
      </c>
      <c r="O4">
        <f>'Main table'!O18</f>
        <v>39.299999999999997</v>
      </c>
      <c r="P4">
        <f>'Main table'!P18</f>
        <v>39.299999999999997</v>
      </c>
      <c r="Q4">
        <f>'Main table'!Q18</f>
        <v>39.299999999999997</v>
      </c>
      <c r="R4">
        <f>'Main table'!R18</f>
        <v>0</v>
      </c>
      <c r="S4">
        <f>'Main table'!S18</f>
        <v>39.299999999999997</v>
      </c>
      <c r="T4">
        <f>'Main table'!T18</f>
        <v>19.399999999999999</v>
      </c>
      <c r="U4">
        <f>'Main table'!U18</f>
        <v>19.399999999999999</v>
      </c>
      <c r="V4">
        <f>'Main table'!V18</f>
        <v>19.7</v>
      </c>
      <c r="W4">
        <f>'Main table'!W18</f>
        <v>0</v>
      </c>
      <c r="X4">
        <f>'Main table'!X18</f>
        <v>20.5</v>
      </c>
      <c r="Y4">
        <f>'Main table'!Y18</f>
        <v>18.899999999999999</v>
      </c>
      <c r="Z4">
        <f>'Main table'!Z18</f>
        <v>22.8</v>
      </c>
      <c r="AA4">
        <f>'Main table'!AA18</f>
        <v>23.1</v>
      </c>
      <c r="AB4">
        <f>'Main table'!AB18</f>
        <v>18.8</v>
      </c>
      <c r="AC4">
        <f>'Main table'!AC18</f>
        <v>20.7</v>
      </c>
      <c r="AD4">
        <f>'Main table'!AD18</f>
        <v>20.5</v>
      </c>
      <c r="AE4">
        <f>'Main table'!AE18</f>
        <v>21.4</v>
      </c>
      <c r="AF4">
        <f>'Main table'!AF18</f>
        <v>0</v>
      </c>
      <c r="AG4">
        <f>'Main table'!AG18</f>
        <v>0</v>
      </c>
      <c r="AH4">
        <f>'Main table'!AH18</f>
        <v>0</v>
      </c>
      <c r="AI4">
        <f>'Main table'!AI18</f>
        <v>0</v>
      </c>
      <c r="AJ4">
        <f>'Main table'!AJ18</f>
        <v>0</v>
      </c>
      <c r="AK4">
        <f>'Main table'!AK18</f>
        <v>15.5</v>
      </c>
      <c r="AL4">
        <f>'Main table'!AL18</f>
        <v>18.3</v>
      </c>
      <c r="AM4">
        <f>'Main table'!AM18</f>
        <v>23.2</v>
      </c>
      <c r="AN4">
        <f>'Main table'!AN18</f>
        <v>16.100000000000001</v>
      </c>
      <c r="AO4">
        <f>'Main table'!AO18</f>
        <v>16.100000000000001</v>
      </c>
      <c r="AP4">
        <f>'Main table'!AP18</f>
        <v>0</v>
      </c>
      <c r="AQ4">
        <f>'Main table'!AQ18</f>
        <v>0</v>
      </c>
      <c r="AR4">
        <f>'Main table'!AR18</f>
        <v>23.2</v>
      </c>
      <c r="AS4">
        <f>'Main table'!AS18</f>
        <v>27</v>
      </c>
      <c r="AT4">
        <f>'Main table'!AT18</f>
        <v>23.2</v>
      </c>
      <c r="AU4">
        <f>'Main table'!AU18</f>
        <v>16.8</v>
      </c>
      <c r="AV4">
        <f>'Main table'!AV18</f>
        <v>28.8</v>
      </c>
      <c r="AW4">
        <f>'Main table'!AW18</f>
        <v>28.7</v>
      </c>
      <c r="AX4">
        <f>'Main table'!AX18</f>
        <v>23.6</v>
      </c>
      <c r="AY4">
        <f>'Main table'!AY18</f>
        <v>0</v>
      </c>
      <c r="AZ4">
        <f>'Main table'!AZ18</f>
        <v>0</v>
      </c>
      <c r="BA4">
        <f>'Main table'!BA18</f>
        <v>0</v>
      </c>
      <c r="BB4">
        <f>'Main table'!BB18</f>
        <v>18.2</v>
      </c>
      <c r="BC4">
        <f>'Main table'!BC18</f>
        <v>18.2</v>
      </c>
      <c r="BD4">
        <f>'Main table'!BD18</f>
        <v>17.399999999999999</v>
      </c>
      <c r="BE4">
        <f>'Main table'!BE18</f>
        <v>17.399999999999999</v>
      </c>
      <c r="BF4">
        <f>'Main table'!BF18</f>
        <v>17.399999999999999</v>
      </c>
      <c r="BG4">
        <f>'Main table'!BG18</f>
        <v>0</v>
      </c>
      <c r="BH4">
        <f>'Main table'!BH18</f>
        <v>0</v>
      </c>
      <c r="BI4">
        <f>'Main table'!BI18</f>
        <v>0</v>
      </c>
      <c r="BJ4">
        <f>'Main table'!BJ18</f>
        <v>16.2</v>
      </c>
      <c r="BK4">
        <f>'Main table'!BK18</f>
        <v>25.115303983228518</v>
      </c>
      <c r="BL4">
        <f>'Main table'!BL18</f>
        <v>0</v>
      </c>
      <c r="BM4">
        <f>'Main table'!BM18</f>
        <v>0</v>
      </c>
      <c r="BN4">
        <f>'Main table'!BN18</f>
        <v>18.100000000000001</v>
      </c>
      <c r="BO4">
        <f>'Main table'!BO18</f>
        <v>18.8</v>
      </c>
      <c r="BP4">
        <f>'Main table'!BP18</f>
        <v>18.125</v>
      </c>
      <c r="BQ4">
        <f>'Main table'!BQ18</f>
        <v>16.7</v>
      </c>
      <c r="BR4">
        <f>'Main table'!BR18</f>
        <v>18.5</v>
      </c>
      <c r="BS4">
        <f>'Main table'!BS18</f>
        <v>23.2</v>
      </c>
      <c r="BT4">
        <f>'Main table'!BT18</f>
        <v>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Forage crops</vt:lpstr>
      <vt:lpstr>Main table</vt:lpstr>
      <vt:lpstr>Rapes&amp;Sun meals</vt:lpstr>
      <vt:lpstr>Losses</vt:lpstr>
      <vt:lpstr>Grass</vt:lpstr>
      <vt:lpstr>in.dry_matter.csv</vt:lpstr>
      <vt:lpstr>in.feed.csv</vt:lpstr>
      <vt:lpstr>in.feed_general.csv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Elin Röös</cp:lastModifiedBy>
  <dcterms:created xsi:type="dcterms:W3CDTF">2018-10-15T12:34:27Z</dcterms:created>
  <dcterms:modified xsi:type="dcterms:W3CDTF">2024-03-25T20:25:37Z</dcterms:modified>
</cp:coreProperties>
</file>