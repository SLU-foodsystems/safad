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filterPrivacy="1" updateLinks="never" codeName="ThisWorkbook"/>
  <xr:revisionPtr revIDLastSave="0" documentId="13_ncr:1_{5D412C08-9E42-074A-9AC2-88594267D44A}" xr6:coauthVersionLast="47" xr6:coauthVersionMax="47" xr10:uidLastSave="{00000000-0000-0000-0000-000000000000}"/>
  <bookViews>
    <workbookView xWindow="0" yWindow="680" windowWidth="19420" windowHeight="11500" activeTab="4" xr2:uid="{00000000-000D-0000-FFFF-FFFF00000000}"/>
  </bookViews>
  <sheets>
    <sheet name="README" sheetId="117" r:id="rId1"/>
    <sheet name="Diesel" sheetId="129" r:id="rId2"/>
    <sheet name="Argentina" sheetId="126" r:id="rId3"/>
    <sheet name="Sheet1" sheetId="130" r:id="rId4"/>
    <sheet name="Pesticides" sheetId="127" r:id="rId5"/>
    <sheet name="Pesticides sources" sheetId="128" r:id="rId6"/>
    <sheet name="Sweden" sheetId="125" r:id="rId7"/>
    <sheet name="Defaults" sheetId="124" r:id="rId8"/>
    <sheet name="Reference list" sheetId="122" r:id="rId9"/>
  </sheets>
  <definedNames>
    <definedName name="_xlnm._FilterDatabase" localSheetId="2" hidden="1">Argentina!$A$5:$O$118</definedName>
    <definedName name="_xlnm._FilterDatabase" localSheetId="7" hidden="1">Defaults!$A$5:$J$118</definedName>
    <definedName name="_xlnm._FilterDatabase" localSheetId="6" hidden="1">Sweden!$A$5:$O$118</definedName>
    <definedName name="CF_biog_CH4">#REF!</definedName>
    <definedName name="CF_fossil_CH4">#REF!</definedName>
    <definedName name="CF_HCFC">#REF!</definedName>
    <definedName name="CF_N2O">#REF!</definedName>
    <definedName name="CH4_bio_codes">#REF!</definedName>
    <definedName name="CH4_bio_data">#REF!</definedName>
    <definedName name="CH4_codes">#REF!</definedName>
    <definedName name="CH4_data">#REF!</definedName>
    <definedName name="CO2_codes">#REF!</definedName>
    <definedName name="CO2_data">#REF!</definedName>
    <definedName name="CO2e_codes">#REF!</definedName>
    <definedName name="CO2e_data">#REF!</definedName>
    <definedName name="country_codes" localSheetId="3">Sheet1!$A$1:$B$299</definedName>
    <definedName name="Crop_codes" localSheetId="2">Argentina!$A$6:$A$118</definedName>
    <definedName name="Crop_codes" localSheetId="7">Defaults!$A$6:$A$118</definedName>
    <definedName name="Crop_codes" localSheetId="6">Sweden!$A$6:$A$118</definedName>
    <definedName name="Crop_codes">#REF!</definedName>
    <definedName name="Crop_data" localSheetId="2">Argentina!$A$6:$J$118</definedName>
    <definedName name="Crop_data" localSheetId="7">Defaults!$A$6:$G$118</definedName>
    <definedName name="Crop_data" localSheetId="6">Sweden!$A$6:$J$118</definedName>
    <definedName name="Crop_data">#REF!</definedName>
    <definedName name="Crop_data_codes" localSheetId="2">Argentina!$A$6:$A$118</definedName>
    <definedName name="Crop_data_codes" localSheetId="7">Defaults!$A$6:$A$118</definedName>
    <definedName name="Crop_data_codes" localSheetId="6">Sweden!$A$6:$A$118</definedName>
    <definedName name="Crop_data_codes">#REF!</definedName>
    <definedName name="Crops">#REF!</definedName>
    <definedName name="EF_capital_goods_CH4">#REF!</definedName>
    <definedName name="EF_capital_goods_CO2">#REF!</definedName>
    <definedName name="EF_capital_goods_N2O">#REF!</definedName>
    <definedName name="EF_chips_CH4">#REF!</definedName>
    <definedName name="EF_chips_CO2">#REF!</definedName>
    <definedName name="EF_chips_N2O">#REF!</definedName>
    <definedName name="EF_diesel_CH4">#REF!</definedName>
    <definedName name="EF_diesel_CO2">#REF!</definedName>
    <definedName name="EF_diesel_N2O">#REF!</definedName>
    <definedName name="EF_district_heating_CH4">#REF!</definedName>
    <definedName name="EF_district_heating_CO2">#REF!</definedName>
    <definedName name="EF_district_heating_N2O">#REF!</definedName>
    <definedName name="EF_electricity_CH4">#REF!</definedName>
    <definedName name="EF_electricity_CO2">#REF!</definedName>
    <definedName name="EF_electricity_N2O">#REF!</definedName>
    <definedName name="EF_heating_oil_CH4">#REF!</definedName>
    <definedName name="EF_heating_oil_CO2">#REF!</definedName>
    <definedName name="EF_heating_oil_N2O">#REF!</definedName>
    <definedName name="EF_irrigation_CH4">#REF!</definedName>
    <definedName name="EF_irrigation_CO2">#REF!</definedName>
    <definedName name="EF_irrigation_N2O">#REF!</definedName>
    <definedName name="EF_min_fert_AN_CH4">#REF!</definedName>
    <definedName name="EF_min_fert_AN_CO2">#REF!</definedName>
    <definedName name="EF_min_fert_AN_N2O">#REF!</definedName>
    <definedName name="EF_min_fert_BAT_CH4">#REF!</definedName>
    <definedName name="EF_min_fert_BAT_CO2">#REF!</definedName>
    <definedName name="EF_min_fert_BAT_N2O">#REF!</definedName>
    <definedName name="EF_min_fert_CH4">#REF!</definedName>
    <definedName name="EF_min_fert_CO2">#REF!</definedName>
    <definedName name="EF_N2O_soils_crop_res">#REF!</definedName>
    <definedName name="EF_N2O_soils_indirect">#REF!</definedName>
    <definedName name="EF_N2O_soils_min_fert">#REF!</definedName>
    <definedName name="EF_natural_gas_CH4">#REF!</definedName>
    <definedName name="EF_natural_gas_CO2">#REF!</definedName>
    <definedName name="EF_natural_gas_N2O">#REF!</definedName>
    <definedName name="EF_NH3">#REF!</definedName>
    <definedName name="EF_other_fossil_CH4">#REF!</definedName>
    <definedName name="EF_other_fossil_CO2">#REF!</definedName>
    <definedName name="EF_other_fossil_N2O">#REF!</definedName>
    <definedName name="EF_other_renew_CH4">#REF!</definedName>
    <definedName name="EF_other_renew_CO2">#REF!</definedName>
    <definedName name="EF_other_renew_N2O">#REF!</definedName>
    <definedName name="EF_pellets_CH4">#REF!</definedName>
    <definedName name="EF_pellets_CO2">#REF!</definedName>
    <definedName name="EF_pellets_N2O">#REF!</definedName>
    <definedName name="Frac_AN">#REF!</definedName>
    <definedName name="Frac_BAT">#REF!</definedName>
    <definedName name="Heating_value_diesel">#REF!</definedName>
    <definedName name="Heating_value_oil">#REF!</definedName>
    <definedName name="N_to_NH3">#REF!</definedName>
    <definedName name="N2O_codes">#REF!</definedName>
    <definedName name="N2O_data">#REF!</definedName>
    <definedName name="No_species">#REF!</definedName>
    <definedName name="Post_harvest_energy_categories">#REF!</definedName>
    <definedName name="Post_harvest_energy_data">#REF!</definedName>
    <definedName name="Soil_carbon_categories">#REF!</definedName>
    <definedName name="Soil_carbon_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29" l="1"/>
  <c r="B118" i="129"/>
  <c r="A118" i="129"/>
  <c r="C117" i="129"/>
  <c r="B117" i="129"/>
  <c r="A117" i="129"/>
  <c r="C116" i="129"/>
  <c r="B116" i="129"/>
  <c r="A116" i="129"/>
  <c r="C115" i="129"/>
  <c r="B115" i="129"/>
  <c r="A115" i="129"/>
  <c r="C114" i="129"/>
  <c r="B114" i="129"/>
  <c r="A114" i="129"/>
  <c r="C113" i="129"/>
  <c r="B113" i="129"/>
  <c r="A113" i="129"/>
  <c r="C112" i="129"/>
  <c r="B112" i="129"/>
  <c r="A112" i="129"/>
  <c r="C111" i="129"/>
  <c r="B111" i="129"/>
  <c r="A111" i="129"/>
  <c r="C110" i="129"/>
  <c r="B110" i="129"/>
  <c r="A110" i="129"/>
  <c r="C109" i="129"/>
  <c r="B109" i="129"/>
  <c r="A109" i="129"/>
  <c r="C108" i="129"/>
  <c r="B108" i="129"/>
  <c r="A108" i="129"/>
  <c r="C107" i="129"/>
  <c r="B107" i="129"/>
  <c r="A107" i="129"/>
  <c r="C106" i="129"/>
  <c r="B106" i="129"/>
  <c r="A106" i="129"/>
  <c r="C105" i="129"/>
  <c r="B105" i="129"/>
  <c r="A105" i="129"/>
  <c r="C104" i="129"/>
  <c r="B104" i="129"/>
  <c r="A104" i="129"/>
  <c r="C103" i="129"/>
  <c r="B103" i="129"/>
  <c r="A103" i="129"/>
  <c r="C102" i="129"/>
  <c r="B102" i="129"/>
  <c r="A102" i="129"/>
  <c r="C101" i="129"/>
  <c r="B101" i="129"/>
  <c r="A101" i="129"/>
  <c r="C100" i="129"/>
  <c r="B100" i="129"/>
  <c r="A100" i="129"/>
  <c r="C99" i="129"/>
  <c r="B99" i="129"/>
  <c r="A99" i="129"/>
  <c r="C98" i="129"/>
  <c r="B98" i="129"/>
  <c r="A98" i="129"/>
  <c r="C97" i="129"/>
  <c r="B97" i="129"/>
  <c r="A97" i="129"/>
  <c r="C96" i="129"/>
  <c r="B96" i="129"/>
  <c r="A96" i="129"/>
  <c r="C95" i="129"/>
  <c r="B95" i="129"/>
  <c r="A95" i="129"/>
  <c r="C94" i="129"/>
  <c r="B94" i="129"/>
  <c r="A94" i="129"/>
  <c r="C93" i="129"/>
  <c r="B93" i="129"/>
  <c r="A93" i="129"/>
  <c r="C92" i="129"/>
  <c r="B92" i="129"/>
  <c r="A92" i="129"/>
  <c r="C91" i="129"/>
  <c r="B91" i="129"/>
  <c r="A91" i="129"/>
  <c r="C90" i="129"/>
  <c r="B90" i="129"/>
  <c r="A90" i="129"/>
  <c r="C89" i="129"/>
  <c r="B89" i="129"/>
  <c r="A89" i="129"/>
  <c r="C88" i="129"/>
  <c r="B88" i="129"/>
  <c r="A88" i="129"/>
  <c r="C87" i="129"/>
  <c r="B87" i="129"/>
  <c r="A87" i="129"/>
  <c r="C86" i="129"/>
  <c r="B86" i="129"/>
  <c r="A86" i="129"/>
  <c r="C85" i="129"/>
  <c r="B85" i="129"/>
  <c r="A85" i="129"/>
  <c r="C84" i="129"/>
  <c r="B84" i="129"/>
  <c r="A84" i="129"/>
  <c r="C83" i="129"/>
  <c r="B83" i="129"/>
  <c r="A83" i="129"/>
  <c r="C82" i="129"/>
  <c r="B82" i="129"/>
  <c r="A82" i="129"/>
  <c r="C81" i="129"/>
  <c r="B81" i="129"/>
  <c r="A81" i="129"/>
  <c r="C80" i="129"/>
  <c r="B80" i="129"/>
  <c r="A80" i="129"/>
  <c r="C79" i="129"/>
  <c r="B79" i="129"/>
  <c r="A79" i="129"/>
  <c r="C78" i="129"/>
  <c r="B78" i="129"/>
  <c r="A78" i="129"/>
  <c r="C77" i="129"/>
  <c r="B77" i="129"/>
  <c r="A77" i="129"/>
  <c r="C76" i="129"/>
  <c r="B76" i="129"/>
  <c r="A76" i="129"/>
  <c r="C75" i="129"/>
  <c r="B75" i="129"/>
  <c r="A75" i="129"/>
  <c r="C74" i="129"/>
  <c r="B74" i="129"/>
  <c r="A74" i="129"/>
  <c r="C73" i="129"/>
  <c r="B73" i="129"/>
  <c r="A73" i="129"/>
  <c r="C72" i="129"/>
  <c r="B72" i="129"/>
  <c r="A72" i="129"/>
  <c r="C71" i="129"/>
  <c r="B71" i="129"/>
  <c r="A71" i="129"/>
  <c r="C70" i="129"/>
  <c r="B70" i="129"/>
  <c r="A70" i="129"/>
  <c r="C69" i="129"/>
  <c r="B69" i="129"/>
  <c r="A69" i="129"/>
  <c r="C68" i="129"/>
  <c r="B68" i="129"/>
  <c r="A68" i="129"/>
  <c r="C67" i="129"/>
  <c r="B67" i="129"/>
  <c r="A67" i="129"/>
  <c r="C66" i="129"/>
  <c r="B66" i="129"/>
  <c r="A66" i="129"/>
  <c r="C65" i="129"/>
  <c r="B65" i="129"/>
  <c r="A65" i="129"/>
  <c r="C64" i="129"/>
  <c r="B64" i="129"/>
  <c r="A64" i="129"/>
  <c r="C63" i="129"/>
  <c r="B63" i="129"/>
  <c r="A63" i="129"/>
  <c r="C62" i="129"/>
  <c r="B62" i="129"/>
  <c r="A62" i="129"/>
  <c r="C61" i="129"/>
  <c r="B61" i="129"/>
  <c r="A61" i="129"/>
  <c r="C60" i="129"/>
  <c r="B60" i="129"/>
  <c r="A60" i="129"/>
  <c r="C59" i="129"/>
  <c r="B59" i="129"/>
  <c r="A59" i="129"/>
  <c r="C58" i="129"/>
  <c r="B58" i="129"/>
  <c r="A58" i="129"/>
  <c r="C57" i="129"/>
  <c r="B57" i="129"/>
  <c r="A57" i="129"/>
  <c r="C56" i="129"/>
  <c r="B56" i="129"/>
  <c r="A56" i="129"/>
  <c r="C55" i="129"/>
  <c r="B55" i="129"/>
  <c r="A55" i="129"/>
  <c r="C54" i="129"/>
  <c r="B54" i="129"/>
  <c r="A54" i="129"/>
  <c r="C53" i="129"/>
  <c r="B53" i="129"/>
  <c r="A53" i="129"/>
  <c r="C52" i="129"/>
  <c r="B52" i="129"/>
  <c r="A52" i="129"/>
  <c r="C51" i="129"/>
  <c r="B51" i="129"/>
  <c r="A51" i="129"/>
  <c r="C50" i="129"/>
  <c r="B50" i="129"/>
  <c r="A50" i="129"/>
  <c r="C49" i="129"/>
  <c r="B49" i="129"/>
  <c r="A49" i="129"/>
  <c r="C48" i="129"/>
  <c r="B48" i="129"/>
  <c r="A48" i="129"/>
  <c r="C47" i="129"/>
  <c r="B47" i="129"/>
  <c r="A47" i="129"/>
  <c r="C46" i="129"/>
  <c r="B46" i="129"/>
  <c r="A46" i="129"/>
  <c r="C45" i="129"/>
  <c r="B45" i="129"/>
  <c r="A45" i="129"/>
  <c r="C44" i="129"/>
  <c r="B44" i="129"/>
  <c r="A44" i="129"/>
  <c r="C43" i="129"/>
  <c r="B43" i="129"/>
  <c r="A43" i="129"/>
  <c r="C42" i="129"/>
  <c r="B42" i="129"/>
  <c r="A42" i="129"/>
  <c r="C41" i="129"/>
  <c r="B41" i="129"/>
  <c r="A41" i="129"/>
  <c r="C40" i="129"/>
  <c r="B40" i="129"/>
  <c r="A40" i="129"/>
  <c r="C39" i="129"/>
  <c r="B39" i="129"/>
  <c r="A39" i="129"/>
  <c r="C38" i="129"/>
  <c r="B38" i="129"/>
  <c r="A38" i="129"/>
  <c r="C37" i="129"/>
  <c r="B37" i="129"/>
  <c r="A37" i="129"/>
  <c r="C36" i="129"/>
  <c r="B36" i="129"/>
  <c r="A36" i="129"/>
  <c r="C35" i="129"/>
  <c r="B35" i="129"/>
  <c r="A35" i="129"/>
  <c r="C34" i="129"/>
  <c r="B34" i="129"/>
  <c r="A34" i="129"/>
  <c r="C33" i="129"/>
  <c r="B33" i="129"/>
  <c r="A33" i="129"/>
  <c r="C32" i="129"/>
  <c r="B32" i="129"/>
  <c r="A32" i="129"/>
  <c r="C31" i="129"/>
  <c r="B31" i="129"/>
  <c r="A31" i="129"/>
  <c r="C30" i="129"/>
  <c r="B30" i="129"/>
  <c r="A30" i="129"/>
  <c r="C29" i="129"/>
  <c r="B29" i="129"/>
  <c r="A29" i="129"/>
  <c r="C28" i="129"/>
  <c r="B28" i="129"/>
  <c r="A28" i="129"/>
  <c r="C27" i="129"/>
  <c r="B27" i="129"/>
  <c r="A27" i="129"/>
  <c r="C26" i="129"/>
  <c r="B26" i="129"/>
  <c r="A26" i="129"/>
  <c r="C25" i="129"/>
  <c r="B25" i="129"/>
  <c r="A25" i="129"/>
  <c r="C24" i="129"/>
  <c r="B24" i="129"/>
  <c r="A24" i="129"/>
  <c r="C23" i="129"/>
  <c r="B23" i="129"/>
  <c r="A23" i="129"/>
  <c r="C22" i="129"/>
  <c r="B22" i="129"/>
  <c r="A22" i="129"/>
  <c r="C21" i="129"/>
  <c r="B21" i="129"/>
  <c r="A21" i="129"/>
  <c r="C20" i="129"/>
  <c r="B20" i="129"/>
  <c r="A20" i="129"/>
  <c r="C19" i="129"/>
  <c r="B19" i="129"/>
  <c r="A19" i="129"/>
  <c r="C18" i="129"/>
  <c r="B18" i="129"/>
  <c r="A18" i="129"/>
  <c r="C17" i="129"/>
  <c r="B17" i="129"/>
  <c r="A17" i="129"/>
  <c r="C16" i="129"/>
  <c r="B16" i="129"/>
  <c r="A16" i="129"/>
  <c r="C15" i="129"/>
  <c r="B15" i="129"/>
  <c r="A15" i="129"/>
  <c r="C14" i="129"/>
  <c r="B14" i="129"/>
  <c r="A14" i="129"/>
  <c r="C13" i="129"/>
  <c r="B13" i="129"/>
  <c r="A13" i="129"/>
  <c r="C12" i="129"/>
  <c r="B12" i="129"/>
  <c r="A12" i="129"/>
  <c r="C11" i="129"/>
  <c r="B11" i="129"/>
  <c r="A11" i="129"/>
  <c r="C10" i="129"/>
  <c r="B10" i="129"/>
  <c r="A10" i="129"/>
  <c r="C9" i="129"/>
  <c r="B9" i="129"/>
  <c r="A9" i="129"/>
  <c r="C8" i="129"/>
  <c r="B8" i="129"/>
  <c r="A8" i="129"/>
  <c r="C7" i="129"/>
  <c r="B7" i="129"/>
  <c r="A7" i="129"/>
  <c r="C6" i="129"/>
  <c r="B6" i="129"/>
  <c r="A6" i="129"/>
  <c r="C118" i="128" l="1"/>
  <c r="B118" i="128"/>
  <c r="A118" i="128"/>
  <c r="C117" i="128"/>
  <c r="B117" i="128"/>
  <c r="A117" i="128"/>
  <c r="C116" i="128"/>
  <c r="B116" i="128"/>
  <c r="A116" i="128"/>
  <c r="C115" i="128"/>
  <c r="B115" i="128"/>
  <c r="A115" i="128"/>
  <c r="C114" i="128"/>
  <c r="B114" i="128"/>
  <c r="A114" i="128"/>
  <c r="C113" i="128"/>
  <c r="B113" i="128"/>
  <c r="A113" i="128"/>
  <c r="C112" i="128"/>
  <c r="B112" i="128"/>
  <c r="A112" i="128"/>
  <c r="C111" i="128"/>
  <c r="B111" i="128"/>
  <c r="A111" i="128"/>
  <c r="C110" i="128"/>
  <c r="B110" i="128"/>
  <c r="A110" i="128"/>
  <c r="C109" i="128"/>
  <c r="B109" i="128"/>
  <c r="A109" i="128"/>
  <c r="C108" i="128"/>
  <c r="B108" i="128"/>
  <c r="A108" i="128"/>
  <c r="C107" i="128"/>
  <c r="B107" i="128"/>
  <c r="A107" i="128"/>
  <c r="C106" i="128"/>
  <c r="B106" i="128"/>
  <c r="A106" i="128"/>
  <c r="C105" i="128"/>
  <c r="B105" i="128"/>
  <c r="A105" i="128"/>
  <c r="C104" i="128"/>
  <c r="B104" i="128"/>
  <c r="A104" i="128"/>
  <c r="C103" i="128"/>
  <c r="B103" i="128"/>
  <c r="A103" i="128"/>
  <c r="C102" i="128"/>
  <c r="B102" i="128"/>
  <c r="A102" i="128"/>
  <c r="C101" i="128"/>
  <c r="B101" i="128"/>
  <c r="A101" i="128"/>
  <c r="C100" i="128"/>
  <c r="B100" i="128"/>
  <c r="A100" i="128"/>
  <c r="C99" i="128"/>
  <c r="B99" i="128"/>
  <c r="A99" i="128"/>
  <c r="C98" i="128"/>
  <c r="B98" i="128"/>
  <c r="A98" i="128"/>
  <c r="C97" i="128"/>
  <c r="B97" i="128"/>
  <c r="A97" i="128"/>
  <c r="C96" i="128"/>
  <c r="B96" i="128"/>
  <c r="A96" i="128"/>
  <c r="C95" i="128"/>
  <c r="B95" i="128"/>
  <c r="A95" i="128"/>
  <c r="C94" i="128"/>
  <c r="B94" i="128"/>
  <c r="A94" i="128"/>
  <c r="C93" i="128"/>
  <c r="B93" i="128"/>
  <c r="A93" i="128"/>
  <c r="C92" i="128"/>
  <c r="B92" i="128"/>
  <c r="A92" i="128"/>
  <c r="C91" i="128"/>
  <c r="B91" i="128"/>
  <c r="A91" i="128"/>
  <c r="C90" i="128"/>
  <c r="B90" i="128"/>
  <c r="A90" i="128"/>
  <c r="C89" i="128"/>
  <c r="B89" i="128"/>
  <c r="A89" i="128"/>
  <c r="C88" i="128"/>
  <c r="B88" i="128"/>
  <c r="A88" i="128"/>
  <c r="C87" i="128"/>
  <c r="B87" i="128"/>
  <c r="A87" i="128"/>
  <c r="C86" i="128"/>
  <c r="B86" i="128"/>
  <c r="A86" i="128"/>
  <c r="C85" i="128"/>
  <c r="B85" i="128"/>
  <c r="A85" i="128"/>
  <c r="C84" i="128"/>
  <c r="B84" i="128"/>
  <c r="A84" i="128"/>
  <c r="C83" i="128"/>
  <c r="B83" i="128"/>
  <c r="A83" i="128"/>
  <c r="C82" i="128"/>
  <c r="B82" i="128"/>
  <c r="A82" i="128"/>
  <c r="C81" i="128"/>
  <c r="B81" i="128"/>
  <c r="A81" i="128"/>
  <c r="C80" i="128"/>
  <c r="B80" i="128"/>
  <c r="A80" i="128"/>
  <c r="C79" i="128"/>
  <c r="B79" i="128"/>
  <c r="A79" i="128"/>
  <c r="C78" i="128"/>
  <c r="B78" i="128"/>
  <c r="A78" i="128"/>
  <c r="C77" i="128"/>
  <c r="B77" i="128"/>
  <c r="A77" i="128"/>
  <c r="C76" i="128"/>
  <c r="B76" i="128"/>
  <c r="A76" i="128"/>
  <c r="C75" i="128"/>
  <c r="B75" i="128"/>
  <c r="A75" i="128"/>
  <c r="C74" i="128"/>
  <c r="B74" i="128"/>
  <c r="A74" i="128"/>
  <c r="C73" i="128"/>
  <c r="B73" i="128"/>
  <c r="A73" i="128"/>
  <c r="C72" i="128"/>
  <c r="B72" i="128"/>
  <c r="A72" i="128"/>
  <c r="C71" i="128"/>
  <c r="B71" i="128"/>
  <c r="A71" i="128"/>
  <c r="C70" i="128"/>
  <c r="B70" i="128"/>
  <c r="A70" i="128"/>
  <c r="C69" i="128"/>
  <c r="B69" i="128"/>
  <c r="A69" i="128"/>
  <c r="C68" i="128"/>
  <c r="B68" i="128"/>
  <c r="A68" i="128"/>
  <c r="C67" i="128"/>
  <c r="B67" i="128"/>
  <c r="A67" i="128"/>
  <c r="C66" i="128"/>
  <c r="B66" i="128"/>
  <c r="A66" i="128"/>
  <c r="C65" i="128"/>
  <c r="B65" i="128"/>
  <c r="A65" i="128"/>
  <c r="C64" i="128"/>
  <c r="B64" i="128"/>
  <c r="A64" i="128"/>
  <c r="C63" i="128"/>
  <c r="B63" i="128"/>
  <c r="A63" i="128"/>
  <c r="C62" i="128"/>
  <c r="B62" i="128"/>
  <c r="A62" i="128"/>
  <c r="C61" i="128"/>
  <c r="B61" i="128"/>
  <c r="A61" i="128"/>
  <c r="C60" i="128"/>
  <c r="B60" i="128"/>
  <c r="A60" i="128"/>
  <c r="C59" i="128"/>
  <c r="B59" i="128"/>
  <c r="A59" i="128"/>
  <c r="C58" i="128"/>
  <c r="B58" i="128"/>
  <c r="A58" i="128"/>
  <c r="C57" i="128"/>
  <c r="B57" i="128"/>
  <c r="A57" i="128"/>
  <c r="C56" i="128"/>
  <c r="B56" i="128"/>
  <c r="A56" i="128"/>
  <c r="C55" i="128"/>
  <c r="B55" i="128"/>
  <c r="A55" i="128"/>
  <c r="C54" i="128"/>
  <c r="B54" i="128"/>
  <c r="A54" i="128"/>
  <c r="C53" i="128"/>
  <c r="B53" i="128"/>
  <c r="A53" i="128"/>
  <c r="C52" i="128"/>
  <c r="B52" i="128"/>
  <c r="A52" i="128"/>
  <c r="C51" i="128"/>
  <c r="B51" i="128"/>
  <c r="A51" i="128"/>
  <c r="C50" i="128"/>
  <c r="B50" i="128"/>
  <c r="A50" i="128"/>
  <c r="C49" i="128"/>
  <c r="B49" i="128"/>
  <c r="A49" i="128"/>
  <c r="C48" i="128"/>
  <c r="B48" i="128"/>
  <c r="A48" i="128"/>
  <c r="C47" i="128"/>
  <c r="B47" i="128"/>
  <c r="A47" i="128"/>
  <c r="C46" i="128"/>
  <c r="B46" i="128"/>
  <c r="A46" i="128"/>
  <c r="C45" i="128"/>
  <c r="B45" i="128"/>
  <c r="A45" i="128"/>
  <c r="C44" i="128"/>
  <c r="B44" i="128"/>
  <c r="A44" i="128"/>
  <c r="C43" i="128"/>
  <c r="B43" i="128"/>
  <c r="A43" i="128"/>
  <c r="C42" i="128"/>
  <c r="B42" i="128"/>
  <c r="A42" i="128"/>
  <c r="C41" i="128"/>
  <c r="B41" i="128"/>
  <c r="A41" i="128"/>
  <c r="C40" i="128"/>
  <c r="B40" i="128"/>
  <c r="A40" i="128"/>
  <c r="C39" i="128"/>
  <c r="B39" i="128"/>
  <c r="A39" i="128"/>
  <c r="C38" i="128"/>
  <c r="B38" i="128"/>
  <c r="A38" i="128"/>
  <c r="C37" i="128"/>
  <c r="B37" i="128"/>
  <c r="A37" i="128"/>
  <c r="C36" i="128"/>
  <c r="B36" i="128"/>
  <c r="A36" i="128"/>
  <c r="C35" i="128"/>
  <c r="B35" i="128"/>
  <c r="A35" i="128"/>
  <c r="C34" i="128"/>
  <c r="B34" i="128"/>
  <c r="A34" i="128"/>
  <c r="C33" i="128"/>
  <c r="B33" i="128"/>
  <c r="A33" i="128"/>
  <c r="C32" i="128"/>
  <c r="B32" i="128"/>
  <c r="A32" i="128"/>
  <c r="C31" i="128"/>
  <c r="B31" i="128"/>
  <c r="A31" i="128"/>
  <c r="C30" i="128"/>
  <c r="B30" i="128"/>
  <c r="A30" i="128"/>
  <c r="C29" i="128"/>
  <c r="B29" i="128"/>
  <c r="A29" i="128"/>
  <c r="C28" i="128"/>
  <c r="B28" i="128"/>
  <c r="A28" i="128"/>
  <c r="C27" i="128"/>
  <c r="B27" i="128"/>
  <c r="A27" i="128"/>
  <c r="C26" i="128"/>
  <c r="B26" i="128"/>
  <c r="A26" i="128"/>
  <c r="C25" i="128"/>
  <c r="B25" i="128"/>
  <c r="A25" i="128"/>
  <c r="C24" i="128"/>
  <c r="B24" i="128"/>
  <c r="A24" i="128"/>
  <c r="C23" i="128"/>
  <c r="B23" i="128"/>
  <c r="A23" i="128"/>
  <c r="C22" i="128"/>
  <c r="B22" i="128"/>
  <c r="A22" i="128"/>
  <c r="C21" i="128"/>
  <c r="B21" i="128"/>
  <c r="A21" i="128"/>
  <c r="C20" i="128"/>
  <c r="B20" i="128"/>
  <c r="A20" i="128"/>
  <c r="C19" i="128"/>
  <c r="B19" i="128"/>
  <c r="A19" i="128"/>
  <c r="C18" i="128"/>
  <c r="B18" i="128"/>
  <c r="A18" i="128"/>
  <c r="C17" i="128"/>
  <c r="B17" i="128"/>
  <c r="A17" i="128"/>
  <c r="C16" i="128"/>
  <c r="B16" i="128"/>
  <c r="A16" i="128"/>
  <c r="C15" i="128"/>
  <c r="B15" i="128"/>
  <c r="A15" i="128"/>
  <c r="C14" i="128"/>
  <c r="B14" i="128"/>
  <c r="A14" i="128"/>
  <c r="C13" i="128"/>
  <c r="B13" i="128"/>
  <c r="A13" i="128"/>
  <c r="C12" i="128"/>
  <c r="B12" i="128"/>
  <c r="A12" i="128"/>
  <c r="C11" i="128"/>
  <c r="B11" i="128"/>
  <c r="A11" i="128"/>
  <c r="C10" i="128"/>
  <c r="B10" i="128"/>
  <c r="A10" i="128"/>
  <c r="C9" i="128"/>
  <c r="B9" i="128"/>
  <c r="A9" i="128"/>
  <c r="C8" i="128"/>
  <c r="B8" i="128"/>
  <c r="A8" i="128"/>
  <c r="C7" i="128"/>
  <c r="B7" i="128"/>
  <c r="A7" i="128"/>
  <c r="C6" i="128"/>
  <c r="B6" i="128"/>
  <c r="A6" i="128"/>
  <c r="A118" i="127"/>
  <c r="B118" i="127"/>
  <c r="C118" i="127"/>
  <c r="A105" i="127"/>
  <c r="B105" i="127"/>
  <c r="C105" i="127"/>
  <c r="A106" i="127"/>
  <c r="B106" i="127"/>
  <c r="C106" i="127"/>
  <c r="A107" i="127"/>
  <c r="B107" i="127"/>
  <c r="C107" i="127"/>
  <c r="A108" i="127"/>
  <c r="B108" i="127"/>
  <c r="C108" i="127"/>
  <c r="A109" i="127"/>
  <c r="B109" i="127"/>
  <c r="C109" i="127"/>
  <c r="A110" i="127"/>
  <c r="B110" i="127"/>
  <c r="C110" i="127"/>
  <c r="A111" i="127"/>
  <c r="B111" i="127"/>
  <c r="C111" i="127"/>
  <c r="A112" i="127"/>
  <c r="B112" i="127"/>
  <c r="C112" i="127"/>
  <c r="A113" i="127"/>
  <c r="B113" i="127"/>
  <c r="C113" i="127"/>
  <c r="A114" i="127"/>
  <c r="B114" i="127"/>
  <c r="C114" i="127"/>
  <c r="A115" i="127"/>
  <c r="B115" i="127"/>
  <c r="C115" i="127"/>
  <c r="A116" i="127"/>
  <c r="B116" i="127"/>
  <c r="C116" i="127"/>
  <c r="A117" i="127"/>
  <c r="B117" i="127"/>
  <c r="C117" i="127"/>
  <c r="A91" i="127"/>
  <c r="B91" i="127"/>
  <c r="C91" i="127"/>
  <c r="A92" i="127"/>
  <c r="B92" i="127"/>
  <c r="C92" i="127"/>
  <c r="A93" i="127"/>
  <c r="B93" i="127"/>
  <c r="C93" i="127"/>
  <c r="A94" i="127"/>
  <c r="B94" i="127"/>
  <c r="C94" i="127"/>
  <c r="A95" i="127"/>
  <c r="B95" i="127"/>
  <c r="C95" i="127"/>
  <c r="A96" i="127"/>
  <c r="B96" i="127"/>
  <c r="C96" i="127"/>
  <c r="A97" i="127"/>
  <c r="B97" i="127"/>
  <c r="C97" i="127"/>
  <c r="A98" i="127"/>
  <c r="B98" i="127"/>
  <c r="C98" i="127"/>
  <c r="A99" i="127"/>
  <c r="B99" i="127"/>
  <c r="C99" i="127"/>
  <c r="A100" i="127"/>
  <c r="B100" i="127"/>
  <c r="C100" i="127"/>
  <c r="A101" i="127"/>
  <c r="B101" i="127"/>
  <c r="C101" i="127"/>
  <c r="A102" i="127"/>
  <c r="B102" i="127"/>
  <c r="C102" i="127"/>
  <c r="A103" i="127"/>
  <c r="B103" i="127"/>
  <c r="C103" i="127"/>
  <c r="A104" i="127"/>
  <c r="B104" i="127"/>
  <c r="C104" i="127"/>
  <c r="A82" i="127"/>
  <c r="B82" i="127"/>
  <c r="C82" i="127"/>
  <c r="A83" i="127"/>
  <c r="B83" i="127"/>
  <c r="C83" i="127"/>
  <c r="A84" i="127"/>
  <c r="B84" i="127"/>
  <c r="C84" i="127"/>
  <c r="A85" i="127"/>
  <c r="B85" i="127"/>
  <c r="C85" i="127"/>
  <c r="A86" i="127"/>
  <c r="B86" i="127"/>
  <c r="C86" i="127"/>
  <c r="A87" i="127"/>
  <c r="B87" i="127"/>
  <c r="C87" i="127"/>
  <c r="A88" i="127"/>
  <c r="B88" i="127"/>
  <c r="C88" i="127"/>
  <c r="A89" i="127"/>
  <c r="B89" i="127"/>
  <c r="C89" i="127"/>
  <c r="A90" i="127"/>
  <c r="B90" i="127"/>
  <c r="C90" i="127"/>
  <c r="A66" i="127"/>
  <c r="B66" i="127"/>
  <c r="C66" i="127"/>
  <c r="A67" i="127"/>
  <c r="B67" i="127"/>
  <c r="C67" i="127"/>
  <c r="A68" i="127"/>
  <c r="B68" i="127"/>
  <c r="C68" i="127"/>
  <c r="A69" i="127"/>
  <c r="B69" i="127"/>
  <c r="C69" i="127"/>
  <c r="A70" i="127"/>
  <c r="B70" i="127"/>
  <c r="C70" i="127"/>
  <c r="A71" i="127"/>
  <c r="B71" i="127"/>
  <c r="C71" i="127"/>
  <c r="A72" i="127"/>
  <c r="B72" i="127"/>
  <c r="C72" i="127"/>
  <c r="A73" i="127"/>
  <c r="B73" i="127"/>
  <c r="C73" i="127"/>
  <c r="A74" i="127"/>
  <c r="B74" i="127"/>
  <c r="C74" i="127"/>
  <c r="A75" i="127"/>
  <c r="B75" i="127"/>
  <c r="C75" i="127"/>
  <c r="A76" i="127"/>
  <c r="B76" i="127"/>
  <c r="C76" i="127"/>
  <c r="A77" i="127"/>
  <c r="B77" i="127"/>
  <c r="C77" i="127"/>
  <c r="A78" i="127"/>
  <c r="B78" i="127"/>
  <c r="C78" i="127"/>
  <c r="A79" i="127"/>
  <c r="B79" i="127"/>
  <c r="C79" i="127"/>
  <c r="A80" i="127"/>
  <c r="B80" i="127"/>
  <c r="C80" i="127"/>
  <c r="A81" i="127"/>
  <c r="B81" i="127"/>
  <c r="C81" i="127"/>
  <c r="A55" i="127"/>
  <c r="B55" i="127"/>
  <c r="C55" i="127"/>
  <c r="A56" i="127"/>
  <c r="B56" i="127"/>
  <c r="C56" i="127"/>
  <c r="A57" i="127"/>
  <c r="B57" i="127"/>
  <c r="C57" i="127"/>
  <c r="A58" i="127"/>
  <c r="B58" i="127"/>
  <c r="C58" i="127"/>
  <c r="A59" i="127"/>
  <c r="B59" i="127"/>
  <c r="C59" i="127"/>
  <c r="A60" i="127"/>
  <c r="B60" i="127"/>
  <c r="C60" i="127"/>
  <c r="A61" i="127"/>
  <c r="B61" i="127"/>
  <c r="C61" i="127"/>
  <c r="A62" i="127"/>
  <c r="B62" i="127"/>
  <c r="C62" i="127"/>
  <c r="A63" i="127"/>
  <c r="B63" i="127"/>
  <c r="C63" i="127"/>
  <c r="A64" i="127"/>
  <c r="B64" i="127"/>
  <c r="C64" i="127"/>
  <c r="A65" i="127"/>
  <c r="B65" i="127"/>
  <c r="C65" i="127"/>
  <c r="A7" i="127"/>
  <c r="B7" i="127"/>
  <c r="C7" i="127"/>
  <c r="A8" i="127"/>
  <c r="B8" i="127"/>
  <c r="C8" i="127"/>
  <c r="A9" i="127"/>
  <c r="B9" i="127"/>
  <c r="C9" i="127"/>
  <c r="A10" i="127"/>
  <c r="B10" i="127"/>
  <c r="C10" i="127"/>
  <c r="A11" i="127"/>
  <c r="B11" i="127"/>
  <c r="C11" i="127"/>
  <c r="A12" i="127"/>
  <c r="B12" i="127"/>
  <c r="C12" i="127"/>
  <c r="A13" i="127"/>
  <c r="B13" i="127"/>
  <c r="C13" i="127"/>
  <c r="A14" i="127"/>
  <c r="B14" i="127"/>
  <c r="C14" i="127"/>
  <c r="A15" i="127"/>
  <c r="B15" i="127"/>
  <c r="C15" i="127"/>
  <c r="A16" i="127"/>
  <c r="B16" i="127"/>
  <c r="C16" i="127"/>
  <c r="A17" i="127"/>
  <c r="B17" i="127"/>
  <c r="C17" i="127"/>
  <c r="A18" i="127"/>
  <c r="B18" i="127"/>
  <c r="C18" i="127"/>
  <c r="A19" i="127"/>
  <c r="B19" i="127"/>
  <c r="C19" i="127"/>
  <c r="A20" i="127"/>
  <c r="B20" i="127"/>
  <c r="C20" i="127"/>
  <c r="A21" i="127"/>
  <c r="B21" i="127"/>
  <c r="C21" i="127"/>
  <c r="A22" i="127"/>
  <c r="B22" i="127"/>
  <c r="C22" i="127"/>
  <c r="A23" i="127"/>
  <c r="B23" i="127"/>
  <c r="C23" i="127"/>
  <c r="A24" i="127"/>
  <c r="B24" i="127"/>
  <c r="C24" i="127"/>
  <c r="A25" i="127"/>
  <c r="B25" i="127"/>
  <c r="C25" i="127"/>
  <c r="A26" i="127"/>
  <c r="B26" i="127"/>
  <c r="C26" i="127"/>
  <c r="A27" i="127"/>
  <c r="B27" i="127"/>
  <c r="C27" i="127"/>
  <c r="A28" i="127"/>
  <c r="B28" i="127"/>
  <c r="C28" i="127"/>
  <c r="A29" i="127"/>
  <c r="B29" i="127"/>
  <c r="C29" i="127"/>
  <c r="A30" i="127"/>
  <c r="B30" i="127"/>
  <c r="C30" i="127"/>
  <c r="A31" i="127"/>
  <c r="B31" i="127"/>
  <c r="C31" i="127"/>
  <c r="A32" i="127"/>
  <c r="B32" i="127"/>
  <c r="C32" i="127"/>
  <c r="A33" i="127"/>
  <c r="B33" i="127"/>
  <c r="C33" i="127"/>
  <c r="A34" i="127"/>
  <c r="B34" i="127"/>
  <c r="C34" i="127"/>
  <c r="A35" i="127"/>
  <c r="B35" i="127"/>
  <c r="C35" i="127"/>
  <c r="A36" i="127"/>
  <c r="B36" i="127"/>
  <c r="C36" i="127"/>
  <c r="A37" i="127"/>
  <c r="B37" i="127"/>
  <c r="C37" i="127"/>
  <c r="A38" i="127"/>
  <c r="B38" i="127"/>
  <c r="C38" i="127"/>
  <c r="A39" i="127"/>
  <c r="B39" i="127"/>
  <c r="C39" i="127"/>
  <c r="A40" i="127"/>
  <c r="B40" i="127"/>
  <c r="C40" i="127"/>
  <c r="A41" i="127"/>
  <c r="B41" i="127"/>
  <c r="C41" i="127"/>
  <c r="A42" i="127"/>
  <c r="B42" i="127"/>
  <c r="C42" i="127"/>
  <c r="A43" i="127"/>
  <c r="B43" i="127"/>
  <c r="C43" i="127"/>
  <c r="A44" i="127"/>
  <c r="B44" i="127"/>
  <c r="C44" i="127"/>
  <c r="A45" i="127"/>
  <c r="B45" i="127"/>
  <c r="C45" i="127"/>
  <c r="A46" i="127"/>
  <c r="B46" i="127"/>
  <c r="C46" i="127"/>
  <c r="A47" i="127"/>
  <c r="B47" i="127"/>
  <c r="C47" i="127"/>
  <c r="A48" i="127"/>
  <c r="B48" i="127"/>
  <c r="C48" i="127"/>
  <c r="A49" i="127"/>
  <c r="B49" i="127"/>
  <c r="C49" i="127"/>
  <c r="A50" i="127"/>
  <c r="B50" i="127"/>
  <c r="C50" i="127"/>
  <c r="A51" i="127"/>
  <c r="B51" i="127"/>
  <c r="C51" i="127"/>
  <c r="A52" i="127"/>
  <c r="B52" i="127"/>
  <c r="C52" i="127"/>
  <c r="A53" i="127"/>
  <c r="B53" i="127"/>
  <c r="C53" i="127"/>
  <c r="A54" i="127"/>
  <c r="B54" i="127"/>
  <c r="C54" i="127"/>
  <c r="B6" i="127"/>
  <c r="C6" i="127"/>
  <c r="A6" i="127"/>
  <c r="J118" i="126" l="1"/>
  <c r="I118" i="126"/>
  <c r="C118" i="126"/>
  <c r="B118" i="126"/>
  <c r="A118" i="126"/>
  <c r="J117" i="126"/>
  <c r="I117" i="126"/>
  <c r="C117" i="126"/>
  <c r="B117" i="126"/>
  <c r="A117" i="126"/>
  <c r="J116" i="126"/>
  <c r="I116" i="126"/>
  <c r="C116" i="126"/>
  <c r="B116" i="126"/>
  <c r="A116" i="126"/>
  <c r="C115" i="126"/>
  <c r="B115" i="126"/>
  <c r="A115" i="126"/>
  <c r="C114" i="126"/>
  <c r="B114" i="126"/>
  <c r="A114" i="126"/>
  <c r="C113" i="126"/>
  <c r="B113" i="126"/>
  <c r="A113" i="126"/>
  <c r="C112" i="126"/>
  <c r="B112" i="126"/>
  <c r="A112" i="126"/>
  <c r="C111" i="126"/>
  <c r="B111" i="126"/>
  <c r="A111" i="126"/>
  <c r="C110" i="126"/>
  <c r="B110" i="126"/>
  <c r="A110" i="126"/>
  <c r="J109" i="126"/>
  <c r="I109" i="126"/>
  <c r="C109" i="126"/>
  <c r="B109" i="126"/>
  <c r="A109" i="126"/>
  <c r="C108" i="126"/>
  <c r="B108" i="126"/>
  <c r="A108" i="126"/>
  <c r="J107" i="126"/>
  <c r="I107" i="126"/>
  <c r="C107" i="126"/>
  <c r="B107" i="126"/>
  <c r="A107" i="126"/>
  <c r="J106" i="126"/>
  <c r="I106" i="126"/>
  <c r="C106" i="126"/>
  <c r="B106" i="126"/>
  <c r="A106" i="126"/>
  <c r="C105" i="126"/>
  <c r="B105" i="126"/>
  <c r="A105" i="126"/>
  <c r="C104" i="126"/>
  <c r="B104" i="126"/>
  <c r="A104" i="126"/>
  <c r="C103" i="126"/>
  <c r="B103" i="126"/>
  <c r="A103" i="126"/>
  <c r="C102" i="126"/>
  <c r="B102" i="126"/>
  <c r="A102" i="126"/>
  <c r="J101" i="126"/>
  <c r="I101" i="126"/>
  <c r="C101" i="126"/>
  <c r="B101" i="126"/>
  <c r="A101" i="126"/>
  <c r="J100" i="126"/>
  <c r="I100" i="126"/>
  <c r="C100" i="126"/>
  <c r="B100" i="126"/>
  <c r="A100" i="126"/>
  <c r="J99" i="126"/>
  <c r="I99" i="126"/>
  <c r="C99" i="126"/>
  <c r="B99" i="126"/>
  <c r="A99" i="126"/>
  <c r="C98" i="126"/>
  <c r="B98" i="126"/>
  <c r="A98" i="126"/>
  <c r="J97" i="126"/>
  <c r="I97" i="126"/>
  <c r="C97" i="126"/>
  <c r="B97" i="126"/>
  <c r="A97" i="126"/>
  <c r="C96" i="126"/>
  <c r="B96" i="126"/>
  <c r="A96" i="126"/>
  <c r="J95" i="126"/>
  <c r="I95" i="126"/>
  <c r="C95" i="126"/>
  <c r="B95" i="126"/>
  <c r="A95" i="126"/>
  <c r="C94" i="126"/>
  <c r="B94" i="126"/>
  <c r="A94" i="126"/>
  <c r="J93" i="126"/>
  <c r="I93" i="126"/>
  <c r="C93" i="126"/>
  <c r="B93" i="126"/>
  <c r="A93" i="126"/>
  <c r="J92" i="126"/>
  <c r="I92" i="126"/>
  <c r="C92" i="126"/>
  <c r="B92" i="126"/>
  <c r="A92" i="126"/>
  <c r="J91" i="126"/>
  <c r="I91" i="126"/>
  <c r="C91" i="126"/>
  <c r="B91" i="126"/>
  <c r="A91" i="126"/>
  <c r="J90" i="126"/>
  <c r="I90" i="126"/>
  <c r="C90" i="126"/>
  <c r="B90" i="126"/>
  <c r="A90" i="126"/>
  <c r="C89" i="126"/>
  <c r="B89" i="126"/>
  <c r="A89" i="126"/>
  <c r="C88" i="126"/>
  <c r="B88" i="126"/>
  <c r="A88" i="126"/>
  <c r="J87" i="126"/>
  <c r="I87" i="126"/>
  <c r="C87" i="126"/>
  <c r="B87" i="126"/>
  <c r="A87" i="126"/>
  <c r="J86" i="126"/>
  <c r="I86" i="126"/>
  <c r="C86" i="126"/>
  <c r="B86" i="126"/>
  <c r="A86" i="126"/>
  <c r="C85" i="126"/>
  <c r="B85" i="126"/>
  <c r="A85" i="126"/>
  <c r="C84" i="126"/>
  <c r="B84" i="126"/>
  <c r="A84" i="126"/>
  <c r="J83" i="126"/>
  <c r="I83" i="126"/>
  <c r="C83" i="126"/>
  <c r="B83" i="126"/>
  <c r="A83" i="126"/>
  <c r="C82" i="126"/>
  <c r="B82" i="126"/>
  <c r="A82" i="126"/>
  <c r="C81" i="126"/>
  <c r="B81" i="126"/>
  <c r="A81" i="126"/>
  <c r="C80" i="126"/>
  <c r="B80" i="126"/>
  <c r="A80" i="126"/>
  <c r="I79" i="126"/>
  <c r="C79" i="126"/>
  <c r="B79" i="126"/>
  <c r="A79" i="126"/>
  <c r="J78" i="126"/>
  <c r="I78" i="126"/>
  <c r="C78" i="126"/>
  <c r="B78" i="126"/>
  <c r="A78" i="126"/>
  <c r="J77" i="126"/>
  <c r="I77" i="126"/>
  <c r="C77" i="126"/>
  <c r="B77" i="126"/>
  <c r="A77" i="126"/>
  <c r="C76" i="126"/>
  <c r="B76" i="126"/>
  <c r="A76" i="126"/>
  <c r="C75" i="126"/>
  <c r="B75" i="126"/>
  <c r="A75" i="126"/>
  <c r="J74" i="126"/>
  <c r="I74" i="126"/>
  <c r="C74" i="126"/>
  <c r="B74" i="126"/>
  <c r="A74" i="126"/>
  <c r="C73" i="126"/>
  <c r="B73" i="126"/>
  <c r="A73" i="126"/>
  <c r="J72" i="126"/>
  <c r="I72" i="126"/>
  <c r="C72" i="126"/>
  <c r="B72" i="126"/>
  <c r="A72" i="126"/>
  <c r="C71" i="126"/>
  <c r="B71" i="126"/>
  <c r="A71" i="126"/>
  <c r="C70" i="126"/>
  <c r="B70" i="126"/>
  <c r="A70" i="126"/>
  <c r="J69" i="126"/>
  <c r="I69" i="126"/>
  <c r="C69" i="126"/>
  <c r="B69" i="126"/>
  <c r="A69" i="126"/>
  <c r="C68" i="126"/>
  <c r="B68" i="126"/>
  <c r="A68" i="126"/>
  <c r="J67" i="126"/>
  <c r="I67" i="126"/>
  <c r="C67" i="126"/>
  <c r="B67" i="126"/>
  <c r="A67" i="126"/>
  <c r="C66" i="126"/>
  <c r="B66" i="126"/>
  <c r="A66" i="126"/>
  <c r="C65" i="126"/>
  <c r="B65" i="126"/>
  <c r="A65" i="126"/>
  <c r="J64" i="126"/>
  <c r="I64" i="126"/>
  <c r="C64" i="126"/>
  <c r="B64" i="126"/>
  <c r="A64" i="126"/>
  <c r="C63" i="126"/>
  <c r="B63" i="126"/>
  <c r="A63" i="126"/>
  <c r="C62" i="126"/>
  <c r="B62" i="126"/>
  <c r="A62" i="126"/>
  <c r="C61" i="126"/>
  <c r="B61" i="126"/>
  <c r="A61" i="126"/>
  <c r="C60" i="126"/>
  <c r="B60" i="126"/>
  <c r="A60" i="126"/>
  <c r="J59" i="126"/>
  <c r="I59" i="126"/>
  <c r="C59" i="126"/>
  <c r="B59" i="126"/>
  <c r="A59" i="126"/>
  <c r="C58" i="126"/>
  <c r="B58" i="126"/>
  <c r="A58" i="126"/>
  <c r="J57" i="126"/>
  <c r="I57" i="126"/>
  <c r="C57" i="126"/>
  <c r="B57" i="126"/>
  <c r="A57" i="126"/>
  <c r="J56" i="126"/>
  <c r="I56" i="126"/>
  <c r="C56" i="126"/>
  <c r="B56" i="126"/>
  <c r="A56" i="126"/>
  <c r="J55" i="126"/>
  <c r="C55" i="126"/>
  <c r="B55" i="126"/>
  <c r="A55" i="126"/>
  <c r="C54" i="126"/>
  <c r="B54" i="126"/>
  <c r="A54" i="126"/>
  <c r="J53" i="126"/>
  <c r="C53" i="126"/>
  <c r="B53" i="126"/>
  <c r="A53" i="126"/>
  <c r="C52" i="126"/>
  <c r="B52" i="126"/>
  <c r="A52" i="126"/>
  <c r="C51" i="126"/>
  <c r="B51" i="126"/>
  <c r="A51" i="126"/>
  <c r="C50" i="126"/>
  <c r="B50" i="126"/>
  <c r="A50" i="126"/>
  <c r="J49" i="126"/>
  <c r="I49" i="126"/>
  <c r="C49" i="126"/>
  <c r="B49" i="126"/>
  <c r="A49" i="126"/>
  <c r="C48" i="126"/>
  <c r="B48" i="126"/>
  <c r="A48" i="126"/>
  <c r="J47" i="126"/>
  <c r="I47" i="126"/>
  <c r="C47" i="126"/>
  <c r="B47" i="126"/>
  <c r="A47" i="126"/>
  <c r="C46" i="126"/>
  <c r="B46" i="126"/>
  <c r="A46" i="126"/>
  <c r="C45" i="126"/>
  <c r="B45" i="126"/>
  <c r="A45" i="126"/>
  <c r="C44" i="126"/>
  <c r="B44" i="126"/>
  <c r="A44" i="126"/>
  <c r="C43" i="126"/>
  <c r="B43" i="126"/>
  <c r="A43" i="126"/>
  <c r="C42" i="126"/>
  <c r="B42" i="126"/>
  <c r="A42" i="126"/>
  <c r="J41" i="126"/>
  <c r="I41" i="126"/>
  <c r="C41" i="126"/>
  <c r="B41" i="126"/>
  <c r="A41" i="126"/>
  <c r="J40" i="126"/>
  <c r="I40" i="126"/>
  <c r="C40" i="126"/>
  <c r="B40" i="126"/>
  <c r="A40" i="126"/>
  <c r="J39" i="126"/>
  <c r="I39" i="126"/>
  <c r="C39" i="126"/>
  <c r="B39" i="126"/>
  <c r="A39" i="126"/>
  <c r="J38" i="126"/>
  <c r="I38" i="126"/>
  <c r="C38" i="126"/>
  <c r="B38" i="126"/>
  <c r="A38" i="126"/>
  <c r="C37" i="126"/>
  <c r="B37" i="126"/>
  <c r="A37" i="126"/>
  <c r="C36" i="126"/>
  <c r="B36" i="126"/>
  <c r="A36" i="126"/>
  <c r="C35" i="126"/>
  <c r="B35" i="126"/>
  <c r="A35" i="126"/>
  <c r="C34" i="126"/>
  <c r="B34" i="126"/>
  <c r="A34" i="126"/>
  <c r="C33" i="126"/>
  <c r="B33" i="126"/>
  <c r="A33" i="126"/>
  <c r="C32" i="126"/>
  <c r="B32" i="126"/>
  <c r="A32" i="126"/>
  <c r="C31" i="126"/>
  <c r="B31" i="126"/>
  <c r="A31" i="126"/>
  <c r="C30" i="126"/>
  <c r="B30" i="126"/>
  <c r="A30" i="126"/>
  <c r="J29" i="126"/>
  <c r="I29" i="126"/>
  <c r="C29" i="126"/>
  <c r="B29" i="126"/>
  <c r="A29" i="126"/>
  <c r="J28" i="126"/>
  <c r="I28" i="126"/>
  <c r="C28" i="126"/>
  <c r="B28" i="126"/>
  <c r="A28" i="126"/>
  <c r="C27" i="126"/>
  <c r="B27" i="126"/>
  <c r="A27" i="126"/>
  <c r="J26" i="126"/>
  <c r="I26" i="126"/>
  <c r="C26" i="126"/>
  <c r="B26" i="126"/>
  <c r="A26" i="126"/>
  <c r="C25" i="126"/>
  <c r="B25" i="126"/>
  <c r="A25" i="126"/>
  <c r="J24" i="126"/>
  <c r="I24" i="126"/>
  <c r="C24" i="126"/>
  <c r="B24" i="126"/>
  <c r="A24" i="126"/>
  <c r="C23" i="126"/>
  <c r="B23" i="126"/>
  <c r="A23" i="126"/>
  <c r="J22" i="126"/>
  <c r="I22" i="126"/>
  <c r="C22" i="126"/>
  <c r="B22" i="126"/>
  <c r="A22" i="126"/>
  <c r="C21" i="126"/>
  <c r="B21" i="126"/>
  <c r="A21" i="126"/>
  <c r="J20" i="126"/>
  <c r="I20" i="126"/>
  <c r="C20" i="126"/>
  <c r="B20" i="126"/>
  <c r="A20" i="126"/>
  <c r="C19" i="126"/>
  <c r="B19" i="126"/>
  <c r="A19" i="126"/>
  <c r="C18" i="126"/>
  <c r="B18" i="126"/>
  <c r="A18" i="126"/>
  <c r="J17" i="126"/>
  <c r="I17" i="126"/>
  <c r="C17" i="126"/>
  <c r="B17" i="126"/>
  <c r="A17" i="126"/>
  <c r="C16" i="126"/>
  <c r="B16" i="126"/>
  <c r="A16" i="126"/>
  <c r="C15" i="126"/>
  <c r="B15" i="126"/>
  <c r="A15" i="126"/>
  <c r="C14" i="126"/>
  <c r="B14" i="126"/>
  <c r="A14" i="126"/>
  <c r="C13" i="126"/>
  <c r="B13" i="126"/>
  <c r="A13" i="126"/>
  <c r="C12" i="126"/>
  <c r="B12" i="126"/>
  <c r="A12" i="126"/>
  <c r="C11" i="126"/>
  <c r="B11" i="126"/>
  <c r="A11" i="126"/>
  <c r="C10" i="126"/>
  <c r="B10" i="126"/>
  <c r="A10" i="126"/>
  <c r="C9" i="126"/>
  <c r="B9" i="126"/>
  <c r="A9" i="126"/>
  <c r="I8" i="126"/>
  <c r="C8" i="126"/>
  <c r="B8" i="126"/>
  <c r="A8" i="126"/>
  <c r="C7" i="126"/>
  <c r="B7" i="126"/>
  <c r="A7" i="126"/>
  <c r="C6" i="126"/>
  <c r="B6" i="126"/>
  <c r="A6" i="126"/>
  <c r="D7" i="125"/>
  <c r="D8" i="125"/>
  <c r="D9" i="125"/>
  <c r="D10" i="125"/>
  <c r="D11" i="125"/>
  <c r="D12" i="125"/>
  <c r="D13" i="125"/>
  <c r="D14" i="125"/>
  <c r="D15" i="125"/>
  <c r="D16" i="125"/>
  <c r="D17" i="125"/>
  <c r="D18" i="125"/>
  <c r="D19" i="125"/>
  <c r="D20" i="125"/>
  <c r="D21" i="125"/>
  <c r="D22" i="125"/>
  <c r="D23" i="125"/>
  <c r="D24" i="125"/>
  <c r="D25" i="125"/>
  <c r="D26" i="125"/>
  <c r="D27" i="125"/>
  <c r="D28" i="125"/>
  <c r="D29" i="125"/>
  <c r="D30" i="125"/>
  <c r="D31" i="125"/>
  <c r="D32" i="125"/>
  <c r="D33" i="125"/>
  <c r="D34" i="125"/>
  <c r="D35" i="125"/>
  <c r="D36" i="125"/>
  <c r="D37" i="125"/>
  <c r="D38" i="125"/>
  <c r="D39" i="125"/>
  <c r="D40" i="125"/>
  <c r="D41" i="125"/>
  <c r="D42" i="125"/>
  <c r="D43" i="125"/>
  <c r="D44" i="125"/>
  <c r="D45" i="125"/>
  <c r="D46" i="125"/>
  <c r="D47" i="125"/>
  <c r="D48" i="125"/>
  <c r="D49" i="125"/>
  <c r="D50" i="125"/>
  <c r="D51" i="125"/>
  <c r="D52" i="125"/>
  <c r="D53" i="125"/>
  <c r="D54" i="125"/>
  <c r="D55" i="125"/>
  <c r="D56" i="125"/>
  <c r="D57" i="125"/>
  <c r="D58" i="125"/>
  <c r="D59" i="125"/>
  <c r="D60" i="125"/>
  <c r="D61" i="125"/>
  <c r="D62" i="125"/>
  <c r="D63" i="125"/>
  <c r="D64" i="125"/>
  <c r="D65" i="125"/>
  <c r="D66" i="125"/>
  <c r="D67" i="125"/>
  <c r="D68" i="125"/>
  <c r="D69" i="125"/>
  <c r="D70" i="125"/>
  <c r="D71" i="125"/>
  <c r="D72" i="125"/>
  <c r="D73" i="125"/>
  <c r="D74" i="125"/>
  <c r="D75" i="125"/>
  <c r="D76" i="125"/>
  <c r="D77" i="125"/>
  <c r="D78" i="125"/>
  <c r="D79" i="125"/>
  <c r="D80" i="125"/>
  <c r="D81" i="125"/>
  <c r="D82" i="125"/>
  <c r="D83" i="125"/>
  <c r="D84" i="125"/>
  <c r="D85" i="125"/>
  <c r="D86" i="125"/>
  <c r="D87" i="125"/>
  <c r="D88" i="125"/>
  <c r="D89" i="125"/>
  <c r="D90" i="125"/>
  <c r="D91" i="125"/>
  <c r="D92" i="125"/>
  <c r="D93" i="125"/>
  <c r="D94" i="125"/>
  <c r="D95" i="125"/>
  <c r="D96" i="125"/>
  <c r="D97" i="125"/>
  <c r="D98" i="125"/>
  <c r="D99" i="125"/>
  <c r="D100" i="125"/>
  <c r="D101" i="125"/>
  <c r="D102" i="125"/>
  <c r="D103" i="125"/>
  <c r="D104" i="125"/>
  <c r="D105" i="125"/>
  <c r="D106" i="125"/>
  <c r="D107" i="125"/>
  <c r="D108" i="125"/>
  <c r="D109" i="125"/>
  <c r="D110" i="125"/>
  <c r="D111" i="125"/>
  <c r="D112" i="125"/>
  <c r="D113" i="125"/>
  <c r="D114" i="125"/>
  <c r="D115" i="125"/>
  <c r="D116" i="125"/>
  <c r="D117" i="125"/>
  <c r="D118" i="125"/>
  <c r="D6" i="125"/>
  <c r="J118" i="125"/>
  <c r="J117" i="125"/>
  <c r="J116" i="125"/>
  <c r="J109" i="125"/>
  <c r="J107" i="125"/>
  <c r="J106" i="125"/>
  <c r="J101" i="125"/>
  <c r="J100" i="125"/>
  <c r="J99" i="125"/>
  <c r="J97" i="125"/>
  <c r="J95" i="125"/>
  <c r="J93" i="125"/>
  <c r="J92" i="125"/>
  <c r="J91" i="125"/>
  <c r="J90" i="125"/>
  <c r="J87" i="125"/>
  <c r="J86" i="125"/>
  <c r="J83" i="125"/>
  <c r="J78" i="125"/>
  <c r="J77" i="125"/>
  <c r="J74" i="125"/>
  <c r="J72" i="125"/>
  <c r="J69" i="125"/>
  <c r="J67" i="125"/>
  <c r="J64" i="125"/>
  <c r="J59" i="125"/>
  <c r="J57" i="125"/>
  <c r="J56" i="125"/>
  <c r="J55" i="125"/>
  <c r="J53" i="125"/>
  <c r="J49" i="125"/>
  <c r="J47" i="125"/>
  <c r="J41" i="125"/>
  <c r="J40" i="125"/>
  <c r="J39" i="125"/>
  <c r="J38" i="125"/>
  <c r="J29" i="125"/>
  <c r="J28" i="125"/>
  <c r="J26" i="125"/>
  <c r="J24" i="125"/>
  <c r="J22" i="125"/>
  <c r="J20" i="125"/>
  <c r="J17" i="125"/>
  <c r="J15" i="125"/>
  <c r="J14" i="125"/>
  <c r="J11" i="125"/>
  <c r="J8" i="125"/>
  <c r="I38" i="125"/>
  <c r="I8" i="125"/>
  <c r="I11" i="125"/>
  <c r="I14" i="125"/>
  <c r="I15" i="125"/>
  <c r="I16" i="125"/>
  <c r="I17" i="125"/>
  <c r="I20" i="125"/>
  <c r="I22" i="125"/>
  <c r="I24" i="125"/>
  <c r="I26" i="125"/>
  <c r="I28" i="125"/>
  <c r="I29" i="125"/>
  <c r="I39" i="125"/>
  <c r="I40" i="125"/>
  <c r="I41" i="125"/>
  <c r="I47" i="125"/>
  <c r="I49" i="125"/>
  <c r="I56" i="125"/>
  <c r="I57" i="125"/>
  <c r="I59" i="125"/>
  <c r="I64" i="125"/>
  <c r="I67" i="125"/>
  <c r="I69" i="125"/>
  <c r="I72" i="125"/>
  <c r="I74" i="125"/>
  <c r="I77" i="125"/>
  <c r="I78" i="125"/>
  <c r="I79" i="125"/>
  <c r="I83" i="125"/>
  <c r="I86" i="125"/>
  <c r="I87" i="125"/>
  <c r="I90" i="125"/>
  <c r="I91" i="125"/>
  <c r="I92" i="125"/>
  <c r="I93" i="125"/>
  <c r="I95" i="125"/>
  <c r="I97" i="125"/>
  <c r="I99" i="125"/>
  <c r="I100" i="125"/>
  <c r="I101" i="125"/>
  <c r="I106" i="125"/>
  <c r="I107" i="125"/>
  <c r="I118" i="125"/>
  <c r="I117" i="125"/>
  <c r="I116" i="125"/>
  <c r="I109" i="125"/>
  <c r="G79" i="125"/>
  <c r="G72" i="125"/>
  <c r="G69" i="125"/>
  <c r="G55" i="125"/>
  <c r="G20" i="125"/>
  <c r="G17" i="125"/>
  <c r="A7" i="125" l="1"/>
  <c r="B7" i="125"/>
  <c r="C7" i="125"/>
  <c r="A8" i="125"/>
  <c r="B8" i="125"/>
  <c r="C8" i="125"/>
  <c r="A9" i="125"/>
  <c r="B9" i="125"/>
  <c r="C9" i="125"/>
  <c r="A10" i="125"/>
  <c r="B10" i="125"/>
  <c r="C10" i="125"/>
  <c r="A11" i="125"/>
  <c r="B11" i="125"/>
  <c r="C11" i="125"/>
  <c r="A12" i="125"/>
  <c r="B12" i="125"/>
  <c r="C12" i="125"/>
  <c r="A13" i="125"/>
  <c r="B13" i="125"/>
  <c r="C13" i="125"/>
  <c r="A14" i="125"/>
  <c r="B14" i="125"/>
  <c r="C14" i="125"/>
  <c r="A15" i="125"/>
  <c r="B15" i="125"/>
  <c r="C15" i="125"/>
  <c r="A16" i="125"/>
  <c r="B16" i="125"/>
  <c r="C16" i="125"/>
  <c r="A17" i="125"/>
  <c r="B17" i="125"/>
  <c r="C17" i="125"/>
  <c r="A18" i="125"/>
  <c r="B18" i="125"/>
  <c r="C18" i="125"/>
  <c r="A19" i="125"/>
  <c r="B19" i="125"/>
  <c r="C19" i="125"/>
  <c r="A20" i="125"/>
  <c r="B20" i="125"/>
  <c r="C20" i="125"/>
  <c r="A21" i="125"/>
  <c r="B21" i="125"/>
  <c r="C21" i="125"/>
  <c r="A22" i="125"/>
  <c r="B22" i="125"/>
  <c r="C22" i="125"/>
  <c r="A23" i="125"/>
  <c r="B23" i="125"/>
  <c r="C23" i="125"/>
  <c r="A24" i="125"/>
  <c r="B24" i="125"/>
  <c r="C24" i="125"/>
  <c r="A25" i="125"/>
  <c r="B25" i="125"/>
  <c r="C25" i="125"/>
  <c r="A26" i="125"/>
  <c r="B26" i="125"/>
  <c r="C26" i="125"/>
  <c r="A27" i="125"/>
  <c r="B27" i="125"/>
  <c r="C27" i="125"/>
  <c r="A28" i="125"/>
  <c r="B28" i="125"/>
  <c r="C28" i="125"/>
  <c r="A29" i="125"/>
  <c r="B29" i="125"/>
  <c r="C29" i="125"/>
  <c r="A30" i="125"/>
  <c r="B30" i="125"/>
  <c r="C30" i="125"/>
  <c r="A31" i="125"/>
  <c r="B31" i="125"/>
  <c r="C31" i="125"/>
  <c r="A32" i="125"/>
  <c r="B32" i="125"/>
  <c r="C32" i="125"/>
  <c r="A33" i="125"/>
  <c r="B33" i="125"/>
  <c r="C33" i="125"/>
  <c r="A34" i="125"/>
  <c r="B34" i="125"/>
  <c r="C34" i="125"/>
  <c r="A35" i="125"/>
  <c r="B35" i="125"/>
  <c r="C35" i="125"/>
  <c r="A36" i="125"/>
  <c r="B36" i="125"/>
  <c r="C36" i="125"/>
  <c r="A37" i="125"/>
  <c r="B37" i="125"/>
  <c r="C37" i="125"/>
  <c r="A38" i="125"/>
  <c r="B38" i="125"/>
  <c r="C38" i="125"/>
  <c r="A39" i="125"/>
  <c r="B39" i="125"/>
  <c r="C39" i="125"/>
  <c r="A40" i="125"/>
  <c r="B40" i="125"/>
  <c r="C40" i="125"/>
  <c r="A41" i="125"/>
  <c r="B41" i="125"/>
  <c r="C41" i="125"/>
  <c r="A42" i="125"/>
  <c r="B42" i="125"/>
  <c r="C42" i="125"/>
  <c r="A43" i="125"/>
  <c r="B43" i="125"/>
  <c r="C43" i="125"/>
  <c r="A44" i="125"/>
  <c r="B44" i="125"/>
  <c r="C44" i="125"/>
  <c r="A45" i="125"/>
  <c r="B45" i="125"/>
  <c r="C45" i="125"/>
  <c r="A46" i="125"/>
  <c r="B46" i="125"/>
  <c r="C46" i="125"/>
  <c r="A47" i="125"/>
  <c r="B47" i="125"/>
  <c r="C47" i="125"/>
  <c r="A48" i="125"/>
  <c r="B48" i="125"/>
  <c r="C48" i="125"/>
  <c r="A49" i="125"/>
  <c r="B49" i="125"/>
  <c r="C49" i="125"/>
  <c r="A50" i="125"/>
  <c r="B50" i="125"/>
  <c r="C50" i="125"/>
  <c r="A51" i="125"/>
  <c r="B51" i="125"/>
  <c r="C51" i="125"/>
  <c r="A52" i="125"/>
  <c r="B52" i="125"/>
  <c r="C52" i="125"/>
  <c r="A53" i="125"/>
  <c r="B53" i="125"/>
  <c r="C53" i="125"/>
  <c r="A54" i="125"/>
  <c r="B54" i="125"/>
  <c r="C54" i="125"/>
  <c r="A55" i="125"/>
  <c r="B55" i="125"/>
  <c r="C55" i="125"/>
  <c r="A56" i="125"/>
  <c r="B56" i="125"/>
  <c r="C56" i="125"/>
  <c r="A57" i="125"/>
  <c r="B57" i="125"/>
  <c r="C57" i="125"/>
  <c r="A58" i="125"/>
  <c r="B58" i="125"/>
  <c r="C58" i="125"/>
  <c r="A59" i="125"/>
  <c r="B59" i="125"/>
  <c r="C59" i="125"/>
  <c r="A60" i="125"/>
  <c r="B60" i="125"/>
  <c r="C60" i="125"/>
  <c r="A61" i="125"/>
  <c r="B61" i="125"/>
  <c r="C61" i="125"/>
  <c r="A62" i="125"/>
  <c r="B62" i="125"/>
  <c r="C62" i="125"/>
  <c r="A63" i="125"/>
  <c r="B63" i="125"/>
  <c r="C63" i="125"/>
  <c r="A64" i="125"/>
  <c r="B64" i="125"/>
  <c r="C64" i="125"/>
  <c r="A65" i="125"/>
  <c r="B65" i="125"/>
  <c r="C65" i="125"/>
  <c r="A66" i="125"/>
  <c r="B66" i="125"/>
  <c r="C66" i="125"/>
  <c r="A67" i="125"/>
  <c r="B67" i="125"/>
  <c r="C67" i="125"/>
  <c r="A68" i="125"/>
  <c r="B68" i="125"/>
  <c r="C68" i="125"/>
  <c r="A69" i="125"/>
  <c r="B69" i="125"/>
  <c r="C69" i="125"/>
  <c r="A70" i="125"/>
  <c r="B70" i="125"/>
  <c r="C70" i="125"/>
  <c r="A71" i="125"/>
  <c r="B71" i="125"/>
  <c r="C71" i="125"/>
  <c r="A72" i="125"/>
  <c r="B72" i="125"/>
  <c r="C72" i="125"/>
  <c r="A73" i="125"/>
  <c r="B73" i="125"/>
  <c r="C73" i="125"/>
  <c r="A74" i="125"/>
  <c r="B74" i="125"/>
  <c r="C74" i="125"/>
  <c r="A75" i="125"/>
  <c r="B75" i="125"/>
  <c r="C75" i="125"/>
  <c r="A76" i="125"/>
  <c r="B76" i="125"/>
  <c r="C76" i="125"/>
  <c r="A77" i="125"/>
  <c r="B77" i="125"/>
  <c r="C77" i="125"/>
  <c r="A78" i="125"/>
  <c r="B78" i="125"/>
  <c r="C78" i="125"/>
  <c r="A79" i="125"/>
  <c r="B79" i="125"/>
  <c r="C79" i="125"/>
  <c r="A80" i="125"/>
  <c r="B80" i="125"/>
  <c r="C80" i="125"/>
  <c r="A81" i="125"/>
  <c r="B81" i="125"/>
  <c r="C81" i="125"/>
  <c r="A82" i="125"/>
  <c r="B82" i="125"/>
  <c r="C82" i="125"/>
  <c r="A83" i="125"/>
  <c r="B83" i="125"/>
  <c r="C83" i="125"/>
  <c r="A84" i="125"/>
  <c r="B84" i="125"/>
  <c r="C84" i="125"/>
  <c r="A85" i="125"/>
  <c r="B85" i="125"/>
  <c r="C85" i="125"/>
  <c r="A86" i="125"/>
  <c r="B86" i="125"/>
  <c r="C86" i="125"/>
  <c r="A87" i="125"/>
  <c r="B87" i="125"/>
  <c r="C87" i="125"/>
  <c r="A88" i="125"/>
  <c r="B88" i="125"/>
  <c r="C88" i="125"/>
  <c r="A89" i="125"/>
  <c r="B89" i="125"/>
  <c r="C89" i="125"/>
  <c r="A90" i="125"/>
  <c r="B90" i="125"/>
  <c r="C90" i="125"/>
  <c r="A91" i="125"/>
  <c r="B91" i="125"/>
  <c r="C91" i="125"/>
  <c r="A92" i="125"/>
  <c r="B92" i="125"/>
  <c r="C92" i="125"/>
  <c r="A93" i="125"/>
  <c r="B93" i="125"/>
  <c r="C93" i="125"/>
  <c r="A94" i="125"/>
  <c r="B94" i="125"/>
  <c r="C94" i="125"/>
  <c r="A95" i="125"/>
  <c r="B95" i="125"/>
  <c r="C95" i="125"/>
  <c r="A96" i="125"/>
  <c r="B96" i="125"/>
  <c r="C96" i="125"/>
  <c r="A97" i="125"/>
  <c r="B97" i="125"/>
  <c r="C97" i="125"/>
  <c r="A98" i="125"/>
  <c r="B98" i="125"/>
  <c r="C98" i="125"/>
  <c r="A99" i="125"/>
  <c r="B99" i="125"/>
  <c r="C99" i="125"/>
  <c r="A100" i="125"/>
  <c r="B100" i="125"/>
  <c r="C100" i="125"/>
  <c r="A101" i="125"/>
  <c r="B101" i="125"/>
  <c r="C101" i="125"/>
  <c r="A102" i="125"/>
  <c r="B102" i="125"/>
  <c r="C102" i="125"/>
  <c r="A103" i="125"/>
  <c r="B103" i="125"/>
  <c r="C103" i="125"/>
  <c r="A104" i="125"/>
  <c r="B104" i="125"/>
  <c r="C104" i="125"/>
  <c r="A105" i="125"/>
  <c r="B105" i="125"/>
  <c r="C105" i="125"/>
  <c r="A106" i="125"/>
  <c r="B106" i="125"/>
  <c r="C106" i="125"/>
  <c r="A107" i="125"/>
  <c r="B107" i="125"/>
  <c r="C107" i="125"/>
  <c r="A108" i="125"/>
  <c r="B108" i="125"/>
  <c r="C108" i="125"/>
  <c r="A109" i="125"/>
  <c r="B109" i="125"/>
  <c r="C109" i="125"/>
  <c r="A110" i="125"/>
  <c r="B110" i="125"/>
  <c r="C110" i="125"/>
  <c r="A111" i="125"/>
  <c r="B111" i="125"/>
  <c r="C111" i="125"/>
  <c r="A112" i="125"/>
  <c r="B112" i="125"/>
  <c r="C112" i="125"/>
  <c r="A113" i="125"/>
  <c r="B113" i="125"/>
  <c r="C113" i="125"/>
  <c r="A114" i="125"/>
  <c r="B114" i="125"/>
  <c r="C114" i="125"/>
  <c r="A115" i="125"/>
  <c r="B115" i="125"/>
  <c r="C115" i="125"/>
  <c r="A116" i="125"/>
  <c r="B116" i="125"/>
  <c r="C116" i="125"/>
  <c r="A117" i="125"/>
  <c r="B117" i="125"/>
  <c r="C117" i="125"/>
  <c r="A118" i="125"/>
  <c r="B118" i="125"/>
  <c r="C118" i="125"/>
  <c r="B6" i="125"/>
  <c r="C6" i="125"/>
  <c r="A6" i="125"/>
  <c r="E118" i="125"/>
  <c r="E117" i="125"/>
  <c r="E108" i="125"/>
  <c r="E107" i="125"/>
  <c r="E106" i="125"/>
  <c r="E92" i="125"/>
  <c r="E91" i="125"/>
  <c r="E40" i="125"/>
  <c r="E39" i="125"/>
  <c r="E38" i="125"/>
  <c r="E28" i="125"/>
  <c r="E22" i="125"/>
  <c r="E16" i="125"/>
  <c r="E15" i="1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0E0EE0-D8FD-8846-B41A-CEC9E1C03E72}" name="country_codes" type="6" refreshedVersion="8" background="1" saveData="1">
    <textPr codePage="10000" sourceFile="/Users/wilhelmwanecek/dev/safad-scripts/R scripts/country_codes.csv" decimal=",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<sst xmlns="http://schemas.openxmlformats.org/spreadsheetml/2006/main" count="1459" uniqueCount="903">
  <si>
    <t>Introduction to the dataset</t>
  </si>
  <si>
    <t>Crops</t>
  </si>
  <si>
    <t>Pesticides</t>
  </si>
  <si>
    <t>Crop code</t>
  </si>
  <si>
    <t>Crop</t>
  </si>
  <si>
    <t>Category</t>
  </si>
  <si>
    <t>Grown in country</t>
  </si>
  <si>
    <t>Share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</si>
  <si>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</si>
  <si>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</si>
  <si>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</si>
  <si>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</si>
  <si>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</si>
  <si>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</si>
  <si>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</si>
  <si>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</si>
  <si>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</si>
  <si>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</si>
  <si>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</si>
  <si>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</si>
  <si>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</si>
  <si>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</si>
  <si>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</si>
  <si>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</si>
  <si>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</si>
  <si>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</si>
  <si>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</si>
  <si>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</si>
  <si>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</si>
  <si>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</si>
  <si>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</si>
  <si>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</si>
  <si>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</si>
  <si>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</si>
  <si>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</si>
  <si>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</si>
  <si>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</si>
  <si>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</si>
  <si>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</si>
  <si>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</si>
  <si>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</si>
  <si>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</si>
  <si>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</si>
  <si>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</si>
  <si>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</si>
  <si>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</si>
  <si>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</si>
  <si>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</si>
  <si>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</si>
  <si>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</si>
  <si>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</si>
  <si>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</si>
  <si>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</si>
  <si>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</si>
  <si>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</si>
  <si>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</si>
  <si>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</si>
  <si>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</si>
  <si>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</si>
  <si>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</si>
  <si>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</si>
  <si>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</si>
  <si>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</si>
  <si>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</si>
  <si>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</si>
  <si>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</si>
  <si>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</si>
  <si>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</si>
  <si>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</si>
  <si>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</si>
  <si>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</si>
  <si>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</si>
  <si>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</si>
  <si>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</si>
  <si>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</si>
  <si>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</si>
  <si>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</si>
  <si>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</si>
  <si>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</si>
  <si>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</si>
  <si>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</si>
  <si>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</si>
  <si>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</si>
  <si>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</si>
  <si>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</si>
  <si>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</si>
  <si>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</si>
  <si>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</si>
  <si>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</si>
  <si>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</si>
  <si>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</si>
  <si>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</si>
  <si>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</si>
  <si>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</si>
  <si>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</si>
  <si>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</si>
  <si>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</si>
  <si>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</si>
  <si>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</si>
  <si>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</si>
  <si>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</si>
  <si>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</si>
  <si>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</si>
  <si>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</si>
  <si>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</si>
  <si>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</si>
  <si>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</si>
  <si>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</si>
  <si>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</si>
  <si>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</si>
  <si>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</si>
  <si>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</si>
  <si>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</si>
  <si>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</si>
  <si>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</si>
  <si>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</si>
  <si>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</si>
  <si>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</si>
  <si>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</si>
  <si>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</si>
  <si>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</si>
  <si>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Nutrient inputs</t>
  </si>
  <si>
    <t xml:space="preserve">Energy </t>
  </si>
  <si>
    <t>N fixation, kg N/ha</t>
  </si>
  <si>
    <t>Diesel use, l/ha</t>
  </si>
  <si>
    <t>Pesticide use,          kg a.i./ha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</si>
  <si>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</si>
  <si>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</si>
  <si>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</si>
  <si>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</si>
  <si>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</si>
  <si>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</si>
  <si>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SBA, 2004</t>
  </si>
  <si>
    <t>SBA, 2011</t>
  </si>
  <si>
    <t>SS, 2022</t>
  </si>
  <si>
    <t>Apricots</t>
  </si>
  <si>
    <t>Artichokes</t>
  </si>
  <si>
    <t>Asparagus</t>
  </si>
  <si>
    <t>Jensen, 2013</t>
  </si>
  <si>
    <t>Baky et al., 2010, average for vegetables</t>
  </si>
  <si>
    <t>SS, 2022. Avg for vegetables</t>
  </si>
  <si>
    <t>Avocados</t>
  </si>
  <si>
    <t>Bananas</t>
  </si>
  <si>
    <t>Barley, average</t>
  </si>
  <si>
    <t>Cereals, incl feed</t>
  </si>
  <si>
    <t>Barley, spring</t>
  </si>
  <si>
    <t>Cereals</t>
  </si>
  <si>
    <t>SS, 2020</t>
  </si>
  <si>
    <t>Baky et al., 2010</t>
  </si>
  <si>
    <t>Barley, winter</t>
  </si>
  <si>
    <t>Beans, dry</t>
  </si>
  <si>
    <t>Pulses</t>
  </si>
  <si>
    <t>Tidåker et al, 2021</t>
  </si>
  <si>
    <t>Tidåker et al., 2021</t>
  </si>
  <si>
    <t>Tidåker et al, 2021, common bean conv</t>
  </si>
  <si>
    <t>Blueberries</t>
  </si>
  <si>
    <t>Berries</t>
  </si>
  <si>
    <t>Brazil nuts, in shell</t>
  </si>
  <si>
    <t>Broad beans and horse beans, dry</t>
  </si>
  <si>
    <t>Pulses, incl feed</t>
  </si>
  <si>
    <t>Lassaletta et al., 2014</t>
  </si>
  <si>
    <t>SS 2020</t>
  </si>
  <si>
    <t>Broad beans and horse beans, green</t>
  </si>
  <si>
    <t>Broccoli</t>
  </si>
  <si>
    <t>Marmolin &amp; Björkholm, n.d., Björkholm, A-M., pers. comm. (2019)</t>
  </si>
  <si>
    <t>Buckwheat</t>
  </si>
  <si>
    <t>Seeds</t>
  </si>
  <si>
    <t>Cabbages</t>
  </si>
  <si>
    <t>Cantaloupes and other melons</t>
  </si>
  <si>
    <t>Carrots and turnips</t>
  </si>
  <si>
    <t>Marmolin &amp; Björkholm, n.d.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</si>
  <si>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</si>
  <si>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</si>
  <si>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</si>
  <si>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</si>
  <si>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</si>
  <si>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</si>
  <si>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</si>
  <si>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</si>
  <si>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</si>
  <si>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</si>
  <si>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</si>
  <si>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</si>
  <si>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</si>
  <si>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</si>
  <si>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approx strawberries</t>
  </si>
  <si>
    <t>Cucumbers and gherkins, greenhouse</t>
  </si>
  <si>
    <t>Davis et al. 2011</t>
  </si>
  <si>
    <t>Davis et al. (2011)</t>
  </si>
  <si>
    <t>Cucumbers and gherkins, openfield</t>
  </si>
  <si>
    <t>Currants</t>
  </si>
  <si>
    <t xml:space="preserve">SBA, undated. </t>
  </si>
  <si>
    <t>Baky et al., 2010, average for berries</t>
  </si>
  <si>
    <t>SS, 2022. Strawberry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</si>
  <si>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</si>
  <si>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</si>
  <si>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</si>
  <si>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</si>
  <si>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</si>
  <si>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</si>
  <si>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</si>
  <si>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Baky et al., 2010, average for fruit</t>
  </si>
  <si>
    <t>SS, 2022. Avg for fruits</t>
  </si>
  <si>
    <t>Green corn (maize)</t>
  </si>
  <si>
    <t>Green garlic</t>
  </si>
  <si>
    <t>approx onions and challots</t>
  </si>
  <si>
    <t>approx onion and shallots</t>
  </si>
  <si>
    <t>Groundnuts, excluding shelled</t>
  </si>
  <si>
    <t>Hazelnuts, in shell</t>
  </si>
  <si>
    <t>Kiwi fruit</t>
  </si>
  <si>
    <t>Leeks and other alliaceous vegetables</t>
  </si>
  <si>
    <t>Marmolin &amp; Björkholm, n.d</t>
  </si>
  <si>
    <t>Lemons and limes</t>
  </si>
  <si>
    <t>Lentils, dry</t>
  </si>
  <si>
    <t>approx peas</t>
  </si>
  <si>
    <t>Lettuce and chicory</t>
  </si>
  <si>
    <t>Linseed</t>
  </si>
  <si>
    <t>Ludeman, 2022</t>
  </si>
  <si>
    <t>Lupins</t>
  </si>
  <si>
    <t>Maize (corn)</t>
  </si>
  <si>
    <t>Baky et al., 2010, average for cereals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</si>
  <si>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</si>
  <si>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</si>
  <si>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</si>
  <si>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</si>
  <si>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</si>
  <si>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</si>
  <si>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</si>
  <si>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</si>
  <si>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</si>
  <si>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</si>
  <si>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Oranges</t>
  </si>
  <si>
    <t>Other beans, green</t>
  </si>
  <si>
    <t>SS, 2020 Faba bean</t>
  </si>
  <si>
    <t>SS, 2022 Avg Fava Bean / Peas</t>
  </si>
  <si>
    <t>Other fruits, n.e.c.</t>
  </si>
  <si>
    <t>Other oil seeds, n.e.c.</t>
  </si>
  <si>
    <t>Oil crops</t>
  </si>
  <si>
    <t>Other pulses n.e.c.</t>
  </si>
  <si>
    <t>Other stimulant, spice and aromatic crops, n.e.c.</t>
  </si>
  <si>
    <t>Other vegetables, fresh n.e.c.</t>
  </si>
  <si>
    <t>mean all vegetables with data</t>
  </si>
  <si>
    <t>Papayas</t>
  </si>
  <si>
    <t>Peaches and nectarines</t>
  </si>
  <si>
    <t>Pears</t>
  </si>
  <si>
    <t>Peas, dry</t>
  </si>
  <si>
    <t>Peas, green</t>
  </si>
  <si>
    <t>Pepper (Piper spp.), raw</t>
  </si>
  <si>
    <t>Pineapples</t>
  </si>
  <si>
    <t>Plantains and cooking bananas</t>
  </si>
  <si>
    <t>Plums and sloes</t>
  </si>
  <si>
    <t>approx apples</t>
  </si>
  <si>
    <t>Pomelos and grapefruits</t>
  </si>
  <si>
    <t>Poppy seed</t>
  </si>
  <si>
    <t>Potatoes</t>
  </si>
  <si>
    <t>Pumpkins, squash and gourds</t>
  </si>
  <si>
    <t>Karlsson-Potter, 2023</t>
  </si>
  <si>
    <t>Quinces</t>
  </si>
  <si>
    <t>Other</t>
  </si>
  <si>
    <t>Quinoa</t>
  </si>
  <si>
    <t>Rape or colza seed, average</t>
  </si>
  <si>
    <t>Rape or colza seed, spring</t>
  </si>
  <si>
    <t>SS, 2020 (winter)</t>
  </si>
  <si>
    <t>Rape or colza seed, winter</t>
  </si>
  <si>
    <t>Raspberries</t>
  </si>
  <si>
    <t>Nilsson (2011)</t>
  </si>
  <si>
    <t>Rice</t>
  </si>
  <si>
    <t>Rye</t>
  </si>
  <si>
    <t>Sorghum</t>
  </si>
  <si>
    <t>Sour cherries</t>
  </si>
  <si>
    <t>approx raspberries</t>
  </si>
  <si>
    <t>Soya beans</t>
  </si>
  <si>
    <t>Spinach</t>
  </si>
  <si>
    <t>proportional as lettuce and chicory</t>
  </si>
  <si>
    <t>Strawberries</t>
  </si>
  <si>
    <t>Davis et al., 2011</t>
  </si>
  <si>
    <t>Sugar beet</t>
  </si>
  <si>
    <t>Sugar crops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</si>
  <si>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</si>
  <si>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</si>
  <si>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</si>
  <si>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</si>
  <si>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</si>
  <si>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</si>
  <si>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Röös &amp; Karlsson, 2013</t>
  </si>
  <si>
    <t>Tomatoes, openfield</t>
  </si>
  <si>
    <t>Triticale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</si>
  <si>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</si>
  <si>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</si>
  <si>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</si>
  <si>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</si>
  <si>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</si>
  <si>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</si>
  <si>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</si>
  <si>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</si>
  <si>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</si>
  <si>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Reference list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</si>
  <si>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</si>
  <si>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</si>
  <si>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</si>
  <si>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</si>
  <si>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</si>
  <si>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</si>
  <si>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</si>
  <si>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</si>
  <si>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</si>
  <si>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</si>
  <si>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</si>
  <si>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</si>
  <si>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</si>
  <si>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</si>
  <si>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</si>
  <si>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</si>
  <si>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</si>
  <si>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</si>
  <si>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</si>
  <si>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</si>
  <si>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</si>
  <si>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</si>
  <si>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</si>
  <si>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</si>
  <si>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</si>
  <si>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</si>
  <si>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</si>
  <si>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</si>
  <si>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</si>
  <si>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</si>
  <si>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Undated.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</si>
  <si>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</si>
  <si>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>SS. 2022. https://www.scb.se/contentassets/6e042f0902bb449fb15edc4c1eb8e22c/mi0502_2021i20_br_mi31br2202.pdf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</si>
  <si>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</si>
  <si>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</si>
  <si>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</si>
  <si>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</si>
  <si>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</si>
  <si>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Personal Communication:</t>
  </si>
  <si>
    <t>Björkholm, A-M. 2019. Rådgivning grönsaker, bär och frukt, växtodling/Advisor vegetables, berries and fruits, plant production. Hushållningssällskapet.</t>
  </si>
  <si>
    <t>Default inputs per hectare</t>
  </si>
  <si>
    <t>This is a dataset that includes input data for calculating the environmental footprints.</t>
  </si>
  <si>
    <t>Fertilisers</t>
  </si>
  <si>
    <t>Nitrogen fixation</t>
  </si>
  <si>
    <t>Pesticide use, kg a.i./ha</t>
  </si>
  <si>
    <t>Min N fertiliser,            kg N/ha</t>
  </si>
  <si>
    <t>Min P fertiliser, kg P/ha</t>
  </si>
  <si>
    <t>Mineral N fertiliser, kg N/ha</t>
  </si>
  <si>
    <t>Min P fertilier, kg P/ha</t>
  </si>
  <si>
    <t>Inputs per hectare, Sweden</t>
  </si>
  <si>
    <t>Inputs per hectare, Argentina</t>
  </si>
  <si>
    <t>No</t>
  </si>
  <si>
    <t>Yes</t>
  </si>
  <si>
    <t>Pesticides per hectare and country</t>
  </si>
  <si>
    <t>AR</t>
  </si>
  <si>
    <t>AU</t>
  </si>
  <si>
    <t>AT</t>
  </si>
  <si>
    <t>BE</t>
  </si>
  <si>
    <t>BO</t>
  </si>
  <si>
    <t>BR</t>
  </si>
  <si>
    <t>BG</t>
  </si>
  <si>
    <t>Default</t>
  </si>
  <si>
    <t>Diesel use per hectare and country</t>
  </si>
  <si>
    <t>Ha en defaultkolumn som används om inget annat anges, problemet är för kvävet som vi vill skala mot skörden som vi inte har här</t>
  </si>
  <si>
    <t>country_name</t>
  </si>
  <si>
    <t>country_code</t>
  </si>
  <si>
    <t>Afghanistan</t>
  </si>
  <si>
    <t>AF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</si>
  <si>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</si>
  <si>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</si>
  <si>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</si>
  <si>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</si>
  <si>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</si>
  <si>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</si>
  <si>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</si>
  <si>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</si>
  <si>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</si>
  <si>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</si>
  <si>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</si>
  <si>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</si>
  <si>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Antarctica‚Ää[b]</t>
  </si>
  <si>
    <t>AQ</t>
  </si>
  <si>
    <t>Antigua and Barbuda</t>
  </si>
  <si>
    <t>AG</t>
  </si>
  <si>
    <t>Argentina</t>
  </si>
  <si>
    <t>Armenia</t>
  </si>
  <si>
    <t>AM</t>
  </si>
  <si>
    <t>Aruba</t>
  </si>
  <si>
    <t>AW</t>
  </si>
  <si>
    <t>Australia</t>
  </si>
  <si>
    <t>Australia‚Ää[c]</t>
  </si>
  <si>
    <t>Austria</t>
  </si>
  <si>
    <t>Azerbaijan</t>
  </si>
  <si>
    <t>AZ</t>
  </si>
  <si>
    <t>Bahamas (the)</t>
  </si>
  <si>
    <t>BS</t>
  </si>
  <si>
    <t>Bahamas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</si>
  <si>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</si>
  <si>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</si>
  <si>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</si>
  <si>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</si>
  <si>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</si>
  <si>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</si>
  <si>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</si>
  <si>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</si>
  <si>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</si>
  <si>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</si>
  <si>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</si>
  <si>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</si>
  <si>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</si>
  <si>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</si>
  <si>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</si>
  <si>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</si>
  <si>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</si>
  <si>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 (Plurinational State of)</t>
  </si>
  <si>
    <t>Bolivia</t>
  </si>
  <si>
    <t>Bonaire¬†Sint Eustatius¬†Saba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</si>
  <si>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</si>
  <si>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</si>
  <si>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</si>
  <si>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</si>
  <si>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</si>
  <si>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</si>
  <si>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</si>
  <si>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</si>
  <si>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British Indian Ocean Territory (the)</t>
  </si>
  <si>
    <t>IO</t>
  </si>
  <si>
    <t>Brunei Darussalam</t>
  </si>
  <si>
    <t>BN</t>
  </si>
  <si>
    <t>Brunei Darussalam‚Ää[f]</t>
  </si>
  <si>
    <t>Bulgaria</t>
  </si>
  <si>
    <t>Burkina Faso</t>
  </si>
  <si>
    <t>BF</t>
  </si>
  <si>
    <t>Burundi</t>
  </si>
  <si>
    <t>BI</t>
  </si>
  <si>
    <t>Cabo Verde</t>
  </si>
  <si>
    <t>CV</t>
  </si>
  <si>
    <t>Cabo Verde‚Ää[g]</t>
  </si>
  <si>
    <t>Cambodia</t>
  </si>
  <si>
    <t>KH</t>
  </si>
  <si>
    <t>Cameroon</t>
  </si>
  <si>
    <t>CM</t>
  </si>
  <si>
    <t>Canada</t>
  </si>
  <si>
    <t>CA</t>
  </si>
  <si>
    <t>Cayman Islands (the)</t>
  </si>
  <si>
    <t>KY</t>
  </si>
  <si>
    <t>Central African Republic (the)</t>
  </si>
  <si>
    <t>CF</t>
  </si>
  <si>
    <t>Central African Republic</t>
  </si>
  <si>
    <t>Chad</t>
  </si>
  <si>
    <t>TD</t>
  </si>
  <si>
    <t>Chile</t>
  </si>
  <si>
    <t>CL</t>
  </si>
  <si>
    <t>China</t>
  </si>
  <si>
    <t>CN</t>
  </si>
  <si>
    <t>China, Hong Kong SAR</t>
  </si>
  <si>
    <t>HK</t>
  </si>
  <si>
    <t>China, Macao SAR</t>
  </si>
  <si>
    <t>MO</t>
  </si>
  <si>
    <t>China, Taiwan Province of</t>
  </si>
  <si>
    <t>TW</t>
  </si>
  <si>
    <t>China, mainland</t>
  </si>
  <si>
    <t>Christmas Island</t>
  </si>
  <si>
    <t>CX</t>
  </si>
  <si>
    <t>Cocos (Keeling) Islands (the)</t>
  </si>
  <si>
    <t>CC</t>
  </si>
  <si>
    <t>Colombia</t>
  </si>
  <si>
    <t>CO</t>
  </si>
  <si>
    <t>Comoros (the)</t>
  </si>
  <si>
    <t>KM</t>
  </si>
  <si>
    <t>Comoros</t>
  </si>
  <si>
    <t>Congo (the Democratic Republic of the)</t>
  </si>
  <si>
    <t>CD</t>
  </si>
  <si>
    <t>Congo (the)‚Ää[h]</t>
  </si>
  <si>
    <t>CG</t>
  </si>
  <si>
    <t>Congo</t>
  </si>
  <si>
    <t>Cook Islands (the)</t>
  </si>
  <si>
    <t>CK</t>
  </si>
  <si>
    <t>Cook Islands</t>
  </si>
  <si>
    <t>Costa Rica</t>
  </si>
  <si>
    <t>CR</t>
  </si>
  <si>
    <t>Cote d'Ivoire</t>
  </si>
  <si>
    <t>CI</t>
  </si>
  <si>
    <t>Croatia</t>
  </si>
  <si>
    <t>HR</t>
  </si>
  <si>
    <t>Cuba</t>
  </si>
  <si>
    <t>CU</t>
  </si>
  <si>
    <t>Cura√ßao</t>
  </si>
  <si>
    <t>CW</t>
  </si>
  <si>
    <t>Cyprus</t>
  </si>
  <si>
    <t>CY</t>
  </si>
  <si>
    <t>Czechia</t>
  </si>
  <si>
    <t>CZ</t>
  </si>
  <si>
    <t>Czechia‚Ää[j]</t>
  </si>
  <si>
    <t>C√¥te d'Ivoire</t>
  </si>
  <si>
    <t>Democratic People's Republic of Korea</t>
  </si>
  <si>
    <t>KP</t>
  </si>
  <si>
    <t>Democratic Republic of the Congo</t>
  </si>
  <si>
    <t>Denmark</t>
  </si>
  <si>
    <t>DK</t>
  </si>
  <si>
    <t>Djibouti</t>
  </si>
  <si>
    <t>DJ</t>
  </si>
  <si>
    <t>Dominica</t>
  </si>
  <si>
    <t>DM</t>
  </si>
  <si>
    <t>Dominican Republic (the)</t>
  </si>
  <si>
    <t>DO</t>
  </si>
  <si>
    <t>Dominican Republic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</si>
  <si>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</si>
  <si>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</si>
  <si>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</si>
  <si>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</si>
  <si>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</si>
  <si>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</si>
  <si>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</si>
  <si>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</si>
  <si>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</si>
  <si>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</si>
  <si>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</si>
  <si>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</si>
  <si>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</t>
  </si>
  <si>
    <t>SZ</t>
  </si>
  <si>
    <t>Eswatini‚Ää[k]</t>
  </si>
  <si>
    <t>Ethiopia</t>
  </si>
  <si>
    <t>ET</t>
  </si>
  <si>
    <t>Falkland Islands (the) [Malvinas]‚Ää[l]</t>
  </si>
  <si>
    <t>FK</t>
  </si>
  <si>
    <t>Faroe Islands (the)</t>
  </si>
  <si>
    <t>FO</t>
  </si>
  <si>
    <t>Faroe Islands</t>
  </si>
  <si>
    <t>Fiji</t>
  </si>
  <si>
    <t>FJ</t>
  </si>
  <si>
    <t>Finland</t>
  </si>
  <si>
    <t>FI</t>
  </si>
  <si>
    <t>France</t>
  </si>
  <si>
    <t>FR</t>
  </si>
  <si>
    <t>France‚Ää[m]</t>
  </si>
  <si>
    <t>French Guiana</t>
  </si>
  <si>
    <t>GF</t>
  </si>
  <si>
    <t>French Polynesia</t>
  </si>
  <si>
    <t>PF</t>
  </si>
  <si>
    <t>French Southern Territories (the)‚Ää[n]</t>
  </si>
  <si>
    <t>TF</t>
  </si>
  <si>
    <t>Gabon</t>
  </si>
  <si>
    <t>GA</t>
  </si>
  <si>
    <t>Gambia (the)</t>
  </si>
  <si>
    <t>GM</t>
  </si>
  <si>
    <t>Gambia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</si>
  <si>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</si>
  <si>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</si>
  <si>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</si>
  <si>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</si>
  <si>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</si>
  <si>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</si>
  <si>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</si>
  <si>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</si>
  <si>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</si>
  <si>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</si>
  <si>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</si>
  <si>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</si>
  <si>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</si>
  <si>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</si>
  <si>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</si>
  <si>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</si>
  <si>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</si>
  <si>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</si>
  <si>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</si>
  <si>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</si>
  <si>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</si>
  <si>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</si>
  <si>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</si>
  <si>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</si>
  <si>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</si>
  <si>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</si>
  <si>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</si>
  <si>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</si>
  <si>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</si>
  <si>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</si>
  <si>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</si>
  <si>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</si>
  <si>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(the)‚Ää[o]</t>
  </si>
  <si>
    <t>VA</t>
  </si>
  <si>
    <t>Honduras</t>
  </si>
  <si>
    <t>HN</t>
  </si>
  <si>
    <t>Hong Kong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</si>
  <si>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</si>
  <si>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</si>
  <si>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</si>
  <si>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</si>
  <si>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</si>
  <si>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</si>
  <si>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</si>
  <si>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</si>
  <si>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 (Islamic Republic of)</t>
  </si>
  <si>
    <t>IR</t>
  </si>
  <si>
    <t>Iran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</si>
  <si>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</si>
  <si>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</si>
  <si>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</si>
  <si>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</si>
  <si>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</si>
  <si>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</si>
  <si>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</si>
  <si>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</si>
  <si>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</si>
  <si>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</si>
  <si>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</si>
  <si>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</si>
  <si>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</si>
  <si>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</si>
  <si>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</si>
  <si>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</si>
  <si>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</si>
  <si>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</si>
  <si>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</si>
  <si>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</si>
  <si>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</si>
  <si>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</si>
  <si>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</si>
  <si>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</si>
  <si>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 (the Democratic People's Republic of)‚Ää[p]</t>
  </si>
  <si>
    <t>Korea (the Republic of)‚Ää[q]</t>
  </si>
  <si>
    <t>KR</t>
  </si>
  <si>
    <t>Kuwait</t>
  </si>
  <si>
    <t>KW</t>
  </si>
  <si>
    <t>Kyrgyzstan</t>
  </si>
  <si>
    <t>KG</t>
  </si>
  <si>
    <t>Lao People's Democratic Republic (the)‚Ää[r]</t>
  </si>
  <si>
    <t>LA</t>
  </si>
  <si>
    <t>Lao People's Democratic Republic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</si>
  <si>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</si>
  <si>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</si>
  <si>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</si>
  <si>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</si>
  <si>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</si>
  <si>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</si>
  <si>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</si>
  <si>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</si>
  <si>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</si>
  <si>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</si>
  <si>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</si>
  <si>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</si>
  <si>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</si>
  <si>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</si>
  <si>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</si>
  <si>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</si>
  <si>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Macao‚Ää[s]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</si>
  <si>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</si>
  <si>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</si>
  <si>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</si>
  <si>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</si>
  <si>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</si>
  <si>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</si>
  <si>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</si>
  <si>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</si>
  <si>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</si>
  <si>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</si>
  <si>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</si>
  <si>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</si>
  <si>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 (the)</t>
  </si>
  <si>
    <t>MH</t>
  </si>
  <si>
    <t>Marshall Islands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</si>
  <si>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</si>
  <si>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</si>
  <si>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</si>
  <si>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</si>
  <si>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</si>
  <si>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</si>
  <si>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</si>
  <si>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</si>
  <si>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</si>
  <si>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</si>
  <si>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(Federated States of)</t>
  </si>
  <si>
    <t>FM</t>
  </si>
  <si>
    <t>Moldova (the Republic of)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</si>
  <si>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</si>
  <si>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</si>
  <si>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</si>
  <si>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</si>
  <si>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</si>
  <si>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</si>
  <si>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</si>
  <si>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</si>
  <si>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</si>
  <si>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</si>
  <si>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</si>
  <si>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</si>
  <si>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</si>
  <si>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</si>
  <si>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</si>
  <si>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</si>
  <si>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</si>
  <si>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</si>
  <si>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</si>
  <si>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</si>
  <si>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</si>
  <si>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 (Kingdom of the)</t>
  </si>
  <si>
    <t>NL</t>
  </si>
  <si>
    <t>Netherlands Antilles (former)</t>
  </si>
  <si>
    <t>Netherlands</t>
  </si>
  <si>
    <t>Netherlands, Kingdom of the</t>
  </si>
  <si>
    <t>New Caledonia</t>
  </si>
  <si>
    <t>NC</t>
  </si>
  <si>
    <t>New Zealand</t>
  </si>
  <si>
    <t>NZ</t>
  </si>
  <si>
    <t>Nicaragua</t>
  </si>
  <si>
    <t>NI</t>
  </si>
  <si>
    <t>Niger (the)</t>
  </si>
  <si>
    <t>NE</t>
  </si>
  <si>
    <t>Niger</t>
  </si>
  <si>
    <t>Nigeria</t>
  </si>
  <si>
    <t>NG</t>
  </si>
  <si>
    <t>Niue</t>
  </si>
  <si>
    <t>NU</t>
  </si>
  <si>
    <t>Norfolk Island</t>
  </si>
  <si>
    <t>NF</t>
  </si>
  <si>
    <t>North Macedonia</t>
  </si>
  <si>
    <t>MK</t>
  </si>
  <si>
    <t>North Macedonia‚Ää[t]</t>
  </si>
  <si>
    <t>Northern Mariana Islands (the)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</si>
  <si>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</si>
  <si>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</si>
  <si>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</si>
  <si>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</si>
  <si>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</si>
  <si>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</si>
  <si>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</si>
  <si>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</si>
  <si>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</si>
  <si>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</t>
  </si>
  <si>
    <t>PL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</si>
  <si>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</si>
  <si>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</si>
  <si>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</si>
  <si>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</si>
  <si>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</si>
  <si>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</si>
  <si>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</si>
  <si>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</si>
  <si>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</si>
  <si>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</si>
  <si>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 (the)</t>
  </si>
  <si>
    <t>PH</t>
  </si>
  <si>
    <t>Philippines</t>
  </si>
  <si>
    <t>Pitcairn‚Ää[v]</t>
  </si>
  <si>
    <t>PN</t>
  </si>
  <si>
    <t>Poland</t>
  </si>
  <si>
    <t>Portugal</t>
  </si>
  <si>
    <t>PT</t>
  </si>
  <si>
    <t>Puerto Rico</t>
  </si>
  <si>
    <t>PR</t>
  </si>
  <si>
    <t>Qatar</t>
  </si>
  <si>
    <t>QA</t>
  </si>
  <si>
    <t>Republic of Korea</t>
  </si>
  <si>
    <t>Republic of Moldova</t>
  </si>
  <si>
    <t>Romania</t>
  </si>
  <si>
    <t>RO</t>
  </si>
  <si>
    <t>Russia</t>
  </si>
  <si>
    <t>RU</t>
  </si>
  <si>
    <t>Russian Federation (the)</t>
  </si>
  <si>
    <t>Russian Federation</t>
  </si>
  <si>
    <t>Rwanda</t>
  </si>
  <si>
    <t>RW</t>
  </si>
  <si>
    <t>R√©union</t>
  </si>
  <si>
    <t>RE</t>
  </si>
  <si>
    <t>Saint Barth√©lemy</t>
  </si>
  <si>
    <t>BL</t>
  </si>
  <si>
    <t>Saint Helena¬†Ascension Island¬†Tristan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</si>
  <si>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</si>
  <si>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</si>
  <si>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</si>
  <si>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</si>
  <si>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</si>
  <si>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</si>
  <si>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</si>
  <si>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</si>
  <si>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</si>
  <si>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</si>
  <si>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</si>
  <si>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</si>
  <si>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</si>
  <si>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</si>
  <si>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</si>
  <si>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</si>
  <si>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</si>
  <si>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</si>
  <si>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</si>
  <si>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</si>
  <si>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</si>
  <si>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</si>
  <si>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</si>
  <si>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</si>
  <si>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</si>
  <si>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</si>
  <si>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</si>
  <si>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</si>
  <si>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</si>
  <si>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</si>
  <si>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</si>
  <si>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</si>
  <si>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</si>
  <si>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</si>
  <si>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</si>
  <si>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</si>
  <si>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</si>
  <si>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</si>
  <si>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</si>
  <si>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</si>
  <si>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</si>
  <si>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</si>
  <si>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</si>
  <si>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</si>
  <si>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</si>
  <si>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</si>
  <si>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</si>
  <si>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</si>
  <si>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</si>
  <si>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 (the)</t>
  </si>
  <si>
    <t>SD</t>
  </si>
  <si>
    <t>Sudan</t>
  </si>
  <si>
    <t>Suriname</t>
  </si>
  <si>
    <t>SR</t>
  </si>
  <si>
    <t>Svalbard¬†Jan Mayen</t>
  </si>
  <si>
    <t>SJ</t>
  </si>
  <si>
    <t>Sweden</t>
  </si>
  <si>
    <t>SE</t>
  </si>
  <si>
    <t>Switzerland</t>
  </si>
  <si>
    <t>CH</t>
  </si>
  <si>
    <t>Syrian Arab Republic (the)‚Ää[y]</t>
  </si>
  <si>
    <t>SY</t>
  </si>
  <si>
    <t>Syrian Arab Republic</t>
  </si>
  <si>
    <t>Taiwan (Province of China)‚Ää[z]</t>
  </si>
  <si>
    <t>Tajikistan</t>
  </si>
  <si>
    <t>TJ</t>
  </si>
  <si>
    <t>Tanzania, the United Republic of</t>
  </si>
  <si>
    <t>TZ</t>
  </si>
  <si>
    <t>Thailand</t>
  </si>
  <si>
    <t>TH</t>
  </si>
  <si>
    <t>Timor-Leste</t>
  </si>
  <si>
    <t>TL</t>
  </si>
  <si>
    <t>Timor-Leste‚Ää[ab]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</si>
  <si>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</si>
  <si>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</si>
  <si>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</si>
  <si>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</si>
  <si>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</si>
  <si>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</si>
  <si>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</si>
  <si>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</si>
  <si>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</si>
  <si>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</si>
  <si>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</si>
  <si>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</si>
  <si>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</si>
  <si>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</si>
  <si>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 (the)</t>
  </si>
  <si>
    <t>TC</t>
  </si>
  <si>
    <t>Tuvalu</t>
  </si>
  <si>
    <t>TV</t>
  </si>
  <si>
    <t>T√ºrkiye [ac]</t>
  </si>
  <si>
    <t>T√ºrkiye</t>
  </si>
  <si>
    <t>UK</t>
  </si>
  <si>
    <t>GB</t>
  </si>
  <si>
    <t>USA</t>
  </si>
  <si>
    <t>US</t>
  </si>
  <si>
    <t>Uganda</t>
  </si>
  <si>
    <t>UG</t>
  </si>
  <si>
    <t>Ukraine</t>
  </si>
  <si>
    <t>UA</t>
  </si>
  <si>
    <t>United Arab Emirates (the)</t>
  </si>
  <si>
    <t>AE</t>
  </si>
  <si>
    <t>United Arab Emirates</t>
  </si>
  <si>
    <t>United Kingdom of Great Britain and Northern Ireland (the)</t>
  </si>
  <si>
    <t>United Kingdom of Great Britain and Northern Ireland</t>
  </si>
  <si>
    <t>United Kingdom</t>
  </si>
  <si>
    <t>United Republic of Tanzania</t>
  </si>
  <si>
    <t>United States Minor Outlying Islands (the)‚Ää[ae]</t>
  </si>
  <si>
    <t>UM</t>
  </si>
  <si>
    <t>United States of America (the)</t>
  </si>
  <si>
    <t>United States of America</t>
  </si>
  <si>
    <t>Uruguay</t>
  </si>
  <si>
    <t>UY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</si>
  <si>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</si>
  <si>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</si>
  <si>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</si>
  <si>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</si>
  <si>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</si>
  <si>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</si>
  <si>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</si>
  <si>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</si>
  <si>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Viet Nam‚Ää[ag]</t>
  </si>
  <si>
    <t>Virgin Islands (British)‚Ää[ah]</t>
  </si>
  <si>
    <t>VG</t>
  </si>
  <si>
    <t>Virgin Islands (U.S.)‚Ää[ai]</t>
  </si>
  <si>
    <t>VI</t>
  </si>
  <si>
    <t>Wallis and Futuna</t>
  </si>
  <si>
    <t>WF</t>
  </si>
  <si>
    <t>Western Sahara‚Ää[aj]</t>
  </si>
  <si>
    <t>EH</t>
  </si>
  <si>
    <t>Yemen</t>
  </si>
  <si>
    <t>YE</t>
  </si>
  <si>
    <t>Zambia</t>
  </si>
  <si>
    <t>ZM</t>
  </si>
  <si>
    <t>Zimbabwe</t>
  </si>
  <si>
    <t>ZW</t>
  </si>
  <si>
    <t>√Öland Islands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</si>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</sst>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00"/>
    <numFmt numFmtId="167" formatCode="0.0000000000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6"/>
      <name val="Calibri"/>
      <family val="2"/>
      <scheme val="minor"/>
    </font>
    <font>
      <sz val="12"/>
      <color theme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8" fillId="0" borderId="0"/>
    <xf numFmtId="0" fontId="9" fillId="0" borderId="0"/>
    <xf numFmtId="0" fontId="4" fillId="3" borderId="0" applyNumberFormat="0" applyBorder="0" applyAlignment="0" applyProtection="0">
      <alignment horizontal="right"/>
    </xf>
    <xf numFmtId="0" fontId="11" fillId="0" borderId="0"/>
    <xf numFmtId="0" fontId="12" fillId="0" borderId="0"/>
    <xf numFmtId="0" fontId="1" fillId="0" borderId="0"/>
    <xf numFmtId="0" fontId="11" fillId="0" borderId="0"/>
  </cellStyleXfs>
  <cellXfs count="134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13" fillId="0" borderId="0" xfId="0" applyFont="1"/>
    <xf numFmtId="1" fontId="14" fillId="0" borderId="0" xfId="0" applyNumberFormat="1" applyFont="1"/>
    <xf numFmtId="0" fontId="7" fillId="0" borderId="0" xfId="0" applyFont="1"/>
    <xf numFmtId="0" fontId="9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7" fillId="0" borderId="0" xfId="0" applyFont="1" applyAlignment="1">
      <alignment horizontal="left"/>
    </xf>
    <xf numFmtId="0" fontId="4" fillId="0" borderId="0" xfId="8" applyFont="1" applyAlignment="1">
      <alignment horizontal="left"/>
    </xf>
    <xf numFmtId="1" fontId="9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18" fillId="0" borderId="0" xfId="0" applyFont="1" applyAlignment="1">
      <alignment horizontal="left"/>
    </xf>
    <xf numFmtId="164" fontId="0" fillId="0" borderId="0" xfId="4" applyNumberFormat="1" applyFont="1" applyAlignment="1">
      <alignment horizontal="left" vertical="center"/>
    </xf>
    <xf numFmtId="0" fontId="6" fillId="0" borderId="0" xfId="0" applyFont="1"/>
    <xf numFmtId="164" fontId="9" fillId="0" borderId="0" xfId="4" applyNumberFormat="1" applyAlignment="1">
      <alignment horizontal="lef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17" fillId="0" borderId="0" xfId="0" applyFont="1"/>
    <xf numFmtId="0" fontId="4" fillId="9" borderId="0" xfId="0" applyFont="1" applyFill="1"/>
    <xf numFmtId="2" fontId="0" fillId="9" borderId="0" xfId="0" applyNumberFormat="1" applyFill="1" applyAlignment="1">
      <alignment horizontal="left" vertical="center"/>
    </xf>
    <xf numFmtId="1" fontId="5" fillId="9" borderId="0" xfId="0" applyNumberFormat="1" applyFont="1" applyFill="1" applyAlignment="1">
      <alignment horizontal="left" vertical="top"/>
    </xf>
    <xf numFmtId="1" fontId="0" fillId="9" borderId="0" xfId="0" applyNumberFormat="1" applyFill="1" applyAlignment="1">
      <alignment horizontal="left" vertical="center"/>
    </xf>
    <xf numFmtId="2" fontId="5" fillId="9" borderId="0" xfId="0" applyNumberFormat="1" applyFont="1" applyFill="1" applyAlignment="1">
      <alignment horizontal="left" vertical="center"/>
    </xf>
    <xf numFmtId="1" fontId="5" fillId="7" borderId="0" xfId="0" applyNumberFormat="1" applyFont="1" applyFill="1" applyAlignment="1">
      <alignment horizontal="left" vertical="top"/>
    </xf>
    <xf numFmtId="2" fontId="0" fillId="7" borderId="0" xfId="0" applyNumberFormat="1" applyFill="1" applyAlignment="1">
      <alignment horizontal="left" vertical="center"/>
    </xf>
    <xf numFmtId="1" fontId="0" fillId="7" borderId="0" xfId="0" applyNumberFormat="1" applyFill="1" applyAlignment="1">
      <alignment horizontal="left" vertical="center"/>
    </xf>
    <xf numFmtId="2" fontId="5" fillId="7" borderId="0" xfId="0" applyNumberFormat="1" applyFont="1" applyFill="1" applyAlignment="1">
      <alignment horizontal="left" vertical="center"/>
    </xf>
    <xf numFmtId="11" fontId="5" fillId="7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top" wrapText="1"/>
    </xf>
    <xf numFmtId="1" fontId="0" fillId="2" borderId="0" xfId="0" applyNumberFormat="1" applyFill="1" applyAlignment="1">
      <alignment horizontal="left" vertical="top" wrapText="1"/>
    </xf>
    <xf numFmtId="1" fontId="4" fillId="2" borderId="0" xfId="0" applyNumberFormat="1" applyFont="1" applyFill="1" applyAlignment="1">
      <alignment horizontal="left" vertical="top" wrapText="1"/>
    </xf>
    <xf numFmtId="1" fontId="0" fillId="6" borderId="0" xfId="0" applyNumberFormat="1" applyFill="1" applyAlignment="1">
      <alignment horizontal="left" vertical="top" wrapText="1"/>
    </xf>
    <xf numFmtId="1" fontId="4" fillId="6" borderId="0" xfId="0" applyNumberFormat="1" applyFont="1" applyFill="1" applyAlignment="1">
      <alignment horizontal="left" vertical="top" wrapText="1"/>
    </xf>
    <xf numFmtId="165" fontId="0" fillId="6" borderId="0" xfId="0" applyNumberFormat="1" applyFill="1" applyAlignment="1">
      <alignment horizontal="left" vertical="top" wrapText="1"/>
    </xf>
    <xf numFmtId="2" fontId="4" fillId="0" borderId="0" xfId="0" applyNumberFormat="1" applyFont="1" applyAlignment="1">
      <alignment horizontal="left" vertical="center" wrapText="1"/>
    </xf>
    <xf numFmtId="1" fontId="17" fillId="0" borderId="0" xfId="0" applyNumberFormat="1" applyFont="1"/>
    <xf numFmtId="1" fontId="1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6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right"/>
    </xf>
    <xf numFmtId="11" fontId="0" fillId="0" borderId="0" xfId="0" applyNumberFormat="1" applyAlignment="1">
      <alignment horizontal="left" vertical="center"/>
    </xf>
    <xf numFmtId="1" fontId="7" fillId="0" borderId="0" xfId="0" applyNumberFormat="1" applyFont="1"/>
    <xf numFmtId="0" fontId="4" fillId="0" borderId="0" xfId="0" applyFont="1" applyAlignment="1">
      <alignment horizontal="left" vertical="center" wrapText="1"/>
    </xf>
    <xf numFmtId="0" fontId="7" fillId="8" borderId="0" xfId="0" applyFont="1" applyFill="1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5" fillId="9" borderId="0" xfId="0" applyFont="1" applyFill="1"/>
    <xf numFmtId="1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/>
    </xf>
    <xf numFmtId="1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right"/>
    </xf>
    <xf numFmtId="1" fontId="17" fillId="0" borderId="0" xfId="0" applyNumberFormat="1" applyFont="1" applyAlignment="1">
      <alignment horizontal="right" vertical="center" wrapText="1"/>
    </xf>
    <xf numFmtId="1" fontId="17" fillId="0" borderId="0" xfId="0" applyNumberFormat="1" applyFont="1" applyAlignment="1">
      <alignment horizontal="left" vertical="center"/>
    </xf>
    <xf numFmtId="1" fontId="19" fillId="0" borderId="0" xfId="0" applyNumberFormat="1" applyFont="1" applyAlignment="1">
      <alignment horizontal="left" vertical="center" wrapText="1"/>
    </xf>
    <xf numFmtId="1" fontId="17" fillId="2" borderId="0" xfId="0" applyNumberFormat="1" applyFont="1" applyFill="1"/>
    <xf numFmtId="0" fontId="17" fillId="2" borderId="0" xfId="0" applyFont="1" applyFill="1"/>
    <xf numFmtId="1" fontId="20" fillId="0" borderId="0" xfId="0" applyNumberFormat="1" applyFont="1"/>
    <xf numFmtId="49" fontId="5" fillId="5" borderId="0" xfId="0" applyNumberFormat="1" applyFont="1" applyFill="1"/>
    <xf numFmtId="0" fontId="4" fillId="5" borderId="0" xfId="0" applyFont="1" applyFill="1"/>
    <xf numFmtId="2" fontId="0" fillId="5" borderId="0" xfId="0" applyNumberFormat="1" applyFill="1" applyAlignment="1">
      <alignment horizontal="left" vertical="center"/>
    </xf>
    <xf numFmtId="2" fontId="5" fillId="5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top" wrapText="1"/>
    </xf>
    <xf numFmtId="2" fontId="0" fillId="4" borderId="0" xfId="0" applyNumberFormat="1" applyFill="1" applyAlignment="1">
      <alignment horizontal="left" vertical="top" wrapText="1"/>
    </xf>
    <xf numFmtId="1" fontId="4" fillId="4" borderId="0" xfId="0" applyNumberFormat="1" applyFont="1" applyFill="1" applyAlignment="1">
      <alignment horizontal="left" vertical="top" wrapText="1"/>
    </xf>
    <xf numFmtId="2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0" fillId="4" borderId="0" xfId="0" applyNumberFormat="1" applyFill="1" applyAlignment="1">
      <alignment horizontal="left" vertical="top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167" fontId="0" fillId="0" borderId="0" xfId="0" applyNumberFormat="1"/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 wrapText="1"/>
    </xf>
    <xf numFmtId="1" fontId="4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1" fontId="4" fillId="8" borderId="0" xfId="0" applyNumberFormat="1" applyFont="1" applyFill="1" applyAlignment="1">
      <alignment horizontal="right" vertical="center" wrapText="1"/>
    </xf>
    <xf numFmtId="1" fontId="4" fillId="4" borderId="0" xfId="0" applyNumberFormat="1" applyFont="1" applyFill="1"/>
    <xf numFmtId="0" fontId="4" fillId="4" borderId="0" xfId="0" applyFont="1" applyFill="1"/>
    <xf numFmtId="1" fontId="4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left" vertical="top" wrapText="1"/>
    </xf>
    <xf numFmtId="2" fontId="0" fillId="2" borderId="0" xfId="0" applyNumberFormat="1" applyFill="1" applyAlignment="1">
      <alignment horizontal="center" vertical="top" wrapText="1"/>
    </xf>
    <xf numFmtId="1" fontId="21" fillId="0" borderId="0" xfId="0" applyNumberFormat="1" applyFont="1" applyAlignment="1">
      <alignment horizontal="left" vertical="center"/>
    </xf>
    <xf numFmtId="11" fontId="22" fillId="5" borderId="0" xfId="0" applyNumberFormat="1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top" wrapText="1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 vertical="center"/>
    </xf>
    <xf numFmtId="2" fontId="4" fillId="0" borderId="0" xfId="0" applyNumberFormat="1" applyFont="1"/>
    <xf numFmtId="2" fontId="4" fillId="4" borderId="0" xfId="0" applyNumberFormat="1" applyFont="1" applyFill="1"/>
    <xf numFmtId="49" fontId="0" fillId="4" borderId="0" xfId="0" applyNumberFormat="1" applyFill="1" applyAlignment="1">
      <alignment horizontal="left" vertical="top" wrapText="1"/>
    </xf>
    <xf numFmtId="11" fontId="22" fillId="9" borderId="0" xfId="0" applyNumberFormat="1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top" wrapText="1"/>
    </xf>
    <xf numFmtId="2" fontId="4" fillId="2" borderId="0" xfId="0" applyNumberFormat="1" applyFont="1" applyFill="1" applyAlignment="1">
      <alignment horizontal="right" vertical="center"/>
    </xf>
    <xf numFmtId="0" fontId="23" fillId="0" borderId="0" xfId="0" applyFont="1"/>
    <xf numFmtId="2" fontId="4" fillId="10" borderId="0" xfId="0" applyNumberFormat="1" applyFont="1" applyFill="1" applyAlignment="1">
      <alignment horizontal="right" vertical="center"/>
    </xf>
    <xf numFmtId="0" fontId="24" fillId="0" borderId="0" xfId="0" applyFont="1"/>
    <xf numFmtId="49" fontId="5" fillId="11" borderId="0" xfId="0" applyNumberFormat="1" applyFont="1" applyFill="1"/>
    <xf numFmtId="0" fontId="4" fillId="11" borderId="0" xfId="0" applyFont="1" applyFill="1"/>
    <xf numFmtId="49" fontId="0" fillId="12" borderId="0" xfId="0" applyNumberFormat="1" applyFill="1" applyAlignment="1">
      <alignment horizontal="left" vertical="top" wrapText="1"/>
    </xf>
    <xf numFmtId="0" fontId="4" fillId="12" borderId="0" xfId="0" applyFont="1" applyFill="1" applyAlignment="1">
      <alignment horizontal="center" vertical="top" wrapText="1"/>
    </xf>
    <xf numFmtId="49" fontId="5" fillId="13" borderId="0" xfId="0" applyNumberFormat="1" applyFont="1" applyFill="1"/>
    <xf numFmtId="0" fontId="4" fillId="13" borderId="0" xfId="0" applyFont="1" applyFill="1"/>
    <xf numFmtId="49" fontId="0" fillId="6" borderId="0" xfId="0" applyNumberFormat="1" applyFill="1" applyAlignment="1">
      <alignment horizontal="left" vertical="top" wrapText="1"/>
    </xf>
    <xf numFmtId="0" fontId="4" fillId="6" borderId="0" xfId="0" applyFont="1" applyFill="1" applyAlignment="1">
      <alignment horizontal="center" vertical="top" wrapText="1"/>
    </xf>
    <xf numFmtId="49" fontId="5" fillId="14" borderId="0" xfId="0" applyNumberFormat="1" applyFont="1" applyFill="1"/>
    <xf numFmtId="49" fontId="0" fillId="13" borderId="0" xfId="0" applyNumberFormat="1" applyFill="1" applyAlignment="1">
      <alignment horizontal="left" vertical="top" wrapText="1"/>
    </xf>
    <xf numFmtId="0" fontId="4" fillId="13" borderId="0" xfId="0" applyFont="1" applyFill="1" applyAlignment="1">
      <alignment horizontal="center" vertical="top" wrapText="1"/>
    </xf>
    <xf numFmtId="0" fontId="0" fillId="13" borderId="0" xfId="0" applyFill="1"/>
    <xf numFmtId="0" fontId="4" fillId="14" borderId="0" xfId="0" applyFont="1" applyFill="1"/>
    <xf numFmtId="0" fontId="0" fillId="14" borderId="0" xfId="0" applyFill="1"/>
    <xf numFmtId="2" fontId="0" fillId="0" borderId="0" xfId="0" applyNumberFormat="1"/>
  </cellXfs>
  <cellStyles count="10">
    <cellStyle name="Normal" xfId="0" builtinId="0"/>
    <cellStyle name="Normal 2" xfId="4" xr:uid="{00000000-0005-0000-0000-000001000000}"/>
    <cellStyle name="Normal 2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ntry_codes" connectionId="1" xr16:uid="{6A85708F-D409-034F-A3AC-646FBB6809B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A6"/>
  <sheetViews>
    <sheetView workbookViewId="0">
      <selection activeCell="A6" sqref="A6"/>
    </sheetView>
  </sheetViews>
  <sheetFormatPr baseColWidth="10" defaultColWidth="8.6640625" defaultRowHeight="15" x14ac:dyDescent="0.2"/>
  <sheetData>
    <row r="2" spans="1:1" ht="21" x14ac:dyDescent="0.25">
      <c r="A2" s="10" t="s">
        <v>0</v>
      </c>
    </row>
    <row r="4" spans="1:1" x14ac:dyDescent="0.2">
      <c r="A4" t="s">
        <v>338</v>
      </c>
    </row>
    <row r="6" spans="1:1" x14ac:dyDescent="0.2">
      <c r="A6" s="31" t="s">
        <v>339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281-1C2D-4242-B9C6-E46FAA7787D7}">
  <sheetPr>
    <tabColor theme="2" tint="-0.749992370372631"/>
  </sheetPr>
  <dimension ref="A2:O125"/>
  <sheetViews>
    <sheetView zoomScale="80" zoomScaleNormal="80" workbookViewId="0">
      <selection activeCell="B6" sqref="B6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15" ht="19" x14ac:dyDescent="0.25">
      <c r="A2" s="118" t="s">
        <v>359</v>
      </c>
      <c r="D2" t="s">
        <v>360</v>
      </c>
    </row>
    <row r="4" spans="1:15" x14ac:dyDescent="0.2">
      <c r="A4" s="127" t="s">
        <v>1</v>
      </c>
      <c r="B4" s="131"/>
      <c r="C4" s="131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1:15" ht="16" x14ac:dyDescent="0.2">
      <c r="A5" s="128" t="s">
        <v>3</v>
      </c>
      <c r="B5" s="129" t="s">
        <v>4</v>
      </c>
      <c r="C5" s="129" t="s">
        <v>5</v>
      </c>
      <c r="D5" s="130" t="s">
        <v>358</v>
      </c>
      <c r="E5" s="130" t="s">
        <v>351</v>
      </c>
      <c r="F5" s="130" t="s">
        <v>352</v>
      </c>
      <c r="G5" s="130" t="s">
        <v>353</v>
      </c>
      <c r="H5" s="130" t="s">
        <v>354</v>
      </c>
      <c r="I5" s="130" t="s">
        <v>355</v>
      </c>
      <c r="J5" s="130" t="s">
        <v>356</v>
      </c>
      <c r="K5" s="130" t="s">
        <v>357</v>
      </c>
      <c r="L5" s="130"/>
      <c r="M5" s="130"/>
      <c r="N5" s="130"/>
      <c r="O5" s="130"/>
    </row>
    <row r="6" spans="1:15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5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5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>
        <v>450</v>
      </c>
    </row>
    <row r="9" spans="1:15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5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5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>
        <v>140</v>
      </c>
    </row>
    <row r="12" spans="1:15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5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5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30">
        <v>69.7</v>
      </c>
    </row>
    <row r="15" spans="1:15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>
        <v>70</v>
      </c>
    </row>
    <row r="16" spans="1:15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>
        <v>66.7</v>
      </c>
    </row>
    <row r="17" spans="1:4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>
        <v>65</v>
      </c>
    </row>
    <row r="18" spans="1:4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4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4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>
        <v>63.2</v>
      </c>
    </row>
    <row r="21" spans="1:4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4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>
        <v>140</v>
      </c>
    </row>
    <row r="23" spans="1:4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4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>
        <v>140</v>
      </c>
    </row>
    <row r="25" spans="1:4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4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>
        <v>140</v>
      </c>
    </row>
    <row r="27" spans="1:4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4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>
        <v>140</v>
      </c>
    </row>
    <row r="29" spans="1:4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30">
        <v>140</v>
      </c>
    </row>
    <row r="30" spans="1:4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4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4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4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4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4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4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4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4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30">
        <v>7</v>
      </c>
    </row>
    <row r="39" spans="1:4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>
        <v>0</v>
      </c>
    </row>
    <row r="40" spans="1:4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>
        <v>140</v>
      </c>
    </row>
    <row r="41" spans="1:4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>
        <v>300</v>
      </c>
    </row>
    <row r="42" spans="1:4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4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4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4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4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4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>
        <v>450</v>
      </c>
    </row>
    <row r="48" spans="1:4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4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>
        <v>140</v>
      </c>
    </row>
    <row r="50" spans="1:4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4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4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4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>
        <v>140</v>
      </c>
    </row>
    <row r="54" spans="1:4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4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>
        <v>79</v>
      </c>
    </row>
    <row r="56" spans="1:4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>
        <v>140</v>
      </c>
    </row>
    <row r="57" spans="1:4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>
        <v>65.400000000000006</v>
      </c>
    </row>
    <row r="58" spans="1:4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4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>
        <v>69</v>
      </c>
    </row>
    <row r="60" spans="1:4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4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4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4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4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>
        <v>68.599999999999994</v>
      </c>
    </row>
    <row r="65" spans="1:4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4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4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>
        <v>140</v>
      </c>
    </row>
    <row r="68" spans="1:4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4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>
        <v>61.1</v>
      </c>
    </row>
    <row r="70" spans="1:4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4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4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>
        <v>63.2</v>
      </c>
    </row>
    <row r="73" spans="1:4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4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>
        <v>140</v>
      </c>
    </row>
    <row r="75" spans="1:4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4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4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>
        <v>450</v>
      </c>
    </row>
    <row r="78" spans="1:4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>
        <v>63.2</v>
      </c>
    </row>
    <row r="79" spans="1:4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>
        <v>63.2</v>
      </c>
    </row>
    <row r="80" spans="1:4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4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4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4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>
        <v>450</v>
      </c>
    </row>
    <row r="84" spans="1:4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4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4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>
        <v>135.5</v>
      </c>
    </row>
    <row r="87" spans="1:4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>
        <v>140</v>
      </c>
    </row>
    <row r="88" spans="1:4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4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4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30">
        <v>60</v>
      </c>
    </row>
    <row r="91" spans="1:4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>
        <v>60</v>
      </c>
    </row>
    <row r="92" spans="1:4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>
        <v>60</v>
      </c>
    </row>
    <row r="93" spans="1:4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>
        <v>300</v>
      </c>
    </row>
    <row r="94" spans="1:4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4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>
        <v>68.7</v>
      </c>
    </row>
    <row r="96" spans="1:4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4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>
        <v>450</v>
      </c>
    </row>
    <row r="98" spans="1:4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4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>
        <v>140</v>
      </c>
    </row>
    <row r="100" spans="1:4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>
        <v>300</v>
      </c>
    </row>
    <row r="101" spans="1:4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>
        <v>130</v>
      </c>
    </row>
    <row r="102" spans="1:4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4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4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4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4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30">
        <v>0</v>
      </c>
    </row>
    <row r="107" spans="1:4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>
        <v>0</v>
      </c>
    </row>
    <row r="108" spans="1:4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4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>
        <v>66.7</v>
      </c>
    </row>
    <row r="110" spans="1:4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4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4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4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30"/>
    </row>
    <row r="114" spans="1:4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4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4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>
        <v>71</v>
      </c>
    </row>
    <row r="117" spans="1:4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>
        <v>71.900000000000006</v>
      </c>
    </row>
    <row r="118" spans="1:4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>
        <v>71.3</v>
      </c>
    </row>
    <row r="119" spans="1:4" x14ac:dyDescent="0.2">
      <c r="A119" s="6"/>
      <c r="B119" s="6"/>
      <c r="C119" s="6"/>
    </row>
    <row r="120" spans="1:4" x14ac:dyDescent="0.2">
      <c r="A120" s="6"/>
      <c r="B120" s="6"/>
      <c r="C120" s="6"/>
    </row>
    <row r="121" spans="1:4" x14ac:dyDescent="0.2">
      <c r="A121" s="6"/>
      <c r="B121" s="6"/>
      <c r="C121" s="6"/>
    </row>
    <row r="122" spans="1:4" x14ac:dyDescent="0.2">
      <c r="A122" s="6"/>
      <c r="B122" s="6"/>
      <c r="C122" s="6"/>
    </row>
    <row r="123" spans="1:4" x14ac:dyDescent="0.2">
      <c r="A123" s="6"/>
      <c r="B123" s="6"/>
      <c r="C123" s="6"/>
    </row>
    <row r="124" spans="1:4" x14ac:dyDescent="0.2">
      <c r="A124" s="6"/>
      <c r="B124" s="6"/>
      <c r="C124" s="6"/>
    </row>
    <row r="125" spans="1:4" x14ac:dyDescent="0.2">
      <c r="A125" s="6"/>
      <c r="B125" s="6"/>
      <c r="C12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BC4-8051-447A-9AF4-33F051A47A93}">
  <sheetPr>
    <tabColor theme="4" tint="0.39997558519241921"/>
  </sheetPr>
  <dimension ref="A2:O229"/>
  <sheetViews>
    <sheetView topLeftCell="A2" zoomScale="80" zoomScaleNormal="80" workbookViewId="0">
      <selection activeCell="K11" sqref="K11"/>
    </sheetView>
  </sheetViews>
  <sheetFormatPr baseColWidth="10" defaultColWidth="8.6640625" defaultRowHeight="15" x14ac:dyDescent="0.2"/>
  <cols>
    <col min="2" max="2" width="22.33203125" style="1" customWidth="1"/>
    <col min="3" max="3" width="17.6640625" style="1" customWidth="1"/>
    <col min="4" max="4" width="9.5" style="1" customWidth="1"/>
    <col min="5" max="5" width="6.33203125" customWidth="1"/>
    <col min="6" max="6" width="12.6640625" style="9" customWidth="1"/>
    <col min="7" max="9" width="12.6640625" customWidth="1"/>
    <col min="10" max="10" width="12.6640625" style="1" customWidth="1"/>
    <col min="11" max="15" width="30.6640625" customWidth="1"/>
  </cols>
  <sheetData>
    <row r="2" spans="1:15" ht="21" x14ac:dyDescent="0.2">
      <c r="A2" s="65" t="s">
        <v>347</v>
      </c>
      <c r="E2" s="4"/>
      <c r="F2" s="8"/>
      <c r="G2" s="4"/>
      <c r="H2" s="29"/>
      <c r="I2" s="29"/>
      <c r="J2" s="97"/>
      <c r="L2" s="3"/>
    </row>
    <row r="3" spans="1:15" x14ac:dyDescent="0.2">
      <c r="A3" s="66"/>
      <c r="B3" s="11"/>
      <c r="C3" s="11"/>
      <c r="D3" s="11"/>
      <c r="E3" s="11"/>
      <c r="F3" s="11"/>
      <c r="G3" s="11"/>
      <c r="H3" s="11"/>
      <c r="I3" s="11"/>
      <c r="J3" s="104"/>
    </row>
    <row r="4" spans="1:15" x14ac:dyDescent="0.2">
      <c r="A4" s="67" t="s">
        <v>1</v>
      </c>
      <c r="B4" s="34"/>
      <c r="C4" s="34"/>
      <c r="D4" s="34"/>
      <c r="E4" s="35"/>
      <c r="F4" s="36" t="s">
        <v>121</v>
      </c>
      <c r="G4" s="35"/>
      <c r="H4" s="37"/>
      <c r="I4" s="38" t="s">
        <v>122</v>
      </c>
      <c r="J4" s="113" t="s">
        <v>2</v>
      </c>
      <c r="K4" s="39" t="s">
        <v>121</v>
      </c>
      <c r="L4" s="40"/>
      <c r="M4" s="41"/>
      <c r="N4" s="42" t="s">
        <v>122</v>
      </c>
      <c r="O4" s="43" t="s">
        <v>2</v>
      </c>
    </row>
    <row r="5" spans="1:15" s="7" customFormat="1" ht="51.5" customHeight="1" x14ac:dyDescent="0.2">
      <c r="A5" s="102" t="s">
        <v>3</v>
      </c>
      <c r="B5" s="44" t="s">
        <v>4</v>
      </c>
      <c r="C5" s="44" t="s">
        <v>5</v>
      </c>
      <c r="D5" s="44" t="s">
        <v>6</v>
      </c>
      <c r="E5" s="103" t="s">
        <v>7</v>
      </c>
      <c r="F5" s="45" t="s">
        <v>342</v>
      </c>
      <c r="G5" s="46" t="s">
        <v>123</v>
      </c>
      <c r="H5" s="46" t="s">
        <v>343</v>
      </c>
      <c r="I5" s="46" t="s">
        <v>124</v>
      </c>
      <c r="J5" s="114" t="s">
        <v>125</v>
      </c>
      <c r="K5" s="47" t="s">
        <v>344</v>
      </c>
      <c r="L5" s="48" t="s">
        <v>123</v>
      </c>
      <c r="M5" s="48" t="s">
        <v>345</v>
      </c>
      <c r="N5" s="48" t="s">
        <v>124</v>
      </c>
      <c r="O5" s="49" t="s">
        <v>341</v>
      </c>
    </row>
    <row r="6" spans="1:15" ht="15" customHeight="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 s="1" t="s">
        <v>348</v>
      </c>
      <c r="E6" s="1"/>
      <c r="F6" s="33"/>
      <c r="G6" s="32"/>
      <c r="H6" s="33"/>
      <c r="I6" s="1"/>
      <c r="O6" s="2"/>
    </row>
    <row r="7" spans="1:15" ht="15" customHeight="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 s="1" t="s">
        <v>348</v>
      </c>
      <c r="E7" s="1"/>
      <c r="F7" s="33"/>
      <c r="G7" s="32"/>
      <c r="H7" s="33"/>
      <c r="I7" s="1"/>
      <c r="O7" s="2"/>
    </row>
    <row r="8" spans="1:15" ht="15" customHeight="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 s="1" t="s">
        <v>349</v>
      </c>
      <c r="E8" s="50"/>
      <c r="F8" s="51"/>
      <c r="G8" s="52"/>
      <c r="H8" s="68"/>
      <c r="I8" s="92">
        <f>Defaults!F8</f>
        <v>450</v>
      </c>
      <c r="J8" s="117">
        <v>10.56</v>
      </c>
      <c r="K8" s="12" t="s">
        <v>132</v>
      </c>
      <c r="L8" s="12"/>
      <c r="M8" s="12" t="s">
        <v>132</v>
      </c>
      <c r="N8" s="53"/>
      <c r="O8" s="54"/>
    </row>
    <row r="9" spans="1:15" ht="15" customHeight="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 s="1" t="s">
        <v>348</v>
      </c>
      <c r="E9" s="1"/>
      <c r="F9" s="33"/>
      <c r="G9" s="32"/>
      <c r="H9" s="33"/>
      <c r="I9" s="1"/>
      <c r="N9" s="55"/>
      <c r="O9" s="2"/>
    </row>
    <row r="10" spans="1:15" ht="15" customHeight="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 s="1" t="s">
        <v>348</v>
      </c>
      <c r="E10" s="1"/>
      <c r="F10" s="33"/>
      <c r="G10" s="32"/>
      <c r="H10" s="33"/>
      <c r="I10" s="1"/>
      <c r="O10" s="2"/>
    </row>
    <row r="11" spans="1:15" ht="15" customHeight="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 s="1" t="s">
        <v>348</v>
      </c>
      <c r="E11" s="50"/>
      <c r="F11" s="33"/>
      <c r="G11" s="56"/>
      <c r="H11" s="69"/>
      <c r="I11" s="92"/>
      <c r="J11" s="107"/>
      <c r="K11" s="12" t="s">
        <v>138</v>
      </c>
      <c r="L11" s="12"/>
      <c r="M11" s="12" t="s">
        <v>138</v>
      </c>
      <c r="N11" s="53"/>
      <c r="O11" s="54"/>
    </row>
    <row r="12" spans="1:15" ht="15" customHeight="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" t="s">
        <v>348</v>
      </c>
      <c r="E12" s="50"/>
      <c r="F12" s="33"/>
      <c r="G12" s="57"/>
      <c r="H12" s="70"/>
      <c r="I12" s="94"/>
      <c r="J12" s="109"/>
      <c r="O12" s="4"/>
    </row>
    <row r="13" spans="1:15" ht="15" customHeight="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 s="1" t="s">
        <v>348</v>
      </c>
      <c r="E13" s="1"/>
      <c r="F13" s="33"/>
      <c r="G13" s="32"/>
      <c r="H13" s="33"/>
      <c r="I13" s="1"/>
      <c r="N13" s="58"/>
      <c r="O13" s="2"/>
    </row>
    <row r="14" spans="1:15" ht="15" customHeight="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" t="s">
        <v>348</v>
      </c>
      <c r="E14" s="1"/>
      <c r="F14" s="76"/>
      <c r="G14" s="32"/>
      <c r="H14" s="51"/>
      <c r="I14" s="101"/>
      <c r="J14" s="107"/>
      <c r="K14" s="12"/>
      <c r="L14" s="12"/>
      <c r="M14" s="12"/>
      <c r="N14" s="59"/>
      <c r="O14" s="17"/>
    </row>
    <row r="15" spans="1:15" ht="15" customHeight="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 s="1" t="s">
        <v>348</v>
      </c>
      <c r="E15" s="1"/>
      <c r="F15" s="33"/>
      <c r="G15" s="52"/>
      <c r="H15" s="71"/>
      <c r="I15" s="92"/>
      <c r="J15" s="107"/>
      <c r="K15" s="12" t="s">
        <v>147</v>
      </c>
      <c r="L15" s="12"/>
      <c r="M15" s="12" t="s">
        <v>147</v>
      </c>
      <c r="N15" s="53"/>
      <c r="O15" s="54"/>
    </row>
    <row r="16" spans="1:15" ht="15" customHeight="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 s="1" t="s">
        <v>348</v>
      </c>
      <c r="E16" s="1"/>
      <c r="F16" s="33"/>
      <c r="G16" s="60"/>
      <c r="H16" s="71"/>
      <c r="I16" s="92"/>
      <c r="J16" s="108"/>
      <c r="K16" s="12" t="s">
        <v>147</v>
      </c>
      <c r="L16" s="12"/>
      <c r="M16" s="12" t="s">
        <v>147</v>
      </c>
      <c r="N16" s="53"/>
      <c r="O16" s="54"/>
    </row>
    <row r="17" spans="1:15" ht="15" customHeight="1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 s="1" t="s">
        <v>349</v>
      </c>
      <c r="E17" s="50"/>
      <c r="F17" s="33"/>
      <c r="G17" s="89"/>
      <c r="H17" s="72"/>
      <c r="I17" s="92">
        <f>Defaults!F17</f>
        <v>65</v>
      </c>
      <c r="J17" s="107">
        <f>Defaults!G17</f>
        <v>1.1000000000000001</v>
      </c>
      <c r="K17" s="12" t="s">
        <v>153</v>
      </c>
      <c r="L17" s="12"/>
      <c r="M17" s="12" t="s">
        <v>152</v>
      </c>
      <c r="N17" s="12"/>
      <c r="O17" s="54"/>
    </row>
    <row r="18" spans="1:15" ht="15" customHeight="1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 s="1" t="s">
        <v>348</v>
      </c>
      <c r="E18" s="50"/>
      <c r="F18" s="33"/>
      <c r="G18" s="58"/>
      <c r="H18" s="70"/>
      <c r="I18" s="94"/>
      <c r="J18" s="109"/>
      <c r="N18" s="61"/>
      <c r="O18" s="4"/>
    </row>
    <row r="19" spans="1:15" ht="15" customHeight="1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D19" s="1" t="s">
        <v>348</v>
      </c>
      <c r="E19" s="1"/>
      <c r="F19" s="33"/>
      <c r="H19" s="33"/>
      <c r="I19" s="1"/>
      <c r="N19" s="58"/>
      <c r="O19" s="2"/>
    </row>
    <row r="20" spans="1:15" ht="15" customHeight="1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 s="1" t="s">
        <v>348</v>
      </c>
      <c r="E20" s="50"/>
      <c r="F20" s="33"/>
      <c r="G20" s="89"/>
      <c r="H20" s="72"/>
      <c r="I20" s="92">
        <f>Defaults!F20</f>
        <v>63.2</v>
      </c>
      <c r="J20" s="107">
        <f>Defaults!G20</f>
        <v>0.61</v>
      </c>
      <c r="K20" s="12" t="s">
        <v>147</v>
      </c>
      <c r="L20" s="12"/>
      <c r="M20" s="12" t="s">
        <v>161</v>
      </c>
      <c r="N20" s="53"/>
      <c r="O20" s="54"/>
    </row>
    <row r="21" spans="1:15" ht="15" customHeight="1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 s="1" t="s">
        <v>348</v>
      </c>
      <c r="E21" s="50"/>
      <c r="F21" s="33"/>
      <c r="G21" s="58"/>
      <c r="H21" s="70"/>
      <c r="I21" s="94"/>
      <c r="J21" s="109"/>
      <c r="N21" s="55"/>
      <c r="O21" s="4"/>
    </row>
    <row r="22" spans="1:15" ht="15" customHeight="1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 s="1" t="s">
        <v>348</v>
      </c>
      <c r="E22" s="1"/>
      <c r="F22" s="33"/>
      <c r="G22" s="89"/>
      <c r="H22" s="72"/>
      <c r="I22" s="92">
        <f>Defaults!F22</f>
        <v>140</v>
      </c>
      <c r="J22" s="107">
        <f>Defaults!G22</f>
        <v>1.65</v>
      </c>
      <c r="K22" s="12" t="s">
        <v>164</v>
      </c>
      <c r="L22" s="12"/>
      <c r="M22" s="12" t="s">
        <v>164</v>
      </c>
      <c r="N22" s="12"/>
      <c r="O22" s="54"/>
    </row>
    <row r="23" spans="1:15" ht="15" customHeight="1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D23" s="1" t="s">
        <v>348</v>
      </c>
      <c r="E23" s="1"/>
      <c r="F23" s="33"/>
      <c r="H23" s="33"/>
      <c r="I23" s="1"/>
    </row>
    <row r="24" spans="1:15" ht="15" customHeight="1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 s="1" t="s">
        <v>348</v>
      </c>
      <c r="E24" s="1"/>
      <c r="F24" s="51"/>
      <c r="G24" s="88"/>
      <c r="H24" s="69"/>
      <c r="I24" s="92">
        <f>Defaults!F24</f>
        <v>140</v>
      </c>
      <c r="J24" s="107">
        <f>Defaults!G24</f>
        <v>1.65</v>
      </c>
      <c r="K24" s="12" t="s">
        <v>164</v>
      </c>
      <c r="M24" s="12" t="s">
        <v>164</v>
      </c>
      <c r="N24" s="12"/>
      <c r="O24" s="17"/>
    </row>
    <row r="25" spans="1:15" ht="15" customHeight="1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 s="1" t="s">
        <v>348</v>
      </c>
      <c r="E25" s="50"/>
      <c r="F25" s="33"/>
      <c r="H25" s="33"/>
      <c r="I25" s="1"/>
    </row>
    <row r="26" spans="1:15" ht="15" customHeight="1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 s="1" t="s">
        <v>348</v>
      </c>
      <c r="E26" s="1"/>
      <c r="F26" s="33"/>
      <c r="G26" s="89"/>
      <c r="H26" s="72"/>
      <c r="I26" s="92">
        <f>Defaults!F26</f>
        <v>140</v>
      </c>
      <c r="J26" s="107">
        <f>Defaults!G26</f>
        <v>2.23</v>
      </c>
      <c r="K26" s="12" t="s">
        <v>170</v>
      </c>
      <c r="L26" s="12"/>
      <c r="M26" s="12" t="s">
        <v>170</v>
      </c>
      <c r="N26" s="12"/>
      <c r="O26" s="54"/>
    </row>
    <row r="27" spans="1:15" ht="15" customHeight="1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D27" s="1" t="s">
        <v>348</v>
      </c>
      <c r="E27" s="1"/>
      <c r="F27" s="33"/>
      <c r="H27" s="33"/>
      <c r="I27" s="1"/>
    </row>
    <row r="28" spans="1:15" ht="15" customHeight="1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 s="1" t="s">
        <v>348</v>
      </c>
      <c r="E28" s="1"/>
      <c r="F28" s="33"/>
      <c r="G28" s="89"/>
      <c r="H28" s="72"/>
      <c r="I28" s="92">
        <f>Defaults!F28</f>
        <v>140</v>
      </c>
      <c r="J28" s="107">
        <f>Defaults!G28</f>
        <v>1.65</v>
      </c>
      <c r="K28" s="12" t="s">
        <v>164</v>
      </c>
      <c r="L28" s="12"/>
      <c r="M28" s="12" t="s">
        <v>164</v>
      </c>
      <c r="N28" s="12"/>
      <c r="O28" s="54"/>
    </row>
    <row r="29" spans="1:15" ht="15" customHeight="1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" t="s">
        <v>348</v>
      </c>
      <c r="E29" s="1"/>
      <c r="F29" s="76"/>
      <c r="G29" s="90"/>
      <c r="H29" s="51"/>
      <c r="I29" s="92">
        <f>Defaults!F29</f>
        <v>140</v>
      </c>
      <c r="J29" s="107">
        <f>Defaults!G29</f>
        <v>1.65</v>
      </c>
      <c r="K29" s="12"/>
      <c r="L29" s="12"/>
      <c r="M29" s="12"/>
      <c r="N29" s="12"/>
      <c r="O29" s="17"/>
    </row>
    <row r="30" spans="1:15" ht="15" customHeight="1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 s="1" t="s">
        <v>348</v>
      </c>
      <c r="E30" s="1"/>
      <c r="F30" s="33"/>
      <c r="H30" s="33"/>
      <c r="I30" s="1"/>
      <c r="O30" s="2"/>
    </row>
    <row r="31" spans="1:15" ht="15" customHeight="1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 s="1" t="s">
        <v>348</v>
      </c>
      <c r="E31" s="50"/>
      <c r="F31" s="33"/>
      <c r="G31" s="58"/>
      <c r="H31" s="70"/>
      <c r="I31" s="94"/>
      <c r="J31" s="109"/>
      <c r="O31" s="4"/>
    </row>
    <row r="32" spans="1:15" ht="15" customHeight="1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 s="1" t="s">
        <v>348</v>
      </c>
      <c r="E32" s="50"/>
      <c r="F32" s="33"/>
      <c r="G32" s="58"/>
      <c r="H32" s="70"/>
      <c r="I32" s="94"/>
      <c r="J32" s="109"/>
      <c r="O32" s="4"/>
    </row>
    <row r="33" spans="1:15" ht="15" customHeight="1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s="1" t="s">
        <v>349</v>
      </c>
      <c r="E33" s="1"/>
      <c r="F33" s="33"/>
      <c r="H33" s="33"/>
      <c r="I33" s="1"/>
      <c r="O33" s="2"/>
    </row>
    <row r="34" spans="1:15" ht="15" customHeight="1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 s="1" t="s">
        <v>348</v>
      </c>
      <c r="E34" s="1"/>
      <c r="F34" s="33"/>
      <c r="H34" s="33"/>
      <c r="I34" s="1"/>
      <c r="O34" s="2"/>
    </row>
    <row r="35" spans="1:15" ht="15" customHeight="1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D35" s="1" t="s">
        <v>348</v>
      </c>
      <c r="E35" s="1"/>
      <c r="F35" s="33"/>
      <c r="H35" s="33"/>
      <c r="I35" s="1"/>
      <c r="O35" s="2"/>
    </row>
    <row r="36" spans="1:15" ht="15" customHeight="1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D36" s="1" t="s">
        <v>348</v>
      </c>
      <c r="E36" s="1"/>
      <c r="F36" s="33"/>
      <c r="H36" s="33"/>
      <c r="I36" s="1"/>
      <c r="O36" s="2"/>
    </row>
    <row r="37" spans="1:15" ht="15" customHeight="1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 s="1" t="s">
        <v>348</v>
      </c>
      <c r="E37" s="1"/>
      <c r="F37" s="33"/>
      <c r="H37" s="33"/>
      <c r="I37" s="1"/>
      <c r="O37" s="2"/>
    </row>
    <row r="38" spans="1:15" ht="15" customHeight="1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" t="s">
        <v>348</v>
      </c>
      <c r="E38" s="1"/>
      <c r="F38" s="75"/>
      <c r="G38" s="90"/>
      <c r="H38" s="51"/>
      <c r="I38" s="101">
        <f>Defaults!F38</f>
        <v>7</v>
      </c>
      <c r="J38" s="115">
        <f>Defaults!G38</f>
        <v>1.65</v>
      </c>
      <c r="K38" s="12"/>
      <c r="L38" s="12"/>
      <c r="M38" s="12"/>
      <c r="N38" s="12"/>
      <c r="O38" s="17"/>
    </row>
    <row r="39" spans="1:15" ht="15" customHeight="1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 s="1" t="s">
        <v>348</v>
      </c>
      <c r="E39" s="1"/>
      <c r="F39" s="51"/>
      <c r="G39" s="89"/>
      <c r="H39" s="68"/>
      <c r="I39" s="92">
        <f>Defaults!F39</f>
        <v>0</v>
      </c>
      <c r="J39" s="107">
        <f>Defaults!G39</f>
        <v>1.65</v>
      </c>
      <c r="K39" s="62" t="s">
        <v>187</v>
      </c>
      <c r="L39" s="12"/>
      <c r="M39" s="62" t="s">
        <v>188</v>
      </c>
      <c r="N39" s="12"/>
      <c r="O39" s="54"/>
    </row>
    <row r="40" spans="1:15" ht="15" customHeight="1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 s="1" t="s">
        <v>348</v>
      </c>
      <c r="E40" s="1"/>
      <c r="F40" s="33"/>
      <c r="G40" s="89"/>
      <c r="H40" s="68"/>
      <c r="I40" s="92">
        <f>Defaults!F40</f>
        <v>140</v>
      </c>
      <c r="J40" s="107">
        <f>Defaults!G40</f>
        <v>1.65</v>
      </c>
      <c r="K40" s="12" t="s">
        <v>164</v>
      </c>
      <c r="L40" s="12"/>
      <c r="M40" s="12" t="s">
        <v>164</v>
      </c>
      <c r="N40" s="53"/>
      <c r="O40" s="54"/>
    </row>
    <row r="41" spans="1:15" ht="15" customHeight="1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 s="1" t="s">
        <v>348</v>
      </c>
      <c r="E41" s="50"/>
      <c r="F41" s="33"/>
      <c r="G41" s="8"/>
      <c r="H41" s="72"/>
      <c r="I41" s="92">
        <f>Defaults!F41</f>
        <v>300</v>
      </c>
      <c r="J41" s="107">
        <f>Defaults!G41</f>
        <v>2.25</v>
      </c>
      <c r="K41" s="12" t="s">
        <v>191</v>
      </c>
      <c r="L41" s="12"/>
      <c r="M41" s="12" t="s">
        <v>191</v>
      </c>
      <c r="N41" s="53"/>
      <c r="O41" s="54"/>
    </row>
    <row r="42" spans="1:15" ht="15" customHeight="1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 s="1" t="s">
        <v>348</v>
      </c>
      <c r="E42" s="50"/>
      <c r="F42" s="33"/>
      <c r="G42" s="58"/>
      <c r="H42" s="70"/>
      <c r="I42" s="96"/>
      <c r="J42" s="109"/>
      <c r="O42" s="4"/>
    </row>
    <row r="43" spans="1:15" ht="15" customHeight="1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 s="1" t="s">
        <v>348</v>
      </c>
      <c r="E43" s="50"/>
      <c r="F43" s="33"/>
      <c r="G43" s="55"/>
      <c r="H43" s="73"/>
      <c r="I43" s="96"/>
      <c r="J43" s="109"/>
      <c r="O43" s="4"/>
    </row>
    <row r="44" spans="1:15" ht="15" customHeight="1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 s="1" t="s">
        <v>348</v>
      </c>
      <c r="E44" s="50"/>
      <c r="F44" s="33"/>
      <c r="G44" s="58"/>
      <c r="H44" s="70"/>
      <c r="I44" s="94"/>
      <c r="J44" s="109"/>
      <c r="O44" s="4"/>
    </row>
    <row r="45" spans="1:15" ht="15" customHeight="1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 s="1" t="s">
        <v>348</v>
      </c>
      <c r="E45" s="50"/>
      <c r="F45" s="33"/>
      <c r="G45" s="55"/>
      <c r="H45" s="73"/>
      <c r="I45" s="96"/>
      <c r="J45" s="109"/>
      <c r="O45" s="4"/>
    </row>
    <row r="46" spans="1:15" ht="15" customHeight="1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 s="1" t="s">
        <v>348</v>
      </c>
      <c r="E46" s="63"/>
      <c r="F46" s="33"/>
      <c r="G46" s="58"/>
      <c r="H46" s="70"/>
      <c r="I46" s="94"/>
      <c r="J46" s="109"/>
      <c r="O46" s="4"/>
    </row>
    <row r="47" spans="1:15" ht="15" customHeight="1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 s="1" t="s">
        <v>348</v>
      </c>
      <c r="E47" s="50"/>
      <c r="F47" s="51"/>
      <c r="G47" s="8"/>
      <c r="H47" s="72"/>
      <c r="I47" s="92">
        <f>Defaults!F47</f>
        <v>450</v>
      </c>
      <c r="J47" s="107">
        <f>Defaults!G47</f>
        <v>6.09</v>
      </c>
      <c r="K47" s="12" t="s">
        <v>185</v>
      </c>
      <c r="L47" s="12"/>
      <c r="M47" s="12" t="s">
        <v>185</v>
      </c>
      <c r="N47" s="53"/>
      <c r="O47" s="54"/>
    </row>
    <row r="48" spans="1:15" ht="15" customHeight="1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D48" s="1" t="s">
        <v>348</v>
      </c>
      <c r="E48" s="50"/>
      <c r="F48" s="51"/>
      <c r="G48" s="61"/>
      <c r="H48" s="74"/>
      <c r="I48" s="97"/>
      <c r="J48" s="109"/>
      <c r="O48" s="4"/>
    </row>
    <row r="49" spans="1:15" ht="15" customHeight="1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 s="1" t="s">
        <v>348</v>
      </c>
      <c r="E49" s="50"/>
      <c r="F49" s="51"/>
      <c r="G49" s="8"/>
      <c r="H49" s="68"/>
      <c r="I49" s="92">
        <f>Defaults!F49</f>
        <v>140</v>
      </c>
      <c r="J49" s="107">
        <f>Defaults!G49</f>
        <v>1.65</v>
      </c>
      <c r="K49" s="12" t="s">
        <v>205</v>
      </c>
      <c r="L49" s="12"/>
      <c r="M49" s="12" t="s">
        <v>206</v>
      </c>
      <c r="N49" s="53"/>
      <c r="O49" s="54"/>
    </row>
    <row r="50" spans="1:15" ht="15" customHeight="1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" t="s">
        <v>349</v>
      </c>
      <c r="E50" s="50"/>
      <c r="F50" s="51"/>
      <c r="G50" s="55"/>
      <c r="H50" s="73"/>
      <c r="I50" s="96"/>
      <c r="J50" s="109"/>
      <c r="O50" s="4"/>
    </row>
    <row r="51" spans="1:15" ht="15" customHeight="1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 s="1" t="s">
        <v>348</v>
      </c>
      <c r="E51" s="63"/>
      <c r="F51" s="51"/>
      <c r="G51" s="58"/>
      <c r="H51" s="70"/>
      <c r="I51" s="94"/>
      <c r="J51" s="109"/>
      <c r="O51" s="4"/>
    </row>
    <row r="52" spans="1:15" ht="15" customHeight="1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 s="1" t="s">
        <v>348</v>
      </c>
      <c r="E52" s="63"/>
      <c r="F52" s="51"/>
      <c r="G52" s="58"/>
      <c r="H52" s="70"/>
      <c r="I52" s="94"/>
      <c r="J52" s="109"/>
      <c r="O52" s="4"/>
    </row>
    <row r="53" spans="1:15" ht="15" customHeight="1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 s="1" t="s">
        <v>348</v>
      </c>
      <c r="E53" s="50"/>
      <c r="F53" s="51"/>
      <c r="G53" s="8"/>
      <c r="H53" s="68"/>
      <c r="I53" s="92">
        <v>140</v>
      </c>
      <c r="J53" s="107">
        <f>Defaults!G53</f>
        <v>1.65</v>
      </c>
      <c r="K53" s="12" t="s">
        <v>211</v>
      </c>
      <c r="L53" s="12"/>
      <c r="M53" s="12" t="s">
        <v>211</v>
      </c>
      <c r="N53" s="53"/>
      <c r="O53" s="54"/>
    </row>
    <row r="54" spans="1:15" ht="15" customHeight="1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 s="1" t="s">
        <v>349</v>
      </c>
      <c r="E54" s="63"/>
      <c r="F54" s="33"/>
      <c r="G54" s="58"/>
      <c r="H54" s="70"/>
      <c r="I54" s="94"/>
      <c r="J54" s="109"/>
      <c r="N54" s="55"/>
      <c r="O54" s="4"/>
    </row>
    <row r="55" spans="1:15" ht="15" customHeight="1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 s="1" t="s">
        <v>348</v>
      </c>
      <c r="E55" s="63"/>
      <c r="F55" s="33"/>
      <c r="G55" s="89"/>
      <c r="H55" s="72"/>
      <c r="I55" s="98">
        <v>79</v>
      </c>
      <c r="J55" s="107">
        <f>Defaults!G55</f>
        <v>0</v>
      </c>
      <c r="K55" s="12"/>
      <c r="L55" s="12"/>
      <c r="M55" s="12"/>
      <c r="N55" s="64"/>
      <c r="O55" s="54"/>
    </row>
    <row r="56" spans="1:15" ht="15" customHeight="1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 s="1" t="s">
        <v>348</v>
      </c>
      <c r="E56" s="63"/>
      <c r="F56" s="51"/>
      <c r="G56" s="8"/>
      <c r="H56" s="72"/>
      <c r="I56" s="92">
        <f>Defaults!F56</f>
        <v>140</v>
      </c>
      <c r="J56" s="107">
        <f>Defaults!G56</f>
        <v>1.65</v>
      </c>
      <c r="K56" s="12" t="s">
        <v>211</v>
      </c>
      <c r="L56" s="12"/>
      <c r="M56" s="12" t="s">
        <v>211</v>
      </c>
      <c r="N56" s="59"/>
      <c r="O56" s="54"/>
    </row>
    <row r="57" spans="1:15" ht="15" customHeight="1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 s="1" t="s">
        <v>348</v>
      </c>
      <c r="E57" s="63"/>
      <c r="F57" s="51"/>
      <c r="G57" s="8"/>
      <c r="H57" s="72"/>
      <c r="I57" s="92">
        <f>Defaults!F57</f>
        <v>65.400000000000006</v>
      </c>
      <c r="J57" s="107">
        <f>Defaults!G57</f>
        <v>0.7</v>
      </c>
      <c r="K57" s="12" t="s">
        <v>217</v>
      </c>
      <c r="L57" s="12"/>
      <c r="M57" s="12" t="s">
        <v>217</v>
      </c>
      <c r="N57" s="12"/>
      <c r="O57" s="54"/>
    </row>
    <row r="58" spans="1:15" ht="15" customHeight="1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 s="1" t="s">
        <v>348</v>
      </c>
      <c r="E58" s="50"/>
      <c r="F58" s="51"/>
      <c r="G58" s="55"/>
      <c r="H58" s="73"/>
      <c r="I58" s="96"/>
      <c r="J58" s="109"/>
      <c r="N58" s="58"/>
      <c r="O58" s="4"/>
    </row>
    <row r="59" spans="1:15" ht="15" customHeight="1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 s="1" t="s">
        <v>348</v>
      </c>
      <c r="E59" s="50"/>
      <c r="F59" s="51"/>
      <c r="G59" s="8"/>
      <c r="H59" s="72"/>
      <c r="I59" s="92">
        <f>Defaults!F59</f>
        <v>69</v>
      </c>
      <c r="J59" s="107">
        <f>Defaults!G59</f>
        <v>0.11</v>
      </c>
      <c r="K59" s="12" t="s">
        <v>147</v>
      </c>
      <c r="L59" s="12"/>
      <c r="M59" s="12" t="s">
        <v>147</v>
      </c>
      <c r="N59" s="53"/>
      <c r="O59" s="54"/>
    </row>
    <row r="60" spans="1:15" ht="15" customHeight="1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 s="1" t="s">
        <v>348</v>
      </c>
      <c r="E60" s="50"/>
      <c r="F60" s="51"/>
      <c r="G60" s="55"/>
      <c r="H60" s="73"/>
      <c r="I60" s="96"/>
      <c r="J60" s="109"/>
      <c r="M60" t="s">
        <v>147</v>
      </c>
      <c r="N60" s="58"/>
      <c r="O60" s="4"/>
    </row>
    <row r="61" spans="1:15" ht="15" customHeight="1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s="1" t="s">
        <v>348</v>
      </c>
      <c r="E61" s="50"/>
      <c r="F61" s="51"/>
      <c r="G61" s="58"/>
      <c r="H61" s="70"/>
      <c r="I61" s="94"/>
      <c r="J61" s="109"/>
      <c r="N61" s="61"/>
      <c r="O61" s="4"/>
    </row>
    <row r="62" spans="1:15" ht="15" customHeight="1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D62" s="1" t="s">
        <v>348</v>
      </c>
      <c r="E62" s="63"/>
      <c r="F62" s="51"/>
      <c r="G62" s="58"/>
      <c r="H62" s="70"/>
      <c r="I62" s="94"/>
      <c r="J62" s="109"/>
      <c r="N62" s="58"/>
      <c r="O62" s="4"/>
    </row>
    <row r="63" spans="1:15" ht="15" customHeight="1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D63" s="1" t="s">
        <v>348</v>
      </c>
      <c r="E63" s="63"/>
      <c r="F63" s="51"/>
      <c r="G63" s="58"/>
      <c r="H63" s="70"/>
      <c r="I63" s="94"/>
      <c r="J63" s="109"/>
      <c r="N63" s="55"/>
      <c r="O63" s="4"/>
    </row>
    <row r="64" spans="1:15" ht="15" customHeight="1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 s="1" t="s">
        <v>348</v>
      </c>
      <c r="E64" s="1"/>
      <c r="F64" s="51"/>
      <c r="G64" s="88"/>
      <c r="H64" s="69"/>
      <c r="I64" s="92">
        <f>Defaults!F64</f>
        <v>68.599999999999994</v>
      </c>
      <c r="J64" s="107">
        <f>Defaults!G64</f>
        <v>0.45</v>
      </c>
      <c r="K64" s="12" t="s">
        <v>147</v>
      </c>
      <c r="L64" s="12"/>
      <c r="M64" s="12" t="s">
        <v>147</v>
      </c>
      <c r="N64" s="53"/>
      <c r="O64" s="54"/>
    </row>
    <row r="65" spans="1:15" ht="15" customHeight="1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D65" s="1" t="s">
        <v>348</v>
      </c>
      <c r="E65" s="1"/>
      <c r="F65" s="33"/>
      <c r="H65" s="33"/>
      <c r="I65" s="1"/>
      <c r="M65" t="s">
        <v>147</v>
      </c>
      <c r="N65" s="58"/>
      <c r="O65" s="2"/>
    </row>
    <row r="66" spans="1:15" ht="15" customHeight="1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 s="1" t="s">
        <v>348</v>
      </c>
      <c r="E66" s="1"/>
      <c r="F66" s="33"/>
      <c r="H66" s="33"/>
      <c r="I66" s="1"/>
      <c r="N66" s="58"/>
      <c r="O66" s="2"/>
    </row>
    <row r="67" spans="1:15" ht="15" customHeight="1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 s="1" t="s">
        <v>348</v>
      </c>
      <c r="E67" s="1"/>
      <c r="F67" s="51"/>
      <c r="G67" s="88"/>
      <c r="H67" s="69"/>
      <c r="I67" s="92">
        <f>Defaults!F67</f>
        <v>140</v>
      </c>
      <c r="J67" s="107">
        <f>Defaults!G67</f>
        <v>4.71</v>
      </c>
      <c r="K67" s="12" t="s">
        <v>170</v>
      </c>
      <c r="L67" s="12"/>
      <c r="M67" s="12" t="s">
        <v>170</v>
      </c>
      <c r="N67" s="59"/>
      <c r="O67" s="54"/>
    </row>
    <row r="68" spans="1:15" ht="15" customHeight="1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 s="1" t="s">
        <v>348</v>
      </c>
      <c r="E68" s="1"/>
      <c r="F68" s="51"/>
      <c r="H68" s="33"/>
      <c r="I68" s="1"/>
      <c r="O68" s="2"/>
    </row>
    <row r="69" spans="1:15" ht="15" customHeight="1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 s="1" t="s">
        <v>348</v>
      </c>
      <c r="E69" s="1"/>
      <c r="F69" s="51"/>
      <c r="G69" s="89"/>
      <c r="H69" s="69"/>
      <c r="I69" s="92">
        <f>Defaults!F69</f>
        <v>61.1</v>
      </c>
      <c r="J69" s="107">
        <f>Defaults!G69</f>
        <v>0.59499999999999997</v>
      </c>
      <c r="K69" s="12" t="s">
        <v>233</v>
      </c>
      <c r="L69" s="12"/>
      <c r="M69" s="12" t="s">
        <v>233</v>
      </c>
      <c r="N69" s="12"/>
      <c r="O69" s="17"/>
    </row>
    <row r="70" spans="1:15" ht="15" customHeight="1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D70" s="1" t="s">
        <v>348</v>
      </c>
      <c r="E70" s="1"/>
      <c r="F70" s="51"/>
      <c r="H70" s="33"/>
      <c r="I70" s="1"/>
      <c r="O70" s="2"/>
    </row>
    <row r="71" spans="1:15" ht="15" customHeight="1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D71" s="1" t="s">
        <v>348</v>
      </c>
      <c r="E71" s="1"/>
      <c r="F71" s="51"/>
      <c r="H71" s="33"/>
      <c r="I71" s="1"/>
      <c r="O71" s="2"/>
    </row>
    <row r="72" spans="1:15" ht="15" customHeight="1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 s="1" t="s">
        <v>348</v>
      </c>
      <c r="E72" s="1"/>
      <c r="F72" s="51"/>
      <c r="G72" s="89"/>
      <c r="H72" s="69"/>
      <c r="I72" s="92">
        <f>Defaults!F72</f>
        <v>63.2</v>
      </c>
      <c r="J72" s="107">
        <f>Defaults!G72</f>
        <v>0.59499999999999997</v>
      </c>
      <c r="K72" s="12" t="s">
        <v>233</v>
      </c>
      <c r="L72" s="12"/>
      <c r="M72" s="12" t="s">
        <v>233</v>
      </c>
      <c r="N72" s="12"/>
      <c r="O72" s="17"/>
    </row>
    <row r="73" spans="1:15" ht="15" customHeight="1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D73" s="1" t="s">
        <v>348</v>
      </c>
      <c r="E73" s="1"/>
      <c r="F73" s="51"/>
      <c r="H73" s="33"/>
      <c r="I73" s="1"/>
      <c r="O73" s="2"/>
    </row>
    <row r="74" spans="1:15" ht="15" customHeight="1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 s="1" t="s">
        <v>348</v>
      </c>
      <c r="E74" s="1"/>
      <c r="F74" s="51"/>
      <c r="G74" s="88"/>
      <c r="H74" s="69"/>
      <c r="I74" s="92">
        <f>Defaults!F74</f>
        <v>140</v>
      </c>
      <c r="J74" s="107">
        <f>Defaults!G74</f>
        <v>1.65</v>
      </c>
      <c r="K74" s="12" t="s">
        <v>241</v>
      </c>
      <c r="L74" s="12"/>
      <c r="M74" s="12" t="s">
        <v>241</v>
      </c>
      <c r="N74" s="53"/>
      <c r="O74" s="17"/>
    </row>
    <row r="75" spans="1:15" ht="15" customHeight="1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 s="1" t="s">
        <v>348</v>
      </c>
      <c r="E75" s="1"/>
      <c r="F75" s="51"/>
      <c r="H75" s="33"/>
      <c r="I75" s="1"/>
      <c r="O75" s="2"/>
    </row>
    <row r="76" spans="1:15" ht="15" customHeight="1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 s="1" t="s">
        <v>348</v>
      </c>
      <c r="E76" s="1"/>
      <c r="F76" s="51"/>
      <c r="H76" s="33"/>
      <c r="I76" s="1"/>
      <c r="O76" s="2"/>
    </row>
    <row r="77" spans="1:15" ht="15" customHeight="1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 s="1" t="s">
        <v>349</v>
      </c>
      <c r="E77" s="1"/>
      <c r="F77" s="51"/>
      <c r="G77" s="88"/>
      <c r="H77" s="68"/>
      <c r="I77" s="92">
        <f>Defaults!F77</f>
        <v>450</v>
      </c>
      <c r="J77" s="107">
        <f>Defaults!G77</f>
        <v>6.09</v>
      </c>
      <c r="K77" s="12" t="s">
        <v>132</v>
      </c>
      <c r="L77" s="12"/>
      <c r="M77" s="12" t="s">
        <v>132</v>
      </c>
      <c r="N77" s="12"/>
      <c r="O77" s="17"/>
    </row>
    <row r="78" spans="1:15" ht="15" customHeight="1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 s="1" t="s">
        <v>348</v>
      </c>
      <c r="E78" s="1"/>
      <c r="F78" s="33"/>
      <c r="G78" s="88"/>
      <c r="H78" s="69"/>
      <c r="I78" s="92">
        <f>Defaults!F78</f>
        <v>63.2</v>
      </c>
      <c r="J78" s="107">
        <f>Defaults!G78</f>
        <v>0.57999999999999996</v>
      </c>
      <c r="K78" s="12" t="s">
        <v>147</v>
      </c>
      <c r="L78" s="12"/>
      <c r="M78" s="12" t="s">
        <v>147</v>
      </c>
      <c r="N78" s="12"/>
      <c r="O78" s="54"/>
    </row>
    <row r="79" spans="1:15" ht="15" customHeight="1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 s="1" t="s">
        <v>348</v>
      </c>
      <c r="E79" s="1"/>
      <c r="F79" s="33"/>
      <c r="G79" s="89"/>
      <c r="H79" s="69"/>
      <c r="I79" s="92">
        <f>Defaults!F79</f>
        <v>63.2</v>
      </c>
      <c r="J79" s="108">
        <v>0.57999999999999996</v>
      </c>
      <c r="K79" s="12" t="s">
        <v>147</v>
      </c>
      <c r="L79" s="12"/>
      <c r="M79" s="12" t="s">
        <v>147</v>
      </c>
      <c r="N79" s="12"/>
      <c r="O79" s="54"/>
    </row>
    <row r="80" spans="1:15" ht="15" customHeight="1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 s="1" t="s">
        <v>348</v>
      </c>
      <c r="E80" s="1"/>
      <c r="F80" s="33"/>
      <c r="H80" s="33"/>
      <c r="I80" s="1"/>
      <c r="O80" s="2"/>
    </row>
    <row r="81" spans="1:15" ht="15" customHeight="1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D81" s="1" t="s">
        <v>348</v>
      </c>
      <c r="E81" s="1"/>
      <c r="F81" s="33"/>
      <c r="H81" s="33"/>
      <c r="I81" s="1"/>
      <c r="O81" s="2"/>
    </row>
    <row r="82" spans="1:15" ht="15" customHeight="1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D82" s="1" t="s">
        <v>348</v>
      </c>
      <c r="E82" s="1"/>
      <c r="F82" s="33"/>
      <c r="H82" s="33"/>
      <c r="I82" s="1"/>
      <c r="O82" s="2"/>
    </row>
    <row r="83" spans="1:15" ht="15" customHeight="1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 s="1" t="s">
        <v>348</v>
      </c>
      <c r="E83" s="1"/>
      <c r="F83" s="116"/>
      <c r="G83" s="88"/>
      <c r="H83" s="69"/>
      <c r="I83" s="92">
        <f>Defaults!F83</f>
        <v>450</v>
      </c>
      <c r="J83" s="107">
        <f>Defaults!G83</f>
        <v>6.09</v>
      </c>
      <c r="K83" s="12" t="s">
        <v>251</v>
      </c>
      <c r="L83" s="12"/>
      <c r="M83" s="12" t="s">
        <v>251</v>
      </c>
      <c r="N83" s="53"/>
      <c r="O83" s="17"/>
    </row>
    <row r="84" spans="1:15" ht="15" customHeight="1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 s="1" t="s">
        <v>348</v>
      </c>
      <c r="E84" s="1"/>
      <c r="F84" s="33"/>
      <c r="H84" s="33"/>
      <c r="I84" s="1"/>
      <c r="O84" s="2"/>
    </row>
    <row r="85" spans="1:15" ht="15" customHeight="1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 s="1" t="s">
        <v>348</v>
      </c>
      <c r="E85" s="1"/>
      <c r="F85" s="33"/>
      <c r="H85" s="33"/>
      <c r="I85" s="1"/>
      <c r="O85" s="2"/>
    </row>
    <row r="86" spans="1:15" ht="15" customHeight="1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 s="1" t="s">
        <v>348</v>
      </c>
      <c r="E86" s="1"/>
      <c r="F86" s="33"/>
      <c r="G86" s="88"/>
      <c r="H86" s="71"/>
      <c r="I86" s="92">
        <f>Defaults!F86</f>
        <v>135.5</v>
      </c>
      <c r="J86" s="107">
        <f>Defaults!G86</f>
        <v>2.13</v>
      </c>
      <c r="K86" s="12" t="s">
        <v>147</v>
      </c>
      <c r="L86" s="12"/>
      <c r="M86" s="12" t="s">
        <v>147</v>
      </c>
      <c r="N86" s="12"/>
      <c r="O86" s="54"/>
    </row>
    <row r="87" spans="1:15" ht="15" customHeight="1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 s="1" t="s">
        <v>348</v>
      </c>
      <c r="E87" s="1"/>
      <c r="F87" s="51"/>
      <c r="G87" s="88"/>
      <c r="H87" s="69"/>
      <c r="I87" s="92">
        <f>Defaults!F87</f>
        <v>140</v>
      </c>
      <c r="J87" s="107">
        <f>Defaults!G87</f>
        <v>1.65</v>
      </c>
      <c r="K87" s="12" t="s">
        <v>256</v>
      </c>
      <c r="L87" s="12"/>
      <c r="M87" s="12"/>
      <c r="N87" s="53"/>
      <c r="O87" s="17"/>
    </row>
    <row r="88" spans="1:15" ht="15" customHeight="1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 s="1" t="s">
        <v>348</v>
      </c>
      <c r="E88" s="1"/>
      <c r="F88" s="51"/>
      <c r="H88" s="33"/>
      <c r="I88" s="1"/>
      <c r="O88" s="2"/>
    </row>
    <row r="89" spans="1:15" ht="15" customHeight="1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" t="s">
        <v>348</v>
      </c>
      <c r="E89" s="1"/>
      <c r="F89" s="51"/>
      <c r="H89" s="33"/>
      <c r="I89" s="1"/>
      <c r="O89" s="2"/>
    </row>
    <row r="90" spans="1:15" ht="15" customHeight="1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" t="s">
        <v>348</v>
      </c>
      <c r="E90" s="1"/>
      <c r="F90" s="75"/>
      <c r="H90" s="69"/>
      <c r="I90" s="101">
        <f>Defaults!F90</f>
        <v>60</v>
      </c>
      <c r="J90" s="115">
        <f>Defaults!G90</f>
        <v>0.35900000000000004</v>
      </c>
      <c r="O90" s="2"/>
    </row>
    <row r="91" spans="1:15" ht="15" customHeight="1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 s="1" t="s">
        <v>348</v>
      </c>
      <c r="E91" s="1"/>
      <c r="F91" s="51"/>
      <c r="G91" s="88"/>
      <c r="H91" s="69"/>
      <c r="I91" s="92">
        <f>Defaults!F91</f>
        <v>60</v>
      </c>
      <c r="J91" s="107">
        <f>Defaults!G91</f>
        <v>0.26</v>
      </c>
      <c r="K91" s="12" t="s">
        <v>262</v>
      </c>
      <c r="L91" s="12"/>
      <c r="M91" s="12" t="s">
        <v>262</v>
      </c>
      <c r="N91" s="12"/>
      <c r="O91" s="54"/>
    </row>
    <row r="92" spans="1:15" ht="15" customHeight="1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 s="1" t="s">
        <v>348</v>
      </c>
      <c r="E92" s="1"/>
      <c r="F92" s="51"/>
      <c r="G92" s="88"/>
      <c r="H92" s="69"/>
      <c r="I92" s="92">
        <f>Defaults!F92</f>
        <v>60</v>
      </c>
      <c r="J92" s="107">
        <f>Defaults!G92</f>
        <v>0.37</v>
      </c>
      <c r="K92" s="12" t="s">
        <v>262</v>
      </c>
      <c r="L92" s="12"/>
      <c r="M92" s="12" t="s">
        <v>262</v>
      </c>
      <c r="N92" s="12"/>
      <c r="O92" s="54"/>
    </row>
    <row r="93" spans="1:15" ht="15" customHeight="1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 s="1" t="s">
        <v>348</v>
      </c>
      <c r="E93" s="1"/>
      <c r="F93" s="51"/>
      <c r="G93" s="88"/>
      <c r="H93" s="68"/>
      <c r="I93" s="92">
        <f>Defaults!F93</f>
        <v>300</v>
      </c>
      <c r="J93" s="107">
        <f>Defaults!G93</f>
        <v>2.25</v>
      </c>
      <c r="K93" s="12" t="s">
        <v>265</v>
      </c>
      <c r="L93" s="12"/>
      <c r="M93" s="12" t="s">
        <v>265</v>
      </c>
      <c r="N93" s="12"/>
      <c r="O93" s="54"/>
    </row>
    <row r="94" spans="1:15" ht="15" customHeight="1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 s="1" t="s">
        <v>348</v>
      </c>
      <c r="E94" s="1"/>
      <c r="F94" s="51"/>
      <c r="H94" s="33"/>
      <c r="I94" s="1"/>
      <c r="O94" s="2"/>
    </row>
    <row r="95" spans="1:15" ht="15" customHeight="1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 s="1" t="s">
        <v>348</v>
      </c>
      <c r="E95" s="1"/>
      <c r="F95" s="51"/>
      <c r="G95" s="88"/>
      <c r="H95" s="69"/>
      <c r="I95" s="92">
        <f>Defaults!F95</f>
        <v>68.7</v>
      </c>
      <c r="J95" s="107">
        <f>Defaults!G95</f>
        <v>0.94</v>
      </c>
      <c r="K95" s="12" t="s">
        <v>147</v>
      </c>
      <c r="L95" s="12"/>
      <c r="M95" s="12" t="s">
        <v>147</v>
      </c>
      <c r="N95" s="12"/>
      <c r="O95" s="54"/>
    </row>
    <row r="96" spans="1:15" ht="15" customHeight="1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s="1" t="s">
        <v>349</v>
      </c>
      <c r="E96" s="1"/>
      <c r="F96" s="51"/>
      <c r="H96" s="33"/>
      <c r="I96" s="1"/>
      <c r="O96" s="2"/>
    </row>
    <row r="97" spans="1:15" ht="15" customHeight="1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 s="1" t="s">
        <v>348</v>
      </c>
      <c r="E97" s="1"/>
      <c r="F97" s="51"/>
      <c r="G97" s="88"/>
      <c r="H97" s="69"/>
      <c r="I97" s="92">
        <f>Defaults!F97</f>
        <v>450</v>
      </c>
      <c r="J97" s="107">
        <f>Defaults!G97</f>
        <v>6.09</v>
      </c>
      <c r="K97" s="12" t="s">
        <v>270</v>
      </c>
      <c r="L97" s="12"/>
      <c r="M97" s="12" t="s">
        <v>270</v>
      </c>
      <c r="N97" s="53"/>
      <c r="O97" s="17"/>
    </row>
    <row r="98" spans="1:15" ht="15" customHeight="1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" t="s">
        <v>349</v>
      </c>
      <c r="E98" s="1"/>
      <c r="F98" s="51"/>
      <c r="H98" s="33"/>
      <c r="I98" s="1"/>
      <c r="O98" s="2"/>
    </row>
    <row r="99" spans="1:15" ht="15" customHeight="1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 s="1" t="s">
        <v>348</v>
      </c>
      <c r="E99" s="1"/>
      <c r="F99" s="51"/>
      <c r="G99" s="88"/>
      <c r="H99" s="69"/>
      <c r="I99" s="92">
        <f>Defaults!F99</f>
        <v>140</v>
      </c>
      <c r="J99" s="107">
        <f>Defaults!G99</f>
        <v>1.65</v>
      </c>
      <c r="K99" s="12" t="s">
        <v>256</v>
      </c>
      <c r="L99" s="12"/>
      <c r="M99" s="12" t="s">
        <v>273</v>
      </c>
      <c r="N99" s="53"/>
      <c r="O99" s="17"/>
    </row>
    <row r="100" spans="1:15" ht="15" customHeight="1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 s="1" t="s">
        <v>348</v>
      </c>
      <c r="E100" s="1"/>
      <c r="F100" s="51"/>
      <c r="G100" s="88"/>
      <c r="H100" s="69"/>
      <c r="I100" s="92">
        <f>Defaults!F100</f>
        <v>300</v>
      </c>
      <c r="J100" s="107">
        <f>Defaults!G100</f>
        <v>2.25</v>
      </c>
      <c r="K100" s="12" t="s">
        <v>275</v>
      </c>
      <c r="L100" s="12"/>
      <c r="M100" s="12" t="s">
        <v>275</v>
      </c>
      <c r="N100" s="12"/>
      <c r="O100" s="54"/>
    </row>
    <row r="101" spans="1:15" ht="15" customHeight="1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 s="1" t="s">
        <v>348</v>
      </c>
      <c r="E101" s="1"/>
      <c r="F101" s="51"/>
      <c r="G101" s="88"/>
      <c r="H101" s="69"/>
      <c r="I101" s="92">
        <f>Defaults!F101</f>
        <v>130</v>
      </c>
      <c r="J101" s="107">
        <f>Defaults!G101</f>
        <v>2.38</v>
      </c>
      <c r="K101" s="12" t="s">
        <v>147</v>
      </c>
      <c r="L101" s="12"/>
      <c r="M101" s="12" t="s">
        <v>147</v>
      </c>
      <c r="N101" s="12"/>
      <c r="O101" s="54"/>
    </row>
    <row r="102" spans="1:15" ht="15" customHeight="1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 s="1" t="s">
        <v>348</v>
      </c>
      <c r="E102" s="1"/>
      <c r="F102" s="33"/>
      <c r="H102" s="33"/>
      <c r="I102" s="1"/>
      <c r="O102" s="2"/>
    </row>
    <row r="103" spans="1:15" ht="15" customHeight="1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 s="1" t="s">
        <v>348</v>
      </c>
      <c r="E103" s="1"/>
      <c r="F103" s="33"/>
      <c r="H103" s="33"/>
      <c r="I103" s="1"/>
      <c r="O103" s="2"/>
    </row>
    <row r="104" spans="1:15" ht="15" customHeight="1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 s="1" t="s">
        <v>348</v>
      </c>
      <c r="E104" s="1"/>
      <c r="F104" s="33"/>
      <c r="H104" s="33"/>
      <c r="I104" s="1"/>
      <c r="O104" s="2"/>
    </row>
    <row r="105" spans="1:15" ht="15" customHeight="1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 s="1" t="s">
        <v>348</v>
      </c>
      <c r="E105" s="1"/>
      <c r="F105" s="33"/>
      <c r="H105" s="33"/>
      <c r="I105" s="1"/>
      <c r="O105" s="2"/>
    </row>
    <row r="106" spans="1:15" ht="15" customHeight="1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" t="s">
        <v>348</v>
      </c>
      <c r="E106" s="1"/>
      <c r="F106" s="76"/>
      <c r="G106" s="90"/>
      <c r="H106" s="51"/>
      <c r="I106" s="101">
        <f>Defaults!F106</f>
        <v>0</v>
      </c>
      <c r="J106" s="115">
        <f>Defaults!G106</f>
        <v>1.65</v>
      </c>
      <c r="K106" s="12"/>
      <c r="L106" s="12"/>
      <c r="M106" s="12"/>
      <c r="N106" s="12"/>
      <c r="O106" s="17"/>
    </row>
    <row r="107" spans="1:15" ht="15" customHeight="1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 s="1" t="s">
        <v>348</v>
      </c>
      <c r="E107" s="1"/>
      <c r="F107" s="33"/>
      <c r="G107" s="88"/>
      <c r="H107" s="68"/>
      <c r="I107" s="92">
        <f>Defaults!F107</f>
        <v>0</v>
      </c>
      <c r="J107" s="107">
        <f>Defaults!G107</f>
        <v>1.65</v>
      </c>
      <c r="K107" s="62" t="s">
        <v>284</v>
      </c>
      <c r="L107" s="12"/>
      <c r="M107" s="62" t="s">
        <v>284</v>
      </c>
      <c r="N107" s="12"/>
      <c r="O107" s="54"/>
    </row>
    <row r="108" spans="1:15" ht="15" customHeight="1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 s="1" t="s">
        <v>348</v>
      </c>
      <c r="E108" s="1"/>
      <c r="F108" s="33"/>
      <c r="G108" s="88"/>
      <c r="H108" s="68"/>
      <c r="I108" s="95"/>
      <c r="J108" s="108"/>
      <c r="O108" s="4"/>
    </row>
    <row r="109" spans="1:15" ht="15" customHeight="1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 s="1" t="s">
        <v>348</v>
      </c>
      <c r="E109" s="1"/>
      <c r="F109" s="51"/>
      <c r="G109" s="88"/>
      <c r="H109" s="69"/>
      <c r="I109" s="92">
        <f>Defaults!F109</f>
        <v>66.7</v>
      </c>
      <c r="J109" s="107">
        <f>Defaults!G109</f>
        <v>0.61</v>
      </c>
      <c r="K109" s="12" t="s">
        <v>147</v>
      </c>
      <c r="L109" s="12"/>
      <c r="M109" s="12" t="s">
        <v>147</v>
      </c>
      <c r="N109" s="12"/>
      <c r="O109" s="54"/>
    </row>
    <row r="110" spans="1:15" ht="15" customHeight="1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 s="1" t="s">
        <v>348</v>
      </c>
      <c r="E110" s="1"/>
      <c r="F110" s="33"/>
      <c r="H110" s="33"/>
      <c r="I110" s="1"/>
      <c r="O110" s="2"/>
    </row>
    <row r="111" spans="1:15" ht="15" customHeight="1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 s="1" t="s">
        <v>348</v>
      </c>
      <c r="E111" s="1"/>
      <c r="F111" s="33"/>
      <c r="H111" s="33"/>
      <c r="I111" s="1"/>
      <c r="O111" s="2"/>
    </row>
    <row r="112" spans="1:15" ht="15" customHeight="1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 s="1" t="s">
        <v>348</v>
      </c>
      <c r="E112" s="1"/>
      <c r="F112" s="33"/>
      <c r="H112" s="33"/>
      <c r="I112" s="1"/>
      <c r="O112" s="2"/>
    </row>
    <row r="113" spans="1:15" ht="15" customHeight="1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" t="s">
        <v>348</v>
      </c>
      <c r="E113" s="1"/>
      <c r="F113" s="33"/>
      <c r="H113" s="33"/>
      <c r="I113" s="1"/>
      <c r="O113" s="2"/>
    </row>
    <row r="114" spans="1:15" ht="15" customHeight="1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 s="1" t="s">
        <v>348</v>
      </c>
      <c r="E114" s="1"/>
      <c r="F114" s="33"/>
      <c r="H114" s="33"/>
      <c r="I114" s="1"/>
      <c r="O114" s="2"/>
    </row>
    <row r="115" spans="1:15" ht="15" customHeight="1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 s="1" t="s">
        <v>348</v>
      </c>
      <c r="E115" s="1"/>
      <c r="F115" s="33"/>
      <c r="H115" s="33"/>
      <c r="I115" s="1"/>
      <c r="O115" s="2"/>
    </row>
    <row r="116" spans="1:15" ht="15" customHeight="1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s="1" t="s">
        <v>348</v>
      </c>
      <c r="E116" s="1"/>
      <c r="F116" s="76"/>
      <c r="H116" s="33"/>
      <c r="I116" s="92">
        <f>Defaults!F116</f>
        <v>71</v>
      </c>
      <c r="J116" s="107">
        <f>Defaults!G116</f>
        <v>0.74</v>
      </c>
      <c r="K116" s="12"/>
      <c r="L116" s="12"/>
      <c r="M116" s="12"/>
      <c r="N116" s="12"/>
      <c r="O116" s="17"/>
    </row>
    <row r="117" spans="1:15" ht="15" customHeight="1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s="1" t="s">
        <v>348</v>
      </c>
      <c r="E117" s="1"/>
      <c r="F117" s="33"/>
      <c r="G117" s="88"/>
      <c r="H117" s="71"/>
      <c r="I117" s="92">
        <f>Defaults!F117</f>
        <v>71.900000000000006</v>
      </c>
      <c r="J117" s="107">
        <f>Defaults!G117</f>
        <v>0.42</v>
      </c>
      <c r="K117" s="12" t="s">
        <v>147</v>
      </c>
      <c r="L117" s="12"/>
      <c r="M117" s="12" t="s">
        <v>147</v>
      </c>
      <c r="N117" s="53"/>
      <c r="O117" s="54"/>
    </row>
    <row r="118" spans="1:15" ht="15" customHeight="1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s="1" t="s">
        <v>348</v>
      </c>
      <c r="E118" s="1"/>
      <c r="F118" s="33"/>
      <c r="G118" s="88"/>
      <c r="H118" s="71"/>
      <c r="I118" s="92">
        <f>Defaults!F118</f>
        <v>71.3</v>
      </c>
      <c r="J118" s="107">
        <f>Defaults!G118</f>
        <v>0.77</v>
      </c>
      <c r="K118" s="12" t="s">
        <v>147</v>
      </c>
      <c r="L118" s="12"/>
      <c r="M118" s="12" t="s">
        <v>147</v>
      </c>
      <c r="N118" s="53"/>
      <c r="O118" s="54"/>
    </row>
    <row r="119" spans="1:15" x14ac:dyDescent="0.2">
      <c r="I119" s="33"/>
      <c r="K119" s="12"/>
      <c r="L119" s="12"/>
      <c r="M119" s="12"/>
      <c r="N119" s="12"/>
      <c r="O119" s="17"/>
    </row>
    <row r="120" spans="1:15" x14ac:dyDescent="0.2">
      <c r="I120" s="33"/>
      <c r="K120" s="12"/>
      <c r="L120" s="12"/>
      <c r="M120" s="12"/>
      <c r="N120" s="12"/>
      <c r="O120" s="17"/>
    </row>
    <row r="121" spans="1:15" x14ac:dyDescent="0.2">
      <c r="I121" s="33"/>
      <c r="K121" s="12"/>
      <c r="L121" s="12"/>
      <c r="M121" s="12"/>
      <c r="N121" s="12"/>
      <c r="O121" s="17"/>
    </row>
    <row r="122" spans="1:15" x14ac:dyDescent="0.2">
      <c r="I122" s="33"/>
      <c r="K122" s="12"/>
      <c r="L122" s="12"/>
      <c r="M122" s="12"/>
      <c r="N122" s="12"/>
      <c r="O122" s="17"/>
    </row>
    <row r="123" spans="1:15" x14ac:dyDescent="0.2">
      <c r="I123" s="33"/>
      <c r="K123" s="12"/>
      <c r="L123" s="12"/>
      <c r="M123" s="12"/>
      <c r="N123" s="12"/>
      <c r="O123" s="17"/>
    </row>
    <row r="124" spans="1:15" x14ac:dyDescent="0.2">
      <c r="I124" s="33"/>
      <c r="K124" s="12"/>
      <c r="L124" s="12"/>
      <c r="M124" s="12"/>
      <c r="N124" s="12"/>
      <c r="O124" s="17"/>
    </row>
    <row r="125" spans="1:15" x14ac:dyDescent="0.2">
      <c r="I125" s="33"/>
      <c r="K125" s="12"/>
      <c r="L125" s="12"/>
      <c r="M125" s="12"/>
      <c r="N125" s="12"/>
      <c r="O125" s="17"/>
    </row>
    <row r="126" spans="1:15" x14ac:dyDescent="0.2">
      <c r="K126" s="12"/>
      <c r="L126" s="12"/>
      <c r="M126" s="12"/>
      <c r="N126" s="12"/>
      <c r="O126" s="17"/>
    </row>
    <row r="127" spans="1:15" x14ac:dyDescent="0.2">
      <c r="K127" s="12"/>
      <c r="L127" s="12"/>
      <c r="M127" s="12"/>
      <c r="N127" s="12"/>
      <c r="O127" s="17"/>
    </row>
    <row r="128" spans="1:15" x14ac:dyDescent="0.2">
      <c r="K128" s="12"/>
      <c r="L128" s="12"/>
      <c r="M128" s="12"/>
      <c r="N128" s="12"/>
      <c r="O128" s="17"/>
    </row>
    <row r="129" spans="15:15" x14ac:dyDescent="0.2">
      <c r="O129" s="2"/>
    </row>
    <row r="130" spans="15:15" x14ac:dyDescent="0.2">
      <c r="O130" s="2"/>
    </row>
    <row r="131" spans="15:15" x14ac:dyDescent="0.2">
      <c r="O131" s="2"/>
    </row>
    <row r="132" spans="15:15" x14ac:dyDescent="0.2">
      <c r="O132" s="2"/>
    </row>
    <row r="133" spans="15:15" x14ac:dyDescent="0.2">
      <c r="O133" s="2"/>
    </row>
    <row r="134" spans="15:15" x14ac:dyDescent="0.2">
      <c r="O134" s="2"/>
    </row>
    <row r="135" spans="15:15" x14ac:dyDescent="0.2">
      <c r="O135" s="2"/>
    </row>
    <row r="136" spans="15:15" x14ac:dyDescent="0.2">
      <c r="O136" s="2"/>
    </row>
    <row r="137" spans="15:15" x14ac:dyDescent="0.2">
      <c r="O137" s="2"/>
    </row>
    <row r="138" spans="15:15" x14ac:dyDescent="0.2">
      <c r="O138" s="2"/>
    </row>
    <row r="139" spans="15:15" x14ac:dyDescent="0.2">
      <c r="O139" s="2"/>
    </row>
    <row r="140" spans="15:15" x14ac:dyDescent="0.2">
      <c r="O140" s="2"/>
    </row>
    <row r="141" spans="15:15" x14ac:dyDescent="0.2">
      <c r="O141" s="2"/>
    </row>
    <row r="142" spans="15:15" x14ac:dyDescent="0.2">
      <c r="O142" s="2"/>
    </row>
    <row r="143" spans="15:15" x14ac:dyDescent="0.2">
      <c r="O143" s="2"/>
    </row>
    <row r="144" spans="15:15" x14ac:dyDescent="0.2">
      <c r="O144" s="2"/>
    </row>
    <row r="145" spans="15:15" x14ac:dyDescent="0.2">
      <c r="O145" s="2"/>
    </row>
    <row r="146" spans="15:15" x14ac:dyDescent="0.2">
      <c r="O146" s="2"/>
    </row>
    <row r="147" spans="15:15" x14ac:dyDescent="0.2">
      <c r="O147" s="2"/>
    </row>
    <row r="148" spans="15:15" x14ac:dyDescent="0.2">
      <c r="O148" s="2"/>
    </row>
    <row r="149" spans="15:15" x14ac:dyDescent="0.2">
      <c r="O149" s="2"/>
    </row>
    <row r="150" spans="15:15" x14ac:dyDescent="0.2">
      <c r="O150" s="2"/>
    </row>
    <row r="151" spans="15:15" x14ac:dyDescent="0.2">
      <c r="O151" s="2"/>
    </row>
    <row r="152" spans="15:15" x14ac:dyDescent="0.2">
      <c r="O152" s="2"/>
    </row>
    <row r="153" spans="15:15" x14ac:dyDescent="0.2">
      <c r="O153" s="2"/>
    </row>
    <row r="154" spans="15:15" x14ac:dyDescent="0.2">
      <c r="O154" s="2"/>
    </row>
    <row r="155" spans="15:15" x14ac:dyDescent="0.2">
      <c r="O155" s="2"/>
    </row>
    <row r="156" spans="15:15" x14ac:dyDescent="0.2">
      <c r="O156" s="2"/>
    </row>
    <row r="157" spans="15:15" x14ac:dyDescent="0.2">
      <c r="O157" s="2"/>
    </row>
    <row r="158" spans="15:15" x14ac:dyDescent="0.2">
      <c r="O158" s="2"/>
    </row>
    <row r="159" spans="15:15" x14ac:dyDescent="0.2">
      <c r="O159" s="2"/>
    </row>
    <row r="160" spans="15:15" x14ac:dyDescent="0.2">
      <c r="O160" s="2"/>
    </row>
    <row r="161" spans="15:15" x14ac:dyDescent="0.2">
      <c r="O161" s="2"/>
    </row>
    <row r="162" spans="15:15" x14ac:dyDescent="0.2">
      <c r="O162" s="2"/>
    </row>
    <row r="163" spans="15:15" x14ac:dyDescent="0.2">
      <c r="O163" s="2"/>
    </row>
    <row r="164" spans="15:15" x14ac:dyDescent="0.2">
      <c r="O164" s="2"/>
    </row>
    <row r="165" spans="15:15" x14ac:dyDescent="0.2">
      <c r="O165" s="2"/>
    </row>
    <row r="166" spans="15:15" x14ac:dyDescent="0.2">
      <c r="O166" s="2"/>
    </row>
    <row r="167" spans="15:15" x14ac:dyDescent="0.2">
      <c r="O167" s="2"/>
    </row>
    <row r="168" spans="15:15" x14ac:dyDescent="0.2">
      <c r="O168" s="2"/>
    </row>
    <row r="169" spans="15:15" x14ac:dyDescent="0.2">
      <c r="O169" s="2"/>
    </row>
    <row r="170" spans="15:15" x14ac:dyDescent="0.2">
      <c r="O170" s="2"/>
    </row>
    <row r="171" spans="15:15" x14ac:dyDescent="0.2">
      <c r="O171" s="2"/>
    </row>
    <row r="172" spans="15:15" x14ac:dyDescent="0.2">
      <c r="O172" s="2"/>
    </row>
    <row r="173" spans="15:15" x14ac:dyDescent="0.2">
      <c r="O173" s="2"/>
    </row>
    <row r="174" spans="15:15" x14ac:dyDescent="0.2">
      <c r="O174" s="2"/>
    </row>
    <row r="175" spans="15:15" x14ac:dyDescent="0.2">
      <c r="O175" s="2"/>
    </row>
    <row r="176" spans="15:15" x14ac:dyDescent="0.2">
      <c r="O176" s="2"/>
    </row>
    <row r="177" spans="15:15" x14ac:dyDescent="0.2">
      <c r="O177" s="2"/>
    </row>
    <row r="178" spans="15:15" x14ac:dyDescent="0.2">
      <c r="O178" s="2"/>
    </row>
    <row r="179" spans="15:15" x14ac:dyDescent="0.2">
      <c r="O179" s="2"/>
    </row>
    <row r="180" spans="15:15" x14ac:dyDescent="0.2">
      <c r="O180" s="2"/>
    </row>
    <row r="181" spans="15:15" x14ac:dyDescent="0.2">
      <c r="O181" s="2"/>
    </row>
    <row r="182" spans="15:15" x14ac:dyDescent="0.2">
      <c r="O182" s="2"/>
    </row>
    <row r="183" spans="15:15" x14ac:dyDescent="0.2">
      <c r="O183" s="2"/>
    </row>
    <row r="184" spans="15:15" x14ac:dyDescent="0.2">
      <c r="O184" s="2"/>
    </row>
    <row r="185" spans="15:15" x14ac:dyDescent="0.2">
      <c r="O185" s="2"/>
    </row>
    <row r="186" spans="15:15" x14ac:dyDescent="0.2">
      <c r="O186" s="2"/>
    </row>
    <row r="187" spans="15:15" x14ac:dyDescent="0.2">
      <c r="O187" s="2"/>
    </row>
    <row r="188" spans="15:15" x14ac:dyDescent="0.2">
      <c r="O188" s="2"/>
    </row>
    <row r="189" spans="15:15" x14ac:dyDescent="0.2">
      <c r="O189" s="2"/>
    </row>
    <row r="190" spans="15:15" x14ac:dyDescent="0.2">
      <c r="O190" s="2"/>
    </row>
    <row r="191" spans="15:15" x14ac:dyDescent="0.2">
      <c r="O191" s="2"/>
    </row>
    <row r="192" spans="15:15" x14ac:dyDescent="0.2">
      <c r="O192" s="2"/>
    </row>
    <row r="193" spans="15:15" x14ac:dyDescent="0.2">
      <c r="O193" s="2"/>
    </row>
    <row r="194" spans="15:15" x14ac:dyDescent="0.2">
      <c r="O194" s="2"/>
    </row>
    <row r="195" spans="15:15" x14ac:dyDescent="0.2">
      <c r="O195" s="2"/>
    </row>
    <row r="196" spans="15:15" x14ac:dyDescent="0.2">
      <c r="O196" s="2"/>
    </row>
    <row r="197" spans="15:15" x14ac:dyDescent="0.2">
      <c r="O197" s="2"/>
    </row>
    <row r="198" spans="15:15" x14ac:dyDescent="0.2">
      <c r="O198" s="2"/>
    </row>
    <row r="199" spans="15:15" x14ac:dyDescent="0.2">
      <c r="O199" s="2"/>
    </row>
    <row r="200" spans="15:15" x14ac:dyDescent="0.2">
      <c r="O200" s="2"/>
    </row>
    <row r="201" spans="15:15" x14ac:dyDescent="0.2">
      <c r="O201" s="2"/>
    </row>
    <row r="202" spans="15:15" x14ac:dyDescent="0.2">
      <c r="O202" s="2"/>
    </row>
    <row r="203" spans="15:15" x14ac:dyDescent="0.2">
      <c r="O203" s="2"/>
    </row>
    <row r="204" spans="15:15" x14ac:dyDescent="0.2">
      <c r="O204" s="2"/>
    </row>
    <row r="205" spans="15:15" x14ac:dyDescent="0.2">
      <c r="O205" s="2"/>
    </row>
    <row r="206" spans="15:15" x14ac:dyDescent="0.2">
      <c r="O206" s="2"/>
    </row>
    <row r="207" spans="15:15" x14ac:dyDescent="0.2">
      <c r="O207" s="2"/>
    </row>
    <row r="208" spans="15:15" x14ac:dyDescent="0.2">
      <c r="O208" s="2"/>
    </row>
    <row r="209" spans="15:15" x14ac:dyDescent="0.2">
      <c r="O209" s="2"/>
    </row>
    <row r="210" spans="15:15" x14ac:dyDescent="0.2">
      <c r="O210" s="2"/>
    </row>
    <row r="211" spans="15:15" x14ac:dyDescent="0.2">
      <c r="O211" s="2"/>
    </row>
    <row r="212" spans="15:15" x14ac:dyDescent="0.2">
      <c r="O212" s="2"/>
    </row>
    <row r="213" spans="15:15" x14ac:dyDescent="0.2">
      <c r="O213" s="2"/>
    </row>
    <row r="214" spans="15:15" x14ac:dyDescent="0.2">
      <c r="O214" s="2"/>
    </row>
    <row r="215" spans="15:15" x14ac:dyDescent="0.2">
      <c r="O215" s="2"/>
    </row>
    <row r="216" spans="15:15" x14ac:dyDescent="0.2">
      <c r="O216" s="2"/>
    </row>
    <row r="217" spans="15:15" x14ac:dyDescent="0.2">
      <c r="O217" s="2"/>
    </row>
    <row r="218" spans="15:15" x14ac:dyDescent="0.2">
      <c r="O218" s="2"/>
    </row>
    <row r="219" spans="15:15" x14ac:dyDescent="0.2">
      <c r="O219" s="2"/>
    </row>
    <row r="220" spans="15:15" x14ac:dyDescent="0.2">
      <c r="O220" s="2"/>
    </row>
    <row r="221" spans="15:15" x14ac:dyDescent="0.2">
      <c r="O221" s="2"/>
    </row>
    <row r="222" spans="15:15" x14ac:dyDescent="0.2">
      <c r="O222" s="2"/>
    </row>
    <row r="223" spans="15:15" x14ac:dyDescent="0.2">
      <c r="O223" s="2"/>
    </row>
    <row r="224" spans="15:15" x14ac:dyDescent="0.2">
      <c r="O224" s="2"/>
    </row>
    <row r="225" spans="15:15" x14ac:dyDescent="0.2">
      <c r="O225" s="2"/>
    </row>
    <row r="226" spans="15:15" x14ac:dyDescent="0.2">
      <c r="O226" s="2"/>
    </row>
    <row r="227" spans="15:15" x14ac:dyDescent="0.2">
      <c r="O227" s="2"/>
    </row>
    <row r="228" spans="15:15" x14ac:dyDescent="0.2">
      <c r="O228" s="2"/>
    </row>
    <row r="229" spans="15:15" x14ac:dyDescent="0.2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B0A7-1275-894A-B5EE-2053056D392C}">
  <dimension ref="A1:B299"/>
  <sheetViews>
    <sheetView workbookViewId="0">
      <selection activeCell="E18" sqref="E18"/>
    </sheetView>
  </sheetViews>
  <sheetFormatPr baseColWidth="10" defaultRowHeight="15" x14ac:dyDescent="0.2"/>
  <cols>
    <col min="1" max="1" width="46.33203125" bestFit="1" customWidth="1"/>
    <col min="2" max="2" width="11.6640625" bestFit="1" customWidth="1"/>
  </cols>
  <sheetData>
    <row r="1" spans="1:2" x14ac:dyDescent="0.2">
      <c r="A1" t="s">
        <v>361</v>
      </c>
      <c r="B1" t="s">
        <v>362</v>
      </c>
    </row>
    <row r="2" spans="1:2" x14ac:dyDescent="0.2">
      <c r="A2" t="s">
        <v>363</v>
      </c>
      <c r="B2" t="s">
        <v>364</v>
      </c>
    </row>
    <row r="3" spans="1:2" x14ac:dyDescent="0.2">
      <c r="A3" t="s">
        <v>365</v>
      </c>
      <c r="B3" t="s">
        <v>366</v>
      </c>
    </row>
    <row r="4" spans="1:2" x14ac:dyDescent="0.2">
      <c r="A4" t="s">
        <v>367</v>
      </c>
      <c r="B4" t="s">
        <v>368</v>
      </c>
    </row>
    <row r="5" spans="1:2" x14ac:dyDescent="0.2">
      <c r="A5" t="s">
        <v>369</v>
      </c>
      <c r="B5" t="s">
        <v>370</v>
      </c>
    </row>
    <row r="6" spans="1:2" x14ac:dyDescent="0.2">
      <c r="A6" t="s">
        <v>371</v>
      </c>
      <c r="B6" t="s">
        <v>372</v>
      </c>
    </row>
    <row r="7" spans="1:2" x14ac:dyDescent="0.2">
      <c r="A7" t="s">
        <v>373</v>
      </c>
      <c r="B7" t="s">
        <v>374</v>
      </c>
    </row>
    <row r="8" spans="1:2" x14ac:dyDescent="0.2">
      <c r="A8" t="s">
        <v>375</v>
      </c>
      <c r="B8" t="s">
        <v>376</v>
      </c>
    </row>
    <row r="9" spans="1:2" x14ac:dyDescent="0.2">
      <c r="A9" t="s">
        <v>377</v>
      </c>
      <c r="B9" t="s">
        <v>378</v>
      </c>
    </row>
    <row r="10" spans="1:2" x14ac:dyDescent="0.2">
      <c r="A10" t="s">
        <v>379</v>
      </c>
      <c r="B10" t="s">
        <v>380</v>
      </c>
    </row>
    <row r="11" spans="1:2" x14ac:dyDescent="0.2">
      <c r="A11" t="s">
        <v>381</v>
      </c>
      <c r="B11" t="s">
        <v>351</v>
      </c>
    </row>
    <row r="12" spans="1:2" x14ac:dyDescent="0.2">
      <c r="A12" t="s">
        <v>382</v>
      </c>
      <c r="B12" t="s">
        <v>383</v>
      </c>
    </row>
    <row r="13" spans="1:2" x14ac:dyDescent="0.2">
      <c r="A13" t="s">
        <v>384</v>
      </c>
      <c r="B13" t="s">
        <v>385</v>
      </c>
    </row>
    <row r="14" spans="1:2" x14ac:dyDescent="0.2">
      <c r="A14" t="s">
        <v>386</v>
      </c>
      <c r="B14" t="s">
        <v>352</v>
      </c>
    </row>
    <row r="15" spans="1:2" x14ac:dyDescent="0.2">
      <c r="A15" t="s">
        <v>387</v>
      </c>
      <c r="B15" t="s">
        <v>352</v>
      </c>
    </row>
    <row r="16" spans="1:2" x14ac:dyDescent="0.2">
      <c r="A16" t="s">
        <v>388</v>
      </c>
      <c r="B16" t="s">
        <v>353</v>
      </c>
    </row>
    <row r="17" spans="1:2" x14ac:dyDescent="0.2">
      <c r="A17" t="s">
        <v>389</v>
      </c>
      <c r="B17" t="s">
        <v>390</v>
      </c>
    </row>
    <row r="18" spans="1:2" x14ac:dyDescent="0.2">
      <c r="A18" t="s">
        <v>391</v>
      </c>
      <c r="B18" t="s">
        <v>392</v>
      </c>
    </row>
    <row r="19" spans="1:2" x14ac:dyDescent="0.2">
      <c r="A19" t="s">
        <v>393</v>
      </c>
      <c r="B19" t="s">
        <v>392</v>
      </c>
    </row>
    <row r="20" spans="1:2" x14ac:dyDescent="0.2">
      <c r="A20" t="s">
        <v>394</v>
      </c>
      <c r="B20" t="s">
        <v>395</v>
      </c>
    </row>
    <row r="21" spans="1:2" x14ac:dyDescent="0.2">
      <c r="A21" t="s">
        <v>396</v>
      </c>
      <c r="B21" t="s">
        <v>397</v>
      </c>
    </row>
    <row r="22" spans="1:2" x14ac:dyDescent="0.2">
      <c r="A22" t="s">
        <v>398</v>
      </c>
      <c r="B22" t="s">
        <v>399</v>
      </c>
    </row>
    <row r="23" spans="1:2" x14ac:dyDescent="0.2">
      <c r="A23" t="s">
        <v>400</v>
      </c>
      <c r="B23" t="s">
        <v>401</v>
      </c>
    </row>
    <row r="24" spans="1:2" x14ac:dyDescent="0.2">
      <c r="A24" t="s">
        <v>402</v>
      </c>
      <c r="B24" t="s">
        <v>354</v>
      </c>
    </row>
    <row r="25" spans="1:2" x14ac:dyDescent="0.2">
      <c r="A25" t="s">
        <v>403</v>
      </c>
      <c r="B25" t="s">
        <v>404</v>
      </c>
    </row>
    <row r="26" spans="1:2" x14ac:dyDescent="0.2">
      <c r="A26" t="s">
        <v>405</v>
      </c>
      <c r="B26" t="s">
        <v>406</v>
      </c>
    </row>
    <row r="27" spans="1:2" x14ac:dyDescent="0.2">
      <c r="A27" t="s">
        <v>407</v>
      </c>
      <c r="B27" t="s">
        <v>408</v>
      </c>
    </row>
    <row r="28" spans="1:2" x14ac:dyDescent="0.2">
      <c r="A28" t="s">
        <v>409</v>
      </c>
      <c r="B28" t="s">
        <v>410</v>
      </c>
    </row>
    <row r="29" spans="1:2" x14ac:dyDescent="0.2">
      <c r="A29" t="s">
        <v>411</v>
      </c>
      <c r="B29" t="s">
        <v>355</v>
      </c>
    </row>
    <row r="30" spans="1:2" x14ac:dyDescent="0.2">
      <c r="A30" t="s">
        <v>412</v>
      </c>
      <c r="B30" t="s">
        <v>355</v>
      </c>
    </row>
    <row r="31" spans="1:2" x14ac:dyDescent="0.2">
      <c r="A31" t="s">
        <v>413</v>
      </c>
      <c r="B31" t="s">
        <v>414</v>
      </c>
    </row>
    <row r="32" spans="1:2" x14ac:dyDescent="0.2">
      <c r="A32" t="s">
        <v>415</v>
      </c>
      <c r="B32" t="s">
        <v>416</v>
      </c>
    </row>
    <row r="33" spans="1:2" x14ac:dyDescent="0.2">
      <c r="A33" t="s">
        <v>417</v>
      </c>
      <c r="B33" t="s">
        <v>418</v>
      </c>
    </row>
    <row r="34" spans="1:2" x14ac:dyDescent="0.2">
      <c r="A34" t="s">
        <v>419</v>
      </c>
      <c r="B34" t="s">
        <v>420</v>
      </c>
    </row>
    <row r="35" spans="1:2" x14ac:dyDescent="0.2">
      <c r="A35" t="s">
        <v>421</v>
      </c>
      <c r="B35" t="s">
        <v>356</v>
      </c>
    </row>
    <row r="36" spans="1:2" x14ac:dyDescent="0.2">
      <c r="A36" t="s">
        <v>422</v>
      </c>
      <c r="B36" t="s">
        <v>423</v>
      </c>
    </row>
    <row r="37" spans="1:2" x14ac:dyDescent="0.2">
      <c r="A37" t="s">
        <v>424</v>
      </c>
      <c r="B37" t="s">
        <v>425</v>
      </c>
    </row>
    <row r="38" spans="1:2" x14ac:dyDescent="0.2">
      <c r="A38" t="s">
        <v>426</v>
      </c>
      <c r="B38" t="s">
        <v>425</v>
      </c>
    </row>
    <row r="39" spans="1:2" x14ac:dyDescent="0.2">
      <c r="A39" t="s">
        <v>427</v>
      </c>
      <c r="B39" t="s">
        <v>357</v>
      </c>
    </row>
    <row r="40" spans="1:2" x14ac:dyDescent="0.2">
      <c r="A40" t="s">
        <v>428</v>
      </c>
      <c r="B40" t="s">
        <v>429</v>
      </c>
    </row>
    <row r="41" spans="1:2" x14ac:dyDescent="0.2">
      <c r="A41" t="s">
        <v>430</v>
      </c>
      <c r="B41" t="s">
        <v>431</v>
      </c>
    </row>
    <row r="42" spans="1:2" x14ac:dyDescent="0.2">
      <c r="A42" t="s">
        <v>432</v>
      </c>
      <c r="B42" t="s">
        <v>433</v>
      </c>
    </row>
    <row r="43" spans="1:2" x14ac:dyDescent="0.2">
      <c r="A43" t="s">
        <v>434</v>
      </c>
      <c r="B43" t="s">
        <v>433</v>
      </c>
    </row>
    <row r="44" spans="1:2" x14ac:dyDescent="0.2">
      <c r="A44" t="s">
        <v>435</v>
      </c>
      <c r="B44" t="s">
        <v>436</v>
      </c>
    </row>
    <row r="45" spans="1:2" x14ac:dyDescent="0.2">
      <c r="A45" t="s">
        <v>437</v>
      </c>
      <c r="B45" t="s">
        <v>438</v>
      </c>
    </row>
    <row r="46" spans="1:2" x14ac:dyDescent="0.2">
      <c r="A46" t="s">
        <v>439</v>
      </c>
      <c r="B46" t="s">
        <v>440</v>
      </c>
    </row>
    <row r="47" spans="1:2" x14ac:dyDescent="0.2">
      <c r="A47" t="s">
        <v>441</v>
      </c>
      <c r="B47" t="s">
        <v>442</v>
      </c>
    </row>
    <row r="48" spans="1:2" x14ac:dyDescent="0.2">
      <c r="A48" t="s">
        <v>443</v>
      </c>
      <c r="B48" t="s">
        <v>444</v>
      </c>
    </row>
    <row r="49" spans="1:2" x14ac:dyDescent="0.2">
      <c r="A49" t="s">
        <v>445</v>
      </c>
      <c r="B49" t="s">
        <v>444</v>
      </c>
    </row>
    <row r="50" spans="1:2" x14ac:dyDescent="0.2">
      <c r="A50" t="s">
        <v>446</v>
      </c>
      <c r="B50" t="s">
        <v>447</v>
      </c>
    </row>
    <row r="51" spans="1:2" x14ac:dyDescent="0.2">
      <c r="A51" t="s">
        <v>448</v>
      </c>
      <c r="B51" t="s">
        <v>449</v>
      </c>
    </row>
    <row r="52" spans="1:2" x14ac:dyDescent="0.2">
      <c r="A52" t="s">
        <v>450</v>
      </c>
      <c r="B52" t="s">
        <v>451</v>
      </c>
    </row>
    <row r="53" spans="1:2" x14ac:dyDescent="0.2">
      <c r="A53" t="s">
        <v>452</v>
      </c>
      <c r="B53" t="s">
        <v>453</v>
      </c>
    </row>
    <row r="54" spans="1:2" x14ac:dyDescent="0.2">
      <c r="A54" t="s">
        <v>454</v>
      </c>
      <c r="B54" t="s">
        <v>455</v>
      </c>
    </row>
    <row r="55" spans="1:2" x14ac:dyDescent="0.2">
      <c r="A55" t="s">
        <v>456</v>
      </c>
      <c r="B55" t="s">
        <v>457</v>
      </c>
    </row>
    <row r="56" spans="1:2" x14ac:dyDescent="0.2">
      <c r="A56" t="s">
        <v>458</v>
      </c>
      <c r="B56" t="s">
        <v>451</v>
      </c>
    </row>
    <row r="57" spans="1:2" x14ac:dyDescent="0.2">
      <c r="A57" t="s">
        <v>459</v>
      </c>
      <c r="B57" t="s">
        <v>460</v>
      </c>
    </row>
    <row r="58" spans="1:2" x14ac:dyDescent="0.2">
      <c r="A58" t="s">
        <v>461</v>
      </c>
      <c r="B58" t="s">
        <v>462</v>
      </c>
    </row>
    <row r="59" spans="1:2" x14ac:dyDescent="0.2">
      <c r="A59" t="s">
        <v>463</v>
      </c>
      <c r="B59" t="s">
        <v>464</v>
      </c>
    </row>
    <row r="60" spans="1:2" x14ac:dyDescent="0.2">
      <c r="A60" t="s">
        <v>465</v>
      </c>
      <c r="B60" t="s">
        <v>466</v>
      </c>
    </row>
    <row r="61" spans="1:2" x14ac:dyDescent="0.2">
      <c r="A61" t="s">
        <v>467</v>
      </c>
      <c r="B61" t="s">
        <v>466</v>
      </c>
    </row>
    <row r="62" spans="1:2" x14ac:dyDescent="0.2">
      <c r="A62" t="s">
        <v>468</v>
      </c>
      <c r="B62" t="s">
        <v>469</v>
      </c>
    </row>
    <row r="63" spans="1:2" x14ac:dyDescent="0.2">
      <c r="A63" t="s">
        <v>470</v>
      </c>
      <c r="B63" t="s">
        <v>471</v>
      </c>
    </row>
    <row r="64" spans="1:2" x14ac:dyDescent="0.2">
      <c r="A64" t="s">
        <v>472</v>
      </c>
      <c r="B64" t="s">
        <v>471</v>
      </c>
    </row>
    <row r="65" spans="1:2" x14ac:dyDescent="0.2">
      <c r="A65" t="s">
        <v>473</v>
      </c>
      <c r="B65" t="s">
        <v>474</v>
      </c>
    </row>
    <row r="66" spans="1:2" x14ac:dyDescent="0.2">
      <c r="A66" t="s">
        <v>475</v>
      </c>
      <c r="B66" t="s">
        <v>474</v>
      </c>
    </row>
    <row r="67" spans="1:2" x14ac:dyDescent="0.2">
      <c r="A67" t="s">
        <v>476</v>
      </c>
      <c r="B67" t="s">
        <v>477</v>
      </c>
    </row>
    <row r="68" spans="1:2" x14ac:dyDescent="0.2">
      <c r="A68" t="s">
        <v>478</v>
      </c>
      <c r="B68" t="s">
        <v>479</v>
      </c>
    </row>
    <row r="69" spans="1:2" x14ac:dyDescent="0.2">
      <c r="A69" t="s">
        <v>480</v>
      </c>
      <c r="B69" t="s">
        <v>481</v>
      </c>
    </row>
    <row r="70" spans="1:2" x14ac:dyDescent="0.2">
      <c r="A70" t="s">
        <v>482</v>
      </c>
      <c r="B70" t="s">
        <v>483</v>
      </c>
    </row>
    <row r="71" spans="1:2" x14ac:dyDescent="0.2">
      <c r="A71" t="s">
        <v>484</v>
      </c>
      <c r="B71" t="s">
        <v>485</v>
      </c>
    </row>
    <row r="72" spans="1:2" x14ac:dyDescent="0.2">
      <c r="A72" t="s">
        <v>486</v>
      </c>
      <c r="B72" t="s">
        <v>487</v>
      </c>
    </row>
    <row r="73" spans="1:2" x14ac:dyDescent="0.2">
      <c r="A73" t="s">
        <v>488</v>
      </c>
      <c r="B73" t="s">
        <v>489</v>
      </c>
    </row>
    <row r="74" spans="1:2" x14ac:dyDescent="0.2">
      <c r="A74" t="s">
        <v>490</v>
      </c>
      <c r="B74" t="s">
        <v>489</v>
      </c>
    </row>
    <row r="75" spans="1:2" x14ac:dyDescent="0.2">
      <c r="A75" t="s">
        <v>491</v>
      </c>
      <c r="B75" t="s">
        <v>479</v>
      </c>
    </row>
    <row r="76" spans="1:2" x14ac:dyDescent="0.2">
      <c r="A76" t="s">
        <v>492</v>
      </c>
      <c r="B76" t="s">
        <v>493</v>
      </c>
    </row>
    <row r="77" spans="1:2" x14ac:dyDescent="0.2">
      <c r="A77" t="s">
        <v>494</v>
      </c>
      <c r="B77" t="s">
        <v>469</v>
      </c>
    </row>
    <row r="78" spans="1:2" x14ac:dyDescent="0.2">
      <c r="A78" t="s">
        <v>495</v>
      </c>
      <c r="B78" t="s">
        <v>496</v>
      </c>
    </row>
    <row r="79" spans="1:2" x14ac:dyDescent="0.2">
      <c r="A79" t="s">
        <v>497</v>
      </c>
      <c r="B79" t="s">
        <v>498</v>
      </c>
    </row>
    <row r="80" spans="1:2" x14ac:dyDescent="0.2">
      <c r="A80" t="s">
        <v>499</v>
      </c>
      <c r="B80" t="s">
        <v>500</v>
      </c>
    </row>
    <row r="81" spans="1:2" x14ac:dyDescent="0.2">
      <c r="A81" t="s">
        <v>501</v>
      </c>
      <c r="B81" t="s">
        <v>502</v>
      </c>
    </row>
    <row r="82" spans="1:2" x14ac:dyDescent="0.2">
      <c r="A82" t="s">
        <v>503</v>
      </c>
      <c r="B82" t="s">
        <v>502</v>
      </c>
    </row>
    <row r="83" spans="1:2" x14ac:dyDescent="0.2">
      <c r="A83" t="s">
        <v>504</v>
      </c>
      <c r="B83" t="s">
        <v>505</v>
      </c>
    </row>
    <row r="84" spans="1:2" x14ac:dyDescent="0.2">
      <c r="A84" t="s">
        <v>506</v>
      </c>
      <c r="B84" t="s">
        <v>507</v>
      </c>
    </row>
    <row r="85" spans="1:2" x14ac:dyDescent="0.2">
      <c r="A85" t="s">
        <v>508</v>
      </c>
      <c r="B85" t="s">
        <v>509</v>
      </c>
    </row>
    <row r="86" spans="1:2" x14ac:dyDescent="0.2">
      <c r="A86" t="s">
        <v>510</v>
      </c>
      <c r="B86" t="s">
        <v>511</v>
      </c>
    </row>
    <row r="87" spans="1:2" x14ac:dyDescent="0.2">
      <c r="A87" t="s">
        <v>512</v>
      </c>
      <c r="B87" t="s">
        <v>513</v>
      </c>
    </row>
    <row r="88" spans="1:2" x14ac:dyDescent="0.2">
      <c r="A88" t="s">
        <v>514</v>
      </c>
      <c r="B88" t="s">
        <v>515</v>
      </c>
    </row>
    <row r="89" spans="1:2" x14ac:dyDescent="0.2">
      <c r="A89" t="s">
        <v>516</v>
      </c>
      <c r="B89" t="s">
        <v>517</v>
      </c>
    </row>
    <row r="90" spans="1:2" x14ac:dyDescent="0.2">
      <c r="A90" t="s">
        <v>518</v>
      </c>
      <c r="B90" t="s">
        <v>517</v>
      </c>
    </row>
    <row r="91" spans="1:2" x14ac:dyDescent="0.2">
      <c r="A91" t="s">
        <v>519</v>
      </c>
      <c r="B91" t="s">
        <v>520</v>
      </c>
    </row>
    <row r="92" spans="1:2" x14ac:dyDescent="0.2">
      <c r="A92" t="s">
        <v>521</v>
      </c>
      <c r="B92" t="s">
        <v>522</v>
      </c>
    </row>
    <row r="93" spans="1:2" x14ac:dyDescent="0.2">
      <c r="A93" t="s">
        <v>523</v>
      </c>
      <c r="B93" t="s">
        <v>524</v>
      </c>
    </row>
    <row r="94" spans="1:2" x14ac:dyDescent="0.2">
      <c r="A94" t="s">
        <v>525</v>
      </c>
      <c r="B94" t="s">
        <v>524</v>
      </c>
    </row>
    <row r="95" spans="1:2" x14ac:dyDescent="0.2">
      <c r="A95" t="s">
        <v>526</v>
      </c>
      <c r="B95" t="s">
        <v>527</v>
      </c>
    </row>
    <row r="96" spans="1:2" x14ac:dyDescent="0.2">
      <c r="A96" t="s">
        <v>528</v>
      </c>
      <c r="B96" t="s">
        <v>529</v>
      </c>
    </row>
    <row r="97" spans="1:2" x14ac:dyDescent="0.2">
      <c r="A97" t="s">
        <v>530</v>
      </c>
      <c r="B97" t="s">
        <v>531</v>
      </c>
    </row>
    <row r="98" spans="1:2" x14ac:dyDescent="0.2">
      <c r="A98" t="s">
        <v>532</v>
      </c>
      <c r="B98" t="s">
        <v>531</v>
      </c>
    </row>
    <row r="99" spans="1:2" x14ac:dyDescent="0.2">
      <c r="A99" t="s">
        <v>533</v>
      </c>
      <c r="B99" t="s">
        <v>534</v>
      </c>
    </row>
    <row r="100" spans="1:2" x14ac:dyDescent="0.2">
      <c r="A100" t="s">
        <v>535</v>
      </c>
      <c r="B100" t="s">
        <v>536</v>
      </c>
    </row>
    <row r="101" spans="1:2" x14ac:dyDescent="0.2">
      <c r="A101" t="s">
        <v>537</v>
      </c>
      <c r="B101" t="s">
        <v>538</v>
      </c>
    </row>
    <row r="102" spans="1:2" x14ac:dyDescent="0.2">
      <c r="A102" t="s">
        <v>539</v>
      </c>
      <c r="B102" t="s">
        <v>540</v>
      </c>
    </row>
    <row r="103" spans="1:2" x14ac:dyDescent="0.2">
      <c r="A103" t="s">
        <v>541</v>
      </c>
      <c r="B103" t="s">
        <v>542</v>
      </c>
    </row>
    <row r="104" spans="1:2" x14ac:dyDescent="0.2">
      <c r="A104" t="s">
        <v>543</v>
      </c>
      <c r="B104" t="s">
        <v>542</v>
      </c>
    </row>
    <row r="105" spans="1:2" x14ac:dyDescent="0.2">
      <c r="A105" t="s">
        <v>544</v>
      </c>
      <c r="B105" t="s">
        <v>545</v>
      </c>
    </row>
    <row r="106" spans="1:2" x14ac:dyDescent="0.2">
      <c r="A106" t="s">
        <v>546</v>
      </c>
      <c r="B106" t="s">
        <v>547</v>
      </c>
    </row>
    <row r="107" spans="1:2" x14ac:dyDescent="0.2">
      <c r="A107" t="s">
        <v>548</v>
      </c>
      <c r="B107" t="s">
        <v>549</v>
      </c>
    </row>
    <row r="108" spans="1:2" x14ac:dyDescent="0.2">
      <c r="A108" t="s">
        <v>550</v>
      </c>
      <c r="B108" t="s">
        <v>551</v>
      </c>
    </row>
    <row r="109" spans="1:2" x14ac:dyDescent="0.2">
      <c r="A109" t="s">
        <v>552</v>
      </c>
      <c r="B109" t="s">
        <v>553</v>
      </c>
    </row>
    <row r="110" spans="1:2" x14ac:dyDescent="0.2">
      <c r="A110" t="s">
        <v>554</v>
      </c>
      <c r="B110" t="s">
        <v>555</v>
      </c>
    </row>
    <row r="111" spans="1:2" x14ac:dyDescent="0.2">
      <c r="A111" t="s">
        <v>556</v>
      </c>
      <c r="B111" t="s">
        <v>557</v>
      </c>
    </row>
    <row r="112" spans="1:2" x14ac:dyDescent="0.2">
      <c r="A112" t="s">
        <v>558</v>
      </c>
      <c r="B112" t="s">
        <v>559</v>
      </c>
    </row>
    <row r="113" spans="1:2" x14ac:dyDescent="0.2">
      <c r="A113" t="s">
        <v>560</v>
      </c>
      <c r="B113" t="s">
        <v>561</v>
      </c>
    </row>
    <row r="114" spans="1:2" x14ac:dyDescent="0.2">
      <c r="A114" t="s">
        <v>562</v>
      </c>
      <c r="B114" t="s">
        <v>563</v>
      </c>
    </row>
    <row r="115" spans="1:2" x14ac:dyDescent="0.2">
      <c r="A115" t="s">
        <v>564</v>
      </c>
      <c r="B115" t="s">
        <v>565</v>
      </c>
    </row>
    <row r="116" spans="1:2" x14ac:dyDescent="0.2">
      <c r="A116" t="s">
        <v>566</v>
      </c>
      <c r="B116" t="s">
        <v>567</v>
      </c>
    </row>
    <row r="117" spans="1:2" x14ac:dyDescent="0.2">
      <c r="A117" t="s">
        <v>568</v>
      </c>
      <c r="B117" t="s">
        <v>569</v>
      </c>
    </row>
    <row r="118" spans="1:2" x14ac:dyDescent="0.2">
      <c r="A118" t="s">
        <v>570</v>
      </c>
      <c r="B118" t="s">
        <v>571</v>
      </c>
    </row>
    <row r="119" spans="1:2" x14ac:dyDescent="0.2">
      <c r="A119" t="s">
        <v>572</v>
      </c>
      <c r="B119" t="s">
        <v>573</v>
      </c>
    </row>
    <row r="120" spans="1:2" x14ac:dyDescent="0.2">
      <c r="A120" t="s">
        <v>574</v>
      </c>
      <c r="B120" t="s">
        <v>575</v>
      </c>
    </row>
    <row r="121" spans="1:2" x14ac:dyDescent="0.2">
      <c r="A121" t="s">
        <v>576</v>
      </c>
      <c r="B121" t="s">
        <v>577</v>
      </c>
    </row>
    <row r="122" spans="1:2" x14ac:dyDescent="0.2">
      <c r="A122" t="s">
        <v>578</v>
      </c>
      <c r="B122" t="s">
        <v>579</v>
      </c>
    </row>
    <row r="123" spans="1:2" x14ac:dyDescent="0.2">
      <c r="A123" t="s">
        <v>580</v>
      </c>
      <c r="B123" t="s">
        <v>453</v>
      </c>
    </row>
    <row r="124" spans="1:2" x14ac:dyDescent="0.2">
      <c r="A124" t="s">
        <v>581</v>
      </c>
      <c r="B124" t="s">
        <v>582</v>
      </c>
    </row>
    <row r="125" spans="1:2" x14ac:dyDescent="0.2">
      <c r="A125" t="s">
        <v>583</v>
      </c>
      <c r="B125" t="s">
        <v>584</v>
      </c>
    </row>
    <row r="126" spans="1:2" x14ac:dyDescent="0.2">
      <c r="A126" t="s">
        <v>585</v>
      </c>
      <c r="B126" t="s">
        <v>586</v>
      </c>
    </row>
    <row r="127" spans="1:2" x14ac:dyDescent="0.2">
      <c r="A127" t="s">
        <v>587</v>
      </c>
      <c r="B127" t="s">
        <v>588</v>
      </c>
    </row>
    <row r="128" spans="1:2" x14ac:dyDescent="0.2">
      <c r="A128" t="s">
        <v>589</v>
      </c>
      <c r="B128" t="s">
        <v>590</v>
      </c>
    </row>
    <row r="129" spans="1:2" x14ac:dyDescent="0.2">
      <c r="A129" t="s">
        <v>591</v>
      </c>
      <c r="B129" t="s">
        <v>590</v>
      </c>
    </row>
    <row r="130" spans="1:2" x14ac:dyDescent="0.2">
      <c r="A130" t="s">
        <v>592</v>
      </c>
      <c r="B130" t="s">
        <v>593</v>
      </c>
    </row>
    <row r="131" spans="1:2" x14ac:dyDescent="0.2">
      <c r="A131" t="s">
        <v>594</v>
      </c>
      <c r="B131" t="s">
        <v>595</v>
      </c>
    </row>
    <row r="132" spans="1:2" x14ac:dyDescent="0.2">
      <c r="A132" t="s">
        <v>596</v>
      </c>
      <c r="B132" t="s">
        <v>597</v>
      </c>
    </row>
    <row r="133" spans="1:2" x14ac:dyDescent="0.2">
      <c r="A133" t="s">
        <v>598</v>
      </c>
      <c r="B133" t="s">
        <v>599</v>
      </c>
    </row>
    <row r="134" spans="1:2" x14ac:dyDescent="0.2">
      <c r="A134" t="s">
        <v>600</v>
      </c>
      <c r="B134" t="s">
        <v>601</v>
      </c>
    </row>
    <row r="135" spans="1:2" x14ac:dyDescent="0.2">
      <c r="A135" t="s">
        <v>602</v>
      </c>
      <c r="B135" t="s">
        <v>603</v>
      </c>
    </row>
    <row r="136" spans="1:2" x14ac:dyDescent="0.2">
      <c r="A136" t="s">
        <v>604</v>
      </c>
      <c r="B136" t="s">
        <v>605</v>
      </c>
    </row>
    <row r="137" spans="1:2" x14ac:dyDescent="0.2">
      <c r="A137" t="s">
        <v>606</v>
      </c>
      <c r="B137" t="s">
        <v>607</v>
      </c>
    </row>
    <row r="138" spans="1:2" x14ac:dyDescent="0.2">
      <c r="A138" t="s">
        <v>608</v>
      </c>
      <c r="B138" t="s">
        <v>609</v>
      </c>
    </row>
    <row r="139" spans="1:2" x14ac:dyDescent="0.2">
      <c r="A139" t="s">
        <v>610</v>
      </c>
      <c r="B139" t="s">
        <v>611</v>
      </c>
    </row>
    <row r="140" spans="1:2" x14ac:dyDescent="0.2">
      <c r="A140" t="s">
        <v>612</v>
      </c>
      <c r="B140" t="s">
        <v>613</v>
      </c>
    </row>
    <row r="141" spans="1:2" x14ac:dyDescent="0.2">
      <c r="A141" t="s">
        <v>614</v>
      </c>
      <c r="B141" t="s">
        <v>615</v>
      </c>
    </row>
    <row r="142" spans="1:2" x14ac:dyDescent="0.2">
      <c r="A142" t="s">
        <v>616</v>
      </c>
      <c r="B142" t="s">
        <v>493</v>
      </c>
    </row>
    <row r="143" spans="1:2" x14ac:dyDescent="0.2">
      <c r="A143" t="s">
        <v>617</v>
      </c>
      <c r="B143" t="s">
        <v>618</v>
      </c>
    </row>
    <row r="144" spans="1:2" x14ac:dyDescent="0.2">
      <c r="A144" t="s">
        <v>619</v>
      </c>
      <c r="B144" t="s">
        <v>620</v>
      </c>
    </row>
    <row r="145" spans="1:2" x14ac:dyDescent="0.2">
      <c r="A145" t="s">
        <v>621</v>
      </c>
      <c r="B145" t="s">
        <v>622</v>
      </c>
    </row>
    <row r="146" spans="1:2" x14ac:dyDescent="0.2">
      <c r="A146" t="s">
        <v>623</v>
      </c>
      <c r="B146" t="s">
        <v>624</v>
      </c>
    </row>
    <row r="147" spans="1:2" x14ac:dyDescent="0.2">
      <c r="A147" t="s">
        <v>625</v>
      </c>
      <c r="B147" t="s">
        <v>624</v>
      </c>
    </row>
    <row r="148" spans="1:2" x14ac:dyDescent="0.2">
      <c r="A148" t="s">
        <v>626</v>
      </c>
      <c r="B148" t="s">
        <v>627</v>
      </c>
    </row>
    <row r="149" spans="1:2" x14ac:dyDescent="0.2">
      <c r="A149" t="s">
        <v>628</v>
      </c>
      <c r="B149" t="s">
        <v>629</v>
      </c>
    </row>
    <row r="150" spans="1:2" x14ac:dyDescent="0.2">
      <c r="A150" t="s">
        <v>630</v>
      </c>
      <c r="B150" t="s">
        <v>631</v>
      </c>
    </row>
    <row r="151" spans="1:2" x14ac:dyDescent="0.2">
      <c r="A151" t="s">
        <v>632</v>
      </c>
      <c r="B151" t="s">
        <v>633</v>
      </c>
    </row>
    <row r="152" spans="1:2" x14ac:dyDescent="0.2">
      <c r="A152" t="s">
        <v>634</v>
      </c>
      <c r="B152" t="s">
        <v>635</v>
      </c>
    </row>
    <row r="153" spans="1:2" x14ac:dyDescent="0.2">
      <c r="A153" t="s">
        <v>636</v>
      </c>
      <c r="B153" t="s">
        <v>637</v>
      </c>
    </row>
    <row r="154" spans="1:2" x14ac:dyDescent="0.2">
      <c r="A154" t="s">
        <v>638</v>
      </c>
      <c r="B154" t="s">
        <v>639</v>
      </c>
    </row>
    <row r="155" spans="1:2" x14ac:dyDescent="0.2">
      <c r="A155" t="s">
        <v>640</v>
      </c>
      <c r="B155" t="s">
        <v>641</v>
      </c>
    </row>
    <row r="156" spans="1:2" x14ac:dyDescent="0.2">
      <c r="A156" t="s">
        <v>642</v>
      </c>
      <c r="B156" t="s">
        <v>455</v>
      </c>
    </row>
    <row r="157" spans="1:2" x14ac:dyDescent="0.2">
      <c r="A157" t="s">
        <v>643</v>
      </c>
      <c r="B157" t="s">
        <v>644</v>
      </c>
    </row>
    <row r="158" spans="1:2" x14ac:dyDescent="0.2">
      <c r="A158" t="s">
        <v>645</v>
      </c>
      <c r="B158" t="s">
        <v>646</v>
      </c>
    </row>
    <row r="159" spans="1:2" x14ac:dyDescent="0.2">
      <c r="A159" t="s">
        <v>647</v>
      </c>
      <c r="B159" t="s">
        <v>648</v>
      </c>
    </row>
    <row r="160" spans="1:2" x14ac:dyDescent="0.2">
      <c r="A160" t="s">
        <v>649</v>
      </c>
      <c r="B160" t="s">
        <v>650</v>
      </c>
    </row>
    <row r="161" spans="1:2" x14ac:dyDescent="0.2">
      <c r="A161" t="s">
        <v>651</v>
      </c>
      <c r="B161" t="s">
        <v>652</v>
      </c>
    </row>
    <row r="162" spans="1:2" x14ac:dyDescent="0.2">
      <c r="A162" t="s">
        <v>653</v>
      </c>
      <c r="B162" t="s">
        <v>654</v>
      </c>
    </row>
    <row r="163" spans="1:2" x14ac:dyDescent="0.2">
      <c r="A163" t="s">
        <v>655</v>
      </c>
      <c r="B163" t="s">
        <v>656</v>
      </c>
    </row>
    <row r="164" spans="1:2" x14ac:dyDescent="0.2">
      <c r="A164" t="s">
        <v>657</v>
      </c>
      <c r="B164" t="s">
        <v>656</v>
      </c>
    </row>
    <row r="165" spans="1:2" x14ac:dyDescent="0.2">
      <c r="A165" t="s">
        <v>658</v>
      </c>
      <c r="B165" t="s">
        <v>659</v>
      </c>
    </row>
    <row r="166" spans="1:2" x14ac:dyDescent="0.2">
      <c r="A166" t="s">
        <v>660</v>
      </c>
      <c r="B166" t="s">
        <v>661</v>
      </c>
    </row>
    <row r="167" spans="1:2" x14ac:dyDescent="0.2">
      <c r="A167" t="s">
        <v>662</v>
      </c>
      <c r="B167" t="s">
        <v>663</v>
      </c>
    </row>
    <row r="168" spans="1:2" x14ac:dyDescent="0.2">
      <c r="A168" t="s">
        <v>664</v>
      </c>
      <c r="B168" t="s">
        <v>665</v>
      </c>
    </row>
    <row r="169" spans="1:2" x14ac:dyDescent="0.2">
      <c r="A169" t="s">
        <v>666</v>
      </c>
      <c r="B169" t="s">
        <v>667</v>
      </c>
    </row>
    <row r="170" spans="1:2" x14ac:dyDescent="0.2">
      <c r="A170" t="s">
        <v>668</v>
      </c>
      <c r="B170" t="s">
        <v>669</v>
      </c>
    </row>
    <row r="171" spans="1:2" x14ac:dyDescent="0.2">
      <c r="A171" t="s">
        <v>670</v>
      </c>
      <c r="B171" t="s">
        <v>671</v>
      </c>
    </row>
    <row r="172" spans="1:2" x14ac:dyDescent="0.2">
      <c r="A172" t="s">
        <v>672</v>
      </c>
      <c r="B172" t="s">
        <v>673</v>
      </c>
    </row>
    <row r="173" spans="1:2" x14ac:dyDescent="0.2">
      <c r="A173" t="s">
        <v>674</v>
      </c>
      <c r="B173" t="s">
        <v>675</v>
      </c>
    </row>
    <row r="174" spans="1:2" x14ac:dyDescent="0.2">
      <c r="A174" t="s">
        <v>676</v>
      </c>
      <c r="B174" t="s">
        <v>677</v>
      </c>
    </row>
    <row r="175" spans="1:2" x14ac:dyDescent="0.2">
      <c r="A175" t="s">
        <v>678</v>
      </c>
      <c r="B175" t="s">
        <v>679</v>
      </c>
    </row>
    <row r="176" spans="1:2" x14ac:dyDescent="0.2">
      <c r="A176" t="s">
        <v>680</v>
      </c>
      <c r="B176" t="s">
        <v>681</v>
      </c>
    </row>
    <row r="177" spans="1:2" x14ac:dyDescent="0.2">
      <c r="A177" t="s">
        <v>682</v>
      </c>
      <c r="B177" t="s">
        <v>683</v>
      </c>
    </row>
    <row r="178" spans="1:2" x14ac:dyDescent="0.2">
      <c r="A178" t="s">
        <v>684</v>
      </c>
      <c r="B178" t="s">
        <v>685</v>
      </c>
    </row>
    <row r="179" spans="1:2" x14ac:dyDescent="0.2">
      <c r="A179" t="s">
        <v>686</v>
      </c>
      <c r="B179" t="s">
        <v>687</v>
      </c>
    </row>
    <row r="180" spans="1:2" x14ac:dyDescent="0.2">
      <c r="A180" t="s">
        <v>688</v>
      </c>
      <c r="B180" t="s">
        <v>689</v>
      </c>
    </row>
    <row r="181" spans="1:2" x14ac:dyDescent="0.2">
      <c r="A181" t="s">
        <v>690</v>
      </c>
      <c r="B181" t="s">
        <v>691</v>
      </c>
    </row>
    <row r="182" spans="1:2" x14ac:dyDescent="0.2">
      <c r="A182" t="s">
        <v>692</v>
      </c>
      <c r="B182" t="s">
        <v>693</v>
      </c>
    </row>
    <row r="183" spans="1:2" x14ac:dyDescent="0.2">
      <c r="A183" t="s">
        <v>694</v>
      </c>
      <c r="B183" t="s">
        <v>693</v>
      </c>
    </row>
    <row r="184" spans="1:2" x14ac:dyDescent="0.2">
      <c r="A184" t="s">
        <v>695</v>
      </c>
      <c r="B184" t="s">
        <v>693</v>
      </c>
    </row>
    <row r="185" spans="1:2" x14ac:dyDescent="0.2">
      <c r="A185" t="s">
        <v>696</v>
      </c>
      <c r="B185" t="s">
        <v>693</v>
      </c>
    </row>
    <row r="186" spans="1:2" x14ac:dyDescent="0.2">
      <c r="A186" t="s">
        <v>697</v>
      </c>
      <c r="B186" t="s">
        <v>698</v>
      </c>
    </row>
    <row r="187" spans="1:2" x14ac:dyDescent="0.2">
      <c r="A187" t="s">
        <v>699</v>
      </c>
      <c r="B187" t="s">
        <v>700</v>
      </c>
    </row>
    <row r="188" spans="1:2" x14ac:dyDescent="0.2">
      <c r="A188" t="s">
        <v>701</v>
      </c>
      <c r="B188" t="s">
        <v>702</v>
      </c>
    </row>
    <row r="189" spans="1:2" x14ac:dyDescent="0.2">
      <c r="A189" t="s">
        <v>703</v>
      </c>
      <c r="B189" t="s">
        <v>704</v>
      </c>
    </row>
    <row r="190" spans="1:2" x14ac:dyDescent="0.2">
      <c r="A190" t="s">
        <v>705</v>
      </c>
      <c r="B190" t="s">
        <v>704</v>
      </c>
    </row>
    <row r="191" spans="1:2" x14ac:dyDescent="0.2">
      <c r="A191" t="s">
        <v>706</v>
      </c>
      <c r="B191" t="s">
        <v>707</v>
      </c>
    </row>
    <row r="192" spans="1:2" x14ac:dyDescent="0.2">
      <c r="A192" t="s">
        <v>708</v>
      </c>
      <c r="B192" t="s">
        <v>709</v>
      </c>
    </row>
    <row r="193" spans="1:2" x14ac:dyDescent="0.2">
      <c r="A193" t="s">
        <v>710</v>
      </c>
      <c r="B193" t="s">
        <v>711</v>
      </c>
    </row>
    <row r="194" spans="1:2" x14ac:dyDescent="0.2">
      <c r="A194" t="s">
        <v>712</v>
      </c>
      <c r="B194" t="s">
        <v>713</v>
      </c>
    </row>
    <row r="195" spans="1:2" x14ac:dyDescent="0.2">
      <c r="A195" t="s">
        <v>714</v>
      </c>
      <c r="B195" t="s">
        <v>713</v>
      </c>
    </row>
    <row r="196" spans="1:2" x14ac:dyDescent="0.2">
      <c r="A196" t="s">
        <v>715</v>
      </c>
      <c r="B196" t="s">
        <v>716</v>
      </c>
    </row>
    <row r="197" spans="1:2" x14ac:dyDescent="0.2">
      <c r="A197" t="s">
        <v>717</v>
      </c>
      <c r="B197" t="s">
        <v>718</v>
      </c>
    </row>
    <row r="198" spans="1:2" x14ac:dyDescent="0.2">
      <c r="A198" t="s">
        <v>719</v>
      </c>
      <c r="B198" t="s">
        <v>720</v>
      </c>
    </row>
    <row r="199" spans="1:2" x14ac:dyDescent="0.2">
      <c r="A199" t="s">
        <v>721</v>
      </c>
      <c r="B199" t="s">
        <v>722</v>
      </c>
    </row>
    <row r="200" spans="1:2" x14ac:dyDescent="0.2">
      <c r="A200" t="s">
        <v>723</v>
      </c>
      <c r="B200" t="s">
        <v>724</v>
      </c>
    </row>
    <row r="201" spans="1:2" x14ac:dyDescent="0.2">
      <c r="A201" t="s">
        <v>725</v>
      </c>
      <c r="B201" t="s">
        <v>726</v>
      </c>
    </row>
    <row r="202" spans="1:2" x14ac:dyDescent="0.2">
      <c r="A202" t="s">
        <v>727</v>
      </c>
      <c r="B202" t="s">
        <v>728</v>
      </c>
    </row>
    <row r="203" spans="1:2" x14ac:dyDescent="0.2">
      <c r="A203" t="s">
        <v>729</v>
      </c>
      <c r="B203" t="s">
        <v>730</v>
      </c>
    </row>
    <row r="204" spans="1:2" x14ac:dyDescent="0.2">
      <c r="A204" t="s">
        <v>731</v>
      </c>
      <c r="B204" t="s">
        <v>732</v>
      </c>
    </row>
    <row r="205" spans="1:2" x14ac:dyDescent="0.2">
      <c r="A205" t="s">
        <v>733</v>
      </c>
      <c r="B205" t="s">
        <v>734</v>
      </c>
    </row>
    <row r="206" spans="1:2" x14ac:dyDescent="0.2">
      <c r="A206" t="s">
        <v>735</v>
      </c>
      <c r="B206" t="s">
        <v>736</v>
      </c>
    </row>
    <row r="207" spans="1:2" x14ac:dyDescent="0.2">
      <c r="A207" t="s">
        <v>737</v>
      </c>
      <c r="B207" t="s">
        <v>738</v>
      </c>
    </row>
    <row r="208" spans="1:2" x14ac:dyDescent="0.2">
      <c r="A208" t="s">
        <v>739</v>
      </c>
      <c r="B208" t="s">
        <v>738</v>
      </c>
    </row>
    <row r="209" spans="1:2" x14ac:dyDescent="0.2">
      <c r="A209" t="s">
        <v>740</v>
      </c>
      <c r="B209" t="s">
        <v>741</v>
      </c>
    </row>
    <row r="210" spans="1:2" x14ac:dyDescent="0.2">
      <c r="A210" t="s">
        <v>742</v>
      </c>
      <c r="B210" t="s">
        <v>726</v>
      </c>
    </row>
    <row r="211" spans="1:2" x14ac:dyDescent="0.2">
      <c r="A211" t="s">
        <v>743</v>
      </c>
      <c r="B211" t="s">
        <v>744</v>
      </c>
    </row>
    <row r="212" spans="1:2" x14ac:dyDescent="0.2">
      <c r="A212" t="s">
        <v>745</v>
      </c>
      <c r="B212" t="s">
        <v>746</v>
      </c>
    </row>
    <row r="213" spans="1:2" x14ac:dyDescent="0.2">
      <c r="A213" t="s">
        <v>747</v>
      </c>
      <c r="B213" t="s">
        <v>748</v>
      </c>
    </row>
    <row r="214" spans="1:2" x14ac:dyDescent="0.2">
      <c r="A214" t="s">
        <v>749</v>
      </c>
      <c r="B214" t="s">
        <v>618</v>
      </c>
    </row>
    <row r="215" spans="1:2" x14ac:dyDescent="0.2">
      <c r="A215" t="s">
        <v>750</v>
      </c>
      <c r="B215" t="s">
        <v>671</v>
      </c>
    </row>
    <row r="216" spans="1:2" x14ac:dyDescent="0.2">
      <c r="A216" t="s">
        <v>751</v>
      </c>
      <c r="B216" t="s">
        <v>752</v>
      </c>
    </row>
    <row r="217" spans="1:2" x14ac:dyDescent="0.2">
      <c r="A217" t="s">
        <v>753</v>
      </c>
      <c r="B217" t="s">
        <v>754</v>
      </c>
    </row>
    <row r="218" spans="1:2" x14ac:dyDescent="0.2">
      <c r="A218" t="s">
        <v>755</v>
      </c>
      <c r="B218" t="s">
        <v>754</v>
      </c>
    </row>
    <row r="219" spans="1:2" x14ac:dyDescent="0.2">
      <c r="A219" t="s">
        <v>756</v>
      </c>
      <c r="B219" t="s">
        <v>754</v>
      </c>
    </row>
    <row r="220" spans="1:2" x14ac:dyDescent="0.2">
      <c r="A220" t="s">
        <v>757</v>
      </c>
      <c r="B220" t="s">
        <v>758</v>
      </c>
    </row>
    <row r="221" spans="1:2" x14ac:dyDescent="0.2">
      <c r="A221" t="s">
        <v>759</v>
      </c>
      <c r="B221" t="s">
        <v>760</v>
      </c>
    </row>
    <row r="222" spans="1:2" x14ac:dyDescent="0.2">
      <c r="A222" t="s">
        <v>761</v>
      </c>
      <c r="B222" t="s">
        <v>762</v>
      </c>
    </row>
    <row r="223" spans="1:2" x14ac:dyDescent="0.2">
      <c r="A223" t="s">
        <v>763</v>
      </c>
      <c r="B223" t="s">
        <v>764</v>
      </c>
    </row>
    <row r="224" spans="1:2" x14ac:dyDescent="0.2">
      <c r="A224" t="s">
        <v>765</v>
      </c>
      <c r="B224" t="s">
        <v>766</v>
      </c>
    </row>
    <row r="225" spans="1:2" x14ac:dyDescent="0.2">
      <c r="A225" t="s">
        <v>767</v>
      </c>
      <c r="B225" t="s">
        <v>768</v>
      </c>
    </row>
    <row r="226" spans="1:2" x14ac:dyDescent="0.2">
      <c r="A226" t="s">
        <v>769</v>
      </c>
      <c r="B226" t="s">
        <v>770</v>
      </c>
    </row>
    <row r="227" spans="1:2" x14ac:dyDescent="0.2">
      <c r="A227" t="s">
        <v>771</v>
      </c>
      <c r="B227" t="s">
        <v>772</v>
      </c>
    </row>
    <row r="228" spans="1:2" x14ac:dyDescent="0.2">
      <c r="A228" t="s">
        <v>773</v>
      </c>
      <c r="B228" t="s">
        <v>774</v>
      </c>
    </row>
    <row r="229" spans="1:2" x14ac:dyDescent="0.2">
      <c r="A229" t="s">
        <v>775</v>
      </c>
      <c r="B229" t="s">
        <v>776</v>
      </c>
    </row>
    <row r="230" spans="1:2" x14ac:dyDescent="0.2">
      <c r="A230" t="s">
        <v>777</v>
      </c>
      <c r="B230" t="s">
        <v>778</v>
      </c>
    </row>
    <row r="231" spans="1:2" x14ac:dyDescent="0.2">
      <c r="A231" t="s">
        <v>779</v>
      </c>
      <c r="B231" t="s">
        <v>780</v>
      </c>
    </row>
    <row r="232" spans="1:2" x14ac:dyDescent="0.2">
      <c r="A232" t="s">
        <v>781</v>
      </c>
      <c r="B232" t="s">
        <v>782</v>
      </c>
    </row>
    <row r="233" spans="1:2" x14ac:dyDescent="0.2">
      <c r="A233" t="s">
        <v>783</v>
      </c>
      <c r="B233" t="s">
        <v>784</v>
      </c>
    </row>
    <row r="234" spans="1:2" x14ac:dyDescent="0.2">
      <c r="A234" t="s">
        <v>785</v>
      </c>
      <c r="B234" t="s">
        <v>786</v>
      </c>
    </row>
    <row r="235" spans="1:2" x14ac:dyDescent="0.2">
      <c r="A235" t="s">
        <v>787</v>
      </c>
      <c r="B235" t="s">
        <v>788</v>
      </c>
    </row>
    <row r="236" spans="1:2" x14ac:dyDescent="0.2">
      <c r="A236" t="s">
        <v>789</v>
      </c>
      <c r="B236" t="s">
        <v>790</v>
      </c>
    </row>
    <row r="237" spans="1:2" x14ac:dyDescent="0.2">
      <c r="A237" t="s">
        <v>791</v>
      </c>
      <c r="B237" t="s">
        <v>792</v>
      </c>
    </row>
    <row r="238" spans="1:2" x14ac:dyDescent="0.2">
      <c r="A238" t="s">
        <v>793</v>
      </c>
      <c r="B238" t="s">
        <v>794</v>
      </c>
    </row>
    <row r="239" spans="1:2" x14ac:dyDescent="0.2">
      <c r="A239" t="s">
        <v>795</v>
      </c>
      <c r="B239" t="s">
        <v>796</v>
      </c>
    </row>
    <row r="240" spans="1:2" x14ac:dyDescent="0.2">
      <c r="A240" t="s">
        <v>797</v>
      </c>
      <c r="B240" t="s">
        <v>798</v>
      </c>
    </row>
    <row r="241" spans="1:2" x14ac:dyDescent="0.2">
      <c r="A241" t="s">
        <v>799</v>
      </c>
      <c r="B241" t="s">
        <v>800</v>
      </c>
    </row>
    <row r="242" spans="1:2" x14ac:dyDescent="0.2">
      <c r="A242" t="s">
        <v>801</v>
      </c>
      <c r="B242" t="s">
        <v>802</v>
      </c>
    </row>
    <row r="243" spans="1:2" x14ac:dyDescent="0.2">
      <c r="A243" t="s">
        <v>803</v>
      </c>
      <c r="B243" t="s">
        <v>804</v>
      </c>
    </row>
    <row r="244" spans="1:2" x14ac:dyDescent="0.2">
      <c r="A244" t="s">
        <v>805</v>
      </c>
      <c r="B244" t="s">
        <v>806</v>
      </c>
    </row>
    <row r="245" spans="1:2" x14ac:dyDescent="0.2">
      <c r="A245" t="s">
        <v>807</v>
      </c>
      <c r="B245" t="s">
        <v>808</v>
      </c>
    </row>
    <row r="246" spans="1:2" x14ac:dyDescent="0.2">
      <c r="A246" t="s">
        <v>809</v>
      </c>
      <c r="B246" t="s">
        <v>810</v>
      </c>
    </row>
    <row r="247" spans="1:2" x14ac:dyDescent="0.2">
      <c r="A247" t="s">
        <v>811</v>
      </c>
      <c r="B247" t="s">
        <v>812</v>
      </c>
    </row>
    <row r="248" spans="1:2" x14ac:dyDescent="0.2">
      <c r="A248" t="s">
        <v>813</v>
      </c>
      <c r="B248" t="s">
        <v>814</v>
      </c>
    </row>
    <row r="249" spans="1:2" x14ac:dyDescent="0.2">
      <c r="A249" t="s">
        <v>815</v>
      </c>
      <c r="B249" t="s">
        <v>814</v>
      </c>
    </row>
    <row r="250" spans="1:2" x14ac:dyDescent="0.2">
      <c r="A250" t="s">
        <v>816</v>
      </c>
      <c r="B250" t="s">
        <v>817</v>
      </c>
    </row>
    <row r="251" spans="1:2" x14ac:dyDescent="0.2">
      <c r="A251" t="s">
        <v>818</v>
      </c>
      <c r="B251" t="s">
        <v>819</v>
      </c>
    </row>
    <row r="252" spans="1:2" x14ac:dyDescent="0.2">
      <c r="A252" t="s">
        <v>820</v>
      </c>
      <c r="B252" t="s">
        <v>821</v>
      </c>
    </row>
    <row r="253" spans="1:2" x14ac:dyDescent="0.2">
      <c r="A253" t="s">
        <v>822</v>
      </c>
      <c r="B253" t="s">
        <v>823</v>
      </c>
    </row>
    <row r="254" spans="1:2" x14ac:dyDescent="0.2">
      <c r="A254" t="s">
        <v>824</v>
      </c>
      <c r="B254" t="s">
        <v>825</v>
      </c>
    </row>
    <row r="255" spans="1:2" x14ac:dyDescent="0.2">
      <c r="A255" t="s">
        <v>826</v>
      </c>
      <c r="B255" t="s">
        <v>825</v>
      </c>
    </row>
    <row r="256" spans="1:2" x14ac:dyDescent="0.2">
      <c r="A256" t="s">
        <v>827</v>
      </c>
      <c r="B256" t="s">
        <v>457</v>
      </c>
    </row>
    <row r="257" spans="1:2" x14ac:dyDescent="0.2">
      <c r="A257" t="s">
        <v>828</v>
      </c>
      <c r="B257" t="s">
        <v>829</v>
      </c>
    </row>
    <row r="258" spans="1:2" x14ac:dyDescent="0.2">
      <c r="A258" t="s">
        <v>830</v>
      </c>
      <c r="B258" t="s">
        <v>831</v>
      </c>
    </row>
    <row r="259" spans="1:2" x14ac:dyDescent="0.2">
      <c r="A259" t="s">
        <v>832</v>
      </c>
      <c r="B259" t="s">
        <v>833</v>
      </c>
    </row>
    <row r="260" spans="1:2" x14ac:dyDescent="0.2">
      <c r="A260" t="s">
        <v>834</v>
      </c>
      <c r="B260" t="s">
        <v>835</v>
      </c>
    </row>
    <row r="261" spans="1:2" x14ac:dyDescent="0.2">
      <c r="A261" t="s">
        <v>836</v>
      </c>
      <c r="B261" t="s">
        <v>835</v>
      </c>
    </row>
    <row r="262" spans="1:2" x14ac:dyDescent="0.2">
      <c r="A262" t="s">
        <v>837</v>
      </c>
      <c r="B262" t="s">
        <v>838</v>
      </c>
    </row>
    <row r="263" spans="1:2" x14ac:dyDescent="0.2">
      <c r="A263" t="s">
        <v>839</v>
      </c>
      <c r="B263" t="s">
        <v>840</v>
      </c>
    </row>
    <row r="264" spans="1:2" x14ac:dyDescent="0.2">
      <c r="A264" t="s">
        <v>841</v>
      </c>
      <c r="B264" t="s">
        <v>842</v>
      </c>
    </row>
    <row r="265" spans="1:2" x14ac:dyDescent="0.2">
      <c r="A265" t="s">
        <v>843</v>
      </c>
      <c r="B265" t="s">
        <v>844</v>
      </c>
    </row>
    <row r="266" spans="1:2" x14ac:dyDescent="0.2">
      <c r="A266" t="s">
        <v>845</v>
      </c>
      <c r="B266" t="s">
        <v>846</v>
      </c>
    </row>
    <row r="267" spans="1:2" x14ac:dyDescent="0.2">
      <c r="A267" t="s">
        <v>847</v>
      </c>
      <c r="B267" t="s">
        <v>848</v>
      </c>
    </row>
    <row r="268" spans="1:2" x14ac:dyDescent="0.2">
      <c r="A268" t="s">
        <v>849</v>
      </c>
      <c r="B268" t="s">
        <v>850</v>
      </c>
    </row>
    <row r="269" spans="1:2" x14ac:dyDescent="0.2">
      <c r="A269" t="s">
        <v>851</v>
      </c>
      <c r="B269" t="s">
        <v>852</v>
      </c>
    </row>
    <row r="270" spans="1:2" x14ac:dyDescent="0.2">
      <c r="A270" t="s">
        <v>853</v>
      </c>
      <c r="B270" t="s">
        <v>854</v>
      </c>
    </row>
    <row r="271" spans="1:2" x14ac:dyDescent="0.2">
      <c r="A271" t="s">
        <v>855</v>
      </c>
      <c r="B271" t="s">
        <v>848</v>
      </c>
    </row>
    <row r="272" spans="1:2" x14ac:dyDescent="0.2">
      <c r="A272" t="s">
        <v>856</v>
      </c>
      <c r="B272" t="s">
        <v>848</v>
      </c>
    </row>
    <row r="273" spans="1:2" x14ac:dyDescent="0.2">
      <c r="A273" t="s">
        <v>857</v>
      </c>
      <c r="B273" t="s">
        <v>858</v>
      </c>
    </row>
    <row r="274" spans="1:2" x14ac:dyDescent="0.2">
      <c r="A274" t="s">
        <v>859</v>
      </c>
      <c r="B274" t="s">
        <v>860</v>
      </c>
    </row>
    <row r="275" spans="1:2" x14ac:dyDescent="0.2">
      <c r="A275" t="s">
        <v>861</v>
      </c>
      <c r="B275" t="s">
        <v>862</v>
      </c>
    </row>
    <row r="276" spans="1:2" x14ac:dyDescent="0.2">
      <c r="A276" t="s">
        <v>863</v>
      </c>
      <c r="B276" t="s">
        <v>864</v>
      </c>
    </row>
    <row r="277" spans="1:2" x14ac:dyDescent="0.2">
      <c r="A277" t="s">
        <v>865</v>
      </c>
      <c r="B277" t="s">
        <v>866</v>
      </c>
    </row>
    <row r="278" spans="1:2" x14ac:dyDescent="0.2">
      <c r="A278" t="s">
        <v>867</v>
      </c>
      <c r="B278" t="s">
        <v>866</v>
      </c>
    </row>
    <row r="279" spans="1:2" x14ac:dyDescent="0.2">
      <c r="A279" t="s">
        <v>868</v>
      </c>
      <c r="B279" t="s">
        <v>858</v>
      </c>
    </row>
    <row r="280" spans="1:2" x14ac:dyDescent="0.2">
      <c r="A280" t="s">
        <v>869</v>
      </c>
      <c r="B280" t="s">
        <v>858</v>
      </c>
    </row>
    <row r="281" spans="1:2" x14ac:dyDescent="0.2">
      <c r="A281" t="s">
        <v>870</v>
      </c>
      <c r="B281" t="s">
        <v>858</v>
      </c>
    </row>
    <row r="282" spans="1:2" x14ac:dyDescent="0.2">
      <c r="A282" t="s">
        <v>871</v>
      </c>
      <c r="B282" t="s">
        <v>831</v>
      </c>
    </row>
    <row r="283" spans="1:2" x14ac:dyDescent="0.2">
      <c r="A283" t="s">
        <v>872</v>
      </c>
      <c r="B283" t="s">
        <v>873</v>
      </c>
    </row>
    <row r="284" spans="1:2" x14ac:dyDescent="0.2">
      <c r="A284" t="s">
        <v>874</v>
      </c>
      <c r="B284" t="s">
        <v>860</v>
      </c>
    </row>
    <row r="285" spans="1:2" x14ac:dyDescent="0.2">
      <c r="A285" t="s">
        <v>875</v>
      </c>
      <c r="B285" t="s">
        <v>860</v>
      </c>
    </row>
    <row r="286" spans="1:2" x14ac:dyDescent="0.2">
      <c r="A286" t="s">
        <v>876</v>
      </c>
      <c r="B286" t="s">
        <v>877</v>
      </c>
    </row>
    <row r="287" spans="1:2" x14ac:dyDescent="0.2">
      <c r="A287" t="s">
        <v>878</v>
      </c>
      <c r="B287" t="s">
        <v>879</v>
      </c>
    </row>
    <row r="288" spans="1:2" x14ac:dyDescent="0.2">
      <c r="A288" t="s">
        <v>880</v>
      </c>
      <c r="B288" t="s">
        <v>881</v>
      </c>
    </row>
    <row r="289" spans="1:2" x14ac:dyDescent="0.2">
      <c r="A289" t="s">
        <v>882</v>
      </c>
      <c r="B289" t="s">
        <v>883</v>
      </c>
    </row>
    <row r="290" spans="1:2" x14ac:dyDescent="0.2">
      <c r="A290" t="s">
        <v>884</v>
      </c>
      <c r="B290" t="s">
        <v>885</v>
      </c>
    </row>
    <row r="291" spans="1:2" x14ac:dyDescent="0.2">
      <c r="A291" t="s">
        <v>886</v>
      </c>
      <c r="B291" t="s">
        <v>885</v>
      </c>
    </row>
    <row r="292" spans="1:2" x14ac:dyDescent="0.2">
      <c r="A292" t="s">
        <v>887</v>
      </c>
      <c r="B292" t="s">
        <v>888</v>
      </c>
    </row>
    <row r="293" spans="1:2" x14ac:dyDescent="0.2">
      <c r="A293" t="s">
        <v>889</v>
      </c>
      <c r="B293" t="s">
        <v>890</v>
      </c>
    </row>
    <row r="294" spans="1:2" x14ac:dyDescent="0.2">
      <c r="A294" t="s">
        <v>891</v>
      </c>
      <c r="B294" t="s">
        <v>892</v>
      </c>
    </row>
    <row r="295" spans="1:2" x14ac:dyDescent="0.2">
      <c r="A295" t="s">
        <v>893</v>
      </c>
      <c r="B295" t="s">
        <v>894</v>
      </c>
    </row>
    <row r="296" spans="1:2" x14ac:dyDescent="0.2">
      <c r="A296" t="s">
        <v>895</v>
      </c>
      <c r="B296" t="s">
        <v>896</v>
      </c>
    </row>
    <row r="297" spans="1:2" x14ac:dyDescent="0.2">
      <c r="A297" t="s">
        <v>897</v>
      </c>
      <c r="B297" t="s">
        <v>898</v>
      </c>
    </row>
    <row r="298" spans="1:2" x14ac:dyDescent="0.2">
      <c r="A298" t="s">
        <v>899</v>
      </c>
      <c r="B298" t="s">
        <v>900</v>
      </c>
    </row>
    <row r="299" spans="1:2" x14ac:dyDescent="0.2">
      <c r="A299" t="s">
        <v>901</v>
      </c>
      <c r="B299" t="s">
        <v>902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61DB-93DF-4918-A907-A34AB880867B}">
  <sheetPr>
    <tabColor theme="5" tint="0.59999389629810485"/>
  </sheetPr>
  <dimension ref="A2:K125"/>
  <sheetViews>
    <sheetView tabSelected="1" zoomScale="80" zoomScaleNormal="80" workbookViewId="0">
      <selection activeCell="K15" sqref="K15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11" ht="19" x14ac:dyDescent="0.25">
      <c r="A2" s="118" t="s">
        <v>350</v>
      </c>
    </row>
    <row r="4" spans="1:11" x14ac:dyDescent="0.2">
      <c r="A4" s="119" t="s">
        <v>1</v>
      </c>
      <c r="B4" s="120"/>
      <c r="C4" s="120"/>
    </row>
    <row r="5" spans="1:11" ht="16" x14ac:dyDescent="0.2">
      <c r="A5" s="121" t="s">
        <v>3</v>
      </c>
      <c r="B5" s="122" t="s">
        <v>4</v>
      </c>
      <c r="C5" s="122" t="s">
        <v>5</v>
      </c>
      <c r="D5" t="s">
        <v>358</v>
      </c>
      <c r="E5" t="s">
        <v>351</v>
      </c>
      <c r="F5" t="s">
        <v>352</v>
      </c>
      <c r="G5" t="s">
        <v>353</v>
      </c>
      <c r="H5" t="s">
        <v>354</v>
      </c>
      <c r="I5" t="s">
        <v>355</v>
      </c>
      <c r="J5" t="s">
        <v>356</v>
      </c>
      <c r="K5" t="s">
        <v>357</v>
      </c>
    </row>
    <row r="6" spans="1:1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>
        <v>1</v>
      </c>
    </row>
    <row r="7" spans="1:1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>
        <v>0</v>
      </c>
      <c r="E7">
        <v>20</v>
      </c>
    </row>
    <row r="8" spans="1:1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>
        <v>2</v>
      </c>
      <c r="E8" t="s">
        <v>352</v>
      </c>
      <c r="F8">
        <v>1000</v>
      </c>
    </row>
    <row r="9" spans="1:1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>
        <v>4</v>
      </c>
      <c r="E9" t="s">
        <v>353</v>
      </c>
    </row>
    <row r="10" spans="1:1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>
        <v>1</v>
      </c>
      <c r="E10">
        <v>1.2</v>
      </c>
    </row>
    <row r="11" spans="1:1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>
        <v>23</v>
      </c>
    </row>
    <row r="12" spans="1:1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33">
        <v>0.2</v>
      </c>
    </row>
    <row r="13" spans="1:1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>
        <v>4.2</v>
      </c>
    </row>
    <row r="14" spans="1:1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>
        <v>1</v>
      </c>
    </row>
    <row r="15" spans="1:1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>
        <v>3</v>
      </c>
    </row>
    <row r="16" spans="1:1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>
        <v>4</v>
      </c>
    </row>
    <row r="17" spans="1:4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>
        <v>0</v>
      </c>
    </row>
    <row r="18" spans="1:4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>
        <v>0</v>
      </c>
    </row>
    <row r="19" spans="1:4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D19">
        <v>0</v>
      </c>
    </row>
    <row r="20" spans="1:4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>
        <v>0</v>
      </c>
    </row>
    <row r="21" spans="1:4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>
        <v>1</v>
      </c>
    </row>
    <row r="22" spans="1:4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>
        <v>2</v>
      </c>
    </row>
    <row r="23" spans="1:4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D23">
        <v>3</v>
      </c>
    </row>
    <row r="24" spans="1:4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>
        <v>4</v>
      </c>
    </row>
    <row r="25" spans="1:4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>
        <v>4</v>
      </c>
    </row>
    <row r="26" spans="1:4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>
        <v>1</v>
      </c>
    </row>
    <row r="27" spans="1:4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D27">
        <v>3</v>
      </c>
    </row>
    <row r="28" spans="1:4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>
        <v>9</v>
      </c>
    </row>
    <row r="29" spans="1:4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>
        <v>4</v>
      </c>
    </row>
    <row r="30" spans="1:4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>
        <v>1</v>
      </c>
    </row>
    <row r="31" spans="1:4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>
        <v>30</v>
      </c>
    </row>
    <row r="32" spans="1:4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>
        <v>2</v>
      </c>
    </row>
    <row r="33" spans="1:4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>
        <v>3</v>
      </c>
    </row>
    <row r="34" spans="1:4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>
        <v>4</v>
      </c>
    </row>
    <row r="35" spans="1:4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D35">
        <v>1</v>
      </c>
    </row>
    <row r="36" spans="1:4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D36">
        <v>2</v>
      </c>
    </row>
    <row r="37" spans="1:4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>
        <v>3</v>
      </c>
    </row>
    <row r="38" spans="1:4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>
        <v>4</v>
      </c>
    </row>
    <row r="39" spans="1:4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>
        <v>5</v>
      </c>
    </row>
    <row r="40" spans="1:4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>
        <v>6</v>
      </c>
    </row>
    <row r="41" spans="1:4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>
        <v>1</v>
      </c>
    </row>
    <row r="42" spans="1:4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>
        <v>2</v>
      </c>
    </row>
    <row r="43" spans="1:4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>
        <v>2</v>
      </c>
    </row>
    <row r="44" spans="1:4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>
        <v>2</v>
      </c>
    </row>
    <row r="45" spans="1:4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>
        <v>5</v>
      </c>
    </row>
    <row r="46" spans="1:4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>
        <v>191</v>
      </c>
    </row>
    <row r="47" spans="1:4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>
        <v>2</v>
      </c>
    </row>
    <row r="48" spans="1:4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D48">
        <v>2</v>
      </c>
    </row>
    <row r="49" spans="1:8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>
        <v>3</v>
      </c>
    </row>
    <row r="50" spans="1:8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>
        <v>1</v>
      </c>
    </row>
    <row r="51" spans="1:8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>
        <v>123</v>
      </c>
    </row>
    <row r="52" spans="1:8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>
        <v>12</v>
      </c>
    </row>
    <row r="53" spans="1:8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>
        <v>4</v>
      </c>
    </row>
    <row r="54" spans="1:8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>
        <v>1</v>
      </c>
    </row>
    <row r="55" spans="1:8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>
        <v>2</v>
      </c>
    </row>
    <row r="56" spans="1:8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>
        <v>3</v>
      </c>
    </row>
    <row r="57" spans="1:8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>
        <v>4</v>
      </c>
    </row>
    <row r="58" spans="1:8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>
        <v>1</v>
      </c>
    </row>
    <row r="59" spans="1:8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>
        <v>2</v>
      </c>
    </row>
    <row r="60" spans="1:8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>
        <v>1</v>
      </c>
    </row>
    <row r="61" spans="1:8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>
        <v>3</v>
      </c>
    </row>
    <row r="62" spans="1:8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D62">
        <v>123</v>
      </c>
    </row>
    <row r="63" spans="1:8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D63">
        <v>4</v>
      </c>
    </row>
    <row r="64" spans="1:8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>
        <v>1</v>
      </c>
      <c r="H64">
        <v>100</v>
      </c>
    </row>
    <row r="65" spans="1:4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D65">
        <v>4</v>
      </c>
    </row>
    <row r="66" spans="1:4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>
        <v>4</v>
      </c>
    </row>
    <row r="67" spans="1:4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>
        <v>19</v>
      </c>
    </row>
    <row r="68" spans="1:4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>
        <v>123</v>
      </c>
    </row>
    <row r="69" spans="1:4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>
        <v>123</v>
      </c>
    </row>
    <row r="70" spans="1:4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D70">
        <v>12</v>
      </c>
    </row>
    <row r="71" spans="1:4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D71">
        <v>5</v>
      </c>
    </row>
    <row r="72" spans="1:4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>
        <v>23</v>
      </c>
    </row>
    <row r="73" spans="1:4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D73">
        <v>23</v>
      </c>
    </row>
    <row r="74" spans="1:4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>
        <v>5</v>
      </c>
    </row>
    <row r="75" spans="1:4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>
        <v>12</v>
      </c>
    </row>
    <row r="76" spans="1:4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>
        <v>3</v>
      </c>
    </row>
    <row r="77" spans="1:4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>
        <v>13</v>
      </c>
    </row>
    <row r="78" spans="1:4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>
        <v>3210</v>
      </c>
    </row>
    <row r="79" spans="1:4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>
        <v>321</v>
      </c>
    </row>
    <row r="80" spans="1:4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>
        <v>4</v>
      </c>
    </row>
    <row r="81" spans="1:4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D81">
        <v>2</v>
      </c>
    </row>
    <row r="82" spans="1:4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D82">
        <v>1</v>
      </c>
    </row>
    <row r="83" spans="1:4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>
        <v>4</v>
      </c>
    </row>
    <row r="84" spans="1:4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>
        <v>123</v>
      </c>
    </row>
    <row r="85" spans="1:4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>
        <v>5</v>
      </c>
    </row>
    <row r="86" spans="1:4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>
        <v>3</v>
      </c>
    </row>
    <row r="87" spans="1:4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>
        <v>192</v>
      </c>
    </row>
    <row r="88" spans="1:4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>
        <v>34</v>
      </c>
    </row>
    <row r="89" spans="1:4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>
        <v>2</v>
      </c>
    </row>
    <row r="90" spans="1:4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>
        <v>1</v>
      </c>
    </row>
    <row r="91" spans="1:4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>
        <v>3</v>
      </c>
    </row>
    <row r="92" spans="1:4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>
        <v>4</v>
      </c>
    </row>
    <row r="93" spans="1:4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>
        <v>123</v>
      </c>
    </row>
    <row r="94" spans="1:4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>
        <v>5</v>
      </c>
    </row>
    <row r="95" spans="1:4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>
        <v>3</v>
      </c>
    </row>
    <row r="96" spans="1:4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>
        <v>2</v>
      </c>
    </row>
    <row r="97" spans="1:4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>
        <v>4</v>
      </c>
    </row>
    <row r="98" spans="1:4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>
        <v>5</v>
      </c>
    </row>
    <row r="99" spans="1:4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>
        <v>104</v>
      </c>
    </row>
    <row r="100" spans="1:4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>
        <v>123</v>
      </c>
    </row>
    <row r="101" spans="1:4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>
        <v>4</v>
      </c>
    </row>
    <row r="102" spans="1:4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>
        <v>2</v>
      </c>
    </row>
    <row r="103" spans="1:4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>
        <v>3</v>
      </c>
    </row>
    <row r="104" spans="1:4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>
        <v>5</v>
      </c>
    </row>
    <row r="105" spans="1:4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>
        <v>12</v>
      </c>
    </row>
    <row r="106" spans="1:4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>
        <v>3</v>
      </c>
    </row>
    <row r="107" spans="1:4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>
        <v>123</v>
      </c>
    </row>
    <row r="108" spans="1:4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>
        <v>5</v>
      </c>
    </row>
    <row r="109" spans="1:4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>
        <v>1</v>
      </c>
    </row>
    <row r="110" spans="1:4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>
        <v>2</v>
      </c>
    </row>
    <row r="111" spans="1:4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>
        <v>3</v>
      </c>
    </row>
    <row r="112" spans="1:4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>
        <v>2</v>
      </c>
    </row>
    <row r="113" spans="1:4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>
        <v>1</v>
      </c>
    </row>
    <row r="114" spans="1:4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>
        <v>2</v>
      </c>
    </row>
    <row r="115" spans="1:4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>
        <v>3</v>
      </c>
    </row>
    <row r="116" spans="1:4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>
        <v>4</v>
      </c>
    </row>
    <row r="117" spans="1:4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>
        <v>1231</v>
      </c>
    </row>
    <row r="118" spans="1:4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>
        <v>5</v>
      </c>
    </row>
    <row r="119" spans="1:4" x14ac:dyDescent="0.2">
      <c r="A119" s="6"/>
      <c r="B119" s="6"/>
      <c r="C119" s="6"/>
    </row>
    <row r="120" spans="1:4" x14ac:dyDescent="0.2">
      <c r="A120" s="6"/>
      <c r="B120" s="6"/>
      <c r="C120" s="6"/>
    </row>
    <row r="121" spans="1:4" x14ac:dyDescent="0.2">
      <c r="A121" s="6"/>
      <c r="B121" s="6"/>
      <c r="C121" s="6"/>
    </row>
    <row r="122" spans="1:4" x14ac:dyDescent="0.2">
      <c r="A122" s="6"/>
      <c r="B122" s="6"/>
      <c r="C122" s="6"/>
    </row>
    <row r="123" spans="1:4" x14ac:dyDescent="0.2">
      <c r="A123" s="6"/>
      <c r="B123" s="6"/>
      <c r="C123" s="6"/>
    </row>
    <row r="124" spans="1:4" x14ac:dyDescent="0.2">
      <c r="A124" s="6"/>
      <c r="B124" s="6"/>
      <c r="C124" s="6"/>
    </row>
    <row r="125" spans="1:4" x14ac:dyDescent="0.2">
      <c r="A125" s="6"/>
      <c r="B125" s="6"/>
      <c r="C125" s="6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E4FD-C896-4366-BE50-62B8162E822E}">
  <sheetPr>
    <tabColor theme="6" tint="0.59999389629810485"/>
  </sheetPr>
  <dimension ref="A2:J125"/>
  <sheetViews>
    <sheetView zoomScale="80" zoomScaleNormal="80" workbookViewId="0">
      <selection activeCell="D10" sqref="D10"/>
    </sheetView>
  </sheetViews>
  <sheetFormatPr baseColWidth="10" defaultColWidth="8.83203125" defaultRowHeight="15" x14ac:dyDescent="0.2"/>
  <cols>
    <col min="2" max="2" width="32.83203125" customWidth="1"/>
    <col min="3" max="3" width="15.33203125" customWidth="1"/>
  </cols>
  <sheetData>
    <row r="2" spans="1:10" ht="19" x14ac:dyDescent="0.25">
      <c r="A2" s="118" t="s">
        <v>350</v>
      </c>
    </row>
    <row r="4" spans="1:10" x14ac:dyDescent="0.2">
      <c r="A4" s="123" t="s">
        <v>1</v>
      </c>
      <c r="B4" s="124"/>
      <c r="C4" s="124"/>
    </row>
    <row r="5" spans="1:10" ht="16" x14ac:dyDescent="0.2">
      <c r="A5" s="125" t="s">
        <v>3</v>
      </c>
      <c r="B5" s="126" t="s">
        <v>4</v>
      </c>
      <c r="C5" s="126" t="s">
        <v>5</v>
      </c>
      <c r="D5" t="s">
        <v>351</v>
      </c>
      <c r="E5" t="s">
        <v>352</v>
      </c>
      <c r="F5" t="s">
        <v>353</v>
      </c>
      <c r="G5" t="s">
        <v>354</v>
      </c>
      <c r="H5" t="s">
        <v>355</v>
      </c>
      <c r="I5" t="s">
        <v>356</v>
      </c>
      <c r="J5" t="s">
        <v>357</v>
      </c>
    </row>
    <row r="6" spans="1:10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0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0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10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0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0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10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0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0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10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10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3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3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3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3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3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3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3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3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3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3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3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3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3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3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3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3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3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3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3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3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3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3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3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3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3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3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3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3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3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3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3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3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3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3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3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3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3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3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3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3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3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3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3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3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3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3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3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3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3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3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3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3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3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3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3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3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3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3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3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3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3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3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3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3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3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3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3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3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3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3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3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3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3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3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3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3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3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3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3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3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3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</row>
    <row r="114" spans="1:3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3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3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</row>
    <row r="117" spans="1:3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</row>
    <row r="118" spans="1:3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</row>
    <row r="119" spans="1:3" x14ac:dyDescent="0.2">
      <c r="A119" s="6"/>
      <c r="B119" s="6"/>
      <c r="C119" s="6"/>
    </row>
    <row r="120" spans="1:3" x14ac:dyDescent="0.2">
      <c r="A120" s="6"/>
      <c r="B120" s="6"/>
      <c r="C120" s="6"/>
    </row>
    <row r="121" spans="1:3" x14ac:dyDescent="0.2">
      <c r="A121" s="6"/>
      <c r="B121" s="6"/>
      <c r="C121" s="6"/>
    </row>
    <row r="122" spans="1:3" x14ac:dyDescent="0.2">
      <c r="A122" s="6"/>
      <c r="B122" s="6"/>
      <c r="C122" s="6"/>
    </row>
    <row r="123" spans="1:3" x14ac:dyDescent="0.2">
      <c r="A123" s="6"/>
      <c r="B123" s="6"/>
      <c r="C123" s="6"/>
    </row>
    <row r="124" spans="1:3" x14ac:dyDescent="0.2">
      <c r="A124" s="6"/>
      <c r="B124" s="6"/>
      <c r="C124" s="6"/>
    </row>
    <row r="125" spans="1:3" x14ac:dyDescent="0.2">
      <c r="A125" s="6"/>
      <c r="B125" s="6"/>
      <c r="C12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8BC-BC7B-41C5-94D7-61908B9D954B}">
  <sheetPr>
    <tabColor theme="4" tint="0.39997558519241921"/>
  </sheetPr>
  <dimension ref="A2:O229"/>
  <sheetViews>
    <sheetView topLeftCell="A108" zoomScale="80" zoomScaleNormal="80" workbookViewId="0">
      <selection activeCell="I6" sqref="I6:I118"/>
    </sheetView>
  </sheetViews>
  <sheetFormatPr baseColWidth="10" defaultColWidth="8.6640625" defaultRowHeight="15" x14ac:dyDescent="0.2"/>
  <cols>
    <col min="2" max="2" width="22.33203125" style="1" customWidth="1"/>
    <col min="3" max="3" width="17.6640625" style="1" customWidth="1"/>
    <col min="4" max="4" width="9.5" style="1" customWidth="1"/>
    <col min="5" max="5" width="6.33203125" customWidth="1"/>
    <col min="6" max="6" width="12.6640625" style="9" customWidth="1"/>
    <col min="7" max="9" width="12.6640625" customWidth="1"/>
    <col min="10" max="10" width="12.6640625" style="1" customWidth="1"/>
    <col min="11" max="15" width="30.6640625" customWidth="1"/>
  </cols>
  <sheetData>
    <row r="2" spans="1:15" ht="21" x14ac:dyDescent="0.2">
      <c r="A2" s="65" t="s">
        <v>346</v>
      </c>
      <c r="E2" s="4"/>
      <c r="F2" s="8"/>
      <c r="G2" s="4"/>
      <c r="H2" s="29"/>
      <c r="I2" s="29"/>
      <c r="J2" s="97"/>
      <c r="L2" s="3"/>
    </row>
    <row r="3" spans="1:15" x14ac:dyDescent="0.2">
      <c r="A3" s="66"/>
      <c r="B3" s="11"/>
      <c r="C3" s="11"/>
      <c r="D3" s="11"/>
      <c r="E3" s="11"/>
      <c r="F3" s="11"/>
      <c r="G3" s="11"/>
      <c r="H3" s="11"/>
      <c r="I3" s="11"/>
      <c r="J3" s="104"/>
    </row>
    <row r="4" spans="1:15" x14ac:dyDescent="0.2">
      <c r="A4" s="67" t="s">
        <v>1</v>
      </c>
      <c r="B4" s="34"/>
      <c r="C4" s="34"/>
      <c r="D4" s="34"/>
      <c r="E4" s="35"/>
      <c r="F4" s="36" t="s">
        <v>121</v>
      </c>
      <c r="G4" s="35"/>
      <c r="H4" s="37"/>
      <c r="I4" s="38" t="s">
        <v>122</v>
      </c>
      <c r="J4" s="113" t="s">
        <v>2</v>
      </c>
      <c r="K4" s="39" t="s">
        <v>121</v>
      </c>
      <c r="L4" s="40"/>
      <c r="M4" s="41"/>
      <c r="N4" s="42" t="s">
        <v>122</v>
      </c>
      <c r="O4" s="43" t="s">
        <v>2</v>
      </c>
    </row>
    <row r="5" spans="1:15" s="7" customFormat="1" ht="51.5" customHeight="1" x14ac:dyDescent="0.2">
      <c r="A5" s="102" t="s">
        <v>3</v>
      </c>
      <c r="B5" s="44" t="s">
        <v>4</v>
      </c>
      <c r="C5" s="44" t="s">
        <v>5</v>
      </c>
      <c r="D5" s="44" t="s">
        <v>6</v>
      </c>
      <c r="E5" s="103" t="s">
        <v>7</v>
      </c>
      <c r="F5" s="45" t="s">
        <v>342</v>
      </c>
      <c r="G5" s="46" t="s">
        <v>123</v>
      </c>
      <c r="H5" s="46" t="s">
        <v>343</v>
      </c>
      <c r="I5" s="46" t="s">
        <v>124</v>
      </c>
      <c r="J5" s="114" t="s">
        <v>125</v>
      </c>
      <c r="K5" s="47" t="s">
        <v>344</v>
      </c>
      <c r="L5" s="48" t="s">
        <v>123</v>
      </c>
      <c r="M5" s="48" t="s">
        <v>345</v>
      </c>
      <c r="N5" s="48" t="s">
        <v>124</v>
      </c>
      <c r="O5" s="49" t="s">
        <v>341</v>
      </c>
    </row>
    <row r="6" spans="1:15" ht="15" customHeight="1" x14ac:dyDescent="0.2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  <c r="D6" s="1" t="str">
        <f t="shared" ref="D6:D37" si="0">IF(ISBLANK(F6),"No","Yes")</f>
        <v>No</v>
      </c>
      <c r="E6" s="1"/>
      <c r="F6" s="33"/>
      <c r="G6" s="32"/>
      <c r="H6" s="33"/>
      <c r="I6" s="1"/>
      <c r="O6" s="2"/>
    </row>
    <row r="7" spans="1:15" ht="15" customHeight="1" x14ac:dyDescent="0.2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  <c r="D7" s="1" t="str">
        <f t="shared" si="0"/>
        <v>No</v>
      </c>
      <c r="E7" s="1"/>
      <c r="F7" s="33"/>
      <c r="G7" s="32"/>
      <c r="H7" s="33"/>
      <c r="I7" s="1"/>
      <c r="O7" s="2"/>
    </row>
    <row r="8" spans="1:15" ht="15" customHeight="1" x14ac:dyDescent="0.2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 s="1" t="str">
        <f t="shared" si="0"/>
        <v>Yes</v>
      </c>
      <c r="E8" s="50"/>
      <c r="F8" s="51">
        <v>41.000996934136801</v>
      </c>
      <c r="G8" s="52"/>
      <c r="H8" s="68">
        <v>6.0001458928005071</v>
      </c>
      <c r="I8" s="92">
        <f>Defaults!F8</f>
        <v>450</v>
      </c>
      <c r="J8" s="107">
        <f>Defaults!G8</f>
        <v>5.97</v>
      </c>
      <c r="K8" s="12" t="s">
        <v>132</v>
      </c>
      <c r="L8" s="12"/>
      <c r="M8" s="12" t="s">
        <v>132</v>
      </c>
      <c r="N8" s="53"/>
      <c r="O8" s="54"/>
    </row>
    <row r="9" spans="1:15" ht="15" customHeight="1" x14ac:dyDescent="0.2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  <c r="D9" s="1" t="str">
        <f t="shared" si="0"/>
        <v>No</v>
      </c>
      <c r="E9" s="1"/>
      <c r="F9" s="33"/>
      <c r="G9" s="32"/>
      <c r="H9" s="33"/>
      <c r="I9" s="1"/>
      <c r="N9" s="55"/>
      <c r="O9" s="2"/>
    </row>
    <row r="10" spans="1:15" ht="15" customHeight="1" x14ac:dyDescent="0.2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  <c r="D10" s="1" t="str">
        <f t="shared" si="0"/>
        <v>No</v>
      </c>
      <c r="E10" s="1"/>
      <c r="F10" s="33"/>
      <c r="G10" s="32"/>
      <c r="H10" s="33"/>
      <c r="I10" s="1"/>
      <c r="O10" s="2"/>
    </row>
    <row r="11" spans="1:15" ht="15" customHeight="1" x14ac:dyDescent="0.2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 s="1" t="str">
        <f t="shared" si="0"/>
        <v>Yes</v>
      </c>
      <c r="E11" s="50"/>
      <c r="F11" s="33">
        <v>20</v>
      </c>
      <c r="G11" s="56"/>
      <c r="H11" s="69">
        <v>4</v>
      </c>
      <c r="I11" s="92">
        <f>Defaults!F11</f>
        <v>140</v>
      </c>
      <c r="J11" s="107">
        <f>Defaults!G11</f>
        <v>1.65</v>
      </c>
      <c r="K11" s="12" t="s">
        <v>138</v>
      </c>
      <c r="L11" s="12"/>
      <c r="M11" s="12" t="s">
        <v>138</v>
      </c>
      <c r="N11" s="53"/>
      <c r="O11" s="54"/>
    </row>
    <row r="12" spans="1:15" ht="15" customHeight="1" x14ac:dyDescent="0.2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  <c r="D12" s="1" t="str">
        <f t="shared" si="0"/>
        <v>No</v>
      </c>
      <c r="E12" s="50"/>
      <c r="F12" s="33"/>
      <c r="G12" s="57"/>
      <c r="H12" s="70"/>
      <c r="I12" s="94"/>
      <c r="J12" s="109"/>
      <c r="O12" s="4"/>
    </row>
    <row r="13" spans="1:15" ht="15" customHeight="1" x14ac:dyDescent="0.2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  <c r="D13" s="1" t="str">
        <f t="shared" si="0"/>
        <v>No</v>
      </c>
      <c r="E13" s="1"/>
      <c r="F13" s="33"/>
      <c r="G13" s="32"/>
      <c r="H13" s="33"/>
      <c r="I13" s="1"/>
      <c r="N13" s="58"/>
      <c r="O13" s="2"/>
    </row>
    <row r="14" spans="1:15" ht="15" customHeight="1" x14ac:dyDescent="0.2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" t="str">
        <f t="shared" si="0"/>
        <v>Yes</v>
      </c>
      <c r="E14" s="1"/>
      <c r="F14" s="76">
        <v>94</v>
      </c>
      <c r="G14" s="32"/>
      <c r="H14" s="51">
        <v>7</v>
      </c>
      <c r="I14" s="101">
        <f>Defaults!F14</f>
        <v>69.7</v>
      </c>
      <c r="J14" s="107">
        <f>Defaults!G14</f>
        <v>0.52</v>
      </c>
      <c r="K14" s="12"/>
      <c r="L14" s="12"/>
      <c r="M14" s="12"/>
      <c r="N14" s="59"/>
      <c r="O14" s="17"/>
    </row>
    <row r="15" spans="1:15" ht="15" customHeight="1" x14ac:dyDescent="0.2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 s="1" t="str">
        <f t="shared" si="0"/>
        <v>Yes</v>
      </c>
      <c r="E15" s="1">
        <f>Defaults!D15</f>
        <v>90</v>
      </c>
      <c r="F15" s="33">
        <v>90</v>
      </c>
      <c r="G15" s="52"/>
      <c r="H15" s="71">
        <v>6.9999999999999991</v>
      </c>
      <c r="I15" s="92">
        <f>Defaults!F15</f>
        <v>70</v>
      </c>
      <c r="J15" s="107">
        <f>Defaults!G15</f>
        <v>0.47</v>
      </c>
      <c r="K15" s="12" t="s">
        <v>147</v>
      </c>
      <c r="L15" s="12"/>
      <c r="M15" s="12" t="s">
        <v>147</v>
      </c>
      <c r="N15" s="53"/>
      <c r="O15" s="54"/>
    </row>
    <row r="16" spans="1:15" ht="15" customHeight="1" x14ac:dyDescent="0.2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 s="1" t="str">
        <f t="shared" si="0"/>
        <v>Yes</v>
      </c>
      <c r="E16" s="1">
        <f>Defaults!D16</f>
        <v>10</v>
      </c>
      <c r="F16" s="33">
        <v>126</v>
      </c>
      <c r="G16" s="60"/>
      <c r="H16" s="71">
        <v>8</v>
      </c>
      <c r="I16" s="92">
        <f>Defaults!F16</f>
        <v>66.7</v>
      </c>
      <c r="J16" s="108">
        <v>1</v>
      </c>
      <c r="K16" s="12" t="s">
        <v>147</v>
      </c>
      <c r="L16" s="12"/>
      <c r="M16" s="12" t="s">
        <v>147</v>
      </c>
      <c r="N16" s="53"/>
      <c r="O16" s="54"/>
    </row>
    <row r="17" spans="1:15" ht="15" customHeight="1" x14ac:dyDescent="0.2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 s="1" t="str">
        <f t="shared" si="0"/>
        <v>Yes</v>
      </c>
      <c r="E17" s="50"/>
      <c r="F17" s="33">
        <v>30</v>
      </c>
      <c r="G17" s="89">
        <f>Defaults!E17</f>
        <v>25</v>
      </c>
      <c r="H17" s="72">
        <v>10</v>
      </c>
      <c r="I17" s="92">
        <f>Defaults!F17</f>
        <v>65</v>
      </c>
      <c r="J17" s="107">
        <f>Defaults!G17</f>
        <v>1.1000000000000001</v>
      </c>
      <c r="K17" s="12" t="s">
        <v>153</v>
      </c>
      <c r="L17" s="12"/>
      <c r="M17" s="12" t="s">
        <v>152</v>
      </c>
      <c r="N17" s="12"/>
      <c r="O17" s="54"/>
    </row>
    <row r="18" spans="1:15" ht="15" customHeight="1" x14ac:dyDescent="0.2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  <c r="D18" s="1" t="str">
        <f t="shared" si="0"/>
        <v>No</v>
      </c>
      <c r="E18" s="50"/>
      <c r="F18" s="33"/>
      <c r="G18" s="58"/>
      <c r="H18" s="70"/>
      <c r="I18" s="94"/>
      <c r="J18" s="109"/>
      <c r="N18" s="61"/>
      <c r="O18" s="4"/>
    </row>
    <row r="19" spans="1:15" ht="15" customHeight="1" x14ac:dyDescent="0.2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  <c r="D19" s="1" t="str">
        <f t="shared" si="0"/>
        <v>No</v>
      </c>
      <c r="E19" s="1"/>
      <c r="F19" s="33"/>
      <c r="H19" s="33"/>
      <c r="I19" s="1"/>
      <c r="N19" s="58"/>
      <c r="O19" s="2"/>
    </row>
    <row r="20" spans="1:15" ht="15" customHeight="1" x14ac:dyDescent="0.2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 s="1" t="str">
        <f t="shared" si="0"/>
        <v>Yes</v>
      </c>
      <c r="E20" s="50"/>
      <c r="F20" s="33">
        <v>2</v>
      </c>
      <c r="G20" s="89">
        <f>Defaults!E20</f>
        <v>24</v>
      </c>
      <c r="H20" s="72">
        <v>4</v>
      </c>
      <c r="I20" s="92">
        <f>Defaults!F20</f>
        <v>63.2</v>
      </c>
      <c r="J20" s="107">
        <f>Defaults!G20</f>
        <v>0.61</v>
      </c>
      <c r="K20" s="12" t="s">
        <v>147</v>
      </c>
      <c r="L20" s="12"/>
      <c r="M20" s="12" t="s">
        <v>161</v>
      </c>
      <c r="N20" s="53"/>
      <c r="O20" s="54"/>
    </row>
    <row r="21" spans="1:15" ht="15" customHeight="1" x14ac:dyDescent="0.2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  <c r="D21" s="1" t="str">
        <f t="shared" si="0"/>
        <v>No</v>
      </c>
      <c r="E21" s="50"/>
      <c r="F21" s="33"/>
      <c r="G21" s="58"/>
      <c r="H21" s="70"/>
      <c r="I21" s="94"/>
      <c r="J21" s="109"/>
      <c r="N21" s="55"/>
      <c r="O21" s="4"/>
    </row>
    <row r="22" spans="1:15" ht="15" customHeight="1" x14ac:dyDescent="0.2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 s="1" t="str">
        <f t="shared" si="0"/>
        <v>Yes</v>
      </c>
      <c r="E22" s="1">
        <f>Defaults!D22</f>
        <v>40</v>
      </c>
      <c r="F22" s="33">
        <v>150</v>
      </c>
      <c r="G22" s="89"/>
      <c r="H22" s="72">
        <v>22.944752181740999</v>
      </c>
      <c r="I22" s="92">
        <f>Defaults!F22</f>
        <v>140</v>
      </c>
      <c r="J22" s="107">
        <f>Defaults!G22</f>
        <v>1.65</v>
      </c>
      <c r="K22" s="12" t="s">
        <v>164</v>
      </c>
      <c r="L22" s="12"/>
      <c r="M22" s="12" t="s">
        <v>164</v>
      </c>
      <c r="N22" s="12"/>
      <c r="O22" s="54"/>
    </row>
    <row r="23" spans="1:15" ht="15" customHeight="1" x14ac:dyDescent="0.2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  <c r="D23" s="1" t="str">
        <f t="shared" si="0"/>
        <v>No</v>
      </c>
      <c r="E23" s="1"/>
      <c r="F23" s="33"/>
      <c r="H23" s="33"/>
      <c r="I23" s="1"/>
    </row>
    <row r="24" spans="1:15" ht="15" customHeight="1" x14ac:dyDescent="0.2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 s="1" t="str">
        <f t="shared" si="0"/>
        <v>Yes</v>
      </c>
      <c r="E24" s="1"/>
      <c r="F24" s="51">
        <v>200.00035800590709</v>
      </c>
      <c r="G24" s="88"/>
      <c r="H24" s="69">
        <v>16.000028640472568</v>
      </c>
      <c r="I24" s="92">
        <f>Defaults!F24</f>
        <v>140</v>
      </c>
      <c r="J24" s="107">
        <f>Defaults!G24</f>
        <v>1.65</v>
      </c>
      <c r="K24" s="12" t="s">
        <v>164</v>
      </c>
      <c r="M24" s="12" t="s">
        <v>164</v>
      </c>
      <c r="N24" s="12"/>
      <c r="O24" s="17"/>
    </row>
    <row r="25" spans="1:15" ht="15" customHeight="1" x14ac:dyDescent="0.2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  <c r="D25" s="1" t="str">
        <f t="shared" si="0"/>
        <v>No</v>
      </c>
      <c r="E25" s="50"/>
      <c r="F25" s="33"/>
      <c r="H25" s="33"/>
      <c r="I25" s="1"/>
    </row>
    <row r="26" spans="1:15" ht="15" customHeight="1" x14ac:dyDescent="0.2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 s="1" t="str">
        <f t="shared" si="0"/>
        <v>Yes</v>
      </c>
      <c r="E26" s="1"/>
      <c r="F26" s="33">
        <v>83</v>
      </c>
      <c r="G26" s="89"/>
      <c r="H26" s="72">
        <v>29.745999999999999</v>
      </c>
      <c r="I26" s="92">
        <f>Defaults!F26</f>
        <v>140</v>
      </c>
      <c r="J26" s="107">
        <f>Defaults!G26</f>
        <v>2.23</v>
      </c>
      <c r="K26" s="12" t="s">
        <v>170</v>
      </c>
      <c r="L26" s="12"/>
      <c r="M26" s="12" t="s">
        <v>170</v>
      </c>
      <c r="N26" s="12"/>
      <c r="O26" s="54"/>
    </row>
    <row r="27" spans="1:15" ht="15" customHeight="1" x14ac:dyDescent="0.2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  <c r="D27" s="1" t="str">
        <f t="shared" si="0"/>
        <v>No</v>
      </c>
      <c r="E27" s="1"/>
      <c r="F27" s="33"/>
      <c r="H27" s="33"/>
      <c r="I27" s="1"/>
    </row>
    <row r="28" spans="1:15" ht="15" customHeight="1" x14ac:dyDescent="0.2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 s="1" t="str">
        <f t="shared" si="0"/>
        <v>Yes</v>
      </c>
      <c r="E28" s="1">
        <f>Defaults!D28</f>
        <v>60</v>
      </c>
      <c r="F28" s="33">
        <v>220</v>
      </c>
      <c r="G28" s="89"/>
      <c r="H28" s="72">
        <v>21.384</v>
      </c>
      <c r="I28" s="92">
        <f>Defaults!F28</f>
        <v>140</v>
      </c>
      <c r="J28" s="107">
        <f>Defaults!G28</f>
        <v>1.65</v>
      </c>
      <c r="K28" s="12" t="s">
        <v>164</v>
      </c>
      <c r="L28" s="12"/>
      <c r="M28" s="12" t="s">
        <v>164</v>
      </c>
      <c r="N28" s="12"/>
      <c r="O28" s="54"/>
    </row>
    <row r="29" spans="1:15" ht="15" customHeight="1" x14ac:dyDescent="0.2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" t="str">
        <f t="shared" si="0"/>
        <v>Yes</v>
      </c>
      <c r="E29" s="1"/>
      <c r="F29" s="76">
        <v>192.00000000000003</v>
      </c>
      <c r="G29" s="90"/>
      <c r="H29" s="51">
        <v>22</v>
      </c>
      <c r="I29" s="92">
        <f>Defaults!F29</f>
        <v>140</v>
      </c>
      <c r="J29" s="107">
        <f>Defaults!G29</f>
        <v>1.65</v>
      </c>
      <c r="K29" s="12"/>
      <c r="L29" s="12"/>
      <c r="M29" s="12"/>
      <c r="N29" s="12"/>
      <c r="O29" s="17"/>
    </row>
    <row r="30" spans="1:15" ht="15" customHeight="1" x14ac:dyDescent="0.2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  <c r="D30" s="1" t="str">
        <f t="shared" si="0"/>
        <v>No</v>
      </c>
      <c r="E30" s="1"/>
      <c r="F30" s="33"/>
      <c r="H30" s="33"/>
      <c r="I30" s="1"/>
      <c r="O30" s="2"/>
    </row>
    <row r="31" spans="1:15" ht="15" customHeight="1" x14ac:dyDescent="0.2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  <c r="D31" s="1" t="str">
        <f t="shared" si="0"/>
        <v>No</v>
      </c>
      <c r="E31" s="50"/>
      <c r="F31" s="33"/>
      <c r="G31" s="58"/>
      <c r="H31" s="70"/>
      <c r="I31" s="94"/>
      <c r="J31" s="109"/>
      <c r="O31" s="4"/>
    </row>
    <row r="32" spans="1:15" ht="15" customHeight="1" x14ac:dyDescent="0.2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  <c r="D32" s="1" t="str">
        <f t="shared" si="0"/>
        <v>No</v>
      </c>
      <c r="E32" s="50"/>
      <c r="F32" s="33"/>
      <c r="G32" s="58"/>
      <c r="H32" s="70"/>
      <c r="I32" s="94"/>
      <c r="J32" s="109"/>
      <c r="O32" s="4"/>
    </row>
    <row r="33" spans="1:15" ht="15" customHeight="1" x14ac:dyDescent="0.2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  <c r="D33" s="1" t="str">
        <f t="shared" si="0"/>
        <v>No</v>
      </c>
      <c r="E33" s="1"/>
      <c r="F33" s="33"/>
      <c r="H33" s="33"/>
      <c r="I33" s="1"/>
      <c r="O33" s="2"/>
    </row>
    <row r="34" spans="1:15" ht="15" customHeight="1" x14ac:dyDescent="0.2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  <c r="D34" s="1" t="str">
        <f t="shared" si="0"/>
        <v>No</v>
      </c>
      <c r="E34" s="1"/>
      <c r="F34" s="33"/>
      <c r="H34" s="33"/>
      <c r="I34" s="1"/>
      <c r="O34" s="2"/>
    </row>
    <row r="35" spans="1:15" ht="15" customHeight="1" x14ac:dyDescent="0.2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  <c r="D35" s="1" t="str">
        <f t="shared" si="0"/>
        <v>No</v>
      </c>
      <c r="E35" s="1"/>
      <c r="F35" s="33"/>
      <c r="H35" s="33"/>
      <c r="I35" s="1"/>
      <c r="O35" s="2"/>
    </row>
    <row r="36" spans="1:15" ht="15" customHeight="1" x14ac:dyDescent="0.2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  <c r="D36" s="1" t="str">
        <f t="shared" si="0"/>
        <v>No</v>
      </c>
      <c r="E36" s="1"/>
      <c r="F36" s="33"/>
      <c r="H36" s="33"/>
      <c r="I36" s="1"/>
      <c r="O36" s="2"/>
    </row>
    <row r="37" spans="1:15" ht="15" customHeight="1" x14ac:dyDescent="0.2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  <c r="D37" s="1" t="str">
        <f t="shared" si="0"/>
        <v>No</v>
      </c>
      <c r="E37" s="1"/>
      <c r="F37" s="33"/>
      <c r="H37" s="33"/>
      <c r="I37" s="1"/>
      <c r="O37" s="2"/>
    </row>
    <row r="38" spans="1:15" ht="15" customHeight="1" x14ac:dyDescent="0.2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" t="str">
        <f t="shared" ref="D38:D69" si="1">IF(ISBLANK(F38),"No","Yes")</f>
        <v>Yes</v>
      </c>
      <c r="E38" s="1">
        <f>Defaults!D38</f>
        <v>0</v>
      </c>
      <c r="F38" s="75">
        <v>1385.8545100000001</v>
      </c>
      <c r="G38" s="90"/>
      <c r="H38" s="51">
        <v>7</v>
      </c>
      <c r="I38" s="101">
        <f>Defaults!F38</f>
        <v>7</v>
      </c>
      <c r="J38" s="115">
        <f>Defaults!G38</f>
        <v>1.65</v>
      </c>
      <c r="K38" s="12"/>
      <c r="L38" s="12"/>
      <c r="M38" s="12"/>
      <c r="N38" s="12"/>
      <c r="O38" s="17"/>
    </row>
    <row r="39" spans="1:15" ht="15" customHeight="1" x14ac:dyDescent="0.2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 s="1" t="str">
        <f t="shared" si="1"/>
        <v>Yes</v>
      </c>
      <c r="E39" s="1">
        <f>Defaults!D39</f>
        <v>95</v>
      </c>
      <c r="F39" s="51">
        <v>1451.4258</v>
      </c>
      <c r="G39" s="89"/>
      <c r="H39" s="68">
        <v>703.72159999999997</v>
      </c>
      <c r="I39" s="92">
        <f>Defaults!F39</f>
        <v>0</v>
      </c>
      <c r="J39" s="107">
        <f>Defaults!G39</f>
        <v>1.65</v>
      </c>
      <c r="K39" s="62" t="s">
        <v>187</v>
      </c>
      <c r="L39" s="12"/>
      <c r="M39" s="62" t="s">
        <v>188</v>
      </c>
      <c r="N39" s="12"/>
      <c r="O39" s="54"/>
    </row>
    <row r="40" spans="1:15" ht="15" customHeight="1" x14ac:dyDescent="0.2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 s="1" t="str">
        <f t="shared" si="1"/>
        <v>Yes</v>
      </c>
      <c r="E40" s="1">
        <f>Defaults!D40</f>
        <v>5</v>
      </c>
      <c r="F40" s="33">
        <v>140</v>
      </c>
      <c r="G40" s="89"/>
      <c r="H40" s="68">
        <v>36.184615384615398</v>
      </c>
      <c r="I40" s="92">
        <f>Defaults!F40</f>
        <v>140</v>
      </c>
      <c r="J40" s="107">
        <f>Defaults!G40</f>
        <v>1.65</v>
      </c>
      <c r="K40" s="12" t="s">
        <v>164</v>
      </c>
      <c r="L40" s="12"/>
      <c r="M40" s="12" t="s">
        <v>164</v>
      </c>
      <c r="N40" s="53"/>
      <c r="O40" s="54"/>
    </row>
    <row r="41" spans="1:15" ht="15" customHeight="1" x14ac:dyDescent="0.2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 s="1" t="str">
        <f t="shared" si="1"/>
        <v>Yes</v>
      </c>
      <c r="E41" s="50"/>
      <c r="F41" s="33">
        <v>32</v>
      </c>
      <c r="G41" s="8"/>
      <c r="H41" s="72">
        <v>20</v>
      </c>
      <c r="I41" s="92">
        <f>Defaults!F41</f>
        <v>300</v>
      </c>
      <c r="J41" s="107">
        <f>Defaults!G41</f>
        <v>2.25</v>
      </c>
      <c r="K41" s="12" t="s">
        <v>191</v>
      </c>
      <c r="L41" s="12"/>
      <c r="M41" s="12" t="s">
        <v>191</v>
      </c>
      <c r="N41" s="53"/>
      <c r="O41" s="54"/>
    </row>
    <row r="42" spans="1:15" ht="15" customHeight="1" x14ac:dyDescent="0.2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  <c r="D42" s="1" t="str">
        <f t="shared" si="1"/>
        <v>No</v>
      </c>
      <c r="E42" s="50"/>
      <c r="F42" s="33"/>
      <c r="G42" s="58"/>
      <c r="H42" s="70"/>
      <c r="I42" s="96"/>
      <c r="J42" s="109"/>
      <c r="O42" s="4"/>
    </row>
    <row r="43" spans="1:15" ht="15" customHeight="1" x14ac:dyDescent="0.2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  <c r="D43" s="1" t="str">
        <f t="shared" si="1"/>
        <v>No</v>
      </c>
      <c r="E43" s="50"/>
      <c r="F43" s="33"/>
      <c r="G43" s="55"/>
      <c r="H43" s="73"/>
      <c r="I43" s="96"/>
      <c r="J43" s="109"/>
      <c r="O43" s="4"/>
    </row>
    <row r="44" spans="1:15" ht="15" customHeight="1" x14ac:dyDescent="0.2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  <c r="D44" s="1" t="str">
        <f t="shared" si="1"/>
        <v>No</v>
      </c>
      <c r="E44" s="50"/>
      <c r="F44" s="33"/>
      <c r="G44" s="58"/>
      <c r="H44" s="70"/>
      <c r="I44" s="94"/>
      <c r="J44" s="109"/>
      <c r="O44" s="4"/>
    </row>
    <row r="45" spans="1:15" ht="15" customHeight="1" x14ac:dyDescent="0.2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  <c r="D45" s="1" t="str">
        <f t="shared" si="1"/>
        <v>No</v>
      </c>
      <c r="E45" s="50"/>
      <c r="F45" s="33"/>
      <c r="G45" s="55"/>
      <c r="H45" s="73"/>
      <c r="I45" s="96"/>
      <c r="J45" s="109"/>
      <c r="O45" s="4"/>
    </row>
    <row r="46" spans="1:15" ht="15" customHeight="1" x14ac:dyDescent="0.2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  <c r="D46" s="1" t="str">
        <f t="shared" si="1"/>
        <v>No</v>
      </c>
      <c r="E46" s="63"/>
      <c r="F46" s="33"/>
      <c r="G46" s="58"/>
      <c r="H46" s="70"/>
      <c r="I46" s="94"/>
      <c r="J46" s="109"/>
      <c r="O46" s="4"/>
    </row>
    <row r="47" spans="1:15" ht="15" customHeight="1" x14ac:dyDescent="0.2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 s="1" t="str">
        <f t="shared" si="1"/>
        <v>Yes</v>
      </c>
      <c r="E47" s="50"/>
      <c r="F47" s="51">
        <v>6.2508461827754793</v>
      </c>
      <c r="G47" s="8"/>
      <c r="H47" s="72">
        <v>2.6518741381471731</v>
      </c>
      <c r="I47" s="92">
        <f>Defaults!F47</f>
        <v>450</v>
      </c>
      <c r="J47" s="107">
        <f>Defaults!G47</f>
        <v>6.09</v>
      </c>
      <c r="K47" s="12" t="s">
        <v>185</v>
      </c>
      <c r="L47" s="12"/>
      <c r="M47" s="12" t="s">
        <v>185</v>
      </c>
      <c r="N47" s="53"/>
      <c r="O47" s="54"/>
    </row>
    <row r="48" spans="1:15" ht="15" customHeight="1" x14ac:dyDescent="0.2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  <c r="D48" s="1" t="str">
        <f t="shared" si="1"/>
        <v>No</v>
      </c>
      <c r="E48" s="50"/>
      <c r="F48" s="51"/>
      <c r="G48" s="61"/>
      <c r="H48" s="74"/>
      <c r="I48" s="97"/>
      <c r="J48" s="109"/>
      <c r="O48" s="4"/>
    </row>
    <row r="49" spans="1:15" ht="15" customHeight="1" x14ac:dyDescent="0.2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 s="1" t="str">
        <f t="shared" si="1"/>
        <v>Yes</v>
      </c>
      <c r="E49" s="50"/>
      <c r="F49" s="51">
        <v>11.387434554973822</v>
      </c>
      <c r="G49" s="8"/>
      <c r="H49" s="68">
        <v>3.4794938917975569</v>
      </c>
      <c r="I49" s="92">
        <f>Defaults!F49</f>
        <v>140</v>
      </c>
      <c r="J49" s="107">
        <f>Defaults!G49</f>
        <v>1.65</v>
      </c>
      <c r="K49" s="12" t="s">
        <v>205</v>
      </c>
      <c r="L49" s="12"/>
      <c r="M49" s="12" t="s">
        <v>206</v>
      </c>
      <c r="N49" s="53"/>
      <c r="O49" s="54"/>
    </row>
    <row r="50" spans="1:15" ht="15" customHeight="1" x14ac:dyDescent="0.2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  <c r="D50" s="1" t="str">
        <f t="shared" si="1"/>
        <v>No</v>
      </c>
      <c r="E50" s="50"/>
      <c r="F50" s="51"/>
      <c r="G50" s="55"/>
      <c r="H50" s="73"/>
      <c r="I50" s="96"/>
      <c r="J50" s="109"/>
      <c r="O50" s="4"/>
    </row>
    <row r="51" spans="1:15" ht="15" customHeight="1" x14ac:dyDescent="0.2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  <c r="D51" s="1" t="str">
        <f t="shared" si="1"/>
        <v>No</v>
      </c>
      <c r="E51" s="63"/>
      <c r="F51" s="51"/>
      <c r="G51" s="58"/>
      <c r="H51" s="70"/>
      <c r="I51" s="94"/>
      <c r="J51" s="109"/>
      <c r="O51" s="4"/>
    </row>
    <row r="52" spans="1:15" ht="15" customHeight="1" x14ac:dyDescent="0.2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  <c r="D52" s="1" t="str">
        <f t="shared" si="1"/>
        <v>No</v>
      </c>
      <c r="E52" s="63"/>
      <c r="F52" s="51"/>
      <c r="G52" s="58"/>
      <c r="H52" s="70"/>
      <c r="I52" s="94"/>
      <c r="J52" s="109"/>
      <c r="O52" s="4"/>
    </row>
    <row r="53" spans="1:15" ht="15" customHeight="1" x14ac:dyDescent="0.2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 s="1" t="str">
        <f t="shared" si="1"/>
        <v>Yes</v>
      </c>
      <c r="E53" s="50"/>
      <c r="F53" s="51">
        <v>219.9992474773388</v>
      </c>
      <c r="G53" s="8"/>
      <c r="H53" s="68">
        <v>43.999849495467764</v>
      </c>
      <c r="I53" s="92">
        <v>140</v>
      </c>
      <c r="J53" s="107">
        <f>Defaults!G53</f>
        <v>1.65</v>
      </c>
      <c r="K53" s="12" t="s">
        <v>211</v>
      </c>
      <c r="L53" s="12"/>
      <c r="M53" s="12" t="s">
        <v>211</v>
      </c>
      <c r="N53" s="53"/>
      <c r="O53" s="54"/>
    </row>
    <row r="54" spans="1:15" ht="15" customHeight="1" x14ac:dyDescent="0.2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  <c r="D54" s="1" t="str">
        <f t="shared" si="1"/>
        <v>No</v>
      </c>
      <c r="E54" s="63"/>
      <c r="F54" s="33"/>
      <c r="G54" s="58"/>
      <c r="H54" s="70"/>
      <c r="I54" s="94"/>
      <c r="J54" s="109"/>
      <c r="N54" s="55"/>
      <c r="O54" s="4"/>
    </row>
    <row r="55" spans="1:15" ht="15" customHeight="1" x14ac:dyDescent="0.2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 s="1" t="str">
        <f t="shared" si="1"/>
        <v>Yes</v>
      </c>
      <c r="E55" s="63"/>
      <c r="F55" s="33">
        <v>0</v>
      </c>
      <c r="G55" s="89">
        <f>Defaults!E55</f>
        <v>63</v>
      </c>
      <c r="H55" s="72">
        <v>0</v>
      </c>
      <c r="I55" s="98">
        <v>79</v>
      </c>
      <c r="J55" s="107">
        <f>Defaults!G55</f>
        <v>0</v>
      </c>
      <c r="K55" s="12"/>
      <c r="L55" s="12"/>
      <c r="M55" s="12"/>
      <c r="N55" s="64"/>
      <c r="O55" s="54"/>
    </row>
    <row r="56" spans="1:15" ht="15" customHeight="1" x14ac:dyDescent="0.2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 s="1" t="str">
        <f t="shared" si="1"/>
        <v>Yes</v>
      </c>
      <c r="E56" s="63"/>
      <c r="F56" s="51">
        <v>103.99894409543754</v>
      </c>
      <c r="G56" s="8"/>
      <c r="H56" s="72">
        <v>20.999786788501808</v>
      </c>
      <c r="I56" s="92">
        <f>Defaults!F56</f>
        <v>140</v>
      </c>
      <c r="J56" s="107">
        <f>Defaults!G56</f>
        <v>1.65</v>
      </c>
      <c r="K56" s="12" t="s">
        <v>211</v>
      </c>
      <c r="L56" s="12"/>
      <c r="M56" s="12" t="s">
        <v>211</v>
      </c>
      <c r="N56" s="59"/>
      <c r="O56" s="54"/>
    </row>
    <row r="57" spans="1:15" ht="15" customHeight="1" x14ac:dyDescent="0.2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 s="1" t="str">
        <f t="shared" si="1"/>
        <v>Yes</v>
      </c>
      <c r="E57" s="63"/>
      <c r="F57" s="51">
        <v>60</v>
      </c>
      <c r="G57" s="8"/>
      <c r="H57" s="72">
        <v>15</v>
      </c>
      <c r="I57" s="92">
        <f>Defaults!F57</f>
        <v>65.400000000000006</v>
      </c>
      <c r="J57" s="107">
        <f>Defaults!G57</f>
        <v>0.7</v>
      </c>
      <c r="K57" s="12" t="s">
        <v>217</v>
      </c>
      <c r="L57" s="12"/>
      <c r="M57" s="12" t="s">
        <v>217</v>
      </c>
      <c r="N57" s="12"/>
      <c r="O57" s="54"/>
    </row>
    <row r="58" spans="1:15" ht="15" customHeight="1" x14ac:dyDescent="0.2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  <c r="D58" s="1" t="str">
        <f t="shared" si="1"/>
        <v>No</v>
      </c>
      <c r="E58" s="50"/>
      <c r="F58" s="51"/>
      <c r="G58" s="55"/>
      <c r="H58" s="73"/>
      <c r="I58" s="96"/>
      <c r="J58" s="109"/>
      <c r="N58" s="58"/>
      <c r="O58" s="4"/>
    </row>
    <row r="59" spans="1:15" ht="15" customHeight="1" x14ac:dyDescent="0.2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 s="1" t="str">
        <f t="shared" si="1"/>
        <v>Yes</v>
      </c>
      <c r="E59" s="50"/>
      <c r="F59" s="51">
        <v>131.99700453857793</v>
      </c>
      <c r="G59" s="8"/>
      <c r="H59" s="72">
        <v>36.999160363086233</v>
      </c>
      <c r="I59" s="92">
        <f>Defaults!F59</f>
        <v>69</v>
      </c>
      <c r="J59" s="107">
        <f>Defaults!G59</f>
        <v>0.11</v>
      </c>
      <c r="K59" s="12" t="s">
        <v>147</v>
      </c>
      <c r="L59" s="12"/>
      <c r="M59" s="12" t="s">
        <v>147</v>
      </c>
      <c r="N59" s="53"/>
      <c r="O59" s="54"/>
    </row>
    <row r="60" spans="1:15" ht="15" customHeight="1" x14ac:dyDescent="0.2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  <c r="D60" s="1" t="str">
        <f t="shared" si="1"/>
        <v>No</v>
      </c>
      <c r="E60" s="50"/>
      <c r="F60" s="51"/>
      <c r="G60" s="55"/>
      <c r="H60" s="73"/>
      <c r="I60" s="96"/>
      <c r="J60" s="109"/>
      <c r="M60" t="s">
        <v>147</v>
      </c>
      <c r="N60" s="58"/>
      <c r="O60" s="4"/>
    </row>
    <row r="61" spans="1:15" ht="15" customHeight="1" x14ac:dyDescent="0.2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  <c r="D61" s="1" t="str">
        <f t="shared" si="1"/>
        <v>No</v>
      </c>
      <c r="E61" s="50"/>
      <c r="F61" s="51"/>
      <c r="G61" s="58"/>
      <c r="H61" s="70"/>
      <c r="I61" s="94"/>
      <c r="J61" s="109"/>
      <c r="N61" s="61"/>
      <c r="O61" s="4"/>
    </row>
    <row r="62" spans="1:15" ht="15" customHeight="1" x14ac:dyDescent="0.2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  <c r="D62" s="1" t="str">
        <f t="shared" si="1"/>
        <v>No</v>
      </c>
      <c r="E62" s="63"/>
      <c r="F62" s="51"/>
      <c r="G62" s="58"/>
      <c r="H62" s="70"/>
      <c r="I62" s="94"/>
      <c r="J62" s="109"/>
      <c r="N62" s="58"/>
      <c r="O62" s="4"/>
    </row>
    <row r="63" spans="1:15" ht="15" customHeight="1" x14ac:dyDescent="0.2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  <c r="D63" s="1" t="str">
        <f t="shared" si="1"/>
        <v>No</v>
      </c>
      <c r="E63" s="63"/>
      <c r="F63" s="51"/>
      <c r="G63" s="58"/>
      <c r="H63" s="70"/>
      <c r="I63" s="94"/>
      <c r="J63" s="109"/>
      <c r="N63" s="55"/>
      <c r="O63" s="4"/>
    </row>
    <row r="64" spans="1:15" ht="15" customHeight="1" x14ac:dyDescent="0.2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 s="1" t="str">
        <f t="shared" si="1"/>
        <v>Yes</v>
      </c>
      <c r="E64" s="1"/>
      <c r="F64" s="51">
        <v>70.992046843177178</v>
      </c>
      <c r="G64" s="88"/>
      <c r="H64" s="69">
        <v>14.998319755600814</v>
      </c>
      <c r="I64" s="92">
        <f>Defaults!F64</f>
        <v>68.599999999999994</v>
      </c>
      <c r="J64" s="107">
        <f>Defaults!G64</f>
        <v>0.45</v>
      </c>
      <c r="K64" s="12" t="s">
        <v>147</v>
      </c>
      <c r="L64" s="12"/>
      <c r="M64" s="12" t="s">
        <v>147</v>
      </c>
      <c r="N64" s="53"/>
      <c r="O64" s="54"/>
    </row>
    <row r="65" spans="1:15" ht="15" customHeight="1" x14ac:dyDescent="0.2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  <c r="D65" s="1" t="str">
        <f t="shared" si="1"/>
        <v>No</v>
      </c>
      <c r="E65" s="1"/>
      <c r="F65" s="33"/>
      <c r="H65" s="33"/>
      <c r="I65" s="1"/>
      <c r="M65" t="s">
        <v>147</v>
      </c>
      <c r="N65" s="58"/>
      <c r="O65" s="2"/>
    </row>
    <row r="66" spans="1:15" ht="15" customHeight="1" x14ac:dyDescent="0.2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  <c r="D66" s="1" t="str">
        <f t="shared" si="1"/>
        <v>No</v>
      </c>
      <c r="E66" s="1"/>
      <c r="F66" s="33"/>
      <c r="H66" s="33"/>
      <c r="I66" s="1"/>
      <c r="N66" s="58"/>
      <c r="O66" s="2"/>
    </row>
    <row r="67" spans="1:15" ht="15" customHeight="1" x14ac:dyDescent="0.2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 s="1" t="str">
        <f t="shared" si="1"/>
        <v>Yes</v>
      </c>
      <c r="E67" s="1"/>
      <c r="F67" s="51">
        <v>143.99874345549739</v>
      </c>
      <c r="G67" s="88"/>
      <c r="H67" s="69">
        <v>43.999616055846424</v>
      </c>
      <c r="I67" s="92">
        <f>Defaults!F67</f>
        <v>140</v>
      </c>
      <c r="J67" s="107">
        <f>Defaults!G67</f>
        <v>4.71</v>
      </c>
      <c r="K67" s="12" t="s">
        <v>170</v>
      </c>
      <c r="L67" s="12"/>
      <c r="M67" s="12" t="s">
        <v>170</v>
      </c>
      <c r="N67" s="59"/>
      <c r="O67" s="54"/>
    </row>
    <row r="68" spans="1:15" ht="15" customHeight="1" x14ac:dyDescent="0.2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  <c r="D68" s="1" t="str">
        <f t="shared" si="1"/>
        <v>No</v>
      </c>
      <c r="E68" s="1"/>
      <c r="F68" s="51"/>
      <c r="H68" s="33"/>
      <c r="I68" s="1"/>
      <c r="O68" s="2"/>
    </row>
    <row r="69" spans="1:15" ht="15" customHeight="1" x14ac:dyDescent="0.2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 s="1" t="str">
        <f t="shared" si="1"/>
        <v>Yes</v>
      </c>
      <c r="E69" s="1"/>
      <c r="F69" s="51">
        <v>2.0001956181533647</v>
      </c>
      <c r="G69" s="89">
        <f>Defaults!E69</f>
        <v>24</v>
      </c>
      <c r="H69" s="69">
        <v>4.0003912363067293</v>
      </c>
      <c r="I69" s="92">
        <f>Defaults!F69</f>
        <v>61.1</v>
      </c>
      <c r="J69" s="107">
        <f>Defaults!G69</f>
        <v>0.59499999999999997</v>
      </c>
      <c r="K69" s="12" t="s">
        <v>233</v>
      </c>
      <c r="L69" s="12"/>
      <c r="M69" s="12" t="s">
        <v>233</v>
      </c>
      <c r="N69" s="12"/>
      <c r="O69" s="17"/>
    </row>
    <row r="70" spans="1:15" ht="15" customHeight="1" x14ac:dyDescent="0.2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  <c r="D70" s="1" t="str">
        <f t="shared" ref="D70:D101" si="2">IF(ISBLANK(F70),"No","Yes")</f>
        <v>No</v>
      </c>
      <c r="E70" s="1"/>
      <c r="F70" s="51"/>
      <c r="H70" s="33"/>
      <c r="I70" s="1"/>
      <c r="O70" s="2"/>
    </row>
    <row r="71" spans="1:15" ht="15" customHeight="1" x14ac:dyDescent="0.2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  <c r="D71" s="1" t="str">
        <f t="shared" si="2"/>
        <v>No</v>
      </c>
      <c r="E71" s="1"/>
      <c r="F71" s="51"/>
      <c r="H71" s="33"/>
      <c r="I71" s="1"/>
      <c r="O71" s="2"/>
    </row>
    <row r="72" spans="1:15" ht="15" customHeight="1" x14ac:dyDescent="0.2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 s="1" t="str">
        <f t="shared" si="2"/>
        <v>Yes</v>
      </c>
      <c r="E72" s="1"/>
      <c r="F72" s="51">
        <v>1.9994986631016041</v>
      </c>
      <c r="G72" s="89">
        <f>Defaults!E72</f>
        <v>24</v>
      </c>
      <c r="H72" s="69">
        <v>3.9989973262032081</v>
      </c>
      <c r="I72" s="92">
        <f>Defaults!F72</f>
        <v>63.2</v>
      </c>
      <c r="J72" s="107">
        <f>Defaults!G72</f>
        <v>0.59499999999999997</v>
      </c>
      <c r="K72" s="12" t="s">
        <v>233</v>
      </c>
      <c r="L72" s="12"/>
      <c r="M72" s="12" t="s">
        <v>233</v>
      </c>
      <c r="N72" s="12"/>
      <c r="O72" s="17"/>
    </row>
    <row r="73" spans="1:15" ht="15" customHeight="1" x14ac:dyDescent="0.2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  <c r="D73" s="1" t="str">
        <f t="shared" si="2"/>
        <v>No</v>
      </c>
      <c r="E73" s="1"/>
      <c r="F73" s="51"/>
      <c r="H73" s="33"/>
      <c r="I73" s="1"/>
      <c r="O73" s="2"/>
    </row>
    <row r="74" spans="1:15" ht="15" customHeight="1" x14ac:dyDescent="0.2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 s="1" t="str">
        <f t="shared" si="2"/>
        <v>Yes</v>
      </c>
      <c r="E74" s="1"/>
      <c r="F74" s="51">
        <v>131.99427061709758</v>
      </c>
      <c r="G74" s="88"/>
      <c r="H74" s="69">
        <v>29.998697867522175</v>
      </c>
      <c r="I74" s="92">
        <f>Defaults!F74</f>
        <v>140</v>
      </c>
      <c r="J74" s="107">
        <f>Defaults!G74</f>
        <v>1.65</v>
      </c>
      <c r="K74" s="12" t="s">
        <v>241</v>
      </c>
      <c r="L74" s="12"/>
      <c r="M74" s="12" t="s">
        <v>241</v>
      </c>
      <c r="N74" s="53"/>
      <c r="O74" s="17"/>
    </row>
    <row r="75" spans="1:15" ht="15" customHeight="1" x14ac:dyDescent="0.2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  <c r="D75" s="1" t="str">
        <f t="shared" si="2"/>
        <v>No</v>
      </c>
      <c r="E75" s="1"/>
      <c r="F75" s="51"/>
      <c r="H75" s="33"/>
      <c r="I75" s="1"/>
      <c r="O75" s="2"/>
    </row>
    <row r="76" spans="1:15" ht="15" customHeight="1" x14ac:dyDescent="0.2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  <c r="D76" s="1" t="str">
        <f t="shared" si="2"/>
        <v>No</v>
      </c>
      <c r="E76" s="1"/>
      <c r="F76" s="51"/>
      <c r="H76" s="33"/>
      <c r="I76" s="1"/>
      <c r="O76" s="2"/>
    </row>
    <row r="77" spans="1:15" ht="15" customHeight="1" x14ac:dyDescent="0.2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 s="1" t="str">
        <f t="shared" si="2"/>
        <v>Yes</v>
      </c>
      <c r="E77" s="1"/>
      <c r="F77" s="51">
        <v>48.001155234657041</v>
      </c>
      <c r="G77" s="88"/>
      <c r="H77" s="68">
        <v>6.5296571480144401</v>
      </c>
      <c r="I77" s="92">
        <f>Defaults!F77</f>
        <v>450</v>
      </c>
      <c r="J77" s="107">
        <f>Defaults!G77</f>
        <v>6.09</v>
      </c>
      <c r="K77" s="12" t="s">
        <v>132</v>
      </c>
      <c r="L77" s="12"/>
      <c r="M77" s="12" t="s">
        <v>132</v>
      </c>
      <c r="N77" s="12"/>
      <c r="O77" s="17"/>
    </row>
    <row r="78" spans="1:15" ht="15" customHeight="1" x14ac:dyDescent="0.2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 s="1" t="str">
        <f t="shared" si="2"/>
        <v>Yes</v>
      </c>
      <c r="E78" s="1"/>
      <c r="F78" s="33">
        <v>0</v>
      </c>
      <c r="G78" s="88">
        <v>63</v>
      </c>
      <c r="H78" s="69">
        <v>5.0005739365293724</v>
      </c>
      <c r="I78" s="92">
        <f>Defaults!F78</f>
        <v>63.2</v>
      </c>
      <c r="J78" s="107">
        <f>Defaults!G78</f>
        <v>0.57999999999999996</v>
      </c>
      <c r="K78" s="12" t="s">
        <v>147</v>
      </c>
      <c r="L78" s="12"/>
      <c r="M78" s="12" t="s">
        <v>147</v>
      </c>
      <c r="N78" s="12"/>
      <c r="O78" s="54"/>
    </row>
    <row r="79" spans="1:15" ht="15" customHeight="1" x14ac:dyDescent="0.2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 s="1" t="str">
        <f t="shared" si="2"/>
        <v>Yes</v>
      </c>
      <c r="E79" s="1"/>
      <c r="F79" s="33">
        <v>0</v>
      </c>
      <c r="G79" s="89">
        <f>Defaults!E79</f>
        <v>63</v>
      </c>
      <c r="H79" s="69">
        <v>4.9996763754045306</v>
      </c>
      <c r="I79" s="92">
        <f>Defaults!F79</f>
        <v>63.2</v>
      </c>
      <c r="J79" s="108">
        <v>0.57999999999999996</v>
      </c>
      <c r="K79" s="12" t="s">
        <v>147</v>
      </c>
      <c r="L79" s="12"/>
      <c r="M79" s="12" t="s">
        <v>147</v>
      </c>
      <c r="N79" s="12"/>
      <c r="O79" s="54"/>
    </row>
    <row r="80" spans="1:15" ht="15" customHeight="1" x14ac:dyDescent="0.2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  <c r="D80" s="1" t="str">
        <f t="shared" si="2"/>
        <v>No</v>
      </c>
      <c r="E80" s="1"/>
      <c r="F80" s="33"/>
      <c r="H80" s="33"/>
      <c r="I80" s="1"/>
      <c r="O80" s="2"/>
    </row>
    <row r="81" spans="1:15" ht="15" customHeight="1" x14ac:dyDescent="0.2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  <c r="D81" s="1" t="str">
        <f t="shared" si="2"/>
        <v>No</v>
      </c>
      <c r="E81" s="1"/>
      <c r="F81" s="33"/>
      <c r="H81" s="33"/>
      <c r="I81" s="1"/>
      <c r="O81" s="2"/>
    </row>
    <row r="82" spans="1:15" ht="15" customHeight="1" x14ac:dyDescent="0.2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  <c r="D82" s="1" t="str">
        <f t="shared" si="2"/>
        <v>No</v>
      </c>
      <c r="E82" s="1"/>
      <c r="F82" s="33"/>
      <c r="H82" s="33"/>
      <c r="I82" s="1"/>
      <c r="O82" s="2"/>
    </row>
    <row r="83" spans="1:15" ht="15" customHeight="1" x14ac:dyDescent="0.2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 s="1" t="str">
        <f t="shared" si="2"/>
        <v>Yes</v>
      </c>
      <c r="E83" s="1"/>
      <c r="F83" s="116">
        <v>41</v>
      </c>
      <c r="G83" s="88"/>
      <c r="H83" s="69">
        <v>6</v>
      </c>
      <c r="I83" s="92">
        <f>Defaults!F83</f>
        <v>450</v>
      </c>
      <c r="J83" s="107">
        <f>Defaults!G83</f>
        <v>6.09</v>
      </c>
      <c r="K83" s="12" t="s">
        <v>251</v>
      </c>
      <c r="L83" s="12"/>
      <c r="M83" s="12" t="s">
        <v>251</v>
      </c>
      <c r="N83" s="53"/>
      <c r="O83" s="17"/>
    </row>
    <row r="84" spans="1:15" ht="15" customHeight="1" x14ac:dyDescent="0.2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  <c r="D84" s="1" t="str">
        <f t="shared" si="2"/>
        <v>No</v>
      </c>
      <c r="E84" s="1"/>
      <c r="F84" s="33"/>
      <c r="H84" s="33"/>
      <c r="I84" s="1"/>
      <c r="O84" s="2"/>
    </row>
    <row r="85" spans="1:15" ht="15" customHeight="1" x14ac:dyDescent="0.2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  <c r="D85" s="1" t="str">
        <f t="shared" si="2"/>
        <v>No</v>
      </c>
      <c r="E85" s="1"/>
      <c r="F85" s="33"/>
      <c r="H85" s="33"/>
      <c r="I85" s="1"/>
      <c r="O85" s="2"/>
    </row>
    <row r="86" spans="1:15" ht="15" customHeight="1" x14ac:dyDescent="0.2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 s="1" t="str">
        <f t="shared" si="2"/>
        <v>Yes</v>
      </c>
      <c r="E86" s="1"/>
      <c r="F86" s="33">
        <v>101</v>
      </c>
      <c r="G86" s="88"/>
      <c r="H86" s="71">
        <v>40.999999999999993</v>
      </c>
      <c r="I86" s="92">
        <f>Defaults!F86</f>
        <v>135.5</v>
      </c>
      <c r="J86" s="107">
        <f>Defaults!G86</f>
        <v>2.13</v>
      </c>
      <c r="K86" s="12" t="s">
        <v>147</v>
      </c>
      <c r="L86" s="12"/>
      <c r="M86" s="12" t="s">
        <v>147</v>
      </c>
      <c r="N86" s="12"/>
      <c r="O86" s="54"/>
    </row>
    <row r="87" spans="1:15" ht="15" customHeight="1" x14ac:dyDescent="0.2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 s="1" t="str">
        <f t="shared" si="2"/>
        <v>Yes</v>
      </c>
      <c r="E87" s="1"/>
      <c r="F87" s="51">
        <v>17.999882715781244</v>
      </c>
      <c r="G87" s="88"/>
      <c r="H87" s="69"/>
      <c r="I87" s="92">
        <f>Defaults!F87</f>
        <v>140</v>
      </c>
      <c r="J87" s="107">
        <f>Defaults!G87</f>
        <v>1.65</v>
      </c>
      <c r="K87" s="12" t="s">
        <v>256</v>
      </c>
      <c r="L87" s="12"/>
      <c r="M87" s="12"/>
      <c r="N87" s="53"/>
      <c r="O87" s="17"/>
    </row>
    <row r="88" spans="1:15" ht="15" customHeight="1" x14ac:dyDescent="0.2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  <c r="D88" s="1" t="str">
        <f t="shared" si="2"/>
        <v>No</v>
      </c>
      <c r="E88" s="1"/>
      <c r="F88" s="51"/>
      <c r="H88" s="33"/>
      <c r="I88" s="1"/>
      <c r="O88" s="2"/>
    </row>
    <row r="89" spans="1:15" ht="15" customHeight="1" x14ac:dyDescent="0.2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  <c r="D89" s="1" t="str">
        <f t="shared" si="2"/>
        <v>No</v>
      </c>
      <c r="E89" s="1"/>
      <c r="F89" s="51"/>
      <c r="H89" s="33"/>
      <c r="I89" s="1"/>
      <c r="O89" s="2"/>
    </row>
    <row r="90" spans="1:15" ht="15" customHeight="1" x14ac:dyDescent="0.2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" t="str">
        <f t="shared" si="2"/>
        <v>Yes</v>
      </c>
      <c r="E90" s="1"/>
      <c r="F90" s="75">
        <v>147</v>
      </c>
      <c r="H90" s="69">
        <v>28.898261877172654</v>
      </c>
      <c r="I90" s="101">
        <f>Defaults!F90</f>
        <v>60</v>
      </c>
      <c r="J90" s="115">
        <f>Defaults!G90</f>
        <v>0.35900000000000004</v>
      </c>
      <c r="O90" s="2"/>
    </row>
    <row r="91" spans="1:15" ht="15" customHeight="1" x14ac:dyDescent="0.2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 s="1" t="str">
        <f t="shared" si="2"/>
        <v>Yes</v>
      </c>
      <c r="E91" s="1">
        <f>Defaults!D91</f>
        <v>10</v>
      </c>
      <c r="F91" s="51">
        <v>147</v>
      </c>
      <c r="G91" s="88"/>
      <c r="H91" s="69">
        <v>16</v>
      </c>
      <c r="I91" s="92">
        <f>Defaults!F91</f>
        <v>60</v>
      </c>
      <c r="J91" s="107">
        <f>Defaults!G91</f>
        <v>0.26</v>
      </c>
      <c r="K91" s="12" t="s">
        <v>262</v>
      </c>
      <c r="L91" s="12"/>
      <c r="M91" s="12" t="s">
        <v>262</v>
      </c>
      <c r="N91" s="12"/>
      <c r="O91" s="54"/>
    </row>
    <row r="92" spans="1:15" ht="15" customHeight="1" x14ac:dyDescent="0.2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 s="1" t="str">
        <f t="shared" si="2"/>
        <v>Yes</v>
      </c>
      <c r="E92" s="1">
        <f>Defaults!D92</f>
        <v>90</v>
      </c>
      <c r="F92" s="51">
        <v>147</v>
      </c>
      <c r="G92" s="88"/>
      <c r="H92" s="69">
        <v>16</v>
      </c>
      <c r="I92" s="92">
        <f>Defaults!F92</f>
        <v>60</v>
      </c>
      <c r="J92" s="107">
        <f>Defaults!G92</f>
        <v>0.37</v>
      </c>
      <c r="K92" s="12" t="s">
        <v>262</v>
      </c>
      <c r="L92" s="12"/>
      <c r="M92" s="12" t="s">
        <v>262</v>
      </c>
      <c r="N92" s="12"/>
      <c r="O92" s="54"/>
    </row>
    <row r="93" spans="1:15" ht="15" customHeight="1" x14ac:dyDescent="0.2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 s="1" t="str">
        <f t="shared" si="2"/>
        <v>Yes</v>
      </c>
      <c r="E93" s="1"/>
      <c r="F93" s="51">
        <v>100</v>
      </c>
      <c r="G93" s="88"/>
      <c r="H93" s="68">
        <v>12.5</v>
      </c>
      <c r="I93" s="92">
        <f>Defaults!F93</f>
        <v>300</v>
      </c>
      <c r="J93" s="107">
        <f>Defaults!G93</f>
        <v>2.25</v>
      </c>
      <c r="K93" s="12" t="s">
        <v>265</v>
      </c>
      <c r="L93" s="12"/>
      <c r="M93" s="12" t="s">
        <v>265</v>
      </c>
      <c r="N93" s="12"/>
      <c r="O93" s="54"/>
    </row>
    <row r="94" spans="1:15" ht="15" customHeight="1" x14ac:dyDescent="0.2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  <c r="D94" s="1" t="str">
        <f t="shared" si="2"/>
        <v>No</v>
      </c>
      <c r="E94" s="1"/>
      <c r="F94" s="51"/>
      <c r="H94" s="33"/>
      <c r="I94" s="1"/>
      <c r="O94" s="2"/>
    </row>
    <row r="95" spans="1:15" ht="15" customHeight="1" x14ac:dyDescent="0.2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 s="1" t="str">
        <f t="shared" si="2"/>
        <v>Yes</v>
      </c>
      <c r="E95" s="1"/>
      <c r="F95" s="51">
        <v>95.003821656050945</v>
      </c>
      <c r="G95" s="88"/>
      <c r="H95" s="69">
        <v>7.0002815957090174</v>
      </c>
      <c r="I95" s="92">
        <f>Defaults!F95</f>
        <v>68.7</v>
      </c>
      <c r="J95" s="107">
        <f>Defaults!G95</f>
        <v>0.94</v>
      </c>
      <c r="K95" s="12" t="s">
        <v>147</v>
      </c>
      <c r="L95" s="12"/>
      <c r="M95" s="12" t="s">
        <v>147</v>
      </c>
      <c r="N95" s="12"/>
      <c r="O95" s="54"/>
    </row>
    <row r="96" spans="1:15" ht="15" customHeight="1" x14ac:dyDescent="0.2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  <c r="D96" s="1" t="str">
        <f t="shared" si="2"/>
        <v>No</v>
      </c>
      <c r="E96" s="1"/>
      <c r="F96" s="51"/>
      <c r="H96" s="33"/>
      <c r="I96" s="1"/>
      <c r="O96" s="2"/>
    </row>
    <row r="97" spans="1:15" ht="15" customHeight="1" x14ac:dyDescent="0.2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 s="1" t="str">
        <f t="shared" si="2"/>
        <v>Yes</v>
      </c>
      <c r="E97" s="1"/>
      <c r="F97" s="51">
        <v>99.990651635963701</v>
      </c>
      <c r="G97" s="88"/>
      <c r="H97" s="69">
        <v>12.998784712675281</v>
      </c>
      <c r="I97" s="92">
        <f>Defaults!F97</f>
        <v>450</v>
      </c>
      <c r="J97" s="107">
        <f>Defaults!G97</f>
        <v>6.09</v>
      </c>
      <c r="K97" s="12" t="s">
        <v>270</v>
      </c>
      <c r="L97" s="12"/>
      <c r="M97" s="12" t="s">
        <v>270</v>
      </c>
      <c r="N97" s="53"/>
      <c r="O97" s="17"/>
    </row>
    <row r="98" spans="1:15" ht="15" customHeight="1" x14ac:dyDescent="0.2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  <c r="D98" s="1" t="str">
        <f t="shared" si="2"/>
        <v>No</v>
      </c>
      <c r="E98" s="1"/>
      <c r="F98" s="51"/>
      <c r="H98" s="33"/>
      <c r="I98" s="1"/>
      <c r="O98" s="2"/>
    </row>
    <row r="99" spans="1:15" ht="15" customHeight="1" x14ac:dyDescent="0.2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 s="1" t="str">
        <f t="shared" si="2"/>
        <v>Yes</v>
      </c>
      <c r="E99" s="1"/>
      <c r="F99" s="51">
        <v>44.998221845893312</v>
      </c>
      <c r="G99" s="88"/>
      <c r="H99" s="69">
        <v>8.999644369178661</v>
      </c>
      <c r="I99" s="92">
        <f>Defaults!F99</f>
        <v>140</v>
      </c>
      <c r="J99" s="107">
        <f>Defaults!G99</f>
        <v>1.65</v>
      </c>
      <c r="K99" s="12" t="s">
        <v>256</v>
      </c>
      <c r="L99" s="12"/>
      <c r="M99" s="12" t="s">
        <v>273</v>
      </c>
      <c r="N99" s="53"/>
      <c r="O99" s="17"/>
    </row>
    <row r="100" spans="1:15" ht="15" customHeight="1" x14ac:dyDescent="0.2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 s="1" t="str">
        <f t="shared" si="2"/>
        <v>Yes</v>
      </c>
      <c r="E100" s="1"/>
      <c r="F100" s="51">
        <v>32.999338097028954</v>
      </c>
      <c r="G100" s="88"/>
      <c r="H100" s="69">
        <v>13.999719192678953</v>
      </c>
      <c r="I100" s="92">
        <f>Defaults!F100</f>
        <v>300</v>
      </c>
      <c r="J100" s="107">
        <f>Defaults!G100</f>
        <v>2.25</v>
      </c>
      <c r="K100" s="12" t="s">
        <v>275</v>
      </c>
      <c r="L100" s="12"/>
      <c r="M100" s="12" t="s">
        <v>275</v>
      </c>
      <c r="N100" s="12"/>
      <c r="O100" s="54"/>
    </row>
    <row r="101" spans="1:15" ht="15" customHeight="1" x14ac:dyDescent="0.2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 s="1" t="str">
        <f t="shared" si="2"/>
        <v>Yes</v>
      </c>
      <c r="E101" s="1"/>
      <c r="F101" s="51">
        <v>104.9996533509409</v>
      </c>
      <c r="G101" s="88"/>
      <c r="H101" s="69">
        <v>23.99992076592935</v>
      </c>
      <c r="I101" s="92">
        <f>Defaults!F101</f>
        <v>130</v>
      </c>
      <c r="J101" s="107">
        <f>Defaults!G101</f>
        <v>2.38</v>
      </c>
      <c r="K101" s="12" t="s">
        <v>147</v>
      </c>
      <c r="L101" s="12"/>
      <c r="M101" s="12" t="s">
        <v>147</v>
      </c>
      <c r="N101" s="12"/>
      <c r="O101" s="54"/>
    </row>
    <row r="102" spans="1:15" ht="15" customHeight="1" x14ac:dyDescent="0.2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  <c r="D102" s="1" t="str">
        <f t="shared" ref="D102:D118" si="3">IF(ISBLANK(F102),"No","Yes")</f>
        <v>No</v>
      </c>
      <c r="E102" s="1"/>
      <c r="F102" s="33"/>
      <c r="H102" s="33"/>
      <c r="I102" s="1"/>
      <c r="O102" s="2"/>
    </row>
    <row r="103" spans="1:15" ht="15" customHeight="1" x14ac:dyDescent="0.2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  <c r="D103" s="1" t="str">
        <f t="shared" si="3"/>
        <v>No</v>
      </c>
      <c r="E103" s="1"/>
      <c r="F103" s="33"/>
      <c r="H103" s="33"/>
      <c r="I103" s="1"/>
      <c r="O103" s="2"/>
    </row>
    <row r="104" spans="1:15" ht="15" customHeight="1" x14ac:dyDescent="0.2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  <c r="D104" s="1" t="str">
        <f t="shared" si="3"/>
        <v>No</v>
      </c>
      <c r="E104" s="1"/>
      <c r="F104" s="33"/>
      <c r="H104" s="33"/>
      <c r="I104" s="1"/>
      <c r="O104" s="2"/>
    </row>
    <row r="105" spans="1:15" ht="15" customHeight="1" x14ac:dyDescent="0.2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  <c r="D105" s="1" t="str">
        <f t="shared" si="3"/>
        <v>No</v>
      </c>
      <c r="E105" s="1"/>
      <c r="F105" s="33"/>
      <c r="H105" s="33"/>
      <c r="I105" s="1"/>
      <c r="O105" s="2"/>
    </row>
    <row r="106" spans="1:15" ht="15" customHeight="1" x14ac:dyDescent="0.2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" t="str">
        <f t="shared" si="3"/>
        <v>Yes</v>
      </c>
      <c r="E106" s="1">
        <f>Defaults!D106</f>
        <v>0</v>
      </c>
      <c r="F106" s="76">
        <v>1181</v>
      </c>
      <c r="G106" s="90"/>
      <c r="H106" s="51">
        <v>0</v>
      </c>
      <c r="I106" s="101">
        <f>Defaults!F106</f>
        <v>0</v>
      </c>
      <c r="J106" s="115">
        <f>Defaults!G106</f>
        <v>1.65</v>
      </c>
      <c r="K106" s="12"/>
      <c r="L106" s="12"/>
      <c r="M106" s="12"/>
      <c r="N106" s="12"/>
      <c r="O106" s="17"/>
    </row>
    <row r="107" spans="1:15" ht="15" customHeight="1" x14ac:dyDescent="0.2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 s="1" t="str">
        <f t="shared" si="3"/>
        <v>Yes</v>
      </c>
      <c r="E107" s="1">
        <f>Defaults!D107</f>
        <v>100</v>
      </c>
      <c r="F107" s="33">
        <v>1181</v>
      </c>
      <c r="G107" s="88"/>
      <c r="H107" s="68">
        <v>326.53131785066398</v>
      </c>
      <c r="I107" s="92">
        <f>Defaults!F107</f>
        <v>0</v>
      </c>
      <c r="J107" s="107">
        <f>Defaults!G107</f>
        <v>1.65</v>
      </c>
      <c r="K107" s="62" t="s">
        <v>284</v>
      </c>
      <c r="L107" s="12"/>
      <c r="M107" s="62" t="s">
        <v>284</v>
      </c>
      <c r="N107" s="12"/>
      <c r="O107" s="54"/>
    </row>
    <row r="108" spans="1:15" ht="15" customHeight="1" x14ac:dyDescent="0.2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  <c r="D108" s="1" t="str">
        <f t="shared" si="3"/>
        <v>No</v>
      </c>
      <c r="E108" s="1">
        <f>Defaults!D108</f>
        <v>0</v>
      </c>
      <c r="F108" s="33"/>
      <c r="G108" s="88"/>
      <c r="H108" s="68"/>
      <c r="I108" s="95"/>
      <c r="J108" s="108"/>
      <c r="O108" s="4"/>
    </row>
    <row r="109" spans="1:15" ht="15" customHeight="1" x14ac:dyDescent="0.2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 s="1" t="str">
        <f t="shared" si="3"/>
        <v>Yes</v>
      </c>
      <c r="E109" s="1"/>
      <c r="F109" s="51">
        <v>105.99222303741747</v>
      </c>
      <c r="G109" s="88"/>
      <c r="H109" s="69">
        <v>40.99699192956713</v>
      </c>
      <c r="I109" s="92">
        <f>Defaults!F109</f>
        <v>66.7</v>
      </c>
      <c r="J109" s="107">
        <f>Defaults!G109</f>
        <v>0.61</v>
      </c>
      <c r="K109" s="12" t="s">
        <v>147</v>
      </c>
      <c r="L109" s="12"/>
      <c r="M109" s="12" t="s">
        <v>147</v>
      </c>
      <c r="N109" s="12"/>
      <c r="O109" s="54"/>
    </row>
    <row r="110" spans="1:15" ht="15" customHeight="1" x14ac:dyDescent="0.2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  <c r="D110" s="1" t="str">
        <f t="shared" si="3"/>
        <v>No</v>
      </c>
      <c r="E110" s="1"/>
      <c r="F110" s="33"/>
      <c r="H110" s="33"/>
      <c r="I110" s="1"/>
      <c r="O110" s="2"/>
    </row>
    <row r="111" spans="1:15" ht="15" customHeight="1" x14ac:dyDescent="0.2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  <c r="D111" s="1" t="str">
        <f t="shared" si="3"/>
        <v>No</v>
      </c>
      <c r="E111" s="1"/>
      <c r="F111" s="33"/>
      <c r="H111" s="33"/>
      <c r="I111" s="1"/>
      <c r="O111" s="2"/>
    </row>
    <row r="112" spans="1:15" ht="15" customHeight="1" x14ac:dyDescent="0.2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  <c r="D112" s="1" t="str">
        <f t="shared" si="3"/>
        <v>No</v>
      </c>
      <c r="E112" s="1"/>
      <c r="F112" s="33"/>
      <c r="H112" s="33"/>
      <c r="I112" s="1"/>
      <c r="O112" s="2"/>
    </row>
    <row r="113" spans="1:15" ht="15" customHeight="1" x14ac:dyDescent="0.2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" t="str">
        <f t="shared" si="3"/>
        <v>No</v>
      </c>
      <c r="E113" s="1"/>
      <c r="F113" s="33"/>
      <c r="H113" s="33"/>
      <c r="I113" s="1"/>
      <c r="O113" s="2"/>
    </row>
    <row r="114" spans="1:15" ht="15" customHeight="1" x14ac:dyDescent="0.2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  <c r="D114" s="1" t="str">
        <f t="shared" si="3"/>
        <v>No</v>
      </c>
      <c r="E114" s="1"/>
      <c r="F114" s="33"/>
      <c r="H114" s="33"/>
      <c r="I114" s="1"/>
      <c r="O114" s="2"/>
    </row>
    <row r="115" spans="1:15" ht="15" customHeight="1" x14ac:dyDescent="0.2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  <c r="D115" s="1" t="str">
        <f t="shared" si="3"/>
        <v>No</v>
      </c>
      <c r="E115" s="1"/>
      <c r="F115" s="33"/>
      <c r="H115" s="33"/>
      <c r="I115" s="1"/>
      <c r="O115" s="2"/>
    </row>
    <row r="116" spans="1:15" ht="15" customHeight="1" x14ac:dyDescent="0.2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 s="1" t="str">
        <f t="shared" si="3"/>
        <v>Yes</v>
      </c>
      <c r="E116" s="1"/>
      <c r="F116" s="76">
        <v>153</v>
      </c>
      <c r="H116" s="33">
        <v>14</v>
      </c>
      <c r="I116" s="92">
        <f>Defaults!F116</f>
        <v>71</v>
      </c>
      <c r="J116" s="107">
        <f>Defaults!G116</f>
        <v>0.74</v>
      </c>
      <c r="K116" s="12"/>
      <c r="L116" s="12"/>
      <c r="M116" s="12"/>
      <c r="N116" s="12"/>
      <c r="O116" s="17"/>
    </row>
    <row r="117" spans="1:15" ht="15" customHeight="1" x14ac:dyDescent="0.2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 s="1" t="str">
        <f t="shared" si="3"/>
        <v>Yes</v>
      </c>
      <c r="E117" s="1">
        <f>Defaults!D117</f>
        <v>10</v>
      </c>
      <c r="F117" s="33">
        <v>99</v>
      </c>
      <c r="G117" s="88"/>
      <c r="H117" s="71">
        <v>15</v>
      </c>
      <c r="I117" s="92">
        <f>Defaults!F117</f>
        <v>71.900000000000006</v>
      </c>
      <c r="J117" s="107">
        <f>Defaults!G117</f>
        <v>0.42</v>
      </c>
      <c r="K117" s="12" t="s">
        <v>147</v>
      </c>
      <c r="L117" s="12"/>
      <c r="M117" s="12" t="s">
        <v>147</v>
      </c>
      <c r="N117" s="53"/>
      <c r="O117" s="54"/>
    </row>
    <row r="118" spans="1:15" ht="15" customHeight="1" x14ac:dyDescent="0.2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 s="1" t="str">
        <f t="shared" si="3"/>
        <v>Yes</v>
      </c>
      <c r="E118" s="1">
        <f>Defaults!D118</f>
        <v>90</v>
      </c>
      <c r="F118" s="33">
        <v>159</v>
      </c>
      <c r="G118" s="88"/>
      <c r="H118" s="71">
        <v>14</v>
      </c>
      <c r="I118" s="92">
        <f>Defaults!F118</f>
        <v>71.3</v>
      </c>
      <c r="J118" s="107">
        <f>Defaults!G118</f>
        <v>0.77</v>
      </c>
      <c r="K118" s="12" t="s">
        <v>147</v>
      </c>
      <c r="L118" s="12"/>
      <c r="M118" s="12" t="s">
        <v>147</v>
      </c>
      <c r="N118" s="53"/>
      <c r="O118" s="54"/>
    </row>
    <row r="119" spans="1:15" x14ac:dyDescent="0.2">
      <c r="I119" s="33"/>
      <c r="K119" s="12"/>
      <c r="L119" s="12"/>
      <c r="M119" s="12"/>
      <c r="N119" s="12"/>
      <c r="O119" s="17"/>
    </row>
    <row r="120" spans="1:15" x14ac:dyDescent="0.2">
      <c r="I120" s="33"/>
      <c r="K120" s="12"/>
      <c r="L120" s="12"/>
      <c r="M120" s="12"/>
      <c r="N120" s="12"/>
      <c r="O120" s="17"/>
    </row>
    <row r="121" spans="1:15" x14ac:dyDescent="0.2">
      <c r="I121" s="33"/>
      <c r="K121" s="12"/>
      <c r="L121" s="12"/>
      <c r="M121" s="12"/>
      <c r="N121" s="12"/>
      <c r="O121" s="17"/>
    </row>
    <row r="122" spans="1:15" x14ac:dyDescent="0.2">
      <c r="I122" s="33"/>
      <c r="K122" s="12"/>
      <c r="L122" s="12"/>
      <c r="M122" s="12"/>
      <c r="N122" s="12"/>
      <c r="O122" s="17"/>
    </row>
    <row r="123" spans="1:15" x14ac:dyDescent="0.2">
      <c r="I123" s="33"/>
      <c r="K123" s="12"/>
      <c r="L123" s="12"/>
      <c r="M123" s="12"/>
      <c r="N123" s="12"/>
      <c r="O123" s="17"/>
    </row>
    <row r="124" spans="1:15" x14ac:dyDescent="0.2">
      <c r="I124" s="33"/>
      <c r="K124" s="12"/>
      <c r="L124" s="12"/>
      <c r="M124" s="12"/>
      <c r="N124" s="12"/>
      <c r="O124" s="17"/>
    </row>
    <row r="125" spans="1:15" x14ac:dyDescent="0.2">
      <c r="I125" s="33"/>
      <c r="K125" s="12"/>
      <c r="L125" s="12"/>
      <c r="M125" s="12"/>
      <c r="N125" s="12"/>
      <c r="O125" s="17"/>
    </row>
    <row r="126" spans="1:15" x14ac:dyDescent="0.2">
      <c r="K126" s="12"/>
      <c r="L126" s="12"/>
      <c r="M126" s="12"/>
      <c r="N126" s="12"/>
      <c r="O126" s="17"/>
    </row>
    <row r="127" spans="1:15" x14ac:dyDescent="0.2">
      <c r="K127" s="12"/>
      <c r="L127" s="12"/>
      <c r="M127" s="12"/>
      <c r="N127" s="12"/>
      <c r="O127" s="17"/>
    </row>
    <row r="128" spans="1:15" x14ac:dyDescent="0.2">
      <c r="K128" s="12"/>
      <c r="L128" s="12"/>
      <c r="M128" s="12"/>
      <c r="N128" s="12"/>
      <c r="O128" s="17"/>
    </row>
    <row r="129" spans="15:15" x14ac:dyDescent="0.2">
      <c r="O129" s="2"/>
    </row>
    <row r="130" spans="15:15" x14ac:dyDescent="0.2">
      <c r="O130" s="2"/>
    </row>
    <row r="131" spans="15:15" x14ac:dyDescent="0.2">
      <c r="O131" s="2"/>
    </row>
    <row r="132" spans="15:15" x14ac:dyDescent="0.2">
      <c r="O132" s="2"/>
    </row>
    <row r="133" spans="15:15" x14ac:dyDescent="0.2">
      <c r="O133" s="2"/>
    </row>
    <row r="134" spans="15:15" x14ac:dyDescent="0.2">
      <c r="O134" s="2"/>
    </row>
    <row r="135" spans="15:15" x14ac:dyDescent="0.2">
      <c r="O135" s="2"/>
    </row>
    <row r="136" spans="15:15" x14ac:dyDescent="0.2">
      <c r="O136" s="2"/>
    </row>
    <row r="137" spans="15:15" x14ac:dyDescent="0.2">
      <c r="O137" s="2"/>
    </row>
    <row r="138" spans="15:15" x14ac:dyDescent="0.2">
      <c r="O138" s="2"/>
    </row>
    <row r="139" spans="15:15" x14ac:dyDescent="0.2">
      <c r="O139" s="2"/>
    </row>
    <row r="140" spans="15:15" x14ac:dyDescent="0.2">
      <c r="O140" s="2"/>
    </row>
    <row r="141" spans="15:15" x14ac:dyDescent="0.2">
      <c r="O141" s="2"/>
    </row>
    <row r="142" spans="15:15" x14ac:dyDescent="0.2">
      <c r="O142" s="2"/>
    </row>
    <row r="143" spans="15:15" x14ac:dyDescent="0.2">
      <c r="O143" s="2"/>
    </row>
    <row r="144" spans="15:15" x14ac:dyDescent="0.2">
      <c r="O144" s="2"/>
    </row>
    <row r="145" spans="15:15" x14ac:dyDescent="0.2">
      <c r="O145" s="2"/>
    </row>
    <row r="146" spans="15:15" x14ac:dyDescent="0.2">
      <c r="O146" s="2"/>
    </row>
    <row r="147" spans="15:15" x14ac:dyDescent="0.2">
      <c r="O147" s="2"/>
    </row>
    <row r="148" spans="15:15" x14ac:dyDescent="0.2">
      <c r="O148" s="2"/>
    </row>
    <row r="149" spans="15:15" x14ac:dyDescent="0.2">
      <c r="O149" s="2"/>
    </row>
    <row r="150" spans="15:15" x14ac:dyDescent="0.2">
      <c r="O150" s="2"/>
    </row>
    <row r="151" spans="15:15" x14ac:dyDescent="0.2">
      <c r="O151" s="2"/>
    </row>
    <row r="152" spans="15:15" x14ac:dyDescent="0.2">
      <c r="O152" s="2"/>
    </row>
    <row r="153" spans="15:15" x14ac:dyDescent="0.2">
      <c r="O153" s="2"/>
    </row>
    <row r="154" spans="15:15" x14ac:dyDescent="0.2">
      <c r="O154" s="2"/>
    </row>
    <row r="155" spans="15:15" x14ac:dyDescent="0.2">
      <c r="O155" s="2"/>
    </row>
    <row r="156" spans="15:15" x14ac:dyDescent="0.2">
      <c r="O156" s="2"/>
    </row>
    <row r="157" spans="15:15" x14ac:dyDescent="0.2">
      <c r="O157" s="2"/>
    </row>
    <row r="158" spans="15:15" x14ac:dyDescent="0.2">
      <c r="O158" s="2"/>
    </row>
    <row r="159" spans="15:15" x14ac:dyDescent="0.2">
      <c r="O159" s="2"/>
    </row>
    <row r="160" spans="15:15" x14ac:dyDescent="0.2">
      <c r="O160" s="2"/>
    </row>
    <row r="161" spans="15:15" x14ac:dyDescent="0.2">
      <c r="O161" s="2"/>
    </row>
    <row r="162" spans="15:15" x14ac:dyDescent="0.2">
      <c r="O162" s="2"/>
    </row>
    <row r="163" spans="15:15" x14ac:dyDescent="0.2">
      <c r="O163" s="2"/>
    </row>
    <row r="164" spans="15:15" x14ac:dyDescent="0.2">
      <c r="O164" s="2"/>
    </row>
    <row r="165" spans="15:15" x14ac:dyDescent="0.2">
      <c r="O165" s="2"/>
    </row>
    <row r="166" spans="15:15" x14ac:dyDescent="0.2">
      <c r="O166" s="2"/>
    </row>
    <row r="167" spans="15:15" x14ac:dyDescent="0.2">
      <c r="O167" s="2"/>
    </row>
    <row r="168" spans="15:15" x14ac:dyDescent="0.2">
      <c r="O168" s="2"/>
    </row>
    <row r="169" spans="15:15" x14ac:dyDescent="0.2">
      <c r="O169" s="2"/>
    </row>
    <row r="170" spans="15:15" x14ac:dyDescent="0.2">
      <c r="O170" s="2"/>
    </row>
    <row r="171" spans="15:15" x14ac:dyDescent="0.2">
      <c r="O171" s="2"/>
    </row>
    <row r="172" spans="15:15" x14ac:dyDescent="0.2">
      <c r="O172" s="2"/>
    </row>
    <row r="173" spans="15:15" x14ac:dyDescent="0.2">
      <c r="O173" s="2"/>
    </row>
    <row r="174" spans="15:15" x14ac:dyDescent="0.2">
      <c r="O174" s="2"/>
    </row>
    <row r="175" spans="15:15" x14ac:dyDescent="0.2">
      <c r="O175" s="2"/>
    </row>
    <row r="176" spans="15:15" x14ac:dyDescent="0.2">
      <c r="O176" s="2"/>
    </row>
    <row r="177" spans="15:15" x14ac:dyDescent="0.2">
      <c r="O177" s="2"/>
    </row>
    <row r="178" spans="15:15" x14ac:dyDescent="0.2">
      <c r="O178" s="2"/>
    </row>
    <row r="179" spans="15:15" x14ac:dyDescent="0.2">
      <c r="O179" s="2"/>
    </row>
    <row r="180" spans="15:15" x14ac:dyDescent="0.2">
      <c r="O180" s="2"/>
    </row>
    <row r="181" spans="15:15" x14ac:dyDescent="0.2">
      <c r="O181" s="2"/>
    </row>
    <row r="182" spans="15:15" x14ac:dyDescent="0.2">
      <c r="O182" s="2"/>
    </row>
    <row r="183" spans="15:15" x14ac:dyDescent="0.2">
      <c r="O183" s="2"/>
    </row>
    <row r="184" spans="15:15" x14ac:dyDescent="0.2">
      <c r="O184" s="2"/>
    </row>
    <row r="185" spans="15:15" x14ac:dyDescent="0.2">
      <c r="O185" s="2"/>
    </row>
    <row r="186" spans="15:15" x14ac:dyDescent="0.2">
      <c r="O186" s="2"/>
    </row>
    <row r="187" spans="15:15" x14ac:dyDescent="0.2">
      <c r="O187" s="2"/>
    </row>
    <row r="188" spans="15:15" x14ac:dyDescent="0.2">
      <c r="O188" s="2"/>
    </row>
    <row r="189" spans="15:15" x14ac:dyDescent="0.2">
      <c r="O189" s="2"/>
    </row>
    <row r="190" spans="15:15" x14ac:dyDescent="0.2">
      <c r="O190" s="2"/>
    </row>
    <row r="191" spans="15:15" x14ac:dyDescent="0.2">
      <c r="O191" s="2"/>
    </row>
    <row r="192" spans="15:15" x14ac:dyDescent="0.2">
      <c r="O192" s="2"/>
    </row>
    <row r="193" spans="15:15" x14ac:dyDescent="0.2">
      <c r="O193" s="2"/>
    </row>
    <row r="194" spans="15:15" x14ac:dyDescent="0.2">
      <c r="O194" s="2"/>
    </row>
    <row r="195" spans="15:15" x14ac:dyDescent="0.2">
      <c r="O195" s="2"/>
    </row>
    <row r="196" spans="15:15" x14ac:dyDescent="0.2">
      <c r="O196" s="2"/>
    </row>
    <row r="197" spans="15:15" x14ac:dyDescent="0.2">
      <c r="O197" s="2"/>
    </row>
    <row r="198" spans="15:15" x14ac:dyDescent="0.2">
      <c r="O198" s="2"/>
    </row>
    <row r="199" spans="15:15" x14ac:dyDescent="0.2">
      <c r="O199" s="2"/>
    </row>
    <row r="200" spans="15:15" x14ac:dyDescent="0.2">
      <c r="O200" s="2"/>
    </row>
    <row r="201" spans="15:15" x14ac:dyDescent="0.2">
      <c r="O201" s="2"/>
    </row>
    <row r="202" spans="15:15" x14ac:dyDescent="0.2">
      <c r="O202" s="2"/>
    </row>
    <row r="203" spans="15:15" x14ac:dyDescent="0.2">
      <c r="O203" s="2"/>
    </row>
    <row r="204" spans="15:15" x14ac:dyDescent="0.2">
      <c r="O204" s="2"/>
    </row>
    <row r="205" spans="15:15" x14ac:dyDescent="0.2">
      <c r="O205" s="2"/>
    </row>
    <row r="206" spans="15:15" x14ac:dyDescent="0.2">
      <c r="O206" s="2"/>
    </row>
    <row r="207" spans="15:15" x14ac:dyDescent="0.2">
      <c r="O207" s="2"/>
    </row>
    <row r="208" spans="15:15" x14ac:dyDescent="0.2">
      <c r="O208" s="2"/>
    </row>
    <row r="209" spans="15:15" x14ac:dyDescent="0.2">
      <c r="O209" s="2"/>
    </row>
    <row r="210" spans="15:15" x14ac:dyDescent="0.2">
      <c r="O210" s="2"/>
    </row>
    <row r="211" spans="15:15" x14ac:dyDescent="0.2">
      <c r="O211" s="2"/>
    </row>
    <row r="212" spans="15:15" x14ac:dyDescent="0.2">
      <c r="O212" s="2"/>
    </row>
    <row r="213" spans="15:15" x14ac:dyDescent="0.2">
      <c r="O213" s="2"/>
    </row>
    <row r="214" spans="15:15" x14ac:dyDescent="0.2">
      <c r="O214" s="2"/>
    </row>
    <row r="215" spans="15:15" x14ac:dyDescent="0.2">
      <c r="O215" s="2"/>
    </row>
    <row r="216" spans="15:15" x14ac:dyDescent="0.2">
      <c r="O216" s="2"/>
    </row>
    <row r="217" spans="15:15" x14ac:dyDescent="0.2">
      <c r="O217" s="2"/>
    </row>
    <row r="218" spans="15:15" x14ac:dyDescent="0.2">
      <c r="O218" s="2"/>
    </row>
    <row r="219" spans="15:15" x14ac:dyDescent="0.2">
      <c r="O219" s="2"/>
    </row>
    <row r="220" spans="15:15" x14ac:dyDescent="0.2">
      <c r="O220" s="2"/>
    </row>
    <row r="221" spans="15:15" x14ac:dyDescent="0.2">
      <c r="O221" s="2"/>
    </row>
    <row r="222" spans="15:15" x14ac:dyDescent="0.2">
      <c r="O222" s="2"/>
    </row>
    <row r="223" spans="15:15" x14ac:dyDescent="0.2">
      <c r="O223" s="2"/>
    </row>
    <row r="224" spans="15:15" x14ac:dyDescent="0.2">
      <c r="O224" s="2"/>
    </row>
    <row r="225" spans="15:15" x14ac:dyDescent="0.2">
      <c r="O225" s="2"/>
    </row>
    <row r="226" spans="15:15" x14ac:dyDescent="0.2">
      <c r="O226" s="2"/>
    </row>
    <row r="227" spans="15:15" x14ac:dyDescent="0.2">
      <c r="O227" s="2"/>
    </row>
    <row r="228" spans="15:15" x14ac:dyDescent="0.2">
      <c r="O228" s="2"/>
    </row>
    <row r="229" spans="15:15" x14ac:dyDescent="0.2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4089-7759-42A5-9D6C-37A3AA5CF3C0}">
  <sheetPr>
    <tabColor theme="9" tint="0.59999389629810485"/>
  </sheetPr>
  <dimension ref="A2:J229"/>
  <sheetViews>
    <sheetView zoomScale="80" zoomScaleNormal="80" workbookViewId="0">
      <selection activeCell="E11" sqref="E11"/>
    </sheetView>
  </sheetViews>
  <sheetFormatPr baseColWidth="10" defaultColWidth="8.6640625" defaultRowHeight="15" x14ac:dyDescent="0.2"/>
  <cols>
    <col min="1" max="1" width="8.6640625" style="6"/>
    <col min="2" max="2" width="22.33203125" style="1" customWidth="1"/>
    <col min="3" max="3" width="17.6640625" style="1" customWidth="1"/>
    <col min="4" max="4" width="6.33203125" customWidth="1"/>
    <col min="5" max="6" width="20.6640625" customWidth="1"/>
    <col min="7" max="7" width="20.6640625" style="1" customWidth="1"/>
    <col min="8" max="10" width="30.6640625" customWidth="1"/>
  </cols>
  <sheetData>
    <row r="2" spans="1:10" ht="21" x14ac:dyDescent="0.2">
      <c r="A2" s="5" t="s">
        <v>337</v>
      </c>
      <c r="D2" s="4"/>
      <c r="E2" s="4"/>
      <c r="F2" s="29"/>
      <c r="G2" s="97"/>
      <c r="H2" s="3"/>
    </row>
    <row r="3" spans="1:10" x14ac:dyDescent="0.2">
      <c r="A3" s="11"/>
      <c r="B3" s="11"/>
      <c r="C3" s="11"/>
      <c r="D3" s="77"/>
      <c r="E3" s="77"/>
      <c r="F3" s="11"/>
      <c r="G3" s="104"/>
    </row>
    <row r="4" spans="1:10" x14ac:dyDescent="0.2">
      <c r="A4" s="78" t="s">
        <v>1</v>
      </c>
      <c r="B4" s="79"/>
      <c r="C4" s="79"/>
      <c r="D4" s="80"/>
      <c r="E4" s="81" t="s">
        <v>340</v>
      </c>
      <c r="F4" s="81" t="s">
        <v>122</v>
      </c>
      <c r="G4" s="105" t="s">
        <v>2</v>
      </c>
      <c r="H4" s="42" t="s">
        <v>340</v>
      </c>
      <c r="I4" s="42" t="s">
        <v>122</v>
      </c>
      <c r="J4" s="43" t="s">
        <v>2</v>
      </c>
    </row>
    <row r="5" spans="1:10" s="7" customFormat="1" ht="33" customHeight="1" x14ac:dyDescent="0.2">
      <c r="A5" s="112" t="s">
        <v>3</v>
      </c>
      <c r="B5" s="82" t="s">
        <v>4</v>
      </c>
      <c r="C5" s="82" t="s">
        <v>5</v>
      </c>
      <c r="D5" s="83" t="s">
        <v>7</v>
      </c>
      <c r="E5" s="87" t="s">
        <v>123</v>
      </c>
      <c r="F5" s="84" t="s">
        <v>124</v>
      </c>
      <c r="G5" s="106" t="s">
        <v>341</v>
      </c>
      <c r="H5" s="48" t="s">
        <v>123</v>
      </c>
      <c r="I5" s="48" t="s">
        <v>124</v>
      </c>
      <c r="J5" s="49" t="s">
        <v>341</v>
      </c>
    </row>
    <row r="6" spans="1:10" ht="15" customHeight="1" x14ac:dyDescent="0.2">
      <c r="A6" s="6" t="s">
        <v>8</v>
      </c>
      <c r="B6" s="1" t="s">
        <v>126</v>
      </c>
      <c r="C6" s="1" t="s">
        <v>127</v>
      </c>
      <c r="F6" s="1"/>
      <c r="J6" s="2"/>
    </row>
    <row r="7" spans="1:10" ht="15" customHeight="1" x14ac:dyDescent="0.2">
      <c r="A7" s="6" t="s">
        <v>9</v>
      </c>
      <c r="B7" s="1" t="s">
        <v>128</v>
      </c>
      <c r="C7" s="30" t="s">
        <v>129</v>
      </c>
      <c r="F7" s="1"/>
      <c r="J7" s="2"/>
    </row>
    <row r="8" spans="1:10" ht="15" customHeight="1" x14ac:dyDescent="0.2">
      <c r="A8" s="6" t="s">
        <v>10</v>
      </c>
      <c r="B8" s="30" t="s">
        <v>130</v>
      </c>
      <c r="C8" s="30" t="s">
        <v>131</v>
      </c>
      <c r="D8" s="85"/>
      <c r="E8" s="8"/>
      <c r="F8" s="92">
        <v>450</v>
      </c>
      <c r="G8" s="107">
        <v>5.97</v>
      </c>
      <c r="H8" s="12"/>
      <c r="I8" s="53" t="s">
        <v>133</v>
      </c>
      <c r="J8" s="54" t="s">
        <v>134</v>
      </c>
    </row>
    <row r="9" spans="1:10" ht="15" customHeight="1" x14ac:dyDescent="0.2">
      <c r="A9" s="6" t="s">
        <v>11</v>
      </c>
      <c r="B9" s="30" t="s">
        <v>135</v>
      </c>
      <c r="C9" s="30" t="s">
        <v>131</v>
      </c>
      <c r="F9" s="1"/>
      <c r="I9" s="55"/>
      <c r="J9" s="2"/>
    </row>
    <row r="10" spans="1:10" ht="15" customHeight="1" x14ac:dyDescent="0.2">
      <c r="A10" s="6" t="s">
        <v>12</v>
      </c>
      <c r="B10" s="1" t="s">
        <v>136</v>
      </c>
      <c r="C10" s="30" t="s">
        <v>129</v>
      </c>
      <c r="F10" s="1"/>
      <c r="J10" s="2"/>
    </row>
    <row r="11" spans="1:10" ht="15" customHeight="1" x14ac:dyDescent="0.2">
      <c r="A11" s="6" t="s">
        <v>13</v>
      </c>
      <c r="B11" s="30" t="s">
        <v>137</v>
      </c>
      <c r="C11" s="30" t="s">
        <v>129</v>
      </c>
      <c r="D11" s="85"/>
      <c r="E11" s="88"/>
      <c r="F11" s="93">
        <v>140</v>
      </c>
      <c r="G11" s="108">
        <v>1.65</v>
      </c>
      <c r="H11" s="12"/>
      <c r="I11" s="53" t="s">
        <v>139</v>
      </c>
      <c r="J11" s="54" t="s">
        <v>140</v>
      </c>
    </row>
    <row r="12" spans="1:10" ht="15" customHeight="1" x14ac:dyDescent="0.2">
      <c r="A12" s="6" t="s">
        <v>14</v>
      </c>
      <c r="B12" s="30" t="s">
        <v>141</v>
      </c>
      <c r="C12" s="30" t="s">
        <v>129</v>
      </c>
      <c r="D12" s="85"/>
      <c r="E12" s="58"/>
      <c r="F12" s="94"/>
      <c r="G12" s="109"/>
      <c r="J12" s="4"/>
    </row>
    <row r="13" spans="1:10" ht="15" customHeight="1" x14ac:dyDescent="0.2">
      <c r="A13" s="6" t="s">
        <v>15</v>
      </c>
      <c r="B13" s="30" t="s">
        <v>142</v>
      </c>
      <c r="C13" s="30" t="s">
        <v>131</v>
      </c>
      <c r="F13" s="1"/>
      <c r="I13" s="58"/>
      <c r="J13" s="2"/>
    </row>
    <row r="14" spans="1:10" ht="15" customHeight="1" x14ac:dyDescent="0.2">
      <c r="A14" s="6" t="s">
        <v>16</v>
      </c>
      <c r="B14" s="30" t="s">
        <v>143</v>
      </c>
      <c r="C14" s="30" t="s">
        <v>144</v>
      </c>
      <c r="F14" s="99">
        <v>69.7</v>
      </c>
      <c r="G14" s="100">
        <v>0.52</v>
      </c>
      <c r="H14" s="12"/>
      <c r="I14" s="59"/>
      <c r="J14" s="17"/>
    </row>
    <row r="15" spans="1:10" ht="15" customHeight="1" x14ac:dyDescent="0.2">
      <c r="A15" s="6" t="s">
        <v>17</v>
      </c>
      <c r="B15" s="30" t="s">
        <v>145</v>
      </c>
      <c r="C15" s="30" t="s">
        <v>146</v>
      </c>
      <c r="D15">
        <v>90</v>
      </c>
      <c r="E15" s="8"/>
      <c r="F15" s="95">
        <v>70</v>
      </c>
      <c r="G15" s="108">
        <v>0.47</v>
      </c>
      <c r="H15" s="12"/>
      <c r="I15" s="53" t="s">
        <v>148</v>
      </c>
      <c r="J15" s="54" t="s">
        <v>134</v>
      </c>
    </row>
    <row r="16" spans="1:10" ht="15" customHeight="1" x14ac:dyDescent="0.2">
      <c r="A16" s="6" t="s">
        <v>18</v>
      </c>
      <c r="B16" s="30" t="s">
        <v>149</v>
      </c>
      <c r="C16" s="30" t="s">
        <v>146</v>
      </c>
      <c r="D16">
        <v>10</v>
      </c>
      <c r="E16" s="9"/>
      <c r="F16" s="95">
        <v>66.7</v>
      </c>
      <c r="G16" s="108">
        <v>1</v>
      </c>
      <c r="H16" s="12"/>
      <c r="I16" s="53" t="s">
        <v>148</v>
      </c>
      <c r="J16" s="54" t="s">
        <v>134</v>
      </c>
    </row>
    <row r="17" spans="1:10" ht="15" customHeight="1" x14ac:dyDescent="0.2">
      <c r="A17" s="6" t="s">
        <v>19</v>
      </c>
      <c r="B17" s="30" t="s">
        <v>150</v>
      </c>
      <c r="C17" s="30" t="s">
        <v>151</v>
      </c>
      <c r="D17" s="85"/>
      <c r="E17" s="89">
        <v>25</v>
      </c>
      <c r="F17" s="93">
        <v>65</v>
      </c>
      <c r="G17" s="107">
        <v>1.1000000000000001</v>
      </c>
      <c r="H17" s="12" t="s">
        <v>153</v>
      </c>
      <c r="I17" s="12" t="s">
        <v>154</v>
      </c>
      <c r="J17" s="54" t="s">
        <v>152</v>
      </c>
    </row>
    <row r="18" spans="1:10" ht="15" customHeight="1" x14ac:dyDescent="0.2">
      <c r="A18" s="6" t="s">
        <v>20</v>
      </c>
      <c r="B18" s="30" t="s">
        <v>155</v>
      </c>
      <c r="C18" s="30" t="s">
        <v>156</v>
      </c>
      <c r="D18" s="85"/>
      <c r="E18" s="58"/>
      <c r="F18" s="94"/>
      <c r="G18" s="109"/>
      <c r="I18" s="61"/>
      <c r="J18" s="4"/>
    </row>
    <row r="19" spans="1:10" ht="15" customHeight="1" x14ac:dyDescent="0.2">
      <c r="A19" s="6" t="s">
        <v>21</v>
      </c>
      <c r="B19" s="30" t="s">
        <v>157</v>
      </c>
      <c r="C19" s="30" t="s">
        <v>127</v>
      </c>
      <c r="F19" s="1"/>
      <c r="I19" s="58"/>
      <c r="J19" s="2"/>
    </row>
    <row r="20" spans="1:10" ht="15" customHeight="1" x14ac:dyDescent="0.2">
      <c r="A20" s="6" t="s">
        <v>22</v>
      </c>
      <c r="B20" s="30" t="s">
        <v>158</v>
      </c>
      <c r="C20" s="30" t="s">
        <v>159</v>
      </c>
      <c r="D20" s="85"/>
      <c r="E20" s="89">
        <v>24</v>
      </c>
      <c r="F20" s="93">
        <v>63.2</v>
      </c>
      <c r="G20" s="107">
        <v>0.61</v>
      </c>
      <c r="H20" s="12" t="s">
        <v>160</v>
      </c>
      <c r="I20" s="53" t="s">
        <v>148</v>
      </c>
      <c r="J20" s="54" t="s">
        <v>134</v>
      </c>
    </row>
    <row r="21" spans="1:10" ht="15" customHeight="1" x14ac:dyDescent="0.2">
      <c r="A21" s="6" t="s">
        <v>23</v>
      </c>
      <c r="B21" s="30" t="s">
        <v>162</v>
      </c>
      <c r="C21" s="30" t="s">
        <v>129</v>
      </c>
      <c r="D21" s="85"/>
      <c r="E21" s="58"/>
      <c r="F21" s="94"/>
      <c r="G21" s="109"/>
      <c r="I21" s="55"/>
      <c r="J21" s="4"/>
    </row>
    <row r="22" spans="1:10" ht="15" customHeight="1" x14ac:dyDescent="0.2">
      <c r="A22" s="6" t="s">
        <v>24</v>
      </c>
      <c r="B22" s="30" t="s">
        <v>163</v>
      </c>
      <c r="C22" s="30" t="s">
        <v>129</v>
      </c>
      <c r="D22">
        <v>40</v>
      </c>
      <c r="E22" s="89"/>
      <c r="F22" s="93">
        <v>140</v>
      </c>
      <c r="G22" s="108">
        <v>1.65</v>
      </c>
      <c r="H22" s="12"/>
      <c r="I22" s="12" t="s">
        <v>148</v>
      </c>
      <c r="J22" s="54" t="s">
        <v>140</v>
      </c>
    </row>
    <row r="23" spans="1:10" ht="15" customHeight="1" x14ac:dyDescent="0.2">
      <c r="A23" s="6" t="s">
        <v>25</v>
      </c>
      <c r="B23" s="30" t="s">
        <v>165</v>
      </c>
      <c r="C23" s="30" t="s">
        <v>166</v>
      </c>
      <c r="F23" s="1"/>
    </row>
    <row r="24" spans="1:10" ht="15" customHeight="1" x14ac:dyDescent="0.2">
      <c r="A24" s="6" t="s">
        <v>26</v>
      </c>
      <c r="B24" s="30" t="s">
        <v>167</v>
      </c>
      <c r="C24" s="30" t="s">
        <v>129</v>
      </c>
      <c r="E24" s="88"/>
      <c r="F24" s="95">
        <v>140</v>
      </c>
      <c r="G24" s="108">
        <v>1.65</v>
      </c>
      <c r="I24" s="12" t="s">
        <v>148</v>
      </c>
      <c r="J24" s="17" t="s">
        <v>140</v>
      </c>
    </row>
    <row r="25" spans="1:10" ht="15" customHeight="1" x14ac:dyDescent="0.2">
      <c r="A25" s="6" t="s">
        <v>27</v>
      </c>
      <c r="B25" s="30" t="s">
        <v>168</v>
      </c>
      <c r="C25" s="30" t="s">
        <v>131</v>
      </c>
      <c r="D25" s="85"/>
      <c r="F25" s="1"/>
    </row>
    <row r="26" spans="1:10" ht="15" customHeight="1" x14ac:dyDescent="0.2">
      <c r="A26" s="6" t="s">
        <v>28</v>
      </c>
      <c r="B26" s="30" t="s">
        <v>169</v>
      </c>
      <c r="C26" s="30" t="s">
        <v>129</v>
      </c>
      <c r="E26" s="89"/>
      <c r="F26" s="93">
        <v>140</v>
      </c>
      <c r="G26" s="107">
        <v>2.23</v>
      </c>
      <c r="H26" s="12"/>
      <c r="I26" s="12" t="s">
        <v>148</v>
      </c>
      <c r="J26" s="54" t="s">
        <v>134</v>
      </c>
    </row>
    <row r="27" spans="1:10" ht="15" customHeight="1" x14ac:dyDescent="0.2">
      <c r="A27" s="6" t="s">
        <v>29</v>
      </c>
      <c r="B27" s="1" t="s">
        <v>171</v>
      </c>
      <c r="C27" s="30" t="s">
        <v>127</v>
      </c>
      <c r="F27" s="1"/>
    </row>
    <row r="28" spans="1:10" ht="15" customHeight="1" x14ac:dyDescent="0.2">
      <c r="A28" s="6" t="s">
        <v>30</v>
      </c>
      <c r="B28" s="30" t="s">
        <v>172</v>
      </c>
      <c r="C28" s="30" t="s">
        <v>129</v>
      </c>
      <c r="D28">
        <v>60</v>
      </c>
      <c r="E28" s="89"/>
      <c r="F28" s="93">
        <v>140</v>
      </c>
      <c r="G28" s="108">
        <v>1.65</v>
      </c>
      <c r="H28" s="12"/>
      <c r="I28" s="12" t="s">
        <v>148</v>
      </c>
      <c r="J28" s="54" t="s">
        <v>140</v>
      </c>
    </row>
    <row r="29" spans="1:10" ht="15" customHeight="1" x14ac:dyDescent="0.2">
      <c r="A29" s="6" t="s">
        <v>31</v>
      </c>
      <c r="B29" s="1" t="s">
        <v>173</v>
      </c>
      <c r="C29" s="30" t="s">
        <v>129</v>
      </c>
      <c r="E29" s="90"/>
      <c r="F29" s="100">
        <v>140</v>
      </c>
      <c r="G29" s="100">
        <v>1.65</v>
      </c>
      <c r="H29" s="12"/>
      <c r="I29" s="12"/>
      <c r="J29" s="17"/>
    </row>
    <row r="30" spans="1:10" ht="15" customHeight="1" x14ac:dyDescent="0.2">
      <c r="A30" s="6" t="s">
        <v>32</v>
      </c>
      <c r="B30" s="30" t="s">
        <v>174</v>
      </c>
      <c r="C30" s="30" t="s">
        <v>146</v>
      </c>
      <c r="F30" s="1"/>
      <c r="J30" s="2"/>
    </row>
    <row r="31" spans="1:10" ht="15" customHeight="1" x14ac:dyDescent="0.2">
      <c r="A31" s="6" t="s">
        <v>33</v>
      </c>
      <c r="B31" s="30" t="s">
        <v>175</v>
      </c>
      <c r="C31" s="30" t="s">
        <v>156</v>
      </c>
      <c r="D31" s="85"/>
      <c r="E31" s="58"/>
      <c r="F31" s="94"/>
      <c r="G31" s="109"/>
      <c r="J31" s="4"/>
    </row>
    <row r="32" spans="1:10" ht="15" customHeight="1" x14ac:dyDescent="0.2">
      <c r="A32" s="6" t="s">
        <v>34</v>
      </c>
      <c r="B32" s="30" t="s">
        <v>176</v>
      </c>
      <c r="C32" s="30" t="s">
        <v>127</v>
      </c>
      <c r="D32" s="85"/>
      <c r="E32" s="58"/>
      <c r="F32" s="94"/>
      <c r="G32" s="109"/>
      <c r="J32" s="4"/>
    </row>
    <row r="33" spans="1:10" ht="15" customHeight="1" x14ac:dyDescent="0.2">
      <c r="A33" s="6" t="s">
        <v>35</v>
      </c>
      <c r="B33" s="30" t="s">
        <v>177</v>
      </c>
      <c r="C33" s="30" t="s">
        <v>151</v>
      </c>
      <c r="F33" s="1"/>
      <c r="J33" s="2"/>
    </row>
    <row r="34" spans="1:10" ht="15" customHeight="1" x14ac:dyDescent="0.2">
      <c r="A34" s="6" t="s">
        <v>36</v>
      </c>
      <c r="B34" s="30" t="s">
        <v>178</v>
      </c>
      <c r="C34" s="30" t="s">
        <v>179</v>
      </c>
      <c r="F34" s="1"/>
      <c r="J34" s="2"/>
    </row>
    <row r="35" spans="1:10" ht="15" customHeight="1" x14ac:dyDescent="0.2">
      <c r="A35" s="6" t="s">
        <v>37</v>
      </c>
      <c r="B35" s="1" t="s">
        <v>180</v>
      </c>
      <c r="C35" s="1" t="s">
        <v>181</v>
      </c>
      <c r="F35" s="1"/>
      <c r="J35" s="2"/>
    </row>
    <row r="36" spans="1:10" ht="15" customHeight="1" x14ac:dyDescent="0.2">
      <c r="A36" s="6" t="s">
        <v>38</v>
      </c>
      <c r="B36" s="1" t="s">
        <v>182</v>
      </c>
      <c r="C36" s="1" t="s">
        <v>127</v>
      </c>
      <c r="F36" s="1"/>
      <c r="J36" s="2"/>
    </row>
    <row r="37" spans="1:10" ht="15" customHeight="1" x14ac:dyDescent="0.2">
      <c r="A37" s="6" t="s">
        <v>39</v>
      </c>
      <c r="B37" s="1" t="s">
        <v>183</v>
      </c>
      <c r="C37" s="1" t="s">
        <v>181</v>
      </c>
      <c r="F37" s="1"/>
      <c r="J37" s="2"/>
    </row>
    <row r="38" spans="1:10" ht="15" customHeight="1" x14ac:dyDescent="0.2">
      <c r="A38" s="6" t="s">
        <v>40</v>
      </c>
      <c r="B38" s="1" t="s">
        <v>184</v>
      </c>
      <c r="C38" s="1" t="s">
        <v>129</v>
      </c>
      <c r="E38" s="91"/>
      <c r="F38" s="99">
        <v>7</v>
      </c>
      <c r="G38" s="111">
        <v>1.65</v>
      </c>
      <c r="H38" s="12"/>
      <c r="I38" s="12"/>
      <c r="J38" s="17"/>
    </row>
    <row r="39" spans="1:10" ht="15" customHeight="1" x14ac:dyDescent="0.2">
      <c r="A39" s="6" t="s">
        <v>41</v>
      </c>
      <c r="B39" s="30" t="s">
        <v>186</v>
      </c>
      <c r="C39" s="30" t="s">
        <v>129</v>
      </c>
      <c r="D39">
        <v>95</v>
      </c>
      <c r="E39" s="89"/>
      <c r="F39" s="93">
        <v>0</v>
      </c>
      <c r="G39" s="108">
        <v>1.65</v>
      </c>
      <c r="H39" s="12"/>
      <c r="I39" s="12"/>
      <c r="J39" s="54" t="s">
        <v>140</v>
      </c>
    </row>
    <row r="40" spans="1:10" ht="15" customHeight="1" x14ac:dyDescent="0.2">
      <c r="A40" s="6" t="s">
        <v>42</v>
      </c>
      <c r="B40" s="30" t="s">
        <v>189</v>
      </c>
      <c r="C40" s="30" t="s">
        <v>129</v>
      </c>
      <c r="D40">
        <v>5</v>
      </c>
      <c r="E40" s="89"/>
      <c r="F40" s="93">
        <v>140</v>
      </c>
      <c r="G40" s="108">
        <v>1.65</v>
      </c>
      <c r="H40" s="12"/>
      <c r="I40" s="53" t="s">
        <v>139</v>
      </c>
      <c r="J40" s="54" t="s">
        <v>140</v>
      </c>
    </row>
    <row r="41" spans="1:10" ht="15" customHeight="1" x14ac:dyDescent="0.2">
      <c r="A41" s="6" t="s">
        <v>43</v>
      </c>
      <c r="B41" s="30" t="s">
        <v>190</v>
      </c>
      <c r="C41" s="30" t="s">
        <v>156</v>
      </c>
      <c r="D41" s="85"/>
      <c r="E41" s="8"/>
      <c r="F41" s="92">
        <v>300</v>
      </c>
      <c r="G41" s="108">
        <v>2.25</v>
      </c>
      <c r="H41" s="12"/>
      <c r="I41" s="53" t="s">
        <v>192</v>
      </c>
      <c r="J41" s="54" t="s">
        <v>193</v>
      </c>
    </row>
    <row r="42" spans="1:10" ht="15" customHeight="1" x14ac:dyDescent="0.2">
      <c r="A42" s="6" t="s">
        <v>44</v>
      </c>
      <c r="B42" s="1" t="s">
        <v>194</v>
      </c>
      <c r="C42" s="1" t="s">
        <v>131</v>
      </c>
      <c r="D42" s="85"/>
      <c r="E42" s="58"/>
      <c r="F42" s="96"/>
      <c r="G42" s="109"/>
      <c r="J42" s="4"/>
    </row>
    <row r="43" spans="1:10" ht="15" customHeight="1" x14ac:dyDescent="0.2">
      <c r="A43" s="6" t="s">
        <v>45</v>
      </c>
      <c r="B43" s="1" t="s">
        <v>195</v>
      </c>
      <c r="C43" s="1" t="s">
        <v>196</v>
      </c>
      <c r="D43" s="85"/>
      <c r="E43" s="55"/>
      <c r="F43" s="96"/>
      <c r="G43" s="109"/>
      <c r="J43" s="4"/>
    </row>
    <row r="44" spans="1:10" ht="15" customHeight="1" x14ac:dyDescent="0.2">
      <c r="A44" s="6" t="s">
        <v>46</v>
      </c>
      <c r="B44" s="30" t="s">
        <v>197</v>
      </c>
      <c r="C44" s="30" t="s">
        <v>129</v>
      </c>
      <c r="D44" s="85"/>
      <c r="E44" s="58"/>
      <c r="F44" s="94"/>
      <c r="G44" s="109"/>
      <c r="J44" s="4"/>
    </row>
    <row r="45" spans="1:10" ht="15" customHeight="1" x14ac:dyDescent="0.2">
      <c r="A45" s="6" t="s">
        <v>47</v>
      </c>
      <c r="B45" s="30" t="s">
        <v>198</v>
      </c>
      <c r="C45" s="30" t="s">
        <v>131</v>
      </c>
      <c r="D45" s="85"/>
      <c r="E45" s="55"/>
      <c r="F45" s="96"/>
      <c r="G45" s="109"/>
      <c r="J45" s="4"/>
    </row>
    <row r="46" spans="1:10" ht="15" customHeight="1" x14ac:dyDescent="0.2">
      <c r="A46" s="6" t="s">
        <v>48</v>
      </c>
      <c r="B46" s="30" t="s">
        <v>199</v>
      </c>
      <c r="C46" s="30" t="s">
        <v>156</v>
      </c>
      <c r="D46" s="86"/>
      <c r="E46" s="58"/>
      <c r="F46" s="94"/>
      <c r="G46" s="109"/>
      <c r="J46" s="4"/>
    </row>
    <row r="47" spans="1:10" ht="15" customHeight="1" x14ac:dyDescent="0.2">
      <c r="A47" s="6" t="s">
        <v>49</v>
      </c>
      <c r="B47" s="30" t="s">
        <v>200</v>
      </c>
      <c r="C47" s="30" t="s">
        <v>131</v>
      </c>
      <c r="D47" s="85"/>
      <c r="E47" s="8"/>
      <c r="F47" s="93">
        <v>450</v>
      </c>
      <c r="G47" s="107">
        <v>6.09</v>
      </c>
      <c r="H47" s="12"/>
      <c r="I47" s="53" t="s">
        <v>201</v>
      </c>
      <c r="J47" s="54" t="s">
        <v>202</v>
      </c>
    </row>
    <row r="48" spans="1:10" ht="15" customHeight="1" x14ac:dyDescent="0.2">
      <c r="A48" s="6" t="s">
        <v>50</v>
      </c>
      <c r="B48" s="30" t="s">
        <v>203</v>
      </c>
      <c r="C48" s="30" t="s">
        <v>129</v>
      </c>
      <c r="D48" s="85"/>
      <c r="E48" s="61"/>
      <c r="F48" s="97"/>
      <c r="G48" s="109"/>
      <c r="J48" s="4"/>
    </row>
    <row r="49" spans="1:10" ht="15" customHeight="1" x14ac:dyDescent="0.2">
      <c r="A49" s="6" t="s">
        <v>51</v>
      </c>
      <c r="B49" s="30" t="s">
        <v>204</v>
      </c>
      <c r="C49" s="30" t="s">
        <v>129</v>
      </c>
      <c r="D49" s="85"/>
      <c r="E49" s="8"/>
      <c r="F49" s="92">
        <v>140</v>
      </c>
      <c r="G49" s="108">
        <v>1.65</v>
      </c>
      <c r="H49" s="12"/>
      <c r="I49" s="53" t="s">
        <v>139</v>
      </c>
      <c r="J49" s="54" t="s">
        <v>140</v>
      </c>
    </row>
    <row r="50" spans="1:10" ht="15" customHeight="1" x14ac:dyDescent="0.2">
      <c r="A50" s="6" t="s">
        <v>52</v>
      </c>
      <c r="B50" s="1" t="s">
        <v>207</v>
      </c>
      <c r="C50" s="1" t="s">
        <v>127</v>
      </c>
      <c r="D50" s="85"/>
      <c r="E50" s="55"/>
      <c r="F50" s="96"/>
      <c r="G50" s="109"/>
      <c r="J50" s="4"/>
    </row>
    <row r="51" spans="1:10" ht="15" customHeight="1" x14ac:dyDescent="0.2">
      <c r="A51" s="6" t="s">
        <v>53</v>
      </c>
      <c r="B51" s="1" t="s">
        <v>208</v>
      </c>
      <c r="C51" s="1" t="s">
        <v>127</v>
      </c>
      <c r="D51" s="86"/>
      <c r="E51" s="58"/>
      <c r="F51" s="94"/>
      <c r="G51" s="109"/>
      <c r="J51" s="4"/>
    </row>
    <row r="52" spans="1:10" ht="15" customHeight="1" x14ac:dyDescent="0.2">
      <c r="A52" s="6" t="s">
        <v>54</v>
      </c>
      <c r="B52" s="1" t="s">
        <v>209</v>
      </c>
      <c r="C52" s="1" t="s">
        <v>131</v>
      </c>
      <c r="D52" s="86"/>
      <c r="E52" s="58"/>
      <c r="F52" s="94"/>
      <c r="G52" s="109"/>
      <c r="J52" s="4"/>
    </row>
    <row r="53" spans="1:10" ht="15" customHeight="1" x14ac:dyDescent="0.2">
      <c r="A53" s="6" t="s">
        <v>55</v>
      </c>
      <c r="B53" s="30" t="s">
        <v>210</v>
      </c>
      <c r="C53" s="30" t="s">
        <v>129</v>
      </c>
      <c r="D53" s="85"/>
      <c r="E53" s="8"/>
      <c r="F53" s="92">
        <v>140</v>
      </c>
      <c r="G53" s="108">
        <v>1.65</v>
      </c>
      <c r="H53" s="12"/>
      <c r="I53" s="53" t="s">
        <v>148</v>
      </c>
      <c r="J53" s="54" t="s">
        <v>140</v>
      </c>
    </row>
    <row r="54" spans="1:10" ht="15" customHeight="1" x14ac:dyDescent="0.2">
      <c r="A54" s="6" t="s">
        <v>56</v>
      </c>
      <c r="B54" s="30" t="s">
        <v>212</v>
      </c>
      <c r="C54" s="30" t="s">
        <v>131</v>
      </c>
      <c r="D54" s="86"/>
      <c r="E54" s="58"/>
      <c r="F54" s="94"/>
      <c r="G54" s="109"/>
      <c r="I54" s="55"/>
      <c r="J54" s="4"/>
    </row>
    <row r="55" spans="1:10" ht="15" customHeight="1" x14ac:dyDescent="0.2">
      <c r="A55" s="6" t="s">
        <v>57</v>
      </c>
      <c r="B55" s="1" t="s">
        <v>213</v>
      </c>
      <c r="C55" s="1" t="s">
        <v>151</v>
      </c>
      <c r="D55" s="86"/>
      <c r="E55" s="88">
        <v>63</v>
      </c>
      <c r="F55" s="98">
        <v>79</v>
      </c>
      <c r="G55" s="107">
        <v>0</v>
      </c>
      <c r="H55" s="12" t="s">
        <v>214</v>
      </c>
      <c r="I55" s="64" t="s">
        <v>152</v>
      </c>
      <c r="J55" s="54"/>
    </row>
    <row r="56" spans="1:10" ht="15" customHeight="1" x14ac:dyDescent="0.2">
      <c r="A56" s="6" t="s">
        <v>58</v>
      </c>
      <c r="B56" s="30" t="s">
        <v>215</v>
      </c>
      <c r="C56" s="30" t="s">
        <v>129</v>
      </c>
      <c r="D56" s="86"/>
      <c r="E56" s="8"/>
      <c r="F56" s="93">
        <v>140</v>
      </c>
      <c r="G56" s="108">
        <v>1.65</v>
      </c>
      <c r="H56" s="12"/>
      <c r="I56" s="59" t="s">
        <v>148</v>
      </c>
      <c r="J56" s="54" t="s">
        <v>140</v>
      </c>
    </row>
    <row r="57" spans="1:10" ht="15" customHeight="1" x14ac:dyDescent="0.2">
      <c r="A57" s="6" t="s">
        <v>59</v>
      </c>
      <c r="B57" s="30" t="s">
        <v>216</v>
      </c>
      <c r="C57" s="30" t="s">
        <v>166</v>
      </c>
      <c r="D57" s="86"/>
      <c r="E57" s="8"/>
      <c r="F57" s="93">
        <v>65.400000000000006</v>
      </c>
      <c r="G57" s="107">
        <v>0.7</v>
      </c>
      <c r="H57" s="12"/>
      <c r="I57" s="12" t="s">
        <v>148</v>
      </c>
      <c r="J57" s="54" t="s">
        <v>134</v>
      </c>
    </row>
    <row r="58" spans="1:10" ht="15" customHeight="1" x14ac:dyDescent="0.2">
      <c r="A58" s="6" t="s">
        <v>60</v>
      </c>
      <c r="B58" s="30" t="s">
        <v>218</v>
      </c>
      <c r="C58" s="30" t="s">
        <v>151</v>
      </c>
      <c r="D58" s="85"/>
      <c r="E58" s="55"/>
      <c r="F58" s="96"/>
      <c r="G58" s="109"/>
      <c r="I58" s="58"/>
      <c r="J58" s="4"/>
    </row>
    <row r="59" spans="1:10" ht="15" customHeight="1" x14ac:dyDescent="0.2">
      <c r="A59" s="6" t="s">
        <v>61</v>
      </c>
      <c r="B59" s="30" t="s">
        <v>219</v>
      </c>
      <c r="C59" s="30" t="s">
        <v>144</v>
      </c>
      <c r="D59" s="85"/>
      <c r="E59" s="8"/>
      <c r="F59" s="93">
        <v>69</v>
      </c>
      <c r="G59" s="107">
        <v>0.11</v>
      </c>
      <c r="H59" s="12"/>
      <c r="I59" s="53" t="s">
        <v>220</v>
      </c>
      <c r="J59" s="54" t="s">
        <v>134</v>
      </c>
    </row>
    <row r="60" spans="1:10" ht="15" customHeight="1" x14ac:dyDescent="0.2">
      <c r="A60" s="6" t="s">
        <v>62</v>
      </c>
      <c r="B60" s="1" t="s">
        <v>221</v>
      </c>
      <c r="C60" s="1" t="s">
        <v>131</v>
      </c>
      <c r="D60" s="85"/>
      <c r="E60" s="55"/>
      <c r="F60" s="96"/>
      <c r="G60" s="109"/>
      <c r="I60" s="58"/>
      <c r="J60" s="4"/>
    </row>
    <row r="61" spans="1:10" ht="15" customHeight="1" x14ac:dyDescent="0.2">
      <c r="A61" s="6" t="s">
        <v>63</v>
      </c>
      <c r="B61" s="30" t="s">
        <v>222</v>
      </c>
      <c r="C61" s="30" t="s">
        <v>146</v>
      </c>
      <c r="D61" s="85"/>
      <c r="E61" s="58"/>
      <c r="F61" s="94"/>
      <c r="G61" s="109"/>
      <c r="I61" s="61"/>
      <c r="J61" s="4"/>
    </row>
    <row r="62" spans="1:10" ht="15" customHeight="1" x14ac:dyDescent="0.2">
      <c r="A62" s="6" t="s">
        <v>64</v>
      </c>
      <c r="B62" s="30" t="s">
        <v>223</v>
      </c>
      <c r="C62" s="30" t="s">
        <v>146</v>
      </c>
      <c r="D62" s="86"/>
      <c r="E62" s="58"/>
      <c r="F62" s="94"/>
      <c r="G62" s="109"/>
      <c r="I62" s="58"/>
      <c r="J62" s="4"/>
    </row>
    <row r="63" spans="1:10" ht="15" customHeight="1" x14ac:dyDescent="0.2">
      <c r="A63" s="6" t="s">
        <v>65</v>
      </c>
      <c r="B63" s="30" t="s">
        <v>224</v>
      </c>
      <c r="C63" s="30" t="s">
        <v>225</v>
      </c>
      <c r="D63" s="86"/>
      <c r="E63" s="58"/>
      <c r="F63" s="94"/>
      <c r="G63" s="109"/>
      <c r="I63" s="55"/>
      <c r="J63" s="4"/>
    </row>
    <row r="64" spans="1:10" ht="15" customHeight="1" x14ac:dyDescent="0.2">
      <c r="A64" s="6" t="s">
        <v>66</v>
      </c>
      <c r="B64" s="30" t="s">
        <v>226</v>
      </c>
      <c r="C64" s="30" t="s">
        <v>144</v>
      </c>
      <c r="E64" s="88"/>
      <c r="F64" s="95">
        <v>68.599999999999994</v>
      </c>
      <c r="G64" s="108">
        <v>0.45</v>
      </c>
      <c r="H64" s="12"/>
      <c r="I64" s="53" t="s">
        <v>148</v>
      </c>
      <c r="J64" s="54" t="s">
        <v>134</v>
      </c>
    </row>
    <row r="65" spans="1:10" ht="15" customHeight="1" x14ac:dyDescent="0.2">
      <c r="A65" s="6" t="s">
        <v>67</v>
      </c>
      <c r="B65" s="1" t="s">
        <v>227</v>
      </c>
      <c r="C65" s="1" t="s">
        <v>228</v>
      </c>
      <c r="F65" s="1"/>
      <c r="I65" s="58"/>
      <c r="J65" s="2"/>
    </row>
    <row r="66" spans="1:10" ht="15" customHeight="1" x14ac:dyDescent="0.2">
      <c r="A66" s="6" t="s">
        <v>68</v>
      </c>
      <c r="B66" s="30" t="s">
        <v>229</v>
      </c>
      <c r="C66" s="30" t="s">
        <v>228</v>
      </c>
      <c r="F66" s="1"/>
      <c r="I66" s="58"/>
      <c r="J66" s="2"/>
    </row>
    <row r="67" spans="1:10" ht="15" customHeight="1" x14ac:dyDescent="0.2">
      <c r="A67" s="6" t="s">
        <v>69</v>
      </c>
      <c r="B67" s="30" t="s">
        <v>230</v>
      </c>
      <c r="C67" s="30" t="s">
        <v>129</v>
      </c>
      <c r="E67" s="88"/>
      <c r="F67" s="95">
        <v>140</v>
      </c>
      <c r="G67" s="108">
        <v>4.71</v>
      </c>
      <c r="H67" s="12"/>
      <c r="I67" s="59" t="s">
        <v>148</v>
      </c>
      <c r="J67" s="54" t="s">
        <v>134</v>
      </c>
    </row>
    <row r="68" spans="1:10" ht="15" customHeight="1" x14ac:dyDescent="0.2">
      <c r="A68" s="6" t="s">
        <v>70</v>
      </c>
      <c r="B68" s="30" t="s">
        <v>231</v>
      </c>
      <c r="C68" s="30" t="s">
        <v>131</v>
      </c>
      <c r="F68" s="1"/>
      <c r="J68" s="2"/>
    </row>
    <row r="69" spans="1:10" ht="15" customHeight="1" x14ac:dyDescent="0.2">
      <c r="A69" s="6" t="s">
        <v>71</v>
      </c>
      <c r="B69" s="30" t="s">
        <v>232</v>
      </c>
      <c r="C69" s="30" t="s">
        <v>129</v>
      </c>
      <c r="E69" s="8">
        <v>24</v>
      </c>
      <c r="F69" s="95">
        <v>61.1</v>
      </c>
      <c r="G69" s="108">
        <v>0.59499999999999997</v>
      </c>
      <c r="H69" s="12" t="s">
        <v>160</v>
      </c>
      <c r="I69" s="12" t="s">
        <v>148</v>
      </c>
      <c r="J69" s="17" t="s">
        <v>234</v>
      </c>
    </row>
    <row r="70" spans="1:10" ht="15" customHeight="1" x14ac:dyDescent="0.2">
      <c r="A70" s="6" t="s">
        <v>72</v>
      </c>
      <c r="B70" s="1" t="s">
        <v>235</v>
      </c>
      <c r="C70" s="1" t="s">
        <v>131</v>
      </c>
      <c r="F70" s="1"/>
      <c r="J70" s="2"/>
    </row>
    <row r="71" spans="1:10" ht="15" customHeight="1" x14ac:dyDescent="0.2">
      <c r="A71" s="6" t="s">
        <v>73</v>
      </c>
      <c r="B71" s="30" t="s">
        <v>236</v>
      </c>
      <c r="C71" s="30" t="s">
        <v>237</v>
      </c>
      <c r="F71" s="1"/>
      <c r="J71" s="2"/>
    </row>
    <row r="72" spans="1:10" ht="15" customHeight="1" x14ac:dyDescent="0.2">
      <c r="A72" s="6" t="s">
        <v>74</v>
      </c>
      <c r="B72" s="30" t="s">
        <v>238</v>
      </c>
      <c r="C72" s="30" t="s">
        <v>151</v>
      </c>
      <c r="E72" s="8">
        <v>24</v>
      </c>
      <c r="F72" s="95">
        <v>63.2</v>
      </c>
      <c r="G72" s="108">
        <v>0.59499999999999997</v>
      </c>
      <c r="H72" s="12" t="s">
        <v>160</v>
      </c>
      <c r="I72" s="12" t="s">
        <v>148</v>
      </c>
      <c r="J72" s="17" t="s">
        <v>234</v>
      </c>
    </row>
    <row r="73" spans="1:10" ht="15" customHeight="1" x14ac:dyDescent="0.2">
      <c r="A73" s="6" t="s">
        <v>75</v>
      </c>
      <c r="B73" s="30" t="s">
        <v>239</v>
      </c>
      <c r="C73" s="30" t="s">
        <v>181</v>
      </c>
      <c r="F73" s="1"/>
      <c r="J73" s="2"/>
    </row>
    <row r="74" spans="1:10" ht="15" customHeight="1" x14ac:dyDescent="0.2">
      <c r="A74" s="6" t="s">
        <v>76</v>
      </c>
      <c r="B74" s="30" t="s">
        <v>240</v>
      </c>
      <c r="C74" s="30" t="s">
        <v>129</v>
      </c>
      <c r="E74" s="88"/>
      <c r="F74" s="93">
        <v>140</v>
      </c>
      <c r="G74" s="108">
        <v>1.65</v>
      </c>
      <c r="H74" s="12"/>
      <c r="I74" s="53" t="s">
        <v>139</v>
      </c>
      <c r="J74" s="17" t="s">
        <v>140</v>
      </c>
    </row>
    <row r="75" spans="1:10" ht="15" customHeight="1" x14ac:dyDescent="0.2">
      <c r="A75" s="6" t="s">
        <v>77</v>
      </c>
      <c r="B75" s="1" t="s">
        <v>242</v>
      </c>
      <c r="C75" s="1" t="s">
        <v>131</v>
      </c>
      <c r="F75" s="1"/>
      <c r="J75" s="2"/>
    </row>
    <row r="76" spans="1:10" ht="15" customHeight="1" x14ac:dyDescent="0.2">
      <c r="A76" s="6" t="s">
        <v>78</v>
      </c>
      <c r="B76" s="30" t="s">
        <v>243</v>
      </c>
      <c r="C76" s="30" t="s">
        <v>131</v>
      </c>
      <c r="F76" s="1"/>
      <c r="J76" s="2"/>
    </row>
    <row r="77" spans="1:10" ht="15" customHeight="1" x14ac:dyDescent="0.2">
      <c r="A77" s="6" t="s">
        <v>79</v>
      </c>
      <c r="B77" s="30" t="s">
        <v>244</v>
      </c>
      <c r="C77" s="30" t="s">
        <v>131</v>
      </c>
      <c r="E77" s="88"/>
      <c r="F77" s="95">
        <v>450</v>
      </c>
      <c r="G77" s="107">
        <v>6.09</v>
      </c>
      <c r="H77" s="12"/>
      <c r="I77" s="12" t="s">
        <v>133</v>
      </c>
      <c r="J77" s="17" t="s">
        <v>202</v>
      </c>
    </row>
    <row r="78" spans="1:10" ht="15" customHeight="1" x14ac:dyDescent="0.2">
      <c r="A78" s="6" t="s">
        <v>80</v>
      </c>
      <c r="B78" s="30" t="s">
        <v>245</v>
      </c>
      <c r="C78" s="30" t="s">
        <v>159</v>
      </c>
      <c r="E78" s="88">
        <v>63</v>
      </c>
      <c r="F78" s="95">
        <v>63.2</v>
      </c>
      <c r="G78" s="108">
        <v>0.57999999999999996</v>
      </c>
      <c r="H78" s="12" t="s">
        <v>160</v>
      </c>
      <c r="I78" s="12" t="s">
        <v>148</v>
      </c>
      <c r="J78" s="54" t="s">
        <v>134</v>
      </c>
    </row>
    <row r="79" spans="1:10" ht="15" customHeight="1" x14ac:dyDescent="0.2">
      <c r="A79" s="6" t="s">
        <v>81</v>
      </c>
      <c r="B79" s="30" t="s">
        <v>246</v>
      </c>
      <c r="C79" s="30" t="s">
        <v>129</v>
      </c>
      <c r="E79" s="88">
        <v>63</v>
      </c>
      <c r="F79" s="95">
        <v>63.2</v>
      </c>
      <c r="G79" s="108">
        <v>0.57999999999999996</v>
      </c>
      <c r="H79" s="12" t="s">
        <v>160</v>
      </c>
      <c r="I79" s="12" t="s">
        <v>148</v>
      </c>
      <c r="J79" s="54" t="s">
        <v>134</v>
      </c>
    </row>
    <row r="80" spans="1:10" ht="15" customHeight="1" x14ac:dyDescent="0.2">
      <c r="A80" s="6" t="s">
        <v>82</v>
      </c>
      <c r="B80" s="1" t="s">
        <v>247</v>
      </c>
      <c r="C80" s="1" t="s">
        <v>129</v>
      </c>
      <c r="F80" s="1"/>
      <c r="J80" s="2"/>
    </row>
    <row r="81" spans="1:10" ht="15" customHeight="1" x14ac:dyDescent="0.2">
      <c r="A81" s="6" t="s">
        <v>83</v>
      </c>
      <c r="B81" s="1" t="s">
        <v>248</v>
      </c>
      <c r="C81" s="1" t="s">
        <v>131</v>
      </c>
      <c r="F81" s="1"/>
      <c r="J81" s="2"/>
    </row>
    <row r="82" spans="1:10" ht="15" customHeight="1" x14ac:dyDescent="0.2">
      <c r="A82" s="6" t="s">
        <v>84</v>
      </c>
      <c r="B82" s="1" t="s">
        <v>249</v>
      </c>
      <c r="C82" s="1" t="s">
        <v>131</v>
      </c>
      <c r="F82" s="1"/>
      <c r="J82" s="2"/>
    </row>
    <row r="83" spans="1:10" ht="15" customHeight="1" x14ac:dyDescent="0.2">
      <c r="A83" s="6" t="s">
        <v>85</v>
      </c>
      <c r="B83" s="30" t="s">
        <v>250</v>
      </c>
      <c r="C83" s="30" t="s">
        <v>131</v>
      </c>
      <c r="E83" s="88"/>
      <c r="F83" s="95">
        <v>450</v>
      </c>
      <c r="G83" s="107">
        <v>6.09</v>
      </c>
      <c r="H83" s="12"/>
      <c r="I83" s="53" t="s">
        <v>201</v>
      </c>
      <c r="J83" s="17" t="s">
        <v>202</v>
      </c>
    </row>
    <row r="84" spans="1:10" ht="15" customHeight="1" x14ac:dyDescent="0.2">
      <c r="A84" s="6" t="s">
        <v>86</v>
      </c>
      <c r="B84" s="30" t="s">
        <v>252</v>
      </c>
      <c r="C84" s="30" t="s">
        <v>131</v>
      </c>
      <c r="F84" s="1"/>
      <c r="J84" s="2"/>
    </row>
    <row r="85" spans="1:10" ht="15" customHeight="1" x14ac:dyDescent="0.2">
      <c r="A85" s="6" t="s">
        <v>87</v>
      </c>
      <c r="B85" s="30" t="s">
        <v>253</v>
      </c>
      <c r="C85" s="30" t="s">
        <v>166</v>
      </c>
      <c r="F85" s="1"/>
      <c r="J85" s="2"/>
    </row>
    <row r="86" spans="1:10" ht="15" customHeight="1" x14ac:dyDescent="0.2">
      <c r="A86" s="6" t="s">
        <v>88</v>
      </c>
      <c r="B86" s="30" t="s">
        <v>254</v>
      </c>
      <c r="C86" s="30" t="s">
        <v>196</v>
      </c>
      <c r="E86" s="88"/>
      <c r="F86" s="95">
        <v>135.5</v>
      </c>
      <c r="G86" s="108">
        <v>2.13</v>
      </c>
      <c r="H86" s="12"/>
      <c r="I86" s="12" t="s">
        <v>148</v>
      </c>
      <c r="J86" s="54" t="s">
        <v>134</v>
      </c>
    </row>
    <row r="87" spans="1:10" ht="15" customHeight="1" x14ac:dyDescent="0.2">
      <c r="A87" s="6" t="s">
        <v>89</v>
      </c>
      <c r="B87" s="30" t="s">
        <v>255</v>
      </c>
      <c r="C87" s="30" t="s">
        <v>129</v>
      </c>
      <c r="E87" s="88"/>
      <c r="F87" s="95">
        <v>140</v>
      </c>
      <c r="G87" s="108">
        <v>1.65</v>
      </c>
      <c r="H87" s="12"/>
      <c r="I87" s="53" t="s">
        <v>139</v>
      </c>
      <c r="J87" s="17" t="s">
        <v>140</v>
      </c>
    </row>
    <row r="88" spans="1:10" ht="15" customHeight="1" x14ac:dyDescent="0.2">
      <c r="A88" s="6" t="s">
        <v>90</v>
      </c>
      <c r="B88" s="30" t="s">
        <v>257</v>
      </c>
      <c r="C88" s="30" t="s">
        <v>258</v>
      </c>
      <c r="F88" s="1"/>
      <c r="J88" s="2"/>
    </row>
    <row r="89" spans="1:10" ht="15" customHeight="1" x14ac:dyDescent="0.2">
      <c r="A89" s="6" t="s">
        <v>91</v>
      </c>
      <c r="B89" s="1" t="s">
        <v>259</v>
      </c>
      <c r="C89" s="1" t="s">
        <v>166</v>
      </c>
      <c r="F89" s="1"/>
      <c r="J89" s="2"/>
    </row>
    <row r="90" spans="1:10" ht="15" customHeight="1" x14ac:dyDescent="0.2">
      <c r="A90" s="6" t="s">
        <v>92</v>
      </c>
      <c r="B90" s="30" t="s">
        <v>260</v>
      </c>
      <c r="C90" s="30" t="s">
        <v>237</v>
      </c>
      <c r="F90" s="100">
        <v>60</v>
      </c>
      <c r="G90" s="111">
        <v>0.35900000000000004</v>
      </c>
      <c r="J90" s="2"/>
    </row>
    <row r="91" spans="1:10" ht="15" customHeight="1" x14ac:dyDescent="0.2">
      <c r="A91" s="6" t="s">
        <v>93</v>
      </c>
      <c r="B91" s="30" t="s">
        <v>261</v>
      </c>
      <c r="C91" s="30" t="s">
        <v>237</v>
      </c>
      <c r="D91">
        <v>10</v>
      </c>
      <c r="E91" s="88"/>
      <c r="F91" s="95">
        <v>60</v>
      </c>
      <c r="G91" s="108">
        <v>0.26</v>
      </c>
      <c r="H91" s="12"/>
      <c r="I91" s="12" t="s">
        <v>148</v>
      </c>
      <c r="J91" s="54" t="s">
        <v>134</v>
      </c>
    </row>
    <row r="92" spans="1:10" ht="15" customHeight="1" x14ac:dyDescent="0.2">
      <c r="A92" s="6" t="s">
        <v>94</v>
      </c>
      <c r="B92" s="30" t="s">
        <v>263</v>
      </c>
      <c r="C92" s="30" t="s">
        <v>237</v>
      </c>
      <c r="D92">
        <v>90</v>
      </c>
      <c r="E92" s="88"/>
      <c r="F92" s="95">
        <v>60</v>
      </c>
      <c r="G92" s="108">
        <v>0.37</v>
      </c>
      <c r="H92" s="12"/>
      <c r="I92" s="12" t="s">
        <v>148</v>
      </c>
      <c r="J92" s="54" t="s">
        <v>134</v>
      </c>
    </row>
    <row r="93" spans="1:10" ht="15" customHeight="1" x14ac:dyDescent="0.2">
      <c r="A93" s="6" t="s">
        <v>95</v>
      </c>
      <c r="B93" s="30" t="s">
        <v>264</v>
      </c>
      <c r="C93" s="30" t="s">
        <v>156</v>
      </c>
      <c r="E93" s="88"/>
      <c r="F93" s="95">
        <v>300</v>
      </c>
      <c r="G93" s="108">
        <v>2.25</v>
      </c>
      <c r="H93" s="12"/>
      <c r="I93" s="12" t="s">
        <v>133</v>
      </c>
      <c r="J93" s="54" t="s">
        <v>193</v>
      </c>
    </row>
    <row r="94" spans="1:10" ht="15" customHeight="1" x14ac:dyDescent="0.2">
      <c r="A94" s="6" t="s">
        <v>96</v>
      </c>
      <c r="B94" s="30" t="s">
        <v>266</v>
      </c>
      <c r="C94" s="30" t="s">
        <v>146</v>
      </c>
      <c r="F94" s="1"/>
      <c r="J94" s="2"/>
    </row>
    <row r="95" spans="1:10" ht="15" customHeight="1" x14ac:dyDescent="0.2">
      <c r="A95" s="6" t="s">
        <v>97</v>
      </c>
      <c r="B95" s="30" t="s">
        <v>267</v>
      </c>
      <c r="C95" s="30" t="s">
        <v>144</v>
      </c>
      <c r="E95" s="88"/>
      <c r="F95" s="95">
        <v>68.7</v>
      </c>
      <c r="G95" s="108">
        <v>0.94</v>
      </c>
      <c r="H95" s="12"/>
      <c r="I95" s="12" t="s">
        <v>148</v>
      </c>
      <c r="J95" s="54" t="s">
        <v>134</v>
      </c>
    </row>
    <row r="96" spans="1:10" ht="15" customHeight="1" x14ac:dyDescent="0.2">
      <c r="A96" s="6" t="s">
        <v>98</v>
      </c>
      <c r="B96" s="30" t="s">
        <v>268</v>
      </c>
      <c r="C96" s="30" t="s">
        <v>146</v>
      </c>
      <c r="F96" s="1"/>
      <c r="J96" s="2"/>
    </row>
    <row r="97" spans="1:10" ht="15" customHeight="1" x14ac:dyDescent="0.2">
      <c r="A97" s="6" t="s">
        <v>99</v>
      </c>
      <c r="B97" s="30" t="s">
        <v>269</v>
      </c>
      <c r="C97" s="30" t="s">
        <v>131</v>
      </c>
      <c r="E97" s="88"/>
      <c r="F97" s="95">
        <v>450</v>
      </c>
      <c r="G97" s="107">
        <v>6.09</v>
      </c>
      <c r="H97" s="12"/>
      <c r="I97" s="53" t="s">
        <v>201</v>
      </c>
      <c r="J97" s="17" t="s">
        <v>202</v>
      </c>
    </row>
    <row r="98" spans="1:10" ht="15" customHeight="1" x14ac:dyDescent="0.2">
      <c r="A98" s="6" t="s">
        <v>100</v>
      </c>
      <c r="B98" s="30" t="s">
        <v>271</v>
      </c>
      <c r="C98" s="30" t="s">
        <v>151</v>
      </c>
      <c r="F98" s="1"/>
      <c r="J98" s="2"/>
    </row>
    <row r="99" spans="1:10" ht="15" customHeight="1" x14ac:dyDescent="0.2">
      <c r="A99" s="6" t="s">
        <v>101</v>
      </c>
      <c r="B99" s="30" t="s">
        <v>272</v>
      </c>
      <c r="C99" s="30" t="s">
        <v>129</v>
      </c>
      <c r="E99" s="88"/>
      <c r="F99" s="95">
        <v>140</v>
      </c>
      <c r="G99" s="108">
        <v>1.65</v>
      </c>
      <c r="H99" s="12"/>
      <c r="I99" s="53" t="s">
        <v>139</v>
      </c>
      <c r="J99" s="17" t="s">
        <v>140</v>
      </c>
    </row>
    <row r="100" spans="1:10" ht="15" customHeight="1" x14ac:dyDescent="0.2">
      <c r="A100" s="6" t="s">
        <v>102</v>
      </c>
      <c r="B100" s="30" t="s">
        <v>274</v>
      </c>
      <c r="C100" s="30" t="s">
        <v>131</v>
      </c>
      <c r="E100" s="88"/>
      <c r="F100" s="95">
        <v>300</v>
      </c>
      <c r="G100" s="108">
        <v>2.25</v>
      </c>
      <c r="H100" s="12"/>
      <c r="I100" s="12" t="s">
        <v>133</v>
      </c>
      <c r="J100" s="54" t="s">
        <v>134</v>
      </c>
    </row>
    <row r="101" spans="1:10" ht="15" customHeight="1" x14ac:dyDescent="0.2">
      <c r="A101" s="6" t="s">
        <v>103</v>
      </c>
      <c r="B101" s="30" t="s">
        <v>276</v>
      </c>
      <c r="C101" s="30" t="s">
        <v>277</v>
      </c>
      <c r="E101" s="88"/>
      <c r="F101" s="95">
        <v>130</v>
      </c>
      <c r="G101" s="108">
        <v>2.38</v>
      </c>
      <c r="H101" s="12"/>
      <c r="I101" s="12" t="s">
        <v>148</v>
      </c>
      <c r="J101" s="54" t="s">
        <v>134</v>
      </c>
    </row>
    <row r="102" spans="1:10" ht="15" customHeight="1" x14ac:dyDescent="0.2">
      <c r="A102" s="6" t="s">
        <v>104</v>
      </c>
      <c r="B102" s="30" t="s">
        <v>278</v>
      </c>
      <c r="C102" s="30" t="s">
        <v>277</v>
      </c>
      <c r="F102" s="1"/>
      <c r="J102" s="2"/>
    </row>
    <row r="103" spans="1:10" ht="15" customHeight="1" x14ac:dyDescent="0.2">
      <c r="A103" s="6" t="s">
        <v>105</v>
      </c>
      <c r="B103" s="30" t="s">
        <v>279</v>
      </c>
      <c r="C103" s="30" t="s">
        <v>237</v>
      </c>
      <c r="F103" s="1"/>
      <c r="J103" s="2"/>
    </row>
    <row r="104" spans="1:10" ht="15" customHeight="1" x14ac:dyDescent="0.2">
      <c r="A104" s="6" t="s">
        <v>106</v>
      </c>
      <c r="B104" s="1" t="s">
        <v>280</v>
      </c>
      <c r="C104" s="1" t="s">
        <v>196</v>
      </c>
      <c r="F104" s="1"/>
      <c r="J104" s="2"/>
    </row>
    <row r="105" spans="1:10" ht="15" customHeight="1" x14ac:dyDescent="0.2">
      <c r="A105" s="6" t="s">
        <v>107</v>
      </c>
      <c r="B105" s="30" t="s">
        <v>281</v>
      </c>
      <c r="C105" s="30" t="s">
        <v>131</v>
      </c>
      <c r="F105" s="1"/>
      <c r="J105" s="2"/>
    </row>
    <row r="106" spans="1:10" ht="15" customHeight="1" x14ac:dyDescent="0.2">
      <c r="A106" s="6" t="s">
        <v>108</v>
      </c>
      <c r="B106" s="30" t="s">
        <v>282</v>
      </c>
      <c r="C106" s="30" t="s">
        <v>129</v>
      </c>
      <c r="E106" s="90"/>
      <c r="F106" s="99">
        <v>0</v>
      </c>
      <c r="G106" s="111">
        <v>1.65</v>
      </c>
      <c r="H106" s="12"/>
      <c r="I106" s="12"/>
      <c r="J106" s="17"/>
    </row>
    <row r="107" spans="1:10" ht="15" customHeight="1" x14ac:dyDescent="0.2">
      <c r="A107" s="6" t="s">
        <v>109</v>
      </c>
      <c r="B107" s="30" t="s">
        <v>283</v>
      </c>
      <c r="C107" s="30" t="s">
        <v>129</v>
      </c>
      <c r="D107">
        <v>100</v>
      </c>
      <c r="E107" s="88"/>
      <c r="F107" s="95">
        <v>0</v>
      </c>
      <c r="G107" s="108">
        <v>1.65</v>
      </c>
      <c r="H107" s="12"/>
      <c r="I107" s="12"/>
      <c r="J107" s="54" t="s">
        <v>140</v>
      </c>
    </row>
    <row r="108" spans="1:10" ht="15" customHeight="1" x14ac:dyDescent="0.2">
      <c r="A108" s="6" t="s">
        <v>110</v>
      </c>
      <c r="B108" s="30" t="s">
        <v>285</v>
      </c>
      <c r="C108" s="30" t="s">
        <v>129</v>
      </c>
      <c r="D108">
        <v>0</v>
      </c>
      <c r="E108" s="88"/>
      <c r="F108" s="95"/>
      <c r="G108" s="108"/>
      <c r="J108" s="4"/>
    </row>
    <row r="109" spans="1:10" ht="15" customHeight="1" x14ac:dyDescent="0.2">
      <c r="A109" s="6" t="s">
        <v>111</v>
      </c>
      <c r="B109" s="30" t="s">
        <v>286</v>
      </c>
      <c r="C109" s="30" t="s">
        <v>146</v>
      </c>
      <c r="E109" s="88"/>
      <c r="F109" s="95">
        <v>66.7</v>
      </c>
      <c r="G109" s="108">
        <v>0.61</v>
      </c>
      <c r="H109" s="12"/>
      <c r="I109" s="12" t="s">
        <v>148</v>
      </c>
      <c r="J109" s="54" t="s">
        <v>134</v>
      </c>
    </row>
    <row r="110" spans="1:10" ht="15" customHeight="1" x14ac:dyDescent="0.2">
      <c r="A110" s="6" t="s">
        <v>112</v>
      </c>
      <c r="B110" s="30" t="s">
        <v>287</v>
      </c>
      <c r="C110" s="30" t="s">
        <v>258</v>
      </c>
      <c r="F110" s="1"/>
      <c r="J110" s="2"/>
    </row>
    <row r="111" spans="1:10" ht="15" customHeight="1" x14ac:dyDescent="0.2">
      <c r="A111" s="6" t="s">
        <v>113</v>
      </c>
      <c r="B111" s="30" t="s">
        <v>288</v>
      </c>
      <c r="C111" s="30" t="s">
        <v>258</v>
      </c>
      <c r="F111" s="1"/>
      <c r="J111" s="2"/>
    </row>
    <row r="112" spans="1:10" ht="15" customHeight="1" x14ac:dyDescent="0.2">
      <c r="A112" s="6" t="s">
        <v>114</v>
      </c>
      <c r="B112" s="30" t="s">
        <v>289</v>
      </c>
      <c r="C112" s="30" t="s">
        <v>127</v>
      </c>
      <c r="F112" s="1"/>
      <c r="J112" s="2"/>
    </row>
    <row r="113" spans="1:10" ht="15" customHeight="1" x14ac:dyDescent="0.2">
      <c r="A113" s="6" t="s">
        <v>115</v>
      </c>
      <c r="B113" s="30" t="s">
        <v>290</v>
      </c>
      <c r="C113" s="30" t="s">
        <v>131</v>
      </c>
      <c r="F113" s="1"/>
      <c r="J113" s="2"/>
    </row>
    <row r="114" spans="1:10" ht="15" customHeight="1" x14ac:dyDescent="0.2">
      <c r="A114" s="6" t="s">
        <v>116</v>
      </c>
      <c r="B114" s="30" t="s">
        <v>291</v>
      </c>
      <c r="C114" s="30" t="s">
        <v>131</v>
      </c>
      <c r="F114" s="1"/>
      <c r="J114" s="2"/>
    </row>
    <row r="115" spans="1:10" ht="15" customHeight="1" x14ac:dyDescent="0.2">
      <c r="A115" s="6" t="s">
        <v>117</v>
      </c>
      <c r="B115" s="30" t="s">
        <v>292</v>
      </c>
      <c r="C115" s="30" t="s">
        <v>131</v>
      </c>
      <c r="F115" s="1"/>
      <c r="J115" s="2"/>
    </row>
    <row r="116" spans="1:10" ht="15" customHeight="1" x14ac:dyDescent="0.2">
      <c r="A116" s="6" t="s">
        <v>118</v>
      </c>
      <c r="B116" s="30" t="s">
        <v>293</v>
      </c>
      <c r="C116" s="30" t="s">
        <v>144</v>
      </c>
      <c r="F116" s="1">
        <v>71</v>
      </c>
      <c r="G116" s="110">
        <v>0.74</v>
      </c>
      <c r="H116" s="12"/>
      <c r="I116" s="12"/>
      <c r="J116" s="17"/>
    </row>
    <row r="117" spans="1:10" ht="15" customHeight="1" x14ac:dyDescent="0.2">
      <c r="A117" s="6" t="s">
        <v>119</v>
      </c>
      <c r="B117" s="30" t="s">
        <v>294</v>
      </c>
      <c r="C117" s="30" t="s">
        <v>146</v>
      </c>
      <c r="D117">
        <v>10</v>
      </c>
      <c r="E117" s="88"/>
      <c r="F117" s="95">
        <v>71.900000000000006</v>
      </c>
      <c r="G117" s="108">
        <v>0.42</v>
      </c>
      <c r="H117" s="12"/>
      <c r="I117" s="53" t="s">
        <v>148</v>
      </c>
      <c r="J117" s="54" t="s">
        <v>134</v>
      </c>
    </row>
    <row r="118" spans="1:10" ht="15" customHeight="1" x14ac:dyDescent="0.2">
      <c r="A118" s="6" t="s">
        <v>120</v>
      </c>
      <c r="B118" s="30" t="s">
        <v>295</v>
      </c>
      <c r="C118" s="30" t="s">
        <v>146</v>
      </c>
      <c r="D118">
        <v>90</v>
      </c>
      <c r="E118" s="88"/>
      <c r="F118" s="95">
        <v>71.3</v>
      </c>
      <c r="G118" s="108">
        <v>0.77</v>
      </c>
      <c r="H118" s="12"/>
      <c r="I118" s="53" t="s">
        <v>148</v>
      </c>
      <c r="J118" s="54" t="s">
        <v>134</v>
      </c>
    </row>
    <row r="119" spans="1:10" x14ac:dyDescent="0.2">
      <c r="H119" s="12"/>
      <c r="I119" s="12"/>
      <c r="J119" s="17"/>
    </row>
    <row r="120" spans="1:10" x14ac:dyDescent="0.2">
      <c r="H120" s="12"/>
      <c r="I120" s="12"/>
      <c r="J120" s="17"/>
    </row>
    <row r="121" spans="1:10" x14ac:dyDescent="0.2">
      <c r="H121" s="12"/>
      <c r="I121" s="12"/>
      <c r="J121" s="17"/>
    </row>
    <row r="122" spans="1:10" x14ac:dyDescent="0.2">
      <c r="H122" s="12"/>
      <c r="I122" s="12"/>
      <c r="J122" s="17"/>
    </row>
    <row r="123" spans="1:10" x14ac:dyDescent="0.2">
      <c r="H123" s="12"/>
      <c r="I123" s="12"/>
      <c r="J123" s="17"/>
    </row>
    <row r="124" spans="1:10" x14ac:dyDescent="0.2">
      <c r="H124" s="12"/>
      <c r="I124" s="12"/>
      <c r="J124" s="17"/>
    </row>
    <row r="125" spans="1:10" x14ac:dyDescent="0.2">
      <c r="H125" s="12"/>
      <c r="I125" s="12"/>
      <c r="J125" s="17"/>
    </row>
    <row r="126" spans="1:10" x14ac:dyDescent="0.2">
      <c r="H126" s="12"/>
      <c r="I126" s="12"/>
      <c r="J126" s="17"/>
    </row>
    <row r="127" spans="1:10" x14ac:dyDescent="0.2">
      <c r="H127" s="12"/>
      <c r="I127" s="12"/>
      <c r="J127" s="17"/>
    </row>
    <row r="128" spans="1:10" x14ac:dyDescent="0.2">
      <c r="H128" s="12"/>
      <c r="I128" s="12"/>
      <c r="J128" s="17"/>
    </row>
    <row r="129" spans="10:10" x14ac:dyDescent="0.2">
      <c r="J129" s="2"/>
    </row>
    <row r="130" spans="10:10" x14ac:dyDescent="0.2">
      <c r="J130" s="2"/>
    </row>
    <row r="131" spans="10:10" x14ac:dyDescent="0.2">
      <c r="J131" s="2"/>
    </row>
    <row r="132" spans="10:10" x14ac:dyDescent="0.2">
      <c r="J132" s="2"/>
    </row>
    <row r="133" spans="10:10" x14ac:dyDescent="0.2">
      <c r="J133" s="2"/>
    </row>
    <row r="134" spans="10:10" x14ac:dyDescent="0.2">
      <c r="J134" s="2"/>
    </row>
    <row r="135" spans="10:10" x14ac:dyDescent="0.2">
      <c r="J135" s="2"/>
    </row>
    <row r="136" spans="10:10" x14ac:dyDescent="0.2">
      <c r="J136" s="2"/>
    </row>
    <row r="137" spans="10:10" x14ac:dyDescent="0.2">
      <c r="J137" s="2"/>
    </row>
    <row r="138" spans="10:10" x14ac:dyDescent="0.2">
      <c r="J138" s="2"/>
    </row>
    <row r="139" spans="10:10" x14ac:dyDescent="0.2">
      <c r="J139" s="2"/>
    </row>
    <row r="140" spans="10:10" x14ac:dyDescent="0.2">
      <c r="J140" s="2"/>
    </row>
    <row r="141" spans="10:10" x14ac:dyDescent="0.2">
      <c r="J141" s="2"/>
    </row>
    <row r="142" spans="10:10" x14ac:dyDescent="0.2">
      <c r="J142" s="2"/>
    </row>
    <row r="143" spans="10:10" x14ac:dyDescent="0.2">
      <c r="J143" s="2"/>
    </row>
    <row r="144" spans="10:10" x14ac:dyDescent="0.2">
      <c r="J144" s="2"/>
    </row>
    <row r="145" spans="10:10" x14ac:dyDescent="0.2">
      <c r="J145" s="2"/>
    </row>
    <row r="146" spans="10:10" x14ac:dyDescent="0.2">
      <c r="J146" s="2"/>
    </row>
    <row r="147" spans="10:10" x14ac:dyDescent="0.2">
      <c r="J147" s="2"/>
    </row>
    <row r="148" spans="10:10" x14ac:dyDescent="0.2">
      <c r="J148" s="2"/>
    </row>
    <row r="149" spans="10:10" x14ac:dyDescent="0.2">
      <c r="J149" s="2"/>
    </row>
    <row r="150" spans="10:10" x14ac:dyDescent="0.2">
      <c r="J150" s="2"/>
    </row>
    <row r="151" spans="10:10" x14ac:dyDescent="0.2">
      <c r="J151" s="2"/>
    </row>
    <row r="152" spans="10:10" x14ac:dyDescent="0.2">
      <c r="J152" s="2"/>
    </row>
    <row r="153" spans="10:10" x14ac:dyDescent="0.2">
      <c r="J153" s="2"/>
    </row>
    <row r="154" spans="10:10" x14ac:dyDescent="0.2">
      <c r="J154" s="2"/>
    </row>
    <row r="155" spans="10:10" x14ac:dyDescent="0.2">
      <c r="J155" s="2"/>
    </row>
    <row r="156" spans="10:10" x14ac:dyDescent="0.2">
      <c r="J156" s="2"/>
    </row>
    <row r="157" spans="10:10" x14ac:dyDescent="0.2">
      <c r="J157" s="2"/>
    </row>
    <row r="158" spans="10:10" x14ac:dyDescent="0.2">
      <c r="J158" s="2"/>
    </row>
    <row r="159" spans="10:10" x14ac:dyDescent="0.2">
      <c r="J159" s="2"/>
    </row>
    <row r="160" spans="10:10" x14ac:dyDescent="0.2">
      <c r="J160" s="2"/>
    </row>
    <row r="161" spans="10:10" x14ac:dyDescent="0.2">
      <c r="J161" s="2"/>
    </row>
    <row r="162" spans="10:10" x14ac:dyDescent="0.2">
      <c r="J162" s="2"/>
    </row>
    <row r="163" spans="10:10" x14ac:dyDescent="0.2">
      <c r="J163" s="2"/>
    </row>
    <row r="164" spans="10:10" x14ac:dyDescent="0.2">
      <c r="J164" s="2"/>
    </row>
    <row r="165" spans="10:10" x14ac:dyDescent="0.2">
      <c r="J165" s="2"/>
    </row>
    <row r="166" spans="10:10" x14ac:dyDescent="0.2">
      <c r="J166" s="2"/>
    </row>
    <row r="167" spans="10:10" x14ac:dyDescent="0.2">
      <c r="J167" s="2"/>
    </row>
    <row r="168" spans="10:10" x14ac:dyDescent="0.2">
      <c r="J168" s="2"/>
    </row>
    <row r="169" spans="10:10" x14ac:dyDescent="0.2">
      <c r="J169" s="2"/>
    </row>
    <row r="170" spans="10:10" x14ac:dyDescent="0.2">
      <c r="J170" s="2"/>
    </row>
    <row r="171" spans="10:10" x14ac:dyDescent="0.2">
      <c r="J171" s="2"/>
    </row>
    <row r="172" spans="10:10" x14ac:dyDescent="0.2">
      <c r="J172" s="2"/>
    </row>
    <row r="173" spans="10:10" x14ac:dyDescent="0.2">
      <c r="J173" s="2"/>
    </row>
    <row r="174" spans="10:10" x14ac:dyDescent="0.2">
      <c r="J174" s="2"/>
    </row>
    <row r="175" spans="10:10" x14ac:dyDescent="0.2">
      <c r="J175" s="2"/>
    </row>
    <row r="176" spans="10:10" x14ac:dyDescent="0.2">
      <c r="J176" s="2"/>
    </row>
    <row r="177" spans="10:10" x14ac:dyDescent="0.2">
      <c r="J177" s="2"/>
    </row>
    <row r="178" spans="10:10" x14ac:dyDescent="0.2">
      <c r="J178" s="2"/>
    </row>
    <row r="179" spans="10:10" x14ac:dyDescent="0.2">
      <c r="J179" s="2"/>
    </row>
    <row r="180" spans="10:10" x14ac:dyDescent="0.2">
      <c r="J180" s="2"/>
    </row>
    <row r="181" spans="10:10" x14ac:dyDescent="0.2">
      <c r="J181" s="2"/>
    </row>
    <row r="182" spans="10:10" x14ac:dyDescent="0.2">
      <c r="J182" s="2"/>
    </row>
    <row r="183" spans="10:10" x14ac:dyDescent="0.2">
      <c r="J183" s="2"/>
    </row>
    <row r="184" spans="10:10" x14ac:dyDescent="0.2">
      <c r="J184" s="2"/>
    </row>
    <row r="185" spans="10:10" x14ac:dyDescent="0.2">
      <c r="J185" s="2"/>
    </row>
    <row r="186" spans="10:10" x14ac:dyDescent="0.2">
      <c r="J186" s="2"/>
    </row>
    <row r="187" spans="10:10" x14ac:dyDescent="0.2">
      <c r="J187" s="2"/>
    </row>
    <row r="188" spans="10:10" x14ac:dyDescent="0.2">
      <c r="J188" s="2"/>
    </row>
    <row r="189" spans="10:10" x14ac:dyDescent="0.2">
      <c r="J189" s="2"/>
    </row>
    <row r="190" spans="10:10" x14ac:dyDescent="0.2">
      <c r="J190" s="2"/>
    </row>
    <row r="191" spans="10:10" x14ac:dyDescent="0.2">
      <c r="J191" s="2"/>
    </row>
    <row r="192" spans="10:10" x14ac:dyDescent="0.2">
      <c r="J192" s="2"/>
    </row>
    <row r="193" spans="10:10" x14ac:dyDescent="0.2">
      <c r="J193" s="2"/>
    </row>
    <row r="194" spans="10:10" x14ac:dyDescent="0.2">
      <c r="J194" s="2"/>
    </row>
    <row r="195" spans="10:10" x14ac:dyDescent="0.2">
      <c r="J195" s="2"/>
    </row>
    <row r="196" spans="10:10" x14ac:dyDescent="0.2">
      <c r="J196" s="2"/>
    </row>
    <row r="197" spans="10:10" x14ac:dyDescent="0.2">
      <c r="J197" s="2"/>
    </row>
    <row r="198" spans="10:10" x14ac:dyDescent="0.2">
      <c r="J198" s="2"/>
    </row>
    <row r="199" spans="10:10" x14ac:dyDescent="0.2">
      <c r="J199" s="2"/>
    </row>
    <row r="200" spans="10:10" x14ac:dyDescent="0.2">
      <c r="J200" s="2"/>
    </row>
    <row r="201" spans="10:10" x14ac:dyDescent="0.2">
      <c r="J201" s="2"/>
    </row>
    <row r="202" spans="10:10" x14ac:dyDescent="0.2">
      <c r="J202" s="2"/>
    </row>
    <row r="203" spans="10:10" x14ac:dyDescent="0.2">
      <c r="J203" s="2"/>
    </row>
    <row r="204" spans="10:10" x14ac:dyDescent="0.2">
      <c r="J204" s="2"/>
    </row>
    <row r="205" spans="10:10" x14ac:dyDescent="0.2">
      <c r="J205" s="2"/>
    </row>
    <row r="206" spans="10:10" x14ac:dyDescent="0.2">
      <c r="J206" s="2"/>
    </row>
    <row r="207" spans="10:10" x14ac:dyDescent="0.2">
      <c r="J207" s="2"/>
    </row>
    <row r="208" spans="10:10" x14ac:dyDescent="0.2">
      <c r="J208" s="2"/>
    </row>
    <row r="209" spans="10:10" x14ac:dyDescent="0.2">
      <c r="J209" s="2"/>
    </row>
    <row r="210" spans="10:10" x14ac:dyDescent="0.2">
      <c r="J210" s="2"/>
    </row>
    <row r="211" spans="10:10" x14ac:dyDescent="0.2">
      <c r="J211" s="2"/>
    </row>
    <row r="212" spans="10:10" x14ac:dyDescent="0.2">
      <c r="J212" s="2"/>
    </row>
    <row r="213" spans="10:10" x14ac:dyDescent="0.2">
      <c r="J213" s="2"/>
    </row>
    <row r="214" spans="10:10" x14ac:dyDescent="0.2">
      <c r="J214" s="2"/>
    </row>
    <row r="215" spans="10:10" x14ac:dyDescent="0.2">
      <c r="J215" s="2"/>
    </row>
    <row r="216" spans="10:10" x14ac:dyDescent="0.2">
      <c r="J216" s="2"/>
    </row>
    <row r="217" spans="10:10" x14ac:dyDescent="0.2">
      <c r="J217" s="2"/>
    </row>
    <row r="218" spans="10:10" x14ac:dyDescent="0.2">
      <c r="J218" s="2"/>
    </row>
    <row r="219" spans="10:10" x14ac:dyDescent="0.2">
      <c r="J219" s="2"/>
    </row>
    <row r="220" spans="10:10" x14ac:dyDescent="0.2">
      <c r="J220" s="2"/>
    </row>
    <row r="221" spans="10:10" x14ac:dyDescent="0.2">
      <c r="J221" s="2"/>
    </row>
    <row r="222" spans="10:10" x14ac:dyDescent="0.2">
      <c r="J222" s="2"/>
    </row>
    <row r="223" spans="10:10" x14ac:dyDescent="0.2">
      <c r="J223" s="2"/>
    </row>
    <row r="224" spans="10:10" x14ac:dyDescent="0.2">
      <c r="J224" s="2"/>
    </row>
    <row r="225" spans="10:10" x14ac:dyDescent="0.2">
      <c r="J225" s="2"/>
    </row>
    <row r="226" spans="10:10" x14ac:dyDescent="0.2">
      <c r="J226" s="2"/>
    </row>
    <row r="227" spans="10:10" x14ac:dyDescent="0.2">
      <c r="J227" s="2"/>
    </row>
    <row r="228" spans="10:10" x14ac:dyDescent="0.2">
      <c r="J228" s="2"/>
    </row>
    <row r="229" spans="10:10" x14ac:dyDescent="0.2">
      <c r="J229" s="2"/>
    </row>
  </sheetData>
  <autoFilter ref="A5:J118" xr:uid="{00000000-0009-0000-0000-000002000000}">
    <sortState xmlns:xlrd2="http://schemas.microsoft.com/office/spreadsheetml/2017/richdata2" ref="A6:J116">
      <sortCondition ref="B5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2"/>
  <sheetViews>
    <sheetView zoomScale="80" zoomScaleNormal="80" workbookViewId="0">
      <selection activeCell="A37" sqref="A37"/>
    </sheetView>
  </sheetViews>
  <sheetFormatPr baseColWidth="10" defaultColWidth="8.6640625" defaultRowHeight="15" x14ac:dyDescent="0.2"/>
  <cols>
    <col min="1" max="1" width="10.33203125" style="13" customWidth="1"/>
    <col min="2" max="4" width="8.6640625" style="13"/>
    <col min="5" max="5" width="12.33203125" style="13" customWidth="1"/>
    <col min="6" max="6" width="8.6640625" style="13"/>
    <col min="7" max="7" width="8.6640625" style="13" customWidth="1"/>
    <col min="8" max="16384" width="8.6640625" style="13"/>
  </cols>
  <sheetData>
    <row r="2" spans="1:22" ht="21" x14ac:dyDescent="0.25">
      <c r="A2" s="22" t="s">
        <v>296</v>
      </c>
    </row>
    <row r="3" spans="1:22" ht="14.25" customHeight="1" x14ac:dyDescent="0.25">
      <c r="A3" s="22"/>
    </row>
    <row r="4" spans="1:22" x14ac:dyDescent="0.2">
      <c r="A4" s="14" t="s">
        <v>297</v>
      </c>
    </row>
    <row r="5" spans="1:22" x14ac:dyDescent="0.2">
      <c r="A5" s="14" t="s">
        <v>298</v>
      </c>
    </row>
    <row r="6" spans="1:22" x14ac:dyDescent="0.2">
      <c r="A6" s="20" t="s">
        <v>299</v>
      </c>
    </row>
    <row r="7" spans="1:22" x14ac:dyDescent="0.2">
      <c r="A7" s="21" t="s">
        <v>300</v>
      </c>
    </row>
    <row r="8" spans="1:22" x14ac:dyDescent="0.2">
      <c r="A8" s="14" t="s">
        <v>301</v>
      </c>
    </row>
    <row r="9" spans="1:22" x14ac:dyDescent="0.2">
      <c r="A9" s="14" t="s">
        <v>302</v>
      </c>
      <c r="R9" s="21" t="s">
        <v>303</v>
      </c>
    </row>
    <row r="10" spans="1:22" x14ac:dyDescent="0.2">
      <c r="A10" s="20" t="s">
        <v>304</v>
      </c>
      <c r="V10" s="14"/>
    </row>
    <row r="11" spans="1:22" x14ac:dyDescent="0.2">
      <c r="A11" s="14" t="s">
        <v>305</v>
      </c>
    </row>
    <row r="12" spans="1:22" x14ac:dyDescent="0.2">
      <c r="A12" s="14" t="s">
        <v>306</v>
      </c>
      <c r="S12" s="19"/>
    </row>
    <row r="13" spans="1:22" x14ac:dyDescent="0.2">
      <c r="A13" s="16" t="s">
        <v>307</v>
      </c>
      <c r="S13" s="19"/>
    </row>
    <row r="14" spans="1:22" x14ac:dyDescent="0.2">
      <c r="A14" s="28" t="s">
        <v>308</v>
      </c>
      <c r="S14" s="19"/>
    </row>
    <row r="15" spans="1:22" x14ac:dyDescent="0.2">
      <c r="A15" s="14" t="s">
        <v>309</v>
      </c>
      <c r="S15" s="19"/>
    </row>
    <row r="16" spans="1:22" x14ac:dyDescent="0.2">
      <c r="A16" s="15" t="s">
        <v>310</v>
      </c>
    </row>
    <row r="17" spans="1:22" x14ac:dyDescent="0.2">
      <c r="A17" s="1" t="s">
        <v>311</v>
      </c>
    </row>
    <row r="18" spans="1:22" x14ac:dyDescent="0.2">
      <c r="A18" s="1" t="s">
        <v>312</v>
      </c>
    </row>
    <row r="19" spans="1:22" x14ac:dyDescent="0.2">
      <c r="A19" s="20" t="s">
        <v>313</v>
      </c>
      <c r="S19" s="19"/>
    </row>
    <row r="20" spans="1:22" x14ac:dyDescent="0.2">
      <c r="A20" s="18" t="s">
        <v>314</v>
      </c>
      <c r="R20" s="14" t="s">
        <v>315</v>
      </c>
    </row>
    <row r="21" spans="1:22" x14ac:dyDescent="0.2">
      <c r="A21" s="20" t="s">
        <v>316</v>
      </c>
    </row>
    <row r="22" spans="1:22" x14ac:dyDescent="0.2">
      <c r="A22" s="21" t="s">
        <v>317</v>
      </c>
      <c r="R22" s="14" t="s">
        <v>318</v>
      </c>
    </row>
    <row r="23" spans="1:22" x14ac:dyDescent="0.2">
      <c r="A23" s="21" t="s">
        <v>319</v>
      </c>
    </row>
    <row r="24" spans="1:22" x14ac:dyDescent="0.2">
      <c r="A24" s="14" t="s">
        <v>320</v>
      </c>
      <c r="V24" s="25"/>
    </row>
    <row r="25" spans="1:22" x14ac:dyDescent="0.2">
      <c r="A25" s="23" t="s">
        <v>321</v>
      </c>
    </row>
    <row r="26" spans="1:22" x14ac:dyDescent="0.2">
      <c r="A26" s="21" t="s">
        <v>322</v>
      </c>
    </row>
    <row r="27" spans="1:22" x14ac:dyDescent="0.2">
      <c r="A27" s="14" t="s">
        <v>323</v>
      </c>
      <c r="V27" s="14"/>
    </row>
    <row r="28" spans="1:22" x14ac:dyDescent="0.2">
      <c r="A28" s="14" t="s">
        <v>324</v>
      </c>
    </row>
    <row r="29" spans="1:22" x14ac:dyDescent="0.2">
      <c r="A29" s="20" t="s">
        <v>325</v>
      </c>
    </row>
    <row r="30" spans="1:22" x14ac:dyDescent="0.2">
      <c r="A30" s="20" t="s">
        <v>326</v>
      </c>
    </row>
    <row r="31" spans="1:22" x14ac:dyDescent="0.2">
      <c r="A31" s="20" t="s">
        <v>327</v>
      </c>
    </row>
    <row r="32" spans="1:22" x14ac:dyDescent="0.2">
      <c r="A32" s="20" t="s">
        <v>328</v>
      </c>
    </row>
    <row r="33" spans="1:1" x14ac:dyDescent="0.2">
      <c r="A33" s="20" t="s">
        <v>329</v>
      </c>
    </row>
    <row r="34" spans="1:1" x14ac:dyDescent="0.2">
      <c r="A34" s="20" t="s">
        <v>330</v>
      </c>
    </row>
    <row r="35" spans="1:1" x14ac:dyDescent="0.2">
      <c r="A35" s="26" t="s">
        <v>331</v>
      </c>
    </row>
    <row r="36" spans="1:1" x14ac:dyDescent="0.2">
      <c r="A36" s="14" t="s">
        <v>332</v>
      </c>
    </row>
    <row r="37" spans="1:1" x14ac:dyDescent="0.2">
      <c r="A37" s="24" t="s">
        <v>333</v>
      </c>
    </row>
    <row r="38" spans="1:1" x14ac:dyDescent="0.2">
      <c r="A38" s="14" t="s">
        <v>334</v>
      </c>
    </row>
    <row r="40" spans="1:1" x14ac:dyDescent="0.2">
      <c r="A40" s="20" t="s">
        <v>335</v>
      </c>
    </row>
    <row r="42" spans="1:1" x14ac:dyDescent="0.2">
      <c r="A42" s="27" t="s">
        <v>336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customXml/itemProps3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README</vt:lpstr>
      <vt:lpstr>Diesel</vt:lpstr>
      <vt:lpstr>Argentina</vt:lpstr>
      <vt:lpstr>Sheet1</vt:lpstr>
      <vt:lpstr>Pesticides</vt:lpstr>
      <vt:lpstr>Pesticides sources</vt:lpstr>
      <vt:lpstr>Sweden</vt:lpstr>
      <vt:lpstr>Defaults</vt:lpstr>
      <vt:lpstr>Reference list</vt:lpstr>
      <vt:lpstr>Sheet1!country_codes</vt:lpstr>
      <vt:lpstr>Argentina!Crop_codes</vt:lpstr>
      <vt:lpstr>Defaults!Crop_codes</vt:lpstr>
      <vt:lpstr>Sweden!Crop_codes</vt:lpstr>
      <vt:lpstr>Argentina!Crop_data</vt:lpstr>
      <vt:lpstr>Defaults!Crop_data</vt:lpstr>
      <vt:lpstr>Sweden!Crop_data</vt:lpstr>
      <vt:lpstr>Argentina!Crop_data_codes</vt:lpstr>
      <vt:lpstr>Defaults!Crop_data_codes</vt:lpstr>
      <vt:lpstr>Sweden!Crop_data_codes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2026-01-21T10:13:22Z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