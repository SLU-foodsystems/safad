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 updateLinks="never" codeName="ThisWorkbook"/>
  <xr:revisionPtr revIDLastSave="212" documentId="11_04A075D9B9B9F16C0F6EA89F52FB33787FBBA6FE" xr6:coauthVersionLast="47" xr6:coauthVersionMax="47" xr10:uidLastSave="{3D7AF565-010E-4030-80C4-24DC7748E5D6}"/>
  <bookViews>
    <workbookView xWindow="-108" yWindow="-108" windowWidth="23256" windowHeight="12576" firstSheet="6" activeTab="11" xr2:uid="{00000000-000D-0000-FFFF-FFFF00000000}"/>
  </bookViews>
  <sheets>
    <sheet name="README" sheetId="117" r:id="rId1"/>
    <sheet name="Footprints, results per kg" sheetId="116" r:id="rId2"/>
    <sheet name="Crops, input data per ha" sheetId="108" r:id="rId3"/>
    <sheet name="Crops CO2e" sheetId="115" r:id="rId4"/>
    <sheet name="Crops CO2" sheetId="109" r:id="rId5"/>
    <sheet name="Crops CH4, fossil" sheetId="113" r:id="rId6"/>
    <sheet name="Crops CH4, bio" sheetId="123" r:id="rId7"/>
    <sheet name="Crops N2O" sheetId="114" r:id="rId8"/>
    <sheet name="Energy" sheetId="111" r:id="rId9"/>
    <sheet name="Emission factors" sheetId="91" r:id="rId10"/>
    <sheet name="CF climate" sheetId="110" r:id="rId11"/>
    <sheet name="Reference list" sheetId="122" r:id="rId12"/>
  </sheets>
  <definedNames>
    <definedName name="_xlnm._FilterDatabase" localSheetId="6" hidden="1">'Crops CH4, bio'!$A$5:$N$5</definedName>
    <definedName name="_xlnm._FilterDatabase" localSheetId="5" hidden="1">'Crops CH4, fossil'!$A$5:$N$118</definedName>
    <definedName name="_xlnm._FilterDatabase" localSheetId="4" hidden="1">'Crops CO2'!$A$5:$N$118</definedName>
    <definedName name="_xlnm._FilterDatabase" localSheetId="3" hidden="1">'Crops CO2e'!$A$5:$N$118</definedName>
    <definedName name="_xlnm._FilterDatabase" localSheetId="7" hidden="1">'Crops N2O'!$A$5:$N$118</definedName>
    <definedName name="_xlnm._FilterDatabase" localSheetId="2" hidden="1">'Crops, input data per ha'!$A$5:$AM$118</definedName>
    <definedName name="_xlnm._FilterDatabase" localSheetId="1" hidden="1">'Footprints, results per kg'!$A$5:$S$118</definedName>
    <definedName name="CF_biog_CH4">'CF climate'!$C$5</definedName>
    <definedName name="CF_fossil_CH4">'CF climate'!$D$5</definedName>
    <definedName name="CF_HCFC">'CF climate'!$F$5</definedName>
    <definedName name="CF_N2O">'CF climate'!$E$5</definedName>
    <definedName name="CH4_bio_codes">'Crops CH4, bio'!$A$6:$A$118</definedName>
    <definedName name="CH4_bio_data">'Crops CH4, bio'!$E$6:$N$118</definedName>
    <definedName name="CH4_codes" localSheetId="6">'Crops CH4, bio'!$A$6:$A$118</definedName>
    <definedName name="CH4_codes">'Crops CH4, fossil'!$A$6:$A$118</definedName>
    <definedName name="CH4_data" localSheetId="6">'Crops CH4, bio'!$E$6:$N$118</definedName>
    <definedName name="CH4_data">'Crops CH4, fossil'!$E$6:$N$118</definedName>
    <definedName name="CO2_codes">'Crops CO2'!$A$6:$A$118</definedName>
    <definedName name="CO2_data">'Crops CO2'!$E$6:$N$118</definedName>
    <definedName name="CO2e_codes">'Crops CO2e'!$A$6:$A$118</definedName>
    <definedName name="CO2e_data">'Crops CO2e'!$E$6:$N$118</definedName>
    <definedName name="Crop_codes" localSheetId="1">'Footprints, results per kg'!$A$6:$A$116</definedName>
    <definedName name="Crop_codes">'Crops, input data per ha'!$A$6:$A$118</definedName>
    <definedName name="Crop_data">'Crops, input data per ha'!$A$6:$Z$118</definedName>
    <definedName name="Crop_data_codes">'Crops, input data per ha'!$A$6:$A$118</definedName>
    <definedName name="Crops" localSheetId="6">'Crops CH4, bio'!$B:$B</definedName>
    <definedName name="Crops" localSheetId="5">'Crops CH4, fossil'!$B:$B</definedName>
    <definedName name="Crops" localSheetId="3">'Crops CO2e'!$B:$B</definedName>
    <definedName name="Crops" localSheetId="7">'Crops N2O'!$B:$B</definedName>
    <definedName name="Crops">'Crops CO2'!$B:$B</definedName>
    <definedName name="EF_capital_goods_CH4">'Emission factors'!$C$35</definedName>
    <definedName name="EF_capital_goods_CO2">'Emission factors'!$B$35</definedName>
    <definedName name="EF_capital_goods_N2O">'Emission factors'!$D$35</definedName>
    <definedName name="EF_chips_CH4">'Emission factors'!$C$10</definedName>
    <definedName name="EF_chips_CO2">'Emission factors'!$B$10</definedName>
    <definedName name="EF_chips_N2O">'Emission factors'!$D$10</definedName>
    <definedName name="EF_diesel_CH4">'Emission factors'!$C$13</definedName>
    <definedName name="EF_diesel_CO2">'Emission factors'!$B$13</definedName>
    <definedName name="EF_diesel_N2O">'Emission factors'!$D$13</definedName>
    <definedName name="EF_district_heating_CH4">'Emission factors'!$C$14</definedName>
    <definedName name="EF_district_heating_CO2">'Emission factors'!$B$14</definedName>
    <definedName name="EF_district_heating_N2O">'Emission factors'!$D$14</definedName>
    <definedName name="EF_electricity_CH4">'Emission factors'!$C$6</definedName>
    <definedName name="EF_electricity_CO2">'Emission factors'!$B$6</definedName>
    <definedName name="EF_electricity_N2O">'Emission factors'!$D$6</definedName>
    <definedName name="EF_heating_oil_CH4">'Emission factors'!$C$7</definedName>
    <definedName name="EF_heating_oil_CO2">'Emission factors'!$B$7</definedName>
    <definedName name="EF_heating_oil_N2O">'Emission factors'!$D$7</definedName>
    <definedName name="EF_irrigation_CH4">'Emission factors'!$C$28</definedName>
    <definedName name="EF_irrigation_CO2">'Emission factors'!$B$28</definedName>
    <definedName name="EF_irrigation_N2O">'Emission factors'!$D$28</definedName>
    <definedName name="EF_min_fert_AN_CH4">'Emission factors'!$C$21</definedName>
    <definedName name="EF_min_fert_AN_CO2">'Emission factors'!$B$21</definedName>
    <definedName name="EF_min_fert_AN_N2O">'Emission factors'!$D$21</definedName>
    <definedName name="EF_min_fert_BAT_CH4">'Emission factors'!$C$20</definedName>
    <definedName name="EF_min_fert_BAT_CO2">'Emission factors'!$B$20</definedName>
    <definedName name="EF_min_fert_BAT_N2O">'Emission factors'!$D$20</definedName>
    <definedName name="EF_min_fert_CH4">'Emission factors'!$C$20</definedName>
    <definedName name="EF_min_fert_CO2">'Emission factors'!$B$20</definedName>
    <definedName name="EF_N2O_soils_crop_res">'Emission factors'!$B$63</definedName>
    <definedName name="EF_N2O_soils_indirect">'Emission factors'!$B$64</definedName>
    <definedName name="EF_N2O_soils_min_fert">'Emission factors'!$B$62</definedName>
    <definedName name="EF_natural_gas_CH4">'Emission factors'!$C$8</definedName>
    <definedName name="EF_natural_gas_CO2">'Emission factors'!$B$8</definedName>
    <definedName name="EF_natural_gas_N2O">'Emission factors'!$D$8</definedName>
    <definedName name="EF_NH3">'Emission factors'!$B$73</definedName>
    <definedName name="EF_other_fossil_CH4">'Emission factors'!$C$9</definedName>
    <definedName name="EF_other_fossil_CO2">'Emission factors'!$B$9</definedName>
    <definedName name="EF_other_fossil_N2O">'Emission factors'!$D$9</definedName>
    <definedName name="EF_other_renew_CH4">'Emission factors'!$C$12</definedName>
    <definedName name="EF_other_renew_CO2">'Emission factors'!$B$12</definedName>
    <definedName name="EF_other_renew_N2O">'Emission factors'!$D$12</definedName>
    <definedName name="EF_pellets_CH4">'Emission factors'!$C$11</definedName>
    <definedName name="EF_pellets_CO2">'Emission factors'!$B$11</definedName>
    <definedName name="EF_pellets_N2O">'Emission factors'!$D$11</definedName>
    <definedName name="Frac_AN">'Emission factors'!$E$21</definedName>
    <definedName name="Frac_BAT">'Emission factors'!$E$20</definedName>
    <definedName name="Heating_value_diesel">'Emission factors'!$E$13</definedName>
    <definedName name="Heating_value_oil">'Emission factors'!$E$7</definedName>
    <definedName name="N_to_NH3">'Emission factors'!$B$74</definedName>
    <definedName name="N2O_codes">'Crops N2O'!$A$6:$A$118</definedName>
    <definedName name="N2O_data">'Crops N2O'!$E$6:$N$118</definedName>
    <definedName name="No_species">'Emission factors'!$B$69</definedName>
    <definedName name="Post_harvest_energy_categories">Energy!$A$28:$A$44</definedName>
    <definedName name="Post_harvest_energy_data">Energy!$A$28:$D$44</definedName>
    <definedName name="Soil_carbon_categories">'Emission factors'!$A$41:$A$57</definedName>
    <definedName name="Soil_carbon_data">'Emission factors'!$A$41:$B$57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11" l="1"/>
  <c r="K39" i="114" l="1"/>
  <c r="K39" i="113"/>
  <c r="K39" i="109"/>
  <c r="Z106" i="108"/>
  <c r="Y106" i="108"/>
  <c r="X106" i="108"/>
  <c r="W106" i="108"/>
  <c r="V106" i="108"/>
  <c r="U106" i="108"/>
  <c r="T106" i="108"/>
  <c r="S106" i="108"/>
  <c r="R106" i="108"/>
  <c r="Q106" i="108"/>
  <c r="P106" i="108"/>
  <c r="O106" i="108"/>
  <c r="N106" i="108"/>
  <c r="M106" i="108"/>
  <c r="L106" i="108"/>
  <c r="K106" i="108"/>
  <c r="I106" i="108"/>
  <c r="H106" i="108"/>
  <c r="F106" i="108"/>
  <c r="K106" i="114" s="1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H38" i="108"/>
  <c r="F38" i="108"/>
  <c r="K38" i="109" s="1"/>
  <c r="G14" i="108"/>
  <c r="J47" i="108"/>
  <c r="G47" i="108"/>
  <c r="J49" i="108"/>
  <c r="G49" i="108"/>
  <c r="G59" i="108"/>
  <c r="B6" i="115"/>
  <c r="C118" i="123"/>
  <c r="B118" i="123"/>
  <c r="C117" i="123"/>
  <c r="B117" i="123"/>
  <c r="C116" i="123"/>
  <c r="B116" i="123"/>
  <c r="C115" i="123"/>
  <c r="B115" i="123"/>
  <c r="C114" i="123"/>
  <c r="B114" i="123"/>
  <c r="C113" i="123"/>
  <c r="B113" i="123"/>
  <c r="C112" i="123"/>
  <c r="B112" i="123"/>
  <c r="C111" i="123"/>
  <c r="B111" i="123"/>
  <c r="C110" i="123"/>
  <c r="B110" i="123"/>
  <c r="C109" i="123"/>
  <c r="B109" i="123"/>
  <c r="C108" i="123"/>
  <c r="B108" i="123"/>
  <c r="C107" i="123"/>
  <c r="B107" i="123"/>
  <c r="C106" i="123"/>
  <c r="B106" i="123"/>
  <c r="C105" i="123"/>
  <c r="B105" i="123"/>
  <c r="C104" i="123"/>
  <c r="B104" i="123"/>
  <c r="C103" i="123"/>
  <c r="B103" i="123"/>
  <c r="C102" i="123"/>
  <c r="B102" i="123"/>
  <c r="C101" i="123"/>
  <c r="B101" i="123"/>
  <c r="C100" i="123"/>
  <c r="B100" i="123"/>
  <c r="C99" i="123"/>
  <c r="B99" i="123"/>
  <c r="C98" i="123"/>
  <c r="B98" i="123"/>
  <c r="C97" i="123"/>
  <c r="B97" i="123"/>
  <c r="C96" i="123"/>
  <c r="B96" i="123"/>
  <c r="C95" i="123"/>
  <c r="B95" i="123"/>
  <c r="C94" i="123"/>
  <c r="B94" i="123"/>
  <c r="C93" i="123"/>
  <c r="B93" i="123"/>
  <c r="C92" i="123"/>
  <c r="B92" i="123"/>
  <c r="C91" i="123"/>
  <c r="B91" i="123"/>
  <c r="C90" i="123"/>
  <c r="B90" i="123"/>
  <c r="C89" i="123"/>
  <c r="B89" i="123"/>
  <c r="C88" i="123"/>
  <c r="B88" i="123"/>
  <c r="C87" i="123"/>
  <c r="B87" i="123"/>
  <c r="C86" i="123"/>
  <c r="B86" i="123"/>
  <c r="C85" i="123"/>
  <c r="B85" i="123"/>
  <c r="C84" i="123"/>
  <c r="B84" i="123"/>
  <c r="C83" i="123"/>
  <c r="B83" i="123"/>
  <c r="C82" i="123"/>
  <c r="B82" i="123"/>
  <c r="C81" i="123"/>
  <c r="B81" i="123"/>
  <c r="C80" i="123"/>
  <c r="B80" i="123"/>
  <c r="C79" i="123"/>
  <c r="B79" i="123"/>
  <c r="C78" i="123"/>
  <c r="B78" i="123"/>
  <c r="C77" i="123"/>
  <c r="B77" i="123"/>
  <c r="C76" i="123"/>
  <c r="B76" i="123"/>
  <c r="C75" i="123"/>
  <c r="B75" i="123"/>
  <c r="C74" i="123"/>
  <c r="B74" i="123"/>
  <c r="C73" i="123"/>
  <c r="B73" i="123"/>
  <c r="C72" i="123"/>
  <c r="B72" i="123"/>
  <c r="C71" i="123"/>
  <c r="B71" i="123"/>
  <c r="C70" i="123"/>
  <c r="B70" i="123"/>
  <c r="C69" i="123"/>
  <c r="B69" i="123"/>
  <c r="C68" i="123"/>
  <c r="B68" i="123"/>
  <c r="C67" i="123"/>
  <c r="B67" i="123"/>
  <c r="C66" i="123"/>
  <c r="B66" i="123"/>
  <c r="C65" i="123"/>
  <c r="B65" i="123"/>
  <c r="C64" i="123"/>
  <c r="B64" i="123"/>
  <c r="C63" i="123"/>
  <c r="B63" i="123"/>
  <c r="C62" i="123"/>
  <c r="B62" i="123"/>
  <c r="C61" i="123"/>
  <c r="B61" i="123"/>
  <c r="C60" i="123"/>
  <c r="B60" i="123"/>
  <c r="C59" i="123"/>
  <c r="B59" i="123"/>
  <c r="C58" i="123"/>
  <c r="B58" i="123"/>
  <c r="C57" i="123"/>
  <c r="B57" i="123"/>
  <c r="C56" i="123"/>
  <c r="B56" i="123"/>
  <c r="C55" i="123"/>
  <c r="B55" i="123"/>
  <c r="C54" i="123"/>
  <c r="B54" i="123"/>
  <c r="C53" i="123"/>
  <c r="B53" i="123"/>
  <c r="C52" i="123"/>
  <c r="B52" i="123"/>
  <c r="C51" i="123"/>
  <c r="B51" i="123"/>
  <c r="C50" i="123"/>
  <c r="B50" i="123"/>
  <c r="C49" i="123"/>
  <c r="B49" i="123"/>
  <c r="C48" i="123"/>
  <c r="B48" i="123"/>
  <c r="C47" i="123"/>
  <c r="B47" i="123"/>
  <c r="C46" i="123"/>
  <c r="B46" i="123"/>
  <c r="C45" i="123"/>
  <c r="B45" i="123"/>
  <c r="C44" i="123"/>
  <c r="B44" i="123"/>
  <c r="C43" i="123"/>
  <c r="B43" i="123"/>
  <c r="C42" i="123"/>
  <c r="B42" i="123"/>
  <c r="C41" i="123"/>
  <c r="B41" i="123"/>
  <c r="C40" i="123"/>
  <c r="B40" i="123"/>
  <c r="C39" i="123"/>
  <c r="B39" i="123"/>
  <c r="C38" i="123"/>
  <c r="B38" i="123"/>
  <c r="C37" i="123"/>
  <c r="B37" i="123"/>
  <c r="C36" i="123"/>
  <c r="B36" i="123"/>
  <c r="C35" i="123"/>
  <c r="B35" i="123"/>
  <c r="C34" i="123"/>
  <c r="B34" i="123"/>
  <c r="C33" i="123"/>
  <c r="B33" i="123"/>
  <c r="C32" i="123"/>
  <c r="B32" i="123"/>
  <c r="C31" i="123"/>
  <c r="B31" i="123"/>
  <c r="C30" i="123"/>
  <c r="B30" i="123"/>
  <c r="C29" i="123"/>
  <c r="B29" i="123"/>
  <c r="C28" i="123"/>
  <c r="B28" i="123"/>
  <c r="C27" i="123"/>
  <c r="B27" i="123"/>
  <c r="C26" i="123"/>
  <c r="B26" i="123"/>
  <c r="C25" i="123"/>
  <c r="B25" i="123"/>
  <c r="C24" i="123"/>
  <c r="B24" i="123"/>
  <c r="C23" i="123"/>
  <c r="B23" i="123"/>
  <c r="C22" i="123"/>
  <c r="B22" i="123"/>
  <c r="C21" i="123"/>
  <c r="B21" i="123"/>
  <c r="C20" i="123"/>
  <c r="B20" i="123"/>
  <c r="C19" i="123"/>
  <c r="B19" i="123"/>
  <c r="C18" i="123"/>
  <c r="B18" i="123"/>
  <c r="C17" i="123"/>
  <c r="B17" i="123"/>
  <c r="C16" i="123"/>
  <c r="B16" i="123"/>
  <c r="C15" i="123"/>
  <c r="B15" i="123"/>
  <c r="C14" i="123"/>
  <c r="B14" i="123"/>
  <c r="C13" i="123"/>
  <c r="B13" i="123"/>
  <c r="C12" i="123"/>
  <c r="B12" i="123"/>
  <c r="C11" i="123"/>
  <c r="B11" i="123"/>
  <c r="C10" i="123"/>
  <c r="B10" i="123"/>
  <c r="C9" i="123"/>
  <c r="B9" i="123"/>
  <c r="C8" i="123"/>
  <c r="B8" i="123"/>
  <c r="C7" i="123"/>
  <c r="B7" i="123"/>
  <c r="C6" i="123"/>
  <c r="B6" i="123"/>
  <c r="K106" i="109" l="1"/>
  <c r="K38" i="113"/>
  <c r="K106" i="113"/>
  <c r="K38" i="114"/>
  <c r="B114" i="114"/>
  <c r="C114" i="114"/>
  <c r="B115" i="114"/>
  <c r="C115" i="114"/>
  <c r="B114" i="113"/>
  <c r="C114" i="113"/>
  <c r="B115" i="113"/>
  <c r="C115" i="113"/>
  <c r="C113" i="113"/>
  <c r="B117" i="109"/>
  <c r="C117" i="109"/>
  <c r="B118" i="109"/>
  <c r="C118" i="109"/>
  <c r="B117" i="115"/>
  <c r="C117" i="115"/>
  <c r="B118" i="115"/>
  <c r="C118" i="115"/>
  <c r="B117" i="116"/>
  <c r="C117" i="116"/>
  <c r="D117" i="116"/>
  <c r="I117" i="116" s="1"/>
  <c r="B118" i="116"/>
  <c r="C118" i="116"/>
  <c r="D118" i="116"/>
  <c r="I118" i="116" s="1"/>
  <c r="D115" i="108"/>
  <c r="D114" i="108"/>
  <c r="D114" i="123" l="1"/>
  <c r="D114" i="114"/>
  <c r="J114" i="114" s="1"/>
  <c r="D114" i="113"/>
  <c r="E114" i="113" s="1"/>
  <c r="D115" i="123"/>
  <c r="D115" i="114"/>
  <c r="G115" i="114" s="1"/>
  <c r="D115" i="113"/>
  <c r="M115" i="113" s="1"/>
  <c r="L117" i="116"/>
  <c r="S117" i="116"/>
  <c r="S118" i="116"/>
  <c r="Q117" i="116"/>
  <c r="P118" i="116"/>
  <c r="O117" i="116"/>
  <c r="O118" i="116"/>
  <c r="L118" i="116"/>
  <c r="Q118" i="116"/>
  <c r="P117" i="116"/>
  <c r="L115" i="114" l="1"/>
  <c r="F115" i="114"/>
  <c r="I115" i="114"/>
  <c r="H115" i="114"/>
  <c r="J114" i="113"/>
  <c r="L114" i="113"/>
  <c r="J115" i="113"/>
  <c r="M115" i="114"/>
  <c r="M114" i="113"/>
  <c r="G114" i="113"/>
  <c r="E115" i="114"/>
  <c r="F115" i="113"/>
  <c r="G115" i="113"/>
  <c r="M114" i="114"/>
  <c r="L115" i="113"/>
  <c r="F114" i="113"/>
  <c r="E115" i="113"/>
  <c r="E114" i="114"/>
  <c r="H114" i="114"/>
  <c r="F114" i="114"/>
  <c r="G114" i="114"/>
  <c r="L114" i="114"/>
  <c r="I114" i="114"/>
  <c r="J115" i="114"/>
  <c r="J90" i="108"/>
  <c r="J41" i="108"/>
  <c r="G41" i="108"/>
  <c r="D116" i="116" l="1"/>
  <c r="C116" i="116"/>
  <c r="B116" i="116"/>
  <c r="D115" i="116"/>
  <c r="I115" i="116" s="1"/>
  <c r="C115" i="116"/>
  <c r="B115" i="116"/>
  <c r="D114" i="116"/>
  <c r="I114" i="116" s="1"/>
  <c r="C114" i="116"/>
  <c r="B114" i="116"/>
  <c r="D113" i="116"/>
  <c r="C113" i="116"/>
  <c r="B113" i="116"/>
  <c r="D112" i="116"/>
  <c r="C112" i="116"/>
  <c r="B112" i="116"/>
  <c r="D111" i="116"/>
  <c r="C111" i="116"/>
  <c r="B111" i="116"/>
  <c r="D110" i="116"/>
  <c r="C110" i="116"/>
  <c r="B110" i="116"/>
  <c r="D109" i="116"/>
  <c r="I109" i="116" s="1"/>
  <c r="C109" i="116"/>
  <c r="B109" i="116"/>
  <c r="D108" i="116"/>
  <c r="C108" i="116"/>
  <c r="B108" i="116"/>
  <c r="D107" i="116"/>
  <c r="I107" i="116" s="1"/>
  <c r="C107" i="116"/>
  <c r="B107" i="116"/>
  <c r="D106" i="116"/>
  <c r="I106" i="116" s="1"/>
  <c r="C106" i="116"/>
  <c r="B106" i="116"/>
  <c r="D105" i="116"/>
  <c r="C105" i="116"/>
  <c r="B105" i="116"/>
  <c r="D104" i="116"/>
  <c r="C104" i="116"/>
  <c r="B104" i="116"/>
  <c r="D103" i="116"/>
  <c r="C103" i="116"/>
  <c r="B103" i="116"/>
  <c r="D102" i="116"/>
  <c r="C102" i="116"/>
  <c r="B102" i="116"/>
  <c r="D101" i="116"/>
  <c r="I101" i="116" s="1"/>
  <c r="C101" i="116"/>
  <c r="B101" i="116"/>
  <c r="D100" i="116"/>
  <c r="I100" i="116" s="1"/>
  <c r="C100" i="116"/>
  <c r="B100" i="116"/>
  <c r="D99" i="116"/>
  <c r="I99" i="116" s="1"/>
  <c r="C99" i="116"/>
  <c r="B99" i="116"/>
  <c r="D98" i="116"/>
  <c r="C98" i="116"/>
  <c r="B98" i="116"/>
  <c r="D97" i="116"/>
  <c r="I97" i="116" s="1"/>
  <c r="C97" i="116"/>
  <c r="B97" i="116"/>
  <c r="D96" i="116"/>
  <c r="C96" i="116"/>
  <c r="B96" i="116"/>
  <c r="D95" i="116"/>
  <c r="I95" i="116" s="1"/>
  <c r="C95" i="116"/>
  <c r="B95" i="116"/>
  <c r="D94" i="116"/>
  <c r="C94" i="116"/>
  <c r="B94" i="116"/>
  <c r="D93" i="116"/>
  <c r="I93" i="116" s="1"/>
  <c r="C93" i="116"/>
  <c r="B93" i="116"/>
  <c r="D92" i="116"/>
  <c r="I92" i="116" s="1"/>
  <c r="C92" i="116"/>
  <c r="B92" i="116"/>
  <c r="D91" i="116"/>
  <c r="I91" i="116" s="1"/>
  <c r="C91" i="116"/>
  <c r="B91" i="116"/>
  <c r="D90" i="116"/>
  <c r="I90" i="116" s="1"/>
  <c r="C90" i="116"/>
  <c r="B90" i="116"/>
  <c r="D89" i="116"/>
  <c r="C89" i="116"/>
  <c r="B89" i="116"/>
  <c r="D88" i="116"/>
  <c r="C88" i="116"/>
  <c r="B88" i="116"/>
  <c r="D87" i="116"/>
  <c r="I87" i="116" s="1"/>
  <c r="C87" i="116"/>
  <c r="B87" i="116"/>
  <c r="D86" i="116"/>
  <c r="I86" i="116" s="1"/>
  <c r="C86" i="116"/>
  <c r="B86" i="116"/>
  <c r="D85" i="116"/>
  <c r="C85" i="116"/>
  <c r="B85" i="116"/>
  <c r="D84" i="116"/>
  <c r="C84" i="116"/>
  <c r="B84" i="116"/>
  <c r="D83" i="116"/>
  <c r="I83" i="116" s="1"/>
  <c r="C83" i="116"/>
  <c r="B83" i="116"/>
  <c r="D82" i="116"/>
  <c r="C82" i="116"/>
  <c r="B82" i="116"/>
  <c r="D81" i="116"/>
  <c r="C81" i="116"/>
  <c r="B81" i="116"/>
  <c r="D80" i="116"/>
  <c r="C80" i="116"/>
  <c r="B80" i="116"/>
  <c r="D79" i="116"/>
  <c r="I79" i="116" s="1"/>
  <c r="C79" i="116"/>
  <c r="B79" i="116"/>
  <c r="D78" i="116"/>
  <c r="I78" i="116" s="1"/>
  <c r="C78" i="116"/>
  <c r="B78" i="116"/>
  <c r="D77" i="116"/>
  <c r="I77" i="116" s="1"/>
  <c r="C77" i="116"/>
  <c r="B77" i="116"/>
  <c r="D76" i="116"/>
  <c r="C76" i="116"/>
  <c r="B76" i="116"/>
  <c r="D75" i="116"/>
  <c r="C75" i="116"/>
  <c r="B75" i="116"/>
  <c r="D74" i="116"/>
  <c r="I74" i="116" s="1"/>
  <c r="C74" i="116"/>
  <c r="B74" i="116"/>
  <c r="D73" i="116"/>
  <c r="C73" i="116"/>
  <c r="B73" i="116"/>
  <c r="D72" i="116"/>
  <c r="I72" i="116" s="1"/>
  <c r="C72" i="116"/>
  <c r="B72" i="116"/>
  <c r="D71" i="116"/>
  <c r="C71" i="116"/>
  <c r="B71" i="116"/>
  <c r="D70" i="116"/>
  <c r="C70" i="116"/>
  <c r="B70" i="116"/>
  <c r="D69" i="116"/>
  <c r="I69" i="116" s="1"/>
  <c r="C69" i="116"/>
  <c r="B69" i="116"/>
  <c r="D68" i="116"/>
  <c r="C68" i="116"/>
  <c r="B68" i="116"/>
  <c r="D67" i="116"/>
  <c r="I67" i="116" s="1"/>
  <c r="C67" i="116"/>
  <c r="B67" i="116"/>
  <c r="D66" i="116"/>
  <c r="C66" i="116"/>
  <c r="B66" i="116"/>
  <c r="D65" i="116"/>
  <c r="C65" i="116"/>
  <c r="B65" i="116"/>
  <c r="D64" i="116"/>
  <c r="I64" i="116" s="1"/>
  <c r="C64" i="116"/>
  <c r="B64" i="116"/>
  <c r="D63" i="116"/>
  <c r="C63" i="116"/>
  <c r="B63" i="116"/>
  <c r="D62" i="116"/>
  <c r="C62" i="116"/>
  <c r="B62" i="116"/>
  <c r="D61" i="116"/>
  <c r="C61" i="116"/>
  <c r="B61" i="116"/>
  <c r="D60" i="116"/>
  <c r="C60" i="116"/>
  <c r="B60" i="116"/>
  <c r="D59" i="116"/>
  <c r="I59" i="116" s="1"/>
  <c r="C59" i="116"/>
  <c r="B59" i="116"/>
  <c r="D58" i="116"/>
  <c r="C58" i="116"/>
  <c r="B58" i="116"/>
  <c r="D57" i="116"/>
  <c r="I57" i="116" s="1"/>
  <c r="C57" i="116"/>
  <c r="B57" i="116"/>
  <c r="D56" i="116"/>
  <c r="I56" i="116" s="1"/>
  <c r="C56" i="116"/>
  <c r="B56" i="116"/>
  <c r="D55" i="116"/>
  <c r="I55" i="116" s="1"/>
  <c r="C55" i="116"/>
  <c r="B55" i="116"/>
  <c r="D54" i="116"/>
  <c r="C54" i="116"/>
  <c r="B54" i="116"/>
  <c r="D53" i="116"/>
  <c r="I53" i="116" s="1"/>
  <c r="C53" i="116"/>
  <c r="B53" i="116"/>
  <c r="D52" i="116"/>
  <c r="C52" i="116"/>
  <c r="B52" i="116"/>
  <c r="D51" i="116"/>
  <c r="C51" i="116"/>
  <c r="B51" i="116"/>
  <c r="D50" i="116"/>
  <c r="C50" i="116"/>
  <c r="B50" i="116"/>
  <c r="D49" i="116"/>
  <c r="I49" i="116" s="1"/>
  <c r="C49" i="116"/>
  <c r="B49" i="116"/>
  <c r="D48" i="116"/>
  <c r="C48" i="116"/>
  <c r="B48" i="116"/>
  <c r="D47" i="116"/>
  <c r="I47" i="116" s="1"/>
  <c r="C47" i="116"/>
  <c r="B47" i="116"/>
  <c r="D46" i="116"/>
  <c r="C46" i="116"/>
  <c r="B46" i="116"/>
  <c r="D45" i="116"/>
  <c r="C45" i="116"/>
  <c r="B45" i="116"/>
  <c r="D44" i="116"/>
  <c r="C44" i="116"/>
  <c r="B44" i="116"/>
  <c r="D43" i="116"/>
  <c r="C43" i="116"/>
  <c r="B43" i="116"/>
  <c r="D42" i="116"/>
  <c r="C42" i="116"/>
  <c r="B42" i="116"/>
  <c r="D41" i="116"/>
  <c r="I41" i="116" s="1"/>
  <c r="C41" i="116"/>
  <c r="B41" i="116"/>
  <c r="D40" i="116"/>
  <c r="I40" i="116" s="1"/>
  <c r="C40" i="116"/>
  <c r="B40" i="116"/>
  <c r="D39" i="116"/>
  <c r="I39" i="116" s="1"/>
  <c r="C39" i="116"/>
  <c r="B39" i="116"/>
  <c r="D38" i="116"/>
  <c r="I38" i="116" s="1"/>
  <c r="C38" i="116"/>
  <c r="B38" i="116"/>
  <c r="D37" i="116"/>
  <c r="C37" i="116"/>
  <c r="B37" i="116"/>
  <c r="D36" i="116"/>
  <c r="C36" i="116"/>
  <c r="B36" i="116"/>
  <c r="D35" i="116"/>
  <c r="C35" i="116"/>
  <c r="B35" i="116"/>
  <c r="D34" i="116"/>
  <c r="C34" i="116"/>
  <c r="B34" i="116"/>
  <c r="D33" i="116"/>
  <c r="C33" i="116"/>
  <c r="B33" i="116"/>
  <c r="D32" i="116"/>
  <c r="C32" i="116"/>
  <c r="B32" i="116"/>
  <c r="D31" i="116"/>
  <c r="C31" i="116"/>
  <c r="B31" i="116"/>
  <c r="D30" i="116"/>
  <c r="C30" i="116"/>
  <c r="B30" i="116"/>
  <c r="D29" i="116"/>
  <c r="C29" i="116"/>
  <c r="B29" i="116"/>
  <c r="D28" i="116"/>
  <c r="C28" i="116"/>
  <c r="B28" i="116"/>
  <c r="D27" i="116"/>
  <c r="C27" i="116"/>
  <c r="B27" i="116"/>
  <c r="D26" i="116"/>
  <c r="I26" i="116" s="1"/>
  <c r="C26" i="116"/>
  <c r="B26" i="116"/>
  <c r="D25" i="116"/>
  <c r="C25" i="116"/>
  <c r="B25" i="116"/>
  <c r="D24" i="116"/>
  <c r="I24" i="116" s="1"/>
  <c r="C24" i="116"/>
  <c r="B24" i="116"/>
  <c r="D23" i="116"/>
  <c r="C23" i="116"/>
  <c r="B23" i="116"/>
  <c r="D22" i="116"/>
  <c r="I22" i="116" s="1"/>
  <c r="C22" i="116"/>
  <c r="B22" i="116"/>
  <c r="D21" i="116"/>
  <c r="C21" i="116"/>
  <c r="B21" i="116"/>
  <c r="D20" i="116"/>
  <c r="I20" i="116" s="1"/>
  <c r="C20" i="116"/>
  <c r="B20" i="116"/>
  <c r="D19" i="116"/>
  <c r="C19" i="116"/>
  <c r="B19" i="116"/>
  <c r="D18" i="116"/>
  <c r="C18" i="116"/>
  <c r="B18" i="116"/>
  <c r="D17" i="116"/>
  <c r="I17" i="116" s="1"/>
  <c r="C17" i="116"/>
  <c r="B17" i="116"/>
  <c r="D16" i="116"/>
  <c r="I16" i="116" s="1"/>
  <c r="C16" i="116"/>
  <c r="B16" i="116"/>
  <c r="D15" i="116"/>
  <c r="I15" i="116" s="1"/>
  <c r="C15" i="116"/>
  <c r="B15" i="116"/>
  <c r="D14" i="116"/>
  <c r="C14" i="116"/>
  <c r="B14" i="116"/>
  <c r="D13" i="116"/>
  <c r="C13" i="116"/>
  <c r="B13" i="116"/>
  <c r="D12" i="116"/>
  <c r="C12" i="116"/>
  <c r="B12" i="116"/>
  <c r="D11" i="116"/>
  <c r="C11" i="116"/>
  <c r="B11" i="116"/>
  <c r="D10" i="116"/>
  <c r="C10" i="116"/>
  <c r="B10" i="116"/>
  <c r="D9" i="116"/>
  <c r="C9" i="116"/>
  <c r="B9" i="116"/>
  <c r="D8" i="116"/>
  <c r="Q8" i="116" s="1"/>
  <c r="C8" i="116"/>
  <c r="B8" i="116"/>
  <c r="D7" i="116"/>
  <c r="Q7" i="116" s="1"/>
  <c r="C7" i="116"/>
  <c r="B7" i="116"/>
  <c r="D6" i="116"/>
  <c r="C6" i="116"/>
  <c r="B6" i="116"/>
  <c r="C116" i="115"/>
  <c r="B116" i="115"/>
  <c r="C115" i="115"/>
  <c r="B115" i="115"/>
  <c r="C114" i="115"/>
  <c r="B114" i="115"/>
  <c r="C113" i="115"/>
  <c r="B113" i="115"/>
  <c r="C112" i="115"/>
  <c r="B112" i="115"/>
  <c r="C111" i="115"/>
  <c r="B111" i="115"/>
  <c r="C110" i="115"/>
  <c r="B110" i="115"/>
  <c r="C109" i="115"/>
  <c r="B109" i="115"/>
  <c r="C108" i="115"/>
  <c r="B108" i="115"/>
  <c r="C107" i="115"/>
  <c r="B107" i="115"/>
  <c r="C106" i="115"/>
  <c r="B106" i="115"/>
  <c r="C105" i="115"/>
  <c r="B105" i="115"/>
  <c r="C104" i="115"/>
  <c r="B104" i="115"/>
  <c r="C103" i="115"/>
  <c r="B103" i="115"/>
  <c r="C102" i="115"/>
  <c r="B102" i="115"/>
  <c r="C101" i="115"/>
  <c r="B101" i="115"/>
  <c r="C100" i="115"/>
  <c r="B100" i="115"/>
  <c r="C99" i="115"/>
  <c r="B99" i="115"/>
  <c r="C98" i="115"/>
  <c r="B98" i="115"/>
  <c r="C97" i="115"/>
  <c r="B97" i="115"/>
  <c r="C96" i="115"/>
  <c r="B96" i="115"/>
  <c r="C95" i="115"/>
  <c r="B95" i="115"/>
  <c r="C94" i="115"/>
  <c r="B94" i="115"/>
  <c r="C93" i="115"/>
  <c r="B93" i="115"/>
  <c r="C92" i="115"/>
  <c r="B92" i="115"/>
  <c r="C91" i="115"/>
  <c r="B91" i="115"/>
  <c r="C90" i="115"/>
  <c r="B90" i="115"/>
  <c r="C89" i="115"/>
  <c r="B89" i="115"/>
  <c r="C88" i="115"/>
  <c r="B88" i="115"/>
  <c r="C87" i="115"/>
  <c r="B87" i="115"/>
  <c r="C86" i="115"/>
  <c r="B86" i="115"/>
  <c r="C85" i="115"/>
  <c r="B85" i="115"/>
  <c r="C84" i="115"/>
  <c r="B84" i="115"/>
  <c r="C83" i="115"/>
  <c r="B83" i="115"/>
  <c r="C82" i="115"/>
  <c r="B82" i="115"/>
  <c r="C81" i="115"/>
  <c r="B81" i="115"/>
  <c r="C80" i="115"/>
  <c r="B80" i="115"/>
  <c r="C79" i="115"/>
  <c r="B79" i="115"/>
  <c r="C78" i="115"/>
  <c r="B78" i="115"/>
  <c r="C77" i="115"/>
  <c r="B77" i="115"/>
  <c r="C76" i="115"/>
  <c r="B76" i="115"/>
  <c r="C75" i="115"/>
  <c r="B75" i="115"/>
  <c r="C74" i="115"/>
  <c r="B74" i="115"/>
  <c r="C73" i="115"/>
  <c r="B73" i="115"/>
  <c r="C72" i="115"/>
  <c r="B72" i="115"/>
  <c r="C71" i="115"/>
  <c r="B71" i="115"/>
  <c r="C70" i="115"/>
  <c r="B70" i="115"/>
  <c r="C69" i="115"/>
  <c r="B69" i="115"/>
  <c r="C68" i="115"/>
  <c r="B68" i="115"/>
  <c r="C67" i="115"/>
  <c r="B67" i="115"/>
  <c r="C66" i="115"/>
  <c r="B66" i="115"/>
  <c r="C65" i="115"/>
  <c r="B65" i="115"/>
  <c r="C64" i="115"/>
  <c r="B64" i="115"/>
  <c r="C63" i="115"/>
  <c r="B63" i="115"/>
  <c r="C62" i="115"/>
  <c r="B62" i="115"/>
  <c r="C61" i="115"/>
  <c r="B61" i="115"/>
  <c r="C60" i="115"/>
  <c r="B60" i="115"/>
  <c r="C59" i="115"/>
  <c r="B59" i="115"/>
  <c r="C58" i="115"/>
  <c r="B58" i="115"/>
  <c r="C57" i="115"/>
  <c r="B57" i="115"/>
  <c r="C56" i="115"/>
  <c r="B56" i="115"/>
  <c r="C55" i="115"/>
  <c r="B55" i="115"/>
  <c r="C54" i="115"/>
  <c r="B54" i="115"/>
  <c r="C53" i="115"/>
  <c r="B53" i="115"/>
  <c r="C52" i="115"/>
  <c r="B52" i="115"/>
  <c r="C51" i="115"/>
  <c r="B51" i="115"/>
  <c r="C50" i="115"/>
  <c r="B50" i="115"/>
  <c r="C49" i="115"/>
  <c r="B49" i="115"/>
  <c r="C48" i="115"/>
  <c r="B48" i="115"/>
  <c r="C47" i="115"/>
  <c r="B47" i="115"/>
  <c r="C46" i="115"/>
  <c r="B46" i="115"/>
  <c r="C45" i="115"/>
  <c r="B45" i="115"/>
  <c r="C44" i="115"/>
  <c r="B44" i="115"/>
  <c r="C43" i="115"/>
  <c r="B43" i="115"/>
  <c r="C42" i="115"/>
  <c r="B42" i="115"/>
  <c r="C41" i="115"/>
  <c r="B41" i="115"/>
  <c r="C40" i="115"/>
  <c r="B40" i="115"/>
  <c r="C39" i="115"/>
  <c r="B39" i="115"/>
  <c r="C38" i="115"/>
  <c r="B38" i="115"/>
  <c r="C37" i="115"/>
  <c r="B37" i="115"/>
  <c r="C36" i="115"/>
  <c r="B36" i="115"/>
  <c r="C35" i="115"/>
  <c r="B35" i="115"/>
  <c r="C34" i="115"/>
  <c r="B34" i="115"/>
  <c r="C33" i="115"/>
  <c r="B33" i="115"/>
  <c r="C32" i="115"/>
  <c r="B32" i="115"/>
  <c r="C31" i="115"/>
  <c r="B31" i="115"/>
  <c r="C30" i="115"/>
  <c r="B30" i="115"/>
  <c r="C29" i="115"/>
  <c r="B29" i="115"/>
  <c r="C28" i="115"/>
  <c r="B28" i="115"/>
  <c r="C27" i="115"/>
  <c r="B27" i="115"/>
  <c r="C26" i="115"/>
  <c r="B26" i="115"/>
  <c r="C25" i="115"/>
  <c r="B25" i="115"/>
  <c r="C24" i="115"/>
  <c r="B24" i="115"/>
  <c r="C23" i="115"/>
  <c r="B23" i="115"/>
  <c r="C22" i="115"/>
  <c r="B22" i="115"/>
  <c r="C21" i="115"/>
  <c r="B21" i="115"/>
  <c r="C20" i="115"/>
  <c r="B20" i="115"/>
  <c r="C19" i="115"/>
  <c r="B19" i="115"/>
  <c r="C18" i="115"/>
  <c r="B18" i="115"/>
  <c r="C17" i="115"/>
  <c r="B17" i="115"/>
  <c r="C16" i="115"/>
  <c r="B16" i="115"/>
  <c r="C15" i="115"/>
  <c r="B15" i="115"/>
  <c r="C14" i="115"/>
  <c r="B14" i="115"/>
  <c r="C13" i="115"/>
  <c r="B13" i="115"/>
  <c r="C12" i="115"/>
  <c r="B12" i="115"/>
  <c r="C11" i="115"/>
  <c r="B11" i="115"/>
  <c r="C10" i="115"/>
  <c r="B10" i="115"/>
  <c r="C9" i="115"/>
  <c r="B9" i="115"/>
  <c r="C8" i="115"/>
  <c r="B8" i="115"/>
  <c r="C7" i="115"/>
  <c r="B7" i="115"/>
  <c r="C6" i="115"/>
  <c r="C116" i="109"/>
  <c r="B116" i="109"/>
  <c r="C115" i="109"/>
  <c r="B115" i="109"/>
  <c r="C114" i="109"/>
  <c r="B114" i="109"/>
  <c r="C113" i="109"/>
  <c r="B113" i="109"/>
  <c r="C112" i="109"/>
  <c r="B112" i="109"/>
  <c r="C111" i="109"/>
  <c r="B111" i="109"/>
  <c r="C110" i="109"/>
  <c r="B110" i="109"/>
  <c r="C109" i="109"/>
  <c r="B109" i="109"/>
  <c r="C108" i="109"/>
  <c r="B108" i="109"/>
  <c r="C107" i="109"/>
  <c r="B107" i="109"/>
  <c r="C106" i="109"/>
  <c r="B106" i="109"/>
  <c r="C105" i="109"/>
  <c r="B105" i="109"/>
  <c r="C104" i="109"/>
  <c r="B104" i="109"/>
  <c r="C103" i="109"/>
  <c r="B103" i="109"/>
  <c r="C102" i="109"/>
  <c r="B102" i="109"/>
  <c r="C101" i="109"/>
  <c r="B101" i="109"/>
  <c r="C100" i="109"/>
  <c r="B100" i="109"/>
  <c r="C99" i="109"/>
  <c r="B99" i="109"/>
  <c r="C98" i="109"/>
  <c r="B98" i="109"/>
  <c r="C97" i="109"/>
  <c r="B97" i="109"/>
  <c r="C96" i="109"/>
  <c r="B96" i="109"/>
  <c r="C95" i="109"/>
  <c r="B95" i="109"/>
  <c r="C94" i="109"/>
  <c r="B94" i="109"/>
  <c r="C93" i="109"/>
  <c r="B93" i="109"/>
  <c r="C92" i="109"/>
  <c r="B92" i="109"/>
  <c r="C91" i="109"/>
  <c r="B91" i="109"/>
  <c r="C90" i="109"/>
  <c r="B90" i="109"/>
  <c r="C89" i="109"/>
  <c r="B89" i="109"/>
  <c r="C88" i="109"/>
  <c r="B88" i="109"/>
  <c r="C87" i="109"/>
  <c r="B87" i="109"/>
  <c r="C86" i="109"/>
  <c r="B86" i="109"/>
  <c r="C85" i="109"/>
  <c r="B85" i="109"/>
  <c r="C84" i="109"/>
  <c r="B84" i="109"/>
  <c r="C83" i="109"/>
  <c r="B83" i="109"/>
  <c r="C82" i="109"/>
  <c r="B82" i="109"/>
  <c r="C81" i="109"/>
  <c r="B81" i="109"/>
  <c r="C80" i="109"/>
  <c r="B80" i="109"/>
  <c r="C79" i="109"/>
  <c r="B79" i="109"/>
  <c r="C78" i="109"/>
  <c r="B78" i="109"/>
  <c r="C77" i="109"/>
  <c r="B77" i="109"/>
  <c r="C76" i="109"/>
  <c r="B76" i="109"/>
  <c r="C75" i="109"/>
  <c r="B75" i="109"/>
  <c r="C74" i="109"/>
  <c r="B74" i="109"/>
  <c r="C73" i="109"/>
  <c r="B73" i="109"/>
  <c r="C72" i="109"/>
  <c r="B72" i="109"/>
  <c r="C71" i="109"/>
  <c r="B71" i="109"/>
  <c r="C70" i="109"/>
  <c r="B70" i="109"/>
  <c r="C69" i="109"/>
  <c r="B69" i="109"/>
  <c r="C68" i="109"/>
  <c r="B68" i="109"/>
  <c r="C67" i="109"/>
  <c r="B67" i="109"/>
  <c r="C66" i="109"/>
  <c r="B66" i="109"/>
  <c r="C65" i="109"/>
  <c r="B65" i="109"/>
  <c r="C64" i="109"/>
  <c r="B64" i="109"/>
  <c r="C63" i="109"/>
  <c r="B63" i="109"/>
  <c r="C62" i="109"/>
  <c r="B62" i="109"/>
  <c r="C61" i="109"/>
  <c r="B61" i="109"/>
  <c r="C60" i="109"/>
  <c r="B60" i="109"/>
  <c r="C59" i="109"/>
  <c r="B59" i="109"/>
  <c r="C58" i="109"/>
  <c r="B58" i="109"/>
  <c r="C57" i="109"/>
  <c r="B57" i="109"/>
  <c r="C56" i="109"/>
  <c r="B56" i="109"/>
  <c r="C55" i="109"/>
  <c r="B55" i="109"/>
  <c r="C54" i="109"/>
  <c r="B54" i="109"/>
  <c r="C53" i="109"/>
  <c r="B53" i="109"/>
  <c r="C52" i="109"/>
  <c r="B52" i="109"/>
  <c r="C51" i="109"/>
  <c r="B51" i="109"/>
  <c r="C50" i="109"/>
  <c r="B50" i="109"/>
  <c r="C49" i="109"/>
  <c r="B49" i="109"/>
  <c r="C48" i="109"/>
  <c r="B48" i="109"/>
  <c r="C47" i="109"/>
  <c r="B47" i="109"/>
  <c r="C46" i="109"/>
  <c r="B46" i="109"/>
  <c r="C45" i="109"/>
  <c r="B45" i="109"/>
  <c r="C44" i="109"/>
  <c r="B44" i="109"/>
  <c r="C43" i="109"/>
  <c r="B43" i="109"/>
  <c r="C42" i="109"/>
  <c r="B42" i="109"/>
  <c r="C41" i="109"/>
  <c r="B41" i="109"/>
  <c r="C40" i="109"/>
  <c r="B40" i="109"/>
  <c r="C39" i="109"/>
  <c r="B39" i="109"/>
  <c r="C38" i="109"/>
  <c r="B38" i="109"/>
  <c r="C37" i="109"/>
  <c r="B37" i="109"/>
  <c r="C36" i="109"/>
  <c r="B36" i="109"/>
  <c r="C35" i="109"/>
  <c r="B35" i="109"/>
  <c r="C34" i="109"/>
  <c r="B34" i="109"/>
  <c r="C33" i="109"/>
  <c r="B33" i="109"/>
  <c r="C32" i="109"/>
  <c r="B32" i="109"/>
  <c r="C31" i="109"/>
  <c r="B31" i="109"/>
  <c r="C30" i="109"/>
  <c r="B30" i="109"/>
  <c r="C29" i="109"/>
  <c r="B29" i="109"/>
  <c r="C28" i="109"/>
  <c r="B28" i="109"/>
  <c r="C27" i="109"/>
  <c r="B27" i="109"/>
  <c r="C26" i="109"/>
  <c r="B26" i="109"/>
  <c r="C25" i="109"/>
  <c r="B25" i="109"/>
  <c r="C24" i="109"/>
  <c r="B24" i="109"/>
  <c r="C23" i="109"/>
  <c r="B23" i="109"/>
  <c r="C22" i="109"/>
  <c r="B22" i="109"/>
  <c r="C21" i="109"/>
  <c r="B21" i="109"/>
  <c r="C20" i="109"/>
  <c r="B20" i="109"/>
  <c r="C19" i="109"/>
  <c r="B19" i="109"/>
  <c r="C18" i="109"/>
  <c r="B18" i="109"/>
  <c r="C17" i="109"/>
  <c r="B17" i="109"/>
  <c r="C16" i="109"/>
  <c r="B16" i="109"/>
  <c r="C15" i="109"/>
  <c r="B15" i="109"/>
  <c r="C14" i="109"/>
  <c r="B14" i="109"/>
  <c r="C13" i="109"/>
  <c r="B13" i="109"/>
  <c r="C12" i="109"/>
  <c r="B12" i="109"/>
  <c r="C11" i="109"/>
  <c r="B11" i="109"/>
  <c r="C10" i="109"/>
  <c r="B10" i="109"/>
  <c r="C9" i="109"/>
  <c r="B9" i="109"/>
  <c r="C8" i="109"/>
  <c r="B8" i="109"/>
  <c r="C7" i="109"/>
  <c r="B7" i="109"/>
  <c r="C6" i="109"/>
  <c r="B6" i="109"/>
  <c r="C118" i="114"/>
  <c r="B118" i="114"/>
  <c r="C117" i="114"/>
  <c r="B117" i="114"/>
  <c r="C116" i="114"/>
  <c r="B116" i="114"/>
  <c r="C113" i="114"/>
  <c r="B113" i="114"/>
  <c r="C112" i="114"/>
  <c r="B112" i="114"/>
  <c r="C111" i="114"/>
  <c r="B111" i="114"/>
  <c r="C110" i="114"/>
  <c r="B110" i="114"/>
  <c r="C109" i="114"/>
  <c r="B109" i="114"/>
  <c r="C108" i="114"/>
  <c r="B108" i="114"/>
  <c r="C107" i="114"/>
  <c r="B107" i="114"/>
  <c r="C106" i="114"/>
  <c r="B106" i="114"/>
  <c r="C105" i="114"/>
  <c r="B105" i="114"/>
  <c r="C104" i="114"/>
  <c r="B104" i="114"/>
  <c r="C103" i="114"/>
  <c r="B103" i="114"/>
  <c r="C102" i="114"/>
  <c r="B102" i="114"/>
  <c r="C101" i="114"/>
  <c r="B101" i="114"/>
  <c r="C100" i="114"/>
  <c r="B100" i="114"/>
  <c r="C99" i="114"/>
  <c r="B99" i="114"/>
  <c r="C98" i="114"/>
  <c r="B98" i="114"/>
  <c r="C97" i="114"/>
  <c r="B97" i="114"/>
  <c r="C96" i="114"/>
  <c r="B96" i="114"/>
  <c r="C95" i="114"/>
  <c r="B95" i="114"/>
  <c r="C94" i="114"/>
  <c r="B94" i="114"/>
  <c r="C93" i="114"/>
  <c r="B93" i="114"/>
  <c r="C92" i="114"/>
  <c r="B92" i="114"/>
  <c r="C91" i="114"/>
  <c r="B91" i="114"/>
  <c r="C90" i="114"/>
  <c r="B90" i="114"/>
  <c r="C89" i="114"/>
  <c r="B89" i="114"/>
  <c r="C88" i="114"/>
  <c r="B88" i="114"/>
  <c r="C87" i="114"/>
  <c r="B87" i="114"/>
  <c r="C86" i="114"/>
  <c r="B86" i="114"/>
  <c r="C85" i="114"/>
  <c r="B85" i="114"/>
  <c r="C84" i="114"/>
  <c r="B84" i="114"/>
  <c r="C83" i="114"/>
  <c r="B83" i="114"/>
  <c r="C82" i="114"/>
  <c r="B82" i="114"/>
  <c r="C81" i="114"/>
  <c r="B81" i="114"/>
  <c r="C80" i="114"/>
  <c r="B80" i="114"/>
  <c r="C79" i="114"/>
  <c r="B79" i="114"/>
  <c r="C78" i="114"/>
  <c r="B78" i="114"/>
  <c r="C77" i="114"/>
  <c r="B77" i="114"/>
  <c r="C76" i="114"/>
  <c r="B76" i="114"/>
  <c r="C75" i="114"/>
  <c r="B75" i="114"/>
  <c r="C74" i="114"/>
  <c r="B74" i="114"/>
  <c r="C73" i="114"/>
  <c r="B73" i="114"/>
  <c r="C72" i="114"/>
  <c r="B72" i="114"/>
  <c r="C71" i="114"/>
  <c r="B71" i="114"/>
  <c r="C70" i="114"/>
  <c r="B70" i="114"/>
  <c r="C69" i="114"/>
  <c r="B69" i="114"/>
  <c r="C68" i="114"/>
  <c r="B68" i="114"/>
  <c r="C67" i="114"/>
  <c r="B67" i="114"/>
  <c r="C66" i="114"/>
  <c r="B66" i="114"/>
  <c r="C65" i="114"/>
  <c r="B65" i="114"/>
  <c r="C64" i="114"/>
  <c r="B64" i="114"/>
  <c r="C63" i="114"/>
  <c r="B63" i="114"/>
  <c r="C62" i="114"/>
  <c r="B62" i="114"/>
  <c r="C61" i="114"/>
  <c r="B61" i="114"/>
  <c r="C60" i="114"/>
  <c r="B60" i="114"/>
  <c r="C59" i="114"/>
  <c r="B59" i="114"/>
  <c r="C58" i="114"/>
  <c r="B58" i="114"/>
  <c r="C57" i="114"/>
  <c r="B57" i="114"/>
  <c r="C56" i="114"/>
  <c r="B56" i="114"/>
  <c r="C55" i="114"/>
  <c r="B55" i="114"/>
  <c r="C54" i="114"/>
  <c r="B54" i="114"/>
  <c r="C53" i="114"/>
  <c r="B53" i="114"/>
  <c r="C52" i="114"/>
  <c r="B52" i="114"/>
  <c r="C51" i="114"/>
  <c r="B51" i="114"/>
  <c r="C50" i="114"/>
  <c r="B50" i="114"/>
  <c r="C49" i="114"/>
  <c r="B49" i="114"/>
  <c r="C48" i="114"/>
  <c r="B48" i="114"/>
  <c r="C47" i="114"/>
  <c r="B47" i="114"/>
  <c r="C46" i="114"/>
  <c r="B46" i="114"/>
  <c r="C45" i="114"/>
  <c r="B45" i="114"/>
  <c r="C44" i="114"/>
  <c r="B44" i="114"/>
  <c r="C43" i="114"/>
  <c r="B43" i="114"/>
  <c r="C42" i="114"/>
  <c r="B42" i="114"/>
  <c r="C41" i="114"/>
  <c r="B41" i="114"/>
  <c r="C40" i="114"/>
  <c r="B40" i="114"/>
  <c r="C39" i="114"/>
  <c r="B39" i="114"/>
  <c r="C38" i="114"/>
  <c r="B38" i="114"/>
  <c r="C37" i="114"/>
  <c r="B37" i="114"/>
  <c r="C36" i="114"/>
  <c r="B36" i="114"/>
  <c r="C35" i="114"/>
  <c r="B35" i="114"/>
  <c r="C34" i="114"/>
  <c r="B34" i="114"/>
  <c r="C33" i="114"/>
  <c r="B33" i="114"/>
  <c r="C32" i="114"/>
  <c r="B32" i="114"/>
  <c r="C31" i="114"/>
  <c r="B31" i="114"/>
  <c r="C30" i="114"/>
  <c r="B30" i="114"/>
  <c r="C29" i="114"/>
  <c r="B29" i="114"/>
  <c r="C28" i="114"/>
  <c r="B28" i="114"/>
  <c r="C27" i="114"/>
  <c r="B27" i="114"/>
  <c r="C26" i="114"/>
  <c r="B26" i="114"/>
  <c r="C25" i="114"/>
  <c r="B25" i="114"/>
  <c r="C24" i="114"/>
  <c r="B24" i="114"/>
  <c r="C23" i="114"/>
  <c r="B23" i="114"/>
  <c r="C22" i="114"/>
  <c r="B22" i="114"/>
  <c r="C21" i="114"/>
  <c r="B21" i="114"/>
  <c r="C20" i="114"/>
  <c r="B20" i="114"/>
  <c r="C19" i="114"/>
  <c r="B19" i="114"/>
  <c r="C18" i="114"/>
  <c r="B18" i="114"/>
  <c r="C17" i="114"/>
  <c r="B17" i="114"/>
  <c r="C16" i="114"/>
  <c r="B16" i="114"/>
  <c r="C15" i="114"/>
  <c r="B15" i="114"/>
  <c r="C14" i="114"/>
  <c r="B14" i="114"/>
  <c r="C13" i="114"/>
  <c r="B13" i="114"/>
  <c r="C12" i="114"/>
  <c r="B12" i="114"/>
  <c r="C11" i="114"/>
  <c r="B11" i="114"/>
  <c r="C10" i="114"/>
  <c r="B10" i="114"/>
  <c r="C9" i="114"/>
  <c r="B9" i="114"/>
  <c r="C8" i="114"/>
  <c r="B8" i="114"/>
  <c r="C7" i="114"/>
  <c r="B7" i="114"/>
  <c r="C6" i="114"/>
  <c r="B6" i="114"/>
  <c r="C118" i="113"/>
  <c r="B118" i="113"/>
  <c r="C117" i="113"/>
  <c r="B117" i="113"/>
  <c r="C116" i="113"/>
  <c r="B116" i="113"/>
  <c r="B113" i="113"/>
  <c r="C112" i="113"/>
  <c r="B112" i="113"/>
  <c r="C111" i="113"/>
  <c r="B111" i="113"/>
  <c r="C110" i="113"/>
  <c r="B110" i="113"/>
  <c r="C109" i="113"/>
  <c r="B109" i="113"/>
  <c r="C108" i="113"/>
  <c r="B108" i="113"/>
  <c r="C107" i="113"/>
  <c r="B107" i="113"/>
  <c r="C106" i="113"/>
  <c r="B106" i="113"/>
  <c r="C105" i="113"/>
  <c r="B105" i="113"/>
  <c r="C104" i="113"/>
  <c r="B104" i="113"/>
  <c r="C103" i="113"/>
  <c r="B103" i="113"/>
  <c r="C102" i="113"/>
  <c r="B102" i="113"/>
  <c r="C101" i="113"/>
  <c r="B101" i="113"/>
  <c r="C100" i="113"/>
  <c r="B100" i="113"/>
  <c r="C99" i="113"/>
  <c r="B99" i="113"/>
  <c r="C98" i="113"/>
  <c r="B98" i="113"/>
  <c r="C97" i="113"/>
  <c r="B97" i="113"/>
  <c r="C96" i="113"/>
  <c r="B96" i="113"/>
  <c r="C95" i="113"/>
  <c r="B95" i="113"/>
  <c r="C94" i="113"/>
  <c r="B94" i="113"/>
  <c r="C93" i="113"/>
  <c r="B93" i="113"/>
  <c r="C92" i="113"/>
  <c r="B92" i="113"/>
  <c r="C91" i="113"/>
  <c r="B91" i="113"/>
  <c r="C90" i="113"/>
  <c r="B90" i="113"/>
  <c r="C89" i="113"/>
  <c r="B89" i="113"/>
  <c r="C88" i="113"/>
  <c r="B88" i="113"/>
  <c r="C87" i="113"/>
  <c r="B87" i="113"/>
  <c r="C86" i="113"/>
  <c r="B86" i="113"/>
  <c r="C85" i="113"/>
  <c r="B85" i="113"/>
  <c r="C84" i="113"/>
  <c r="B84" i="113"/>
  <c r="C83" i="113"/>
  <c r="B83" i="113"/>
  <c r="C82" i="113"/>
  <c r="B82" i="113"/>
  <c r="C81" i="113"/>
  <c r="B81" i="113"/>
  <c r="C80" i="113"/>
  <c r="B80" i="113"/>
  <c r="C79" i="113"/>
  <c r="B79" i="113"/>
  <c r="C78" i="113"/>
  <c r="B78" i="113"/>
  <c r="C77" i="113"/>
  <c r="B77" i="113"/>
  <c r="C76" i="113"/>
  <c r="B76" i="113"/>
  <c r="C75" i="113"/>
  <c r="B75" i="113"/>
  <c r="C74" i="113"/>
  <c r="B74" i="113"/>
  <c r="C73" i="113"/>
  <c r="B73" i="113"/>
  <c r="C72" i="113"/>
  <c r="B72" i="113"/>
  <c r="C71" i="113"/>
  <c r="B71" i="113"/>
  <c r="C70" i="113"/>
  <c r="B70" i="113"/>
  <c r="C69" i="113"/>
  <c r="B69" i="113"/>
  <c r="C68" i="113"/>
  <c r="B68" i="113"/>
  <c r="C67" i="113"/>
  <c r="B67" i="113"/>
  <c r="C66" i="113"/>
  <c r="B66" i="113"/>
  <c r="C65" i="113"/>
  <c r="B65" i="113"/>
  <c r="C64" i="113"/>
  <c r="B64" i="113"/>
  <c r="C63" i="113"/>
  <c r="B63" i="113"/>
  <c r="C62" i="113"/>
  <c r="B62" i="113"/>
  <c r="C61" i="113"/>
  <c r="B61" i="113"/>
  <c r="C60" i="113"/>
  <c r="B60" i="113"/>
  <c r="C59" i="113"/>
  <c r="B59" i="113"/>
  <c r="C58" i="113"/>
  <c r="B58" i="113"/>
  <c r="C57" i="113"/>
  <c r="B57" i="113"/>
  <c r="C56" i="113"/>
  <c r="B56" i="113"/>
  <c r="C55" i="113"/>
  <c r="B55" i="113"/>
  <c r="C54" i="113"/>
  <c r="B54" i="113"/>
  <c r="C53" i="113"/>
  <c r="B53" i="113"/>
  <c r="C52" i="113"/>
  <c r="B52" i="113"/>
  <c r="C51" i="113"/>
  <c r="B51" i="113"/>
  <c r="C50" i="113"/>
  <c r="B50" i="113"/>
  <c r="C49" i="113"/>
  <c r="B49" i="113"/>
  <c r="C48" i="113"/>
  <c r="B48" i="113"/>
  <c r="C47" i="113"/>
  <c r="B47" i="113"/>
  <c r="C46" i="113"/>
  <c r="B46" i="113"/>
  <c r="C45" i="113"/>
  <c r="B45" i="113"/>
  <c r="C44" i="113"/>
  <c r="B44" i="113"/>
  <c r="C43" i="113"/>
  <c r="B43" i="113"/>
  <c r="C42" i="113"/>
  <c r="B42" i="113"/>
  <c r="C41" i="113"/>
  <c r="B41" i="113"/>
  <c r="C40" i="113"/>
  <c r="B40" i="113"/>
  <c r="C39" i="113"/>
  <c r="B39" i="113"/>
  <c r="C38" i="113"/>
  <c r="B38" i="113"/>
  <c r="C37" i="113"/>
  <c r="B37" i="113"/>
  <c r="C36" i="113"/>
  <c r="B36" i="113"/>
  <c r="C35" i="113"/>
  <c r="B35" i="113"/>
  <c r="C34" i="113"/>
  <c r="B34" i="113"/>
  <c r="C33" i="113"/>
  <c r="B33" i="113"/>
  <c r="C32" i="113"/>
  <c r="B32" i="113"/>
  <c r="C31" i="113"/>
  <c r="B31" i="113"/>
  <c r="C30" i="113"/>
  <c r="B30" i="113"/>
  <c r="C29" i="113"/>
  <c r="B29" i="113"/>
  <c r="C28" i="113"/>
  <c r="B28" i="113"/>
  <c r="C27" i="113"/>
  <c r="B27" i="113"/>
  <c r="C26" i="113"/>
  <c r="B26" i="113"/>
  <c r="C25" i="113"/>
  <c r="B25" i="113"/>
  <c r="C24" i="113"/>
  <c r="B24" i="113"/>
  <c r="C23" i="113"/>
  <c r="B23" i="113"/>
  <c r="C22" i="113"/>
  <c r="B22" i="113"/>
  <c r="C21" i="113"/>
  <c r="B21" i="113"/>
  <c r="C20" i="113"/>
  <c r="B20" i="113"/>
  <c r="C19" i="113"/>
  <c r="B19" i="113"/>
  <c r="C18" i="113"/>
  <c r="B18" i="113"/>
  <c r="C17" i="113"/>
  <c r="B17" i="113"/>
  <c r="C16" i="113"/>
  <c r="B16" i="113"/>
  <c r="C15" i="113"/>
  <c r="B15" i="113"/>
  <c r="C14" i="113"/>
  <c r="B14" i="113"/>
  <c r="C13" i="113"/>
  <c r="B13" i="113"/>
  <c r="C12" i="113"/>
  <c r="B12" i="113"/>
  <c r="C11" i="113"/>
  <c r="B11" i="113"/>
  <c r="C10" i="113"/>
  <c r="B10" i="113"/>
  <c r="C9" i="113"/>
  <c r="B9" i="113"/>
  <c r="C8" i="113"/>
  <c r="B8" i="113"/>
  <c r="C7" i="113"/>
  <c r="B7" i="113"/>
  <c r="C6" i="113"/>
  <c r="B6" i="113"/>
  <c r="I14" i="116" l="1"/>
  <c r="Q14" i="116"/>
  <c r="I116" i="116"/>
  <c r="Q116" i="116"/>
  <c r="N23" i="116"/>
  <c r="I23" i="116"/>
  <c r="F63" i="116"/>
  <c r="I63" i="116"/>
  <c r="F71" i="116"/>
  <c r="I71" i="116"/>
  <c r="F103" i="116"/>
  <c r="I103" i="116"/>
  <c r="F111" i="116"/>
  <c r="I111" i="116"/>
  <c r="N10" i="116"/>
  <c r="I10" i="116"/>
  <c r="N18" i="116"/>
  <c r="I18" i="116"/>
  <c r="F34" i="116"/>
  <c r="I34" i="116"/>
  <c r="F42" i="116"/>
  <c r="I42" i="116"/>
  <c r="F50" i="116"/>
  <c r="I50" i="116"/>
  <c r="F58" i="116"/>
  <c r="I58" i="116"/>
  <c r="F66" i="116"/>
  <c r="I66" i="116"/>
  <c r="F82" i="116"/>
  <c r="I82" i="116"/>
  <c r="F98" i="116"/>
  <c r="I98" i="116"/>
  <c r="N7" i="116"/>
  <c r="I7" i="116"/>
  <c r="S31" i="116"/>
  <c r="I31" i="116"/>
  <c r="N13" i="116"/>
  <c r="I13" i="116"/>
  <c r="N21" i="116"/>
  <c r="I21" i="116"/>
  <c r="S29" i="116"/>
  <c r="I29" i="116"/>
  <c r="M37" i="116"/>
  <c r="I37" i="116"/>
  <c r="M45" i="116"/>
  <c r="I45" i="116"/>
  <c r="M61" i="116"/>
  <c r="I61" i="116"/>
  <c r="M85" i="116"/>
  <c r="I85" i="116"/>
  <c r="I8" i="116"/>
  <c r="M32" i="116"/>
  <c r="I32" i="116"/>
  <c r="M48" i="116"/>
  <c r="I48" i="116"/>
  <c r="M80" i="116"/>
  <c r="I80" i="116"/>
  <c r="M88" i="116"/>
  <c r="I88" i="116"/>
  <c r="M96" i="116"/>
  <c r="I96" i="116"/>
  <c r="M104" i="116"/>
  <c r="I104" i="116"/>
  <c r="M112" i="116"/>
  <c r="I112" i="116"/>
  <c r="N11" i="116"/>
  <c r="I11" i="116"/>
  <c r="N19" i="116"/>
  <c r="I19" i="116"/>
  <c r="S27" i="116"/>
  <c r="I27" i="116"/>
  <c r="F35" i="116"/>
  <c r="I35" i="116"/>
  <c r="F43" i="116"/>
  <c r="I43" i="116"/>
  <c r="F51" i="116"/>
  <c r="I51" i="116"/>
  <c r="F75" i="116"/>
  <c r="I75" i="116"/>
  <c r="N6" i="116"/>
  <c r="I6" i="116"/>
  <c r="H6" i="116"/>
  <c r="S30" i="116"/>
  <c r="I30" i="116"/>
  <c r="M46" i="116"/>
  <c r="I46" i="116"/>
  <c r="M54" i="116"/>
  <c r="I54" i="116"/>
  <c r="M62" i="116"/>
  <c r="I62" i="116"/>
  <c r="M70" i="116"/>
  <c r="I70" i="116"/>
  <c r="M94" i="116"/>
  <c r="I94" i="116"/>
  <c r="M102" i="116"/>
  <c r="I102" i="116"/>
  <c r="M110" i="116"/>
  <c r="I110" i="116"/>
  <c r="N9" i="116"/>
  <c r="I9" i="116"/>
  <c r="N25" i="116"/>
  <c r="I25" i="116"/>
  <c r="F33" i="116"/>
  <c r="I33" i="116"/>
  <c r="F65" i="116"/>
  <c r="I65" i="116"/>
  <c r="F73" i="116"/>
  <c r="I73" i="116"/>
  <c r="F81" i="116"/>
  <c r="I81" i="116"/>
  <c r="F89" i="116"/>
  <c r="I89" i="116"/>
  <c r="F105" i="116"/>
  <c r="I105" i="116"/>
  <c r="F113" i="116"/>
  <c r="I113" i="116"/>
  <c r="N12" i="116"/>
  <c r="I12" i="116"/>
  <c r="S28" i="116"/>
  <c r="I28" i="116"/>
  <c r="F36" i="116"/>
  <c r="I36" i="116"/>
  <c r="F44" i="116"/>
  <c r="I44" i="116"/>
  <c r="F52" i="116"/>
  <c r="I52" i="116"/>
  <c r="F60" i="116"/>
  <c r="I60" i="116"/>
  <c r="F68" i="116"/>
  <c r="I68" i="116"/>
  <c r="F76" i="116"/>
  <c r="I76" i="116"/>
  <c r="F84" i="116"/>
  <c r="I84" i="116"/>
  <c r="F108" i="116"/>
  <c r="I108" i="116"/>
  <c r="J84" i="116"/>
  <c r="J68" i="116"/>
  <c r="J52" i="116"/>
  <c r="J36" i="116"/>
  <c r="J98" i="116"/>
  <c r="J82" i="116"/>
  <c r="J66" i="116"/>
  <c r="J50" i="116"/>
  <c r="J34" i="116"/>
  <c r="J112" i="116"/>
  <c r="J96" i="116"/>
  <c r="J80" i="116"/>
  <c r="J48" i="116"/>
  <c r="J30" i="116"/>
  <c r="J110" i="116"/>
  <c r="J94" i="116"/>
  <c r="J62" i="116"/>
  <c r="J46" i="116"/>
  <c r="J108" i="116"/>
  <c r="J76" i="116"/>
  <c r="J60" i="116"/>
  <c r="J44" i="116"/>
  <c r="F6" i="116"/>
  <c r="J58" i="116"/>
  <c r="J42" i="116"/>
  <c r="J104" i="116"/>
  <c r="J88" i="116"/>
  <c r="J18" i="116"/>
  <c r="J102" i="116"/>
  <c r="J70" i="116"/>
  <c r="J54" i="116"/>
  <c r="J10" i="116"/>
  <c r="J32" i="116"/>
  <c r="J12" i="116"/>
  <c r="G6" i="116"/>
  <c r="H112" i="116"/>
  <c r="H110" i="116"/>
  <c r="H108" i="116"/>
  <c r="H104" i="116"/>
  <c r="H102" i="116"/>
  <c r="H98" i="116"/>
  <c r="H96" i="116"/>
  <c r="H94" i="116"/>
  <c r="H88" i="116"/>
  <c r="H84" i="116"/>
  <c r="H82" i="116"/>
  <c r="H80" i="116"/>
  <c r="H76" i="116"/>
  <c r="H70" i="116"/>
  <c r="H68" i="116"/>
  <c r="H66" i="116"/>
  <c r="H62" i="116"/>
  <c r="H60" i="116"/>
  <c r="H58" i="116"/>
  <c r="H54" i="116"/>
  <c r="H52" i="116"/>
  <c r="H50" i="116"/>
  <c r="H48" i="116"/>
  <c r="H46" i="116"/>
  <c r="H44" i="116"/>
  <c r="H42" i="116"/>
  <c r="H36" i="116"/>
  <c r="H34" i="116"/>
  <c r="H32" i="116"/>
  <c r="H30" i="116"/>
  <c r="H18" i="116"/>
  <c r="H12" i="116"/>
  <c r="H10" i="116"/>
  <c r="G112" i="116"/>
  <c r="G110" i="116"/>
  <c r="G108" i="116"/>
  <c r="G104" i="116"/>
  <c r="G102" i="116"/>
  <c r="G98" i="116"/>
  <c r="G96" i="116"/>
  <c r="G94" i="116"/>
  <c r="G88" i="116"/>
  <c r="G84" i="116"/>
  <c r="G82" i="116"/>
  <c r="G80" i="116"/>
  <c r="G76" i="116"/>
  <c r="G70" i="116"/>
  <c r="G68" i="116"/>
  <c r="G66" i="116"/>
  <c r="G62" i="116"/>
  <c r="G60" i="116"/>
  <c r="G58" i="116"/>
  <c r="G54" i="116"/>
  <c r="G52" i="116"/>
  <c r="G50" i="116"/>
  <c r="G48" i="116"/>
  <c r="G46" i="116"/>
  <c r="G44" i="116"/>
  <c r="G42" i="116"/>
  <c r="G36" i="116"/>
  <c r="G34" i="116"/>
  <c r="G32" i="116"/>
  <c r="G30" i="116"/>
  <c r="G18" i="116"/>
  <c r="G12" i="116"/>
  <c r="G10" i="116"/>
  <c r="J6" i="116"/>
  <c r="F112" i="116"/>
  <c r="F110" i="116"/>
  <c r="F104" i="116"/>
  <c r="F102" i="116"/>
  <c r="F96" i="116"/>
  <c r="F94" i="116"/>
  <c r="F88" i="116"/>
  <c r="F80" i="116"/>
  <c r="F70" i="116"/>
  <c r="F62" i="116"/>
  <c r="F54" i="116"/>
  <c r="F48" i="116"/>
  <c r="F46" i="116"/>
  <c r="F32" i="116"/>
  <c r="F30" i="116"/>
  <c r="F18" i="116"/>
  <c r="F12" i="116"/>
  <c r="F10" i="116"/>
  <c r="F7" i="116"/>
  <c r="J113" i="116"/>
  <c r="J111" i="116"/>
  <c r="J105" i="116"/>
  <c r="J103" i="116"/>
  <c r="J89" i="116"/>
  <c r="J85" i="116"/>
  <c r="J81" i="116"/>
  <c r="J75" i="116"/>
  <c r="J73" i="116"/>
  <c r="J71" i="116"/>
  <c r="J65" i="116"/>
  <c r="J63" i="116"/>
  <c r="J61" i="116"/>
  <c r="J51" i="116"/>
  <c r="J45" i="116"/>
  <c r="J43" i="116"/>
  <c r="J37" i="116"/>
  <c r="J35" i="116"/>
  <c r="J33" i="116"/>
  <c r="J31" i="116"/>
  <c r="J27" i="116"/>
  <c r="J25" i="116"/>
  <c r="J23" i="116"/>
  <c r="J21" i="116"/>
  <c r="J19" i="116"/>
  <c r="J13" i="116"/>
  <c r="J9" i="116"/>
  <c r="G7" i="116"/>
  <c r="H113" i="116"/>
  <c r="H111" i="116"/>
  <c r="H105" i="116"/>
  <c r="H103" i="116"/>
  <c r="H89" i="116"/>
  <c r="H85" i="116"/>
  <c r="H81" i="116"/>
  <c r="H75" i="116"/>
  <c r="H73" i="116"/>
  <c r="H71" i="116"/>
  <c r="H65" i="116"/>
  <c r="H63" i="116"/>
  <c r="H61" i="116"/>
  <c r="H51" i="116"/>
  <c r="H45" i="116"/>
  <c r="H43" i="116"/>
  <c r="H37" i="116"/>
  <c r="H35" i="116"/>
  <c r="H33" i="116"/>
  <c r="H31" i="116"/>
  <c r="H27" i="116"/>
  <c r="H25" i="116"/>
  <c r="H23" i="116"/>
  <c r="H21" i="116"/>
  <c r="H19" i="116"/>
  <c r="H13" i="116"/>
  <c r="H9" i="116"/>
  <c r="H7" i="116"/>
  <c r="G113" i="116"/>
  <c r="G111" i="116"/>
  <c r="G105" i="116"/>
  <c r="G103" i="116"/>
  <c r="G89" i="116"/>
  <c r="G85" i="116"/>
  <c r="G81" i="116"/>
  <c r="G75" i="116"/>
  <c r="G73" i="116"/>
  <c r="G71" i="116"/>
  <c r="G65" i="116"/>
  <c r="G63" i="116"/>
  <c r="G61" i="116"/>
  <c r="G51" i="116"/>
  <c r="G45" i="116"/>
  <c r="G43" i="116"/>
  <c r="G37" i="116"/>
  <c r="G35" i="116"/>
  <c r="G33" i="116"/>
  <c r="G31" i="116"/>
  <c r="G27" i="116"/>
  <c r="G25" i="116"/>
  <c r="G23" i="116"/>
  <c r="G21" i="116"/>
  <c r="G19" i="116"/>
  <c r="G13" i="116"/>
  <c r="G9" i="116"/>
  <c r="J7" i="116"/>
  <c r="F85" i="116"/>
  <c r="F61" i="116"/>
  <c r="F45" i="116"/>
  <c r="F37" i="116"/>
  <c r="F31" i="116"/>
  <c r="F27" i="116"/>
  <c r="F25" i="116"/>
  <c r="F23" i="116"/>
  <c r="F21" i="116"/>
  <c r="F19" i="116"/>
  <c r="F13" i="116"/>
  <c r="F9" i="116"/>
  <c r="S33" i="116"/>
  <c r="R33" i="116"/>
  <c r="Q33" i="116"/>
  <c r="P33" i="116"/>
  <c r="O33" i="116"/>
  <c r="N33" i="116"/>
  <c r="S41" i="116"/>
  <c r="Q41" i="116"/>
  <c r="P41" i="116"/>
  <c r="O41" i="116"/>
  <c r="L41" i="116"/>
  <c r="S49" i="116"/>
  <c r="Q49" i="116"/>
  <c r="P49" i="116"/>
  <c r="O49" i="116"/>
  <c r="L49" i="116"/>
  <c r="S57" i="116"/>
  <c r="Q57" i="116"/>
  <c r="P57" i="116"/>
  <c r="O57" i="116"/>
  <c r="L57" i="116"/>
  <c r="S65" i="116"/>
  <c r="R65" i="116"/>
  <c r="Q65" i="116"/>
  <c r="P65" i="116"/>
  <c r="O65" i="116"/>
  <c r="N65" i="116"/>
  <c r="L65" i="116"/>
  <c r="S73" i="116"/>
  <c r="R73" i="116"/>
  <c r="Q73" i="116"/>
  <c r="P73" i="116"/>
  <c r="O73" i="116"/>
  <c r="N73" i="116"/>
  <c r="L73" i="116"/>
  <c r="S81" i="116"/>
  <c r="R81" i="116"/>
  <c r="Q81" i="116"/>
  <c r="P81" i="116"/>
  <c r="O81" i="116"/>
  <c r="N81" i="116"/>
  <c r="L81" i="116"/>
  <c r="S89" i="116"/>
  <c r="R89" i="116"/>
  <c r="Q89" i="116"/>
  <c r="P89" i="116"/>
  <c r="O89" i="116"/>
  <c r="N89" i="116"/>
  <c r="L89" i="116"/>
  <c r="S97" i="116"/>
  <c r="Q97" i="116"/>
  <c r="P97" i="116"/>
  <c r="O97" i="116"/>
  <c r="L97" i="116"/>
  <c r="S105" i="116"/>
  <c r="R105" i="116"/>
  <c r="Q105" i="116"/>
  <c r="P105" i="116"/>
  <c r="O105" i="116"/>
  <c r="N105" i="116"/>
  <c r="L105" i="116"/>
  <c r="S113" i="116"/>
  <c r="R113" i="116"/>
  <c r="Q113" i="116"/>
  <c r="P113" i="116"/>
  <c r="O113" i="116"/>
  <c r="N113" i="116"/>
  <c r="L113" i="116"/>
  <c r="O6" i="116"/>
  <c r="O7" i="116"/>
  <c r="O8" i="116"/>
  <c r="O9" i="116"/>
  <c r="O10" i="116"/>
  <c r="O11" i="116"/>
  <c r="O12" i="116"/>
  <c r="O13" i="116"/>
  <c r="O14" i="116"/>
  <c r="O15" i="116"/>
  <c r="O16" i="116"/>
  <c r="O17" i="116"/>
  <c r="O18" i="116"/>
  <c r="O19" i="116"/>
  <c r="O20" i="116"/>
  <c r="O21" i="116"/>
  <c r="O22" i="116"/>
  <c r="O23" i="116"/>
  <c r="O24" i="116"/>
  <c r="O25" i="116"/>
  <c r="O26" i="116"/>
  <c r="L28" i="116"/>
  <c r="L29" i="116"/>
  <c r="L30" i="116"/>
  <c r="L31" i="116"/>
  <c r="L32" i="116"/>
  <c r="S36" i="116"/>
  <c r="R36" i="116"/>
  <c r="Q36" i="116"/>
  <c r="P36" i="116"/>
  <c r="O36" i="116"/>
  <c r="N36" i="116"/>
  <c r="L36" i="116"/>
  <c r="S44" i="116"/>
  <c r="R44" i="116"/>
  <c r="Q44" i="116"/>
  <c r="P44" i="116"/>
  <c r="O44" i="116"/>
  <c r="N44" i="116"/>
  <c r="L44" i="116"/>
  <c r="S52" i="116"/>
  <c r="R52" i="116"/>
  <c r="Q52" i="116"/>
  <c r="P52" i="116"/>
  <c r="O52" i="116"/>
  <c r="N52" i="116"/>
  <c r="L52" i="116"/>
  <c r="S60" i="116"/>
  <c r="R60" i="116"/>
  <c r="Q60" i="116"/>
  <c r="P60" i="116"/>
  <c r="O60" i="116"/>
  <c r="N60" i="116"/>
  <c r="L60" i="116"/>
  <c r="S68" i="116"/>
  <c r="R68" i="116"/>
  <c r="Q68" i="116"/>
  <c r="P68" i="116"/>
  <c r="O68" i="116"/>
  <c r="N68" i="116"/>
  <c r="L68" i="116"/>
  <c r="S76" i="116"/>
  <c r="R76" i="116"/>
  <c r="Q76" i="116"/>
  <c r="P76" i="116"/>
  <c r="O76" i="116"/>
  <c r="N76" i="116"/>
  <c r="L76" i="116"/>
  <c r="S84" i="116"/>
  <c r="R84" i="116"/>
  <c r="Q84" i="116"/>
  <c r="P84" i="116"/>
  <c r="O84" i="116"/>
  <c r="N84" i="116"/>
  <c r="L84" i="116"/>
  <c r="S92" i="116"/>
  <c r="Q92" i="116"/>
  <c r="P92" i="116"/>
  <c r="O92" i="116"/>
  <c r="L92" i="116"/>
  <c r="S100" i="116"/>
  <c r="Q100" i="116"/>
  <c r="P100" i="116"/>
  <c r="O100" i="116"/>
  <c r="L100" i="116"/>
  <c r="S108" i="116"/>
  <c r="R108" i="116"/>
  <c r="Q108" i="116"/>
  <c r="P108" i="116"/>
  <c r="O108" i="116"/>
  <c r="N108" i="116"/>
  <c r="L108" i="116"/>
  <c r="S116" i="116"/>
  <c r="P116" i="116"/>
  <c r="O116" i="116"/>
  <c r="L116" i="116"/>
  <c r="P6" i="116"/>
  <c r="P7" i="116"/>
  <c r="P8" i="116"/>
  <c r="P9" i="116"/>
  <c r="P10" i="116"/>
  <c r="P11" i="116"/>
  <c r="P12" i="116"/>
  <c r="P13" i="116"/>
  <c r="P14" i="116"/>
  <c r="P15" i="116"/>
  <c r="P16" i="116"/>
  <c r="P17" i="116"/>
  <c r="P18" i="116"/>
  <c r="P19" i="116"/>
  <c r="P20" i="116"/>
  <c r="P21" i="116"/>
  <c r="P22" i="116"/>
  <c r="P23" i="116"/>
  <c r="P24" i="116"/>
  <c r="P25" i="116"/>
  <c r="P26" i="116"/>
  <c r="M30" i="116"/>
  <c r="M31" i="116"/>
  <c r="S39" i="116"/>
  <c r="Q39" i="116"/>
  <c r="P39" i="116"/>
  <c r="O39" i="116"/>
  <c r="L39" i="116"/>
  <c r="S47" i="116"/>
  <c r="Q47" i="116"/>
  <c r="P47" i="116"/>
  <c r="O47" i="116"/>
  <c r="L47" i="116"/>
  <c r="S55" i="116"/>
  <c r="Q55" i="116"/>
  <c r="P55" i="116"/>
  <c r="O55" i="116"/>
  <c r="L55" i="116"/>
  <c r="S63" i="116"/>
  <c r="R63" i="116"/>
  <c r="Q63" i="116"/>
  <c r="P63" i="116"/>
  <c r="O63" i="116"/>
  <c r="N63" i="116"/>
  <c r="L63" i="116"/>
  <c r="S71" i="116"/>
  <c r="R71" i="116"/>
  <c r="Q71" i="116"/>
  <c r="P71" i="116"/>
  <c r="O71" i="116"/>
  <c r="N71" i="116"/>
  <c r="L71" i="116"/>
  <c r="S79" i="116"/>
  <c r="Q79" i="116"/>
  <c r="P79" i="116"/>
  <c r="O79" i="116"/>
  <c r="L79" i="116"/>
  <c r="S87" i="116"/>
  <c r="Q87" i="116"/>
  <c r="P87" i="116"/>
  <c r="O87" i="116"/>
  <c r="N87" i="116"/>
  <c r="L87" i="116"/>
  <c r="S95" i="116"/>
  <c r="Q95" i="116"/>
  <c r="P95" i="116"/>
  <c r="O95" i="116"/>
  <c r="L95" i="116"/>
  <c r="S103" i="116"/>
  <c r="R103" i="116"/>
  <c r="Q103" i="116"/>
  <c r="P103" i="116"/>
  <c r="O103" i="116"/>
  <c r="N103" i="116"/>
  <c r="L103" i="116"/>
  <c r="S111" i="116"/>
  <c r="R111" i="116"/>
  <c r="Q111" i="116"/>
  <c r="P111" i="116"/>
  <c r="O111" i="116"/>
  <c r="N111" i="116"/>
  <c r="L111" i="116"/>
  <c r="Q6" i="116"/>
  <c r="Q9" i="116"/>
  <c r="Q10" i="116"/>
  <c r="Q11" i="116"/>
  <c r="Q12" i="116"/>
  <c r="Q13" i="116"/>
  <c r="Q15" i="116"/>
  <c r="Q16" i="116"/>
  <c r="Q17" i="116"/>
  <c r="Q18" i="116"/>
  <c r="Q19" i="116"/>
  <c r="Q20" i="116"/>
  <c r="Q21" i="116"/>
  <c r="Q22" i="116"/>
  <c r="Q23" i="116"/>
  <c r="Q24" i="116"/>
  <c r="Q25" i="116"/>
  <c r="Q26" i="116"/>
  <c r="N30" i="116"/>
  <c r="N31" i="116"/>
  <c r="L33" i="116"/>
  <c r="M63" i="116"/>
  <c r="M71" i="116"/>
  <c r="M103" i="116"/>
  <c r="M111" i="116"/>
  <c r="S34" i="116"/>
  <c r="R34" i="116"/>
  <c r="Q34" i="116"/>
  <c r="P34" i="116"/>
  <c r="O34" i="116"/>
  <c r="N34" i="116"/>
  <c r="S42" i="116"/>
  <c r="R42" i="116"/>
  <c r="Q42" i="116"/>
  <c r="P42" i="116"/>
  <c r="O42" i="116"/>
  <c r="N42" i="116"/>
  <c r="L42" i="116"/>
  <c r="S50" i="116"/>
  <c r="R50" i="116"/>
  <c r="Q50" i="116"/>
  <c r="P50" i="116"/>
  <c r="O50" i="116"/>
  <c r="N50" i="116"/>
  <c r="L50" i="116"/>
  <c r="S58" i="116"/>
  <c r="R58" i="116"/>
  <c r="Q58" i="116"/>
  <c r="P58" i="116"/>
  <c r="O58" i="116"/>
  <c r="N58" i="116"/>
  <c r="L58" i="116"/>
  <c r="S66" i="116"/>
  <c r="R66" i="116"/>
  <c r="Q66" i="116"/>
  <c r="P66" i="116"/>
  <c r="O66" i="116"/>
  <c r="N66" i="116"/>
  <c r="L66" i="116"/>
  <c r="Q74" i="116"/>
  <c r="P74" i="116"/>
  <c r="O74" i="116"/>
  <c r="L74" i="116"/>
  <c r="S82" i="116"/>
  <c r="R82" i="116"/>
  <c r="Q82" i="116"/>
  <c r="P82" i="116"/>
  <c r="O82" i="116"/>
  <c r="N82" i="116"/>
  <c r="L82" i="116"/>
  <c r="S90" i="116"/>
  <c r="Q90" i="116"/>
  <c r="P90" i="116"/>
  <c r="O90" i="116"/>
  <c r="N90" i="116"/>
  <c r="L90" i="116"/>
  <c r="S98" i="116"/>
  <c r="R98" i="116"/>
  <c r="Q98" i="116"/>
  <c r="P98" i="116"/>
  <c r="O98" i="116"/>
  <c r="N98" i="116"/>
  <c r="L98" i="116"/>
  <c r="S106" i="116"/>
  <c r="Q106" i="116"/>
  <c r="P106" i="116"/>
  <c r="O106" i="116"/>
  <c r="L106" i="116"/>
  <c r="S114" i="116"/>
  <c r="Q114" i="116"/>
  <c r="P114" i="116"/>
  <c r="O114" i="116"/>
  <c r="L114" i="116"/>
  <c r="R6" i="116"/>
  <c r="R7" i="116"/>
  <c r="R9" i="116"/>
  <c r="R10" i="116"/>
  <c r="R12" i="116"/>
  <c r="R13" i="116"/>
  <c r="R18" i="116"/>
  <c r="R19" i="116"/>
  <c r="R21" i="116"/>
  <c r="R23" i="116"/>
  <c r="R25" i="116"/>
  <c r="O28" i="116"/>
  <c r="O29" i="116"/>
  <c r="O30" i="116"/>
  <c r="O31" i="116"/>
  <c r="M33" i="116"/>
  <c r="S37" i="116"/>
  <c r="R37" i="116"/>
  <c r="Q37" i="116"/>
  <c r="P37" i="116"/>
  <c r="O37" i="116"/>
  <c r="N37" i="116"/>
  <c r="L37" i="116"/>
  <c r="S45" i="116"/>
  <c r="R45" i="116"/>
  <c r="Q45" i="116"/>
  <c r="P45" i="116"/>
  <c r="O45" i="116"/>
  <c r="N45" i="116"/>
  <c r="L45" i="116"/>
  <c r="S53" i="116"/>
  <c r="Q53" i="116"/>
  <c r="P53" i="116"/>
  <c r="O53" i="116"/>
  <c r="L53" i="116"/>
  <c r="S61" i="116"/>
  <c r="R61" i="116"/>
  <c r="Q61" i="116"/>
  <c r="P61" i="116"/>
  <c r="O61" i="116"/>
  <c r="N61" i="116"/>
  <c r="L61" i="116"/>
  <c r="S69" i="116"/>
  <c r="Q69" i="116"/>
  <c r="P69" i="116"/>
  <c r="O69" i="116"/>
  <c r="L69" i="116"/>
  <c r="S77" i="116"/>
  <c r="Q77" i="116"/>
  <c r="P77" i="116"/>
  <c r="O77" i="116"/>
  <c r="L77" i="116"/>
  <c r="S85" i="116"/>
  <c r="R85" i="116"/>
  <c r="Q85" i="116"/>
  <c r="P85" i="116"/>
  <c r="O85" i="116"/>
  <c r="N85" i="116"/>
  <c r="L85" i="116"/>
  <c r="S93" i="116"/>
  <c r="Q93" i="116"/>
  <c r="P93" i="116"/>
  <c r="O93" i="116"/>
  <c r="L93" i="116"/>
  <c r="S101" i="116"/>
  <c r="Q101" i="116"/>
  <c r="P101" i="116"/>
  <c r="O101" i="116"/>
  <c r="L101" i="116"/>
  <c r="S109" i="116"/>
  <c r="Q109" i="116"/>
  <c r="P109" i="116"/>
  <c r="O109" i="116"/>
  <c r="L109" i="116"/>
  <c r="S6" i="116"/>
  <c r="S7" i="116"/>
  <c r="S8" i="116"/>
  <c r="S9" i="116"/>
  <c r="S10" i="116"/>
  <c r="S11" i="116"/>
  <c r="S12" i="116"/>
  <c r="S13" i="116"/>
  <c r="S14" i="116"/>
  <c r="S15" i="116"/>
  <c r="S16" i="116"/>
  <c r="S17" i="116"/>
  <c r="S18" i="116"/>
  <c r="S19" i="116"/>
  <c r="S20" i="116"/>
  <c r="S21" i="116"/>
  <c r="S22" i="116"/>
  <c r="S23" i="116"/>
  <c r="S24" i="116"/>
  <c r="S25" i="116"/>
  <c r="S26" i="116"/>
  <c r="P28" i="116"/>
  <c r="P29" i="116"/>
  <c r="P30" i="116"/>
  <c r="P31" i="116"/>
  <c r="L34" i="116"/>
  <c r="M65" i="116"/>
  <c r="M73" i="116"/>
  <c r="M81" i="116"/>
  <c r="M89" i="116"/>
  <c r="M105" i="116"/>
  <c r="M113" i="116"/>
  <c r="S32" i="116"/>
  <c r="R32" i="116"/>
  <c r="Q32" i="116"/>
  <c r="P32" i="116"/>
  <c r="O32" i="116"/>
  <c r="N32" i="116"/>
  <c r="S40" i="116"/>
  <c r="Q40" i="116"/>
  <c r="P40" i="116"/>
  <c r="O40" i="116"/>
  <c r="L40" i="116"/>
  <c r="S48" i="116"/>
  <c r="R48" i="116"/>
  <c r="Q48" i="116"/>
  <c r="P48" i="116"/>
  <c r="O48" i="116"/>
  <c r="N48" i="116"/>
  <c r="L48" i="116"/>
  <c r="S56" i="116"/>
  <c r="Q56" i="116"/>
  <c r="P56" i="116"/>
  <c r="O56" i="116"/>
  <c r="L56" i="116"/>
  <c r="S64" i="116"/>
  <c r="Q64" i="116"/>
  <c r="P64" i="116"/>
  <c r="O64" i="116"/>
  <c r="L64" i="116"/>
  <c r="S72" i="116"/>
  <c r="Q72" i="116"/>
  <c r="P72" i="116"/>
  <c r="O72" i="116"/>
  <c r="L72" i="116"/>
  <c r="S80" i="116"/>
  <c r="R80" i="116"/>
  <c r="Q80" i="116"/>
  <c r="P80" i="116"/>
  <c r="O80" i="116"/>
  <c r="N80" i="116"/>
  <c r="L80" i="116"/>
  <c r="S88" i="116"/>
  <c r="R88" i="116"/>
  <c r="Q88" i="116"/>
  <c r="P88" i="116"/>
  <c r="O88" i="116"/>
  <c r="N88" i="116"/>
  <c r="L88" i="116"/>
  <c r="S96" i="116"/>
  <c r="R96" i="116"/>
  <c r="Q96" i="116"/>
  <c r="P96" i="116"/>
  <c r="O96" i="116"/>
  <c r="N96" i="116"/>
  <c r="L96" i="116"/>
  <c r="S104" i="116"/>
  <c r="R104" i="116"/>
  <c r="Q104" i="116"/>
  <c r="P104" i="116"/>
  <c r="O104" i="116"/>
  <c r="N104" i="116"/>
  <c r="L104" i="116"/>
  <c r="S112" i="116"/>
  <c r="R112" i="116"/>
  <c r="Q112" i="116"/>
  <c r="P112" i="116"/>
  <c r="O112" i="116"/>
  <c r="N112" i="116"/>
  <c r="L112" i="116"/>
  <c r="L6" i="116"/>
  <c r="L7" i="116"/>
  <c r="L8" i="116"/>
  <c r="L9" i="116"/>
  <c r="L10" i="116"/>
  <c r="L11" i="116"/>
  <c r="L12" i="116"/>
  <c r="L13" i="116"/>
  <c r="L14" i="116"/>
  <c r="L15" i="116"/>
  <c r="L16" i="116"/>
  <c r="L17" i="116"/>
  <c r="L18" i="116"/>
  <c r="L19" i="116"/>
  <c r="L20" i="116"/>
  <c r="L21" i="116"/>
  <c r="L22" i="116"/>
  <c r="L23" i="116"/>
  <c r="L24" i="116"/>
  <c r="L25" i="116"/>
  <c r="L26" i="116"/>
  <c r="P27" i="116"/>
  <c r="Q28" i="116"/>
  <c r="Q29" i="116"/>
  <c r="Q30" i="116"/>
  <c r="Q31" i="116"/>
  <c r="M34" i="116"/>
  <c r="M42" i="116"/>
  <c r="M50" i="116"/>
  <c r="M58" i="116"/>
  <c r="M66" i="116"/>
  <c r="M82" i="116"/>
  <c r="M90" i="116"/>
  <c r="M98" i="116"/>
  <c r="S35" i="116"/>
  <c r="R35" i="116"/>
  <c r="Q35" i="116"/>
  <c r="P35" i="116"/>
  <c r="O35" i="116"/>
  <c r="N35" i="116"/>
  <c r="L35" i="116"/>
  <c r="S43" i="116"/>
  <c r="R43" i="116"/>
  <c r="Q43" i="116"/>
  <c r="P43" i="116"/>
  <c r="O43" i="116"/>
  <c r="N43" i="116"/>
  <c r="L43" i="116"/>
  <c r="S51" i="116"/>
  <c r="R51" i="116"/>
  <c r="Q51" i="116"/>
  <c r="P51" i="116"/>
  <c r="O51" i="116"/>
  <c r="N51" i="116"/>
  <c r="L51" i="116"/>
  <c r="S59" i="116"/>
  <c r="Q59" i="116"/>
  <c r="P59" i="116"/>
  <c r="O59" i="116"/>
  <c r="L59" i="116"/>
  <c r="S67" i="116"/>
  <c r="Q67" i="116"/>
  <c r="P67" i="116"/>
  <c r="O67" i="116"/>
  <c r="L67" i="116"/>
  <c r="S75" i="116"/>
  <c r="R75" i="116"/>
  <c r="Q75" i="116"/>
  <c r="P75" i="116"/>
  <c r="O75" i="116"/>
  <c r="N75" i="116"/>
  <c r="L75" i="116"/>
  <c r="S83" i="116"/>
  <c r="Q83" i="116"/>
  <c r="P83" i="116"/>
  <c r="O83" i="116"/>
  <c r="L83" i="116"/>
  <c r="S91" i="116"/>
  <c r="Q91" i="116"/>
  <c r="P91" i="116"/>
  <c r="O91" i="116"/>
  <c r="L91" i="116"/>
  <c r="S99" i="116"/>
  <c r="Q99" i="116"/>
  <c r="P99" i="116"/>
  <c r="O99" i="116"/>
  <c r="L99" i="116"/>
  <c r="S107" i="116"/>
  <c r="Q107" i="116"/>
  <c r="P107" i="116"/>
  <c r="O107" i="116"/>
  <c r="L107" i="116"/>
  <c r="S115" i="116"/>
  <c r="Q115" i="116"/>
  <c r="P115" i="116"/>
  <c r="O115" i="116"/>
  <c r="L115" i="116"/>
  <c r="M6" i="116"/>
  <c r="M7" i="116"/>
  <c r="M9" i="116"/>
  <c r="M10" i="116"/>
  <c r="M11" i="116"/>
  <c r="M12" i="116"/>
  <c r="M13" i="116"/>
  <c r="M18" i="116"/>
  <c r="M19" i="116"/>
  <c r="M21" i="116"/>
  <c r="M23" i="116"/>
  <c r="M25" i="116"/>
  <c r="Q27" i="116"/>
  <c r="R30" i="116"/>
  <c r="R31" i="116"/>
  <c r="M35" i="116"/>
  <c r="M43" i="116"/>
  <c r="M51" i="116"/>
  <c r="M75" i="116"/>
  <c r="S38" i="116"/>
  <c r="Q38" i="116"/>
  <c r="P38" i="116"/>
  <c r="O38" i="116"/>
  <c r="L38" i="116"/>
  <c r="S46" i="116"/>
  <c r="R46" i="116"/>
  <c r="Q46" i="116"/>
  <c r="P46" i="116"/>
  <c r="O46" i="116"/>
  <c r="N46" i="116"/>
  <c r="L46" i="116"/>
  <c r="S54" i="116"/>
  <c r="R54" i="116"/>
  <c r="Q54" i="116"/>
  <c r="P54" i="116"/>
  <c r="O54" i="116"/>
  <c r="N54" i="116"/>
  <c r="L54" i="116"/>
  <c r="S62" i="116"/>
  <c r="R62" i="116"/>
  <c r="Q62" i="116"/>
  <c r="P62" i="116"/>
  <c r="O62" i="116"/>
  <c r="N62" i="116"/>
  <c r="L62" i="116"/>
  <c r="S70" i="116"/>
  <c r="R70" i="116"/>
  <c r="Q70" i="116"/>
  <c r="P70" i="116"/>
  <c r="O70" i="116"/>
  <c r="N70" i="116"/>
  <c r="L70" i="116"/>
  <c r="S78" i="116"/>
  <c r="Q78" i="116"/>
  <c r="P78" i="116"/>
  <c r="O78" i="116"/>
  <c r="L78" i="116"/>
  <c r="S86" i="116"/>
  <c r="Q86" i="116"/>
  <c r="P86" i="116"/>
  <c r="O86" i="116"/>
  <c r="L86" i="116"/>
  <c r="S94" i="116"/>
  <c r="R94" i="116"/>
  <c r="Q94" i="116"/>
  <c r="P94" i="116"/>
  <c r="O94" i="116"/>
  <c r="N94" i="116"/>
  <c r="L94" i="116"/>
  <c r="S102" i="116"/>
  <c r="R102" i="116"/>
  <c r="Q102" i="116"/>
  <c r="P102" i="116"/>
  <c r="O102" i="116"/>
  <c r="N102" i="116"/>
  <c r="L102" i="116"/>
  <c r="S110" i="116"/>
  <c r="R110" i="116"/>
  <c r="Q110" i="116"/>
  <c r="P110" i="116"/>
  <c r="O110" i="116"/>
  <c r="N110" i="116"/>
  <c r="L110" i="116"/>
  <c r="M36" i="116"/>
  <c r="M44" i="116"/>
  <c r="M52" i="116"/>
  <c r="M60" i="116"/>
  <c r="M68" i="116"/>
  <c r="M76" i="116"/>
  <c r="M84" i="116"/>
  <c r="M108" i="116"/>
  <c r="D24" i="108"/>
  <c r="D24" i="123" s="1"/>
  <c r="D25" i="108"/>
  <c r="D25" i="123" s="1"/>
  <c r="D26" i="108"/>
  <c r="D26" i="123" s="1"/>
  <c r="D27" i="108"/>
  <c r="D27" i="123" s="1"/>
  <c r="D28" i="108"/>
  <c r="D28" i="123" s="1"/>
  <c r="D29" i="108"/>
  <c r="D29" i="123" s="1"/>
  <c r="D30" i="108"/>
  <c r="D30" i="123" s="1"/>
  <c r="D20" i="108"/>
  <c r="D20" i="123" s="1"/>
  <c r="D21" i="108"/>
  <c r="D21" i="123" s="1"/>
  <c r="D22" i="108"/>
  <c r="D22" i="123" s="1"/>
  <c r="D23" i="108"/>
  <c r="D23" i="123" s="1"/>
  <c r="D23" i="115" l="1"/>
  <c r="D23" i="109"/>
  <c r="D23" i="113"/>
  <c r="D23" i="114"/>
  <c r="D26" i="115"/>
  <c r="D26" i="109"/>
  <c r="D26" i="114"/>
  <c r="D26" i="113"/>
  <c r="D21" i="115"/>
  <c r="D21" i="109"/>
  <c r="D21" i="114"/>
  <c r="D21" i="113"/>
  <c r="D24" i="115"/>
  <c r="D24" i="109"/>
  <c r="D24" i="114"/>
  <c r="D24" i="113"/>
  <c r="D20" i="115"/>
  <c r="D20" i="109"/>
  <c r="D20" i="113"/>
  <c r="D20" i="114"/>
  <c r="D22" i="109"/>
  <c r="H22" i="109" s="1"/>
  <c r="D22" i="114"/>
  <c r="D22" i="115"/>
  <c r="D22" i="113"/>
  <c r="D25" i="109"/>
  <c r="D25" i="115"/>
  <c r="D25" i="114"/>
  <c r="D25" i="113"/>
  <c r="D30" i="109"/>
  <c r="D30" i="115"/>
  <c r="D30" i="114"/>
  <c r="D30" i="113"/>
  <c r="D29" i="115"/>
  <c r="D29" i="113"/>
  <c r="D29" i="109"/>
  <c r="D29" i="114"/>
  <c r="D28" i="115"/>
  <c r="D28" i="113"/>
  <c r="D28" i="109"/>
  <c r="D28" i="114"/>
  <c r="D27" i="115"/>
  <c r="D27" i="109"/>
  <c r="D27" i="113"/>
  <c r="D27" i="114"/>
  <c r="J24" i="108"/>
  <c r="N24" i="116" s="1"/>
  <c r="I24" i="108"/>
  <c r="G24" i="108"/>
  <c r="K22" i="115" l="1"/>
  <c r="N22" i="115"/>
  <c r="N29" i="115"/>
  <c r="K29" i="115"/>
  <c r="L30" i="115"/>
  <c r="N30" i="115"/>
  <c r="G30" i="115"/>
  <c r="H30" i="115"/>
  <c r="I30" i="115"/>
  <c r="K30" i="115"/>
  <c r="F30" i="115"/>
  <c r="J30" i="115"/>
  <c r="M30" i="115"/>
  <c r="N28" i="115"/>
  <c r="K28" i="115"/>
  <c r="N24" i="115"/>
  <c r="K24" i="115"/>
  <c r="N26" i="115"/>
  <c r="K26" i="115"/>
  <c r="L25" i="115"/>
  <c r="N25" i="115"/>
  <c r="G25" i="115"/>
  <c r="F25" i="115"/>
  <c r="H25" i="115"/>
  <c r="I25" i="115"/>
  <c r="K25" i="115"/>
  <c r="J25" i="115"/>
  <c r="M25" i="115"/>
  <c r="L27" i="115"/>
  <c r="N27" i="115"/>
  <c r="G27" i="115"/>
  <c r="H27" i="115"/>
  <c r="I27" i="115"/>
  <c r="K27" i="115"/>
  <c r="F27" i="115"/>
  <c r="J27" i="115"/>
  <c r="M27" i="115"/>
  <c r="N20" i="115"/>
  <c r="K20" i="115"/>
  <c r="F21" i="115"/>
  <c r="M21" i="115"/>
  <c r="I21" i="115"/>
  <c r="H21" i="115"/>
  <c r="G21" i="115"/>
  <c r="K21" i="115"/>
  <c r="N21" i="115"/>
  <c r="J21" i="115"/>
  <c r="L21" i="115"/>
  <c r="F23" i="115"/>
  <c r="M23" i="115"/>
  <c r="I23" i="115"/>
  <c r="K23" i="115"/>
  <c r="L23" i="115"/>
  <c r="N23" i="115"/>
  <c r="G23" i="115"/>
  <c r="H23" i="115"/>
  <c r="J23" i="115"/>
  <c r="L30" i="113"/>
  <c r="J30" i="113"/>
  <c r="F30" i="113"/>
  <c r="J26" i="113"/>
  <c r="L26" i="113"/>
  <c r="M24" i="116"/>
  <c r="L30" i="114"/>
  <c r="H30" i="114"/>
  <c r="J30" i="114"/>
  <c r="F30" i="114"/>
  <c r="H24" i="114"/>
  <c r="L24" i="114"/>
  <c r="F24" i="114"/>
  <c r="J24" i="114"/>
  <c r="L26" i="114"/>
  <c r="J26" i="114"/>
  <c r="L28" i="114"/>
  <c r="J28" i="114"/>
  <c r="J22" i="113"/>
  <c r="L22" i="113"/>
  <c r="L24" i="113"/>
  <c r="J24" i="113"/>
  <c r="F24" i="113"/>
  <c r="L28" i="113"/>
  <c r="J28" i="113"/>
  <c r="E30" i="115"/>
  <c r="L22" i="114"/>
  <c r="J22" i="114"/>
  <c r="H27" i="114"/>
  <c r="L27" i="114"/>
  <c r="J27" i="114"/>
  <c r="F27" i="114"/>
  <c r="L29" i="114"/>
  <c r="J29" i="114"/>
  <c r="L25" i="113"/>
  <c r="F25" i="113"/>
  <c r="J25" i="113"/>
  <c r="L20" i="114"/>
  <c r="J20" i="114"/>
  <c r="L21" i="113"/>
  <c r="F21" i="113"/>
  <c r="J21" i="113"/>
  <c r="L23" i="114"/>
  <c r="J23" i="114"/>
  <c r="F23" i="114"/>
  <c r="H23" i="114"/>
  <c r="F27" i="113"/>
  <c r="J27" i="113"/>
  <c r="L27" i="113"/>
  <c r="L25" i="114"/>
  <c r="J25" i="114"/>
  <c r="F25" i="114"/>
  <c r="H25" i="114"/>
  <c r="L20" i="113"/>
  <c r="J20" i="113"/>
  <c r="F21" i="114"/>
  <c r="L21" i="114"/>
  <c r="J21" i="114"/>
  <c r="H21" i="114"/>
  <c r="F23" i="113"/>
  <c r="J23" i="113"/>
  <c r="L23" i="113"/>
  <c r="L29" i="113"/>
  <c r="J29" i="113"/>
  <c r="E25" i="115"/>
  <c r="E27" i="115"/>
  <c r="E21" i="115"/>
  <c r="E23" i="115"/>
  <c r="J14" i="108" l="1"/>
  <c r="N14" i="116" s="1"/>
  <c r="J16" i="108"/>
  <c r="N16" i="116" s="1"/>
  <c r="J15" i="108"/>
  <c r="N15" i="116" s="1"/>
  <c r="J91" i="108" l="1"/>
  <c r="N91" i="116" s="1"/>
  <c r="G91" i="108"/>
  <c r="C33" i="111"/>
  <c r="B33" i="111"/>
  <c r="C41" i="111"/>
  <c r="B41" i="111"/>
  <c r="C40" i="111"/>
  <c r="B40" i="111"/>
  <c r="C35" i="111"/>
  <c r="B35" i="111"/>
  <c r="M91" i="116" l="1"/>
  <c r="J118" i="108"/>
  <c r="G118" i="108"/>
  <c r="J117" i="108"/>
  <c r="G117" i="108"/>
  <c r="J116" i="108"/>
  <c r="N114" i="116" s="1"/>
  <c r="G116" i="108"/>
  <c r="J109" i="108"/>
  <c r="N109" i="116" s="1"/>
  <c r="G109" i="108"/>
  <c r="J107" i="108"/>
  <c r="J101" i="108"/>
  <c r="N101" i="116" s="1"/>
  <c r="G101" i="108"/>
  <c r="J100" i="108"/>
  <c r="N100" i="116" s="1"/>
  <c r="G100" i="108"/>
  <c r="J99" i="108"/>
  <c r="N99" i="116" s="1"/>
  <c r="G99" i="108"/>
  <c r="J97" i="108"/>
  <c r="N97" i="116" s="1"/>
  <c r="G97" i="108"/>
  <c r="J95" i="108"/>
  <c r="N95" i="116" s="1"/>
  <c r="G95" i="108"/>
  <c r="G86" i="108"/>
  <c r="G93" i="108"/>
  <c r="J93" i="108"/>
  <c r="N93" i="116" s="1"/>
  <c r="J92" i="108"/>
  <c r="N92" i="116" s="1"/>
  <c r="G92" i="108"/>
  <c r="J86" i="108"/>
  <c r="N86" i="116" s="1"/>
  <c r="J83" i="108"/>
  <c r="N83" i="116" s="1"/>
  <c r="G83" i="108"/>
  <c r="J79" i="108"/>
  <c r="N79" i="116" s="1"/>
  <c r="G79" i="108"/>
  <c r="J78" i="108"/>
  <c r="N78" i="116" s="1"/>
  <c r="G78" i="108"/>
  <c r="J77" i="108"/>
  <c r="N77" i="116" s="1"/>
  <c r="G77" i="108"/>
  <c r="J74" i="108"/>
  <c r="N74" i="116" s="1"/>
  <c r="G74" i="108"/>
  <c r="J72" i="108"/>
  <c r="N72" i="116" s="1"/>
  <c r="G72" i="108"/>
  <c r="J69" i="108"/>
  <c r="N69" i="116" s="1"/>
  <c r="G69" i="108"/>
  <c r="J67" i="108"/>
  <c r="N67" i="116" s="1"/>
  <c r="G67" i="108"/>
  <c r="J64" i="108"/>
  <c r="N64" i="116" s="1"/>
  <c r="G64" i="108"/>
  <c r="J59" i="108"/>
  <c r="N59" i="116" s="1"/>
  <c r="N57" i="116"/>
  <c r="J56" i="108"/>
  <c r="N56" i="116" s="1"/>
  <c r="G56" i="108"/>
  <c r="J55" i="108"/>
  <c r="N55" i="116" s="1"/>
  <c r="G55" i="108"/>
  <c r="J53" i="108"/>
  <c r="N53" i="116" s="1"/>
  <c r="G53" i="108"/>
  <c r="N49" i="116"/>
  <c r="N47" i="116"/>
  <c r="N41" i="116"/>
  <c r="J40" i="108"/>
  <c r="N40" i="116" s="1"/>
  <c r="G40" i="108"/>
  <c r="J39" i="108"/>
  <c r="G39" i="108"/>
  <c r="G38" i="108" s="1"/>
  <c r="M38" i="116" s="1"/>
  <c r="J28" i="108"/>
  <c r="N28" i="116" s="1"/>
  <c r="G28" i="108"/>
  <c r="J22" i="108"/>
  <c r="N22" i="116" s="1"/>
  <c r="G22" i="108"/>
  <c r="J29" i="108"/>
  <c r="N29" i="116" s="1"/>
  <c r="G29" i="108"/>
  <c r="J26" i="108"/>
  <c r="N26" i="116" s="1"/>
  <c r="G26" i="108"/>
  <c r="J20" i="108"/>
  <c r="N20" i="116" s="1"/>
  <c r="G20" i="108"/>
  <c r="J17" i="108"/>
  <c r="N17" i="116" s="1"/>
  <c r="G17" i="108"/>
  <c r="G16" i="108"/>
  <c r="G15" i="108"/>
  <c r="J8" i="108"/>
  <c r="N8" i="116" s="1"/>
  <c r="G8" i="108"/>
  <c r="G107" i="108"/>
  <c r="G106" i="108" s="1"/>
  <c r="G87" i="108"/>
  <c r="I40" i="108"/>
  <c r="I38" i="108" s="1"/>
  <c r="N39" i="116" l="1"/>
  <c r="J38" i="108"/>
  <c r="N38" i="116" s="1"/>
  <c r="N107" i="116"/>
  <c r="J106" i="108"/>
  <c r="N106" i="116" s="1"/>
  <c r="M117" i="116"/>
  <c r="N115" i="116"/>
  <c r="N117" i="116"/>
  <c r="M118" i="116"/>
  <c r="N116" i="116"/>
  <c r="N118" i="116"/>
  <c r="M86" i="116"/>
  <c r="M114" i="116"/>
  <c r="R114" i="116"/>
  <c r="M87" i="116"/>
  <c r="M55" i="116"/>
  <c r="M64" i="116"/>
  <c r="M74" i="116"/>
  <c r="M83" i="116"/>
  <c r="M95" i="116"/>
  <c r="M101" i="116"/>
  <c r="M15" i="116"/>
  <c r="M29" i="116"/>
  <c r="H29" i="114"/>
  <c r="F29" i="114"/>
  <c r="F29" i="113"/>
  <c r="R115" i="116"/>
  <c r="M115" i="116"/>
  <c r="M8" i="116"/>
  <c r="M47" i="116"/>
  <c r="M56" i="116"/>
  <c r="M67" i="116"/>
  <c r="M77" i="116"/>
  <c r="M97" i="116"/>
  <c r="M106" i="116"/>
  <c r="M17" i="116"/>
  <c r="M22" i="116"/>
  <c r="F22" i="113"/>
  <c r="F22" i="114"/>
  <c r="M107" i="116"/>
  <c r="M20" i="116"/>
  <c r="F20" i="113"/>
  <c r="F20" i="114"/>
  <c r="M28" i="116"/>
  <c r="F28" i="114"/>
  <c r="F28" i="113"/>
  <c r="M41" i="116"/>
  <c r="M26" i="116"/>
  <c r="F26" i="114"/>
  <c r="F26" i="113"/>
  <c r="M92" i="116"/>
  <c r="M116" i="116"/>
  <c r="M14" i="116"/>
  <c r="M39" i="116"/>
  <c r="M49" i="116"/>
  <c r="M57" i="116"/>
  <c r="M69" i="116"/>
  <c r="M78" i="116"/>
  <c r="M99" i="116"/>
  <c r="M109" i="116"/>
  <c r="M16" i="116"/>
  <c r="M40" i="116"/>
  <c r="M53" i="116"/>
  <c r="M59" i="116"/>
  <c r="M72" i="116"/>
  <c r="M79" i="116"/>
  <c r="M93" i="116"/>
  <c r="M100" i="116"/>
  <c r="D6" i="91"/>
  <c r="C6" i="91"/>
  <c r="B6" i="91"/>
  <c r="I16" i="108" l="1"/>
  <c r="I55" i="108"/>
  <c r="Z74" i="108"/>
  <c r="S74" i="116" s="1"/>
  <c r="I117" i="108"/>
  <c r="I118" i="108"/>
  <c r="C38" i="111"/>
  <c r="B38" i="111"/>
  <c r="C30" i="111"/>
  <c r="B30" i="111"/>
  <c r="B74" i="91" l="1"/>
  <c r="R90" i="116" l="1"/>
  <c r="R11" i="116"/>
  <c r="R24" i="116"/>
  <c r="R38" i="116"/>
  <c r="R91" i="116"/>
  <c r="R117" i="116"/>
  <c r="R118" i="116"/>
  <c r="R86" i="116"/>
  <c r="R87" i="116"/>
  <c r="R55" i="116"/>
  <c r="R64" i="116"/>
  <c r="R74" i="116"/>
  <c r="R83" i="116"/>
  <c r="R95" i="116"/>
  <c r="R101" i="116"/>
  <c r="R15" i="116"/>
  <c r="R29" i="116"/>
  <c r="R8" i="116"/>
  <c r="R47" i="116"/>
  <c r="R56" i="116"/>
  <c r="R67" i="116"/>
  <c r="R77" i="116"/>
  <c r="R97" i="116"/>
  <c r="R106" i="116"/>
  <c r="R17" i="116"/>
  <c r="R22" i="116"/>
  <c r="R107" i="116"/>
  <c r="R20" i="116"/>
  <c r="R28" i="116"/>
  <c r="R41" i="116"/>
  <c r="R26" i="116"/>
  <c r="R92" i="116"/>
  <c r="R116" i="116"/>
  <c r="R14" i="116"/>
  <c r="R39" i="116"/>
  <c r="R49" i="116"/>
  <c r="R57" i="116"/>
  <c r="R69" i="116"/>
  <c r="R78" i="116"/>
  <c r="R99" i="116"/>
  <c r="R109" i="116"/>
  <c r="R16" i="116"/>
  <c r="R40" i="116"/>
  <c r="R53" i="116"/>
  <c r="R59" i="116"/>
  <c r="R72" i="116"/>
  <c r="R79" i="116"/>
  <c r="R93" i="116"/>
  <c r="R100" i="116"/>
  <c r="I17" i="108"/>
  <c r="I83" i="108"/>
  <c r="I77" i="108"/>
  <c r="I59" i="108"/>
  <c r="I41" i="108"/>
  <c r="B37" i="111" l="1"/>
  <c r="B34" i="111"/>
  <c r="B29" i="111"/>
  <c r="C37" i="111"/>
  <c r="C34" i="111"/>
  <c r="C29" i="111"/>
  <c r="G29" i="113" l="1"/>
  <c r="M29" i="113"/>
  <c r="G29" i="114"/>
  <c r="M29" i="114"/>
  <c r="I8" i="108"/>
  <c r="I15" i="108"/>
  <c r="E29" i="113" l="1"/>
  <c r="H29" i="116" s="1"/>
  <c r="D38" i="108"/>
  <c r="D38" i="123" s="1"/>
  <c r="D108" i="108"/>
  <c r="D108" i="123" s="1"/>
  <c r="D106" i="108"/>
  <c r="D106" i="123" s="1"/>
  <c r="B8" i="111"/>
  <c r="B23" i="111" s="1"/>
  <c r="C22" i="111"/>
  <c r="D116" i="108"/>
  <c r="D116" i="123" s="1"/>
  <c r="D90" i="108"/>
  <c r="D90" i="123" s="1"/>
  <c r="D14" i="108"/>
  <c r="D14" i="123" s="1"/>
  <c r="K107" i="113" l="1"/>
  <c r="D108" i="109"/>
  <c r="D108" i="115"/>
  <c r="D108" i="114"/>
  <c r="D108" i="113"/>
  <c r="D14" i="115"/>
  <c r="D14" i="114"/>
  <c r="D14" i="109"/>
  <c r="D14" i="113"/>
  <c r="D90" i="109"/>
  <c r="D90" i="115"/>
  <c r="D90" i="114"/>
  <c r="D90" i="113"/>
  <c r="D38" i="115"/>
  <c r="D38" i="109"/>
  <c r="D38" i="114"/>
  <c r="D38" i="113"/>
  <c r="D114" i="109"/>
  <c r="D114" i="115"/>
  <c r="D116" i="114"/>
  <c r="D116" i="113"/>
  <c r="D106" i="109"/>
  <c r="D106" i="115"/>
  <c r="D106" i="114"/>
  <c r="D106" i="113"/>
  <c r="C23" i="111"/>
  <c r="B22" i="111"/>
  <c r="B21" i="111"/>
  <c r="N67" i="108"/>
  <c r="N53" i="108"/>
  <c r="N106" i="115" l="1"/>
  <c r="L106" i="115"/>
  <c r="F114" i="115"/>
  <c r="M114" i="115"/>
  <c r="N114" i="115"/>
  <c r="H114" i="115"/>
  <c r="I114" i="115"/>
  <c r="G114" i="115"/>
  <c r="J114" i="115"/>
  <c r="K114" i="115"/>
  <c r="L114" i="115"/>
  <c r="N90" i="115"/>
  <c r="K90" i="115"/>
  <c r="F108" i="115"/>
  <c r="M108" i="115"/>
  <c r="N108" i="115"/>
  <c r="H108" i="115"/>
  <c r="I108" i="115"/>
  <c r="G108" i="115"/>
  <c r="K108" i="115"/>
  <c r="J108" i="115"/>
  <c r="L108" i="115"/>
  <c r="N38" i="115"/>
  <c r="N14" i="115"/>
  <c r="K14" i="115"/>
  <c r="K107" i="114"/>
  <c r="K107" i="109"/>
  <c r="K106" i="115"/>
  <c r="J114" i="109"/>
  <c r="F114" i="109"/>
  <c r="J106" i="113"/>
  <c r="F106" i="113"/>
  <c r="J38" i="113"/>
  <c r="L38" i="113"/>
  <c r="F38" i="113"/>
  <c r="J14" i="113"/>
  <c r="L14" i="113"/>
  <c r="F14" i="113"/>
  <c r="H106" i="114"/>
  <c r="H106" i="115" s="1"/>
  <c r="J106" i="114"/>
  <c r="F106" i="114"/>
  <c r="F38" i="114"/>
  <c r="H38" i="114"/>
  <c r="I38" i="114" s="1"/>
  <c r="I38" i="115" s="1"/>
  <c r="L38" i="114"/>
  <c r="J38" i="114"/>
  <c r="L14" i="114"/>
  <c r="J14" i="114"/>
  <c r="F14" i="114"/>
  <c r="H14" i="114"/>
  <c r="J106" i="109"/>
  <c r="F106" i="109"/>
  <c r="H116" i="114"/>
  <c r="J116" i="114"/>
  <c r="L116" i="114"/>
  <c r="F116" i="114"/>
  <c r="L116" i="113"/>
  <c r="J116" i="113"/>
  <c r="F116" i="113"/>
  <c r="L90" i="113"/>
  <c r="F90" i="113"/>
  <c r="J90" i="113"/>
  <c r="L108" i="113"/>
  <c r="J108" i="113"/>
  <c r="F108" i="113"/>
  <c r="F90" i="114"/>
  <c r="L90" i="114"/>
  <c r="J90" i="114"/>
  <c r="H90" i="114"/>
  <c r="I90" i="114" s="1"/>
  <c r="I90" i="115" s="1"/>
  <c r="L108" i="114"/>
  <c r="F108" i="114"/>
  <c r="H108" i="114"/>
  <c r="J108" i="114"/>
  <c r="E108" i="115"/>
  <c r="J108" i="109"/>
  <c r="F108" i="109"/>
  <c r="M106" i="114"/>
  <c r="G106" i="114"/>
  <c r="G14" i="113"/>
  <c r="M14" i="113"/>
  <c r="G14" i="114"/>
  <c r="M14" i="114"/>
  <c r="M90" i="113"/>
  <c r="G90" i="113"/>
  <c r="M108" i="114"/>
  <c r="G108" i="114"/>
  <c r="M90" i="114"/>
  <c r="G90" i="114"/>
  <c r="G38" i="113"/>
  <c r="M38" i="113"/>
  <c r="M106" i="113"/>
  <c r="G106" i="113"/>
  <c r="M108" i="113"/>
  <c r="E108" i="113"/>
  <c r="G108" i="113"/>
  <c r="M38" i="114"/>
  <c r="G38" i="114"/>
  <c r="N49" i="108"/>
  <c r="N74" i="108"/>
  <c r="F106" i="115" l="1"/>
  <c r="J106" i="115"/>
  <c r="K38" i="115"/>
  <c r="I106" i="114"/>
  <c r="I106" i="115" s="1"/>
  <c r="E90" i="114"/>
  <c r="J90" i="116" s="1"/>
  <c r="E90" i="113"/>
  <c r="H90" i="116" s="1"/>
  <c r="I14" i="114"/>
  <c r="I14" i="115" s="1"/>
  <c r="I108" i="114"/>
  <c r="E108" i="114" s="1"/>
  <c r="E14" i="113"/>
  <c r="H14" i="116" s="1"/>
  <c r="E106" i="113"/>
  <c r="H106" i="116" s="1"/>
  <c r="E38" i="114"/>
  <c r="J38" i="116" s="1"/>
  <c r="E38" i="113"/>
  <c r="H38" i="116" s="1"/>
  <c r="I99" i="108"/>
  <c r="I109" i="108"/>
  <c r="I101" i="108"/>
  <c r="I100" i="108"/>
  <c r="I97" i="108"/>
  <c r="I95" i="108"/>
  <c r="I93" i="108"/>
  <c r="I92" i="108"/>
  <c r="I91" i="108"/>
  <c r="I87" i="108"/>
  <c r="I86" i="108"/>
  <c r="I79" i="108"/>
  <c r="I78" i="108"/>
  <c r="I74" i="108"/>
  <c r="I72" i="108"/>
  <c r="I69" i="108"/>
  <c r="I67" i="108"/>
  <c r="I64" i="108"/>
  <c r="I57" i="108"/>
  <c r="I56" i="108"/>
  <c r="I53" i="108"/>
  <c r="I49" i="108"/>
  <c r="I47" i="108"/>
  <c r="I28" i="108"/>
  <c r="H28" i="114" s="1"/>
  <c r="I22" i="108"/>
  <c r="H22" i="114" s="1"/>
  <c r="H22" i="115" s="1"/>
  <c r="I26" i="108"/>
  <c r="H26" i="114" s="1"/>
  <c r="I20" i="108"/>
  <c r="H20" i="114" s="1"/>
  <c r="I11" i="108"/>
  <c r="E106" i="114" l="1"/>
  <c r="J106" i="116" s="1"/>
  <c r="E14" i="114"/>
  <c r="J14" i="116" s="1"/>
  <c r="I29" i="114"/>
  <c r="I29" i="115" s="1"/>
  <c r="E29" i="114" l="1"/>
  <c r="J29" i="116" s="1"/>
  <c r="D91" i="108"/>
  <c r="D91" i="123" s="1"/>
  <c r="D91" i="115" l="1"/>
  <c r="D91" i="109"/>
  <c r="D91" i="113"/>
  <c r="D91" i="114"/>
  <c r="D39" i="108"/>
  <c r="D39" i="123" s="1"/>
  <c r="D117" i="108"/>
  <c r="D15" i="108"/>
  <c r="D15" i="123" s="1"/>
  <c r="D117" i="123" l="1"/>
  <c r="D117" i="109"/>
  <c r="D117" i="115"/>
  <c r="N91" i="115"/>
  <c r="K91" i="115"/>
  <c r="D15" i="115"/>
  <c r="D15" i="109"/>
  <c r="D15" i="113"/>
  <c r="D15" i="114"/>
  <c r="D115" i="115"/>
  <c r="D115" i="109"/>
  <c r="D117" i="113"/>
  <c r="D117" i="114"/>
  <c r="D39" i="115"/>
  <c r="D39" i="113"/>
  <c r="D39" i="109"/>
  <c r="D39" i="114"/>
  <c r="J91" i="114"/>
  <c r="L91" i="114"/>
  <c r="F91" i="114"/>
  <c r="H91" i="114"/>
  <c r="I91" i="114" s="1"/>
  <c r="I91" i="115" s="1"/>
  <c r="F91" i="113"/>
  <c r="J91" i="113"/>
  <c r="L91" i="113"/>
  <c r="G91" i="113"/>
  <c r="M91" i="113"/>
  <c r="G91" i="114"/>
  <c r="M91" i="114"/>
  <c r="M22" i="113"/>
  <c r="G22" i="113"/>
  <c r="M22" i="114"/>
  <c r="G22" i="114"/>
  <c r="D7" i="108"/>
  <c r="D7" i="123" s="1"/>
  <c r="D8" i="108"/>
  <c r="D8" i="123" s="1"/>
  <c r="D9" i="108"/>
  <c r="D9" i="123" s="1"/>
  <c r="D10" i="108"/>
  <c r="D10" i="123" s="1"/>
  <c r="D11" i="108"/>
  <c r="D11" i="123" s="1"/>
  <c r="D12" i="108"/>
  <c r="D12" i="123" s="1"/>
  <c r="D13" i="108"/>
  <c r="D13" i="123" s="1"/>
  <c r="D16" i="108"/>
  <c r="D16" i="123" s="1"/>
  <c r="D17" i="108"/>
  <c r="D17" i="123" s="1"/>
  <c r="D18" i="108"/>
  <c r="D18" i="123" s="1"/>
  <c r="D19" i="108"/>
  <c r="D19" i="123" s="1"/>
  <c r="D31" i="108"/>
  <c r="D31" i="123" s="1"/>
  <c r="D32" i="108"/>
  <c r="D32" i="123" s="1"/>
  <c r="D33" i="108"/>
  <c r="D33" i="123" s="1"/>
  <c r="D34" i="108"/>
  <c r="D34" i="123" s="1"/>
  <c r="D35" i="108"/>
  <c r="D35" i="123" s="1"/>
  <c r="D36" i="108"/>
  <c r="D36" i="123" s="1"/>
  <c r="D37" i="108"/>
  <c r="D37" i="123" s="1"/>
  <c r="D40" i="108"/>
  <c r="D40" i="123" s="1"/>
  <c r="D41" i="108"/>
  <c r="D41" i="123" s="1"/>
  <c r="D42" i="108"/>
  <c r="D42" i="123" s="1"/>
  <c r="D43" i="108"/>
  <c r="D43" i="123" s="1"/>
  <c r="D44" i="108"/>
  <c r="D44" i="123" s="1"/>
  <c r="D45" i="108"/>
  <c r="D45" i="123" s="1"/>
  <c r="D46" i="108"/>
  <c r="D46" i="123" s="1"/>
  <c r="D47" i="108"/>
  <c r="D47" i="123" s="1"/>
  <c r="D48" i="108"/>
  <c r="D48" i="123" s="1"/>
  <c r="D49" i="108"/>
  <c r="D49" i="123" s="1"/>
  <c r="D50" i="108"/>
  <c r="D50" i="123" s="1"/>
  <c r="D51" i="108"/>
  <c r="D51" i="123" s="1"/>
  <c r="D52" i="108"/>
  <c r="D52" i="123" s="1"/>
  <c r="D53" i="108"/>
  <c r="D53" i="123" s="1"/>
  <c r="D54" i="108"/>
  <c r="D54" i="123" s="1"/>
  <c r="D55" i="108"/>
  <c r="D55" i="123" s="1"/>
  <c r="D56" i="108"/>
  <c r="D56" i="123" s="1"/>
  <c r="D57" i="108"/>
  <c r="D57" i="123" s="1"/>
  <c r="D58" i="108"/>
  <c r="D58" i="123" s="1"/>
  <c r="D59" i="108"/>
  <c r="D59" i="123" s="1"/>
  <c r="D60" i="108"/>
  <c r="D60" i="123" s="1"/>
  <c r="D61" i="108"/>
  <c r="D61" i="123" s="1"/>
  <c r="D62" i="108"/>
  <c r="D62" i="123" s="1"/>
  <c r="D63" i="108"/>
  <c r="D63" i="123" s="1"/>
  <c r="D64" i="108"/>
  <c r="D64" i="123" s="1"/>
  <c r="D65" i="108"/>
  <c r="D65" i="123" s="1"/>
  <c r="D66" i="108"/>
  <c r="D66" i="123" s="1"/>
  <c r="D67" i="108"/>
  <c r="D67" i="123" s="1"/>
  <c r="D68" i="108"/>
  <c r="D68" i="123" s="1"/>
  <c r="D69" i="108"/>
  <c r="D69" i="123" s="1"/>
  <c r="D70" i="108"/>
  <c r="D70" i="123" s="1"/>
  <c r="D71" i="108"/>
  <c r="D71" i="123" s="1"/>
  <c r="D72" i="108"/>
  <c r="D72" i="123" s="1"/>
  <c r="D73" i="108"/>
  <c r="D73" i="123" s="1"/>
  <c r="D74" i="108"/>
  <c r="D74" i="123" s="1"/>
  <c r="D75" i="108"/>
  <c r="D75" i="123" s="1"/>
  <c r="D76" i="108"/>
  <c r="D76" i="123" s="1"/>
  <c r="D77" i="108"/>
  <c r="D77" i="123" s="1"/>
  <c r="D78" i="108"/>
  <c r="D78" i="123" s="1"/>
  <c r="D79" i="108"/>
  <c r="D79" i="123" s="1"/>
  <c r="D80" i="108"/>
  <c r="D80" i="123" s="1"/>
  <c r="D81" i="108"/>
  <c r="D81" i="123" s="1"/>
  <c r="D82" i="108"/>
  <c r="D82" i="123" s="1"/>
  <c r="D83" i="108"/>
  <c r="D83" i="123" s="1"/>
  <c r="D84" i="108"/>
  <c r="D84" i="123" s="1"/>
  <c r="D85" i="108"/>
  <c r="D85" i="123" s="1"/>
  <c r="D86" i="108"/>
  <c r="D86" i="123" s="1"/>
  <c r="D87" i="108"/>
  <c r="D87" i="123" s="1"/>
  <c r="D92" i="108"/>
  <c r="D92" i="123" s="1"/>
  <c r="D88" i="108"/>
  <c r="D88" i="123" s="1"/>
  <c r="D89" i="108"/>
  <c r="D89" i="123" s="1"/>
  <c r="D93" i="108"/>
  <c r="D93" i="123" s="1"/>
  <c r="D94" i="108"/>
  <c r="D94" i="123" s="1"/>
  <c r="D95" i="108"/>
  <c r="D95" i="123" s="1"/>
  <c r="D96" i="108"/>
  <c r="D96" i="123" s="1"/>
  <c r="D97" i="108"/>
  <c r="D97" i="123" s="1"/>
  <c r="D98" i="108"/>
  <c r="D98" i="123" s="1"/>
  <c r="D99" i="108"/>
  <c r="D99" i="123" s="1"/>
  <c r="D100" i="108"/>
  <c r="D100" i="123" s="1"/>
  <c r="D101" i="108"/>
  <c r="D101" i="123" s="1"/>
  <c r="D102" i="108"/>
  <c r="D102" i="123" s="1"/>
  <c r="D103" i="108"/>
  <c r="D103" i="123" s="1"/>
  <c r="D104" i="108"/>
  <c r="D104" i="123" s="1"/>
  <c r="D105" i="108"/>
  <c r="D105" i="123" s="1"/>
  <c r="D107" i="108"/>
  <c r="D107" i="123" s="1"/>
  <c r="D109" i="108"/>
  <c r="D109" i="123" s="1"/>
  <c r="D110" i="108"/>
  <c r="D110" i="123" s="1"/>
  <c r="D111" i="108"/>
  <c r="D111" i="123" s="1"/>
  <c r="D112" i="108"/>
  <c r="D112" i="123" s="1"/>
  <c r="D113" i="108"/>
  <c r="D118" i="108"/>
  <c r="D6" i="108"/>
  <c r="D6" i="123" s="1"/>
  <c r="D118" i="123" l="1"/>
  <c r="D118" i="109"/>
  <c r="D118" i="115"/>
  <c r="D113" i="123"/>
  <c r="D113" i="113"/>
  <c r="N117" i="115"/>
  <c r="K117" i="115"/>
  <c r="H117" i="109"/>
  <c r="L117" i="109"/>
  <c r="J117" i="109"/>
  <c r="G117" i="109"/>
  <c r="F117" i="109"/>
  <c r="M117" i="109"/>
  <c r="M115" i="115"/>
  <c r="N115" i="115"/>
  <c r="H115" i="115"/>
  <c r="I115" i="115"/>
  <c r="K115" i="115"/>
  <c r="F115" i="115"/>
  <c r="G115" i="115"/>
  <c r="J115" i="115"/>
  <c r="L115" i="115"/>
  <c r="N39" i="115"/>
  <c r="K39" i="115"/>
  <c r="K15" i="115"/>
  <c r="N15" i="115"/>
  <c r="D103" i="115"/>
  <c r="D103" i="114"/>
  <c r="D103" i="109"/>
  <c r="D103" i="113"/>
  <c r="D77" i="115"/>
  <c r="D77" i="114"/>
  <c r="D77" i="113"/>
  <c r="D77" i="109"/>
  <c r="D53" i="115"/>
  <c r="D53" i="109"/>
  <c r="D53" i="114"/>
  <c r="D53" i="113"/>
  <c r="D16" i="115"/>
  <c r="D16" i="109"/>
  <c r="D16" i="113"/>
  <c r="D16" i="114"/>
  <c r="D116" i="109"/>
  <c r="D116" i="115"/>
  <c r="D118" i="114"/>
  <c r="D118" i="113"/>
  <c r="D104" i="115"/>
  <c r="D104" i="109"/>
  <c r="D104" i="113"/>
  <c r="D104" i="114"/>
  <c r="D96" i="115"/>
  <c r="D96" i="109"/>
  <c r="D96" i="114"/>
  <c r="D96" i="113"/>
  <c r="D86" i="109"/>
  <c r="D86" i="115"/>
  <c r="D86" i="113"/>
  <c r="D86" i="114"/>
  <c r="D78" i="109"/>
  <c r="H78" i="109" s="1"/>
  <c r="D78" i="115"/>
  <c r="D78" i="114"/>
  <c r="D78" i="113"/>
  <c r="D70" i="109"/>
  <c r="D70" i="115"/>
  <c r="D70" i="113"/>
  <c r="D70" i="114"/>
  <c r="D62" i="109"/>
  <c r="D62" i="115"/>
  <c r="D62" i="114"/>
  <c r="D62" i="113"/>
  <c r="D54" i="109"/>
  <c r="D54" i="115"/>
  <c r="D54" i="113"/>
  <c r="D54" i="114"/>
  <c r="D46" i="115"/>
  <c r="D46" i="109"/>
  <c r="D46" i="114"/>
  <c r="D46" i="113"/>
  <c r="D36" i="115"/>
  <c r="D36" i="109"/>
  <c r="D36" i="114"/>
  <c r="D36" i="113"/>
  <c r="D17" i="109"/>
  <c r="D17" i="115"/>
  <c r="D17" i="114"/>
  <c r="D17" i="113"/>
  <c r="D7" i="115"/>
  <c r="D7" i="109"/>
  <c r="D7" i="113"/>
  <c r="D7" i="114"/>
  <c r="J117" i="114"/>
  <c r="L117" i="114"/>
  <c r="H117" i="114"/>
  <c r="I117" i="114" s="1"/>
  <c r="I117" i="115" s="1"/>
  <c r="F117" i="114"/>
  <c r="J115" i="109"/>
  <c r="F115" i="109"/>
  <c r="F117" i="113"/>
  <c r="J117" i="113"/>
  <c r="L117" i="113"/>
  <c r="D112" i="115"/>
  <c r="D112" i="109"/>
  <c r="D112" i="114"/>
  <c r="D112" i="113"/>
  <c r="D102" i="109"/>
  <c r="D102" i="114"/>
  <c r="D102" i="115"/>
  <c r="D102" i="113"/>
  <c r="D94" i="109"/>
  <c r="D94" i="115"/>
  <c r="D94" i="114"/>
  <c r="D94" i="113"/>
  <c r="D84" i="109"/>
  <c r="D84" i="115"/>
  <c r="D84" i="113"/>
  <c r="D84" i="114"/>
  <c r="D76" i="109"/>
  <c r="D76" i="115"/>
  <c r="D76" i="114"/>
  <c r="D76" i="113"/>
  <c r="D68" i="109"/>
  <c r="D68" i="115"/>
  <c r="D68" i="114"/>
  <c r="D68" i="113"/>
  <c r="D60" i="109"/>
  <c r="D60" i="115"/>
  <c r="D60" i="114"/>
  <c r="D60" i="113"/>
  <c r="D52" i="109"/>
  <c r="D52" i="115"/>
  <c r="D52" i="113"/>
  <c r="D52" i="114"/>
  <c r="D44" i="115"/>
  <c r="D44" i="109"/>
  <c r="D44" i="114"/>
  <c r="D44" i="113"/>
  <c r="D34" i="115"/>
  <c r="D34" i="109"/>
  <c r="D34" i="114"/>
  <c r="D34" i="113"/>
  <c r="D13" i="115"/>
  <c r="D13" i="109"/>
  <c r="D13" i="113"/>
  <c r="D13" i="114"/>
  <c r="D111" i="109"/>
  <c r="D111" i="115"/>
  <c r="D111" i="114"/>
  <c r="D111" i="113"/>
  <c r="D93" i="115"/>
  <c r="D93" i="109"/>
  <c r="D93" i="113"/>
  <c r="D93" i="114"/>
  <c r="D83" i="115"/>
  <c r="D83" i="109"/>
  <c r="D83" i="114"/>
  <c r="D83" i="113"/>
  <c r="D75" i="115"/>
  <c r="D75" i="109"/>
  <c r="D75" i="113"/>
  <c r="D75" i="114"/>
  <c r="D67" i="115"/>
  <c r="D67" i="109"/>
  <c r="D67" i="114"/>
  <c r="D67" i="113"/>
  <c r="D59" i="115"/>
  <c r="D59" i="109"/>
  <c r="D59" i="113"/>
  <c r="D59" i="114"/>
  <c r="D51" i="115"/>
  <c r="D51" i="109"/>
  <c r="D51" i="114"/>
  <c r="D51" i="113"/>
  <c r="D43" i="115"/>
  <c r="D43" i="109"/>
  <c r="D43" i="113"/>
  <c r="D43" i="114"/>
  <c r="D33" i="109"/>
  <c r="D33" i="115"/>
  <c r="D33" i="113"/>
  <c r="D33" i="114"/>
  <c r="D12" i="115"/>
  <c r="D12" i="109"/>
  <c r="D12" i="113"/>
  <c r="D12" i="114"/>
  <c r="D110" i="109"/>
  <c r="D110" i="115"/>
  <c r="D110" i="113"/>
  <c r="D110" i="114"/>
  <c r="D74" i="109"/>
  <c r="D74" i="115"/>
  <c r="D74" i="114"/>
  <c r="D74" i="113"/>
  <c r="F39" i="114"/>
  <c r="H39" i="114"/>
  <c r="I39" i="114" s="1"/>
  <c r="I39" i="115" s="1"/>
  <c r="J39" i="114"/>
  <c r="L15" i="114"/>
  <c r="H15" i="114"/>
  <c r="J15" i="114"/>
  <c r="F15" i="114"/>
  <c r="D113" i="109"/>
  <c r="D113" i="115"/>
  <c r="D113" i="114"/>
  <c r="D85" i="115"/>
  <c r="D85" i="109"/>
  <c r="D85" i="114"/>
  <c r="D85" i="113"/>
  <c r="D61" i="115"/>
  <c r="D61" i="109"/>
  <c r="D61" i="113"/>
  <c r="D61" i="114"/>
  <c r="D35" i="115"/>
  <c r="D35" i="109"/>
  <c r="D35" i="114"/>
  <c r="D35" i="113"/>
  <c r="D100" i="109"/>
  <c r="D100" i="115"/>
  <c r="D100" i="114"/>
  <c r="D100" i="113"/>
  <c r="D89" i="109"/>
  <c r="D89" i="115"/>
  <c r="D89" i="114"/>
  <c r="D89" i="113"/>
  <c r="D82" i="109"/>
  <c r="D82" i="115"/>
  <c r="D82" i="113"/>
  <c r="D82" i="114"/>
  <c r="D66" i="109"/>
  <c r="D66" i="115"/>
  <c r="D66" i="113"/>
  <c r="D66" i="114"/>
  <c r="D58" i="109"/>
  <c r="D58" i="115"/>
  <c r="D58" i="113"/>
  <c r="D58" i="114"/>
  <c r="D50" i="109"/>
  <c r="D50" i="115"/>
  <c r="D50" i="114"/>
  <c r="D50" i="113"/>
  <c r="D42" i="115"/>
  <c r="D42" i="109"/>
  <c r="D42" i="114"/>
  <c r="D42" i="113"/>
  <c r="D32" i="115"/>
  <c r="D32" i="109"/>
  <c r="D32" i="113"/>
  <c r="D32" i="114"/>
  <c r="D11" i="115"/>
  <c r="D11" i="109"/>
  <c r="D11" i="113"/>
  <c r="D11" i="114"/>
  <c r="D73" i="109"/>
  <c r="D73" i="115"/>
  <c r="D73" i="114"/>
  <c r="D73" i="113"/>
  <c r="F15" i="113"/>
  <c r="J15" i="113"/>
  <c r="L15" i="113"/>
  <c r="D95" i="115"/>
  <c r="D95" i="114"/>
  <c r="D95" i="109"/>
  <c r="D95" i="113"/>
  <c r="D69" i="115"/>
  <c r="D69" i="109"/>
  <c r="D69" i="114"/>
  <c r="D69" i="113"/>
  <c r="D45" i="115"/>
  <c r="D45" i="109"/>
  <c r="D45" i="113"/>
  <c r="D45" i="114"/>
  <c r="D101" i="115"/>
  <c r="D101" i="109"/>
  <c r="D101" i="114"/>
  <c r="D101" i="113"/>
  <c r="D109" i="115"/>
  <c r="D109" i="114"/>
  <c r="D109" i="113"/>
  <c r="D109" i="109"/>
  <c r="D99" i="115"/>
  <c r="D99" i="109"/>
  <c r="D99" i="114"/>
  <c r="D99" i="113"/>
  <c r="D88" i="115"/>
  <c r="D88" i="109"/>
  <c r="D88" i="114"/>
  <c r="D88" i="113"/>
  <c r="D81" i="109"/>
  <c r="D81" i="115"/>
  <c r="D81" i="114"/>
  <c r="D81" i="113"/>
  <c r="D65" i="109"/>
  <c r="D65" i="115"/>
  <c r="D65" i="114"/>
  <c r="D65" i="113"/>
  <c r="D57" i="109"/>
  <c r="D57" i="115"/>
  <c r="D57" i="114"/>
  <c r="D57" i="113"/>
  <c r="D49" i="109"/>
  <c r="D49" i="115"/>
  <c r="D49" i="113"/>
  <c r="D49" i="114"/>
  <c r="D41" i="109"/>
  <c r="D41" i="115"/>
  <c r="D41" i="114"/>
  <c r="D41" i="113"/>
  <c r="D31" i="115"/>
  <c r="D31" i="109"/>
  <c r="D31" i="114"/>
  <c r="D31" i="113"/>
  <c r="D10" i="115"/>
  <c r="D10" i="109"/>
  <c r="D10" i="114"/>
  <c r="D10" i="113"/>
  <c r="D107" i="115"/>
  <c r="D107" i="109"/>
  <c r="D107" i="114"/>
  <c r="D107" i="113"/>
  <c r="D98" i="109"/>
  <c r="D98" i="115"/>
  <c r="D98" i="114"/>
  <c r="D98" i="113"/>
  <c r="D92" i="109"/>
  <c r="D92" i="115"/>
  <c r="D92" i="114"/>
  <c r="D92" i="113"/>
  <c r="D80" i="115"/>
  <c r="D80" i="109"/>
  <c r="D80" i="114"/>
  <c r="D80" i="113"/>
  <c r="D72" i="115"/>
  <c r="D72" i="109"/>
  <c r="D72" i="113"/>
  <c r="D72" i="114"/>
  <c r="D64" i="115"/>
  <c r="D64" i="109"/>
  <c r="D64" i="114"/>
  <c r="D64" i="113"/>
  <c r="D56" i="115"/>
  <c r="D56" i="109"/>
  <c r="D56" i="114"/>
  <c r="D56" i="113"/>
  <c r="D48" i="115"/>
  <c r="D48" i="109"/>
  <c r="D48" i="114"/>
  <c r="D48" i="113"/>
  <c r="D40" i="115"/>
  <c r="D40" i="109"/>
  <c r="D40" i="114"/>
  <c r="D40" i="113"/>
  <c r="D19" i="115"/>
  <c r="D19" i="109"/>
  <c r="D19" i="114"/>
  <c r="D19" i="113"/>
  <c r="D9" i="109"/>
  <c r="D9" i="115"/>
  <c r="D9" i="114"/>
  <c r="D9" i="113"/>
  <c r="F39" i="113"/>
  <c r="J39" i="113"/>
  <c r="J39" i="115" s="1"/>
  <c r="D6" i="115"/>
  <c r="D6" i="109"/>
  <c r="D6" i="114"/>
  <c r="D6" i="113"/>
  <c r="D105" i="109"/>
  <c r="D105" i="115"/>
  <c r="D105" i="114"/>
  <c r="D105" i="113"/>
  <c r="D97" i="109"/>
  <c r="D97" i="115"/>
  <c r="D97" i="114"/>
  <c r="D97" i="113"/>
  <c r="D87" i="115"/>
  <c r="D87" i="109"/>
  <c r="D87" i="114"/>
  <c r="D87" i="113"/>
  <c r="D79" i="115"/>
  <c r="D79" i="109"/>
  <c r="D79" i="114"/>
  <c r="D79" i="113"/>
  <c r="D71" i="115"/>
  <c r="D71" i="114"/>
  <c r="D71" i="109"/>
  <c r="D71" i="113"/>
  <c r="D63" i="115"/>
  <c r="D63" i="109"/>
  <c r="D63" i="114"/>
  <c r="D63" i="113"/>
  <c r="D55" i="115"/>
  <c r="D55" i="109"/>
  <c r="D55" i="114"/>
  <c r="D55" i="113"/>
  <c r="D47" i="115"/>
  <c r="D47" i="113"/>
  <c r="D47" i="109"/>
  <c r="D47" i="114"/>
  <c r="D37" i="115"/>
  <c r="D37" i="109"/>
  <c r="D37" i="114"/>
  <c r="D37" i="113"/>
  <c r="D18" i="115"/>
  <c r="D18" i="114"/>
  <c r="D18" i="109"/>
  <c r="D18" i="113"/>
  <c r="D8" i="115"/>
  <c r="D8" i="109"/>
  <c r="D8" i="114"/>
  <c r="D8" i="113"/>
  <c r="L114" i="109"/>
  <c r="M114" i="109"/>
  <c r="H114" i="109"/>
  <c r="G114" i="109"/>
  <c r="I22" i="114"/>
  <c r="I22" i="115" s="1"/>
  <c r="E91" i="113"/>
  <c r="H91" i="116" s="1"/>
  <c r="E91" i="114"/>
  <c r="J91" i="116" s="1"/>
  <c r="E22" i="113"/>
  <c r="H22" i="116" s="1"/>
  <c r="M39" i="113"/>
  <c r="G39" i="113"/>
  <c r="G15" i="113"/>
  <c r="M15" i="113"/>
  <c r="M39" i="114"/>
  <c r="G39" i="114"/>
  <c r="G15" i="114"/>
  <c r="M15" i="114"/>
  <c r="G117" i="113"/>
  <c r="M117" i="113"/>
  <c r="G117" i="114"/>
  <c r="M117" i="114"/>
  <c r="L117" i="115" l="1"/>
  <c r="E117" i="109"/>
  <c r="G117" i="116" s="1"/>
  <c r="H117" i="115"/>
  <c r="J117" i="115"/>
  <c r="G117" i="115"/>
  <c r="E113" i="113"/>
  <c r="M113" i="113"/>
  <c r="L113" i="113"/>
  <c r="J113" i="113"/>
  <c r="F113" i="113"/>
  <c r="G113" i="113"/>
  <c r="N118" i="115"/>
  <c r="K118" i="115"/>
  <c r="L118" i="109"/>
  <c r="F118" i="109"/>
  <c r="J118" i="109"/>
  <c r="H118" i="109"/>
  <c r="G118" i="109"/>
  <c r="M118" i="109"/>
  <c r="F63" i="115"/>
  <c r="N63" i="115"/>
  <c r="G63" i="115"/>
  <c r="H63" i="115"/>
  <c r="I63" i="115"/>
  <c r="K63" i="115"/>
  <c r="J63" i="115"/>
  <c r="L63" i="115"/>
  <c r="M63" i="115"/>
  <c r="F6" i="115"/>
  <c r="M6" i="115"/>
  <c r="I6" i="115"/>
  <c r="G6" i="115"/>
  <c r="H6" i="115"/>
  <c r="K6" i="115"/>
  <c r="J6" i="115"/>
  <c r="N6" i="115"/>
  <c r="L6" i="115"/>
  <c r="F7" i="115"/>
  <c r="M7" i="115"/>
  <c r="N7" i="115"/>
  <c r="H7" i="115"/>
  <c r="I7" i="115"/>
  <c r="L7" i="115"/>
  <c r="G7" i="115"/>
  <c r="J7" i="115"/>
  <c r="K7" i="115"/>
  <c r="L36" i="115"/>
  <c r="N36" i="115"/>
  <c r="G36" i="115"/>
  <c r="H36" i="115"/>
  <c r="I36" i="115"/>
  <c r="F36" i="115"/>
  <c r="K36" i="115"/>
  <c r="J36" i="115"/>
  <c r="M36" i="115"/>
  <c r="F104" i="115"/>
  <c r="M104" i="115"/>
  <c r="N104" i="115"/>
  <c r="H104" i="115"/>
  <c r="I104" i="115"/>
  <c r="G104" i="115"/>
  <c r="K104" i="115"/>
  <c r="J104" i="115"/>
  <c r="L104" i="115"/>
  <c r="N16" i="115"/>
  <c r="K16" i="115"/>
  <c r="N77" i="115"/>
  <c r="K77" i="115"/>
  <c r="N47" i="115"/>
  <c r="K47" i="115"/>
  <c r="F61" i="115"/>
  <c r="N61" i="115"/>
  <c r="G61" i="115"/>
  <c r="H61" i="115"/>
  <c r="I61" i="115"/>
  <c r="K61" i="115"/>
  <c r="J61" i="115"/>
  <c r="L61" i="115"/>
  <c r="M61" i="115"/>
  <c r="N99" i="115"/>
  <c r="K99" i="115"/>
  <c r="N101" i="115"/>
  <c r="K101" i="115"/>
  <c r="N69" i="115"/>
  <c r="K69" i="115"/>
  <c r="N74" i="115"/>
  <c r="K74" i="115"/>
  <c r="N60" i="115"/>
  <c r="G60" i="115"/>
  <c r="H60" i="115"/>
  <c r="I60" i="115"/>
  <c r="F60" i="115"/>
  <c r="K60" i="115"/>
  <c r="J60" i="115"/>
  <c r="L60" i="115"/>
  <c r="M60" i="115"/>
  <c r="N76" i="115"/>
  <c r="G76" i="115"/>
  <c r="H76" i="115"/>
  <c r="I76" i="115"/>
  <c r="F76" i="115"/>
  <c r="K76" i="115"/>
  <c r="J76" i="115"/>
  <c r="L76" i="115"/>
  <c r="M76" i="115"/>
  <c r="L94" i="115"/>
  <c r="F94" i="115"/>
  <c r="M94" i="115"/>
  <c r="N94" i="115"/>
  <c r="G94" i="115"/>
  <c r="H94" i="115"/>
  <c r="I94" i="115"/>
  <c r="J94" i="115"/>
  <c r="K94" i="115"/>
  <c r="F105" i="115"/>
  <c r="M105" i="115"/>
  <c r="N105" i="115"/>
  <c r="H105" i="115"/>
  <c r="I105" i="115"/>
  <c r="L105" i="115"/>
  <c r="G105" i="115"/>
  <c r="K105" i="115"/>
  <c r="J105" i="115"/>
  <c r="F12" i="115"/>
  <c r="M12" i="115"/>
  <c r="N12" i="115"/>
  <c r="H12" i="115"/>
  <c r="I12" i="115"/>
  <c r="G12" i="115"/>
  <c r="K12" i="115"/>
  <c r="J12" i="115"/>
  <c r="L12" i="115"/>
  <c r="L43" i="115"/>
  <c r="N43" i="115"/>
  <c r="G43" i="115"/>
  <c r="H43" i="115"/>
  <c r="I43" i="115"/>
  <c r="K43" i="115"/>
  <c r="F43" i="115"/>
  <c r="J43" i="115"/>
  <c r="M43" i="115"/>
  <c r="N59" i="115"/>
  <c r="K59" i="115"/>
  <c r="N75" i="115"/>
  <c r="G75" i="115"/>
  <c r="H75" i="115"/>
  <c r="I75" i="115"/>
  <c r="K75" i="115"/>
  <c r="F75" i="115"/>
  <c r="J75" i="115"/>
  <c r="L75" i="115"/>
  <c r="M75" i="115"/>
  <c r="N93" i="115"/>
  <c r="K93" i="115"/>
  <c r="F13" i="115"/>
  <c r="M13" i="115"/>
  <c r="N13" i="115"/>
  <c r="H13" i="115"/>
  <c r="I13" i="115"/>
  <c r="K13" i="115"/>
  <c r="G13" i="115"/>
  <c r="L13" i="115"/>
  <c r="J13" i="115"/>
  <c r="L44" i="115"/>
  <c r="N44" i="115"/>
  <c r="G44" i="115"/>
  <c r="H44" i="115"/>
  <c r="I44" i="115"/>
  <c r="F44" i="115"/>
  <c r="K44" i="115"/>
  <c r="M44" i="115"/>
  <c r="J44" i="115"/>
  <c r="F112" i="115"/>
  <c r="M112" i="115"/>
  <c r="N112" i="115"/>
  <c r="H112" i="115"/>
  <c r="I112" i="115"/>
  <c r="G112" i="115"/>
  <c r="K112" i="115"/>
  <c r="J112" i="115"/>
  <c r="L112" i="115"/>
  <c r="K17" i="115"/>
  <c r="N17" i="115"/>
  <c r="N62" i="115"/>
  <c r="G62" i="115"/>
  <c r="H62" i="115"/>
  <c r="I62" i="115"/>
  <c r="K62" i="115"/>
  <c r="M62" i="115"/>
  <c r="F62" i="115"/>
  <c r="J62" i="115"/>
  <c r="L62" i="115"/>
  <c r="N78" i="115"/>
  <c r="K78" i="115"/>
  <c r="N116" i="115"/>
  <c r="K116" i="115"/>
  <c r="F18" i="115"/>
  <c r="M18" i="115"/>
  <c r="I18" i="115"/>
  <c r="H18" i="115"/>
  <c r="K18" i="115"/>
  <c r="J18" i="115"/>
  <c r="L18" i="115"/>
  <c r="N18" i="115"/>
  <c r="G18" i="115"/>
  <c r="F82" i="115"/>
  <c r="L82" i="115"/>
  <c r="M82" i="115"/>
  <c r="N82" i="115"/>
  <c r="G82" i="115"/>
  <c r="H82" i="115"/>
  <c r="I82" i="115"/>
  <c r="J82" i="115"/>
  <c r="K82" i="115"/>
  <c r="F98" i="115"/>
  <c r="L98" i="115"/>
  <c r="M98" i="115"/>
  <c r="N98" i="115"/>
  <c r="G98" i="115"/>
  <c r="H98" i="115"/>
  <c r="I98" i="115"/>
  <c r="J98" i="115"/>
  <c r="K98" i="115"/>
  <c r="N41" i="115"/>
  <c r="K41" i="115"/>
  <c r="N64" i="115"/>
  <c r="K64" i="115"/>
  <c r="F10" i="115"/>
  <c r="M10" i="115"/>
  <c r="N10" i="115"/>
  <c r="H10" i="115"/>
  <c r="I10" i="115"/>
  <c r="G10" i="115"/>
  <c r="K10" i="115"/>
  <c r="J10" i="115"/>
  <c r="L10" i="115"/>
  <c r="N55" i="115"/>
  <c r="K55" i="115"/>
  <c r="N73" i="115"/>
  <c r="G73" i="115"/>
  <c r="F73" i="115"/>
  <c r="H73" i="115"/>
  <c r="I73" i="115"/>
  <c r="K73" i="115"/>
  <c r="L73" i="115"/>
  <c r="M73" i="115"/>
  <c r="J73" i="115"/>
  <c r="N50" i="115"/>
  <c r="G50" i="115"/>
  <c r="H50" i="115"/>
  <c r="F50" i="115"/>
  <c r="I50" i="115"/>
  <c r="K50" i="115"/>
  <c r="J50" i="115"/>
  <c r="L50" i="115"/>
  <c r="M50" i="115"/>
  <c r="N66" i="115"/>
  <c r="G66" i="115"/>
  <c r="H66" i="115"/>
  <c r="F66" i="115"/>
  <c r="I66" i="115"/>
  <c r="K66" i="115"/>
  <c r="J66" i="115"/>
  <c r="L66" i="115"/>
  <c r="M66" i="115"/>
  <c r="F89" i="115"/>
  <c r="L89" i="115"/>
  <c r="M89" i="115"/>
  <c r="N89" i="115"/>
  <c r="G89" i="115"/>
  <c r="H89" i="115"/>
  <c r="I89" i="115"/>
  <c r="J89" i="115"/>
  <c r="K89" i="115"/>
  <c r="L46" i="115"/>
  <c r="N46" i="115"/>
  <c r="G46" i="115"/>
  <c r="H46" i="115"/>
  <c r="I46" i="115"/>
  <c r="K46" i="115"/>
  <c r="J46" i="115"/>
  <c r="M46" i="115"/>
  <c r="F46" i="115"/>
  <c r="F96" i="115"/>
  <c r="L96" i="115"/>
  <c r="M96" i="115"/>
  <c r="N96" i="115"/>
  <c r="G96" i="115"/>
  <c r="H96" i="115"/>
  <c r="I96" i="115"/>
  <c r="J96" i="115"/>
  <c r="K96" i="115"/>
  <c r="N53" i="115"/>
  <c r="K53" i="115"/>
  <c r="F103" i="115"/>
  <c r="M103" i="115"/>
  <c r="N103" i="115"/>
  <c r="H103" i="115"/>
  <c r="I103" i="115"/>
  <c r="G103" i="115"/>
  <c r="L103" i="115"/>
  <c r="J103" i="115"/>
  <c r="K103" i="115"/>
  <c r="N58" i="115"/>
  <c r="G58" i="115"/>
  <c r="H58" i="115"/>
  <c r="F58" i="115"/>
  <c r="I58" i="115"/>
  <c r="K58" i="115"/>
  <c r="J58" i="115"/>
  <c r="L58" i="115"/>
  <c r="M58" i="115"/>
  <c r="N8" i="115"/>
  <c r="K8" i="115"/>
  <c r="F37" i="115"/>
  <c r="L37" i="115"/>
  <c r="N37" i="115"/>
  <c r="G37" i="115"/>
  <c r="H37" i="115"/>
  <c r="I37" i="115"/>
  <c r="K37" i="115"/>
  <c r="J37" i="115"/>
  <c r="M37" i="115"/>
  <c r="F71" i="115"/>
  <c r="N71" i="115"/>
  <c r="G71" i="115"/>
  <c r="H71" i="115"/>
  <c r="I71" i="115"/>
  <c r="K71" i="115"/>
  <c r="J71" i="115"/>
  <c r="L71" i="115"/>
  <c r="M71" i="115"/>
  <c r="N87" i="115"/>
  <c r="K87" i="115"/>
  <c r="F9" i="115"/>
  <c r="M9" i="115"/>
  <c r="N9" i="115"/>
  <c r="H9" i="115"/>
  <c r="I9" i="115"/>
  <c r="G9" i="115"/>
  <c r="K9" i="115"/>
  <c r="L9" i="115"/>
  <c r="J9" i="115"/>
  <c r="N92" i="115"/>
  <c r="K92" i="115"/>
  <c r="N49" i="115"/>
  <c r="K49" i="115"/>
  <c r="N65" i="115"/>
  <c r="G65" i="115"/>
  <c r="F65" i="115"/>
  <c r="H65" i="115"/>
  <c r="I65" i="115"/>
  <c r="K65" i="115"/>
  <c r="L65" i="115"/>
  <c r="M65" i="115"/>
  <c r="J65" i="115"/>
  <c r="L32" i="115"/>
  <c r="N32" i="115"/>
  <c r="F32" i="115"/>
  <c r="G32" i="115"/>
  <c r="H32" i="115"/>
  <c r="I32" i="115"/>
  <c r="K32" i="115"/>
  <c r="J32" i="115"/>
  <c r="M32" i="115"/>
  <c r="L35" i="115"/>
  <c r="N35" i="115"/>
  <c r="G35" i="115"/>
  <c r="H35" i="115"/>
  <c r="I35" i="115"/>
  <c r="K35" i="115"/>
  <c r="F35" i="115"/>
  <c r="J35" i="115"/>
  <c r="M35" i="115"/>
  <c r="F85" i="115"/>
  <c r="L85" i="115"/>
  <c r="M85" i="115"/>
  <c r="N85" i="115"/>
  <c r="G85" i="115"/>
  <c r="H85" i="115"/>
  <c r="I85" i="115"/>
  <c r="J85" i="115"/>
  <c r="K85" i="115"/>
  <c r="M102" i="115"/>
  <c r="N102" i="115"/>
  <c r="F102" i="115"/>
  <c r="H102" i="115"/>
  <c r="I102" i="115"/>
  <c r="G102" i="115"/>
  <c r="J102" i="115"/>
  <c r="K102" i="115"/>
  <c r="L102" i="115"/>
  <c r="N79" i="115"/>
  <c r="K79" i="115"/>
  <c r="G81" i="115"/>
  <c r="F81" i="115"/>
  <c r="H81" i="115"/>
  <c r="I81" i="115"/>
  <c r="K81" i="115"/>
  <c r="L81" i="115"/>
  <c r="M81" i="115"/>
  <c r="N81" i="115"/>
  <c r="J81" i="115"/>
  <c r="L42" i="115"/>
  <c r="N42" i="115"/>
  <c r="G42" i="115"/>
  <c r="H42" i="115"/>
  <c r="F42" i="115"/>
  <c r="I42" i="115"/>
  <c r="K42" i="115"/>
  <c r="J42" i="115"/>
  <c r="M42" i="115"/>
  <c r="M19" i="115"/>
  <c r="I19" i="115"/>
  <c r="K19" i="115"/>
  <c r="H19" i="115"/>
  <c r="L19" i="115"/>
  <c r="N19" i="115"/>
  <c r="J19" i="115"/>
  <c r="G19" i="115"/>
  <c r="F19" i="115"/>
  <c r="L48" i="115"/>
  <c r="N48" i="115"/>
  <c r="F48" i="115"/>
  <c r="G48" i="115"/>
  <c r="H48" i="115"/>
  <c r="I48" i="115"/>
  <c r="K48" i="115"/>
  <c r="J48" i="115"/>
  <c r="M48" i="115"/>
  <c r="F88" i="115"/>
  <c r="L88" i="115"/>
  <c r="M88" i="115"/>
  <c r="N88" i="115"/>
  <c r="G88" i="115"/>
  <c r="H88" i="115"/>
  <c r="I88" i="115"/>
  <c r="K88" i="115"/>
  <c r="J88" i="115"/>
  <c r="F45" i="115"/>
  <c r="L45" i="115"/>
  <c r="N45" i="115"/>
  <c r="G45" i="115"/>
  <c r="H45" i="115"/>
  <c r="I45" i="115"/>
  <c r="K45" i="115"/>
  <c r="J45" i="115"/>
  <c r="M45" i="115"/>
  <c r="M110" i="115"/>
  <c r="N110" i="115"/>
  <c r="H110" i="115"/>
  <c r="F110" i="115"/>
  <c r="I110" i="115"/>
  <c r="G110" i="115"/>
  <c r="J110" i="115"/>
  <c r="K110" i="115"/>
  <c r="L110" i="115"/>
  <c r="L33" i="115"/>
  <c r="N33" i="115"/>
  <c r="G33" i="115"/>
  <c r="F33" i="115"/>
  <c r="H33" i="115"/>
  <c r="I33" i="115"/>
  <c r="K33" i="115"/>
  <c r="J33" i="115"/>
  <c r="M33" i="115"/>
  <c r="N52" i="115"/>
  <c r="G52" i="115"/>
  <c r="H52" i="115"/>
  <c r="I52" i="115"/>
  <c r="F52" i="115"/>
  <c r="K52" i="115"/>
  <c r="J52" i="115"/>
  <c r="L52" i="115"/>
  <c r="M52" i="115"/>
  <c r="N68" i="115"/>
  <c r="G68" i="115"/>
  <c r="H68" i="115"/>
  <c r="I68" i="115"/>
  <c r="F68" i="115"/>
  <c r="K68" i="115"/>
  <c r="J68" i="115"/>
  <c r="L68" i="115"/>
  <c r="M68" i="115"/>
  <c r="F84" i="115"/>
  <c r="L84" i="115"/>
  <c r="M84" i="115"/>
  <c r="N84" i="115"/>
  <c r="G84" i="115"/>
  <c r="H84" i="115"/>
  <c r="I84" i="115"/>
  <c r="J84" i="115"/>
  <c r="K84" i="115"/>
  <c r="F117" i="115"/>
  <c r="N100" i="115"/>
  <c r="K100" i="115"/>
  <c r="N57" i="115"/>
  <c r="K57" i="115"/>
  <c r="N11" i="115"/>
  <c r="K11" i="115"/>
  <c r="N80" i="115"/>
  <c r="F80" i="115"/>
  <c r="G80" i="115"/>
  <c r="H80" i="115"/>
  <c r="I80" i="115"/>
  <c r="K80" i="115"/>
  <c r="J80" i="115"/>
  <c r="L80" i="115"/>
  <c r="M80" i="115"/>
  <c r="N40" i="115"/>
  <c r="K40" i="115"/>
  <c r="N56" i="115"/>
  <c r="K56" i="115"/>
  <c r="N72" i="115"/>
  <c r="K72" i="115"/>
  <c r="N107" i="115"/>
  <c r="K107" i="115"/>
  <c r="L107" i="115"/>
  <c r="L31" i="115"/>
  <c r="F31" i="115"/>
  <c r="N31" i="115"/>
  <c r="G31" i="115"/>
  <c r="H31" i="115"/>
  <c r="I31" i="115"/>
  <c r="K31" i="115"/>
  <c r="J31" i="115"/>
  <c r="M31" i="115"/>
  <c r="N109" i="115"/>
  <c r="K109" i="115"/>
  <c r="N95" i="115"/>
  <c r="K95" i="115"/>
  <c r="F111" i="115"/>
  <c r="M111" i="115"/>
  <c r="N111" i="115"/>
  <c r="H111" i="115"/>
  <c r="I111" i="115"/>
  <c r="L111" i="115"/>
  <c r="G111" i="115"/>
  <c r="J111" i="115"/>
  <c r="K111" i="115"/>
  <c r="M117" i="115"/>
  <c r="N97" i="115"/>
  <c r="K97" i="115"/>
  <c r="F113" i="115"/>
  <c r="M113" i="115"/>
  <c r="N113" i="115"/>
  <c r="H113" i="115"/>
  <c r="I113" i="115"/>
  <c r="G113" i="115"/>
  <c r="K113" i="115"/>
  <c r="L113" i="115"/>
  <c r="J113" i="115"/>
  <c r="N51" i="115"/>
  <c r="G51" i="115"/>
  <c r="H51" i="115"/>
  <c r="I51" i="115"/>
  <c r="K51" i="115"/>
  <c r="J51" i="115"/>
  <c r="F51" i="115"/>
  <c r="L51" i="115"/>
  <c r="M51" i="115"/>
  <c r="N67" i="115"/>
  <c r="K67" i="115"/>
  <c r="N83" i="115"/>
  <c r="K83" i="115"/>
  <c r="L34" i="115"/>
  <c r="N34" i="115"/>
  <c r="G34" i="115"/>
  <c r="H34" i="115"/>
  <c r="F34" i="115"/>
  <c r="I34" i="115"/>
  <c r="K34" i="115"/>
  <c r="J34" i="115"/>
  <c r="M34" i="115"/>
  <c r="N54" i="115"/>
  <c r="G54" i="115"/>
  <c r="H54" i="115"/>
  <c r="I54" i="115"/>
  <c r="K54" i="115"/>
  <c r="M54" i="115"/>
  <c r="F54" i="115"/>
  <c r="J54" i="115"/>
  <c r="L54" i="115"/>
  <c r="N70" i="115"/>
  <c r="G70" i="115"/>
  <c r="H70" i="115"/>
  <c r="I70" i="115"/>
  <c r="K70" i="115"/>
  <c r="M70" i="115"/>
  <c r="F70" i="115"/>
  <c r="J70" i="115"/>
  <c r="L70" i="115"/>
  <c r="N86" i="115"/>
  <c r="K86" i="115"/>
  <c r="E22" i="114"/>
  <c r="J22" i="116" s="1"/>
  <c r="E61" i="115"/>
  <c r="L74" i="113"/>
  <c r="F74" i="113"/>
  <c r="J74" i="113"/>
  <c r="H104" i="114"/>
  <c r="F104" i="114"/>
  <c r="L104" i="114"/>
  <c r="J104" i="114"/>
  <c r="L55" i="114"/>
  <c r="H55" i="114"/>
  <c r="F55" i="114"/>
  <c r="J55" i="114"/>
  <c r="L87" i="114"/>
  <c r="F87" i="114"/>
  <c r="H87" i="114"/>
  <c r="I87" i="114" s="1"/>
  <c r="I87" i="115" s="1"/>
  <c r="J87" i="114"/>
  <c r="F105" i="114"/>
  <c r="L105" i="114"/>
  <c r="J105" i="114"/>
  <c r="H105" i="114"/>
  <c r="E19" i="115"/>
  <c r="E48" i="115"/>
  <c r="E80" i="115"/>
  <c r="E10" i="115"/>
  <c r="L73" i="113"/>
  <c r="J73" i="113"/>
  <c r="F73" i="113"/>
  <c r="H32" i="114"/>
  <c r="F32" i="114"/>
  <c r="J32" i="114"/>
  <c r="L32" i="114"/>
  <c r="L50" i="113"/>
  <c r="J50" i="113"/>
  <c r="F50" i="113"/>
  <c r="L66" i="114"/>
  <c r="J66" i="114"/>
  <c r="H66" i="114"/>
  <c r="F66" i="114"/>
  <c r="L89" i="113"/>
  <c r="J89" i="113"/>
  <c r="F89" i="113"/>
  <c r="J35" i="113"/>
  <c r="F35" i="113"/>
  <c r="L35" i="113"/>
  <c r="L85" i="113"/>
  <c r="J85" i="113"/>
  <c r="F85" i="113"/>
  <c r="J74" i="114"/>
  <c r="H74" i="114"/>
  <c r="I74" i="114" s="1"/>
  <c r="I74" i="115" s="1"/>
  <c r="F74" i="114"/>
  <c r="L74" i="114"/>
  <c r="E33" i="115"/>
  <c r="E111" i="115"/>
  <c r="E52" i="115"/>
  <c r="E68" i="115"/>
  <c r="E84" i="115"/>
  <c r="L102" i="114"/>
  <c r="F102" i="114"/>
  <c r="J102" i="114"/>
  <c r="H102" i="114"/>
  <c r="F7" i="113"/>
  <c r="J7" i="113"/>
  <c r="L7" i="113"/>
  <c r="F36" i="114"/>
  <c r="L36" i="114"/>
  <c r="J36" i="114"/>
  <c r="H36" i="114"/>
  <c r="L54" i="113"/>
  <c r="F54" i="113"/>
  <c r="J54" i="113"/>
  <c r="L70" i="113"/>
  <c r="F70" i="113"/>
  <c r="J70" i="113"/>
  <c r="L86" i="113"/>
  <c r="F86" i="113"/>
  <c r="J86" i="113"/>
  <c r="L104" i="113"/>
  <c r="J104" i="113"/>
  <c r="F104" i="113"/>
  <c r="L16" i="113"/>
  <c r="J16" i="113"/>
  <c r="F16" i="113"/>
  <c r="L77" i="113"/>
  <c r="F77" i="113"/>
  <c r="J77" i="113"/>
  <c r="J37" i="113"/>
  <c r="F37" i="113"/>
  <c r="L37" i="113"/>
  <c r="F71" i="113"/>
  <c r="J71" i="113"/>
  <c r="L71" i="113"/>
  <c r="H51" i="114"/>
  <c r="J51" i="114"/>
  <c r="L51" i="114"/>
  <c r="F51" i="114"/>
  <c r="F34" i="114"/>
  <c r="L34" i="114"/>
  <c r="H34" i="114"/>
  <c r="L84" i="113"/>
  <c r="J84" i="113"/>
  <c r="F84" i="113"/>
  <c r="J36" i="113"/>
  <c r="F36" i="113"/>
  <c r="L36" i="113"/>
  <c r="L86" i="114"/>
  <c r="J86" i="114"/>
  <c r="H86" i="114"/>
  <c r="I86" i="114" s="1"/>
  <c r="I86" i="115" s="1"/>
  <c r="F86" i="114"/>
  <c r="F16" i="114"/>
  <c r="J16" i="114"/>
  <c r="H16" i="114"/>
  <c r="L16" i="114"/>
  <c r="L8" i="114"/>
  <c r="H8" i="114"/>
  <c r="J8" i="114"/>
  <c r="F8" i="114"/>
  <c r="L37" i="114"/>
  <c r="F37" i="114"/>
  <c r="J37" i="114"/>
  <c r="H37" i="114"/>
  <c r="L71" i="114"/>
  <c r="J71" i="114"/>
  <c r="F71" i="114"/>
  <c r="H71" i="114"/>
  <c r="E105" i="115"/>
  <c r="L9" i="113"/>
  <c r="J9" i="113"/>
  <c r="F9" i="113"/>
  <c r="L40" i="113"/>
  <c r="J40" i="113"/>
  <c r="F40" i="113"/>
  <c r="L56" i="113"/>
  <c r="J56" i="113"/>
  <c r="F56" i="113"/>
  <c r="L72" i="114"/>
  <c r="H72" i="114"/>
  <c r="I72" i="114" s="1"/>
  <c r="I72" i="115" s="1"/>
  <c r="F72" i="114"/>
  <c r="J72" i="114"/>
  <c r="L92" i="113"/>
  <c r="J92" i="113"/>
  <c r="F92" i="113"/>
  <c r="F107" i="113"/>
  <c r="J107" i="113"/>
  <c r="F31" i="113"/>
  <c r="J31" i="113"/>
  <c r="L31" i="113"/>
  <c r="L49" i="114"/>
  <c r="J49" i="114"/>
  <c r="H49" i="114"/>
  <c r="I49" i="114" s="1"/>
  <c r="I49" i="115" s="1"/>
  <c r="F49" i="114"/>
  <c r="L65" i="113"/>
  <c r="J65" i="113"/>
  <c r="F65" i="113"/>
  <c r="L88" i="113"/>
  <c r="J88" i="113"/>
  <c r="F88" i="113"/>
  <c r="J109" i="109"/>
  <c r="F109" i="109"/>
  <c r="F45" i="114"/>
  <c r="L45" i="114"/>
  <c r="J45" i="114"/>
  <c r="H45" i="114"/>
  <c r="F95" i="113"/>
  <c r="J95" i="113"/>
  <c r="L95" i="113"/>
  <c r="L73" i="114"/>
  <c r="F73" i="114"/>
  <c r="J73" i="114"/>
  <c r="H73" i="114"/>
  <c r="L32" i="113"/>
  <c r="J32" i="113"/>
  <c r="F32" i="113"/>
  <c r="L50" i="114"/>
  <c r="J50" i="114"/>
  <c r="F50" i="114"/>
  <c r="H50" i="114"/>
  <c r="L66" i="113"/>
  <c r="J66" i="113"/>
  <c r="F66" i="113"/>
  <c r="L89" i="114"/>
  <c r="J89" i="114"/>
  <c r="F89" i="114"/>
  <c r="H89" i="114"/>
  <c r="J35" i="114"/>
  <c r="H35" i="114"/>
  <c r="F35" i="114"/>
  <c r="L35" i="114"/>
  <c r="F85" i="114"/>
  <c r="H85" i="114"/>
  <c r="L85" i="114"/>
  <c r="J85" i="114"/>
  <c r="E51" i="115"/>
  <c r="J111" i="109"/>
  <c r="F111" i="109"/>
  <c r="E34" i="115"/>
  <c r="E54" i="115"/>
  <c r="E70" i="115"/>
  <c r="F77" i="114"/>
  <c r="H77" i="114"/>
  <c r="L77" i="114"/>
  <c r="J77" i="114"/>
  <c r="F47" i="113"/>
  <c r="J47" i="113"/>
  <c r="L47" i="113"/>
  <c r="L48" i="113"/>
  <c r="J48" i="113"/>
  <c r="F48" i="113"/>
  <c r="F87" i="113"/>
  <c r="J87" i="113"/>
  <c r="L87" i="113"/>
  <c r="F113" i="109"/>
  <c r="J113" i="109"/>
  <c r="L33" i="113"/>
  <c r="J33" i="113"/>
  <c r="F33" i="113"/>
  <c r="J67" i="114"/>
  <c r="L67" i="114"/>
  <c r="H67" i="114"/>
  <c r="I67" i="114" s="1"/>
  <c r="I67" i="115" s="1"/>
  <c r="F67" i="114"/>
  <c r="F68" i="114"/>
  <c r="L68" i="114"/>
  <c r="J68" i="114"/>
  <c r="H68" i="114"/>
  <c r="E37" i="115"/>
  <c r="E71" i="115"/>
  <c r="L9" i="114"/>
  <c r="J9" i="114"/>
  <c r="F9" i="114"/>
  <c r="H9" i="114"/>
  <c r="H40" i="114"/>
  <c r="I40" i="114" s="1"/>
  <c r="I40" i="115" s="1"/>
  <c r="F40" i="114"/>
  <c r="L40" i="114"/>
  <c r="J40" i="114"/>
  <c r="L56" i="114"/>
  <c r="F56" i="114"/>
  <c r="H56" i="114"/>
  <c r="I56" i="114" s="1"/>
  <c r="I56" i="115" s="1"/>
  <c r="J56" i="114"/>
  <c r="L72" i="113"/>
  <c r="J72" i="113"/>
  <c r="F72" i="113"/>
  <c r="H92" i="114"/>
  <c r="I92" i="114" s="1"/>
  <c r="I92" i="115" s="1"/>
  <c r="L92" i="114"/>
  <c r="J92" i="114"/>
  <c r="F92" i="114"/>
  <c r="J107" i="114"/>
  <c r="F107" i="114"/>
  <c r="H107" i="114"/>
  <c r="H107" i="115" s="1"/>
  <c r="L31" i="114"/>
  <c r="J31" i="114"/>
  <c r="H31" i="114"/>
  <c r="F31" i="114"/>
  <c r="L49" i="113"/>
  <c r="F49" i="113"/>
  <c r="J49" i="113"/>
  <c r="L65" i="114"/>
  <c r="H65" i="114"/>
  <c r="F65" i="114"/>
  <c r="J65" i="114"/>
  <c r="L88" i="114"/>
  <c r="H88" i="114"/>
  <c r="F88" i="114"/>
  <c r="J88" i="114"/>
  <c r="L109" i="113"/>
  <c r="F109" i="113"/>
  <c r="J109" i="113"/>
  <c r="L45" i="113"/>
  <c r="F45" i="113"/>
  <c r="J45" i="113"/>
  <c r="E73" i="115"/>
  <c r="E50" i="115"/>
  <c r="E66" i="115"/>
  <c r="E89" i="115"/>
  <c r="L12" i="114"/>
  <c r="J12" i="114"/>
  <c r="H12" i="114"/>
  <c r="F12" i="114"/>
  <c r="H43" i="114"/>
  <c r="L43" i="114"/>
  <c r="J43" i="114"/>
  <c r="F43" i="114"/>
  <c r="H59" i="114"/>
  <c r="L59" i="114"/>
  <c r="J59" i="114"/>
  <c r="F59" i="114"/>
  <c r="J75" i="114"/>
  <c r="L75" i="114"/>
  <c r="H75" i="114"/>
  <c r="F75" i="114"/>
  <c r="F93" i="114"/>
  <c r="L93" i="114"/>
  <c r="J93" i="114"/>
  <c r="H93" i="114"/>
  <c r="I93" i="114" s="1"/>
  <c r="I93" i="115" s="1"/>
  <c r="F13" i="114"/>
  <c r="L13" i="114"/>
  <c r="J13" i="114"/>
  <c r="H13" i="114"/>
  <c r="L44" i="113"/>
  <c r="J44" i="113"/>
  <c r="F44" i="113"/>
  <c r="L60" i="113"/>
  <c r="J60" i="113"/>
  <c r="F60" i="113"/>
  <c r="L76" i="113"/>
  <c r="J76" i="113"/>
  <c r="F76" i="113"/>
  <c r="L94" i="113"/>
  <c r="J94" i="113"/>
  <c r="F94" i="113"/>
  <c r="L112" i="113"/>
  <c r="J112" i="113"/>
  <c r="F112" i="113"/>
  <c r="E7" i="115"/>
  <c r="E36" i="115"/>
  <c r="E104" i="115"/>
  <c r="F19" i="113"/>
  <c r="J19" i="113"/>
  <c r="L19" i="113"/>
  <c r="L8" i="113"/>
  <c r="J8" i="113"/>
  <c r="F8" i="113"/>
  <c r="F55" i="113"/>
  <c r="J55" i="113"/>
  <c r="L55" i="113"/>
  <c r="E98" i="115"/>
  <c r="E81" i="115"/>
  <c r="E42" i="115"/>
  <c r="L111" i="114"/>
  <c r="F111" i="114"/>
  <c r="J111" i="114"/>
  <c r="H111" i="114"/>
  <c r="L52" i="113"/>
  <c r="J52" i="113"/>
  <c r="F52" i="113"/>
  <c r="F7" i="114"/>
  <c r="J7" i="114"/>
  <c r="H7" i="114"/>
  <c r="L7" i="114"/>
  <c r="L54" i="114"/>
  <c r="H54" i="114"/>
  <c r="J54" i="114"/>
  <c r="F54" i="114"/>
  <c r="L70" i="114"/>
  <c r="J70" i="114"/>
  <c r="H70" i="114"/>
  <c r="F70" i="114"/>
  <c r="J18" i="113"/>
  <c r="F18" i="113"/>
  <c r="L18" i="113"/>
  <c r="L47" i="114"/>
  <c r="J47" i="114"/>
  <c r="H47" i="114"/>
  <c r="F47" i="114"/>
  <c r="F63" i="113"/>
  <c r="J63" i="113"/>
  <c r="L63" i="113"/>
  <c r="F79" i="113"/>
  <c r="J79" i="113"/>
  <c r="L79" i="113"/>
  <c r="L97" i="113"/>
  <c r="J97" i="113"/>
  <c r="F97" i="113"/>
  <c r="J6" i="113"/>
  <c r="L6" i="113"/>
  <c r="F6" i="113"/>
  <c r="E9" i="115"/>
  <c r="J107" i="109"/>
  <c r="F107" i="109"/>
  <c r="E65" i="115"/>
  <c r="L109" i="114"/>
  <c r="H109" i="114"/>
  <c r="I109" i="114" s="1"/>
  <c r="I109" i="115" s="1"/>
  <c r="F109" i="114"/>
  <c r="J109" i="114"/>
  <c r="L95" i="114"/>
  <c r="J95" i="114"/>
  <c r="H95" i="114"/>
  <c r="I95" i="114" s="1"/>
  <c r="I95" i="115" s="1"/>
  <c r="F95" i="114"/>
  <c r="E32" i="115"/>
  <c r="E35" i="115"/>
  <c r="E85" i="115"/>
  <c r="L110" i="114"/>
  <c r="H110" i="114"/>
  <c r="J110" i="114"/>
  <c r="F110" i="114"/>
  <c r="L12" i="113"/>
  <c r="J12" i="113"/>
  <c r="F12" i="113"/>
  <c r="F43" i="113"/>
  <c r="J43" i="113"/>
  <c r="L43" i="113"/>
  <c r="F59" i="113"/>
  <c r="J59" i="113"/>
  <c r="L59" i="113"/>
  <c r="F75" i="113"/>
  <c r="J75" i="113"/>
  <c r="L75" i="113"/>
  <c r="L93" i="113"/>
  <c r="J93" i="113"/>
  <c r="F93" i="113"/>
  <c r="L13" i="113"/>
  <c r="J13" i="113"/>
  <c r="F13" i="113"/>
  <c r="L44" i="114"/>
  <c r="J44" i="114"/>
  <c r="H44" i="114"/>
  <c r="F44" i="114"/>
  <c r="H60" i="114"/>
  <c r="F60" i="114"/>
  <c r="L60" i="114"/>
  <c r="J60" i="114"/>
  <c r="L76" i="114"/>
  <c r="J76" i="114"/>
  <c r="F76" i="114"/>
  <c r="H76" i="114"/>
  <c r="L94" i="114"/>
  <c r="J94" i="114"/>
  <c r="F94" i="114"/>
  <c r="H94" i="114"/>
  <c r="J112" i="114"/>
  <c r="F112" i="114"/>
  <c r="L112" i="114"/>
  <c r="H112" i="114"/>
  <c r="L17" i="113"/>
  <c r="J17" i="113"/>
  <c r="F17" i="113"/>
  <c r="L46" i="113"/>
  <c r="J46" i="113"/>
  <c r="F46" i="113"/>
  <c r="L62" i="113"/>
  <c r="J62" i="113"/>
  <c r="F62" i="113"/>
  <c r="L78" i="113"/>
  <c r="F78" i="113"/>
  <c r="J78" i="113"/>
  <c r="L96" i="113"/>
  <c r="F96" i="113"/>
  <c r="J96" i="113"/>
  <c r="L118" i="113"/>
  <c r="F118" i="113"/>
  <c r="J118" i="113"/>
  <c r="L53" i="113"/>
  <c r="F53" i="113"/>
  <c r="J53" i="113"/>
  <c r="F103" i="113"/>
  <c r="J103" i="113"/>
  <c r="L103" i="113"/>
  <c r="H18" i="114"/>
  <c r="F18" i="114"/>
  <c r="L18" i="114"/>
  <c r="J18" i="114"/>
  <c r="L64" i="113"/>
  <c r="J64" i="113"/>
  <c r="F64" i="113"/>
  <c r="L105" i="113"/>
  <c r="F105" i="113"/>
  <c r="J105" i="113"/>
  <c r="J83" i="114"/>
  <c r="L83" i="114"/>
  <c r="H83" i="114"/>
  <c r="I83" i="114" s="1"/>
  <c r="I83" i="115" s="1"/>
  <c r="F83" i="114"/>
  <c r="E102" i="115"/>
  <c r="L63" i="114"/>
  <c r="F63" i="114"/>
  <c r="H63" i="114"/>
  <c r="J63" i="114"/>
  <c r="L79" i="114"/>
  <c r="H79" i="114"/>
  <c r="J79" i="114"/>
  <c r="F79" i="114"/>
  <c r="F97" i="114"/>
  <c r="J97" i="114"/>
  <c r="H97" i="114"/>
  <c r="I97" i="114" s="1"/>
  <c r="I97" i="115" s="1"/>
  <c r="L97" i="114"/>
  <c r="L6" i="114"/>
  <c r="H6" i="114"/>
  <c r="J6" i="114"/>
  <c r="F6" i="114"/>
  <c r="E31" i="115"/>
  <c r="E88" i="115"/>
  <c r="E45" i="115"/>
  <c r="H11" i="114"/>
  <c r="L11" i="114"/>
  <c r="J11" i="114"/>
  <c r="F11" i="114"/>
  <c r="J42" i="113"/>
  <c r="F42" i="113"/>
  <c r="L42" i="113"/>
  <c r="L58" i="114"/>
  <c r="J58" i="114"/>
  <c r="H58" i="114"/>
  <c r="F58" i="114"/>
  <c r="H82" i="114"/>
  <c r="F82" i="114"/>
  <c r="L82" i="114"/>
  <c r="J82" i="114"/>
  <c r="L100" i="113"/>
  <c r="J100" i="113"/>
  <c r="F100" i="113"/>
  <c r="F61" i="114"/>
  <c r="L61" i="114"/>
  <c r="J61" i="114"/>
  <c r="H61" i="114"/>
  <c r="L110" i="113"/>
  <c r="F110" i="113"/>
  <c r="J110" i="113"/>
  <c r="E60" i="115"/>
  <c r="E76" i="115"/>
  <c r="E94" i="115"/>
  <c r="J112" i="109"/>
  <c r="F112" i="109"/>
  <c r="L17" i="114"/>
  <c r="J17" i="114"/>
  <c r="F17" i="114"/>
  <c r="H17" i="114"/>
  <c r="L46" i="114"/>
  <c r="H46" i="114"/>
  <c r="J46" i="114"/>
  <c r="F46" i="114"/>
  <c r="L62" i="114"/>
  <c r="F62" i="114"/>
  <c r="H62" i="114"/>
  <c r="J62" i="114"/>
  <c r="L78" i="114"/>
  <c r="F78" i="114"/>
  <c r="H78" i="114"/>
  <c r="H78" i="115" s="1"/>
  <c r="J78" i="114"/>
  <c r="L96" i="114"/>
  <c r="H96" i="114"/>
  <c r="F96" i="114"/>
  <c r="J96" i="114"/>
  <c r="L118" i="114"/>
  <c r="J118" i="114"/>
  <c r="H118" i="114"/>
  <c r="F118" i="114"/>
  <c r="F53" i="114"/>
  <c r="L53" i="114"/>
  <c r="J53" i="114"/>
  <c r="H53" i="114"/>
  <c r="I53" i="114" s="1"/>
  <c r="I53" i="115" s="1"/>
  <c r="F11" i="113"/>
  <c r="J11" i="113"/>
  <c r="L11" i="113"/>
  <c r="F42" i="114"/>
  <c r="L42" i="114"/>
  <c r="J42" i="114"/>
  <c r="H42" i="114"/>
  <c r="L58" i="113"/>
  <c r="F58" i="113"/>
  <c r="J58" i="113"/>
  <c r="L82" i="113"/>
  <c r="J82" i="113"/>
  <c r="F82" i="113"/>
  <c r="L100" i="114"/>
  <c r="H100" i="114"/>
  <c r="I100" i="114" s="1"/>
  <c r="I100" i="115" s="1"/>
  <c r="J100" i="114"/>
  <c r="F100" i="114"/>
  <c r="L61" i="113"/>
  <c r="J61" i="113"/>
  <c r="F61" i="113"/>
  <c r="F113" i="114"/>
  <c r="J113" i="114"/>
  <c r="H113" i="114"/>
  <c r="L113" i="114"/>
  <c r="E110" i="115"/>
  <c r="E12" i="115"/>
  <c r="E43" i="115"/>
  <c r="E75" i="115"/>
  <c r="E13" i="115"/>
  <c r="E44" i="115"/>
  <c r="E112" i="115"/>
  <c r="E62" i="115"/>
  <c r="L103" i="114"/>
  <c r="F103" i="114"/>
  <c r="J103" i="114"/>
  <c r="H103" i="114"/>
  <c r="L80" i="113"/>
  <c r="J80" i="113"/>
  <c r="F80" i="113"/>
  <c r="L98" i="113"/>
  <c r="F98" i="113"/>
  <c r="J98" i="113"/>
  <c r="L10" i="113"/>
  <c r="J10" i="113"/>
  <c r="F10" i="113"/>
  <c r="L41" i="113"/>
  <c r="F41" i="113"/>
  <c r="J41" i="113"/>
  <c r="L57" i="113"/>
  <c r="F57" i="113"/>
  <c r="J57" i="113"/>
  <c r="L81" i="113"/>
  <c r="F81" i="113"/>
  <c r="J81" i="113"/>
  <c r="F99" i="113"/>
  <c r="J99" i="113"/>
  <c r="L99" i="113"/>
  <c r="L101" i="113"/>
  <c r="F101" i="113"/>
  <c r="J101" i="113"/>
  <c r="L69" i="113"/>
  <c r="F69" i="113"/>
  <c r="J69" i="113"/>
  <c r="E18" i="115"/>
  <c r="E63" i="115"/>
  <c r="E6" i="115"/>
  <c r="H19" i="114"/>
  <c r="L19" i="114"/>
  <c r="J19" i="114"/>
  <c r="F19" i="114"/>
  <c r="L48" i="114"/>
  <c r="F48" i="114"/>
  <c r="H48" i="114"/>
  <c r="J48" i="114"/>
  <c r="L64" i="114"/>
  <c r="H64" i="114"/>
  <c r="I64" i="114" s="1"/>
  <c r="I64" i="115" s="1"/>
  <c r="F64" i="114"/>
  <c r="J64" i="114"/>
  <c r="L80" i="114"/>
  <c r="H80" i="114"/>
  <c r="F80" i="114"/>
  <c r="J80" i="114"/>
  <c r="H98" i="114"/>
  <c r="J98" i="114"/>
  <c r="L98" i="114"/>
  <c r="F98" i="114"/>
  <c r="H10" i="114"/>
  <c r="F10" i="114"/>
  <c r="L10" i="114"/>
  <c r="J10" i="114"/>
  <c r="L41" i="114"/>
  <c r="J41" i="114"/>
  <c r="H41" i="114"/>
  <c r="I41" i="114" s="1"/>
  <c r="I41" i="115" s="1"/>
  <c r="F41" i="114"/>
  <c r="L57" i="114"/>
  <c r="J57" i="114"/>
  <c r="H57" i="114"/>
  <c r="I57" i="114" s="1"/>
  <c r="I57" i="115" s="1"/>
  <c r="F57" i="114"/>
  <c r="L81" i="114"/>
  <c r="J81" i="114"/>
  <c r="F81" i="114"/>
  <c r="H81" i="114"/>
  <c r="J99" i="114"/>
  <c r="L99" i="114"/>
  <c r="F99" i="114"/>
  <c r="H99" i="114"/>
  <c r="I99" i="114" s="1"/>
  <c r="I99" i="115" s="1"/>
  <c r="F101" i="114"/>
  <c r="L101" i="114"/>
  <c r="H101" i="114"/>
  <c r="I101" i="114" s="1"/>
  <c r="I101" i="115" s="1"/>
  <c r="J101" i="114"/>
  <c r="F69" i="114"/>
  <c r="J69" i="114"/>
  <c r="H69" i="114"/>
  <c r="I69" i="114" s="1"/>
  <c r="I69" i="115" s="1"/>
  <c r="L69" i="114"/>
  <c r="E58" i="115"/>
  <c r="E82" i="115"/>
  <c r="E113" i="115"/>
  <c r="F110" i="109"/>
  <c r="J110" i="109"/>
  <c r="L33" i="114"/>
  <c r="J33" i="114"/>
  <c r="H33" i="114"/>
  <c r="F33" i="114"/>
  <c r="F51" i="113"/>
  <c r="J51" i="113"/>
  <c r="L51" i="113"/>
  <c r="F67" i="113"/>
  <c r="J67" i="113"/>
  <c r="L67" i="113"/>
  <c r="F83" i="113"/>
  <c r="J83" i="113"/>
  <c r="L83" i="113"/>
  <c r="F111" i="113"/>
  <c r="J111" i="113"/>
  <c r="L111" i="113"/>
  <c r="L34" i="113"/>
  <c r="F34" i="113"/>
  <c r="L52" i="114"/>
  <c r="J52" i="114"/>
  <c r="H52" i="114"/>
  <c r="F52" i="114"/>
  <c r="L68" i="113"/>
  <c r="J68" i="113"/>
  <c r="F68" i="113"/>
  <c r="J84" i="114"/>
  <c r="L84" i="114"/>
  <c r="H84" i="114"/>
  <c r="F84" i="114"/>
  <c r="L102" i="113"/>
  <c r="F102" i="113"/>
  <c r="J102" i="113"/>
  <c r="E46" i="115"/>
  <c r="E96" i="115"/>
  <c r="J116" i="109"/>
  <c r="J116" i="115" s="1"/>
  <c r="F116" i="109"/>
  <c r="F116" i="115" s="1"/>
  <c r="E103" i="115"/>
  <c r="H21" i="109"/>
  <c r="E21" i="109"/>
  <c r="J21" i="109"/>
  <c r="F21" i="109"/>
  <c r="G21" i="109"/>
  <c r="L21" i="109"/>
  <c r="M21" i="109"/>
  <c r="M12" i="109"/>
  <c r="E12" i="109"/>
  <c r="H12" i="109"/>
  <c r="G12" i="109"/>
  <c r="J12" i="109"/>
  <c r="F12" i="109"/>
  <c r="L12" i="109"/>
  <c r="H110" i="109"/>
  <c r="L110" i="109"/>
  <c r="M110" i="109"/>
  <c r="E110" i="109"/>
  <c r="G110" i="109"/>
  <c r="H50" i="109"/>
  <c r="J50" i="109"/>
  <c r="L50" i="109"/>
  <c r="E50" i="109"/>
  <c r="F50" i="109"/>
  <c r="G50" i="109"/>
  <c r="M50" i="109"/>
  <c r="M82" i="109"/>
  <c r="E82" i="109"/>
  <c r="G82" i="109"/>
  <c r="H82" i="109"/>
  <c r="J82" i="109"/>
  <c r="F82" i="109"/>
  <c r="L82" i="109"/>
  <c r="H19" i="109"/>
  <c r="F19" i="109"/>
  <c r="L19" i="109"/>
  <c r="E19" i="109"/>
  <c r="G19" i="109"/>
  <c r="J19" i="109"/>
  <c r="M19" i="109"/>
  <c r="E25" i="109"/>
  <c r="J25" i="109"/>
  <c r="F25" i="109"/>
  <c r="L25" i="109"/>
  <c r="G25" i="109"/>
  <c r="H25" i="109"/>
  <c r="M25" i="109"/>
  <c r="F83" i="109"/>
  <c r="H83" i="109"/>
  <c r="G83" i="109"/>
  <c r="J83" i="109"/>
  <c r="L83" i="109"/>
  <c r="M83" i="109"/>
  <c r="G61" i="109"/>
  <c r="H61" i="109"/>
  <c r="J61" i="109"/>
  <c r="M61" i="109"/>
  <c r="L61" i="109"/>
  <c r="E61" i="109"/>
  <c r="F61" i="109"/>
  <c r="F78" i="109"/>
  <c r="G78" i="109"/>
  <c r="L78" i="109"/>
  <c r="J78" i="109"/>
  <c r="J78" i="115" s="1"/>
  <c r="M78" i="109"/>
  <c r="J30" i="109"/>
  <c r="E30" i="109"/>
  <c r="G30" i="109"/>
  <c r="L30" i="109"/>
  <c r="F30" i="109"/>
  <c r="H30" i="109"/>
  <c r="M30" i="109"/>
  <c r="F72" i="109"/>
  <c r="F72" i="115" s="1"/>
  <c r="G72" i="109"/>
  <c r="J72" i="109"/>
  <c r="L72" i="109"/>
  <c r="M72" i="109"/>
  <c r="H72" i="109"/>
  <c r="H72" i="115" s="1"/>
  <c r="E105" i="109"/>
  <c r="F105" i="109"/>
  <c r="H105" i="109"/>
  <c r="G105" i="109"/>
  <c r="J105" i="109"/>
  <c r="L105" i="109"/>
  <c r="M105" i="109"/>
  <c r="J6" i="109"/>
  <c r="M6" i="109"/>
  <c r="L6" i="109"/>
  <c r="F6" i="109"/>
  <c r="G116" i="109"/>
  <c r="L116" i="109"/>
  <c r="L116" i="115" s="1"/>
  <c r="M116" i="109"/>
  <c r="H116" i="109"/>
  <c r="H116" i="115" s="1"/>
  <c r="H29" i="109"/>
  <c r="H29" i="115" s="1"/>
  <c r="L29" i="109"/>
  <c r="L29" i="115" s="1"/>
  <c r="F29" i="109"/>
  <c r="F29" i="115" s="1"/>
  <c r="J29" i="109"/>
  <c r="J29" i="115" s="1"/>
  <c r="M29" i="109"/>
  <c r="M29" i="115" s="1"/>
  <c r="G29" i="109"/>
  <c r="G29" i="115" s="1"/>
  <c r="E84" i="109"/>
  <c r="F84" i="109"/>
  <c r="G84" i="109"/>
  <c r="J84" i="109"/>
  <c r="L84" i="109"/>
  <c r="M84" i="109"/>
  <c r="H84" i="109"/>
  <c r="H101" i="109"/>
  <c r="H101" i="115" s="1"/>
  <c r="J101" i="109"/>
  <c r="L101" i="109"/>
  <c r="F101" i="109"/>
  <c r="G101" i="109"/>
  <c r="M101" i="109"/>
  <c r="E58" i="109"/>
  <c r="F58" i="109"/>
  <c r="H58" i="109"/>
  <c r="J58" i="109"/>
  <c r="L58" i="109"/>
  <c r="G58" i="109"/>
  <c r="M58" i="109"/>
  <c r="J92" i="109"/>
  <c r="L92" i="109"/>
  <c r="M92" i="109"/>
  <c r="F92" i="109"/>
  <c r="G92" i="109"/>
  <c r="H92" i="109"/>
  <c r="H92" i="115" s="1"/>
  <c r="F35" i="109"/>
  <c r="L35" i="109"/>
  <c r="G35" i="109"/>
  <c r="M35" i="109"/>
  <c r="E35" i="109"/>
  <c r="H35" i="109"/>
  <c r="J35" i="109"/>
  <c r="M40" i="109"/>
  <c r="F40" i="109"/>
  <c r="F40" i="115" s="1"/>
  <c r="L40" i="109"/>
  <c r="L40" i="115" s="1"/>
  <c r="H40" i="109"/>
  <c r="H40" i="115" s="1"/>
  <c r="G40" i="109"/>
  <c r="J40" i="109"/>
  <c r="J40" i="115" s="1"/>
  <c r="H17" i="109"/>
  <c r="H17" i="115" s="1"/>
  <c r="M17" i="109"/>
  <c r="G17" i="109"/>
  <c r="L17" i="109"/>
  <c r="L17" i="115" s="1"/>
  <c r="F17" i="109"/>
  <c r="J17" i="109"/>
  <c r="J69" i="109"/>
  <c r="L69" i="109"/>
  <c r="M69" i="109"/>
  <c r="F69" i="109"/>
  <c r="G69" i="109"/>
  <c r="H69" i="109"/>
  <c r="H86" i="109"/>
  <c r="J86" i="109"/>
  <c r="J86" i="115" s="1"/>
  <c r="L86" i="109"/>
  <c r="F86" i="109"/>
  <c r="G86" i="109"/>
  <c r="M86" i="109"/>
  <c r="G96" i="109"/>
  <c r="H96" i="109"/>
  <c r="J96" i="109"/>
  <c r="M96" i="109"/>
  <c r="E96" i="109"/>
  <c r="F96" i="109"/>
  <c r="L96" i="109"/>
  <c r="L81" i="109"/>
  <c r="M81" i="109"/>
  <c r="F81" i="109"/>
  <c r="E81" i="109"/>
  <c r="G81" i="109"/>
  <c r="H81" i="109"/>
  <c r="J81" i="109"/>
  <c r="J97" i="109"/>
  <c r="J97" i="115" s="1"/>
  <c r="L97" i="109"/>
  <c r="M97" i="109"/>
  <c r="F97" i="109"/>
  <c r="G97" i="109"/>
  <c r="H97" i="109"/>
  <c r="H97" i="115" s="1"/>
  <c r="G113" i="109"/>
  <c r="H113" i="109"/>
  <c r="M113" i="109"/>
  <c r="L113" i="109"/>
  <c r="E113" i="109"/>
  <c r="E89" i="109"/>
  <c r="F89" i="109"/>
  <c r="H89" i="109"/>
  <c r="J89" i="109"/>
  <c r="L89" i="109"/>
  <c r="G89" i="109"/>
  <c r="M89" i="109"/>
  <c r="F10" i="109"/>
  <c r="H10" i="109"/>
  <c r="L10" i="109"/>
  <c r="E10" i="109"/>
  <c r="G10" i="109"/>
  <c r="J10" i="109"/>
  <c r="M10" i="109"/>
  <c r="L11" i="109"/>
  <c r="G11" i="109"/>
  <c r="F11" i="109"/>
  <c r="F11" i="115" s="1"/>
  <c r="H11" i="109"/>
  <c r="J11" i="109"/>
  <c r="M11" i="109"/>
  <c r="F42" i="109"/>
  <c r="G42" i="109"/>
  <c r="H42" i="109"/>
  <c r="L42" i="109"/>
  <c r="J42" i="109"/>
  <c r="M42" i="109"/>
  <c r="E42" i="109"/>
  <c r="G68" i="109"/>
  <c r="H68" i="109"/>
  <c r="J68" i="109"/>
  <c r="M68" i="109"/>
  <c r="L68" i="109"/>
  <c r="E68" i="109"/>
  <c r="F68" i="109"/>
  <c r="L28" i="109"/>
  <c r="L28" i="115" s="1"/>
  <c r="F28" i="109"/>
  <c r="F28" i="115" s="1"/>
  <c r="H28" i="109"/>
  <c r="H28" i="115" s="1"/>
  <c r="M28" i="109"/>
  <c r="G28" i="109"/>
  <c r="J28" i="109"/>
  <c r="J28" i="115" s="1"/>
  <c r="M88" i="109"/>
  <c r="E88" i="109"/>
  <c r="G88" i="109"/>
  <c r="F88" i="109"/>
  <c r="H88" i="109"/>
  <c r="J88" i="109"/>
  <c r="L88" i="109"/>
  <c r="G36" i="109"/>
  <c r="M36" i="109"/>
  <c r="H36" i="109"/>
  <c r="L36" i="109"/>
  <c r="E36" i="109"/>
  <c r="J36" i="109"/>
  <c r="F36" i="109"/>
  <c r="J56" i="109"/>
  <c r="L56" i="109"/>
  <c r="M56" i="109"/>
  <c r="F56" i="109"/>
  <c r="G56" i="109"/>
  <c r="H56" i="109"/>
  <c r="M71" i="109"/>
  <c r="E71" i="109"/>
  <c r="G71" i="109"/>
  <c r="F71" i="109"/>
  <c r="H71" i="109"/>
  <c r="J71" i="109"/>
  <c r="L71" i="109"/>
  <c r="J102" i="109"/>
  <c r="L102" i="109"/>
  <c r="M102" i="109"/>
  <c r="E102" i="109"/>
  <c r="F102" i="109"/>
  <c r="G102" i="109"/>
  <c r="H102" i="109"/>
  <c r="H74" i="109"/>
  <c r="H74" i="115" s="1"/>
  <c r="J74" i="109"/>
  <c r="L74" i="109"/>
  <c r="F74" i="109"/>
  <c r="M74" i="109"/>
  <c r="G74" i="109"/>
  <c r="F100" i="109"/>
  <c r="F100" i="115" s="1"/>
  <c r="G100" i="109"/>
  <c r="H100" i="109"/>
  <c r="L100" i="109"/>
  <c r="J100" i="109"/>
  <c r="M100" i="109"/>
  <c r="L46" i="109"/>
  <c r="M46" i="109"/>
  <c r="F46" i="109"/>
  <c r="G46" i="109"/>
  <c r="H46" i="109"/>
  <c r="E46" i="109"/>
  <c r="J46" i="109"/>
  <c r="J51" i="109"/>
  <c r="L51" i="109"/>
  <c r="M51" i="109"/>
  <c r="E51" i="109"/>
  <c r="F51" i="109"/>
  <c r="G51" i="109"/>
  <c r="H51" i="109"/>
  <c r="E34" i="109"/>
  <c r="J34" i="109"/>
  <c r="M34" i="109"/>
  <c r="G34" i="109"/>
  <c r="H34" i="109"/>
  <c r="L34" i="109"/>
  <c r="F34" i="109"/>
  <c r="L20" i="109"/>
  <c r="L20" i="115" s="1"/>
  <c r="F20" i="109"/>
  <c r="F20" i="115" s="1"/>
  <c r="H20" i="109"/>
  <c r="H20" i="115" s="1"/>
  <c r="M20" i="109"/>
  <c r="G20" i="109"/>
  <c r="J20" i="109"/>
  <c r="J20" i="115" s="1"/>
  <c r="F41" i="109"/>
  <c r="L41" i="109"/>
  <c r="L41" i="115" s="1"/>
  <c r="J41" i="109"/>
  <c r="H41" i="109"/>
  <c r="H41" i="115" s="1"/>
  <c r="G41" i="109"/>
  <c r="M41" i="109"/>
  <c r="M64" i="109"/>
  <c r="G64" i="109"/>
  <c r="F64" i="109"/>
  <c r="F64" i="115" s="1"/>
  <c r="H64" i="109"/>
  <c r="H64" i="115" s="1"/>
  <c r="J64" i="109"/>
  <c r="L64" i="109"/>
  <c r="J45" i="109"/>
  <c r="L45" i="109"/>
  <c r="M45" i="109"/>
  <c r="E45" i="109"/>
  <c r="F45" i="109"/>
  <c r="G45" i="109"/>
  <c r="H45" i="109"/>
  <c r="H15" i="109"/>
  <c r="H15" i="115" s="1"/>
  <c r="J15" i="109"/>
  <c r="J15" i="115" s="1"/>
  <c r="F15" i="109"/>
  <c r="F15" i="115" s="1"/>
  <c r="G15" i="109"/>
  <c r="G15" i="115" s="1"/>
  <c r="L15" i="109"/>
  <c r="L15" i="115" s="1"/>
  <c r="M15" i="109"/>
  <c r="M15" i="115" s="1"/>
  <c r="J8" i="109"/>
  <c r="M8" i="109"/>
  <c r="F8" i="109"/>
  <c r="H8" i="109"/>
  <c r="H8" i="115" s="1"/>
  <c r="G8" i="109"/>
  <c r="L8" i="109"/>
  <c r="L8" i="115" s="1"/>
  <c r="E114" i="109"/>
  <c r="G114" i="116" s="1"/>
  <c r="L103" i="109"/>
  <c r="M103" i="109"/>
  <c r="F103" i="109"/>
  <c r="E103" i="109"/>
  <c r="G103" i="109"/>
  <c r="H103" i="109"/>
  <c r="J103" i="109"/>
  <c r="F73" i="109"/>
  <c r="G73" i="109"/>
  <c r="H73" i="109"/>
  <c r="L73" i="109"/>
  <c r="J73" i="109"/>
  <c r="M73" i="109"/>
  <c r="E73" i="109"/>
  <c r="H111" i="109"/>
  <c r="M111" i="109"/>
  <c r="E111" i="109"/>
  <c r="G111" i="109"/>
  <c r="L111" i="109"/>
  <c r="G109" i="109"/>
  <c r="M109" i="109"/>
  <c r="H109" i="109"/>
  <c r="L109" i="109"/>
  <c r="L109" i="115" s="1"/>
  <c r="F85" i="109"/>
  <c r="G85" i="109"/>
  <c r="H85" i="109"/>
  <c r="L85" i="109"/>
  <c r="J85" i="109"/>
  <c r="M85" i="109"/>
  <c r="E85" i="109"/>
  <c r="M24" i="109"/>
  <c r="G24" i="109"/>
  <c r="J24" i="109"/>
  <c r="J24" i="115" s="1"/>
  <c r="L24" i="109"/>
  <c r="L24" i="115" s="1"/>
  <c r="F24" i="109"/>
  <c r="F24" i="115" s="1"/>
  <c r="H24" i="109"/>
  <c r="H24" i="115" s="1"/>
  <c r="M32" i="109"/>
  <c r="G32" i="109"/>
  <c r="F32" i="109"/>
  <c r="L32" i="109"/>
  <c r="E32" i="109"/>
  <c r="H32" i="109"/>
  <c r="J32" i="109"/>
  <c r="L31" i="109"/>
  <c r="F31" i="109"/>
  <c r="M31" i="109"/>
  <c r="G31" i="109"/>
  <c r="J31" i="109"/>
  <c r="E31" i="109"/>
  <c r="H31" i="109"/>
  <c r="H44" i="109"/>
  <c r="J44" i="109"/>
  <c r="L44" i="109"/>
  <c r="M44" i="109"/>
  <c r="E44" i="109"/>
  <c r="F44" i="109"/>
  <c r="G44" i="109"/>
  <c r="M57" i="109"/>
  <c r="G57" i="109"/>
  <c r="F57" i="109"/>
  <c r="H57" i="109"/>
  <c r="J57" i="109"/>
  <c r="L57" i="109"/>
  <c r="F47" i="109"/>
  <c r="H47" i="109"/>
  <c r="H47" i="115" s="1"/>
  <c r="G47" i="109"/>
  <c r="J47" i="109"/>
  <c r="L47" i="109"/>
  <c r="M47" i="109"/>
  <c r="M38" i="109"/>
  <c r="M38" i="115" s="1"/>
  <c r="J38" i="109"/>
  <c r="J38" i="115" s="1"/>
  <c r="H38" i="109"/>
  <c r="H38" i="115" s="1"/>
  <c r="L38" i="109"/>
  <c r="L38" i="115" s="1"/>
  <c r="F38" i="109"/>
  <c r="F38" i="115" s="1"/>
  <c r="G38" i="109"/>
  <c r="G38" i="115" s="1"/>
  <c r="F90" i="115"/>
  <c r="G90" i="115"/>
  <c r="J90" i="115"/>
  <c r="H90" i="115"/>
  <c r="L90" i="115"/>
  <c r="M90" i="115"/>
  <c r="F53" i="109"/>
  <c r="F53" i="115" s="1"/>
  <c r="H53" i="109"/>
  <c r="H53" i="115" s="1"/>
  <c r="J53" i="109"/>
  <c r="L53" i="109"/>
  <c r="G53" i="109"/>
  <c r="M53" i="109"/>
  <c r="F67" i="109"/>
  <c r="G67" i="109"/>
  <c r="H67" i="109"/>
  <c r="H67" i="115" s="1"/>
  <c r="L67" i="109"/>
  <c r="M67" i="109"/>
  <c r="J67" i="109"/>
  <c r="J67" i="115" s="1"/>
  <c r="E66" i="109"/>
  <c r="F66" i="109"/>
  <c r="G66" i="109"/>
  <c r="J66" i="109"/>
  <c r="H66" i="109"/>
  <c r="L66" i="109"/>
  <c r="M66" i="109"/>
  <c r="G26" i="109"/>
  <c r="M26" i="109"/>
  <c r="H26" i="109"/>
  <c r="H26" i="115" s="1"/>
  <c r="L26" i="109"/>
  <c r="L26" i="115" s="1"/>
  <c r="F26" i="109"/>
  <c r="F26" i="115" s="1"/>
  <c r="J26" i="109"/>
  <c r="J26" i="115" s="1"/>
  <c r="E94" i="109"/>
  <c r="F94" i="109"/>
  <c r="H94" i="109"/>
  <c r="J94" i="109"/>
  <c r="L94" i="109"/>
  <c r="G94" i="109"/>
  <c r="M94" i="109"/>
  <c r="F39" i="109"/>
  <c r="F39" i="115" s="1"/>
  <c r="G39" i="109"/>
  <c r="G39" i="115" s="1"/>
  <c r="L39" i="109"/>
  <c r="L39" i="115" s="1"/>
  <c r="H39" i="109"/>
  <c r="H39" i="115" s="1"/>
  <c r="M39" i="109"/>
  <c r="M39" i="115" s="1"/>
  <c r="G106" i="109"/>
  <c r="G106" i="115" s="1"/>
  <c r="M106" i="109"/>
  <c r="M106" i="115" s="1"/>
  <c r="E54" i="109"/>
  <c r="F54" i="109"/>
  <c r="G54" i="109"/>
  <c r="J54" i="109"/>
  <c r="H54" i="109"/>
  <c r="L54" i="109"/>
  <c r="M54" i="109"/>
  <c r="F59" i="109"/>
  <c r="G59" i="109"/>
  <c r="J59" i="109"/>
  <c r="H59" i="109"/>
  <c r="H59" i="115" s="1"/>
  <c r="L59" i="109"/>
  <c r="M59" i="109"/>
  <c r="F77" i="109"/>
  <c r="H77" i="109"/>
  <c r="H77" i="115" s="1"/>
  <c r="J77" i="109"/>
  <c r="L77" i="109"/>
  <c r="G77" i="109"/>
  <c r="M77" i="109"/>
  <c r="G49" i="109"/>
  <c r="H49" i="109"/>
  <c r="J49" i="109"/>
  <c r="M49" i="109"/>
  <c r="L49" i="109"/>
  <c r="F49" i="109"/>
  <c r="L87" i="109"/>
  <c r="L87" i="115" s="1"/>
  <c r="M87" i="109"/>
  <c r="F87" i="109"/>
  <c r="F87" i="115" s="1"/>
  <c r="G87" i="109"/>
  <c r="H87" i="109"/>
  <c r="H87" i="115" s="1"/>
  <c r="J87" i="109"/>
  <c r="J87" i="115" s="1"/>
  <c r="H115" i="109"/>
  <c r="L115" i="109"/>
  <c r="M115" i="109"/>
  <c r="G115" i="109"/>
  <c r="L98" i="109"/>
  <c r="M98" i="109"/>
  <c r="F98" i="109"/>
  <c r="E98" i="109"/>
  <c r="G98" i="109"/>
  <c r="H98" i="109"/>
  <c r="J98" i="109"/>
  <c r="G18" i="109"/>
  <c r="M18" i="109"/>
  <c r="L18" i="109"/>
  <c r="F18" i="109"/>
  <c r="H18" i="109"/>
  <c r="J18" i="109"/>
  <c r="E18" i="109"/>
  <c r="H62" i="109"/>
  <c r="J62" i="109"/>
  <c r="L62" i="109"/>
  <c r="E62" i="109"/>
  <c r="F62" i="109"/>
  <c r="G62" i="109"/>
  <c r="M62" i="109"/>
  <c r="J75" i="109"/>
  <c r="L75" i="109"/>
  <c r="M75" i="109"/>
  <c r="E75" i="109"/>
  <c r="F75" i="109"/>
  <c r="G75" i="109"/>
  <c r="H75" i="109"/>
  <c r="G91" i="109"/>
  <c r="G91" i="115" s="1"/>
  <c r="H91" i="109"/>
  <c r="H91" i="115" s="1"/>
  <c r="J91" i="109"/>
  <c r="J91" i="115" s="1"/>
  <c r="M91" i="109"/>
  <c r="M91" i="115" s="1"/>
  <c r="F91" i="109"/>
  <c r="F91" i="115" s="1"/>
  <c r="L91" i="109"/>
  <c r="L91" i="115" s="1"/>
  <c r="F60" i="109"/>
  <c r="G60" i="109"/>
  <c r="H60" i="109"/>
  <c r="L60" i="109"/>
  <c r="M60" i="109"/>
  <c r="E60" i="109"/>
  <c r="J60" i="109"/>
  <c r="M93" i="109"/>
  <c r="G93" i="109"/>
  <c r="F93" i="109"/>
  <c r="F93" i="115" s="1"/>
  <c r="H93" i="109"/>
  <c r="J93" i="109"/>
  <c r="L93" i="109"/>
  <c r="L93" i="115" s="1"/>
  <c r="E65" i="109"/>
  <c r="F65" i="109"/>
  <c r="H65" i="109"/>
  <c r="J65" i="109"/>
  <c r="L65" i="109"/>
  <c r="G65" i="109"/>
  <c r="M65" i="109"/>
  <c r="G55" i="109"/>
  <c r="H55" i="109"/>
  <c r="H55" i="115" s="1"/>
  <c r="J55" i="109"/>
  <c r="M55" i="109"/>
  <c r="L55" i="109"/>
  <c r="F55" i="109"/>
  <c r="F95" i="109"/>
  <c r="F95" i="115" s="1"/>
  <c r="G95" i="109"/>
  <c r="H95" i="109"/>
  <c r="H95" i="115" s="1"/>
  <c r="L95" i="109"/>
  <c r="J95" i="109"/>
  <c r="M95" i="109"/>
  <c r="J9" i="109"/>
  <c r="E9" i="109"/>
  <c r="G9" i="109"/>
  <c r="M9" i="109"/>
  <c r="F9" i="109"/>
  <c r="H9" i="109"/>
  <c r="L9" i="109"/>
  <c r="F13" i="109"/>
  <c r="J13" i="109"/>
  <c r="E13" i="109"/>
  <c r="G13" i="109"/>
  <c r="H13" i="109"/>
  <c r="L13" i="109"/>
  <c r="M13" i="109"/>
  <c r="F22" i="109"/>
  <c r="F22" i="115" s="1"/>
  <c r="L22" i="109"/>
  <c r="L22" i="115" s="1"/>
  <c r="G22" i="109"/>
  <c r="G22" i="115" s="1"/>
  <c r="J22" i="109"/>
  <c r="J22" i="115" s="1"/>
  <c r="M22" i="109"/>
  <c r="M22" i="115" s="1"/>
  <c r="F99" i="109"/>
  <c r="H99" i="109"/>
  <c r="J99" i="109"/>
  <c r="L99" i="109"/>
  <c r="M99" i="109"/>
  <c r="G99" i="109"/>
  <c r="F16" i="109"/>
  <c r="L16" i="109"/>
  <c r="L16" i="115" s="1"/>
  <c r="G16" i="109"/>
  <c r="J16" i="109"/>
  <c r="J16" i="115" s="1"/>
  <c r="M16" i="109"/>
  <c r="H16" i="109"/>
  <c r="H16" i="115" s="1"/>
  <c r="G7" i="109"/>
  <c r="J7" i="109"/>
  <c r="E7" i="109"/>
  <c r="F7" i="109"/>
  <c r="H7" i="109"/>
  <c r="L7" i="109"/>
  <c r="M7" i="109"/>
  <c r="H33" i="109"/>
  <c r="G33" i="109"/>
  <c r="L33" i="109"/>
  <c r="E33" i="109"/>
  <c r="M33" i="109"/>
  <c r="F33" i="109"/>
  <c r="J33" i="109"/>
  <c r="H37" i="109"/>
  <c r="M37" i="109"/>
  <c r="G37" i="109"/>
  <c r="E37" i="109"/>
  <c r="F37" i="109"/>
  <c r="J37" i="109"/>
  <c r="L37" i="109"/>
  <c r="F14" i="109"/>
  <c r="F14" i="115" s="1"/>
  <c r="H14" i="109"/>
  <c r="H14" i="115" s="1"/>
  <c r="M14" i="109"/>
  <c r="M14" i="115" s="1"/>
  <c r="G14" i="109"/>
  <c r="G14" i="115" s="1"/>
  <c r="J14" i="109"/>
  <c r="J14" i="115" s="1"/>
  <c r="L14" i="109"/>
  <c r="L14" i="115" s="1"/>
  <c r="H112" i="109"/>
  <c r="E112" i="109"/>
  <c r="L112" i="109"/>
  <c r="M112" i="109"/>
  <c r="G112" i="109"/>
  <c r="M104" i="109"/>
  <c r="E104" i="109"/>
  <c r="G104" i="109"/>
  <c r="H104" i="109"/>
  <c r="J104" i="109"/>
  <c r="F104" i="109"/>
  <c r="L104" i="109"/>
  <c r="L108" i="109"/>
  <c r="H108" i="109"/>
  <c r="M108" i="109"/>
  <c r="G108" i="109"/>
  <c r="E108" i="109"/>
  <c r="H27" i="109"/>
  <c r="M27" i="109"/>
  <c r="G27" i="109"/>
  <c r="F27" i="109"/>
  <c r="J27" i="109"/>
  <c r="L27" i="109"/>
  <c r="E27" i="109"/>
  <c r="L70" i="109"/>
  <c r="M70" i="109"/>
  <c r="F70" i="109"/>
  <c r="G70" i="109"/>
  <c r="H70" i="109"/>
  <c r="E70" i="109"/>
  <c r="J70" i="109"/>
  <c r="G43" i="109"/>
  <c r="H43" i="109"/>
  <c r="J43" i="109"/>
  <c r="M43" i="109"/>
  <c r="E43" i="109"/>
  <c r="F43" i="109"/>
  <c r="L43" i="109"/>
  <c r="L52" i="109"/>
  <c r="M52" i="109"/>
  <c r="F52" i="109"/>
  <c r="E52" i="109"/>
  <c r="G52" i="109"/>
  <c r="H52" i="109"/>
  <c r="J52" i="109"/>
  <c r="L76" i="109"/>
  <c r="M76" i="109"/>
  <c r="F76" i="109"/>
  <c r="E76" i="109"/>
  <c r="G76" i="109"/>
  <c r="H76" i="109"/>
  <c r="J76" i="109"/>
  <c r="E48" i="109"/>
  <c r="F48" i="109"/>
  <c r="G48" i="109"/>
  <c r="J48" i="109"/>
  <c r="L48" i="109"/>
  <c r="M48" i="109"/>
  <c r="H48" i="109"/>
  <c r="J23" i="109"/>
  <c r="E23" i="109"/>
  <c r="G23" i="109"/>
  <c r="M23" i="109"/>
  <c r="F23" i="109"/>
  <c r="H23" i="109"/>
  <c r="L23" i="109"/>
  <c r="J80" i="109"/>
  <c r="L80" i="109"/>
  <c r="M80" i="109"/>
  <c r="E80" i="109"/>
  <c r="F80" i="109"/>
  <c r="G80" i="109"/>
  <c r="H80" i="109"/>
  <c r="J63" i="109"/>
  <c r="L63" i="109"/>
  <c r="M63" i="109"/>
  <c r="E63" i="109"/>
  <c r="F63" i="109"/>
  <c r="G63" i="109"/>
  <c r="H63" i="109"/>
  <c r="H79" i="109"/>
  <c r="H79" i="115" s="1"/>
  <c r="J79" i="109"/>
  <c r="L79" i="109"/>
  <c r="L79" i="115" s="1"/>
  <c r="F79" i="109"/>
  <c r="M79" i="109"/>
  <c r="G79" i="109"/>
  <c r="G107" i="109"/>
  <c r="M107" i="109"/>
  <c r="I15" i="114"/>
  <c r="I15" i="115" s="1"/>
  <c r="G20" i="113"/>
  <c r="M20" i="113"/>
  <c r="M20" i="114"/>
  <c r="G20" i="114"/>
  <c r="G6" i="109"/>
  <c r="E117" i="113"/>
  <c r="E39" i="114"/>
  <c r="J39" i="116" s="1"/>
  <c r="E39" i="113"/>
  <c r="H39" i="116" s="1"/>
  <c r="G7" i="113"/>
  <c r="E7" i="113"/>
  <c r="M26" i="113"/>
  <c r="G26" i="113"/>
  <c r="G69" i="114"/>
  <c r="M69" i="114"/>
  <c r="M85" i="114"/>
  <c r="E85" i="114"/>
  <c r="G85" i="114"/>
  <c r="I85" i="114"/>
  <c r="E37" i="113"/>
  <c r="G37" i="113"/>
  <c r="M37" i="113"/>
  <c r="G79" i="114"/>
  <c r="I79" i="114"/>
  <c r="I79" i="115" s="1"/>
  <c r="M79" i="114"/>
  <c r="M105" i="114"/>
  <c r="I105" i="114"/>
  <c r="G105" i="114"/>
  <c r="E112" i="114"/>
  <c r="G112" i="114"/>
  <c r="M112" i="114"/>
  <c r="I112" i="114"/>
  <c r="G8" i="114"/>
  <c r="M8" i="114"/>
  <c r="E54" i="114"/>
  <c r="G54" i="114"/>
  <c r="I54" i="114"/>
  <c r="M54" i="114"/>
  <c r="G78" i="113"/>
  <c r="M78" i="113"/>
  <c r="M24" i="114"/>
  <c r="I24" i="114"/>
  <c r="I24" i="115" s="1"/>
  <c r="G24" i="114"/>
  <c r="G67" i="114"/>
  <c r="M67" i="114"/>
  <c r="G16" i="113"/>
  <c r="M16" i="113"/>
  <c r="M50" i="114"/>
  <c r="E50" i="114"/>
  <c r="I50" i="114"/>
  <c r="G50" i="114"/>
  <c r="E75" i="113"/>
  <c r="M75" i="113"/>
  <c r="G75" i="113"/>
  <c r="G40" i="113"/>
  <c r="M40" i="113"/>
  <c r="E32" i="113"/>
  <c r="G32" i="113"/>
  <c r="M32" i="113"/>
  <c r="G74" i="114"/>
  <c r="M74" i="114"/>
  <c r="M81" i="113"/>
  <c r="G81" i="113"/>
  <c r="E81" i="113" s="1"/>
  <c r="M42" i="113"/>
  <c r="E42" i="113"/>
  <c r="G42" i="113"/>
  <c r="E89" i="114"/>
  <c r="I89" i="114"/>
  <c r="G89" i="114"/>
  <c r="M89" i="114"/>
  <c r="M102" i="114"/>
  <c r="G102" i="114"/>
  <c r="E102" i="114"/>
  <c r="I102" i="114"/>
  <c r="I26" i="114"/>
  <c r="I26" i="115" s="1"/>
  <c r="M26" i="114"/>
  <c r="G26" i="114"/>
  <c r="M53" i="113"/>
  <c r="G53" i="113"/>
  <c r="G37" i="114"/>
  <c r="E37" i="114"/>
  <c r="I37" i="114"/>
  <c r="M37" i="114"/>
  <c r="E63" i="113"/>
  <c r="G63" i="113"/>
  <c r="M63" i="113"/>
  <c r="G6" i="113"/>
  <c r="E6" i="113"/>
  <c r="M68" i="113"/>
  <c r="G68" i="113"/>
  <c r="E68" i="113"/>
  <c r="M36" i="113"/>
  <c r="G36" i="113"/>
  <c r="E36" i="113"/>
  <c r="G104" i="113"/>
  <c r="M104" i="113"/>
  <c r="E104" i="113"/>
  <c r="G10" i="114"/>
  <c r="M10" i="114"/>
  <c r="I10" i="114"/>
  <c r="E10" i="114"/>
  <c r="G56" i="113"/>
  <c r="M56" i="113"/>
  <c r="G92" i="114"/>
  <c r="M92" i="114"/>
  <c r="M43" i="113"/>
  <c r="E43" i="113"/>
  <c r="G43" i="113"/>
  <c r="G16" i="114"/>
  <c r="M16" i="114"/>
  <c r="G60" i="114"/>
  <c r="E60" i="114"/>
  <c r="M60" i="114"/>
  <c r="I60" i="114"/>
  <c r="E33" i="113"/>
  <c r="M33" i="113"/>
  <c r="G33" i="113"/>
  <c r="M75" i="114"/>
  <c r="E75" i="114"/>
  <c r="G75" i="114"/>
  <c r="I75" i="114"/>
  <c r="G40" i="114"/>
  <c r="M40" i="114"/>
  <c r="G107" i="113"/>
  <c r="M107" i="113"/>
  <c r="M32" i="114"/>
  <c r="E32" i="114"/>
  <c r="G32" i="114"/>
  <c r="I32" i="114"/>
  <c r="M41" i="113"/>
  <c r="G41" i="113"/>
  <c r="M57" i="114"/>
  <c r="G57" i="114"/>
  <c r="G109" i="113"/>
  <c r="M109" i="113"/>
  <c r="G101" i="113"/>
  <c r="M101" i="113"/>
  <c r="E52" i="114"/>
  <c r="G52" i="114"/>
  <c r="M52" i="114"/>
  <c r="I52" i="114"/>
  <c r="E117" i="114"/>
  <c r="G7" i="114"/>
  <c r="I7" i="114"/>
  <c r="E7" i="114"/>
  <c r="G53" i="114"/>
  <c r="M53" i="114"/>
  <c r="G19" i="113"/>
  <c r="E19" i="113"/>
  <c r="M19" i="113"/>
  <c r="I63" i="114"/>
  <c r="E63" i="114"/>
  <c r="G63" i="114"/>
  <c r="M63" i="114"/>
  <c r="M97" i="113"/>
  <c r="G97" i="113"/>
  <c r="I6" i="114"/>
  <c r="G6" i="114"/>
  <c r="E6" i="114"/>
  <c r="E62" i="113"/>
  <c r="G62" i="113"/>
  <c r="M62" i="113"/>
  <c r="G78" i="114"/>
  <c r="M78" i="114"/>
  <c r="G104" i="114"/>
  <c r="M104" i="114"/>
  <c r="M56" i="114"/>
  <c r="G56" i="114"/>
  <c r="M98" i="113"/>
  <c r="G98" i="113"/>
  <c r="E98" i="113"/>
  <c r="G43" i="114"/>
  <c r="I43" i="114"/>
  <c r="M43" i="114"/>
  <c r="E43" i="114"/>
  <c r="M83" i="113"/>
  <c r="G83" i="113"/>
  <c r="G100" i="113"/>
  <c r="M100" i="113"/>
  <c r="M33" i="114"/>
  <c r="G33" i="114"/>
  <c r="I33" i="114"/>
  <c r="E33" i="114" s="1"/>
  <c r="G107" i="114"/>
  <c r="M107" i="114"/>
  <c r="E82" i="113"/>
  <c r="M82" i="113"/>
  <c r="G82" i="113"/>
  <c r="M21" i="113"/>
  <c r="E21" i="113"/>
  <c r="G21" i="113"/>
  <c r="M41" i="114"/>
  <c r="G41" i="114"/>
  <c r="M65" i="113"/>
  <c r="G65" i="113"/>
  <c r="E65" i="113"/>
  <c r="I81" i="114"/>
  <c r="M81" i="114"/>
  <c r="G81" i="114"/>
  <c r="E81" i="114"/>
  <c r="G109" i="114"/>
  <c r="M109" i="114"/>
  <c r="M42" i="114"/>
  <c r="I42" i="114"/>
  <c r="G42" i="114"/>
  <c r="E42" i="114"/>
  <c r="M101" i="114"/>
  <c r="G101" i="114"/>
  <c r="M76" i="113"/>
  <c r="G76" i="113"/>
  <c r="E76" i="113" s="1"/>
  <c r="G35" i="113"/>
  <c r="M35" i="113"/>
  <c r="E35" i="113"/>
  <c r="G77" i="113"/>
  <c r="M77" i="113"/>
  <c r="G17" i="113"/>
  <c r="M17" i="113"/>
  <c r="M113" i="114"/>
  <c r="G113" i="114"/>
  <c r="I113" i="114"/>
  <c r="E113" i="114"/>
  <c r="M19" i="114"/>
  <c r="I19" i="114"/>
  <c r="G19" i="114"/>
  <c r="E19" i="114"/>
  <c r="M47" i="113"/>
  <c r="G47" i="113"/>
  <c r="E68" i="114"/>
  <c r="I68" i="114"/>
  <c r="M68" i="114"/>
  <c r="G68" i="114"/>
  <c r="M18" i="113"/>
  <c r="E18" i="113"/>
  <c r="G18" i="113"/>
  <c r="I36" i="114"/>
  <c r="M36" i="114"/>
  <c r="G36" i="114"/>
  <c r="E36" i="114"/>
  <c r="G86" i="113"/>
  <c r="M86" i="113"/>
  <c r="G30" i="113"/>
  <c r="M30" i="113"/>
  <c r="E30" i="113"/>
  <c r="I98" i="114"/>
  <c r="M98" i="114"/>
  <c r="G98" i="114"/>
  <c r="E98" i="114"/>
  <c r="M83" i="114"/>
  <c r="G83" i="114"/>
  <c r="G93" i="113"/>
  <c r="M93" i="113"/>
  <c r="G116" i="113"/>
  <c r="M116" i="113"/>
  <c r="I82" i="114"/>
  <c r="G82" i="114"/>
  <c r="M82" i="114"/>
  <c r="E82" i="114"/>
  <c r="I21" i="114"/>
  <c r="M21" i="114"/>
  <c r="G21" i="114"/>
  <c r="G88" i="113"/>
  <c r="M88" i="113"/>
  <c r="E88" i="113"/>
  <c r="M66" i="113"/>
  <c r="E66" i="113"/>
  <c r="G66" i="113"/>
  <c r="G76" i="114"/>
  <c r="M76" i="114"/>
  <c r="G59" i="113"/>
  <c r="M59" i="113"/>
  <c r="E35" i="114"/>
  <c r="G35" i="114"/>
  <c r="M35" i="114"/>
  <c r="I35" i="114"/>
  <c r="E61" i="113"/>
  <c r="M61" i="113"/>
  <c r="G61" i="113"/>
  <c r="M77" i="114"/>
  <c r="G77" i="114"/>
  <c r="I77" i="114"/>
  <c r="I77" i="115" s="1"/>
  <c r="G17" i="114"/>
  <c r="M17" i="114"/>
  <c r="E71" i="113"/>
  <c r="M71" i="113"/>
  <c r="G71" i="113"/>
  <c r="G97" i="114"/>
  <c r="M97" i="114"/>
  <c r="M84" i="113"/>
  <c r="E84" i="113"/>
  <c r="G84" i="113"/>
  <c r="M46" i="113"/>
  <c r="E46" i="113"/>
  <c r="G46" i="113"/>
  <c r="I62" i="114"/>
  <c r="M62" i="114"/>
  <c r="E62" i="114"/>
  <c r="G62" i="114"/>
  <c r="G118" i="113"/>
  <c r="M118" i="113"/>
  <c r="E30" i="114"/>
  <c r="I30" i="114"/>
  <c r="G30" i="114"/>
  <c r="M30" i="114"/>
  <c r="G72" i="113"/>
  <c r="M72" i="113"/>
  <c r="E51" i="113"/>
  <c r="G51" i="113"/>
  <c r="M51" i="113"/>
  <c r="M34" i="113"/>
  <c r="G34" i="113"/>
  <c r="E34" i="113"/>
  <c r="G87" i="113"/>
  <c r="M87" i="113"/>
  <c r="M100" i="114"/>
  <c r="G100" i="114"/>
  <c r="G95" i="113"/>
  <c r="M95" i="113"/>
  <c r="G93" i="114"/>
  <c r="M93" i="114"/>
  <c r="I116" i="114"/>
  <c r="I116" i="115" s="1"/>
  <c r="G116" i="114"/>
  <c r="M116" i="114"/>
  <c r="M58" i="113"/>
  <c r="G58" i="113"/>
  <c r="E58" i="113"/>
  <c r="G49" i="113"/>
  <c r="M49" i="113"/>
  <c r="G65" i="114"/>
  <c r="M65" i="114"/>
  <c r="E65" i="114"/>
  <c r="I65" i="114"/>
  <c r="I88" i="114"/>
  <c r="M88" i="114"/>
  <c r="E88" i="114"/>
  <c r="G88" i="114"/>
  <c r="M12" i="113"/>
  <c r="G12" i="113"/>
  <c r="E12" i="113" s="1"/>
  <c r="M66" i="114"/>
  <c r="G66" i="114"/>
  <c r="I66" i="114"/>
  <c r="G25" i="113"/>
  <c r="M25" i="113"/>
  <c r="G59" i="114"/>
  <c r="I59" i="114"/>
  <c r="I59" i="115" s="1"/>
  <c r="M59" i="114"/>
  <c r="M61" i="114"/>
  <c r="G61" i="114"/>
  <c r="I61" i="114"/>
  <c r="E61" i="114" s="1"/>
  <c r="M28" i="113"/>
  <c r="G28" i="113"/>
  <c r="M47" i="114"/>
  <c r="I47" i="114"/>
  <c r="I47" i="115" s="1"/>
  <c r="G47" i="114"/>
  <c r="E71" i="114"/>
  <c r="I71" i="114"/>
  <c r="G71" i="114"/>
  <c r="M71" i="114"/>
  <c r="M44" i="113"/>
  <c r="G44" i="113"/>
  <c r="E44" i="113"/>
  <c r="M18" i="114"/>
  <c r="G18" i="114"/>
  <c r="I18" i="114"/>
  <c r="E18" i="114"/>
  <c r="E46" i="114"/>
  <c r="M46" i="114"/>
  <c r="G46" i="114"/>
  <c r="I46" i="114"/>
  <c r="E70" i="113"/>
  <c r="M70" i="113"/>
  <c r="G70" i="113"/>
  <c r="M86" i="114"/>
  <c r="G86" i="114"/>
  <c r="G118" i="114"/>
  <c r="M118" i="114"/>
  <c r="G72" i="114"/>
  <c r="M72" i="114"/>
  <c r="I51" i="114"/>
  <c r="M51" i="114"/>
  <c r="G51" i="114"/>
  <c r="E51" i="114" s="1"/>
  <c r="E111" i="113"/>
  <c r="M111" i="113"/>
  <c r="G111" i="113"/>
  <c r="G87" i="114"/>
  <c r="M87" i="114"/>
  <c r="G13" i="113"/>
  <c r="E13" i="113" s="1"/>
  <c r="M13" i="113"/>
  <c r="G95" i="114"/>
  <c r="M95" i="114"/>
  <c r="G64" i="113"/>
  <c r="M64" i="113"/>
  <c r="G23" i="113"/>
  <c r="M23" i="113"/>
  <c r="I58" i="114"/>
  <c r="E58" i="114"/>
  <c r="G58" i="114"/>
  <c r="M58" i="114"/>
  <c r="M110" i="113"/>
  <c r="E110" i="113"/>
  <c r="G110" i="113"/>
  <c r="E31" i="113"/>
  <c r="M31" i="113"/>
  <c r="G31" i="113"/>
  <c r="M49" i="114"/>
  <c r="G49" i="114"/>
  <c r="M73" i="113"/>
  <c r="E73" i="113"/>
  <c r="G73" i="113"/>
  <c r="I12" i="114"/>
  <c r="E12" i="114"/>
  <c r="G12" i="114"/>
  <c r="M12" i="114"/>
  <c r="G25" i="114"/>
  <c r="I25" i="114"/>
  <c r="M25" i="114"/>
  <c r="E94" i="113"/>
  <c r="M94" i="113"/>
  <c r="G94" i="113"/>
  <c r="G45" i="113"/>
  <c r="M45" i="113"/>
  <c r="E45" i="113"/>
  <c r="M103" i="113"/>
  <c r="E103" i="113"/>
  <c r="G103" i="113"/>
  <c r="E9" i="113"/>
  <c r="M9" i="113"/>
  <c r="G9" i="113"/>
  <c r="I28" i="114"/>
  <c r="I28" i="115" s="1"/>
  <c r="M28" i="114"/>
  <c r="G28" i="114"/>
  <c r="G55" i="113"/>
  <c r="M55" i="113"/>
  <c r="M105" i="113"/>
  <c r="G105" i="113"/>
  <c r="E105" i="113"/>
  <c r="G84" i="114"/>
  <c r="E84" i="114"/>
  <c r="I84" i="114"/>
  <c r="M84" i="114"/>
  <c r="M27" i="113"/>
  <c r="G27" i="113"/>
  <c r="G96" i="113"/>
  <c r="E96" i="113" s="1"/>
  <c r="M96" i="113"/>
  <c r="G48" i="113"/>
  <c r="E48" i="113"/>
  <c r="M48" i="113"/>
  <c r="G24" i="113"/>
  <c r="M24" i="113"/>
  <c r="G111" i="114"/>
  <c r="M111" i="114"/>
  <c r="I111" i="114"/>
  <c r="E111" i="114"/>
  <c r="M34" i="114"/>
  <c r="I34" i="114"/>
  <c r="G34" i="114"/>
  <c r="E34" i="114"/>
  <c r="G13" i="114"/>
  <c r="M13" i="114"/>
  <c r="I13" i="114"/>
  <c r="E13" i="114"/>
  <c r="G64" i="114"/>
  <c r="M64" i="114"/>
  <c r="G80" i="113"/>
  <c r="M80" i="113"/>
  <c r="E80" i="113"/>
  <c r="M23" i="114"/>
  <c r="G23" i="114"/>
  <c r="I23" i="114"/>
  <c r="G11" i="113"/>
  <c r="M11" i="113"/>
  <c r="M99" i="113"/>
  <c r="G99" i="113"/>
  <c r="M89" i="113"/>
  <c r="E89" i="113"/>
  <c r="G89" i="113"/>
  <c r="G102" i="113"/>
  <c r="E102" i="113"/>
  <c r="M102" i="113"/>
  <c r="G45" i="114"/>
  <c r="M45" i="114"/>
  <c r="I45" i="114"/>
  <c r="E45" i="114"/>
  <c r="G69" i="113"/>
  <c r="M69" i="113"/>
  <c r="G85" i="113"/>
  <c r="M85" i="113"/>
  <c r="E85" i="113"/>
  <c r="E103" i="114"/>
  <c r="G103" i="114"/>
  <c r="M103" i="114"/>
  <c r="I103" i="114"/>
  <c r="M9" i="114"/>
  <c r="G9" i="114"/>
  <c r="G55" i="114"/>
  <c r="I55" i="114"/>
  <c r="I55" i="115" s="1"/>
  <c r="M55" i="114"/>
  <c r="M79" i="113"/>
  <c r="G79" i="113"/>
  <c r="G44" i="114"/>
  <c r="E44" i="114"/>
  <c r="I44" i="114"/>
  <c r="M44" i="114"/>
  <c r="G112" i="113"/>
  <c r="M112" i="113"/>
  <c r="E112" i="113"/>
  <c r="M8" i="113"/>
  <c r="G8" i="113"/>
  <c r="G27" i="114"/>
  <c r="I27" i="114"/>
  <c r="M27" i="114"/>
  <c r="G54" i="113"/>
  <c r="E54" i="113"/>
  <c r="M54" i="113"/>
  <c r="I70" i="114"/>
  <c r="G70" i="114"/>
  <c r="E70" i="114"/>
  <c r="M70" i="114"/>
  <c r="I96" i="114"/>
  <c r="M96" i="114"/>
  <c r="G96" i="114"/>
  <c r="E96" i="114"/>
  <c r="M10" i="113"/>
  <c r="G10" i="113"/>
  <c r="E10" i="113"/>
  <c r="E48" i="114"/>
  <c r="I48" i="114"/>
  <c r="M48" i="114"/>
  <c r="G48" i="114"/>
  <c r="G92" i="113"/>
  <c r="M92" i="113"/>
  <c r="M67" i="113"/>
  <c r="G67" i="113"/>
  <c r="M60" i="113"/>
  <c r="E60" i="113"/>
  <c r="G60" i="113"/>
  <c r="M50" i="113"/>
  <c r="G50" i="113"/>
  <c r="E50" i="113" s="1"/>
  <c r="G80" i="114"/>
  <c r="M80" i="114"/>
  <c r="I80" i="114"/>
  <c r="E80" i="114"/>
  <c r="G74" i="113"/>
  <c r="M74" i="113"/>
  <c r="M110" i="114"/>
  <c r="I110" i="114"/>
  <c r="G110" i="114"/>
  <c r="E110" i="114"/>
  <c r="M11" i="114"/>
  <c r="G11" i="114"/>
  <c r="E31" i="114"/>
  <c r="I31" i="114"/>
  <c r="G31" i="114"/>
  <c r="M31" i="114"/>
  <c r="M57" i="113"/>
  <c r="G57" i="113"/>
  <c r="G73" i="114"/>
  <c r="M73" i="114"/>
  <c r="I73" i="114"/>
  <c r="M99" i="114"/>
  <c r="G99" i="114"/>
  <c r="M52" i="113"/>
  <c r="E52" i="113"/>
  <c r="G52" i="113"/>
  <c r="I94" i="114"/>
  <c r="M94" i="114"/>
  <c r="G94" i="114"/>
  <c r="E6" i="109"/>
  <c r="H6" i="109"/>
  <c r="J55" i="115" l="1"/>
  <c r="H100" i="115"/>
  <c r="F67" i="115"/>
  <c r="F47" i="115"/>
  <c r="L57" i="115"/>
  <c r="L59" i="115"/>
  <c r="J53" i="115"/>
  <c r="J99" i="115"/>
  <c r="J69" i="115"/>
  <c r="H11" i="115"/>
  <c r="F17" i="115"/>
  <c r="J100" i="115"/>
  <c r="F99" i="115"/>
  <c r="H69" i="115"/>
  <c r="L99" i="115"/>
  <c r="H109" i="115"/>
  <c r="H57" i="115"/>
  <c r="L67" i="115"/>
  <c r="L86" i="115"/>
  <c r="H83" i="115"/>
  <c r="F107" i="115"/>
  <c r="J95" i="115"/>
  <c r="F59" i="115"/>
  <c r="F101" i="115"/>
  <c r="H93" i="115"/>
  <c r="L56" i="115"/>
  <c r="J49" i="115"/>
  <c r="F77" i="115"/>
  <c r="J57" i="115"/>
  <c r="L11" i="115"/>
  <c r="L97" i="115"/>
  <c r="L72" i="115"/>
  <c r="L49" i="115"/>
  <c r="L53" i="115"/>
  <c r="J72" i="115"/>
  <c r="F8" i="115"/>
  <c r="L64" i="115"/>
  <c r="I78" i="114"/>
  <c r="I78" i="115" s="1"/>
  <c r="F79" i="115"/>
  <c r="L100" i="115"/>
  <c r="J74" i="115"/>
  <c r="H56" i="115"/>
  <c r="J17" i="115"/>
  <c r="F41" i="115"/>
  <c r="L78" i="115"/>
  <c r="E117" i="115"/>
  <c r="F117" i="116" s="1"/>
  <c r="F69" i="115"/>
  <c r="F49" i="115"/>
  <c r="H118" i="115"/>
  <c r="E118" i="109"/>
  <c r="G118" i="116" s="1"/>
  <c r="J77" i="115"/>
  <c r="F97" i="115"/>
  <c r="J56" i="115"/>
  <c r="J101" i="115"/>
  <c r="L83" i="115"/>
  <c r="F16" i="115"/>
  <c r="H49" i="115"/>
  <c r="F92" i="115"/>
  <c r="L47" i="115"/>
  <c r="L95" i="115"/>
  <c r="J41" i="115"/>
  <c r="J107" i="115"/>
  <c r="H99" i="115"/>
  <c r="J59" i="115"/>
  <c r="J8" i="115"/>
  <c r="J11" i="115"/>
  <c r="J92" i="115"/>
  <c r="F83" i="115"/>
  <c r="J79" i="115"/>
  <c r="J93" i="115"/>
  <c r="L77" i="115"/>
  <c r="F56" i="115"/>
  <c r="H86" i="115"/>
  <c r="F55" i="115"/>
  <c r="L101" i="115"/>
  <c r="F78" i="115"/>
  <c r="L55" i="115"/>
  <c r="F74" i="115"/>
  <c r="J83" i="115"/>
  <c r="F57" i="115"/>
  <c r="L74" i="115"/>
  <c r="F86" i="115"/>
  <c r="L69" i="115"/>
  <c r="J47" i="115"/>
  <c r="J64" i="115"/>
  <c r="L92" i="115"/>
  <c r="M107" i="115"/>
  <c r="G107" i="115"/>
  <c r="G79" i="115"/>
  <c r="M79" i="115"/>
  <c r="M16" i="115"/>
  <c r="G16" i="115"/>
  <c r="G99" i="115"/>
  <c r="M99" i="115"/>
  <c r="M95" i="115"/>
  <c r="G95" i="115"/>
  <c r="M55" i="115"/>
  <c r="G55" i="115"/>
  <c r="G93" i="115"/>
  <c r="M93" i="115"/>
  <c r="G87" i="115"/>
  <c r="M87" i="115"/>
  <c r="M49" i="115"/>
  <c r="G49" i="115"/>
  <c r="M77" i="115"/>
  <c r="G77" i="115"/>
  <c r="M59" i="115"/>
  <c r="G59" i="115"/>
  <c r="M67" i="115"/>
  <c r="G67" i="115"/>
  <c r="M53" i="115"/>
  <c r="G53" i="115"/>
  <c r="M47" i="115"/>
  <c r="G47" i="115"/>
  <c r="G57" i="115"/>
  <c r="M57" i="115"/>
  <c r="M109" i="115"/>
  <c r="G109" i="115"/>
  <c r="G8" i="115"/>
  <c r="M8" i="115"/>
  <c r="G64" i="115"/>
  <c r="M64" i="115"/>
  <c r="M41" i="115"/>
  <c r="G41" i="115"/>
  <c r="M100" i="115"/>
  <c r="G100" i="115"/>
  <c r="G74" i="115"/>
  <c r="M74" i="115"/>
  <c r="G56" i="115"/>
  <c r="M56" i="115"/>
  <c r="M11" i="115"/>
  <c r="G11" i="115"/>
  <c r="G97" i="115"/>
  <c r="M97" i="115"/>
  <c r="M86" i="115"/>
  <c r="G86" i="115"/>
  <c r="G69" i="115"/>
  <c r="M69" i="115"/>
  <c r="G17" i="115"/>
  <c r="M17" i="115"/>
  <c r="G40" i="115"/>
  <c r="M40" i="115"/>
  <c r="G92" i="115"/>
  <c r="M92" i="115"/>
  <c r="M101" i="115"/>
  <c r="G101" i="115"/>
  <c r="M116" i="115"/>
  <c r="G116" i="115"/>
  <c r="M72" i="115"/>
  <c r="G72" i="115"/>
  <c r="M78" i="115"/>
  <c r="G78" i="115"/>
  <c r="M83" i="115"/>
  <c r="G83" i="115"/>
  <c r="F118" i="115"/>
  <c r="J109" i="115"/>
  <c r="F109" i="115"/>
  <c r="M24" i="115"/>
  <c r="G20" i="115"/>
  <c r="M26" i="115"/>
  <c r="M20" i="115"/>
  <c r="G28" i="115"/>
  <c r="G26" i="115"/>
  <c r="M28" i="115"/>
  <c r="J118" i="115"/>
  <c r="M118" i="115"/>
  <c r="G118" i="115"/>
  <c r="L118" i="115"/>
  <c r="G24" i="115"/>
  <c r="J115" i="116"/>
  <c r="J117" i="116"/>
  <c r="I118" i="114"/>
  <c r="I118" i="115" s="1"/>
  <c r="H115" i="116"/>
  <c r="H117" i="116"/>
  <c r="I107" i="114"/>
  <c r="I107" i="115" s="1"/>
  <c r="E90" i="115"/>
  <c r="F90" i="116" s="1"/>
  <c r="E90" i="109"/>
  <c r="G90" i="116" s="1"/>
  <c r="E39" i="109"/>
  <c r="G39" i="116" s="1"/>
  <c r="E39" i="115"/>
  <c r="F39" i="116" s="1"/>
  <c r="E29" i="115"/>
  <c r="F29" i="116" s="1"/>
  <c r="E115" i="115"/>
  <c r="F115" i="116" s="1"/>
  <c r="E38" i="109"/>
  <c r="G38" i="116" s="1"/>
  <c r="E38" i="115"/>
  <c r="F38" i="116" s="1"/>
  <c r="E15" i="115"/>
  <c r="F15" i="116" s="1"/>
  <c r="E22" i="115"/>
  <c r="F22" i="116" s="1"/>
  <c r="E91" i="115"/>
  <c r="F91" i="116" s="1"/>
  <c r="E116" i="109"/>
  <c r="G116" i="116" s="1"/>
  <c r="E83" i="109"/>
  <c r="G83" i="116" s="1"/>
  <c r="E14" i="115"/>
  <c r="F14" i="116" s="1"/>
  <c r="E106" i="109"/>
  <c r="G106" i="116" s="1"/>
  <c r="E106" i="115"/>
  <c r="F106" i="116" s="1"/>
  <c r="E59" i="109"/>
  <c r="G59" i="116" s="1"/>
  <c r="E79" i="109"/>
  <c r="G79" i="116" s="1"/>
  <c r="E16" i="109"/>
  <c r="G16" i="116" s="1"/>
  <c r="E95" i="109"/>
  <c r="G95" i="116" s="1"/>
  <c r="E115" i="109"/>
  <c r="G115" i="116" s="1"/>
  <c r="E78" i="109"/>
  <c r="G78" i="116" s="1"/>
  <c r="E100" i="109"/>
  <c r="G100" i="116" s="1"/>
  <c r="E11" i="109"/>
  <c r="G11" i="116" s="1"/>
  <c r="E97" i="109"/>
  <c r="G97" i="116" s="1"/>
  <c r="E29" i="109"/>
  <c r="G29" i="116" s="1"/>
  <c r="E109" i="109"/>
  <c r="G109" i="116" s="1"/>
  <c r="E107" i="109"/>
  <c r="G107" i="116" s="1"/>
  <c r="E67" i="109"/>
  <c r="G67" i="116" s="1"/>
  <c r="E22" i="109"/>
  <c r="G22" i="116" s="1"/>
  <c r="E24" i="109"/>
  <c r="G24" i="116" s="1"/>
  <c r="E55" i="109"/>
  <c r="G55" i="116" s="1"/>
  <c r="E15" i="109"/>
  <c r="G15" i="116" s="1"/>
  <c r="E86" i="109"/>
  <c r="G86" i="116" s="1"/>
  <c r="E93" i="109"/>
  <c r="G93" i="116" s="1"/>
  <c r="E53" i="109"/>
  <c r="G53" i="116" s="1"/>
  <c r="E47" i="109"/>
  <c r="G47" i="116" s="1"/>
  <c r="E40" i="109"/>
  <c r="G40" i="116" s="1"/>
  <c r="E101" i="109"/>
  <c r="G101" i="116" s="1"/>
  <c r="E72" i="109"/>
  <c r="G72" i="116" s="1"/>
  <c r="E8" i="109"/>
  <c r="G8" i="116" s="1"/>
  <c r="E20" i="109"/>
  <c r="G20" i="116" s="1"/>
  <c r="E91" i="109"/>
  <c r="G91" i="116" s="1"/>
  <c r="E77" i="109"/>
  <c r="G77" i="116" s="1"/>
  <c r="E57" i="109"/>
  <c r="G57" i="116" s="1"/>
  <c r="E28" i="109"/>
  <c r="G28" i="116" s="1"/>
  <c r="E69" i="109"/>
  <c r="G69" i="116" s="1"/>
  <c r="E17" i="109"/>
  <c r="G17" i="116" s="1"/>
  <c r="E14" i="109"/>
  <c r="G14" i="116" s="1"/>
  <c r="E49" i="109"/>
  <c r="G49" i="116" s="1"/>
  <c r="E74" i="109"/>
  <c r="G74" i="116" s="1"/>
  <c r="E56" i="109"/>
  <c r="G56" i="116" s="1"/>
  <c r="E92" i="109"/>
  <c r="G92" i="116" s="1"/>
  <c r="E99" i="109"/>
  <c r="G99" i="116" s="1"/>
  <c r="E87" i="109"/>
  <c r="G87" i="116" s="1"/>
  <c r="E26" i="109"/>
  <c r="G26" i="116" s="1"/>
  <c r="E64" i="109"/>
  <c r="G64" i="116" s="1"/>
  <c r="E41" i="109"/>
  <c r="G41" i="116" s="1"/>
  <c r="I17" i="114"/>
  <c r="I17" i="115" s="1"/>
  <c r="I16" i="114"/>
  <c r="I16" i="115" s="1"/>
  <c r="I11" i="114"/>
  <c r="I11" i="115" s="1"/>
  <c r="I8" i="114"/>
  <c r="I8" i="115" s="1"/>
  <c r="I20" i="114"/>
  <c r="I20" i="115" s="1"/>
  <c r="E21" i="114"/>
  <c r="E27" i="113"/>
  <c r="E27" i="114"/>
  <c r="E23" i="114"/>
  <c r="E73" i="114"/>
  <c r="E66" i="114"/>
  <c r="E105" i="114"/>
  <c r="E94" i="114"/>
  <c r="E9" i="114"/>
  <c r="I9" i="114"/>
  <c r="E25" i="113"/>
  <c r="I104" i="114"/>
  <c r="E104" i="114" s="1"/>
  <c r="E23" i="113"/>
  <c r="I76" i="114"/>
  <c r="E76" i="114" s="1"/>
  <c r="E25" i="114"/>
  <c r="E20" i="113"/>
  <c r="H20" i="116" s="1"/>
  <c r="E100" i="114"/>
  <c r="J100" i="116" s="1"/>
  <c r="E74" i="113"/>
  <c r="H74" i="116" s="1"/>
  <c r="E78" i="114"/>
  <c r="J78" i="116" s="1"/>
  <c r="E41" i="113"/>
  <c r="H41" i="116" s="1"/>
  <c r="E28" i="114"/>
  <c r="J28" i="116" s="1"/>
  <c r="E49" i="114"/>
  <c r="J49" i="116" s="1"/>
  <c r="E49" i="113"/>
  <c r="H49" i="116" s="1"/>
  <c r="E26" i="113"/>
  <c r="H26" i="116" s="1"/>
  <c r="E64" i="114"/>
  <c r="J64" i="116" s="1"/>
  <c r="E24" i="113"/>
  <c r="H24" i="116" s="1"/>
  <c r="E97" i="114"/>
  <c r="J97" i="116" s="1"/>
  <c r="E77" i="114"/>
  <c r="J77" i="116" s="1"/>
  <c r="E93" i="113"/>
  <c r="H93" i="116" s="1"/>
  <c r="E69" i="114"/>
  <c r="J69" i="116" s="1"/>
  <c r="E57" i="113"/>
  <c r="H57" i="116" s="1"/>
  <c r="E86" i="114"/>
  <c r="J86" i="116" s="1"/>
  <c r="E47" i="114"/>
  <c r="J47" i="116" s="1"/>
  <c r="E28" i="113"/>
  <c r="H28" i="116" s="1"/>
  <c r="E59" i="114"/>
  <c r="J59" i="116" s="1"/>
  <c r="E17" i="113"/>
  <c r="H17" i="116" s="1"/>
  <c r="E56" i="114"/>
  <c r="J56" i="116" s="1"/>
  <c r="E69" i="113"/>
  <c r="H69" i="116" s="1"/>
  <c r="E87" i="114"/>
  <c r="J87" i="116" s="1"/>
  <c r="E118" i="113"/>
  <c r="E86" i="113"/>
  <c r="H86" i="116" s="1"/>
  <c r="E101" i="113"/>
  <c r="H101" i="116" s="1"/>
  <c r="E26" i="114"/>
  <c r="J26" i="116" s="1"/>
  <c r="E24" i="114"/>
  <c r="J24" i="116" s="1"/>
  <c r="E55" i="114"/>
  <c r="J55" i="116" s="1"/>
  <c r="E87" i="113"/>
  <c r="H87" i="116" s="1"/>
  <c r="E40" i="114"/>
  <c r="J40" i="116" s="1"/>
  <c r="E93" i="114"/>
  <c r="J93" i="116" s="1"/>
  <c r="E41" i="114"/>
  <c r="J41" i="116" s="1"/>
  <c r="E100" i="113"/>
  <c r="H100" i="116" s="1"/>
  <c r="E57" i="114"/>
  <c r="J57" i="116" s="1"/>
  <c r="E79" i="114"/>
  <c r="J79" i="116" s="1"/>
  <c r="E95" i="113"/>
  <c r="H95" i="116" s="1"/>
  <c r="E47" i="113"/>
  <c r="H47" i="116" s="1"/>
  <c r="E101" i="114"/>
  <c r="J101" i="116" s="1"/>
  <c r="E83" i="114"/>
  <c r="J83" i="116" s="1"/>
  <c r="E92" i="113"/>
  <c r="H92" i="116" s="1"/>
  <c r="E79" i="113"/>
  <c r="H79" i="116" s="1"/>
  <c r="E16" i="113"/>
  <c r="H16" i="116" s="1"/>
  <c r="E67" i="114"/>
  <c r="J67" i="116" s="1"/>
  <c r="E67" i="113"/>
  <c r="H67" i="116" s="1"/>
  <c r="E55" i="113"/>
  <c r="H55" i="116" s="1"/>
  <c r="E95" i="114"/>
  <c r="J95" i="116" s="1"/>
  <c r="E109" i="114"/>
  <c r="J109" i="116" s="1"/>
  <c r="E83" i="113"/>
  <c r="H83" i="116" s="1"/>
  <c r="E8" i="113"/>
  <c r="H8" i="116" s="1"/>
  <c r="E64" i="113"/>
  <c r="H64" i="116" s="1"/>
  <c r="E97" i="113"/>
  <c r="H97" i="116" s="1"/>
  <c r="E107" i="113"/>
  <c r="H107" i="116" s="1"/>
  <c r="E40" i="113"/>
  <c r="H40" i="116" s="1"/>
  <c r="E78" i="113"/>
  <c r="H78" i="116" s="1"/>
  <c r="E99" i="113"/>
  <c r="H99" i="116" s="1"/>
  <c r="E72" i="113"/>
  <c r="H72" i="116" s="1"/>
  <c r="E59" i="113"/>
  <c r="H59" i="116" s="1"/>
  <c r="E56" i="113"/>
  <c r="H56" i="116" s="1"/>
  <c r="E53" i="113"/>
  <c r="H53" i="116" s="1"/>
  <c r="E99" i="114"/>
  <c r="J99" i="116" s="1"/>
  <c r="E11" i="113"/>
  <c r="H11" i="116" s="1"/>
  <c r="E72" i="114"/>
  <c r="J72" i="116" s="1"/>
  <c r="E109" i="113"/>
  <c r="H109" i="116" s="1"/>
  <c r="E92" i="114"/>
  <c r="J92" i="116" s="1"/>
  <c r="E116" i="114"/>
  <c r="J114" i="116" s="1"/>
  <c r="E116" i="113"/>
  <c r="H114" i="116" s="1"/>
  <c r="E77" i="113"/>
  <c r="H77" i="116" s="1"/>
  <c r="E53" i="114"/>
  <c r="J53" i="116" s="1"/>
  <c r="E74" i="114"/>
  <c r="J74" i="116" s="1"/>
  <c r="E107" i="114" l="1"/>
  <c r="J107" i="116" s="1"/>
  <c r="E118" i="114"/>
  <c r="J118" i="116" s="1"/>
  <c r="J116" i="116"/>
  <c r="E116" i="115"/>
  <c r="F116" i="116" s="1"/>
  <c r="E118" i="115"/>
  <c r="F118" i="116" s="1"/>
  <c r="E26" i="115"/>
  <c r="F26" i="116" s="1"/>
  <c r="H116" i="116"/>
  <c r="H118" i="116"/>
  <c r="E47" i="115"/>
  <c r="F47" i="116" s="1"/>
  <c r="E28" i="115"/>
  <c r="F28" i="116" s="1"/>
  <c r="E40" i="115"/>
  <c r="F40" i="116" s="1"/>
  <c r="E109" i="115"/>
  <c r="F109" i="116" s="1"/>
  <c r="E97" i="115"/>
  <c r="F97" i="116" s="1"/>
  <c r="E92" i="115"/>
  <c r="F92" i="116" s="1"/>
  <c r="E57" i="115"/>
  <c r="F57" i="116" s="1"/>
  <c r="E99" i="115"/>
  <c r="F99" i="116" s="1"/>
  <c r="E93" i="115"/>
  <c r="F93" i="116" s="1"/>
  <c r="E55" i="115"/>
  <c r="F55" i="116" s="1"/>
  <c r="E74" i="115"/>
  <c r="F74" i="116" s="1"/>
  <c r="E86" i="115"/>
  <c r="F86" i="116" s="1"/>
  <c r="E78" i="115"/>
  <c r="F78" i="116" s="1"/>
  <c r="E72" i="115"/>
  <c r="F72" i="116" s="1"/>
  <c r="E49" i="115"/>
  <c r="F49" i="116" s="1"/>
  <c r="E114" i="115"/>
  <c r="F114" i="116" s="1"/>
  <c r="E79" i="115"/>
  <c r="F79" i="116" s="1"/>
  <c r="E67" i="115"/>
  <c r="F67" i="116" s="1"/>
  <c r="E16" i="115"/>
  <c r="F16" i="116" s="1"/>
  <c r="E95" i="115"/>
  <c r="F95" i="116" s="1"/>
  <c r="E64" i="115"/>
  <c r="F64" i="116" s="1"/>
  <c r="E107" i="115"/>
  <c r="F107" i="116" s="1"/>
  <c r="E24" i="115"/>
  <c r="F24" i="116" s="1"/>
  <c r="E77" i="115"/>
  <c r="F77" i="116" s="1"/>
  <c r="E17" i="115"/>
  <c r="F17" i="116" s="1"/>
  <c r="E101" i="115"/>
  <c r="F101" i="116" s="1"/>
  <c r="E53" i="115"/>
  <c r="F53" i="116" s="1"/>
  <c r="E59" i="115"/>
  <c r="F59" i="116" s="1"/>
  <c r="E20" i="115"/>
  <c r="F20" i="116" s="1"/>
  <c r="E87" i="115"/>
  <c r="F87" i="116" s="1"/>
  <c r="E100" i="115"/>
  <c r="F100" i="116" s="1"/>
  <c r="E69" i="115"/>
  <c r="F69" i="116" s="1"/>
  <c r="E41" i="115"/>
  <c r="F41" i="116" s="1"/>
  <c r="E83" i="115"/>
  <c r="F83" i="116" s="1"/>
  <c r="E20" i="114"/>
  <c r="J20" i="116" s="1"/>
  <c r="E8" i="115"/>
  <c r="F8" i="116" s="1"/>
  <c r="E11" i="115"/>
  <c r="F11" i="116" s="1"/>
  <c r="E56" i="115"/>
  <c r="F56" i="116" s="1"/>
  <c r="E11" i="114"/>
  <c r="J11" i="116" s="1"/>
  <c r="E17" i="114"/>
  <c r="J17" i="116" s="1"/>
  <c r="E8" i="114"/>
  <c r="J8" i="116" s="1"/>
  <c r="E16" i="114"/>
  <c r="J16" i="116" s="1"/>
  <c r="E15" i="114" l="1"/>
  <c r="J15" i="116" s="1"/>
  <c r="E15" i="113" l="1"/>
  <c r="H15" i="1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Share in greenhouse which is needed to calculate the average energy use between gh and of</t>
        </r>
      </text>
    </comment>
    <comment ref="E10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Share in greenhouse which is needed to calculate the average energy use between gh and of</t>
        </r>
      </text>
    </comment>
  </commentList>
</comments>
</file>

<file path=xl/sharedStrings.xml><?xml version="1.0" encoding="utf-8"?>
<sst xmlns="http://schemas.openxmlformats.org/spreadsheetml/2006/main" count="1915" uniqueCount="537">
  <si>
    <t>Introduction to the dataset</t>
  </si>
  <si>
    <t>This is a dataset that includes data on the environmental and social indicators for crops for Sweden.</t>
  </si>
  <si>
    <t>Results are presented in the tab "Crops, results per kg"</t>
  </si>
  <si>
    <t>These are calculated from the input data in tab "Crops, input data per ha"</t>
  </si>
  <si>
    <t>For climate, there is an intermediate step in the calculations for each gas in the tabs "Crops CO2", "Crops CH4" and "Crops N2O"</t>
  </si>
  <si>
    <r>
      <rPr>
        <sz val="11"/>
        <color theme="4" tint="-0.249977111117893"/>
        <rFont val="Calibri"/>
        <family val="2"/>
        <scheme val="minor"/>
      </rPr>
      <t>Figures in blue</t>
    </r>
    <r>
      <rPr>
        <sz val="11"/>
        <color theme="1"/>
        <rFont val="Calibri"/>
        <family val="2"/>
        <scheme val="minor"/>
      </rPr>
      <t xml:space="preserve"> are input data that change across countries, these are only found in tabs:</t>
    </r>
  </si>
  <si>
    <t xml:space="preserve"> - Crops, input data per ha</t>
  </si>
  <si>
    <t xml:space="preserve"> - Emission factors</t>
  </si>
  <si>
    <t>Figures in black are calculated or the same across countries and should not be changed</t>
  </si>
  <si>
    <r>
      <rPr>
        <sz val="11"/>
        <color theme="9" tint="-0.249977111117893"/>
        <rFont val="Calibri"/>
        <family val="2"/>
        <scheme val="minor"/>
      </rPr>
      <t>Figures in green</t>
    </r>
    <r>
      <rPr>
        <sz val="11"/>
        <color theme="1"/>
        <rFont val="Calibri"/>
        <family val="2"/>
        <scheme val="minor"/>
      </rPr>
      <t xml:space="preserve"> are input data that do differ between countries but that are not changed, but calculated from the Swedish values or where Swedish data is used as a place-holder for now.</t>
    </r>
  </si>
  <si>
    <t>Footprints (per kg of crop)</t>
  </si>
  <si>
    <t>Crops</t>
  </si>
  <si>
    <t>Climate</t>
  </si>
  <si>
    <t>Land</t>
  </si>
  <si>
    <t>Nitrogen</t>
  </si>
  <si>
    <t>Phosphorus</t>
  </si>
  <si>
    <t>Water</t>
  </si>
  <si>
    <t>Pesticides</t>
  </si>
  <si>
    <t>Biodiversity</t>
  </si>
  <si>
    <t>Ammonia</t>
  </si>
  <si>
    <t>Labour</t>
  </si>
  <si>
    <t>Crop code</t>
  </si>
  <si>
    <t>Crop</t>
  </si>
  <si>
    <t>Category</t>
  </si>
  <si>
    <t>Grown in country</t>
  </si>
  <si>
    <t>Share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</si>
  <si>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</si>
  <si>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</si>
  <si>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</si>
  <si>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</si>
  <si>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</si>
  <si>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</si>
  <si>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</si>
  <si>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</si>
  <si>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</si>
  <si>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</si>
  <si>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  g a.i./kg</t>
  </si>
  <si>
    <t>Extinction rate, E/MSY/kg</t>
  </si>
  <si>
    <t>Ammonia emission, kg NH3/kg</t>
  </si>
  <si>
    <t>Labour requirements, h/kg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</si>
  <si>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</si>
  <si>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</si>
  <si>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</si>
  <si>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</si>
  <si>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</si>
  <si>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</si>
  <si>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</si>
  <si>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</si>
  <si>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</si>
  <si>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</si>
  <si>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</si>
  <si>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</si>
  <si>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</si>
  <si>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</si>
  <si>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</si>
  <si>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</si>
  <si>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</si>
  <si>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</si>
  <si>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</si>
  <si>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</si>
  <si>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</si>
  <si>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</si>
  <si>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</si>
  <si>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</si>
  <si>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</si>
  <si>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</si>
  <si>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</si>
  <si>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</si>
  <si>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</si>
  <si>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</si>
  <si>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</si>
  <si>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</si>
  <si>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</si>
  <si>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</si>
  <si>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</si>
  <si>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</si>
  <si>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</si>
  <si>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</si>
  <si>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</si>
  <si>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</si>
  <si>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</si>
  <si>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</si>
  <si>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</si>
  <si>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</si>
  <si>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</si>
  <si>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</si>
  <si>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</si>
  <si>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</si>
  <si>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</si>
  <si>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</si>
  <si>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</si>
  <si>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</si>
  <si>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</si>
  <si>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</si>
  <si>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</si>
  <si>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</si>
  <si>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</si>
  <si>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</si>
  <si>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</si>
  <si>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</si>
  <si>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</si>
  <si>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</si>
  <si>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</si>
  <si>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</si>
  <si>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</si>
  <si>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</si>
  <si>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</si>
  <si>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</si>
  <si>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</si>
  <si>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</si>
  <si>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</si>
  <si>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</si>
  <si>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</si>
  <si>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</si>
  <si>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</si>
  <si>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</si>
  <si>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</si>
  <si>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</si>
  <si>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</si>
  <si>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</si>
  <si>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</si>
  <si>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</si>
  <si>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</si>
  <si>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</si>
  <si>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</si>
  <si>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</si>
  <si>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</si>
  <si>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</si>
  <si>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</si>
  <si>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</si>
  <si>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</si>
  <si>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</si>
  <si>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</si>
  <si>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</si>
  <si>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</si>
  <si>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</si>
  <si>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</si>
  <si>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</si>
  <si>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</si>
  <si>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</si>
  <si>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</si>
  <si>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</si>
  <si>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</si>
  <si>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</si>
  <si>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</si>
  <si>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</si>
  <si>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</si>
  <si>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</si>
  <si>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</si>
  <si>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</si>
  <si>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</si>
  <si>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</si>
  <si>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</si>
  <si>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Crops, input data per hectare</t>
  </si>
  <si>
    <t>Sources: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</si>
  <si>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</si>
  <si>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</si>
  <si>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</si>
  <si>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</si>
  <si>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</si>
  <si>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</si>
  <si>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</si>
  <si>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</si>
  <si>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</si>
  <si>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</si>
  <si>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</si>
  <si>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</si>
  <si>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</si>
  <si>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</si>
  <si>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</si>
  <si>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</si>
  <si>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</si>
  <si>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</si>
  <si>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</si>
  <si>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</si>
  <si>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</si>
  <si>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</si>
  <si>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</si>
  <si>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</si>
  <si>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</si>
  <si>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</si>
  <si>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</si>
  <si>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</si>
  <si>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</si>
  <si>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</si>
  <si>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</si>
  <si>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</si>
  <si>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</si>
  <si>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</si>
  <si>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</si>
  <si>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</si>
  <si>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FAOSTAT, avg 2017-2021</t>
  </si>
  <si>
    <t>SBA, 2004</t>
  </si>
  <si>
    <t>IPCC, 2019</t>
  </si>
  <si>
    <t>SBA, 2011</t>
  </si>
  <si>
    <t>Mekonnen &amp; Hoekstra, 2011</t>
  </si>
  <si>
    <t>SS, 2022</t>
  </si>
  <si>
    <t>NIR, 2020. Average of Cereals</t>
  </si>
  <si>
    <t>Chaudhary &amp; Brooks, 2018, Table S5</t>
  </si>
  <si>
    <t>CF_Int crop (Cropland, intensive use)</t>
  </si>
  <si>
    <t>Swiss "Deckungsbeitragskatalog" (DBK), processed to be used in SOLm (Muller et al. 2017)</t>
  </si>
  <si>
    <t>Apricots</t>
  </si>
  <si>
    <t>Artichokes</t>
  </si>
  <si>
    <t>Asparagus</t>
  </si>
  <si>
    <t>Jensen, 2013</t>
  </si>
  <si>
    <t>Baky et al., 2010, average for vegetables</t>
  </si>
  <si>
    <t>Mekonnen &amp; Hoekstra, 2011. Other vegetables</t>
  </si>
  <si>
    <t>SS, 2022. Avg for vegetables</t>
  </si>
  <si>
    <t>Avocados</t>
  </si>
  <si>
    <t>Bananas</t>
  </si>
  <si>
    <t>Barley, average</t>
  </si>
  <si>
    <t>Cereals, incl feed</t>
  </si>
  <si>
    <t>Barley, spring</t>
  </si>
  <si>
    <t>Cereals</t>
  </si>
  <si>
    <t>Eurostat, avg 2017-2021</t>
  </si>
  <si>
    <t>SS, 2020</t>
  </si>
  <si>
    <t>Baky et al., 2010</t>
  </si>
  <si>
    <t>IPCC, 2019. Yields from FAO</t>
  </si>
  <si>
    <t>NIR, 2020</t>
  </si>
  <si>
    <t>Barley, winter</t>
  </si>
  <si>
    <t>Beans, dry</t>
  </si>
  <si>
    <t>Pulses</t>
  </si>
  <si>
    <t>Tidåker et al, 2021</t>
  </si>
  <si>
    <t>Tidåker et al., 2021</t>
  </si>
  <si>
    <t>Tidåker et al, 2021, common bean conv</t>
  </si>
  <si>
    <t>Blueberries</t>
  </si>
  <si>
    <t>Berries</t>
  </si>
  <si>
    <t>Brazil nuts, in shell</t>
  </si>
  <si>
    <t>Broad beans and horse beans, dry</t>
  </si>
  <si>
    <t>Pulses, incl feed</t>
  </si>
  <si>
    <t>Lassaletta et al., 2014</t>
  </si>
  <si>
    <t>SS 2020</t>
  </si>
  <si>
    <t>Broad beans and horse beans, green</t>
  </si>
  <si>
    <t>Broccoli</t>
  </si>
  <si>
    <t>SCB 2023, trädgårdsproduktion (år 2022)</t>
  </si>
  <si>
    <t>Marmolin &amp; Björkholm, n.d., Björkholm, A-M., pers. comm. (2019)</t>
  </si>
  <si>
    <t>Buckwheat</t>
  </si>
  <si>
    <t>Seeds</t>
  </si>
  <si>
    <t>Cabbages</t>
  </si>
  <si>
    <t>Cantaloupes and other melons</t>
  </si>
  <si>
    <t>Carrots and turnips</t>
  </si>
  <si>
    <t>Marmolin &amp; Björkholm, n.d.</t>
  </si>
  <si>
    <t>IPCC, 2019. Avg for root crops. Yields from FAO</t>
  </si>
  <si>
    <t>NIR, 2020. Average of potato / sugarbeet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</si>
  <si>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</si>
  <si>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</si>
  <si>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</si>
  <si>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</si>
  <si>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</si>
  <si>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</si>
  <si>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</si>
  <si>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</si>
  <si>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</si>
  <si>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</si>
  <si>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</si>
  <si>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</si>
  <si>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</si>
  <si>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</si>
  <si>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average tomatoes</t>
  </si>
  <si>
    <t>approx strawberries</t>
  </si>
  <si>
    <t>Cucumbers and gherkins, greenhouse</t>
  </si>
  <si>
    <t>Davis et al. 2011</t>
  </si>
  <si>
    <t>Davis et al. (2011)</t>
  </si>
  <si>
    <t>CF_Int urb (Urban, intensive use)</t>
  </si>
  <si>
    <t>Cucumbers and gherkins, openfield</t>
  </si>
  <si>
    <t>Currants</t>
  </si>
  <si>
    <t xml:space="preserve">SBA, undated. </t>
  </si>
  <si>
    <t>Baky et al., 2010, average for berries</t>
  </si>
  <si>
    <t>SS, 2022. Strawberry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</si>
  <si>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</si>
  <si>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</si>
  <si>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</si>
  <si>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</si>
  <si>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</si>
  <si>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</si>
  <si>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</si>
  <si>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Baky et al., 2010, average for fruit</t>
  </si>
  <si>
    <t>SS, 2022. Avg for fruits</t>
  </si>
  <si>
    <t>Green corn (maize)</t>
  </si>
  <si>
    <t>Green garlic</t>
  </si>
  <si>
    <t>approx onions and challots</t>
  </si>
  <si>
    <t>approx onion and shallots</t>
  </si>
  <si>
    <t>NIR, 2020. Average of potato / sugar beet</t>
  </si>
  <si>
    <t>Groundnuts, excluding shelled</t>
  </si>
  <si>
    <t>Hazelnuts, in shell</t>
  </si>
  <si>
    <t>Kiwi fruit</t>
  </si>
  <si>
    <t>Leeks and other alliaceous vegetables</t>
  </si>
  <si>
    <t>Marmolin &amp; Björkholm, n.d</t>
  </si>
  <si>
    <t>Lemons and limes</t>
  </si>
  <si>
    <t>Lentils, dry</t>
  </si>
  <si>
    <t>approx peas</t>
  </si>
  <si>
    <t>Mekonnen &amp; Hoekstra, 2011. Beans, peas</t>
  </si>
  <si>
    <t>Lettuce and chicory</t>
  </si>
  <si>
    <t>Linseed</t>
  </si>
  <si>
    <t>Ludeman, 2022</t>
  </si>
  <si>
    <t>Mekonnen &amp; Hoekstra, 2011. Other oilcrops</t>
  </si>
  <si>
    <t>Lupins</t>
  </si>
  <si>
    <t>Maize (corn)</t>
  </si>
  <si>
    <t>Baky et al., 2010, average for cereals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</si>
  <si>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</si>
  <si>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</si>
  <si>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</si>
  <si>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</si>
  <si>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</si>
  <si>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</si>
  <si>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</si>
  <si>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</si>
  <si>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</si>
  <si>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</si>
  <si>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NIR, 2020. Average of potato/sugar beet</t>
  </si>
  <si>
    <t>Oranges</t>
  </si>
  <si>
    <t>Other beans, green</t>
  </si>
  <si>
    <t>SS, 2020 Faba bean</t>
  </si>
  <si>
    <t>Mekonnen &amp; Hoekstra, 2011. Beans</t>
  </si>
  <si>
    <t>SS, 2022 Avg Fava Bean / Peas</t>
  </si>
  <si>
    <t>Other fruits, n.e.c.</t>
  </si>
  <si>
    <t>Other oil seeds, n.e.c.</t>
  </si>
  <si>
    <t>Oil crops</t>
  </si>
  <si>
    <t>Other pulses n.e.c.</t>
  </si>
  <si>
    <t>NIR, 2020.</t>
  </si>
  <si>
    <t>Other stimulant, spice and aromatic crops, n.e.c.</t>
  </si>
  <si>
    <t>Other vegetables, fresh n.e.c.</t>
  </si>
  <si>
    <t>mean all vegetables with data</t>
  </si>
  <si>
    <t>approx vegetables</t>
  </si>
  <si>
    <t>Papayas</t>
  </si>
  <si>
    <t>Peaches and nectarines</t>
  </si>
  <si>
    <t>Pears</t>
  </si>
  <si>
    <t>Mekonnen &amp; Hoekstra, 2011. Other fruits</t>
  </si>
  <si>
    <t>Peas, dry</t>
  </si>
  <si>
    <t>FAOSTAT, avg 2017-2022</t>
  </si>
  <si>
    <t>Peas, green</t>
  </si>
  <si>
    <t>FAOSTAT, avg 2017-2023</t>
  </si>
  <si>
    <t>Pepper (Piper spp.), raw</t>
  </si>
  <si>
    <t>Pineapples</t>
  </si>
  <si>
    <t>Plantains and cooking bananas</t>
  </si>
  <si>
    <t>Plums and sloes</t>
  </si>
  <si>
    <t>approx apples</t>
  </si>
  <si>
    <t>Pomelos and grapefruits</t>
  </si>
  <si>
    <t>Poppy seed</t>
  </si>
  <si>
    <t>Potatoes</t>
  </si>
  <si>
    <t>Pumpkins, squash and gourds</t>
  </si>
  <si>
    <t>Karlsson-Potter, 2023</t>
  </si>
  <si>
    <t>Quinces</t>
  </si>
  <si>
    <t>Other</t>
  </si>
  <si>
    <t>Quinoa</t>
  </si>
  <si>
    <t>Rape or colza seed, average</t>
  </si>
  <si>
    <t>Average of winter and spring rape for all variables</t>
  </si>
  <si>
    <t>Rape or colza seed, spring</t>
  </si>
  <si>
    <t>SS, 2020 (winter)</t>
  </si>
  <si>
    <t>Rape or colza seed, winter</t>
  </si>
  <si>
    <t>Raspberries</t>
  </si>
  <si>
    <t>Nilsson (2011)</t>
  </si>
  <si>
    <t>Rice</t>
  </si>
  <si>
    <t>Rye</t>
  </si>
  <si>
    <t>Sorghum</t>
  </si>
  <si>
    <t>Sour cherries</t>
  </si>
  <si>
    <t>approx raspberries</t>
  </si>
  <si>
    <t>approx plums</t>
  </si>
  <si>
    <t>Soya beans</t>
  </si>
  <si>
    <t>Spinach</t>
  </si>
  <si>
    <t>proportional as lettuce and chicory</t>
  </si>
  <si>
    <t>Strawberries</t>
  </si>
  <si>
    <t>Davis et al., 2011</t>
  </si>
  <si>
    <t>Sugar beet</t>
  </si>
  <si>
    <t>Sugar crops</t>
  </si>
  <si>
    <t>IPCC, 2019. Avg for Tubers. Yields from FAO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</si>
  <si>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</si>
  <si>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</si>
  <si>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</si>
  <si>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</si>
  <si>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</si>
  <si>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</si>
  <si>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Röös &amp; Karlsson, 2013</t>
  </si>
  <si>
    <t>Tomatoes, openfield</t>
  </si>
  <si>
    <t>Triticale</t>
  </si>
  <si>
    <t>Mekonnen &amp; Hoekstra, 2011.  wheat</t>
  </si>
  <si>
    <t>IPCC, 2019. Avg for grains. Yields from FAO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</si>
  <si>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</si>
  <si>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</si>
  <si>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</si>
  <si>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</si>
  <si>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</si>
  <si>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</si>
  <si>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</si>
  <si>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</si>
  <si>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</si>
  <si>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Emissions of CO2e per kg of crop [kg CO2e per kg of crop harvested]</t>
  </si>
  <si>
    <t>Sum</t>
  </si>
  <si>
    <t>Inputs</t>
  </si>
  <si>
    <t>Soil emissions</t>
  </si>
  <si>
    <t>Energy use</t>
  </si>
  <si>
    <t>Land use change</t>
  </si>
  <si>
    <t>Code</t>
  </si>
  <si>
    <t xml:space="preserve">Categories </t>
  </si>
  <si>
    <t xml:space="preserve">Cultivated in country </t>
  </si>
  <si>
    <t>Production of mineral fertilizer</t>
  </si>
  <si>
    <t xml:space="preserve">Production of capital goods </t>
  </si>
  <si>
    <t>Direct emissions</t>
  </si>
  <si>
    <t>Indirect emissions</t>
  </si>
  <si>
    <t>Diesel use field mach</t>
  </si>
  <si>
    <t>Energy use in greenhouses</t>
  </si>
  <si>
    <t>Energy use for irrigation</t>
  </si>
  <si>
    <t>Energy use for post-harvest proc</t>
  </si>
  <si>
    <t>LUC emissions</t>
  </si>
  <si>
    <t>Emissions of CO2 per kg of crop [kg CO2 per kg of crop harvested]</t>
  </si>
  <si>
    <t>Cultivated in country</t>
  </si>
  <si>
    <t>Emissions of CH4 (fossil) per kg of crop [kg CH4 per kg of crop harvested]</t>
  </si>
  <si>
    <t>Emissions of CH4 (biogenic) per kg of crop [kg CH4 per kg of crop harvested]</t>
  </si>
  <si>
    <t>Emissions of N2O per kg of crop [kg N2O per kg of crop harvested]</t>
  </si>
  <si>
    <t>Energy use and emissions for crops grown in greenhouses</t>
  </si>
  <si>
    <t>Cucumber</t>
  </si>
  <si>
    <t>Tomato</t>
  </si>
  <si>
    <t>Source:</t>
  </si>
  <si>
    <t>SBA, 2022</t>
  </si>
  <si>
    <t>Energy use in greenhouse, MJ/ha</t>
  </si>
  <si>
    <t>Share of different fuels:</t>
  </si>
  <si>
    <t xml:space="preserve">Wood chips </t>
  </si>
  <si>
    <t xml:space="preserve">Pellets and briquettes </t>
  </si>
  <si>
    <t xml:space="preserve">Other renewable sources </t>
  </si>
  <si>
    <t xml:space="preserve">District heating </t>
  </si>
  <si>
    <t xml:space="preserve">Electrical energy </t>
  </si>
  <si>
    <t>Natural gas</t>
  </si>
  <si>
    <t xml:space="preserve">Heating oil </t>
  </si>
  <si>
    <t>Other fossil sources</t>
  </si>
  <si>
    <t>Emission per hectare:</t>
  </si>
  <si>
    <t>Emissions, kg CO2 per ha</t>
  </si>
  <si>
    <t>Emissions, kg CH4 per ha</t>
  </si>
  <si>
    <t>Emissions, kg N2O per ha</t>
  </si>
  <si>
    <t>Energy requirement for on-farm post-harvest processing</t>
  </si>
  <si>
    <t>Heating oil, MJ/kg of product</t>
  </si>
  <si>
    <t>Electricity, MJ/kg of product</t>
  </si>
  <si>
    <t>Wood chips, MJ/kg of product</t>
  </si>
  <si>
    <t>Process</t>
  </si>
  <si>
    <t>Drying</t>
  </si>
  <si>
    <t>SBA 2010, Edström et al. 2005, Flysjö et al. 2008</t>
  </si>
  <si>
    <t>Washing&amp;packaging</t>
  </si>
  <si>
    <t>Vinsmo et al.2001</t>
  </si>
  <si>
    <t>Emission factors</t>
  </si>
  <si>
    <t>Emissions from production and use of electricity (ecoinvent version 3.9.1, market for electricity SE, low voltage) and fuels (Gode et al. 2011)</t>
  </si>
  <si>
    <t>kg CO2 per MJ</t>
  </si>
  <si>
    <t>kg CH4 per MJ</t>
  </si>
  <si>
    <t>kg N2O per MJ</t>
  </si>
  <si>
    <t>Heating value, MJ/l</t>
  </si>
  <si>
    <t xml:space="preserve">Electricity </t>
  </si>
  <si>
    <t>Heating oil</t>
  </si>
  <si>
    <t>Other fossil energy sources</t>
  </si>
  <si>
    <t>Average of heating oil and natural gas</t>
  </si>
  <si>
    <t>Bark and chips</t>
  </si>
  <si>
    <t>Pellets and briquettes</t>
  </si>
  <si>
    <t>Other renewable energy sources</t>
  </si>
  <si>
    <t>Average of bark and chips; pellets and briquettes</t>
  </si>
  <si>
    <t>Diesel fuel</t>
  </si>
  <si>
    <t>District heating</t>
  </si>
  <si>
    <t>Representative for Sweden</t>
  </si>
  <si>
    <t xml:space="preserve">Emissions from the production of N mineral fertilizer </t>
  </si>
  <si>
    <t>kg CO2 per kg N</t>
  </si>
  <si>
    <t>kg CH4 per kg N</t>
  </si>
  <si>
    <t>kg N2O per kg N</t>
  </si>
  <si>
    <t>Fraction of tech*</t>
  </si>
  <si>
    <t>Best Available Technology (BAT)</t>
  </si>
  <si>
    <t>Yara International 2010</t>
  </si>
  <si>
    <t>Ammonium nitrate**</t>
  </si>
  <si>
    <t>Ecoinvent Centre, 2021, Activity name: “Ammonium nitrate production", Rest of the world, adjusted to N content in fertilizer (33.5%)</t>
  </si>
  <si>
    <t>*Swedish Agency for Public Management (2010)</t>
  </si>
  <si>
    <t>**Ammonium nitrate is commonly used as nitrogen mineral fertilizer (Berglund et al., 2009)</t>
  </si>
  <si>
    <t>Emissions from irrigation (ecoinvent version 3.9.1, Allocation cut-of by classification)</t>
  </si>
  <si>
    <t>kg CO2 per m3</t>
  </si>
  <si>
    <t>kg CH4 per m3</t>
  </si>
  <si>
    <t>kg N2O per m3</t>
  </si>
  <si>
    <t>Irrigation*</t>
  </si>
  <si>
    <t>*ecoinvent process used: "market for irrigation, FR", as value from SE not available</t>
  </si>
  <si>
    <t>Emissions from the production of capital goods (Frischknecht et al. 2007)</t>
  </si>
  <si>
    <t>kg CO2 per kg product</t>
  </si>
  <si>
    <t>kg CH4 per kg product</t>
  </si>
  <si>
    <t>kg N2O per kg product</t>
  </si>
  <si>
    <t>Emission or sequestration due to soil carbon changes (IPCC, 2006, Tier 1, 100 years)</t>
  </si>
  <si>
    <t>* Values &lt; 0 indicates a sequestration of CO2; Includes fruits, olives, coffee and cocoa as these as for ley have great potential to store carbon in soils depending on management practices (Vicente-Vicente et al., 2016). For both methods, we used the same potential as for ley based on the Tier 1 approach in the IPCC Guidelines, which considers the soil sequestration potential of perennial crops to be similar to that of ley or fallow (IPCC, 2006)</t>
  </si>
  <si>
    <t>Nitrous oxide emissions from soil (IPCC, 2019)</t>
  </si>
  <si>
    <t>Direct emissions from mineral fertiliser, wet climate</t>
  </si>
  <si>
    <t>Change to factors for either wet or dry climates</t>
  </si>
  <si>
    <t>Direct emissions from crop residues, wet climate</t>
  </si>
  <si>
    <t>Indirect emissions, share of direct emissions*</t>
  </si>
  <si>
    <t>*Assumption due to data limitations regarding nitrogen leaching and volatilization from soils in different regions.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</si>
  <si>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</si>
  <si>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</si>
  <si>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</si>
  <si>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</si>
  <si>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</si>
  <si>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</si>
  <si>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Characterisation factors (CF) climate change</t>
  </si>
  <si>
    <t>Carbon dioxide (CO2)</t>
  </si>
  <si>
    <t>Biogenic methane (CH4)</t>
  </si>
  <si>
    <t>Fossil methane (CH4)</t>
  </si>
  <si>
    <t>Nitrous oxide (N2O)</t>
  </si>
  <si>
    <t>Chlorodifluoromethane (HCFC-22)</t>
  </si>
  <si>
    <t>IPCC, 2021</t>
  </si>
  <si>
    <t>Reference list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</si>
  <si>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</si>
  <si>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</si>
  <si>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</si>
  <si>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</si>
  <si>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</si>
  <si>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</si>
  <si>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</si>
  <si>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</si>
  <si>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</si>
  <si>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</si>
  <si>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</si>
  <si>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</si>
  <si>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</si>
  <si>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</si>
  <si>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</si>
  <si>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</si>
  <si>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</si>
  <si>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</si>
  <si>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</si>
  <si>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</si>
  <si>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</si>
  <si>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</si>
  <si>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</si>
  <si>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</si>
  <si>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</si>
  <si>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</si>
  <si>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</si>
  <si>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</si>
  <si>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</si>
  <si>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</si>
  <si>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Undated.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</si>
  <si>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</si>
  <si>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>SS. 2022. https://www.scb.se/contentassets/6e042f0902bb449fb15edc4c1eb8e22c/mi0502_2021i20_br_mi31br2202.pdf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</si>
  <si>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</si>
  <si>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</si>
  <si>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</si>
  <si>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</si>
  <si>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</si>
  <si>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Personal Communication:</t>
  </si>
  <si>
    <t>Björkholm, A-M. 2019. Rådgivning grönsaker, bär och frukt, växtodling/Advisor vegetables, berries and fruits, plant production. Hushållningssällskapet.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</si>
</sst>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.000"/>
    <numFmt numFmtId="166" formatCode="0.0000"/>
    <numFmt numFmtId="167" formatCode="0.0E+00"/>
    <numFmt numFmtId="168" formatCode="0.000E+00"/>
    <numFmt numFmtId="169" formatCode="0E+00"/>
    <numFmt numFmtId="170" formatCode="0.0000000"/>
    <numFmt numFmtId="171" formatCode="0.000000"/>
    <numFmt numFmtId="172" formatCode="0.0000E+00"/>
    <numFmt numFmtId="173" formatCode="0.000.E+00"/>
    <numFmt numFmtId="174" formatCode="0.00.E+00"/>
  </numFmts>
  <fonts count="4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Calibri"/>
      <family val="2"/>
      <scheme val="minor"/>
    </font>
    <font>
      <sz val="10"/>
      <color rgb="FFFF0000"/>
      <name val="Trebuchet MS"/>
      <family val="2"/>
    </font>
    <font>
      <b/>
      <sz val="11"/>
      <color rgb="FF000000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11" fillId="0" borderId="0"/>
    <xf numFmtId="0" fontId="12" fillId="0" borderId="0"/>
    <xf numFmtId="0" fontId="4" fillId="3" borderId="0" applyNumberFormat="0" applyBorder="0" applyAlignment="0" applyProtection="0">
      <alignment horizontal="right"/>
    </xf>
    <xf numFmtId="0" fontId="18" fillId="0" borderId="0"/>
    <xf numFmtId="0" fontId="19" fillId="0" borderId="0"/>
    <xf numFmtId="0" fontId="1" fillId="0" borderId="0"/>
    <xf numFmtId="0" fontId="18" fillId="0" borderId="0"/>
  </cellStyleXfs>
  <cellXfs count="486">
    <xf numFmtId="0" fontId="0" fillId="0" borderId="0" xfId="0"/>
    <xf numFmtId="0" fontId="0" fillId="0" borderId="3" xfId="0" applyBorder="1"/>
    <xf numFmtId="0" fontId="9" fillId="0" borderId="6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4" xfId="0" applyBorder="1"/>
    <xf numFmtId="0" fontId="0" fillId="0" borderId="7" xfId="0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2" fontId="10" fillId="0" borderId="6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11" fontId="5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9" fillId="0" borderId="7" xfId="0" applyNumberFormat="1" applyFont="1" applyBorder="1" applyAlignment="1">
      <alignment vertical="center"/>
    </xf>
    <xf numFmtId="11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wrapText="1"/>
    </xf>
    <xf numFmtId="11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9" fontId="21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1" fillId="0" borderId="0" xfId="0" applyFont="1"/>
    <xf numFmtId="49" fontId="0" fillId="0" borderId="3" xfId="0" applyNumberFormat="1" applyBorder="1"/>
    <xf numFmtId="0" fontId="4" fillId="0" borderId="4" xfId="0" applyFont="1" applyBorder="1" applyAlignment="1">
      <alignment horizontal="left"/>
    </xf>
    <xf numFmtId="49" fontId="0" fillId="0" borderId="5" xfId="0" applyNumberFormat="1" applyBorder="1"/>
    <xf numFmtId="0" fontId="0" fillId="0" borderId="9" xfId="0" applyBorder="1"/>
    <xf numFmtId="0" fontId="0" fillId="0" borderId="11" xfId="0" applyBorder="1"/>
    <xf numFmtId="0" fontId="21" fillId="0" borderId="0" xfId="0" applyFont="1" applyAlignment="1">
      <alignment vertical="center"/>
    </xf>
    <xf numFmtId="0" fontId="4" fillId="0" borderId="6" xfId="0" applyFont="1" applyBorder="1"/>
    <xf numFmtId="0" fontId="0" fillId="0" borderId="4" xfId="0" applyBorder="1" applyAlignment="1">
      <alignment horizontal="left" vertical="center"/>
    </xf>
    <xf numFmtId="11" fontId="0" fillId="0" borderId="0" xfId="0" applyNumberFormat="1" applyAlignment="1">
      <alignment horizontal="right" vertical="center"/>
    </xf>
    <xf numFmtId="11" fontId="0" fillId="0" borderId="4" xfId="0" applyNumberFormat="1" applyBorder="1" applyAlignment="1">
      <alignment horizontal="right" vertical="center"/>
    </xf>
    <xf numFmtId="1" fontId="1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" fontId="24" fillId="0" borderId="0" xfId="0" applyNumberFormat="1" applyFont="1" applyAlignment="1">
      <alignment horizontal="left" vertical="center"/>
    </xf>
    <xf numFmtId="1" fontId="24" fillId="0" borderId="0" xfId="0" applyNumberFormat="1" applyFont="1"/>
    <xf numFmtId="165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3" xfId="0" applyNumberForma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 wrapText="1"/>
    </xf>
    <xf numFmtId="11" fontId="0" fillId="0" borderId="3" xfId="0" applyNumberFormat="1" applyBorder="1" applyAlignment="1">
      <alignment horizontal="left" vertical="center" wrapText="1"/>
    </xf>
    <xf numFmtId="11" fontId="3" fillId="0" borderId="3" xfId="0" applyNumberFormat="1" applyFont="1" applyBorder="1" applyAlignment="1">
      <alignment horizontal="left" vertical="center" wrapText="1"/>
    </xf>
    <xf numFmtId="11" fontId="0" fillId="0" borderId="5" xfId="0" applyNumberFormat="1" applyBorder="1" applyAlignment="1">
      <alignment horizontal="left" vertical="center" wrapText="1"/>
    </xf>
    <xf numFmtId="11" fontId="0" fillId="0" borderId="6" xfId="0" applyNumberFormat="1" applyBorder="1" applyAlignment="1">
      <alignment horizontal="right" vertical="center"/>
    </xf>
    <xf numFmtId="11" fontId="0" fillId="0" borderId="7" xfId="0" applyNumberFormat="1" applyBorder="1" applyAlignment="1">
      <alignment horizontal="right" vertical="center"/>
    </xf>
    <xf numFmtId="2" fontId="9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2" fontId="0" fillId="0" borderId="0" xfId="0" applyNumberFormat="1"/>
    <xf numFmtId="0" fontId="22" fillId="0" borderId="0" xfId="0" applyFont="1" applyAlignment="1">
      <alignment vertical="center"/>
    </xf>
    <xf numFmtId="167" fontId="9" fillId="0" borderId="0" xfId="0" applyNumberFormat="1" applyFont="1" applyAlignment="1">
      <alignment horizontal="center"/>
    </xf>
    <xf numFmtId="0" fontId="9" fillId="0" borderId="8" xfId="0" applyFont="1" applyBorder="1" applyAlignment="1">
      <alignment vertical="center"/>
    </xf>
    <xf numFmtId="2" fontId="9" fillId="0" borderId="4" xfId="0" applyNumberFormat="1" applyFont="1" applyBorder="1" applyAlignment="1">
      <alignment horizontal="right" vertical="center" wrapText="1"/>
    </xf>
    <xf numFmtId="2" fontId="9" fillId="0" borderId="7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7" fontId="10" fillId="0" borderId="6" xfId="0" applyNumberFormat="1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 wrapText="1"/>
    </xf>
    <xf numFmtId="11" fontId="9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5" fillId="0" borderId="0" xfId="0" applyFont="1"/>
    <xf numFmtId="0" fontId="2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1" fontId="27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2" fontId="0" fillId="0" borderId="3" xfId="0" applyNumberFormat="1" applyBorder="1"/>
    <xf numFmtId="2" fontId="0" fillId="0" borderId="5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9" fillId="0" borderId="0" xfId="0" applyNumberFormat="1" applyFont="1" applyAlignment="1">
      <alignment vertical="center"/>
    </xf>
    <xf numFmtId="11" fontId="0" fillId="0" borderId="3" xfId="0" applyNumberFormat="1" applyBorder="1"/>
    <xf numFmtId="11" fontId="0" fillId="0" borderId="5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1" fontId="0" fillId="0" borderId="4" xfId="0" applyNumberFormat="1" applyBorder="1"/>
    <xf numFmtId="11" fontId="0" fillId="0" borderId="7" xfId="0" applyNumberFormat="1" applyBorder="1"/>
    <xf numFmtId="169" fontId="0" fillId="0" borderId="4" xfId="0" applyNumberFormat="1" applyBorder="1"/>
    <xf numFmtId="169" fontId="0" fillId="0" borderId="7" xfId="0" applyNumberFormat="1" applyBorder="1"/>
    <xf numFmtId="11" fontId="0" fillId="0" borderId="0" xfId="0" applyNumberFormat="1"/>
    <xf numFmtId="11" fontId="0" fillId="0" borderId="6" xfId="0" applyNumberFormat="1" applyBorder="1"/>
    <xf numFmtId="11" fontId="4" fillId="0" borderId="9" xfId="0" applyNumberFormat="1" applyFont="1" applyBorder="1" applyAlignment="1">
      <alignment horizontal="right"/>
    </xf>
    <xf numFmtId="11" fontId="4" fillId="0" borderId="11" xfId="0" applyNumberFormat="1" applyFont="1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vertical="center"/>
    </xf>
    <xf numFmtId="2" fontId="0" fillId="0" borderId="6" xfId="0" applyNumberForma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165" fontId="31" fillId="0" borderId="8" xfId="0" applyNumberFormat="1" applyFont="1" applyBorder="1" applyAlignment="1">
      <alignment vertical="center"/>
    </xf>
    <xf numFmtId="165" fontId="31" fillId="0" borderId="4" xfId="0" applyNumberFormat="1" applyFont="1" applyBorder="1" applyAlignment="1">
      <alignment vertical="center"/>
    </xf>
    <xf numFmtId="2" fontId="32" fillId="0" borderId="0" xfId="0" applyNumberFormat="1" applyFont="1" applyAlignment="1">
      <alignment horizontal="right" vertical="center"/>
    </xf>
    <xf numFmtId="2" fontId="32" fillId="0" borderId="4" xfId="0" applyNumberFormat="1" applyFont="1" applyBorder="1" applyAlignment="1">
      <alignment horizontal="right" vertical="center"/>
    </xf>
    <xf numFmtId="1" fontId="32" fillId="0" borderId="0" xfId="0" applyNumberFormat="1" applyFont="1" applyAlignment="1">
      <alignment horizontal="right" vertical="center"/>
    </xf>
    <xf numFmtId="1" fontId="32" fillId="0" borderId="4" xfId="0" applyNumberFormat="1" applyFont="1" applyBorder="1" applyAlignment="1">
      <alignment horizontal="right" vertical="center"/>
    </xf>
    <xf numFmtId="11" fontId="32" fillId="0" borderId="4" xfId="0" applyNumberFormat="1" applyFont="1" applyBorder="1" applyAlignment="1">
      <alignment horizontal="right" vertical="center"/>
    </xf>
    <xf numFmtId="0" fontId="31" fillId="0" borderId="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2" fillId="0" borderId="4" xfId="0" applyFont="1" applyBorder="1"/>
    <xf numFmtId="0" fontId="32" fillId="0" borderId="3" xfId="0" applyFont="1" applyBorder="1" applyAlignment="1">
      <alignment horizontal="right"/>
    </xf>
    <xf numFmtId="165" fontId="32" fillId="0" borderId="4" xfId="0" applyNumberFormat="1" applyFont="1" applyBorder="1" applyAlignment="1">
      <alignment horizontal="right" vertical="center"/>
    </xf>
    <xf numFmtId="11" fontId="32" fillId="0" borderId="4" xfId="0" applyNumberFormat="1" applyFont="1" applyBorder="1" applyAlignment="1">
      <alignment horizontal="left" vertical="center"/>
    </xf>
    <xf numFmtId="11" fontId="32" fillId="0" borderId="3" xfId="0" applyNumberFormat="1" applyFont="1" applyBorder="1" applyAlignment="1">
      <alignment horizontal="right" vertical="center" wrapText="1"/>
    </xf>
    <xf numFmtId="11" fontId="32" fillId="0" borderId="3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left" vertical="center"/>
    </xf>
    <xf numFmtId="167" fontId="33" fillId="0" borderId="3" xfId="0" applyNumberFormat="1" applyFont="1" applyBorder="1" applyAlignment="1">
      <alignment horizontal="right" vertical="center" wrapText="1"/>
    </xf>
    <xf numFmtId="0" fontId="32" fillId="0" borderId="9" xfId="0" applyFont="1" applyBorder="1"/>
    <xf numFmtId="1" fontId="32" fillId="0" borderId="9" xfId="0" applyNumberFormat="1" applyFont="1" applyBorder="1" applyAlignment="1">
      <alignment horizontal="left" vertical="center" wrapText="1"/>
    </xf>
    <xf numFmtId="2" fontId="32" fillId="0" borderId="9" xfId="0" applyNumberFormat="1" applyFont="1" applyBorder="1" applyAlignment="1">
      <alignment horizontal="left" vertical="center"/>
    </xf>
    <xf numFmtId="1" fontId="32" fillId="0" borderId="9" xfId="0" applyNumberFormat="1" applyFont="1" applyBorder="1" applyAlignment="1">
      <alignment horizontal="right"/>
    </xf>
    <xf numFmtId="1" fontId="32" fillId="0" borderId="9" xfId="0" applyNumberFormat="1" applyFont="1" applyBorder="1" applyAlignment="1">
      <alignment horizontal="left" vertical="center"/>
    </xf>
    <xf numFmtId="11" fontId="32" fillId="0" borderId="9" xfId="0" applyNumberFormat="1" applyFont="1" applyBorder="1" applyAlignment="1">
      <alignment horizontal="left" vertical="center"/>
    </xf>
    <xf numFmtId="11" fontId="13" fillId="0" borderId="0" xfId="0" applyNumberFormat="1" applyFont="1" applyAlignment="1">
      <alignment horizontal="left" vertical="center"/>
    </xf>
    <xf numFmtId="0" fontId="32" fillId="0" borderId="3" xfId="0" applyFont="1" applyBorder="1"/>
    <xf numFmtId="0" fontId="32" fillId="0" borderId="4" xfId="0" applyFont="1" applyBorder="1" applyAlignment="1">
      <alignment horizontal="right"/>
    </xf>
    <xf numFmtId="49" fontId="0" fillId="2" borderId="3" xfId="0" applyNumberForma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0" applyFont="1"/>
    <xf numFmtId="0" fontId="35" fillId="0" borderId="0" xfId="0" applyFont="1" applyAlignment="1">
      <alignment vertical="center"/>
    </xf>
    <xf numFmtId="0" fontId="9" fillId="0" borderId="13" xfId="0" applyFont="1" applyBorder="1" applyAlignment="1">
      <alignment vertical="center"/>
    </xf>
    <xf numFmtId="1" fontId="9" fillId="0" borderId="14" xfId="0" applyNumberFormat="1" applyFont="1" applyBorder="1" applyAlignment="1">
      <alignment vertical="center"/>
    </xf>
    <xf numFmtId="0" fontId="12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9" fillId="0" borderId="0" xfId="0" applyFont="1" applyAlignment="1">
      <alignment horizontal="left"/>
    </xf>
    <xf numFmtId="49" fontId="5" fillId="9" borderId="1" xfId="0" applyNumberFormat="1" applyFont="1" applyFill="1" applyBorder="1"/>
    <xf numFmtId="0" fontId="4" fillId="9" borderId="2" xfId="0" applyFont="1" applyFill="1" applyBorder="1"/>
    <xf numFmtId="1" fontId="5" fillId="9" borderId="1" xfId="0" applyNumberFormat="1" applyFont="1" applyFill="1" applyBorder="1" applyAlignment="1">
      <alignment horizontal="left" vertical="top"/>
    </xf>
    <xf numFmtId="2" fontId="0" fillId="9" borderId="2" xfId="0" applyNumberFormat="1" applyFill="1" applyBorder="1" applyAlignment="1">
      <alignment horizontal="left" vertical="center"/>
    </xf>
    <xf numFmtId="1" fontId="0" fillId="9" borderId="2" xfId="0" applyNumberFormat="1" applyFill="1" applyBorder="1" applyAlignment="1">
      <alignment horizontal="left" vertical="center"/>
    </xf>
    <xf numFmtId="1" fontId="0" fillId="9" borderId="8" xfId="0" applyNumberFormat="1" applyFill="1" applyBorder="1" applyAlignment="1">
      <alignment horizontal="left" vertical="center"/>
    </xf>
    <xf numFmtId="2" fontId="5" fillId="9" borderId="10" xfId="0" applyNumberFormat="1" applyFont="1" applyFill="1" applyBorder="1" applyAlignment="1">
      <alignment horizontal="left" vertical="center"/>
    </xf>
    <xf numFmtId="11" fontId="5" fillId="9" borderId="10" xfId="0" applyNumberFormat="1" applyFont="1" applyFill="1" applyBorder="1" applyAlignment="1">
      <alignment horizontal="left" vertical="center"/>
    </xf>
    <xf numFmtId="11" fontId="0" fillId="9" borderId="2" xfId="0" applyNumberFormat="1" applyFill="1" applyBorder="1" applyAlignment="1">
      <alignment horizontal="left" vertical="center"/>
    </xf>
    <xf numFmtId="11" fontId="0" fillId="9" borderId="8" xfId="0" applyNumberFormat="1" applyFill="1" applyBorder="1" applyAlignment="1">
      <alignment horizontal="left" vertical="center"/>
    </xf>
    <xf numFmtId="11" fontId="5" fillId="9" borderId="1" xfId="0" applyNumberFormat="1" applyFont="1" applyFill="1" applyBorder="1" applyAlignment="1">
      <alignment horizontal="left" vertical="center"/>
    </xf>
    <xf numFmtId="1" fontId="0" fillId="2" borderId="3" xfId="0" applyNumberFormat="1" applyFill="1" applyBorder="1" applyAlignment="1">
      <alignment horizontal="left" vertical="top" wrapText="1"/>
    </xf>
    <xf numFmtId="1" fontId="4" fillId="2" borderId="4" xfId="0" applyNumberFormat="1" applyFont="1" applyFill="1" applyBorder="1" applyAlignment="1">
      <alignment horizontal="left" vertical="top" wrapText="1"/>
    </xf>
    <xf numFmtId="1" fontId="4" fillId="2" borderId="9" xfId="0" applyNumberFormat="1" applyFont="1" applyFill="1" applyBorder="1" applyAlignment="1">
      <alignment horizontal="left" vertical="top" wrapText="1"/>
    </xf>
    <xf numFmtId="168" fontId="0" fillId="2" borderId="9" xfId="0" applyNumberForma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1" fontId="0" fillId="2" borderId="3" xfId="0" applyNumberFormat="1" applyFill="1" applyBorder="1" applyAlignment="1">
      <alignment horizontal="left" vertical="top" wrapText="1"/>
    </xf>
    <xf numFmtId="0" fontId="4" fillId="0" borderId="0" xfId="8" applyFont="1" applyAlignment="1">
      <alignment horizontal="left"/>
    </xf>
    <xf numFmtId="1" fontId="12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36" fillId="0" borderId="0" xfId="0" applyFont="1" applyAlignment="1">
      <alignment horizontal="left"/>
    </xf>
    <xf numFmtId="165" fontId="0" fillId="0" borderId="0" xfId="4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0" fillId="6" borderId="0" xfId="0" applyNumberFormat="1" applyFill="1" applyAlignment="1">
      <alignment horizontal="left" vertical="top" wrapText="1"/>
    </xf>
    <xf numFmtId="1" fontId="4" fillId="6" borderId="0" xfId="0" applyNumberFormat="1" applyFont="1" applyFill="1" applyAlignment="1">
      <alignment horizontal="left" vertical="top" wrapText="1"/>
    </xf>
    <xf numFmtId="2" fontId="4" fillId="6" borderId="0" xfId="0" applyNumberFormat="1" applyFont="1" applyFill="1" applyAlignment="1">
      <alignment horizontal="left" vertical="top" wrapText="1"/>
    </xf>
    <xf numFmtId="168" fontId="0" fillId="6" borderId="0" xfId="0" applyNumberForma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1" fontId="0" fillId="6" borderId="0" xfId="0" applyNumberFormat="1" applyFill="1" applyAlignment="1">
      <alignment horizontal="left" vertical="top" wrapText="1"/>
    </xf>
    <xf numFmtId="1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165" fontId="9" fillId="0" borderId="0" xfId="0" applyNumberFormat="1" applyFont="1" applyAlignment="1">
      <alignment horizontal="left"/>
    </xf>
    <xf numFmtId="1" fontId="9" fillId="0" borderId="0" xfId="0" applyNumberFormat="1" applyFont="1"/>
    <xf numFmtId="0" fontId="9" fillId="8" borderId="0" xfId="0" applyFont="1" applyFill="1"/>
    <xf numFmtId="0" fontId="0" fillId="0" borderId="0" xfId="0" applyAlignment="1">
      <alignment horizontal="left" vertical="center" wrapText="1"/>
    </xf>
    <xf numFmtId="1" fontId="5" fillId="7" borderId="1" xfId="0" applyNumberFormat="1" applyFont="1" applyFill="1" applyBorder="1" applyAlignment="1">
      <alignment vertical="center"/>
    </xf>
    <xf numFmtId="1" fontId="5" fillId="7" borderId="2" xfId="0" applyNumberFormat="1" applyFont="1" applyFill="1" applyBorder="1" applyAlignment="1">
      <alignment horizontal="left" vertical="top"/>
    </xf>
    <xf numFmtId="2" fontId="0" fillId="7" borderId="2" xfId="0" applyNumberFormat="1" applyFill="1" applyBorder="1" applyAlignment="1">
      <alignment horizontal="left" vertical="center"/>
    </xf>
    <xf numFmtId="1" fontId="0" fillId="7" borderId="2" xfId="0" applyNumberFormat="1" applyFill="1" applyBorder="1" applyAlignment="1">
      <alignment horizontal="left" vertical="center"/>
    </xf>
    <xf numFmtId="2" fontId="5" fillId="7" borderId="2" xfId="0" applyNumberFormat="1" applyFont="1" applyFill="1" applyBorder="1" applyAlignment="1">
      <alignment horizontal="left" vertical="center"/>
    </xf>
    <xf numFmtId="11" fontId="5" fillId="7" borderId="2" xfId="0" applyNumberFormat="1" applyFont="1" applyFill="1" applyBorder="1" applyAlignment="1">
      <alignment horizontal="left" vertical="center"/>
    </xf>
    <xf numFmtId="1" fontId="5" fillId="7" borderId="2" xfId="0" applyNumberFormat="1" applyFont="1" applyFill="1" applyBorder="1" applyAlignment="1">
      <alignment horizontal="left" vertical="center"/>
    </xf>
    <xf numFmtId="11" fontId="0" fillId="7" borderId="2" xfId="0" applyNumberFormat="1" applyFill="1" applyBorder="1" applyAlignment="1">
      <alignment horizontal="left" vertical="center"/>
    </xf>
    <xf numFmtId="11" fontId="5" fillId="7" borderId="8" xfId="0" applyNumberFormat="1" applyFont="1" applyFill="1" applyBorder="1" applyAlignment="1">
      <alignment horizontal="left" vertical="center"/>
    </xf>
    <xf numFmtId="1" fontId="0" fillId="6" borderId="3" xfId="0" applyNumberFormat="1" applyFill="1" applyBorder="1" applyAlignment="1">
      <alignment horizontal="left" vertical="top" wrapText="1"/>
    </xf>
    <xf numFmtId="11" fontId="0" fillId="6" borderId="4" xfId="0" applyNumberFormat="1" applyFill="1" applyBorder="1" applyAlignment="1">
      <alignment horizontal="left" vertical="top" wrapText="1"/>
    </xf>
    <xf numFmtId="0" fontId="9" fillId="0" borderId="3" xfId="0" applyFont="1" applyBorder="1"/>
    <xf numFmtId="0" fontId="9" fillId="0" borderId="4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9" fillId="8" borderId="3" xfId="0" applyFont="1" applyFill="1" applyBorder="1"/>
    <xf numFmtId="0" fontId="9" fillId="0" borderId="5" xfId="0" applyFont="1" applyBorder="1"/>
    <xf numFmtId="0" fontId="9" fillId="0" borderId="6" xfId="0" applyFont="1" applyBorder="1"/>
    <xf numFmtId="1" fontId="9" fillId="0" borderId="6" xfId="0" applyNumberFormat="1" applyFont="1" applyBorder="1" applyAlignment="1">
      <alignment horizontal="left" vertical="center"/>
    </xf>
    <xf numFmtId="2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/>
    </xf>
    <xf numFmtId="165" fontId="9" fillId="0" borderId="6" xfId="0" applyNumberFormat="1" applyFont="1" applyBorder="1" applyAlignment="1">
      <alignment horizontal="left"/>
    </xf>
    <xf numFmtId="170" fontId="0" fillId="0" borderId="0" xfId="0" applyNumberFormat="1"/>
    <xf numFmtId="165" fontId="9" fillId="0" borderId="6" xfId="0" applyNumberFormat="1" applyFont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4" borderId="9" xfId="0" applyFont="1" applyFill="1" applyBorder="1" applyAlignment="1">
      <alignment horizontal="left" vertical="center" wrapText="1"/>
    </xf>
    <xf numFmtId="167" fontId="0" fillId="4" borderId="0" xfId="0" applyNumberFormat="1" applyFill="1" applyAlignment="1">
      <alignment horizontal="center" vertical="center" wrapText="1"/>
    </xf>
    <xf numFmtId="167" fontId="0" fillId="4" borderId="4" xfId="0" applyNumberFormat="1" applyFill="1" applyBorder="1" applyAlignment="1">
      <alignment horizontal="center" vertical="center" wrapText="1"/>
    </xf>
    <xf numFmtId="0" fontId="5" fillId="10" borderId="1" xfId="0" applyFont="1" applyFill="1" applyBorder="1"/>
    <xf numFmtId="0" fontId="0" fillId="10" borderId="2" xfId="0" applyFill="1" applyBorder="1"/>
    <xf numFmtId="167" fontId="5" fillId="10" borderId="10" xfId="0" applyNumberFormat="1" applyFont="1" applyFill="1" applyBorder="1" applyAlignment="1">
      <alignment horizontal="left" vertical="center"/>
    </xf>
    <xf numFmtId="167" fontId="5" fillId="10" borderId="2" xfId="0" applyNumberFormat="1" applyFont="1" applyFill="1" applyBorder="1" applyAlignment="1">
      <alignment horizontal="left" vertical="center"/>
    </xf>
    <xf numFmtId="167" fontId="0" fillId="10" borderId="8" xfId="0" applyNumberFormat="1" applyFill="1" applyBorder="1" applyAlignment="1">
      <alignment horizontal="center" vertical="center" wrapText="1"/>
    </xf>
    <xf numFmtId="167" fontId="0" fillId="10" borderId="8" xfId="0" applyNumberFormat="1" applyFill="1" applyBorder="1"/>
    <xf numFmtId="167" fontId="0" fillId="10" borderId="2" xfId="0" applyNumberFormat="1" applyFill="1" applyBorder="1"/>
    <xf numFmtId="0" fontId="0" fillId="10" borderId="8" xfId="0" applyFill="1" applyBorder="1"/>
    <xf numFmtId="167" fontId="5" fillId="10" borderId="1" xfId="0" applyNumberFormat="1" applyFont="1" applyFill="1" applyBorder="1" applyAlignment="1">
      <alignment horizontal="left" vertical="center"/>
    </xf>
    <xf numFmtId="167" fontId="5" fillId="10" borderId="1" xfId="0" applyNumberFormat="1" applyFont="1" applyFill="1" applyBorder="1"/>
    <xf numFmtId="167" fontId="5" fillId="10" borderId="10" xfId="0" applyNumberFormat="1" applyFont="1" applyFill="1" applyBorder="1"/>
    <xf numFmtId="0" fontId="0" fillId="4" borderId="4" xfId="0" applyFill="1" applyBorder="1" applyAlignment="1">
      <alignment horizontal="left" vertical="top" wrapText="1"/>
    </xf>
    <xf numFmtId="167" fontId="0" fillId="4" borderId="3" xfId="0" applyNumberFormat="1" applyFill="1" applyBorder="1" applyAlignment="1">
      <alignment horizontal="center" vertical="center" wrapText="1"/>
    </xf>
    <xf numFmtId="167" fontId="0" fillId="4" borderId="9" xfId="0" applyNumberFormat="1" applyFill="1" applyBorder="1" applyAlignment="1">
      <alignment horizontal="center" vertical="center" wrapText="1"/>
    </xf>
    <xf numFmtId="0" fontId="6" fillId="0" borderId="0" xfId="0" applyFont="1"/>
    <xf numFmtId="2" fontId="32" fillId="0" borderId="9" xfId="0" applyNumberFormat="1" applyFont="1" applyBorder="1"/>
    <xf numFmtId="1" fontId="37" fillId="0" borderId="3" xfId="0" applyNumberFormat="1" applyFont="1" applyBorder="1" applyAlignment="1">
      <alignment horizontal="right" vertical="center" wrapText="1"/>
    </xf>
    <xf numFmtId="1" fontId="37" fillId="0" borderId="3" xfId="0" applyNumberFormat="1" applyFont="1" applyBorder="1"/>
    <xf numFmtId="1" fontId="37" fillId="0" borderId="3" xfId="0" applyNumberFormat="1" applyFont="1" applyBorder="1" applyAlignment="1">
      <alignment horizontal="right"/>
    </xf>
    <xf numFmtId="0" fontId="37" fillId="0" borderId="3" xfId="0" applyFont="1" applyBorder="1"/>
    <xf numFmtId="2" fontId="37" fillId="0" borderId="0" xfId="0" applyNumberFormat="1" applyFont="1" applyAlignment="1">
      <alignment horizontal="right" vertical="center"/>
    </xf>
    <xf numFmtId="165" fontId="37" fillId="0" borderId="4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 wrapText="1"/>
    </xf>
    <xf numFmtId="165" fontId="37" fillId="0" borderId="4" xfId="0" applyNumberFormat="1" applyFont="1" applyBorder="1"/>
    <xf numFmtId="165" fontId="37" fillId="0" borderId="6" xfId="0" applyNumberFormat="1" applyFont="1" applyBorder="1" applyAlignment="1">
      <alignment horizontal="right"/>
    </xf>
    <xf numFmtId="2" fontId="37" fillId="0" borderId="6" xfId="0" applyNumberFormat="1" applyFont="1" applyBorder="1" applyAlignment="1">
      <alignment horizontal="right"/>
    </xf>
    <xf numFmtId="165" fontId="37" fillId="0" borderId="7" xfId="0" applyNumberFormat="1" applyFont="1" applyBorder="1" applyAlignment="1">
      <alignment horizontal="right" vertical="center"/>
    </xf>
    <xf numFmtId="165" fontId="32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0" fontId="9" fillId="0" borderId="4" xfId="0" applyFont="1" applyBorder="1"/>
    <xf numFmtId="0" fontId="31" fillId="0" borderId="4" xfId="0" applyFont="1" applyBorder="1"/>
    <xf numFmtId="2" fontId="31" fillId="0" borderId="4" xfId="0" applyNumberFormat="1" applyFont="1" applyBorder="1" applyAlignment="1">
      <alignment horizontal="left" vertical="center" wrapText="1"/>
    </xf>
    <xf numFmtId="2" fontId="31" fillId="0" borderId="4" xfId="0" applyNumberFormat="1" applyFont="1" applyBorder="1" applyAlignment="1">
      <alignment horizontal="left" vertical="center"/>
    </xf>
    <xf numFmtId="165" fontId="31" fillId="0" borderId="4" xfId="0" applyNumberFormat="1" applyFont="1" applyBorder="1" applyAlignment="1">
      <alignment horizontal="left" vertical="center" wrapText="1"/>
    </xf>
    <xf numFmtId="165" fontId="31" fillId="0" borderId="4" xfId="0" applyNumberFormat="1" applyFont="1" applyBorder="1" applyAlignment="1">
      <alignment horizontal="left" vertical="center"/>
    </xf>
    <xf numFmtId="0" fontId="31" fillId="0" borderId="4" xfId="0" applyFont="1" applyBorder="1" applyAlignment="1">
      <alignment horizontal="right"/>
    </xf>
    <xf numFmtId="0" fontId="9" fillId="0" borderId="7" xfId="0" applyFont="1" applyBorder="1"/>
    <xf numFmtId="1" fontId="37" fillId="0" borderId="4" xfId="0" applyNumberFormat="1" applyFont="1" applyBorder="1" applyAlignment="1">
      <alignment horizontal="right" vertical="center"/>
    </xf>
    <xf numFmtId="1" fontId="32" fillId="0" borderId="4" xfId="0" applyNumberFormat="1" applyFont="1" applyBorder="1" applyAlignment="1">
      <alignment horizontal="left" vertical="center" wrapText="1"/>
    </xf>
    <xf numFmtId="0" fontId="37" fillId="0" borderId="3" xfId="0" applyFont="1" applyBorder="1" applyAlignment="1">
      <alignment horizontal="right"/>
    </xf>
    <xf numFmtId="1" fontId="37" fillId="0" borderId="4" xfId="0" applyNumberFormat="1" applyFont="1" applyBorder="1" applyAlignment="1">
      <alignment horizontal="right" vertical="center" wrapText="1"/>
    </xf>
    <xf numFmtId="1" fontId="37" fillId="0" borderId="4" xfId="0" applyNumberFormat="1" applyFont="1" applyBorder="1" applyAlignment="1">
      <alignment horizontal="right"/>
    </xf>
    <xf numFmtId="1" fontId="37" fillId="0" borderId="4" xfId="0" applyNumberFormat="1" applyFont="1" applyBorder="1"/>
    <xf numFmtId="1" fontId="32" fillId="0" borderId="4" xfId="0" applyNumberFormat="1" applyFont="1" applyBorder="1" applyAlignment="1">
      <alignment horizontal="left" vertical="center"/>
    </xf>
    <xf numFmtId="1" fontId="33" fillId="0" borderId="4" xfId="0" applyNumberFormat="1" applyFont="1" applyBorder="1" applyAlignment="1">
      <alignment horizontal="left" vertical="center" wrapText="1"/>
    </xf>
    <xf numFmtId="0" fontId="37" fillId="0" borderId="5" xfId="0" applyFont="1" applyBorder="1" applyAlignment="1">
      <alignment horizontal="right"/>
    </xf>
    <xf numFmtId="1" fontId="32" fillId="0" borderId="6" xfId="0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 vertical="center" wrapText="1"/>
    </xf>
    <xf numFmtId="0" fontId="37" fillId="0" borderId="7" xfId="0" applyFont="1" applyBorder="1" applyAlignment="1">
      <alignment horizontal="right"/>
    </xf>
    <xf numFmtId="165" fontId="12" fillId="0" borderId="0" xfId="4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37" fillId="0" borderId="6" xfId="0" applyFont="1" applyBorder="1" applyAlignment="1">
      <alignment horizontal="right" vertical="center"/>
    </xf>
    <xf numFmtId="2" fontId="37" fillId="0" borderId="6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left"/>
    </xf>
    <xf numFmtId="1" fontId="9" fillId="0" borderId="4" xfId="0" applyNumberFormat="1" applyFont="1" applyBorder="1" applyAlignment="1">
      <alignment horizontal="left" vertical="center"/>
    </xf>
    <xf numFmtId="1" fontId="9" fillId="0" borderId="7" xfId="0" applyNumberFormat="1" applyFont="1" applyBorder="1" applyAlignment="1">
      <alignment horizontal="left" vertical="center"/>
    </xf>
    <xf numFmtId="2" fontId="9" fillId="0" borderId="0" xfId="0" applyNumberFormat="1" applyFont="1"/>
    <xf numFmtId="2" fontId="9" fillId="0" borderId="6" xfId="0" applyNumberFormat="1" applyFont="1" applyBorder="1"/>
    <xf numFmtId="2" fontId="9" fillId="0" borderId="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 vertical="center"/>
    </xf>
    <xf numFmtId="167" fontId="9" fillId="0" borderId="6" xfId="0" applyNumberFormat="1" applyFont="1" applyBorder="1" applyAlignment="1">
      <alignment vertical="center"/>
    </xf>
    <xf numFmtId="167" fontId="9" fillId="0" borderId="7" xfId="0" applyNumberFormat="1" applyFont="1" applyBorder="1" applyAlignment="1">
      <alignment vertical="center"/>
    </xf>
    <xf numFmtId="166" fontId="0" fillId="0" borderId="0" xfId="0" applyNumberFormat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2" fontId="32" fillId="0" borderId="9" xfId="0" applyNumberFormat="1" applyFont="1" applyBorder="1" applyAlignment="1">
      <alignment horizontal="right"/>
    </xf>
    <xf numFmtId="11" fontId="0" fillId="0" borderId="0" xfId="0" applyNumberFormat="1" applyAlignment="1">
      <alignment horizontal="center" vertical="center"/>
    </xf>
    <xf numFmtId="172" fontId="4" fillId="0" borderId="0" xfId="0" applyNumberFormat="1" applyFont="1" applyAlignment="1">
      <alignment horizontal="left" vertical="center"/>
    </xf>
    <xf numFmtId="173" fontId="4" fillId="0" borderId="0" xfId="0" applyNumberFormat="1" applyFont="1"/>
    <xf numFmtId="2" fontId="32" fillId="0" borderId="9" xfId="0" applyNumberFormat="1" applyFont="1" applyBorder="1" applyAlignment="1">
      <alignment horizontal="right" vertical="center"/>
    </xf>
    <xf numFmtId="2" fontId="32" fillId="0" borderId="11" xfId="0" applyNumberFormat="1" applyFont="1" applyBorder="1" applyAlignment="1">
      <alignment horizontal="right"/>
    </xf>
    <xf numFmtId="0" fontId="32" fillId="0" borderId="0" xfId="0" applyFont="1" applyAlignment="1">
      <alignment horizontal="right"/>
    </xf>
    <xf numFmtId="1" fontId="37" fillId="0" borderId="3" xfId="0" quotePrefix="1" applyNumberFormat="1" applyFont="1" applyBorder="1" applyAlignment="1">
      <alignment horizontal="right"/>
    </xf>
    <xf numFmtId="1" fontId="3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 vertical="center" wrapText="1"/>
    </xf>
    <xf numFmtId="0" fontId="37" fillId="0" borderId="4" xfId="0" applyFont="1" applyBorder="1" applyAlignment="1">
      <alignment horizontal="right"/>
    </xf>
    <xf numFmtId="0" fontId="32" fillId="0" borderId="0" xfId="0" applyFont="1"/>
    <xf numFmtId="1" fontId="32" fillId="0" borderId="0" xfId="0" applyNumberFormat="1" applyFont="1" applyAlignment="1">
      <alignment horizontal="left" vertical="center" wrapText="1"/>
    </xf>
    <xf numFmtId="0" fontId="37" fillId="0" borderId="0" xfId="0" applyFont="1"/>
    <xf numFmtId="1" fontId="37" fillId="0" borderId="9" xfId="0" applyNumberFormat="1" applyFont="1" applyBorder="1" applyAlignment="1">
      <alignment horizontal="right"/>
    </xf>
    <xf numFmtId="0" fontId="37" fillId="0" borderId="9" xfId="0" applyFont="1" applyBorder="1"/>
    <xf numFmtId="1" fontId="37" fillId="0" borderId="9" xfId="0" applyNumberFormat="1" applyFont="1" applyBorder="1" applyAlignment="1">
      <alignment horizontal="right" vertical="center" wrapText="1"/>
    </xf>
    <xf numFmtId="1" fontId="37" fillId="0" borderId="9" xfId="0" applyNumberFormat="1" applyFont="1" applyBorder="1" applyAlignment="1">
      <alignment horizontal="right" vertical="center"/>
    </xf>
    <xf numFmtId="1" fontId="37" fillId="8" borderId="9" xfId="0" applyNumberFormat="1" applyFont="1" applyFill="1" applyBorder="1" applyAlignment="1">
      <alignment horizontal="right" vertical="center" wrapText="1"/>
    </xf>
    <xf numFmtId="1" fontId="32" fillId="0" borderId="3" xfId="0" applyNumberFormat="1" applyFont="1" applyBorder="1" applyAlignment="1">
      <alignment horizontal="left" vertical="center"/>
    </xf>
    <xf numFmtId="1" fontId="37" fillId="0" borderId="9" xfId="0" applyNumberFormat="1" applyFont="1" applyBorder="1"/>
    <xf numFmtId="165" fontId="37" fillId="0" borderId="0" xfId="0" applyNumberFormat="1" applyFont="1" applyAlignment="1">
      <alignment horizontal="right"/>
    </xf>
    <xf numFmtId="2" fontId="37" fillId="0" borderId="0" xfId="0" applyNumberFormat="1" applyFont="1" applyAlignment="1">
      <alignment horizontal="right"/>
    </xf>
    <xf numFmtId="11" fontId="32" fillId="0" borderId="0" xfId="0" applyNumberFormat="1" applyFont="1" applyAlignment="1">
      <alignment horizontal="right" vertical="center"/>
    </xf>
    <xf numFmtId="11" fontId="32" fillId="0" borderId="0" xfId="0" applyNumberFormat="1" applyFont="1" applyAlignment="1">
      <alignment horizontal="right" vertical="center" wrapText="1"/>
    </xf>
    <xf numFmtId="11" fontId="32" fillId="0" borderId="0" xfId="0" applyNumberFormat="1" applyFont="1" applyAlignment="1">
      <alignment horizontal="right"/>
    </xf>
    <xf numFmtId="1" fontId="32" fillId="0" borderId="0" xfId="0" applyNumberFormat="1" applyFont="1" applyAlignment="1">
      <alignment horizontal="right" vertical="center" wrapText="1"/>
    </xf>
    <xf numFmtId="165" fontId="3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2" fontId="0" fillId="2" borderId="0" xfId="0" applyNumberFormat="1" applyFill="1" applyAlignment="1">
      <alignment horizontal="left" vertical="top" wrapText="1"/>
    </xf>
    <xf numFmtId="2" fontId="32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12" xfId="0" applyFont="1" applyBorder="1"/>
    <xf numFmtId="1" fontId="0" fillId="2" borderId="0" xfId="0" applyNumberFormat="1" applyFill="1" applyAlignment="1">
      <alignment horizontal="left" vertical="top" wrapText="1"/>
    </xf>
    <xf numFmtId="1" fontId="5" fillId="9" borderId="10" xfId="0" applyNumberFormat="1" applyFont="1" applyFill="1" applyBorder="1" applyAlignment="1">
      <alignment vertical="center"/>
    </xf>
    <xf numFmtId="1" fontId="0" fillId="2" borderId="9" xfId="0" applyNumberFormat="1" applyFill="1" applyBorder="1" applyAlignment="1">
      <alignment horizontal="left" vertical="top" wrapText="1"/>
    </xf>
    <xf numFmtId="1" fontId="32" fillId="0" borderId="9" xfId="0" applyNumberFormat="1" applyFont="1" applyBorder="1"/>
    <xf numFmtId="1" fontId="32" fillId="0" borderId="9" xfId="0" applyNumberFormat="1" applyFont="1" applyBorder="1" applyAlignment="1">
      <alignment vertical="center" wrapText="1"/>
    </xf>
    <xf numFmtId="1" fontId="32" fillId="8" borderId="9" xfId="0" applyNumberFormat="1" applyFont="1" applyFill="1" applyBorder="1" applyAlignment="1">
      <alignment vertical="center" wrapText="1"/>
    </xf>
    <xf numFmtId="1" fontId="32" fillId="0" borderId="11" xfId="0" applyNumberFormat="1" applyFont="1" applyBorder="1"/>
    <xf numFmtId="1" fontId="4" fillId="2" borderId="0" xfId="0" applyNumberFormat="1" applyFont="1" applyFill="1" applyAlignment="1">
      <alignment horizontal="left" vertical="top" wrapText="1"/>
    </xf>
    <xf numFmtId="0" fontId="0" fillId="0" borderId="3" xfId="0" applyBorder="1" applyAlignment="1">
      <alignment horizontal="right"/>
    </xf>
    <xf numFmtId="1" fontId="32" fillId="0" borderId="0" xfId="0" applyNumberFormat="1" applyFont="1"/>
    <xf numFmtId="1" fontId="0" fillId="0" borderId="0" xfId="0" applyNumberFormat="1"/>
    <xf numFmtId="1" fontId="32" fillId="0" borderId="0" xfId="0" applyNumberFormat="1" applyFont="1" applyAlignment="1">
      <alignment horizontal="left" vertical="center"/>
    </xf>
    <xf numFmtId="11" fontId="32" fillId="0" borderId="0" xfId="0" applyNumberFormat="1" applyFont="1" applyAlignment="1">
      <alignment horizontal="left" vertical="center"/>
    </xf>
    <xf numFmtId="0" fontId="37" fillId="0" borderId="4" xfId="0" applyFont="1" applyBorder="1"/>
    <xf numFmtId="1" fontId="32" fillId="0" borderId="3" xfId="0" applyNumberFormat="1" applyFont="1" applyBorder="1" applyAlignment="1">
      <alignment horizontal="right" vertical="center" wrapText="1"/>
    </xf>
    <xf numFmtId="1" fontId="37" fillId="0" borderId="11" xfId="0" applyNumberFormat="1" applyFont="1" applyBorder="1" applyAlignment="1">
      <alignment horizontal="right"/>
    </xf>
    <xf numFmtId="2" fontId="4" fillId="2" borderId="9" xfId="0" applyNumberFormat="1" applyFont="1" applyFill="1" applyBorder="1" applyAlignment="1">
      <alignment horizontal="left" vertical="top" wrapText="1"/>
    </xf>
    <xf numFmtId="0" fontId="6" fillId="0" borderId="9" xfId="0" applyFont="1" applyBorder="1"/>
    <xf numFmtId="2" fontId="32" fillId="0" borderId="11" xfId="0" applyNumberFormat="1" applyFont="1" applyBorder="1"/>
    <xf numFmtId="11" fontId="5" fillId="9" borderId="2" xfId="0" applyNumberFormat="1" applyFont="1" applyFill="1" applyBorder="1" applyAlignment="1">
      <alignment horizontal="left" vertical="center"/>
    </xf>
    <xf numFmtId="11" fontId="0" fillId="2" borderId="0" xfId="0" applyNumberFormat="1" applyFill="1" applyAlignment="1">
      <alignment horizontal="left" vertical="top" wrapText="1"/>
    </xf>
    <xf numFmtId="167" fontId="33" fillId="0" borderId="0" xfId="0" applyNumberFormat="1" applyFont="1" applyAlignment="1">
      <alignment horizontal="right" vertical="center" wrapText="1"/>
    </xf>
    <xf numFmtId="1" fontId="5" fillId="9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65" fontId="37" fillId="0" borderId="3" xfId="0" applyNumberFormat="1" applyFont="1" applyBorder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horizontal="left" vertical="center"/>
    </xf>
    <xf numFmtId="165" fontId="37" fillId="0" borderId="3" xfId="0" applyNumberFormat="1" applyFont="1" applyBorder="1" applyAlignment="1">
      <alignment horizontal="right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7" fillId="0" borderId="3" xfId="0" applyFont="1" applyBorder="1" applyAlignment="1">
      <alignment horizontal="right" vertical="center"/>
    </xf>
    <xf numFmtId="165" fontId="37" fillId="0" borderId="0" xfId="0" applyNumberFormat="1" applyFont="1" applyAlignment="1">
      <alignment horizontal="right" vertical="center" wrapText="1"/>
    </xf>
    <xf numFmtId="0" fontId="32" fillId="0" borderId="3" xfId="0" applyFont="1" applyBorder="1" applyAlignment="1">
      <alignment horizontal="left" vertical="center" wrapText="1"/>
    </xf>
    <xf numFmtId="165" fontId="37" fillId="0" borderId="0" xfId="0" applyNumberFormat="1" applyFont="1"/>
    <xf numFmtId="165" fontId="32" fillId="0" borderId="3" xfId="0" applyNumberFormat="1" applyFont="1" applyBorder="1" applyAlignment="1">
      <alignment horizontal="right"/>
    </xf>
    <xf numFmtId="2" fontId="37" fillId="0" borderId="0" xfId="0" applyNumberFormat="1" applyFont="1"/>
    <xf numFmtId="165" fontId="37" fillId="0" borderId="5" xfId="0" applyNumberFormat="1" applyFont="1" applyBorder="1" applyAlignment="1">
      <alignment horizontal="right"/>
    </xf>
    <xf numFmtId="164" fontId="32" fillId="0" borderId="0" xfId="0" applyNumberFormat="1" applyFont="1" applyAlignment="1">
      <alignment horizontal="right"/>
    </xf>
    <xf numFmtId="164" fontId="32" fillId="0" borderId="0" xfId="0" applyNumberFormat="1" applyFont="1" applyAlignment="1">
      <alignment horizontal="right" wrapText="1"/>
    </xf>
    <xf numFmtId="165" fontId="32" fillId="0" borderId="0" xfId="0" applyNumberFormat="1" applyFont="1" applyAlignment="1">
      <alignment horizontal="left" vertical="center" wrapText="1"/>
    </xf>
    <xf numFmtId="165" fontId="33" fillId="0" borderId="0" xfId="0" applyNumberFormat="1" applyFont="1" applyAlignment="1">
      <alignment horizontal="left" vertical="center" wrapText="1"/>
    </xf>
    <xf numFmtId="165" fontId="32" fillId="0" borderId="0" xfId="0" applyNumberFormat="1" applyFont="1" applyAlignment="1">
      <alignment horizontal="left" vertical="center"/>
    </xf>
    <xf numFmtId="164" fontId="32" fillId="0" borderId="6" xfId="0" applyNumberFormat="1" applyFont="1" applyBorder="1" applyAlignment="1">
      <alignment horizontal="right"/>
    </xf>
    <xf numFmtId="11" fontId="0" fillId="2" borderId="4" xfId="0" applyNumberFormat="1" applyFill="1" applyBorder="1" applyAlignment="1">
      <alignment horizontal="left" vertical="top" wrapText="1"/>
    </xf>
    <xf numFmtId="11" fontId="32" fillId="0" borderId="4" xfId="0" applyNumberFormat="1" applyFont="1" applyBorder="1" applyAlignment="1">
      <alignment horizontal="right"/>
    </xf>
    <xf numFmtId="11" fontId="32" fillId="0" borderId="4" xfId="0" applyNumberFormat="1" applyFont="1" applyBorder="1" applyAlignment="1">
      <alignment horizontal="right" vertical="center" wrapText="1"/>
    </xf>
    <xf numFmtId="167" fontId="33" fillId="0" borderId="4" xfId="0" applyNumberFormat="1" applyFont="1" applyBorder="1" applyAlignment="1">
      <alignment horizontal="right" vertical="center" wrapText="1"/>
    </xf>
    <xf numFmtId="11" fontId="34" fillId="0" borderId="4" xfId="0" applyNumberFormat="1" applyFont="1" applyBorder="1" applyAlignment="1">
      <alignment horizontal="right"/>
    </xf>
    <xf numFmtId="11" fontId="32" fillId="0" borderId="5" xfId="0" applyNumberFormat="1" applyFont="1" applyBorder="1" applyAlignment="1">
      <alignment horizontal="right" vertical="center"/>
    </xf>
    <xf numFmtId="11" fontId="32" fillId="0" borderId="6" xfId="0" applyNumberFormat="1" applyFont="1" applyBorder="1" applyAlignment="1">
      <alignment horizontal="right" vertical="center"/>
    </xf>
    <xf numFmtId="11" fontId="32" fillId="0" borderId="6" xfId="0" applyNumberFormat="1" applyFont="1" applyBorder="1" applyAlignment="1">
      <alignment horizontal="right"/>
    </xf>
    <xf numFmtId="11" fontId="32" fillId="0" borderId="7" xfId="0" applyNumberFormat="1" applyFont="1" applyBorder="1" applyAlignment="1">
      <alignment horizontal="right"/>
    </xf>
    <xf numFmtId="165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 wrapText="1"/>
    </xf>
    <xf numFmtId="166" fontId="0" fillId="0" borderId="0" xfId="0" applyNumberFormat="1"/>
    <xf numFmtId="1" fontId="0" fillId="0" borderId="4" xfId="0" applyNumberFormat="1" applyBorder="1" applyAlignment="1">
      <alignment horizontal="right" vertical="center" wrapText="1"/>
    </xf>
    <xf numFmtId="1" fontId="0" fillId="0" borderId="4" xfId="0" applyNumberFormat="1" applyBorder="1" applyAlignment="1">
      <alignment horizontal="left" vertical="center" wrapText="1"/>
    </xf>
    <xf numFmtId="165" fontId="0" fillId="0" borderId="5" xfId="0" applyNumberFormat="1" applyBorder="1" applyAlignment="1">
      <alignment horizontal="right"/>
    </xf>
    <xf numFmtId="2" fontId="0" fillId="0" borderId="4" xfId="0" applyNumberFormat="1" applyBorder="1" applyAlignment="1">
      <alignment horizontal="left" vertical="center" wrapText="1"/>
    </xf>
    <xf numFmtId="165" fontId="0" fillId="0" borderId="3" xfId="0" applyNumberFormat="1" applyBorder="1"/>
    <xf numFmtId="49" fontId="5" fillId="5" borderId="1" xfId="0" applyNumberFormat="1" applyFont="1" applyFill="1" applyBorder="1"/>
    <xf numFmtId="0" fontId="4" fillId="5" borderId="2" xfId="0" applyFont="1" applyFill="1" applyBorder="1"/>
    <xf numFmtId="2" fontId="0" fillId="5" borderId="8" xfId="0" applyNumberFormat="1" applyFill="1" applyBorder="1" applyAlignment="1">
      <alignment horizontal="left" vertical="center"/>
    </xf>
    <xf numFmtId="49" fontId="0" fillId="4" borderId="3" xfId="0" applyNumberFormat="1" applyFill="1" applyBorder="1" applyAlignment="1">
      <alignment horizontal="center" vertical="top" wrapText="1"/>
    </xf>
    <xf numFmtId="2" fontId="0" fillId="4" borderId="4" xfId="0" applyNumberFormat="1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2" fontId="0" fillId="5" borderId="2" xfId="0" applyNumberFormat="1" applyFill="1" applyBorder="1" applyAlignment="1">
      <alignment horizontal="left" vertical="center"/>
    </xf>
    <xf numFmtId="1" fontId="0" fillId="5" borderId="2" xfId="0" applyNumberFormat="1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left" vertical="top" wrapText="1"/>
    </xf>
    <xf numFmtId="11" fontId="0" fillId="4" borderId="4" xfId="0" applyNumberFormat="1" applyFill="1" applyBorder="1" applyAlignment="1">
      <alignment horizontal="left" vertical="top" wrapText="1"/>
    </xf>
    <xf numFmtId="165" fontId="0" fillId="0" borderId="5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0" fontId="4" fillId="0" borderId="4" xfId="0" applyFont="1" applyBorder="1"/>
    <xf numFmtId="2" fontId="4" fillId="0" borderId="4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165" fontId="4" fillId="0" borderId="11" xfId="0" applyNumberFormat="1" applyFont="1" applyBorder="1" applyAlignment="1">
      <alignment horizontal="right"/>
    </xf>
    <xf numFmtId="165" fontId="0" fillId="0" borderId="6" xfId="0" applyNumberFormat="1" applyBorder="1"/>
    <xf numFmtId="1" fontId="5" fillId="5" borderId="1" xfId="0" applyNumberFormat="1" applyFont="1" applyFill="1" applyBorder="1" applyAlignment="1">
      <alignment vertical="center"/>
    </xf>
    <xf numFmtId="0" fontId="4" fillId="0" borderId="7" xfId="0" applyFont="1" applyBorder="1"/>
    <xf numFmtId="165" fontId="0" fillId="0" borderId="6" xfId="0" applyNumberFormat="1" applyBorder="1" applyAlignment="1">
      <alignment horizontal="right" vertical="center"/>
    </xf>
    <xf numFmtId="168" fontId="0" fillId="0" borderId="6" xfId="0" applyNumberFormat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left" vertical="center"/>
    </xf>
    <xf numFmtId="11" fontId="5" fillId="5" borderId="2" xfId="0" applyNumberFormat="1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left" vertical="center"/>
    </xf>
    <xf numFmtId="11" fontId="5" fillId="5" borderId="8" xfId="0" applyNumberFormat="1" applyFont="1" applyFill="1" applyBorder="1" applyAlignment="1">
      <alignment horizontal="left" vertical="center"/>
    </xf>
    <xf numFmtId="166" fontId="0" fillId="0" borderId="6" xfId="0" applyNumberFormat="1" applyBorder="1"/>
    <xf numFmtId="1" fontId="4" fillId="4" borderId="3" xfId="0" applyNumberFormat="1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center"/>
    </xf>
    <xf numFmtId="167" fontId="5" fillId="10" borderId="8" xfId="0" applyNumberFormat="1" applyFont="1" applyFill="1" applyBorder="1"/>
    <xf numFmtId="2" fontId="13" fillId="0" borderId="3" xfId="0" applyNumberFormat="1" applyFont="1" applyBorder="1"/>
    <xf numFmtId="11" fontId="13" fillId="0" borderId="4" xfId="0" applyNumberFormat="1" applyFont="1" applyBorder="1" applyAlignment="1">
      <alignment horizontal="right" vertical="center"/>
    </xf>
    <xf numFmtId="165" fontId="0" fillId="0" borderId="3" xfId="0" applyNumberFormat="1" applyBorder="1" applyAlignment="1">
      <alignment horizontal="right"/>
    </xf>
    <xf numFmtId="2" fontId="0" fillId="0" borderId="0" xfId="0" applyNumberFormat="1" applyAlignment="1">
      <alignment vertical="center"/>
    </xf>
    <xf numFmtId="164" fontId="32" fillId="0" borderId="9" xfId="0" applyNumberFormat="1" applyFont="1" applyBorder="1" applyAlignment="1">
      <alignment horizontal="right"/>
    </xf>
    <xf numFmtId="2" fontId="34" fillId="0" borderId="9" xfId="0" applyNumberFormat="1" applyFont="1" applyBorder="1"/>
    <xf numFmtId="165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" fontId="0" fillId="4" borderId="0" xfId="0" applyNumberFormat="1" applyFill="1" applyAlignment="1">
      <alignment horizontal="left" vertical="top" wrapText="1"/>
    </xf>
    <xf numFmtId="0" fontId="4" fillId="4" borderId="0" xfId="0" applyFont="1" applyFill="1" applyAlignment="1">
      <alignment horizontal="center" vertical="top" wrapText="1"/>
    </xf>
    <xf numFmtId="1" fontId="4" fillId="4" borderId="0" xfId="0" applyNumberFormat="1" applyFont="1" applyFill="1" applyAlignment="1">
      <alignment horizontal="left" vertical="top" wrapText="1"/>
    </xf>
    <xf numFmtId="1" fontId="0" fillId="5" borderId="8" xfId="0" applyNumberFormat="1" applyFill="1" applyBorder="1" applyAlignment="1">
      <alignment horizontal="left" vertical="center"/>
    </xf>
    <xf numFmtId="1" fontId="4" fillId="4" borderId="4" xfId="0" applyNumberFormat="1" applyFont="1" applyFill="1" applyBorder="1" applyAlignment="1">
      <alignment horizontal="left" vertical="top" wrapText="1"/>
    </xf>
    <xf numFmtId="1" fontId="16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0" borderId="4" xfId="0" applyNumberFormat="1" applyBorder="1"/>
    <xf numFmtId="1" fontId="0" fillId="0" borderId="4" xfId="0" applyNumberFormat="1" applyBorder="1" applyAlignment="1">
      <alignment horizontal="left" vertical="center"/>
    </xf>
    <xf numFmtId="1" fontId="16" fillId="0" borderId="4" xfId="0" applyNumberFormat="1" applyFont="1" applyBorder="1" applyAlignment="1">
      <alignment horizontal="left" vertical="center" wrapText="1"/>
    </xf>
    <xf numFmtId="1" fontId="0" fillId="0" borderId="7" xfId="0" applyNumberFormat="1" applyBorder="1" applyAlignment="1">
      <alignment horizontal="right" vertical="center"/>
    </xf>
    <xf numFmtId="2" fontId="4" fillId="4" borderId="0" xfId="0" applyNumberFormat="1" applyFont="1" applyFill="1" applyAlignment="1">
      <alignment horizontal="left" vertical="top" wrapText="1"/>
    </xf>
    <xf numFmtId="168" fontId="0" fillId="4" borderId="0" xfId="0" applyNumberFormat="1" applyFill="1" applyAlignment="1">
      <alignment horizontal="left" vertical="top" wrapText="1"/>
    </xf>
    <xf numFmtId="11" fontId="0" fillId="4" borderId="0" xfId="0" applyNumberFormat="1" applyFill="1" applyAlignment="1">
      <alignment horizontal="left" vertical="top" wrapText="1"/>
    </xf>
    <xf numFmtId="171" fontId="0" fillId="0" borderId="0" xfId="0" applyNumberFormat="1"/>
    <xf numFmtId="165" fontId="13" fillId="0" borderId="0" xfId="0" applyNumberFormat="1" applyFont="1"/>
    <xf numFmtId="166" fontId="13" fillId="0" borderId="0" xfId="0" applyNumberFormat="1" applyFont="1"/>
    <xf numFmtId="165" fontId="13" fillId="0" borderId="0" xfId="0" applyNumberFormat="1" applyFont="1" applyAlignment="1">
      <alignment horizontal="right" vertical="center"/>
    </xf>
    <xf numFmtId="11" fontId="5" fillId="5" borderId="10" xfId="0" applyNumberFormat="1" applyFont="1" applyFill="1" applyBorder="1" applyAlignment="1">
      <alignment horizontal="left" vertical="center"/>
    </xf>
    <xf numFmtId="11" fontId="0" fillId="4" borderId="9" xfId="0" applyNumberFormat="1" applyFill="1" applyBorder="1" applyAlignment="1">
      <alignment horizontal="left" vertical="top" wrapText="1"/>
    </xf>
    <xf numFmtId="11" fontId="0" fillId="0" borderId="9" xfId="0" applyNumberFormat="1" applyBorder="1" applyAlignment="1">
      <alignment horizontal="right"/>
    </xf>
    <xf numFmtId="11" fontId="0" fillId="0" borderId="11" xfId="0" applyNumberForma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left" vertical="center" wrapText="1"/>
    </xf>
    <xf numFmtId="165" fontId="4" fillId="0" borderId="6" xfId="0" applyNumberFormat="1" applyFont="1" applyBorder="1" applyAlignment="1">
      <alignment horizontal="right"/>
    </xf>
    <xf numFmtId="167" fontId="0" fillId="10" borderId="2" xfId="0" applyNumberFormat="1" applyFill="1" applyBorder="1" applyAlignment="1">
      <alignment horizontal="center" vertical="center" wrapText="1"/>
    </xf>
    <xf numFmtId="165" fontId="4" fillId="0" borderId="0" xfId="0" applyNumberFormat="1" applyFont="1"/>
    <xf numFmtId="0" fontId="31" fillId="0" borderId="4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right" vertical="center"/>
    </xf>
    <xf numFmtId="1" fontId="34" fillId="0" borderId="3" xfId="0" applyNumberFormat="1" applyFont="1" applyBorder="1"/>
    <xf numFmtId="1" fontId="37" fillId="0" borderId="0" xfId="0" applyNumberFormat="1" applyFont="1"/>
    <xf numFmtId="165" fontId="37" fillId="0" borderId="3" xfId="0" applyNumberFormat="1" applyFont="1" applyBorder="1"/>
    <xf numFmtId="174" fontId="34" fillId="0" borderId="3" xfId="0" applyNumberFormat="1" applyFont="1" applyBorder="1" applyAlignment="1">
      <alignment horizontal="center"/>
    </xf>
    <xf numFmtId="174" fontId="34" fillId="0" borderId="0" xfId="0" applyNumberFormat="1" applyFont="1" applyAlignment="1">
      <alignment horizontal="center"/>
    </xf>
    <xf numFmtId="1" fontId="34" fillId="0" borderId="0" xfId="0" applyNumberFormat="1" applyFont="1"/>
    <xf numFmtId="174" fontId="34" fillId="0" borderId="4" xfId="0" applyNumberFormat="1" applyFont="1" applyBorder="1" applyAlignment="1">
      <alignment horizontal="center"/>
    </xf>
    <xf numFmtId="171" fontId="0" fillId="0" borderId="3" xfId="0" applyNumberFormat="1" applyBorder="1"/>
  </cellXfs>
  <cellStyles count="10">
    <cellStyle name="Normal" xfId="0" builtinId="0"/>
    <cellStyle name="Normal 2" xfId="4" xr:uid="{00000000-0005-0000-0000-000001000000}"/>
    <cellStyle name="Normal 2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B16"/>
  <sheetViews>
    <sheetView workbookViewId="0">
      <selection activeCell="A17" sqref="A17"/>
    </sheetView>
  </sheetViews>
  <sheetFormatPr defaultColWidth="8.6640625" defaultRowHeight="14.4" x14ac:dyDescent="0.3"/>
  <sheetData>
    <row r="2" spans="1:2" ht="21" x14ac:dyDescent="0.4">
      <c r="A2" s="39" t="s">
        <v>0</v>
      </c>
    </row>
    <row r="4" spans="1:2" x14ac:dyDescent="0.3">
      <c r="A4" t="s">
        <v>1</v>
      </c>
    </row>
    <row r="6" spans="1:2" x14ac:dyDescent="0.3">
      <c r="A6" t="s">
        <v>2</v>
      </c>
    </row>
    <row r="7" spans="1:2" x14ac:dyDescent="0.3">
      <c r="A7" t="s">
        <v>3</v>
      </c>
    </row>
    <row r="8" spans="1:2" x14ac:dyDescent="0.3">
      <c r="A8" t="s">
        <v>4</v>
      </c>
    </row>
    <row r="10" spans="1:2" x14ac:dyDescent="0.3">
      <c r="A10" t="s">
        <v>5</v>
      </c>
    </row>
    <row r="11" spans="1:2" x14ac:dyDescent="0.3">
      <c r="B11" t="s">
        <v>6</v>
      </c>
    </row>
    <row r="12" spans="1:2" x14ac:dyDescent="0.3">
      <c r="B12" t="s">
        <v>7</v>
      </c>
    </row>
    <row r="14" spans="1:2" x14ac:dyDescent="0.3">
      <c r="A14" t="s">
        <v>8</v>
      </c>
    </row>
    <row r="16" spans="1:2" x14ac:dyDescent="0.3">
      <c r="A1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0.59999389629810485"/>
  </sheetPr>
  <dimension ref="A2:S120"/>
  <sheetViews>
    <sheetView zoomScale="75" zoomScaleNormal="100" workbookViewId="0">
      <selection activeCell="C110" sqref="C110"/>
    </sheetView>
  </sheetViews>
  <sheetFormatPr defaultColWidth="8.6640625" defaultRowHeight="14.4" x14ac:dyDescent="0.3"/>
  <cols>
    <col min="1" max="1" width="8.6640625" style="35"/>
    <col min="2" max="2" width="40" style="3" customWidth="1"/>
    <col min="3" max="3" width="15.33203125" style="3" customWidth="1"/>
    <col min="4" max="4" width="9.6640625" style="3" customWidth="1"/>
    <col min="5" max="5" width="6.33203125" customWidth="1"/>
    <col min="6" max="6" width="9.33203125" style="38" customWidth="1"/>
    <col min="7" max="7" width="10.33203125" bestFit="1" customWidth="1"/>
    <col min="8" max="9" width="10.6640625" customWidth="1"/>
    <col min="10" max="10" width="10.33203125" bestFit="1" customWidth="1"/>
    <col min="12" max="12" width="10.33203125" customWidth="1"/>
    <col min="13" max="13" width="12.44140625" customWidth="1"/>
    <col min="14" max="14" width="13.44140625" customWidth="1"/>
    <col min="15" max="15" width="11.6640625" customWidth="1"/>
    <col min="16" max="16" width="11.33203125" customWidth="1"/>
    <col min="17" max="17" width="14.6640625" customWidth="1"/>
    <col min="18" max="19" width="13.6640625" customWidth="1"/>
  </cols>
  <sheetData>
    <row r="2" spans="1:19" ht="21" x14ac:dyDescent="0.3">
      <c r="A2" s="34" t="s">
        <v>10</v>
      </c>
      <c r="E2" s="21"/>
      <c r="F2" s="37"/>
      <c r="G2" s="316"/>
      <c r="H2" s="26"/>
      <c r="I2" s="26"/>
      <c r="J2" s="26"/>
      <c r="K2" s="26"/>
      <c r="L2" s="21"/>
      <c r="M2" s="312"/>
      <c r="O2" s="21"/>
      <c r="P2" s="23"/>
      <c r="Q2" s="10"/>
      <c r="R2" s="160"/>
      <c r="S2" s="21"/>
    </row>
    <row r="3" spans="1:19" x14ac:dyDescent="0.3">
      <c r="A3" s="53"/>
      <c r="B3" s="53"/>
      <c r="C3" s="53"/>
      <c r="D3" s="53"/>
      <c r="E3" s="53"/>
      <c r="F3" s="53"/>
      <c r="G3" s="317"/>
      <c r="H3" s="52"/>
      <c r="I3" s="52"/>
      <c r="J3" s="52"/>
      <c r="K3" s="53"/>
      <c r="L3" s="53"/>
      <c r="M3" s="53"/>
      <c r="O3" s="53"/>
      <c r="P3" s="52"/>
      <c r="Q3" s="53"/>
      <c r="R3" s="53"/>
      <c r="S3" s="53"/>
    </row>
    <row r="4" spans="1:19" x14ac:dyDescent="0.3">
      <c r="A4" s="408" t="s">
        <v>11</v>
      </c>
      <c r="B4" s="409"/>
      <c r="C4" s="409"/>
      <c r="D4" s="409"/>
      <c r="E4" s="410"/>
      <c r="F4" s="427" t="s">
        <v>12</v>
      </c>
      <c r="G4" s="414"/>
      <c r="H4" s="415"/>
      <c r="I4" s="415"/>
      <c r="J4" s="415"/>
      <c r="K4" s="450"/>
      <c r="L4" s="431" t="s">
        <v>13</v>
      </c>
      <c r="M4" s="433" t="s">
        <v>14</v>
      </c>
      <c r="N4" s="433" t="s">
        <v>15</v>
      </c>
      <c r="O4" s="433" t="s">
        <v>16</v>
      </c>
      <c r="P4" s="432" t="s">
        <v>17</v>
      </c>
      <c r="Q4" s="432" t="s">
        <v>18</v>
      </c>
      <c r="R4" s="434" t="s">
        <v>19</v>
      </c>
      <c r="S4" s="467" t="s">
        <v>20</v>
      </c>
    </row>
    <row r="5" spans="1:19" s="36" customFormat="1" ht="68.099999999999994" customHeight="1" x14ac:dyDescent="0.3">
      <c r="A5" s="411" t="s">
        <v>21</v>
      </c>
      <c r="B5" s="448" t="s">
        <v>22</v>
      </c>
      <c r="C5" s="448" t="s">
        <v>23</v>
      </c>
      <c r="D5" s="448" t="s">
        <v>24</v>
      </c>
      <c r="E5" s="412" t="s">
        <v>25</v>
      </c>
      <c r="F5" s="416" t="s">
        <v>26</v>
      </c>
      <c r="G5" s="449" t="s">
        <v>27</v>
      </c>
      <c r="H5" s="447" t="s">
        <v>28</v>
      </c>
      <c r="I5" s="447" t="s">
        <v>29</v>
      </c>
      <c r="J5" s="447" t="s">
        <v>30</v>
      </c>
      <c r="K5" s="451" t="s">
        <v>31</v>
      </c>
      <c r="L5" s="436" t="s">
        <v>32</v>
      </c>
      <c r="M5" s="449" t="s">
        <v>33</v>
      </c>
      <c r="N5" s="449" t="s">
        <v>34</v>
      </c>
      <c r="O5" s="460" t="s">
        <v>35</v>
      </c>
      <c r="P5" s="461" t="s">
        <v>36</v>
      </c>
      <c r="Q5" s="462" t="s">
        <v>37</v>
      </c>
      <c r="R5" s="417" t="s">
        <v>38</v>
      </c>
      <c r="S5" s="468" t="s">
        <v>39</v>
      </c>
    </row>
    <row r="6" spans="1:19" ht="15" customHeight="1" x14ac:dyDescent="0.3">
      <c r="A6" s="40" t="s">
        <v>40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3" t="str">
        <f t="shared" ref="D6:D37" si="2">IF(INDEX(Crop_data,MATCH(A6,Crop_data_codes,0),6)&gt;0,"Yes","No")</f>
        <v>No</v>
      </c>
      <c r="E6" s="406"/>
      <c r="F6" s="441" t="str">
        <f t="shared" ref="F6:F37" si="3">IF(D6="Yes",INDEX(CO2e_data,MATCH(A6,CO2e_codes,0),1),"")</f>
        <v/>
      </c>
      <c r="G6" s="400" t="str">
        <f t="shared" ref="G6:G37" si="4">IF(D6="Yes",INDEX(CO2_data,MATCH(A6,CO2_codes,0),1),"")</f>
        <v/>
      </c>
      <c r="H6" s="401" t="str">
        <f>IF(D6="Yes",INDEX(CH4_data,MATCH(A6,CH4_codes,0),1),"")</f>
        <v/>
      </c>
      <c r="I6" s="401" t="str">
        <f t="shared" ref="I6:I37" si="5">IF(D6="Yes",INDEX(CH4_bio_data,MATCH(A6,CH4_bio_codes,0),1),"")</f>
        <v/>
      </c>
      <c r="J6" s="401" t="str">
        <f t="shared" ref="J6:J37" si="6">IF(D6="Yes",INDEX(N2O_data,MATCH(A6,N2O_codes,0),1),"")</f>
        <v/>
      </c>
      <c r="K6" s="404"/>
      <c r="L6" s="110" t="str">
        <f t="shared" ref="L6:L26" si="7">IF(D6="Yes",1/INDEX(Crop_data,MATCH(A6,Crop_data_codes,0),6)*10000,"")</f>
        <v/>
      </c>
      <c r="M6" s="54" t="str">
        <f t="shared" ref="M6:M26" si="8">IF(D6="Yes",(INDEX(Crop_data,MATCH(A6,Crop_data_codes,0),7)+INDEX(Crop_data,MATCH(A6,Crop_data_codes,0),8))/INDEX(Crop_data,MATCH(A6,Crop_data_codes,0),6),"")</f>
        <v/>
      </c>
      <c r="N6" s="402" t="str">
        <f t="shared" ref="N6:N26" si="9">IF(D6="Yes",INDEX(Crop_data,MATCH(A6,Crop_data_codes,0),10)/INDEX(Crop_data,MATCH(A6,Crop_data_codes,0),6),"")</f>
        <v/>
      </c>
      <c r="O6" s="400" t="str">
        <f t="shared" ref="O6:O26" si="10">IF(D6="Yes",INDEX(Crop_data,MATCH(A6,Crop_data_codes,0),12)/INDEX(Crop_data,MATCH(A6,Crop_data_codes,0),6),"")</f>
        <v/>
      </c>
      <c r="P6" s="136" t="str">
        <f t="shared" ref="P6:P37" si="11">IF(D6="Yes",INDEX(Crop_data,MATCH(A6,Crop_data_codes,0),13)/INDEX(Crop_data,MATCH(A6,Crop_data_codes,0),6)*1000,"")</f>
        <v/>
      </c>
      <c r="Q6" s="48" t="str">
        <f>IF(D6="Yes",SUM(INDEX(Crop_data,MATCH(A6,Crop_data_codes,0),21):INDEX(Crop_data,MATCH(A6,Crop_data_codes,0),22):INDEX(Crop_data,MATCH(A6,Crop_data_codes,0),23):INDEX(Crop_data,MATCH(A6,Crop_data_codes,0),24):INDEX(Crop_data,MATCH(A6,Crop_data_codes,0),25))*(1/INDEX(Crop_data,MATCH(A6,Crop_data_codes,0),6)*10000)/(No_species/1000000),"")</f>
        <v/>
      </c>
      <c r="R6" s="49" t="str">
        <f t="shared" ref="R6:R26" si="12">IF(D6="Yes",INDEX(Crop_data,MATCH(A6,Crop_data_codes,0),7)/INDEX(Crop_data,MATCH(A6,Crop_data_codes,0),6)*EF_NH3*N_to_NH3,"")</f>
        <v/>
      </c>
      <c r="S6" s="469" t="str">
        <f t="shared" ref="S6:S37" si="13">IF(D6="Yes",INDEX(Crop_data,MATCH(A6,Crop_data_codes,0),26)/INDEX(Crop_data,MATCH(A6,Crop_data_codes,0),6),"")</f>
        <v/>
      </c>
    </row>
    <row r="7" spans="1:19" ht="15" customHeight="1" x14ac:dyDescent="0.3">
      <c r="A7" s="40" t="s">
        <v>41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3" t="str">
        <f t="shared" si="2"/>
        <v>No</v>
      </c>
      <c r="E7" s="422"/>
      <c r="F7" s="441" t="str">
        <f t="shared" si="3"/>
        <v/>
      </c>
      <c r="G7" s="400" t="str">
        <f t="shared" si="4"/>
        <v/>
      </c>
      <c r="H7" s="401" t="str">
        <f t="shared" ref="H7:H37" si="14">IF(D7="Yes",INDEX(CH4_data,MATCH(A7,CH4_codes,0),1),"")</f>
        <v/>
      </c>
      <c r="I7" s="401" t="str">
        <f t="shared" si="5"/>
        <v/>
      </c>
      <c r="J7" s="401" t="str">
        <f t="shared" si="6"/>
        <v/>
      </c>
      <c r="K7" s="404"/>
      <c r="L7" s="1" t="str">
        <f t="shared" si="7"/>
        <v/>
      </c>
      <c r="M7" s="54" t="str">
        <f t="shared" si="8"/>
        <v/>
      </c>
      <c r="N7" s="402" t="str">
        <f t="shared" si="9"/>
        <v/>
      </c>
      <c r="O7" s="400" t="str">
        <f t="shared" si="10"/>
        <v/>
      </c>
      <c r="P7" s="136" t="str">
        <f t="shared" si="11"/>
        <v/>
      </c>
      <c r="Q7" s="48" t="str">
        <f>IF(D7="Yes",SUM(INDEX(Crop_data,MATCH(A7,Crop_data_codes,0),21):INDEX(Crop_data,MATCH(A7,Crop_data_codes,0),22):INDEX(Crop_data,MATCH(A7,Crop_data_codes,0),23):INDEX(Crop_data,MATCH(A7,Crop_data_codes,0),24):INDEX(Crop_data,MATCH(A7,Crop_data_codes,0),25))*(1/INDEX(Crop_data,MATCH(A7,Crop_data_codes,0),6)*10000)/(No_species/1000000),"")</f>
        <v/>
      </c>
      <c r="R7" s="49" t="str">
        <f t="shared" si="12"/>
        <v/>
      </c>
      <c r="S7" s="469" t="str">
        <f t="shared" si="13"/>
        <v/>
      </c>
    </row>
    <row r="8" spans="1:19" ht="15" customHeight="1" x14ac:dyDescent="0.3">
      <c r="A8" s="40" t="s">
        <v>42</v>
      </c>
      <c r="B8" s="3" t="str">
        <f t="shared" si="0"/>
        <v>Apples</v>
      </c>
      <c r="C8" s="3" t="str">
        <f t="shared" si="1"/>
        <v>Fruits</v>
      </c>
      <c r="D8" s="3" t="str">
        <f t="shared" si="2"/>
        <v>Yes</v>
      </c>
      <c r="E8" s="422"/>
      <c r="F8" s="441">
        <f t="shared" si="3"/>
        <v>0.15649168322082296</v>
      </c>
      <c r="G8" s="400">
        <f t="shared" si="4"/>
        <v>0.10494615494158456</v>
      </c>
      <c r="H8" s="401">
        <f t="shared" si="14"/>
        <v>1.4499388454153282E-4</v>
      </c>
      <c r="I8" s="401">
        <f t="shared" si="5"/>
        <v>0</v>
      </c>
      <c r="J8" s="401">
        <f t="shared" si="6"/>
        <v>1.7298428761868391E-4</v>
      </c>
      <c r="K8" s="452"/>
      <c r="L8" s="110">
        <f t="shared" si="7"/>
        <v>0.52858425051510538</v>
      </c>
      <c r="M8" s="54">
        <f t="shared" si="8"/>
        <v>2.1672481234802834E-3</v>
      </c>
      <c r="N8" s="402">
        <f t="shared" si="9"/>
        <v>3.1715826197272439E-4</v>
      </c>
      <c r="O8" s="400">
        <f t="shared" si="10"/>
        <v>2.8999997885663001E-2</v>
      </c>
      <c r="P8" s="136">
        <f t="shared" si="11"/>
        <v>0.31556479755751793</v>
      </c>
      <c r="Q8" s="48">
        <f>IF(D8="Yes",SUM(INDEX(Crop_data,MATCH(A8,Crop_data_codes,0),21):INDEX(Crop_data,MATCH(A8,Crop_data_codes,0),22):INDEX(Crop_data,MATCH(A8,Crop_data_codes,0),23):INDEX(Crop_data,MATCH(A8,Crop_data_codes,0),24):INDEX(Crop_data,MATCH(A8,Crop_data_codes,0),25))*(1/INDEX(Crop_data,MATCH(A8,Crop_data_codes,0),6)*10000)/(No_species/1000000),"")</f>
        <v>4.3089213529313893E-12</v>
      </c>
      <c r="R8" s="49">
        <f t="shared" si="12"/>
        <v>1.3175698861638005E-4</v>
      </c>
      <c r="S8" s="469">
        <f t="shared" si="13"/>
        <v>1.5687323386787296E-2</v>
      </c>
    </row>
    <row r="9" spans="1:19" ht="15" customHeight="1" x14ac:dyDescent="0.3">
      <c r="A9" s="40" t="s">
        <v>43</v>
      </c>
      <c r="B9" s="3" t="str">
        <f t="shared" si="0"/>
        <v>Apricots</v>
      </c>
      <c r="C9" s="3" t="str">
        <f t="shared" si="1"/>
        <v>Fruits</v>
      </c>
      <c r="D9" s="3" t="str">
        <f t="shared" si="2"/>
        <v>No</v>
      </c>
      <c r="E9" s="413"/>
      <c r="F9" s="441" t="str">
        <f t="shared" si="3"/>
        <v/>
      </c>
      <c r="G9" s="400" t="str">
        <f t="shared" si="4"/>
        <v/>
      </c>
      <c r="H9" s="401" t="str">
        <f t="shared" si="14"/>
        <v/>
      </c>
      <c r="I9" s="401" t="str">
        <f t="shared" si="5"/>
        <v/>
      </c>
      <c r="J9" s="401" t="str">
        <f t="shared" si="6"/>
        <v/>
      </c>
      <c r="K9" s="404"/>
      <c r="L9" s="110" t="str">
        <f t="shared" si="7"/>
        <v/>
      </c>
      <c r="M9" s="54" t="str">
        <f t="shared" si="8"/>
        <v/>
      </c>
      <c r="N9" s="402" t="str">
        <f t="shared" si="9"/>
        <v/>
      </c>
      <c r="O9" s="400" t="str">
        <f t="shared" si="10"/>
        <v/>
      </c>
      <c r="P9" s="136" t="str">
        <f t="shared" si="11"/>
        <v/>
      </c>
      <c r="Q9" s="48" t="str">
        <f>IF(D9="Yes",SUM(INDEX(Crop_data,MATCH(A9,Crop_data_codes,0),21):INDEX(Crop_data,MATCH(A9,Crop_data_codes,0),22):INDEX(Crop_data,MATCH(A9,Crop_data_codes,0),23):INDEX(Crop_data,MATCH(A9,Crop_data_codes,0),24):INDEX(Crop_data,MATCH(A9,Crop_data_codes,0),25))*(1/INDEX(Crop_data,MATCH(A9,Crop_data_codes,0),6)*10000)/(No_species/1000000),"")</f>
        <v/>
      </c>
      <c r="R9" s="49" t="str">
        <f t="shared" si="12"/>
        <v/>
      </c>
      <c r="S9" s="469" t="str">
        <f t="shared" si="13"/>
        <v/>
      </c>
    </row>
    <row r="10" spans="1:19" ht="15" customHeight="1" x14ac:dyDescent="0.3">
      <c r="A10" s="40" t="s">
        <v>44</v>
      </c>
      <c r="B10" s="3" t="str">
        <f t="shared" si="0"/>
        <v>Artichokes</v>
      </c>
      <c r="C10" s="3" t="str">
        <f t="shared" si="1"/>
        <v>Vegetables</v>
      </c>
      <c r="D10" s="3" t="str">
        <f t="shared" si="2"/>
        <v>No</v>
      </c>
      <c r="E10" s="6"/>
      <c r="F10" s="441" t="str">
        <f t="shared" si="3"/>
        <v/>
      </c>
      <c r="G10" s="400" t="str">
        <f t="shared" si="4"/>
        <v/>
      </c>
      <c r="H10" s="401" t="str">
        <f t="shared" si="14"/>
        <v/>
      </c>
      <c r="I10" s="401" t="str">
        <f t="shared" si="5"/>
        <v/>
      </c>
      <c r="J10" s="401" t="str">
        <f t="shared" si="6"/>
        <v/>
      </c>
      <c r="K10" s="453"/>
      <c r="L10" s="110" t="str">
        <f t="shared" si="7"/>
        <v/>
      </c>
      <c r="M10" s="54" t="str">
        <f t="shared" si="8"/>
        <v/>
      </c>
      <c r="N10" s="402" t="str">
        <f t="shared" si="9"/>
        <v/>
      </c>
      <c r="O10" s="400" t="str">
        <f t="shared" si="10"/>
        <v/>
      </c>
      <c r="P10" s="136" t="str">
        <f t="shared" si="11"/>
        <v/>
      </c>
      <c r="Q10" s="48" t="str">
        <f>IF(D10="Yes",SUM(INDEX(Crop_data,MATCH(A10,Crop_data_codes,0),21):INDEX(Crop_data,MATCH(A10,Crop_data_codes,0),22):INDEX(Crop_data,MATCH(A10,Crop_data_codes,0),23):INDEX(Crop_data,MATCH(A10,Crop_data_codes,0),24):INDEX(Crop_data,MATCH(A10,Crop_data_codes,0),25))*(1/INDEX(Crop_data,MATCH(A10,Crop_data_codes,0),6)*10000)/(No_species/1000000),"")</f>
        <v/>
      </c>
      <c r="R10" s="49" t="str">
        <f t="shared" si="12"/>
        <v/>
      </c>
      <c r="S10" s="469" t="str">
        <f t="shared" si="13"/>
        <v/>
      </c>
    </row>
    <row r="11" spans="1:19" ht="15" customHeight="1" x14ac:dyDescent="0.3">
      <c r="A11" s="40" t="s">
        <v>45</v>
      </c>
      <c r="B11" s="3" t="str">
        <f t="shared" si="0"/>
        <v>Asparagus</v>
      </c>
      <c r="C11" s="3" t="str">
        <f t="shared" si="1"/>
        <v>Vegetables</v>
      </c>
      <c r="D11" s="3" t="str">
        <f t="shared" si="2"/>
        <v>Yes</v>
      </c>
      <c r="E11" s="421">
        <v>90</v>
      </c>
      <c r="F11" s="441">
        <f t="shared" si="3"/>
        <v>0.44756951767978242</v>
      </c>
      <c r="G11" s="400">
        <f t="shared" si="4"/>
        <v>0.29879834701737185</v>
      </c>
      <c r="H11" s="401">
        <f t="shared" si="14"/>
        <v>2.5729579489025366E-4</v>
      </c>
      <c r="I11" s="401">
        <f t="shared" si="5"/>
        <v>0</v>
      </c>
      <c r="J11" s="401">
        <f t="shared" si="6"/>
        <v>5.1686357499883164E-4</v>
      </c>
      <c r="K11" s="454"/>
      <c r="L11" s="110">
        <f t="shared" si="7"/>
        <v>6.0392855525191367</v>
      </c>
      <c r="M11" s="54">
        <f t="shared" si="8"/>
        <v>1.2078571105038273E-2</v>
      </c>
      <c r="N11" s="402">
        <f t="shared" si="9"/>
        <v>2.4157142210076547E-3</v>
      </c>
      <c r="O11" s="400">
        <f t="shared" si="10"/>
        <v>3.4000000000000002E-2</v>
      </c>
      <c r="P11" s="136">
        <f t="shared" si="11"/>
        <v>0.99648211616565752</v>
      </c>
      <c r="Q11" s="48">
        <f>IF(D11="Yes",SUM(INDEX(Crop_data,MATCH(A11,Crop_data_codes,0),21):INDEX(Crop_data,MATCH(A11,Crop_data_codes,0),22):INDEX(Crop_data,MATCH(A11,Crop_data_codes,0),23):INDEX(Crop_data,MATCH(A11,Crop_data_codes,0),24):INDEX(Crop_data,MATCH(A11,Crop_data_codes,0),25))*(1/INDEX(Crop_data,MATCH(A11,Crop_data_codes,0),6)*10000)/(No_species/1000000),"")</f>
        <v>4.9231142336042984E-11</v>
      </c>
      <c r="R11" s="49">
        <f t="shared" si="12"/>
        <v>7.3431193149820384E-4</v>
      </c>
      <c r="S11" s="469">
        <f t="shared" si="13"/>
        <v>0.21294520858182478</v>
      </c>
    </row>
    <row r="12" spans="1:19" ht="15" customHeight="1" x14ac:dyDescent="0.3">
      <c r="A12" s="40" t="s">
        <v>46</v>
      </c>
      <c r="B12" s="3" t="str">
        <f t="shared" si="0"/>
        <v>Avocados</v>
      </c>
      <c r="C12" s="3" t="str">
        <f t="shared" si="1"/>
        <v>Vegetables</v>
      </c>
      <c r="D12" s="3" t="str">
        <f t="shared" si="2"/>
        <v>No</v>
      </c>
      <c r="E12" s="421">
        <v>10</v>
      </c>
      <c r="F12" s="441" t="str">
        <f t="shared" si="3"/>
        <v/>
      </c>
      <c r="G12" s="400" t="str">
        <f t="shared" si="4"/>
        <v/>
      </c>
      <c r="H12" s="401" t="str">
        <f t="shared" si="14"/>
        <v/>
      </c>
      <c r="I12" s="401" t="str">
        <f t="shared" si="5"/>
        <v/>
      </c>
      <c r="J12" s="401" t="str">
        <f t="shared" si="6"/>
        <v/>
      </c>
      <c r="K12" s="454"/>
      <c r="L12" s="110" t="str">
        <f t="shared" si="7"/>
        <v/>
      </c>
      <c r="M12" s="54" t="str">
        <f t="shared" si="8"/>
        <v/>
      </c>
      <c r="N12" s="402" t="str">
        <f t="shared" si="9"/>
        <v/>
      </c>
      <c r="O12" s="400" t="str">
        <f t="shared" si="10"/>
        <v/>
      </c>
      <c r="P12" s="136" t="str">
        <f t="shared" si="11"/>
        <v/>
      </c>
      <c r="Q12" s="48" t="str">
        <f>IF(D12="Yes",SUM(INDEX(Crop_data,MATCH(A12,Crop_data_codes,0),21):INDEX(Crop_data,MATCH(A12,Crop_data_codes,0),22):INDEX(Crop_data,MATCH(A12,Crop_data_codes,0),23):INDEX(Crop_data,MATCH(A12,Crop_data_codes,0),24):INDEX(Crop_data,MATCH(A12,Crop_data_codes,0),25))*(1/INDEX(Crop_data,MATCH(A12,Crop_data_codes,0),6)*10000)/(No_species/1000000),"")</f>
        <v/>
      </c>
      <c r="R12" s="49" t="str">
        <f t="shared" si="12"/>
        <v/>
      </c>
      <c r="S12" s="469" t="str">
        <f t="shared" si="13"/>
        <v/>
      </c>
    </row>
    <row r="13" spans="1:19" ht="15" customHeight="1" x14ac:dyDescent="0.3">
      <c r="A13" s="40" t="s">
        <v>47</v>
      </c>
      <c r="B13" s="3" t="str">
        <f t="shared" si="0"/>
        <v>Bananas</v>
      </c>
      <c r="C13" s="3" t="str">
        <f t="shared" si="1"/>
        <v>Fruits</v>
      </c>
      <c r="D13" s="3" t="str">
        <f t="shared" si="2"/>
        <v>No</v>
      </c>
      <c r="E13" s="421"/>
      <c r="F13" s="441" t="str">
        <f t="shared" si="3"/>
        <v/>
      </c>
      <c r="G13" s="400" t="str">
        <f t="shared" si="4"/>
        <v/>
      </c>
      <c r="H13" s="401" t="str">
        <f t="shared" si="14"/>
        <v/>
      </c>
      <c r="I13" s="401" t="str">
        <f t="shared" si="5"/>
        <v/>
      </c>
      <c r="J13" s="401" t="str">
        <f t="shared" si="6"/>
        <v/>
      </c>
      <c r="K13" s="6"/>
      <c r="L13" s="110" t="str">
        <f t="shared" si="7"/>
        <v/>
      </c>
      <c r="M13" s="54" t="str">
        <f t="shared" si="8"/>
        <v/>
      </c>
      <c r="N13" s="402" t="str">
        <f t="shared" si="9"/>
        <v/>
      </c>
      <c r="O13" s="400" t="str">
        <f t="shared" si="10"/>
        <v/>
      </c>
      <c r="P13" s="136" t="str">
        <f t="shared" si="11"/>
        <v/>
      </c>
      <c r="Q13" s="48" t="str">
        <f>IF(D13="Yes",SUM(INDEX(Crop_data,MATCH(A13,Crop_data_codes,0),21):INDEX(Crop_data,MATCH(A13,Crop_data_codes,0),22):INDEX(Crop_data,MATCH(A13,Crop_data_codes,0),23):INDEX(Crop_data,MATCH(A13,Crop_data_codes,0),24):INDEX(Crop_data,MATCH(A13,Crop_data_codes,0),25))*(1/INDEX(Crop_data,MATCH(A13,Crop_data_codes,0),6)*10000)/(No_species/1000000),"")</f>
        <v/>
      </c>
      <c r="R13" s="49" t="str">
        <f t="shared" si="12"/>
        <v/>
      </c>
      <c r="S13" s="469" t="str">
        <f t="shared" si="13"/>
        <v/>
      </c>
    </row>
    <row r="14" spans="1:19" ht="15" customHeight="1" x14ac:dyDescent="0.3">
      <c r="A14" s="40" t="s">
        <v>48</v>
      </c>
      <c r="B14" s="3" t="str">
        <f t="shared" si="0"/>
        <v>Barley, average</v>
      </c>
      <c r="C14" s="3" t="str">
        <f t="shared" si="1"/>
        <v>Cereals, incl feed</v>
      </c>
      <c r="D14" s="3" t="str">
        <f t="shared" si="2"/>
        <v>Yes</v>
      </c>
      <c r="E14" s="406"/>
      <c r="F14" s="441">
        <f t="shared" si="3"/>
        <v>0.4016984089374841</v>
      </c>
      <c r="G14" s="400">
        <f t="shared" si="4"/>
        <v>0.16693756034847507</v>
      </c>
      <c r="H14" s="401">
        <f t="shared" si="14"/>
        <v>2.0851912118697099E-4</v>
      </c>
      <c r="I14" s="401">
        <f t="shared" si="5"/>
        <v>0</v>
      </c>
      <c r="J14" s="401">
        <f t="shared" si="6"/>
        <v>8.3716842043090581E-4</v>
      </c>
      <c r="K14" s="404"/>
      <c r="L14" s="110">
        <f t="shared" si="7"/>
        <v>2.1815008726003491</v>
      </c>
      <c r="M14" s="54">
        <f t="shared" si="8"/>
        <v>2.0506108202443279E-2</v>
      </c>
      <c r="N14" s="402">
        <f t="shared" si="9"/>
        <v>1.5270506108202443E-3</v>
      </c>
      <c r="O14" s="400">
        <f t="shared" si="10"/>
        <v>0</v>
      </c>
      <c r="P14" s="136">
        <f t="shared" si="11"/>
        <v>0.11343804537521816</v>
      </c>
      <c r="Q14" s="48">
        <f>IF(D14="Yes",SUM(INDEX(Crop_data,MATCH(A14,Crop_data_codes,0),21):INDEX(Crop_data,MATCH(A14,Crop_data_codes,0),22):INDEX(Crop_data,MATCH(A14,Crop_data_codes,0),23):INDEX(Crop_data,MATCH(A14,Crop_data_codes,0),24):INDEX(Crop_data,MATCH(A14,Crop_data_codes,0),25))*(1/INDEX(Crop_data,MATCH(A14,Crop_data_codes,0),6)*10000)/(No_species/1000000),"")</f>
        <v>1.778319290108603E-11</v>
      </c>
      <c r="R14" s="49">
        <f t="shared" si="12"/>
        <v>1.246660701063081E-3</v>
      </c>
      <c r="S14" s="469">
        <f t="shared" si="13"/>
        <v>3.4904013961605585E-3</v>
      </c>
    </row>
    <row r="15" spans="1:19" ht="15" customHeight="1" x14ac:dyDescent="0.3">
      <c r="A15" s="40" t="s">
        <v>49</v>
      </c>
      <c r="B15" s="3" t="str">
        <f t="shared" si="0"/>
        <v>Barley, spring</v>
      </c>
      <c r="C15" s="3" t="str">
        <f t="shared" si="1"/>
        <v>Cereals</v>
      </c>
      <c r="D15" s="3" t="str">
        <f t="shared" si="2"/>
        <v>Yes</v>
      </c>
      <c r="E15" s="413"/>
      <c r="F15" s="441">
        <f t="shared" si="3"/>
        <v>0.39997434227292594</v>
      </c>
      <c r="G15" s="400">
        <f t="shared" si="4"/>
        <v>0.16737855481908898</v>
      </c>
      <c r="H15" s="401">
        <f t="shared" si="14"/>
        <v>2.0804147640144277E-4</v>
      </c>
      <c r="I15" s="401">
        <f t="shared" si="5"/>
        <v>0</v>
      </c>
      <c r="J15" s="401">
        <f t="shared" si="6"/>
        <v>8.2928993207719405E-4</v>
      </c>
      <c r="K15" s="404"/>
      <c r="L15" s="110">
        <f t="shared" si="7"/>
        <v>2.2492127755285649</v>
      </c>
      <c r="M15" s="54">
        <f t="shared" si="8"/>
        <v>2.0242914979757085E-2</v>
      </c>
      <c r="N15" s="402">
        <f t="shared" si="9"/>
        <v>1.5744489428699954E-3</v>
      </c>
      <c r="O15" s="400">
        <f t="shared" si="10"/>
        <v>0</v>
      </c>
      <c r="P15" s="136">
        <f t="shared" si="11"/>
        <v>0.10571300044984255</v>
      </c>
      <c r="Q15" s="48">
        <f>IF(D15="Yes",SUM(INDEX(Crop_data,MATCH(A15,Crop_data_codes,0),21):INDEX(Crop_data,MATCH(A15,Crop_data_codes,0),22):INDEX(Crop_data,MATCH(A15,Crop_data_codes,0),23):INDEX(Crop_data,MATCH(A15,Crop_data_codes,0),24):INDEX(Crop_data,MATCH(A15,Crop_data_codes,0),25))*(1/INDEX(Crop_data,MATCH(A15,Crop_data_codes,0),6)*10000)/(No_species/1000000),"")</f>
        <v>1.8335167849432831E-11</v>
      </c>
      <c r="R15" s="49">
        <f t="shared" si="12"/>
        <v>1.230659973656896E-3</v>
      </c>
      <c r="S15" s="469">
        <f t="shared" si="13"/>
        <v>3.5987404408457041E-3</v>
      </c>
    </row>
    <row r="16" spans="1:19" ht="15" customHeight="1" x14ac:dyDescent="0.3">
      <c r="A16" s="40" t="s">
        <v>50</v>
      </c>
      <c r="B16" s="3" t="str">
        <f t="shared" si="0"/>
        <v>Barley, winter</v>
      </c>
      <c r="C16" s="3" t="str">
        <f t="shared" si="1"/>
        <v>Cereals</v>
      </c>
      <c r="D16" s="3" t="str">
        <f t="shared" si="2"/>
        <v>Yes</v>
      </c>
      <c r="E16" s="6"/>
      <c r="F16" s="441">
        <f t="shared" si="3"/>
        <v>0.40316861548552041</v>
      </c>
      <c r="G16" s="400">
        <f t="shared" si="4"/>
        <v>0.16024114185873345</v>
      </c>
      <c r="H16" s="401">
        <f t="shared" si="14"/>
        <v>2.0841945881178335E-4</v>
      </c>
      <c r="I16" s="401">
        <f t="shared" si="5"/>
        <v>0</v>
      </c>
      <c r="J16" s="401">
        <f t="shared" si="6"/>
        <v>8.6709367675529589E-4</v>
      </c>
      <c r="K16" s="6"/>
      <c r="L16" s="110">
        <f t="shared" si="7"/>
        <v>1.7164435290078957</v>
      </c>
      <c r="M16" s="54">
        <f t="shared" si="8"/>
        <v>2.1627188465499485E-2</v>
      </c>
      <c r="N16" s="402">
        <f t="shared" si="9"/>
        <v>1.3731548232063166E-3</v>
      </c>
      <c r="O16" s="400">
        <f t="shared" si="10"/>
        <v>0</v>
      </c>
      <c r="P16" s="136">
        <f t="shared" si="11"/>
        <v>0.17164435290078958</v>
      </c>
      <c r="Q16" s="48">
        <f>IF(D16="Yes",SUM(INDEX(Crop_data,MATCH(A16,Crop_data_codes,0),21):INDEX(Crop_data,MATCH(A16,Crop_data_codes,0),22):INDEX(Crop_data,MATCH(A16,Crop_data_codes,0),23):INDEX(Crop_data,MATCH(A16,Crop_data_codes,0),24):INDEX(Crop_data,MATCH(A16,Crop_data_codes,0),25))*(1/INDEX(Crop_data,MATCH(A16,Crop_data_codes,0),6)*10000)/(No_species/1000000),"")</f>
        <v>1.3992131180669132E-11</v>
      </c>
      <c r="R16" s="49">
        <f t="shared" si="12"/>
        <v>1.3148163302488817E-3</v>
      </c>
      <c r="S16" s="469">
        <f t="shared" si="13"/>
        <v>2.7463096464126332E-3</v>
      </c>
    </row>
    <row r="17" spans="1:19" ht="15" customHeight="1" x14ac:dyDescent="0.3">
      <c r="A17" s="40" t="s">
        <v>51</v>
      </c>
      <c r="B17" s="3" t="str">
        <f t="shared" si="0"/>
        <v>Beans, dry</v>
      </c>
      <c r="C17" s="3" t="str">
        <f t="shared" si="1"/>
        <v>Pulses</v>
      </c>
      <c r="D17" s="3" t="str">
        <f t="shared" si="2"/>
        <v>Yes</v>
      </c>
      <c r="E17" s="6"/>
      <c r="F17" s="441">
        <f t="shared" si="3"/>
        <v>0.42886957376368495</v>
      </c>
      <c r="G17" s="400">
        <f t="shared" si="4"/>
        <v>0.21066186622702918</v>
      </c>
      <c r="H17" s="401">
        <f t="shared" si="14"/>
        <v>2.182876774846611E-4</v>
      </c>
      <c r="I17" s="401">
        <f t="shared" si="5"/>
        <v>0</v>
      </c>
      <c r="J17" s="401">
        <f t="shared" si="6"/>
        <v>7.7546789284839868E-4</v>
      </c>
      <c r="K17" s="6"/>
      <c r="L17" s="110">
        <f t="shared" si="7"/>
        <v>5.5555555555555554</v>
      </c>
      <c r="M17" s="54">
        <f t="shared" si="8"/>
        <v>3.0555555555555555E-2</v>
      </c>
      <c r="N17" s="402">
        <f t="shared" si="9"/>
        <v>5.5555555555555558E-3</v>
      </c>
      <c r="O17" s="400">
        <f t="shared" si="10"/>
        <v>1E-3</v>
      </c>
      <c r="P17" s="136">
        <f t="shared" si="11"/>
        <v>0.61111111111111116</v>
      </c>
      <c r="Q17" s="48">
        <f>IF(D17="Yes",SUM(INDEX(Crop_data,MATCH(A17,Crop_data_codes,0),21):INDEX(Crop_data,MATCH(A17,Crop_data_codes,0),22):INDEX(Crop_data,MATCH(A17,Crop_data_codes,0),23):INDEX(Crop_data,MATCH(A17,Crop_data_codes,0),24):INDEX(Crop_data,MATCH(A17,Crop_data_codes,0),25))*(1/INDEX(Crop_data,MATCH(A17,Crop_data_codes,0),6)*10000)/(No_species/1000000),"")</f>
        <v>4.5287864588099089E-11</v>
      </c>
      <c r="R17" s="49">
        <f t="shared" si="12"/>
        <v>1.0132433783108445E-3</v>
      </c>
      <c r="S17" s="469">
        <f t="shared" si="13"/>
        <v>7.6333333333333331E-3</v>
      </c>
    </row>
    <row r="18" spans="1:19" ht="15" customHeight="1" x14ac:dyDescent="0.3">
      <c r="A18" s="40" t="s">
        <v>52</v>
      </c>
      <c r="B18" s="3" t="str">
        <f t="shared" si="0"/>
        <v>Blueberries</v>
      </c>
      <c r="C18" s="3" t="str">
        <f t="shared" si="1"/>
        <v>Berries</v>
      </c>
      <c r="D18" s="3" t="str">
        <f t="shared" si="2"/>
        <v>No</v>
      </c>
      <c r="E18" s="6"/>
      <c r="F18" s="441" t="str">
        <f t="shared" si="3"/>
        <v/>
      </c>
      <c r="G18" s="400" t="str">
        <f t="shared" si="4"/>
        <v/>
      </c>
      <c r="H18" s="401" t="str">
        <f t="shared" si="14"/>
        <v/>
      </c>
      <c r="I18" s="401" t="str">
        <f t="shared" si="5"/>
        <v/>
      </c>
      <c r="J18" s="401" t="str">
        <f t="shared" si="6"/>
        <v/>
      </c>
      <c r="K18" s="455"/>
      <c r="L18" s="110" t="str">
        <f t="shared" si="7"/>
        <v/>
      </c>
      <c r="M18" s="54" t="str">
        <f t="shared" si="8"/>
        <v/>
      </c>
      <c r="N18" s="402" t="str">
        <f t="shared" si="9"/>
        <v/>
      </c>
      <c r="O18" s="400" t="str">
        <f t="shared" si="10"/>
        <v/>
      </c>
      <c r="P18" s="136" t="str">
        <f t="shared" si="11"/>
        <v/>
      </c>
      <c r="Q18" s="48" t="str">
        <f>IF(D18="Yes",SUM(INDEX(Crop_data,MATCH(A18,Crop_data_codes,0),21):INDEX(Crop_data,MATCH(A18,Crop_data_codes,0),22):INDEX(Crop_data,MATCH(A18,Crop_data_codes,0),23):INDEX(Crop_data,MATCH(A18,Crop_data_codes,0),24):INDEX(Crop_data,MATCH(A18,Crop_data_codes,0),25))*(1/INDEX(Crop_data,MATCH(A18,Crop_data_codes,0),6)*10000)/(No_species/1000000),"")</f>
        <v/>
      </c>
      <c r="R18" s="49" t="str">
        <f t="shared" si="12"/>
        <v/>
      </c>
      <c r="S18" s="469" t="str">
        <f t="shared" si="13"/>
        <v/>
      </c>
    </row>
    <row r="19" spans="1:19" ht="15" customHeight="1" x14ac:dyDescent="0.3">
      <c r="A19" s="40" t="s">
        <v>53</v>
      </c>
      <c r="B19" s="3" t="str">
        <f t="shared" si="0"/>
        <v>Brazil nuts, in shell</v>
      </c>
      <c r="C19" s="3" t="str">
        <f t="shared" si="1"/>
        <v>Nuts</v>
      </c>
      <c r="D19" s="3" t="str">
        <f t="shared" si="2"/>
        <v>No</v>
      </c>
      <c r="E19" s="421">
        <v>10</v>
      </c>
      <c r="F19" s="441" t="str">
        <f t="shared" si="3"/>
        <v/>
      </c>
      <c r="G19" s="400" t="str">
        <f t="shared" si="4"/>
        <v/>
      </c>
      <c r="H19" s="401" t="str">
        <f t="shared" si="14"/>
        <v/>
      </c>
      <c r="I19" s="401" t="str">
        <f t="shared" si="5"/>
        <v/>
      </c>
      <c r="J19" s="401" t="str">
        <f t="shared" si="6"/>
        <v/>
      </c>
      <c r="K19" s="454"/>
      <c r="L19" s="110" t="str">
        <f t="shared" si="7"/>
        <v/>
      </c>
      <c r="M19" s="54" t="str">
        <f t="shared" si="8"/>
        <v/>
      </c>
      <c r="N19" s="402" t="str">
        <f t="shared" si="9"/>
        <v/>
      </c>
      <c r="O19" s="400" t="str">
        <f t="shared" si="10"/>
        <v/>
      </c>
      <c r="P19" s="136" t="str">
        <f t="shared" si="11"/>
        <v/>
      </c>
      <c r="Q19" s="48" t="str">
        <f>IF(D19="Yes",SUM(INDEX(Crop_data,MATCH(A19,Crop_data_codes,0),21):INDEX(Crop_data,MATCH(A19,Crop_data_codes,0),22):INDEX(Crop_data,MATCH(A19,Crop_data_codes,0),23):INDEX(Crop_data,MATCH(A19,Crop_data_codes,0),24):INDEX(Crop_data,MATCH(A19,Crop_data_codes,0),25))*(1/INDEX(Crop_data,MATCH(A19,Crop_data_codes,0),6)*10000)/(No_species/1000000),"")</f>
        <v/>
      </c>
      <c r="R19" s="49" t="str">
        <f t="shared" si="12"/>
        <v/>
      </c>
      <c r="S19" s="469" t="str">
        <f t="shared" si="13"/>
        <v/>
      </c>
    </row>
    <row r="20" spans="1:19" ht="15" customHeight="1" x14ac:dyDescent="0.3">
      <c r="A20" s="40" t="s">
        <v>54</v>
      </c>
      <c r="B20" s="3" t="str">
        <f t="shared" si="0"/>
        <v>Broad beans and horse beans, dry</v>
      </c>
      <c r="C20" s="3" t="str">
        <f t="shared" si="1"/>
        <v>Pulses, incl feed</v>
      </c>
      <c r="D20" s="3" t="str">
        <f t="shared" si="2"/>
        <v>Yes</v>
      </c>
      <c r="E20" s="421">
        <v>90</v>
      </c>
      <c r="F20" s="441">
        <f t="shared" si="3"/>
        <v>0.22006999948997871</v>
      </c>
      <c r="G20" s="400">
        <f t="shared" si="4"/>
        <v>0.15034278943450696</v>
      </c>
      <c r="H20" s="401">
        <f t="shared" si="14"/>
        <v>1.5153420106735373E-4</v>
      </c>
      <c r="I20" s="401">
        <f t="shared" si="5"/>
        <v>0</v>
      </c>
      <c r="J20" s="401">
        <f t="shared" si="6"/>
        <v>2.3886992990353336E-4</v>
      </c>
      <c r="K20" s="454"/>
      <c r="L20" s="110">
        <f t="shared" si="7"/>
        <v>5.0505050505050502</v>
      </c>
      <c r="M20" s="54">
        <f t="shared" si="8"/>
        <v>1.3131313131313131E-2</v>
      </c>
      <c r="N20" s="402">
        <f t="shared" si="9"/>
        <v>2.0202020202020202E-3</v>
      </c>
      <c r="O20" s="400">
        <f t="shared" si="10"/>
        <v>1E-3</v>
      </c>
      <c r="P20" s="136">
        <f t="shared" si="11"/>
        <v>0.30808080808080807</v>
      </c>
      <c r="Q20" s="48">
        <f>IF(D20="Yes",SUM(INDEX(Crop_data,MATCH(A20,Crop_data_codes,0),21):INDEX(Crop_data,MATCH(A20,Crop_data_codes,0),22):INDEX(Crop_data,MATCH(A20,Crop_data_codes,0),23):INDEX(Crop_data,MATCH(A20,Crop_data_codes,0),24):INDEX(Crop_data,MATCH(A20,Crop_data_codes,0),25))*(1/INDEX(Crop_data,MATCH(A20,Crop_data_codes,0),6)*10000)/(No_species/1000000),"")</f>
        <v>4.1170785989180988E-11</v>
      </c>
      <c r="R20" s="49">
        <f t="shared" si="12"/>
        <v>6.1408689594596641E-5</v>
      </c>
      <c r="S20" s="469">
        <f t="shared" si="13"/>
        <v>6.9393939393939397E-3</v>
      </c>
    </row>
    <row r="21" spans="1:19" ht="15" customHeight="1" x14ac:dyDescent="0.3">
      <c r="A21" s="40" t="s">
        <v>55</v>
      </c>
      <c r="B21" s="3" t="str">
        <f t="shared" si="0"/>
        <v>Broad beans and horse beans, green</v>
      </c>
      <c r="C21" s="3" t="str">
        <f t="shared" si="1"/>
        <v>Vegetables</v>
      </c>
      <c r="D21" s="3" t="str">
        <f t="shared" si="2"/>
        <v>No</v>
      </c>
      <c r="E21" s="6"/>
      <c r="F21" s="441" t="str">
        <f t="shared" si="3"/>
        <v/>
      </c>
      <c r="G21" s="400" t="str">
        <f t="shared" si="4"/>
        <v/>
      </c>
      <c r="H21" s="401" t="str">
        <f t="shared" si="14"/>
        <v/>
      </c>
      <c r="I21" s="401" t="str">
        <f t="shared" si="5"/>
        <v/>
      </c>
      <c r="J21" s="401" t="str">
        <f t="shared" si="6"/>
        <v/>
      </c>
      <c r="K21" s="456"/>
      <c r="L21" s="110" t="str">
        <f t="shared" si="7"/>
        <v/>
      </c>
      <c r="M21" s="54" t="str">
        <f t="shared" si="8"/>
        <v/>
      </c>
      <c r="N21" s="402" t="str">
        <f t="shared" si="9"/>
        <v/>
      </c>
      <c r="O21" s="400" t="str">
        <f t="shared" si="10"/>
        <v/>
      </c>
      <c r="P21" s="136" t="str">
        <f t="shared" si="11"/>
        <v/>
      </c>
      <c r="Q21" s="48" t="str">
        <f>IF(D21="Yes",SUM(INDEX(Crop_data,MATCH(A21,Crop_data_codes,0),21):INDEX(Crop_data,MATCH(A21,Crop_data_codes,0),22):INDEX(Crop_data,MATCH(A21,Crop_data_codes,0),23):INDEX(Crop_data,MATCH(A21,Crop_data_codes,0),24):INDEX(Crop_data,MATCH(A21,Crop_data_codes,0),25))*(1/INDEX(Crop_data,MATCH(A21,Crop_data_codes,0),6)*10000)/(No_species/1000000),"")</f>
        <v/>
      </c>
      <c r="R21" s="49" t="str">
        <f t="shared" si="12"/>
        <v/>
      </c>
      <c r="S21" s="469" t="str">
        <f t="shared" si="13"/>
        <v/>
      </c>
    </row>
    <row r="22" spans="1:19" ht="15" customHeight="1" x14ac:dyDescent="0.3">
      <c r="A22" s="40" t="s">
        <v>56</v>
      </c>
      <c r="B22" s="3" t="str">
        <f t="shared" si="0"/>
        <v>Broccoli</v>
      </c>
      <c r="C22" s="3" t="str">
        <f t="shared" si="1"/>
        <v>Vegetables</v>
      </c>
      <c r="D22" s="3" t="str">
        <f t="shared" si="2"/>
        <v>Yes</v>
      </c>
      <c r="E22" s="403">
        <v>40</v>
      </c>
      <c r="F22" s="441">
        <f t="shared" si="3"/>
        <v>0.39467024996852057</v>
      </c>
      <c r="G22" s="400">
        <f t="shared" si="4"/>
        <v>0.15759026288155348</v>
      </c>
      <c r="H22" s="401">
        <f t="shared" si="14"/>
        <v>2.1954446552239075E-4</v>
      </c>
      <c r="I22" s="401">
        <f t="shared" si="5"/>
        <v>0</v>
      </c>
      <c r="J22" s="401">
        <f t="shared" si="6"/>
        <v>8.4445993411868094E-4</v>
      </c>
      <c r="K22" s="403"/>
      <c r="L22" s="110">
        <f t="shared" si="7"/>
        <v>1.4518002322880372</v>
      </c>
      <c r="M22" s="54">
        <f t="shared" si="8"/>
        <v>2.1777003484320559E-2</v>
      </c>
      <c r="N22" s="402">
        <f t="shared" si="9"/>
        <v>3.331119654724303E-3</v>
      </c>
      <c r="O22" s="400">
        <f t="shared" si="10"/>
        <v>3.4000000000000002E-2</v>
      </c>
      <c r="P22" s="136">
        <f t="shared" si="11"/>
        <v>0.23954703832752614</v>
      </c>
      <c r="Q22" s="48">
        <f>IF(D22="Yes",SUM(INDEX(Crop_data,MATCH(A22,Crop_data_codes,0),21):INDEX(Crop_data,MATCH(A22,Crop_data_codes,0),22):INDEX(Crop_data,MATCH(A22,Crop_data_codes,0),23):INDEX(Crop_data,MATCH(A22,Crop_data_codes,0),24):INDEX(Crop_data,MATCH(A22,Crop_data_codes,0),25))*(1/INDEX(Crop_data,MATCH(A22,Crop_data_codes,0),6)*10000)/(No_species/1000000),"")</f>
        <v>1.1834807819189657E-11</v>
      </c>
      <c r="R22" s="49">
        <f t="shared" si="12"/>
        <v>1.3239242747963998E-3</v>
      </c>
      <c r="S22" s="469">
        <f t="shared" si="13"/>
        <v>3.6309523809523805E-2</v>
      </c>
    </row>
    <row r="23" spans="1:19" ht="15" customHeight="1" x14ac:dyDescent="0.3">
      <c r="A23" s="40" t="s">
        <v>57</v>
      </c>
      <c r="B23" s="3" t="str">
        <f t="shared" si="0"/>
        <v>Buckwheat</v>
      </c>
      <c r="C23" s="3" t="str">
        <f t="shared" si="1"/>
        <v>Seeds</v>
      </c>
      <c r="D23" s="3" t="str">
        <f t="shared" si="2"/>
        <v>No</v>
      </c>
      <c r="E23" s="6"/>
      <c r="F23" s="441" t="str">
        <f t="shared" si="3"/>
        <v/>
      </c>
      <c r="G23" s="400" t="str">
        <f t="shared" si="4"/>
        <v/>
      </c>
      <c r="H23" s="401" t="str">
        <f t="shared" si="14"/>
        <v/>
      </c>
      <c r="I23" s="401" t="str">
        <f t="shared" si="5"/>
        <v/>
      </c>
      <c r="J23" s="401" t="str">
        <f t="shared" si="6"/>
        <v/>
      </c>
      <c r="K23" s="455"/>
      <c r="L23" s="110" t="str">
        <f t="shared" si="7"/>
        <v/>
      </c>
      <c r="M23" s="54" t="str">
        <f t="shared" si="8"/>
        <v/>
      </c>
      <c r="N23" s="402" t="str">
        <f t="shared" si="9"/>
        <v/>
      </c>
      <c r="O23" s="400" t="str">
        <f t="shared" si="10"/>
        <v/>
      </c>
      <c r="P23" s="136" t="str">
        <f t="shared" si="11"/>
        <v/>
      </c>
      <c r="Q23" s="48" t="str">
        <f>IF(D23="Yes",SUM(INDEX(Crop_data,MATCH(A23,Crop_data_codes,0),21):INDEX(Crop_data,MATCH(A23,Crop_data_codes,0),22):INDEX(Crop_data,MATCH(A23,Crop_data_codes,0),23):INDEX(Crop_data,MATCH(A23,Crop_data_codes,0),24):INDEX(Crop_data,MATCH(A23,Crop_data_codes,0),25))*(1/INDEX(Crop_data,MATCH(A23,Crop_data_codes,0),6)*10000)/(No_species/1000000),"")</f>
        <v/>
      </c>
      <c r="R23" s="49" t="str">
        <f t="shared" si="12"/>
        <v/>
      </c>
      <c r="S23" s="469" t="str">
        <f t="shared" si="13"/>
        <v/>
      </c>
    </row>
    <row r="24" spans="1:19" ht="15" customHeight="1" x14ac:dyDescent="0.3">
      <c r="A24" s="40" t="s">
        <v>58</v>
      </c>
      <c r="B24" s="3" t="str">
        <f t="shared" si="0"/>
        <v>Cabbages</v>
      </c>
      <c r="C24" s="3" t="str">
        <f t="shared" si="1"/>
        <v>Vegetables</v>
      </c>
      <c r="D24" s="3" t="str">
        <f t="shared" si="2"/>
        <v>Yes</v>
      </c>
      <c r="E24" s="6"/>
      <c r="F24" s="441">
        <f t="shared" si="3"/>
        <v>0.15132478731396051</v>
      </c>
      <c r="G24" s="400">
        <f t="shared" si="4"/>
        <v>6.4836586219835707E-2</v>
      </c>
      <c r="H24" s="401">
        <f t="shared" si="14"/>
        <v>1.3803061077981486E-4</v>
      </c>
      <c r="I24" s="401">
        <f t="shared" si="5"/>
        <v>0</v>
      </c>
      <c r="J24" s="401">
        <f t="shared" si="6"/>
        <v>3.0173951975416248E-4</v>
      </c>
      <c r="K24" s="455"/>
      <c r="L24" s="110">
        <f t="shared" si="7"/>
        <v>0.29833772188122221</v>
      </c>
      <c r="M24" s="54">
        <f t="shared" si="8"/>
        <v>5.9667651182911188E-3</v>
      </c>
      <c r="N24" s="402">
        <f t="shared" si="9"/>
        <v>4.7734120946328954E-4</v>
      </c>
      <c r="O24" s="400">
        <f t="shared" si="10"/>
        <v>3.4000000000000002E-2</v>
      </c>
      <c r="P24" s="136">
        <f t="shared" si="11"/>
        <v>4.9225724110401665E-2</v>
      </c>
      <c r="Q24" s="48">
        <f>IF(D24="Yes",SUM(INDEX(Crop_data,MATCH(A24,Crop_data_codes,0),21):INDEX(Crop_data,MATCH(A24,Crop_data_codes,0),22):INDEX(Crop_data,MATCH(A24,Crop_data_codes,0),23):INDEX(Crop_data,MATCH(A24,Crop_data_codes,0),24):INDEX(Crop_data,MATCH(A24,Crop_data_codes,0),25))*(1/INDEX(Crop_data,MATCH(A24,Crop_data_codes,0),6)*10000)/(No_species/1000000),"")</f>
        <v>2.4319941030141766E-12</v>
      </c>
      <c r="R24" s="49">
        <f t="shared" si="12"/>
        <v>3.6274711476267594E-4</v>
      </c>
      <c r="S24" s="469">
        <f t="shared" si="13"/>
        <v>4.8927386388520448E-3</v>
      </c>
    </row>
    <row r="25" spans="1:19" ht="15" customHeight="1" x14ac:dyDescent="0.3">
      <c r="A25" s="40" t="s">
        <v>59</v>
      </c>
      <c r="B25" s="3" t="str">
        <f t="shared" si="0"/>
        <v>Cantaloupes and other melons</v>
      </c>
      <c r="C25" s="3" t="str">
        <f t="shared" si="1"/>
        <v>Fruits</v>
      </c>
      <c r="D25" s="3" t="str">
        <f t="shared" si="2"/>
        <v>No</v>
      </c>
      <c r="E25" s="6"/>
      <c r="F25" s="441" t="str">
        <f t="shared" si="3"/>
        <v/>
      </c>
      <c r="G25" s="400" t="str">
        <f t="shared" si="4"/>
        <v/>
      </c>
      <c r="H25" s="401" t="str">
        <f t="shared" si="14"/>
        <v/>
      </c>
      <c r="I25" s="401" t="str">
        <f t="shared" si="5"/>
        <v/>
      </c>
      <c r="J25" s="401" t="str">
        <f t="shared" si="6"/>
        <v/>
      </c>
      <c r="K25" s="6"/>
      <c r="L25" s="110" t="str">
        <f t="shared" si="7"/>
        <v/>
      </c>
      <c r="M25" s="54" t="str">
        <f t="shared" si="8"/>
        <v/>
      </c>
      <c r="N25" s="402" t="str">
        <f t="shared" si="9"/>
        <v/>
      </c>
      <c r="O25" s="400" t="str">
        <f t="shared" si="10"/>
        <v/>
      </c>
      <c r="P25" s="136" t="str">
        <f t="shared" si="11"/>
        <v/>
      </c>
      <c r="Q25" s="48" t="str">
        <f>IF(D25="Yes",SUM(INDEX(Crop_data,MATCH(A25,Crop_data_codes,0),21):INDEX(Crop_data,MATCH(A25,Crop_data_codes,0),22):INDEX(Crop_data,MATCH(A25,Crop_data_codes,0),23):INDEX(Crop_data,MATCH(A25,Crop_data_codes,0),24):INDEX(Crop_data,MATCH(A25,Crop_data_codes,0),25))*(1/INDEX(Crop_data,MATCH(A25,Crop_data_codes,0),6)*10000)/(No_species/1000000),"")</f>
        <v/>
      </c>
      <c r="R25" s="49" t="str">
        <f t="shared" si="12"/>
        <v/>
      </c>
      <c r="S25" s="469" t="str">
        <f t="shared" si="13"/>
        <v/>
      </c>
    </row>
    <row r="26" spans="1:19" ht="15" customHeight="1" x14ac:dyDescent="0.3">
      <c r="A26" s="40" t="s">
        <v>60</v>
      </c>
      <c r="B26" s="3" t="str">
        <f t="shared" si="0"/>
        <v>Carrots and turnips</v>
      </c>
      <c r="C26" s="3" t="str">
        <f t="shared" si="1"/>
        <v>Vegetables</v>
      </c>
      <c r="D26" s="3" t="str">
        <f t="shared" si="2"/>
        <v>Yes</v>
      </c>
      <c r="E26" s="406"/>
      <c r="F26" s="441">
        <f t="shared" si="3"/>
        <v>6.8674823126044907E-2</v>
      </c>
      <c r="G26" s="400">
        <f t="shared" si="4"/>
        <v>4.5113215386121563E-2</v>
      </c>
      <c r="H26" s="401">
        <f t="shared" si="14"/>
        <v>1.1743398141267882E-4</v>
      </c>
      <c r="I26" s="401">
        <f t="shared" si="5"/>
        <v>0</v>
      </c>
      <c r="J26" s="401">
        <f t="shared" si="6"/>
        <v>7.3487454556137396E-5</v>
      </c>
      <c r="K26" s="453"/>
      <c r="L26" s="110">
        <f t="shared" si="7"/>
        <v>0.16007427446335099</v>
      </c>
      <c r="M26" s="54">
        <f t="shared" si="8"/>
        <v>1.3286164780458133E-3</v>
      </c>
      <c r="N26" s="463">
        <f t="shared" si="9"/>
        <v>4.7615693681868387E-4</v>
      </c>
      <c r="O26" s="400">
        <f t="shared" si="10"/>
        <v>3.4000000000000002E-2</v>
      </c>
      <c r="P26" s="136">
        <f t="shared" si="11"/>
        <v>3.569656320532727E-2</v>
      </c>
      <c r="Q26" s="48">
        <f>IF(D26="Yes",SUM(INDEX(Crop_data,MATCH(A26,Crop_data_codes,0),21):INDEX(Crop_data,MATCH(A26,Crop_data_codes,0),22):INDEX(Crop_data,MATCH(A26,Crop_data_codes,0),23):INDEX(Crop_data,MATCH(A26,Crop_data_codes,0),24):INDEX(Crop_data,MATCH(A26,Crop_data_codes,0),25))*(1/INDEX(Crop_data,MATCH(A26,Crop_data_codes,0),6)*10000)/(No_species/1000000),"")</f>
        <v>1.3048959718682008E-12</v>
      </c>
      <c r="R26" s="49">
        <f t="shared" si="12"/>
        <v>8.0772710921675755E-5</v>
      </c>
      <c r="S26" s="469">
        <f t="shared" si="13"/>
        <v>1.4438699556594259E-3</v>
      </c>
    </row>
    <row r="27" spans="1:19" ht="15" customHeight="1" x14ac:dyDescent="0.3">
      <c r="A27" s="40" t="s">
        <v>61</v>
      </c>
      <c r="B27" s="3" t="str">
        <f t="shared" si="0"/>
        <v>Cashew nuts, in shell</v>
      </c>
      <c r="C27" s="3" t="str">
        <f t="shared" si="1"/>
        <v>Nuts</v>
      </c>
      <c r="D27" s="3" t="str">
        <f t="shared" si="2"/>
        <v>No</v>
      </c>
      <c r="E27" s="6"/>
      <c r="F27" s="441" t="str">
        <f t="shared" si="3"/>
        <v/>
      </c>
      <c r="G27" s="400" t="str">
        <f t="shared" si="4"/>
        <v/>
      </c>
      <c r="H27" s="401" t="str">
        <f t="shared" si="14"/>
        <v/>
      </c>
      <c r="I27" s="401" t="str">
        <f t="shared" si="5"/>
        <v/>
      </c>
      <c r="J27" s="401" t="str">
        <f t="shared" si="6"/>
        <v/>
      </c>
      <c r="K27" s="6"/>
      <c r="L27" s="439"/>
      <c r="M27" s="464"/>
      <c r="N27" s="465"/>
      <c r="O27" s="466"/>
      <c r="P27" s="136" t="str">
        <f t="shared" si="11"/>
        <v/>
      </c>
      <c r="Q27" s="48" t="str">
        <f>IF(D27="Yes",SUM(INDEX(Crop_data,MATCH(A27,Crop_data_codes,0),21):INDEX(Crop_data,MATCH(A27,Crop_data_codes,0),22):INDEX(Crop_data,MATCH(A27,Crop_data_codes,0),23):INDEX(Crop_data,MATCH(A27,Crop_data_codes,0),24):INDEX(Crop_data,MATCH(A27,Crop_data_codes,0),25))*(1/INDEX(Crop_data,MATCH(A27,Crop_data_codes,0),6)*10000)/(No_species/1000000),"")</f>
        <v/>
      </c>
      <c r="R27" s="440"/>
      <c r="S27" s="469" t="str">
        <f t="shared" si="13"/>
        <v/>
      </c>
    </row>
    <row r="28" spans="1:19" ht="15" customHeight="1" x14ac:dyDescent="0.3">
      <c r="A28" s="40" t="s">
        <v>62</v>
      </c>
      <c r="B28" s="3" t="str">
        <f t="shared" si="0"/>
        <v>Cauliflowers</v>
      </c>
      <c r="C28" s="3" t="str">
        <f t="shared" si="1"/>
        <v>Vegetables</v>
      </c>
      <c r="D28" s="3" t="str">
        <f t="shared" si="2"/>
        <v>Yes</v>
      </c>
      <c r="E28" s="6">
        <v>60</v>
      </c>
      <c r="F28" s="441">
        <f t="shared" si="3"/>
        <v>0.27215527108746695</v>
      </c>
      <c r="G28" s="400">
        <f t="shared" si="4"/>
        <v>0.10493009129752927</v>
      </c>
      <c r="H28" s="401">
        <f t="shared" si="14"/>
        <v>1.7751871574482933E-4</v>
      </c>
      <c r="I28" s="401">
        <f t="shared" si="5"/>
        <v>0</v>
      </c>
      <c r="J28" s="401">
        <f t="shared" si="6"/>
        <v>5.931689452774424E-4</v>
      </c>
      <c r="K28" s="6"/>
      <c r="L28" s="110">
        <f t="shared" ref="L28:L59" si="15">IF(D28="Yes",1/INDEX(Crop_data,MATCH(A28,Crop_data_codes,0),6)*10000,"")</f>
        <v>0.65746219592373434</v>
      </c>
      <c r="M28" s="54">
        <f t="shared" ref="M28:M59" si="16">IF(D28="Yes",(INDEX(Crop_data,MATCH(A28,Crop_data_codes,0),7)+INDEX(Crop_data,MATCH(A28,Crop_data_codes,0),8))/INDEX(Crop_data,MATCH(A28,Crop_data_codes,0),6),"")</f>
        <v>1.4464168310322156E-2</v>
      </c>
      <c r="N28" s="402">
        <f t="shared" ref="N28:N59" si="17">IF(D28="Yes",INDEX(Crop_data,MATCH(A28,Crop_data_codes,0),10)/INDEX(Crop_data,MATCH(A28,Crop_data_codes,0),6),"")</f>
        <v>1.4059171597633137E-3</v>
      </c>
      <c r="O28" s="400">
        <f t="shared" ref="O28:O59" si="18">IF(D28="Yes",INDEX(Crop_data,MATCH(A28,Crop_data_codes,0),12)/INDEX(Crop_data,MATCH(A28,Crop_data_codes,0),6),"")</f>
        <v>3.4000000000000002E-2</v>
      </c>
      <c r="P28" s="136">
        <f t="shared" si="11"/>
        <v>0.10848126232741617</v>
      </c>
      <c r="Q28" s="48">
        <f>IF(D28="Yes",SUM(INDEX(Crop_data,MATCH(A28,Crop_data_codes,0),21):INDEX(Crop_data,MATCH(A28,Crop_data_codes,0),22):INDEX(Crop_data,MATCH(A28,Crop_data_codes,0),23):INDEX(Crop_data,MATCH(A28,Crop_data_codes,0),24):INDEX(Crop_data,MATCH(A28,Crop_data_codes,0),25))*(1/INDEX(Crop_data,MATCH(A28,Crop_data_codes,0),6)*10000)/(No_species/1000000),"")</f>
        <v>5.3595106021419042E-12</v>
      </c>
      <c r="R28" s="49">
        <f t="shared" ref="R28:R59" si="19">IF(D28="Yes",INDEX(Crop_data,MATCH(A28,Crop_data_codes,0),7)/INDEX(Crop_data,MATCH(A28,Crop_data_codes,0),6)*EF_NH3*N_to_NH3,"")</f>
        <v>8.7934336579244894E-4</v>
      </c>
      <c r="S28" s="469">
        <f t="shared" si="13"/>
        <v>1.6443129520052596E-2</v>
      </c>
    </row>
    <row r="29" spans="1:19" ht="15" customHeight="1" x14ac:dyDescent="0.3">
      <c r="A29" s="40" t="s">
        <v>63</v>
      </c>
      <c r="B29" s="3" t="str">
        <f t="shared" si="0"/>
        <v>Cauliflowers and broccoli, average</v>
      </c>
      <c r="C29" s="3" t="str">
        <f t="shared" si="1"/>
        <v>Vegetables</v>
      </c>
      <c r="D29" s="3" t="str">
        <f t="shared" si="2"/>
        <v>Yes</v>
      </c>
      <c r="E29" s="406"/>
      <c r="F29" s="441">
        <f t="shared" si="3"/>
        <v>0.30051533416340659</v>
      </c>
      <c r="G29" s="400">
        <f t="shared" si="4"/>
        <v>0.11714314571343912</v>
      </c>
      <c r="H29" s="401">
        <f t="shared" si="14"/>
        <v>1.8726561769180763E-4</v>
      </c>
      <c r="I29" s="401">
        <f t="shared" si="5"/>
        <v>0</v>
      </c>
      <c r="J29" s="401">
        <f t="shared" si="6"/>
        <v>6.5125154960714868E-4</v>
      </c>
      <c r="K29" s="403"/>
      <c r="L29" s="110">
        <f t="shared" si="15"/>
        <v>0.84167999326656007</v>
      </c>
      <c r="M29" s="54">
        <f t="shared" si="16"/>
        <v>1.6160255870717954E-2</v>
      </c>
      <c r="N29" s="402">
        <f t="shared" si="17"/>
        <v>1.8516959851864322E-3</v>
      </c>
      <c r="O29" s="400">
        <f t="shared" si="18"/>
        <v>3.4000000000000002E-2</v>
      </c>
      <c r="P29" s="136">
        <f t="shared" si="11"/>
        <v>0.13887719888898242</v>
      </c>
      <c r="Q29" s="48">
        <f>IF(D29="Yes",SUM(INDEX(Crop_data,MATCH(A29,Crop_data_codes,0),21):INDEX(Crop_data,MATCH(A29,Crop_data_codes,0),22):INDEX(Crop_data,MATCH(A29,Crop_data_codes,0),23):INDEX(Crop_data,MATCH(A29,Crop_data_codes,0),24):INDEX(Crop_data,MATCH(A29,Crop_data_codes,0),25))*(1/INDEX(Crop_data,MATCH(A29,Crop_data_codes,0),6)*10000)/(No_species/1000000),"")</f>
        <v>6.8612201210822636E-12</v>
      </c>
      <c r="R29" s="49">
        <f t="shared" si="19"/>
        <v>9.8245633516883522E-4</v>
      </c>
      <c r="S29" s="469">
        <f t="shared" si="13"/>
        <v>2.1050416631596666E-2</v>
      </c>
    </row>
    <row r="30" spans="1:19" ht="15" customHeight="1" x14ac:dyDescent="0.3">
      <c r="A30" s="40" t="s">
        <v>64</v>
      </c>
      <c r="B30" s="3" t="str">
        <f t="shared" si="0"/>
        <v>Cereals n.e.c.</v>
      </c>
      <c r="C30" s="3" t="str">
        <f t="shared" si="1"/>
        <v>Cereals</v>
      </c>
      <c r="D30" s="3" t="str">
        <f t="shared" si="2"/>
        <v>No</v>
      </c>
      <c r="E30" s="422"/>
      <c r="F30" s="441" t="str">
        <f t="shared" si="3"/>
        <v/>
      </c>
      <c r="G30" s="400" t="str">
        <f t="shared" si="4"/>
        <v/>
      </c>
      <c r="H30" s="401" t="str">
        <f t="shared" si="14"/>
        <v/>
      </c>
      <c r="I30" s="401" t="str">
        <f t="shared" si="5"/>
        <v/>
      </c>
      <c r="J30" s="401" t="str">
        <f t="shared" si="6"/>
        <v/>
      </c>
      <c r="K30" s="404"/>
      <c r="L30" s="110" t="str">
        <f t="shared" si="15"/>
        <v/>
      </c>
      <c r="M30" s="54" t="str">
        <f t="shared" si="16"/>
        <v/>
      </c>
      <c r="N30" s="402" t="str">
        <f t="shared" si="17"/>
        <v/>
      </c>
      <c r="O30" s="400" t="str">
        <f t="shared" si="18"/>
        <v/>
      </c>
      <c r="P30" s="136" t="str">
        <f t="shared" si="11"/>
        <v/>
      </c>
      <c r="Q30" s="48" t="str">
        <f>IF(D30="Yes",SUM(INDEX(Crop_data,MATCH(A30,Crop_data_codes,0),21):INDEX(Crop_data,MATCH(A30,Crop_data_codes,0),22):INDEX(Crop_data,MATCH(A30,Crop_data_codes,0),23):INDEX(Crop_data,MATCH(A30,Crop_data_codes,0),24):INDEX(Crop_data,MATCH(A30,Crop_data_codes,0),25))*(1/INDEX(Crop_data,MATCH(A30,Crop_data_codes,0),6)*10000)/(No_species/1000000),"")</f>
        <v/>
      </c>
      <c r="R30" s="49" t="str">
        <f t="shared" si="19"/>
        <v/>
      </c>
      <c r="S30" s="469" t="str">
        <f t="shared" si="13"/>
        <v/>
      </c>
    </row>
    <row r="31" spans="1:19" ht="15" customHeight="1" x14ac:dyDescent="0.3">
      <c r="A31" s="40" t="s">
        <v>65</v>
      </c>
      <c r="B31" s="3" t="str">
        <f t="shared" si="0"/>
        <v>Cherries</v>
      </c>
      <c r="C31" s="3" t="str">
        <f t="shared" si="1"/>
        <v>Berries</v>
      </c>
      <c r="D31" s="3" t="str">
        <f t="shared" si="2"/>
        <v>No</v>
      </c>
      <c r="E31" s="406"/>
      <c r="F31" s="441" t="str">
        <f t="shared" si="3"/>
        <v/>
      </c>
      <c r="G31" s="400" t="str">
        <f t="shared" si="4"/>
        <v/>
      </c>
      <c r="H31" s="401" t="str">
        <f t="shared" si="14"/>
        <v/>
      </c>
      <c r="I31" s="401" t="str">
        <f t="shared" si="5"/>
        <v/>
      </c>
      <c r="J31" s="401" t="str">
        <f t="shared" si="6"/>
        <v/>
      </c>
      <c r="K31" s="457"/>
      <c r="L31" s="110" t="str">
        <f t="shared" si="15"/>
        <v/>
      </c>
      <c r="M31" s="54" t="str">
        <f t="shared" si="16"/>
        <v/>
      </c>
      <c r="N31" s="402" t="str">
        <f t="shared" si="17"/>
        <v/>
      </c>
      <c r="O31" s="400" t="str">
        <f t="shared" si="18"/>
        <v/>
      </c>
      <c r="P31" s="136" t="str">
        <f t="shared" si="11"/>
        <v/>
      </c>
      <c r="Q31" s="48" t="str">
        <f>IF(D31="Yes",SUM(INDEX(Crop_data,MATCH(A31,Crop_data_codes,0),21):INDEX(Crop_data,MATCH(A31,Crop_data_codes,0),22):INDEX(Crop_data,MATCH(A31,Crop_data_codes,0),23):INDEX(Crop_data,MATCH(A31,Crop_data_codes,0),24):INDEX(Crop_data,MATCH(A31,Crop_data_codes,0),25))*(1/INDEX(Crop_data,MATCH(A31,Crop_data_codes,0),6)*10000)/(No_species/1000000),"")</f>
        <v/>
      </c>
      <c r="R31" s="49" t="str">
        <f t="shared" si="19"/>
        <v/>
      </c>
      <c r="S31" s="469" t="str">
        <f t="shared" si="13"/>
        <v/>
      </c>
    </row>
    <row r="32" spans="1:19" ht="15" customHeight="1" x14ac:dyDescent="0.3">
      <c r="A32" s="40" t="s">
        <v>66</v>
      </c>
      <c r="B32" s="3" t="str">
        <f t="shared" si="0"/>
        <v>Chestnuts, in shell</v>
      </c>
      <c r="C32" s="3" t="str">
        <f t="shared" si="1"/>
        <v>Nuts</v>
      </c>
      <c r="D32" s="3" t="str">
        <f t="shared" si="2"/>
        <v>No</v>
      </c>
      <c r="E32" s="406"/>
      <c r="F32" s="441" t="str">
        <f t="shared" si="3"/>
        <v/>
      </c>
      <c r="G32" s="400" t="str">
        <f t="shared" si="4"/>
        <v/>
      </c>
      <c r="H32" s="401" t="str">
        <f t="shared" si="14"/>
        <v/>
      </c>
      <c r="I32" s="401" t="str">
        <f t="shared" si="5"/>
        <v/>
      </c>
      <c r="J32" s="401" t="str">
        <f t="shared" si="6"/>
        <v/>
      </c>
      <c r="K32" s="403"/>
      <c r="L32" s="110" t="str">
        <f t="shared" si="15"/>
        <v/>
      </c>
      <c r="M32" s="54" t="str">
        <f t="shared" si="16"/>
        <v/>
      </c>
      <c r="N32" s="402" t="str">
        <f t="shared" si="17"/>
        <v/>
      </c>
      <c r="O32" s="400" t="str">
        <f t="shared" si="18"/>
        <v/>
      </c>
      <c r="P32" s="136" t="str">
        <f t="shared" si="11"/>
        <v/>
      </c>
      <c r="Q32" s="48" t="str">
        <f>IF(D32="Yes",SUM(INDEX(Crop_data,MATCH(A32,Crop_data_codes,0),21):INDEX(Crop_data,MATCH(A32,Crop_data_codes,0),22):INDEX(Crop_data,MATCH(A32,Crop_data_codes,0),23):INDEX(Crop_data,MATCH(A32,Crop_data_codes,0),24):INDEX(Crop_data,MATCH(A32,Crop_data_codes,0),25))*(1/INDEX(Crop_data,MATCH(A32,Crop_data_codes,0),6)*10000)/(No_species/1000000),"")</f>
        <v/>
      </c>
      <c r="R32" s="49" t="str">
        <f t="shared" si="19"/>
        <v/>
      </c>
      <c r="S32" s="469" t="str">
        <f t="shared" si="13"/>
        <v/>
      </c>
    </row>
    <row r="33" spans="1:19" ht="15" customHeight="1" x14ac:dyDescent="0.3">
      <c r="A33" s="40" t="s">
        <v>67</v>
      </c>
      <c r="B33" s="3" t="str">
        <f t="shared" si="0"/>
        <v>Chick peas, dry</v>
      </c>
      <c r="C33" s="3" t="str">
        <f t="shared" si="1"/>
        <v>Pulses</v>
      </c>
      <c r="D33" s="3" t="str">
        <f t="shared" si="2"/>
        <v>No</v>
      </c>
      <c r="E33" s="413"/>
      <c r="F33" s="441" t="str">
        <f t="shared" si="3"/>
        <v/>
      </c>
      <c r="G33" s="400" t="str">
        <f t="shared" si="4"/>
        <v/>
      </c>
      <c r="H33" s="401" t="str">
        <f t="shared" si="14"/>
        <v/>
      </c>
      <c r="I33" s="401" t="str">
        <f t="shared" si="5"/>
        <v/>
      </c>
      <c r="J33" s="401" t="str">
        <f t="shared" si="6"/>
        <v/>
      </c>
      <c r="K33" s="404"/>
      <c r="L33" s="110" t="str">
        <f t="shared" si="15"/>
        <v/>
      </c>
      <c r="M33" s="54" t="str">
        <f t="shared" si="16"/>
        <v/>
      </c>
      <c r="N33" s="402" t="str">
        <f t="shared" si="17"/>
        <v/>
      </c>
      <c r="O33" s="400" t="str">
        <f t="shared" si="18"/>
        <v/>
      </c>
      <c r="P33" s="136" t="str">
        <f t="shared" si="11"/>
        <v/>
      </c>
      <c r="Q33" s="48" t="str">
        <f>IF(D33="Yes",SUM(INDEX(Crop_data,MATCH(A33,Crop_data_codes,0),21):INDEX(Crop_data,MATCH(A33,Crop_data_codes,0),22):INDEX(Crop_data,MATCH(A33,Crop_data_codes,0),23):INDEX(Crop_data,MATCH(A33,Crop_data_codes,0),24):INDEX(Crop_data,MATCH(A33,Crop_data_codes,0),25))*(1/INDEX(Crop_data,MATCH(A33,Crop_data_codes,0),6)*10000)/(No_species/1000000),"")</f>
        <v/>
      </c>
      <c r="R33" s="49" t="str">
        <f t="shared" si="19"/>
        <v/>
      </c>
      <c r="S33" s="469" t="str">
        <f t="shared" si="13"/>
        <v/>
      </c>
    </row>
    <row r="34" spans="1:19" ht="15" customHeight="1" x14ac:dyDescent="0.3">
      <c r="A34" s="40" t="s">
        <v>68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3" t="str">
        <f t="shared" si="2"/>
        <v>No</v>
      </c>
      <c r="E34" s="413"/>
      <c r="F34" s="441" t="str">
        <f t="shared" si="3"/>
        <v/>
      </c>
      <c r="G34" s="400" t="str">
        <f t="shared" si="4"/>
        <v/>
      </c>
      <c r="H34" s="401" t="str">
        <f t="shared" si="14"/>
        <v/>
      </c>
      <c r="I34" s="401" t="str">
        <f t="shared" si="5"/>
        <v/>
      </c>
      <c r="J34" s="401" t="str">
        <f t="shared" si="6"/>
        <v/>
      </c>
      <c r="K34" s="404"/>
      <c r="L34" s="110" t="str">
        <f t="shared" si="15"/>
        <v/>
      </c>
      <c r="M34" s="54" t="str">
        <f t="shared" si="16"/>
        <v/>
      </c>
      <c r="N34" s="402" t="str">
        <f t="shared" si="17"/>
        <v/>
      </c>
      <c r="O34" s="400" t="str">
        <f t="shared" si="18"/>
        <v/>
      </c>
      <c r="P34" s="136" t="str">
        <f t="shared" si="11"/>
        <v/>
      </c>
      <c r="Q34" s="48" t="str">
        <f>IF(D34="Yes",SUM(INDEX(Crop_data,MATCH(A34,Crop_data_codes,0),21):INDEX(Crop_data,MATCH(A34,Crop_data_codes,0),22):INDEX(Crop_data,MATCH(A34,Crop_data_codes,0),23):INDEX(Crop_data,MATCH(A34,Crop_data_codes,0),24):INDEX(Crop_data,MATCH(A34,Crop_data_codes,0),25))*(1/INDEX(Crop_data,MATCH(A34,Crop_data_codes,0),6)*10000)/(No_species/1000000),"")</f>
        <v/>
      </c>
      <c r="R34" s="49" t="str">
        <f t="shared" si="19"/>
        <v/>
      </c>
      <c r="S34" s="469" t="str">
        <f t="shared" si="13"/>
        <v/>
      </c>
    </row>
    <row r="35" spans="1:19" ht="15" customHeight="1" x14ac:dyDescent="0.3">
      <c r="A35" s="40" t="s">
        <v>69</v>
      </c>
      <c r="B35" s="3" t="str">
        <f t="shared" si="0"/>
        <v>Cocoa beans</v>
      </c>
      <c r="C35" s="3" t="str">
        <f t="shared" si="1"/>
        <v>Stimulants</v>
      </c>
      <c r="D35" s="3" t="str">
        <f t="shared" si="2"/>
        <v>No</v>
      </c>
      <c r="E35" s="406"/>
      <c r="F35" s="441" t="str">
        <f t="shared" si="3"/>
        <v/>
      </c>
      <c r="G35" s="400" t="str">
        <f t="shared" si="4"/>
        <v/>
      </c>
      <c r="H35" s="401" t="str">
        <f t="shared" si="14"/>
        <v/>
      </c>
      <c r="I35" s="401" t="str">
        <f t="shared" si="5"/>
        <v/>
      </c>
      <c r="J35" s="401" t="str">
        <f t="shared" si="6"/>
        <v/>
      </c>
      <c r="K35" s="457"/>
      <c r="L35" s="110" t="str">
        <f t="shared" si="15"/>
        <v/>
      </c>
      <c r="M35" s="54" t="str">
        <f t="shared" si="16"/>
        <v/>
      </c>
      <c r="N35" s="402" t="str">
        <f t="shared" si="17"/>
        <v/>
      </c>
      <c r="O35" s="400" t="str">
        <f t="shared" si="18"/>
        <v/>
      </c>
      <c r="P35" s="136" t="str">
        <f t="shared" si="11"/>
        <v/>
      </c>
      <c r="Q35" s="48" t="str">
        <f>IF(D35="Yes",SUM(INDEX(Crop_data,MATCH(A35,Crop_data_codes,0),21):INDEX(Crop_data,MATCH(A35,Crop_data_codes,0),22):INDEX(Crop_data,MATCH(A35,Crop_data_codes,0),23):INDEX(Crop_data,MATCH(A35,Crop_data_codes,0),24):INDEX(Crop_data,MATCH(A35,Crop_data_codes,0),25))*(1/INDEX(Crop_data,MATCH(A35,Crop_data_codes,0),6)*10000)/(No_species/1000000),"")</f>
        <v/>
      </c>
      <c r="R35" s="49" t="str">
        <f t="shared" si="19"/>
        <v/>
      </c>
      <c r="S35" s="469" t="str">
        <f t="shared" si="13"/>
        <v/>
      </c>
    </row>
    <row r="36" spans="1:19" ht="15" customHeight="1" x14ac:dyDescent="0.3">
      <c r="A36" s="40" t="s">
        <v>70</v>
      </c>
      <c r="B36" s="3" t="str">
        <f t="shared" si="0"/>
        <v>Coconut, in shell</v>
      </c>
      <c r="C36" s="3" t="str">
        <f t="shared" si="1"/>
        <v>Nuts</v>
      </c>
      <c r="D36" s="3" t="str">
        <f t="shared" si="2"/>
        <v>No</v>
      </c>
      <c r="E36" s="6"/>
      <c r="F36" s="441" t="str">
        <f t="shared" si="3"/>
        <v/>
      </c>
      <c r="G36" s="400" t="str">
        <f t="shared" si="4"/>
        <v/>
      </c>
      <c r="H36" s="401" t="str">
        <f t="shared" si="14"/>
        <v/>
      </c>
      <c r="I36" s="401" t="str">
        <f t="shared" si="5"/>
        <v/>
      </c>
      <c r="J36" s="401" t="str">
        <f t="shared" si="6"/>
        <v/>
      </c>
      <c r="K36" s="6"/>
      <c r="L36" s="110" t="str">
        <f t="shared" si="15"/>
        <v/>
      </c>
      <c r="M36" s="54" t="str">
        <f t="shared" si="16"/>
        <v/>
      </c>
      <c r="N36" s="402" t="str">
        <f t="shared" si="17"/>
        <v/>
      </c>
      <c r="O36" s="400" t="str">
        <f t="shared" si="18"/>
        <v/>
      </c>
      <c r="P36" s="136" t="str">
        <f t="shared" si="11"/>
        <v/>
      </c>
      <c r="Q36" s="48" t="str">
        <f>IF(D36="Yes",SUM(INDEX(Crop_data,MATCH(A36,Crop_data_codes,0),21):INDEX(Crop_data,MATCH(A36,Crop_data_codes,0),22):INDEX(Crop_data,MATCH(A36,Crop_data_codes,0),23):INDEX(Crop_data,MATCH(A36,Crop_data_codes,0),24):INDEX(Crop_data,MATCH(A36,Crop_data_codes,0),25))*(1/INDEX(Crop_data,MATCH(A36,Crop_data_codes,0),6)*10000)/(No_species/1000000),"")</f>
        <v/>
      </c>
      <c r="R36" s="49" t="str">
        <f t="shared" si="19"/>
        <v/>
      </c>
      <c r="S36" s="469" t="str">
        <f t="shared" si="13"/>
        <v/>
      </c>
    </row>
    <row r="37" spans="1:19" ht="15" customHeight="1" x14ac:dyDescent="0.3">
      <c r="A37" s="40" t="s">
        <v>71</v>
      </c>
      <c r="B37" s="3" t="str">
        <f t="shared" si="0"/>
        <v>Coffee, green</v>
      </c>
      <c r="C37" s="3" t="str">
        <f t="shared" si="1"/>
        <v>Stimulants</v>
      </c>
      <c r="D37" s="3" t="str">
        <f t="shared" si="2"/>
        <v>No</v>
      </c>
      <c r="E37" s="6"/>
      <c r="F37" s="441" t="str">
        <f t="shared" si="3"/>
        <v/>
      </c>
      <c r="G37" s="400" t="str">
        <f t="shared" si="4"/>
        <v/>
      </c>
      <c r="H37" s="401" t="str">
        <f t="shared" si="14"/>
        <v/>
      </c>
      <c r="I37" s="401" t="str">
        <f t="shared" si="5"/>
        <v/>
      </c>
      <c r="J37" s="401" t="str">
        <f t="shared" si="6"/>
        <v/>
      </c>
      <c r="K37" s="6"/>
      <c r="L37" s="110" t="str">
        <f t="shared" si="15"/>
        <v/>
      </c>
      <c r="M37" s="54" t="str">
        <f t="shared" si="16"/>
        <v/>
      </c>
      <c r="N37" s="402" t="str">
        <f t="shared" si="17"/>
        <v/>
      </c>
      <c r="O37" s="400" t="str">
        <f t="shared" si="18"/>
        <v/>
      </c>
      <c r="P37" s="136" t="str">
        <f t="shared" si="11"/>
        <v/>
      </c>
      <c r="Q37" s="48" t="str">
        <f>IF(D37="Yes",SUM(INDEX(Crop_data,MATCH(A37,Crop_data_codes,0),21):INDEX(Crop_data,MATCH(A37,Crop_data_codes,0),22):INDEX(Crop_data,MATCH(A37,Crop_data_codes,0),23):INDEX(Crop_data,MATCH(A37,Crop_data_codes,0),24):INDEX(Crop_data,MATCH(A37,Crop_data_codes,0),25))*(1/INDEX(Crop_data,MATCH(A37,Crop_data_codes,0),6)*10000)/(No_species/1000000),"")</f>
        <v/>
      </c>
      <c r="R37" s="49" t="str">
        <f t="shared" si="19"/>
        <v/>
      </c>
      <c r="S37" s="469" t="str">
        <f t="shared" si="13"/>
        <v/>
      </c>
    </row>
    <row r="38" spans="1:19" ht="15" customHeight="1" x14ac:dyDescent="0.3">
      <c r="A38" s="40" t="s">
        <v>72</v>
      </c>
      <c r="B38" s="3" t="str">
        <f t="shared" ref="B38:B69" si="20">INDEX(Crop_data,MATCH(A38,Crop_data_codes,0),2)</f>
        <v>Cucumbers and gherkins, averrage</v>
      </c>
      <c r="C38" s="3" t="str">
        <f t="shared" ref="C38:C69" si="21">INDEX(Crop_data,MATCH(A38,Crop_data_codes,0),3)</f>
        <v>Vegetables</v>
      </c>
      <c r="D38" s="3" t="str">
        <f t="shared" ref="D38:D69" si="22">IF(INDEX(Crop_data,MATCH(A38,Crop_data_codes,0),6)&gt;0,"Yes","No")</f>
        <v>Yes</v>
      </c>
      <c r="E38" s="6"/>
      <c r="F38" s="441">
        <f t="shared" ref="F38:F69" si="23">IF(D38="Yes",INDEX(CO2e_data,MATCH(A38,CO2e_codes,0),1),"")</f>
        <v>0.53017466192305474</v>
      </c>
      <c r="G38" s="400">
        <f t="shared" ref="G38:G69" si="24">IF(D38="Yes",INDEX(CO2_data,MATCH(A38,CO2_codes,0),1),"")</f>
        <v>0.44994604847642733</v>
      </c>
      <c r="H38" s="401">
        <f t="shared" ref="H38:H69" si="25">IF(D38="Yes",INDEX(CH4_data,MATCH(A38,CH4_codes,0),1),"")</f>
        <v>1.4171750758135075E-3</v>
      </c>
      <c r="I38" s="401">
        <f t="shared" ref="I38:I69" si="26">IF(D38="Yes",INDEX(CH4_bio_data,MATCH(A38,CH4_bio_codes,0),1),"")</f>
        <v>0</v>
      </c>
      <c r="J38" s="401">
        <f t="shared" ref="J38:J69" si="27">IF(D38="Yes",INDEX(N2O_data,MATCH(A38,N2O_codes,0),1),"")</f>
        <v>1.3918240361679451E-4</v>
      </c>
      <c r="K38" s="6"/>
      <c r="L38" s="407">
        <f t="shared" si="15"/>
        <v>2.2826917409701851E-2</v>
      </c>
      <c r="M38" s="54">
        <f t="shared" si="16"/>
        <v>3.163478644163283E-3</v>
      </c>
      <c r="N38" s="402">
        <f t="shared" si="17"/>
        <v>1.5301904261836401E-3</v>
      </c>
      <c r="O38" s="400">
        <f t="shared" si="18"/>
        <v>4.0000000000000001E-3</v>
      </c>
      <c r="P38" s="400">
        <f t="shared" ref="P38:P69" si="28">IF(D38="Yes",INDEX(Crop_data,MATCH(A38,Crop_data_codes,0),13)/INDEX(Crop_data,MATCH(A38,Crop_data_codes,0),6)*1000,"")</f>
        <v>3.7664413726008054E-3</v>
      </c>
      <c r="Q38" s="48">
        <f>IF(D38="Yes",SUM(INDEX(Crop_data,MATCH(A38,Crop_data_codes,0),21):INDEX(Crop_data,MATCH(A38,Crop_data_codes,0),22):INDEX(Crop_data,MATCH(A38,Crop_data_codes,0),23):INDEX(Crop_data,MATCH(A38,Crop_data_codes,0),24):INDEX(Crop_data,MATCH(A38,Crop_data_codes,0),25))*(1/INDEX(Crop_data,MATCH(A38,Crop_data_codes,0),6)*10000)/(No_species/1000000),"")</f>
        <v>2.2610798642238282E-13</v>
      </c>
      <c r="R38" s="49">
        <f t="shared" si="19"/>
        <v>1.9232242731757288E-4</v>
      </c>
      <c r="S38" s="469">
        <f t="shared" ref="S38:S69" si="29">IF(D38="Yes",INDEX(Crop_data,MATCH(A38,Crop_data_codes,0),26)/INDEX(Crop_data,MATCH(A38,Crop_data_codes,0),6),"")</f>
        <v>1.7862713440237872E-3</v>
      </c>
    </row>
    <row r="39" spans="1:19" ht="15" customHeight="1" x14ac:dyDescent="0.3">
      <c r="A39" s="40" t="s">
        <v>73</v>
      </c>
      <c r="B39" s="3" t="str">
        <f t="shared" si="20"/>
        <v>Cucumbers and gherkins, greenhouse</v>
      </c>
      <c r="C39" s="3" t="str">
        <f t="shared" si="21"/>
        <v>Vegetables</v>
      </c>
      <c r="D39" s="3" t="str">
        <f t="shared" si="22"/>
        <v>Yes</v>
      </c>
      <c r="E39" s="6">
        <v>95</v>
      </c>
      <c r="F39" s="441">
        <f t="shared" si="23"/>
        <v>0.53272296745823555</v>
      </c>
      <c r="G39" s="400">
        <f t="shared" si="24"/>
        <v>0.45237422497936097</v>
      </c>
      <c r="H39" s="401">
        <f t="shared" si="25"/>
        <v>1.4240370039289249E-3</v>
      </c>
      <c r="I39" s="401">
        <f t="shared" si="26"/>
        <v>0</v>
      </c>
      <c r="J39" s="401">
        <f t="shared" si="27"/>
        <v>1.3887340572085188E-4</v>
      </c>
      <c r="K39" s="6"/>
      <c r="L39" s="110">
        <f t="shared" si="15"/>
        <v>2.1816626887683644E-2</v>
      </c>
      <c r="M39" s="54">
        <f t="shared" si="16"/>
        <v>3.166521513375774E-3</v>
      </c>
      <c r="N39" s="402">
        <f t="shared" si="17"/>
        <v>1.5352831580003751E-3</v>
      </c>
      <c r="O39" s="400">
        <f t="shared" si="18"/>
        <v>4.0000000000000001E-3</v>
      </c>
      <c r="P39" s="136">
        <f t="shared" si="28"/>
        <v>3.5997434364678006E-3</v>
      </c>
      <c r="Q39" s="48">
        <f>IF(D39="Yes",SUM(INDEX(Crop_data,MATCH(A39,Crop_data_codes,0),21):INDEX(Crop_data,MATCH(A39,Crop_data_codes,0),22):INDEX(Crop_data,MATCH(A39,Crop_data_codes,0),23):INDEX(Crop_data,MATCH(A39,Crop_data_codes,0),24):INDEX(Crop_data,MATCH(A39,Crop_data_codes,0),25))*(1/INDEX(Crop_data,MATCH(A39,Crop_data_codes,0),6)*10000)/(No_species/1000000),"")</f>
        <v>2.181141859364467E-13</v>
      </c>
      <c r="R39" s="49">
        <f t="shared" si="19"/>
        <v>1.9250741734241024E-4</v>
      </c>
      <c r="S39" s="469">
        <f t="shared" si="29"/>
        <v>1.761758071061117E-3</v>
      </c>
    </row>
    <row r="40" spans="1:19" ht="15" customHeight="1" x14ac:dyDescent="0.3">
      <c r="A40" s="40" t="s">
        <v>74</v>
      </c>
      <c r="B40" s="3" t="str">
        <f t="shared" si="20"/>
        <v>Cucumbers and gherkins, openfield</v>
      </c>
      <c r="C40" s="3" t="str">
        <f t="shared" si="21"/>
        <v>Vegetables</v>
      </c>
      <c r="D40" s="3" t="str">
        <f t="shared" si="22"/>
        <v>Yes</v>
      </c>
      <c r="E40" s="6">
        <v>5</v>
      </c>
      <c r="F40" s="441">
        <f t="shared" si="23"/>
        <v>0.10300230266614081</v>
      </c>
      <c r="G40" s="400">
        <f t="shared" si="24"/>
        <v>4.815859088541824E-2</v>
      </c>
      <c r="H40" s="401">
        <f t="shared" si="25"/>
        <v>1.1565648425146073E-4</v>
      </c>
      <c r="I40" s="401">
        <f t="shared" si="26"/>
        <v>0</v>
      </c>
      <c r="J40" s="401">
        <f t="shared" si="27"/>
        <v>1.8826794340669984E-4</v>
      </c>
      <c r="K40" s="453"/>
      <c r="L40" s="110">
        <f t="shared" si="15"/>
        <v>0.18999848001215988</v>
      </c>
      <c r="M40" s="54">
        <f t="shared" si="16"/>
        <v>2.6599787201702385E-3</v>
      </c>
      <c r="N40" s="402">
        <f t="shared" si="17"/>
        <v>6.8750219229015428E-4</v>
      </c>
      <c r="O40" s="400">
        <f t="shared" si="18"/>
        <v>4.0000000000000001E-3</v>
      </c>
      <c r="P40" s="136">
        <f t="shared" si="28"/>
        <v>3.134974920200638E-2</v>
      </c>
      <c r="Q40" s="48">
        <f>IF(D40="Yes",SUM(INDEX(Crop_data,MATCH(A40,Crop_data_codes,0),21):INDEX(Crop_data,MATCH(A40,Crop_data_codes,0),22):INDEX(Crop_data,MATCH(A40,Crop_data_codes,0),23):INDEX(Crop_data,MATCH(A40,Crop_data_codes,0),24):INDEX(Crop_data,MATCH(A40,Crop_data_codes,0),25))*(1/INDEX(Crop_data,MATCH(A40,Crop_data_codes,0),6)*10000)/(No_species/1000000),"")</f>
        <v>1.5488325782523627E-12</v>
      </c>
      <c r="R40" s="49">
        <f t="shared" si="19"/>
        <v>1.6171234947961495E-4</v>
      </c>
      <c r="S40" s="469">
        <f t="shared" si="29"/>
        <v>5.8424532603739169E-3</v>
      </c>
    </row>
    <row r="41" spans="1:19" ht="15" customHeight="1" x14ac:dyDescent="0.3">
      <c r="A41" s="40" t="s">
        <v>75</v>
      </c>
      <c r="B41" s="3" t="str">
        <f t="shared" si="20"/>
        <v>Currants</v>
      </c>
      <c r="C41" s="3" t="str">
        <f t="shared" si="21"/>
        <v>Berries</v>
      </c>
      <c r="D41" s="3" t="str">
        <f t="shared" si="22"/>
        <v>Yes</v>
      </c>
      <c r="E41" s="6"/>
      <c r="F41" s="441">
        <f t="shared" si="23"/>
        <v>0.36239626581191847</v>
      </c>
      <c r="G41" s="400">
        <f t="shared" si="24"/>
        <v>0.25328302895962623</v>
      </c>
      <c r="H41" s="401">
        <f t="shared" si="25"/>
        <v>2.1788893014772068E-4</v>
      </c>
      <c r="I41" s="401">
        <f t="shared" si="26"/>
        <v>0</v>
      </c>
      <c r="J41" s="401">
        <f t="shared" si="27"/>
        <v>3.7589797338421306E-4</v>
      </c>
      <c r="K41" s="6"/>
      <c r="L41" s="110">
        <f t="shared" si="15"/>
        <v>2.5</v>
      </c>
      <c r="M41" s="54">
        <f t="shared" si="16"/>
        <v>8.0000000000000002E-3</v>
      </c>
      <c r="N41" s="402">
        <f t="shared" si="17"/>
        <v>5.0000000000000001E-3</v>
      </c>
      <c r="O41" s="400">
        <f t="shared" si="18"/>
        <v>1.0092219999999999E-2</v>
      </c>
      <c r="P41" s="136">
        <f t="shared" si="28"/>
        <v>0.5625</v>
      </c>
      <c r="Q41" s="48">
        <f>IF(D41="Yes",SUM(INDEX(Crop_data,MATCH(A41,Crop_data_codes,0),21):INDEX(Crop_data,MATCH(A41,Crop_data_codes,0),22):INDEX(Crop_data,MATCH(A41,Crop_data_codes,0),23):INDEX(Crop_data,MATCH(A41,Crop_data_codes,0),24):INDEX(Crop_data,MATCH(A41,Crop_data_codes,0),25))*(1/INDEX(Crop_data,MATCH(A41,Crop_data_codes,0),6)*10000)/(No_species/1000000),"")</f>
        <v>2.0379539064644592E-11</v>
      </c>
      <c r="R41" s="49">
        <f t="shared" si="19"/>
        <v>4.8635682158920538E-4</v>
      </c>
      <c r="S41" s="469">
        <f t="shared" si="29"/>
        <v>0.1887875</v>
      </c>
    </row>
    <row r="42" spans="1:19" ht="15" customHeight="1" x14ac:dyDescent="0.3">
      <c r="A42" s="40" t="s">
        <v>76</v>
      </c>
      <c r="B42" s="3" t="str">
        <f t="shared" si="20"/>
        <v>Dates</v>
      </c>
      <c r="C42" s="3" t="str">
        <f t="shared" si="21"/>
        <v>Fruits</v>
      </c>
      <c r="D42" s="3" t="str">
        <f t="shared" si="22"/>
        <v>No</v>
      </c>
      <c r="E42" s="6"/>
      <c r="F42" s="441" t="str">
        <f t="shared" si="23"/>
        <v/>
      </c>
      <c r="G42" s="400" t="str">
        <f t="shared" si="24"/>
        <v/>
      </c>
      <c r="H42" s="401" t="str">
        <f t="shared" si="25"/>
        <v/>
      </c>
      <c r="I42" s="401" t="str">
        <f t="shared" si="26"/>
        <v/>
      </c>
      <c r="J42" s="401" t="str">
        <f t="shared" si="27"/>
        <v/>
      </c>
      <c r="K42" s="6"/>
      <c r="L42" s="110" t="str">
        <f t="shared" si="15"/>
        <v/>
      </c>
      <c r="M42" s="54" t="str">
        <f t="shared" si="16"/>
        <v/>
      </c>
      <c r="N42" s="402" t="str">
        <f t="shared" si="17"/>
        <v/>
      </c>
      <c r="O42" s="400" t="str">
        <f t="shared" si="18"/>
        <v/>
      </c>
      <c r="P42" s="136" t="str">
        <f t="shared" si="28"/>
        <v/>
      </c>
      <c r="Q42" s="48" t="str">
        <f>IF(D42="Yes",SUM(INDEX(Crop_data,MATCH(A42,Crop_data_codes,0),21):INDEX(Crop_data,MATCH(A42,Crop_data_codes,0),22):INDEX(Crop_data,MATCH(A42,Crop_data_codes,0),23):INDEX(Crop_data,MATCH(A42,Crop_data_codes,0),24):INDEX(Crop_data,MATCH(A42,Crop_data_codes,0),25))*(1/INDEX(Crop_data,MATCH(A42,Crop_data_codes,0),6)*10000)/(No_species/1000000),"")</f>
        <v/>
      </c>
      <c r="R42" s="49" t="str">
        <f t="shared" si="19"/>
        <v/>
      </c>
      <c r="S42" s="469" t="str">
        <f t="shared" si="29"/>
        <v/>
      </c>
    </row>
    <row r="43" spans="1:19" ht="15" customHeight="1" x14ac:dyDescent="0.3">
      <c r="A43" s="40" t="s">
        <v>77</v>
      </c>
      <c r="B43" s="3" t="str">
        <f t="shared" si="20"/>
        <v>Edible roots and tubers with high starch or inulin content, n.e.c., fresh</v>
      </c>
      <c r="C43" s="3" t="str">
        <f t="shared" si="21"/>
        <v>Roots</v>
      </c>
      <c r="D43" s="3" t="str">
        <f t="shared" si="22"/>
        <v>No</v>
      </c>
      <c r="E43" s="6"/>
      <c r="F43" s="441" t="str">
        <f t="shared" si="23"/>
        <v/>
      </c>
      <c r="G43" s="400" t="str">
        <f t="shared" si="24"/>
        <v/>
      </c>
      <c r="H43" s="401" t="str">
        <f t="shared" si="25"/>
        <v/>
      </c>
      <c r="I43" s="401" t="str">
        <f t="shared" si="26"/>
        <v/>
      </c>
      <c r="J43" s="401" t="str">
        <f t="shared" si="27"/>
        <v/>
      </c>
      <c r="K43" s="455"/>
      <c r="L43" s="110" t="str">
        <f t="shared" si="15"/>
        <v/>
      </c>
      <c r="M43" s="54" t="str">
        <f t="shared" si="16"/>
        <v/>
      </c>
      <c r="N43" s="402" t="str">
        <f t="shared" si="17"/>
        <v/>
      </c>
      <c r="O43" s="400" t="str">
        <f t="shared" si="18"/>
        <v/>
      </c>
      <c r="P43" s="136" t="str">
        <f t="shared" si="28"/>
        <v/>
      </c>
      <c r="Q43" s="48" t="str">
        <f>IF(D43="Yes",SUM(INDEX(Crop_data,MATCH(A43,Crop_data_codes,0),21):INDEX(Crop_data,MATCH(A43,Crop_data_codes,0),22):INDEX(Crop_data,MATCH(A43,Crop_data_codes,0),23):INDEX(Crop_data,MATCH(A43,Crop_data_codes,0),24):INDEX(Crop_data,MATCH(A43,Crop_data_codes,0),25))*(1/INDEX(Crop_data,MATCH(A43,Crop_data_codes,0),6)*10000)/(No_species/1000000),"")</f>
        <v/>
      </c>
      <c r="R43" s="49" t="str">
        <f t="shared" si="19"/>
        <v/>
      </c>
      <c r="S43" s="469" t="str">
        <f t="shared" si="29"/>
        <v/>
      </c>
    </row>
    <row r="44" spans="1:19" ht="15" customHeight="1" x14ac:dyDescent="0.3">
      <c r="A44" s="40" t="s">
        <v>78</v>
      </c>
      <c r="B44" s="3" t="str">
        <f t="shared" si="20"/>
        <v>Eggplants (aubergines)</v>
      </c>
      <c r="C44" s="3" t="str">
        <f t="shared" si="21"/>
        <v>Vegetables</v>
      </c>
      <c r="D44" s="3" t="str">
        <f t="shared" si="22"/>
        <v>No</v>
      </c>
      <c r="E44" s="6"/>
      <c r="F44" s="441" t="str">
        <f t="shared" si="23"/>
        <v/>
      </c>
      <c r="G44" s="400" t="str">
        <f t="shared" si="24"/>
        <v/>
      </c>
      <c r="H44" s="401" t="str">
        <f t="shared" si="25"/>
        <v/>
      </c>
      <c r="I44" s="401" t="str">
        <f t="shared" si="26"/>
        <v/>
      </c>
      <c r="J44" s="401" t="str">
        <f t="shared" si="27"/>
        <v/>
      </c>
      <c r="K44" s="6"/>
      <c r="L44" s="110" t="str">
        <f t="shared" si="15"/>
        <v/>
      </c>
      <c r="M44" s="54" t="str">
        <f t="shared" si="16"/>
        <v/>
      </c>
      <c r="N44" s="402" t="str">
        <f t="shared" si="17"/>
        <v/>
      </c>
      <c r="O44" s="400" t="str">
        <f t="shared" si="18"/>
        <v/>
      </c>
      <c r="P44" s="136" t="str">
        <f t="shared" si="28"/>
        <v/>
      </c>
      <c r="Q44" s="48" t="str">
        <f>IF(D44="Yes",SUM(INDEX(Crop_data,MATCH(A44,Crop_data_codes,0),21):INDEX(Crop_data,MATCH(A44,Crop_data_codes,0),22):INDEX(Crop_data,MATCH(A44,Crop_data_codes,0),23):INDEX(Crop_data,MATCH(A44,Crop_data_codes,0),24):INDEX(Crop_data,MATCH(A44,Crop_data_codes,0),25))*(1/INDEX(Crop_data,MATCH(A44,Crop_data_codes,0),6)*10000)/(No_species/1000000),"")</f>
        <v/>
      </c>
      <c r="R44" s="49" t="str">
        <f t="shared" si="19"/>
        <v/>
      </c>
      <c r="S44" s="469" t="str">
        <f t="shared" si="29"/>
        <v/>
      </c>
    </row>
    <row r="45" spans="1:19" ht="15" customHeight="1" x14ac:dyDescent="0.3">
      <c r="A45" s="40" t="s">
        <v>79</v>
      </c>
      <c r="B45" s="3" t="str">
        <f t="shared" si="20"/>
        <v>Figs</v>
      </c>
      <c r="C45" s="3" t="str">
        <f t="shared" si="21"/>
        <v>Fruits</v>
      </c>
      <c r="D45" s="3" t="str">
        <f t="shared" si="22"/>
        <v>No</v>
      </c>
      <c r="E45" s="6"/>
      <c r="F45" s="441" t="str">
        <f t="shared" si="23"/>
        <v/>
      </c>
      <c r="G45" s="400" t="str">
        <f t="shared" si="24"/>
        <v/>
      </c>
      <c r="H45" s="401" t="str">
        <f t="shared" si="25"/>
        <v/>
      </c>
      <c r="I45" s="401" t="str">
        <f t="shared" si="26"/>
        <v/>
      </c>
      <c r="J45" s="401" t="str">
        <f t="shared" si="27"/>
        <v/>
      </c>
      <c r="K45" s="455"/>
      <c r="L45" s="110" t="str">
        <f t="shared" si="15"/>
        <v/>
      </c>
      <c r="M45" s="54" t="str">
        <f t="shared" si="16"/>
        <v/>
      </c>
      <c r="N45" s="402" t="str">
        <f t="shared" si="17"/>
        <v/>
      </c>
      <c r="O45" s="400" t="str">
        <f t="shared" si="18"/>
        <v/>
      </c>
      <c r="P45" s="136" t="str">
        <f t="shared" si="28"/>
        <v/>
      </c>
      <c r="Q45" s="48" t="str">
        <f>IF(D45="Yes",SUM(INDEX(Crop_data,MATCH(A45,Crop_data_codes,0),21):INDEX(Crop_data,MATCH(A45,Crop_data_codes,0),22):INDEX(Crop_data,MATCH(A45,Crop_data_codes,0),23):INDEX(Crop_data,MATCH(A45,Crop_data_codes,0),24):INDEX(Crop_data,MATCH(A45,Crop_data_codes,0),25))*(1/INDEX(Crop_data,MATCH(A45,Crop_data_codes,0),6)*10000)/(No_species/1000000),"")</f>
        <v/>
      </c>
      <c r="R45" s="49" t="str">
        <f t="shared" si="19"/>
        <v/>
      </c>
      <c r="S45" s="469" t="str">
        <f t="shared" si="29"/>
        <v/>
      </c>
    </row>
    <row r="46" spans="1:19" ht="15" customHeight="1" x14ac:dyDescent="0.3">
      <c r="A46" s="40" t="s">
        <v>80</v>
      </c>
      <c r="B46" s="3" t="str">
        <f t="shared" si="20"/>
        <v>Gooseberries</v>
      </c>
      <c r="C46" s="3" t="str">
        <f t="shared" si="21"/>
        <v>Berries</v>
      </c>
      <c r="D46" s="3" t="str">
        <f t="shared" si="22"/>
        <v>No</v>
      </c>
      <c r="E46" s="6"/>
      <c r="F46" s="441" t="str">
        <f t="shared" si="23"/>
        <v/>
      </c>
      <c r="G46" s="400" t="str">
        <f t="shared" si="24"/>
        <v/>
      </c>
      <c r="H46" s="401" t="str">
        <f t="shared" si="25"/>
        <v/>
      </c>
      <c r="I46" s="401" t="str">
        <f t="shared" si="26"/>
        <v/>
      </c>
      <c r="J46" s="401" t="str">
        <f t="shared" si="27"/>
        <v/>
      </c>
      <c r="K46" s="455"/>
      <c r="L46" s="110" t="str">
        <f t="shared" si="15"/>
        <v/>
      </c>
      <c r="M46" s="54" t="str">
        <f t="shared" si="16"/>
        <v/>
      </c>
      <c r="N46" s="402" t="str">
        <f t="shared" si="17"/>
        <v/>
      </c>
      <c r="O46" s="400" t="str">
        <f t="shared" si="18"/>
        <v/>
      </c>
      <c r="P46" s="136" t="str">
        <f t="shared" si="28"/>
        <v/>
      </c>
      <c r="Q46" s="48" t="str">
        <f>IF(D46="Yes",SUM(INDEX(Crop_data,MATCH(A46,Crop_data_codes,0),21):INDEX(Crop_data,MATCH(A46,Crop_data_codes,0),22):INDEX(Crop_data,MATCH(A46,Crop_data_codes,0),23):INDEX(Crop_data,MATCH(A46,Crop_data_codes,0),24):INDEX(Crop_data,MATCH(A46,Crop_data_codes,0),25))*(1/INDEX(Crop_data,MATCH(A46,Crop_data_codes,0),6)*10000)/(No_species/1000000),"")</f>
        <v/>
      </c>
      <c r="R46" s="49" t="str">
        <f t="shared" si="19"/>
        <v/>
      </c>
      <c r="S46" s="469" t="str">
        <f t="shared" si="29"/>
        <v/>
      </c>
    </row>
    <row r="47" spans="1:19" ht="15" customHeight="1" x14ac:dyDescent="0.3">
      <c r="A47" s="40" t="s">
        <v>81</v>
      </c>
      <c r="B47" s="3" t="str">
        <f t="shared" si="20"/>
        <v>Grapes</v>
      </c>
      <c r="C47" s="3" t="str">
        <f t="shared" si="21"/>
        <v>Fruits</v>
      </c>
      <c r="D47" s="3" t="str">
        <f t="shared" si="22"/>
        <v>Yes</v>
      </c>
      <c r="E47" s="6"/>
      <c r="F47" s="441">
        <f t="shared" si="23"/>
        <v>0.9332567108027281</v>
      </c>
      <c r="G47" s="400">
        <f t="shared" si="24"/>
        <v>0.84756438595531514</v>
      </c>
      <c r="H47" s="401">
        <f t="shared" si="25"/>
        <v>4.9095830758866667E-4</v>
      </c>
      <c r="I47" s="401">
        <f t="shared" si="26"/>
        <v>0</v>
      </c>
      <c r="J47" s="401">
        <f t="shared" si="27"/>
        <v>2.6029951385080796E-4</v>
      </c>
      <c r="K47" s="6"/>
      <c r="L47" s="110">
        <f t="shared" si="15"/>
        <v>6.6181336863004629</v>
      </c>
      <c r="M47" s="54">
        <f t="shared" si="16"/>
        <v>4.1368935690109061E-3</v>
      </c>
      <c r="N47" s="402">
        <f t="shared" si="17"/>
        <v>1.7550457565500815E-3</v>
      </c>
      <c r="O47" s="400">
        <f t="shared" si="18"/>
        <v>8.4000000000000005E-2</v>
      </c>
      <c r="P47" s="136">
        <f t="shared" si="28"/>
        <v>4.0304434149569817</v>
      </c>
      <c r="Q47" s="48">
        <f>IF(D47="Yes",SUM(INDEX(Crop_data,MATCH(A47,Crop_data_codes,0),21):INDEX(Crop_data,MATCH(A47,Crop_data_codes,0),22):INDEX(Crop_data,MATCH(A47,Crop_data_codes,0),23):INDEX(Crop_data,MATCH(A47,Crop_data_codes,0),24):INDEX(Crop_data,MATCH(A47,Crop_data_codes,0),25))*(1/INDEX(Crop_data,MATCH(A47,Crop_data_codes,0),6)*10000)/(No_species/1000000),"")</f>
        <v>5.3949805598000235E-11</v>
      </c>
      <c r="R47" s="49">
        <f t="shared" si="19"/>
        <v>2.5150080093462102E-4</v>
      </c>
      <c r="S47" s="469">
        <f t="shared" si="29"/>
        <v>0.22031767041694242</v>
      </c>
    </row>
    <row r="48" spans="1:19" ht="15" customHeight="1" x14ac:dyDescent="0.3">
      <c r="A48" s="40" t="s">
        <v>82</v>
      </c>
      <c r="B48" s="3" t="str">
        <f t="shared" si="20"/>
        <v>Green corn (maize)</v>
      </c>
      <c r="C48" s="3" t="str">
        <f t="shared" si="21"/>
        <v>Vegetables</v>
      </c>
      <c r="D48" s="3" t="str">
        <f t="shared" si="22"/>
        <v>No</v>
      </c>
      <c r="E48" s="6"/>
      <c r="F48" s="441" t="str">
        <f t="shared" si="23"/>
        <v/>
      </c>
      <c r="G48" s="400" t="str">
        <f t="shared" si="24"/>
        <v/>
      </c>
      <c r="H48" s="401" t="str">
        <f t="shared" si="25"/>
        <v/>
      </c>
      <c r="I48" s="401" t="str">
        <f t="shared" si="26"/>
        <v/>
      </c>
      <c r="J48" s="401" t="str">
        <f t="shared" si="27"/>
        <v/>
      </c>
      <c r="K48" s="6"/>
      <c r="L48" s="110" t="str">
        <f t="shared" si="15"/>
        <v/>
      </c>
      <c r="M48" s="54" t="str">
        <f t="shared" si="16"/>
        <v/>
      </c>
      <c r="N48" s="402" t="str">
        <f t="shared" si="17"/>
        <v/>
      </c>
      <c r="O48" s="400" t="str">
        <f t="shared" si="18"/>
        <v/>
      </c>
      <c r="P48" s="136" t="str">
        <f t="shared" si="28"/>
        <v/>
      </c>
      <c r="Q48" s="48" t="str">
        <f>IF(D48="Yes",SUM(INDEX(Crop_data,MATCH(A48,Crop_data_codes,0),21):INDEX(Crop_data,MATCH(A48,Crop_data_codes,0),22):INDEX(Crop_data,MATCH(A48,Crop_data_codes,0),23):INDEX(Crop_data,MATCH(A48,Crop_data_codes,0),24):INDEX(Crop_data,MATCH(A48,Crop_data_codes,0),25))*(1/INDEX(Crop_data,MATCH(A48,Crop_data_codes,0),6)*10000)/(No_species/1000000),"")</f>
        <v/>
      </c>
      <c r="R48" s="49" t="str">
        <f t="shared" si="19"/>
        <v/>
      </c>
      <c r="S48" s="469" t="str">
        <f t="shared" si="29"/>
        <v/>
      </c>
    </row>
    <row r="49" spans="1:19" ht="15" customHeight="1" x14ac:dyDescent="0.3">
      <c r="A49" s="40" t="s">
        <v>83</v>
      </c>
      <c r="B49" s="3" t="str">
        <f t="shared" si="20"/>
        <v>Green garlic</v>
      </c>
      <c r="C49" s="3" t="str">
        <f t="shared" si="21"/>
        <v>Vegetables</v>
      </c>
      <c r="D49" s="3" t="str">
        <f t="shared" si="22"/>
        <v>Yes</v>
      </c>
      <c r="E49" s="413"/>
      <c r="F49" s="441">
        <f t="shared" si="23"/>
        <v>0.19074324760767261</v>
      </c>
      <c r="G49" s="400">
        <f t="shared" si="24"/>
        <v>0.14802042285789468</v>
      </c>
      <c r="H49" s="401">
        <f t="shared" si="25"/>
        <v>1.6765362988145673E-4</v>
      </c>
      <c r="I49" s="401">
        <f t="shared" si="26"/>
        <v>0</v>
      </c>
      <c r="J49" s="401">
        <f t="shared" si="27"/>
        <v>1.3819321091322533E-4</v>
      </c>
      <c r="K49" s="404"/>
      <c r="L49" s="110">
        <f t="shared" si="15"/>
        <v>2.7586206896551726</v>
      </c>
      <c r="M49" s="54">
        <f t="shared" si="16"/>
        <v>3.1413612565445027E-3</v>
      </c>
      <c r="N49" s="402">
        <f t="shared" si="17"/>
        <v>9.5986038394415359E-4</v>
      </c>
      <c r="O49" s="400">
        <f t="shared" si="18"/>
        <v>3.4000000000000002E-2</v>
      </c>
      <c r="P49" s="136">
        <f t="shared" si="28"/>
        <v>0.45517241379310341</v>
      </c>
      <c r="Q49" s="48">
        <f>IF(D49="Yes",SUM(INDEX(Crop_data,MATCH(A49,Crop_data_codes,0),21):INDEX(Crop_data,MATCH(A49,Crop_data_codes,0),22):INDEX(Crop_data,MATCH(A49,Crop_data_codes,0),23):INDEX(Crop_data,MATCH(A49,Crop_data_codes,0),24):INDEX(Crop_data,MATCH(A49,Crop_data_codes,0),25))*(1/INDEX(Crop_data,MATCH(A49,Crop_data_codes,0),6)*10000)/(No_species/1000000),"")</f>
        <v>2.2487767243745755E-11</v>
      </c>
      <c r="R49" s="49">
        <f t="shared" si="19"/>
        <v>1.9097780952455709E-4</v>
      </c>
      <c r="S49" s="469">
        <f t="shared" si="29"/>
        <v>4.8634482758620694E-2</v>
      </c>
    </row>
    <row r="50" spans="1:19" ht="15" customHeight="1" x14ac:dyDescent="0.3">
      <c r="A50" s="40" t="s">
        <v>84</v>
      </c>
      <c r="B50" s="3" t="str">
        <f t="shared" si="20"/>
        <v>Groundnuts, excluding shelled</v>
      </c>
      <c r="C50" s="3" t="str">
        <f t="shared" si="21"/>
        <v>Nuts</v>
      </c>
      <c r="D50" s="3" t="str">
        <f t="shared" si="22"/>
        <v>No</v>
      </c>
      <c r="E50" s="6"/>
      <c r="F50" s="441" t="str">
        <f t="shared" si="23"/>
        <v/>
      </c>
      <c r="G50" s="400" t="str">
        <f t="shared" si="24"/>
        <v/>
      </c>
      <c r="H50" s="401" t="str">
        <f t="shared" si="25"/>
        <v/>
      </c>
      <c r="I50" s="401" t="str">
        <f t="shared" si="26"/>
        <v/>
      </c>
      <c r="J50" s="401" t="str">
        <f t="shared" si="27"/>
        <v/>
      </c>
      <c r="K50" s="6"/>
      <c r="L50" s="1" t="str">
        <f t="shared" si="15"/>
        <v/>
      </c>
      <c r="M50" s="54" t="str">
        <f t="shared" si="16"/>
        <v/>
      </c>
      <c r="N50" s="402" t="str">
        <f t="shared" si="17"/>
        <v/>
      </c>
      <c r="O50" s="136" t="str">
        <f t="shared" si="18"/>
        <v/>
      </c>
      <c r="P50" s="136" t="str">
        <f t="shared" si="28"/>
        <v/>
      </c>
      <c r="Q50" s="48" t="str">
        <f>IF(D50="Yes",SUM(INDEX(Crop_data,MATCH(A50,Crop_data_codes,0),21):INDEX(Crop_data,MATCH(A50,Crop_data_codes,0),22):INDEX(Crop_data,MATCH(A50,Crop_data_codes,0),23):INDEX(Crop_data,MATCH(A50,Crop_data_codes,0),24):INDEX(Crop_data,MATCH(A50,Crop_data_codes,0),25))*(1/INDEX(Crop_data,MATCH(A50,Crop_data_codes,0),6)*10000)/(No_species/1000000),"")</f>
        <v/>
      </c>
      <c r="R50" s="49" t="str">
        <f t="shared" si="19"/>
        <v/>
      </c>
      <c r="S50" s="469" t="str">
        <f t="shared" si="29"/>
        <v/>
      </c>
    </row>
    <row r="51" spans="1:19" ht="15" customHeight="1" x14ac:dyDescent="0.3">
      <c r="A51" s="40" t="s">
        <v>85</v>
      </c>
      <c r="B51" s="3" t="str">
        <f t="shared" si="20"/>
        <v>Hazelnuts, in shell</v>
      </c>
      <c r="C51" s="3" t="str">
        <f t="shared" si="21"/>
        <v>Nuts</v>
      </c>
      <c r="D51" s="3" t="str">
        <f t="shared" si="22"/>
        <v>No</v>
      </c>
      <c r="E51" s="6"/>
      <c r="F51" s="441" t="str">
        <f t="shared" si="23"/>
        <v/>
      </c>
      <c r="G51" s="400" t="str">
        <f t="shared" si="24"/>
        <v/>
      </c>
      <c r="H51" s="401" t="str">
        <f t="shared" si="25"/>
        <v/>
      </c>
      <c r="I51" s="401" t="str">
        <f t="shared" si="26"/>
        <v/>
      </c>
      <c r="J51" s="401" t="str">
        <f t="shared" si="27"/>
        <v/>
      </c>
      <c r="K51" s="6"/>
      <c r="L51" s="110" t="str">
        <f t="shared" si="15"/>
        <v/>
      </c>
      <c r="M51" s="54" t="str">
        <f t="shared" si="16"/>
        <v/>
      </c>
      <c r="N51" s="402" t="str">
        <f t="shared" si="17"/>
        <v/>
      </c>
      <c r="O51" s="400" t="str">
        <f t="shared" si="18"/>
        <v/>
      </c>
      <c r="P51" s="136" t="str">
        <f t="shared" si="28"/>
        <v/>
      </c>
      <c r="Q51" s="48" t="str">
        <f>IF(D51="Yes",SUM(INDEX(Crop_data,MATCH(A51,Crop_data_codes,0),21):INDEX(Crop_data,MATCH(A51,Crop_data_codes,0),22):INDEX(Crop_data,MATCH(A51,Crop_data_codes,0),23):INDEX(Crop_data,MATCH(A51,Crop_data_codes,0),24):INDEX(Crop_data,MATCH(A51,Crop_data_codes,0),25))*(1/INDEX(Crop_data,MATCH(A51,Crop_data_codes,0),6)*10000)/(No_species/1000000),"")</f>
        <v/>
      </c>
      <c r="R51" s="49" t="str">
        <f t="shared" si="19"/>
        <v/>
      </c>
      <c r="S51" s="469" t="str">
        <f t="shared" si="29"/>
        <v/>
      </c>
    </row>
    <row r="52" spans="1:19" ht="15" customHeight="1" x14ac:dyDescent="0.3">
      <c r="A52" s="40" t="s">
        <v>86</v>
      </c>
      <c r="B52" s="3" t="str">
        <f t="shared" si="20"/>
        <v>Kiwi fruit</v>
      </c>
      <c r="C52" s="3" t="str">
        <f t="shared" si="21"/>
        <v>Fruits</v>
      </c>
      <c r="D52" s="3" t="str">
        <f t="shared" si="22"/>
        <v>No</v>
      </c>
      <c r="E52" s="6"/>
      <c r="F52" s="441" t="str">
        <f t="shared" si="23"/>
        <v/>
      </c>
      <c r="G52" s="400" t="str">
        <f t="shared" si="24"/>
        <v/>
      </c>
      <c r="H52" s="401" t="str">
        <f t="shared" si="25"/>
        <v/>
      </c>
      <c r="I52" s="401" t="str">
        <f t="shared" si="26"/>
        <v/>
      </c>
      <c r="J52" s="401" t="str">
        <f t="shared" si="27"/>
        <v/>
      </c>
      <c r="K52" s="456"/>
      <c r="L52" s="110" t="str">
        <f t="shared" si="15"/>
        <v/>
      </c>
      <c r="M52" s="54" t="str">
        <f t="shared" si="16"/>
        <v/>
      </c>
      <c r="N52" s="402" t="str">
        <f t="shared" si="17"/>
        <v/>
      </c>
      <c r="O52" s="400" t="str">
        <f t="shared" si="18"/>
        <v/>
      </c>
      <c r="P52" s="136" t="str">
        <f t="shared" si="28"/>
        <v/>
      </c>
      <c r="Q52" s="48" t="str">
        <f>IF(D52="Yes",SUM(INDEX(Crop_data,MATCH(A52,Crop_data_codes,0),21):INDEX(Crop_data,MATCH(A52,Crop_data_codes,0),22):INDEX(Crop_data,MATCH(A52,Crop_data_codes,0),23):INDEX(Crop_data,MATCH(A52,Crop_data_codes,0),24):INDEX(Crop_data,MATCH(A52,Crop_data_codes,0),25))*(1/INDEX(Crop_data,MATCH(A52,Crop_data_codes,0),6)*10000)/(No_species/1000000),"")</f>
        <v/>
      </c>
      <c r="R52" s="49" t="str">
        <f t="shared" si="19"/>
        <v/>
      </c>
      <c r="S52" s="469" t="str">
        <f t="shared" si="29"/>
        <v/>
      </c>
    </row>
    <row r="53" spans="1:19" ht="15" customHeight="1" x14ac:dyDescent="0.3">
      <c r="A53" s="40" t="s">
        <v>87</v>
      </c>
      <c r="B53" s="3" t="str">
        <f t="shared" si="20"/>
        <v>Leeks and other alliaceous vegetables</v>
      </c>
      <c r="C53" s="3" t="str">
        <f t="shared" si="21"/>
        <v>Vegetables</v>
      </c>
      <c r="D53" s="3" t="str">
        <f t="shared" si="22"/>
        <v>Yes</v>
      </c>
      <c r="E53" s="422"/>
      <c r="F53" s="441">
        <f t="shared" si="23"/>
        <v>0.15373786989267588</v>
      </c>
      <c r="G53" s="400">
        <f t="shared" si="24"/>
        <v>7.1361363244483847E-2</v>
      </c>
      <c r="H53" s="401">
        <f t="shared" si="25"/>
        <v>1.4490588497552043E-4</v>
      </c>
      <c r="I53" s="401">
        <f t="shared" si="26"/>
        <v>0</v>
      </c>
      <c r="J53" s="401">
        <f t="shared" si="27"/>
        <v>2.8592788013158063E-4</v>
      </c>
      <c r="K53" s="404"/>
      <c r="L53" s="1">
        <f t="shared" si="15"/>
        <v>0.34205692511347735</v>
      </c>
      <c r="M53" s="54">
        <f t="shared" si="16"/>
        <v>7.5252266119377456E-3</v>
      </c>
      <c r="N53" s="402">
        <f t="shared" si="17"/>
        <v>1.5050453223875492E-3</v>
      </c>
      <c r="O53" s="400">
        <f t="shared" si="18"/>
        <v>3.4000000000000002E-2</v>
      </c>
      <c r="P53" s="136">
        <f t="shared" si="28"/>
        <v>5.643939264372376E-2</v>
      </c>
      <c r="Q53" s="48">
        <f>IF(D53="Yes",SUM(INDEX(Crop_data,MATCH(A53,Crop_data_codes,0),21):INDEX(Crop_data,MATCH(A53,Crop_data_codes,0),22):INDEX(Crop_data,MATCH(A53,Crop_data_codes,0),23):INDEX(Crop_data,MATCH(A53,Crop_data_codes,0),24):INDEX(Crop_data,MATCH(A53,Crop_data_codes,0),25))*(1/INDEX(Crop_data,MATCH(A53,Crop_data_codes,0),6)*10000)/(No_species/1000000),"")</f>
        <v>2.7883849870729288E-12</v>
      </c>
      <c r="R53" s="49">
        <f t="shared" si="19"/>
        <v>4.5749316209006832E-4</v>
      </c>
      <c r="S53" s="469">
        <f t="shared" si="29"/>
        <v>2.2789542635685431E-2</v>
      </c>
    </row>
    <row r="54" spans="1:19" ht="15" customHeight="1" x14ac:dyDescent="0.3">
      <c r="A54" s="40" t="s">
        <v>88</v>
      </c>
      <c r="B54" s="3" t="str">
        <f t="shared" si="20"/>
        <v>Lemons and limes</v>
      </c>
      <c r="C54" s="3" t="str">
        <f t="shared" si="21"/>
        <v>Fruits</v>
      </c>
      <c r="D54" s="3" t="str">
        <f t="shared" si="22"/>
        <v>No</v>
      </c>
      <c r="E54" s="421"/>
      <c r="F54" s="441" t="str">
        <f t="shared" si="23"/>
        <v/>
      </c>
      <c r="G54" s="400" t="str">
        <f t="shared" si="24"/>
        <v/>
      </c>
      <c r="H54" s="401" t="str">
        <f t="shared" si="25"/>
        <v/>
      </c>
      <c r="I54" s="401" t="str">
        <f t="shared" si="26"/>
        <v/>
      </c>
      <c r="J54" s="401" t="str">
        <f t="shared" si="27"/>
        <v/>
      </c>
      <c r="K54" s="6"/>
      <c r="L54" s="1" t="str">
        <f t="shared" si="15"/>
        <v/>
      </c>
      <c r="M54" s="54" t="str">
        <f t="shared" si="16"/>
        <v/>
      </c>
      <c r="N54" s="402" t="str">
        <f t="shared" si="17"/>
        <v/>
      </c>
      <c r="O54" s="400" t="str">
        <f t="shared" si="18"/>
        <v/>
      </c>
      <c r="P54" s="136" t="str">
        <f t="shared" si="28"/>
        <v/>
      </c>
      <c r="Q54" s="48" t="str">
        <f>IF(D54="Yes",SUM(INDEX(Crop_data,MATCH(A54,Crop_data_codes,0),21):INDEX(Crop_data,MATCH(A54,Crop_data_codes,0),22):INDEX(Crop_data,MATCH(A54,Crop_data_codes,0),23):INDEX(Crop_data,MATCH(A54,Crop_data_codes,0),24):INDEX(Crop_data,MATCH(A54,Crop_data_codes,0),25))*(1/INDEX(Crop_data,MATCH(A54,Crop_data_codes,0),6)*10000)/(No_species/1000000),"")</f>
        <v/>
      </c>
      <c r="R54" s="49" t="str">
        <f t="shared" si="19"/>
        <v/>
      </c>
      <c r="S54" s="469" t="str">
        <f t="shared" si="29"/>
        <v/>
      </c>
    </row>
    <row r="55" spans="1:19" ht="15" customHeight="1" x14ac:dyDescent="0.3">
      <c r="A55" s="40" t="s">
        <v>89</v>
      </c>
      <c r="B55" s="3" t="str">
        <f t="shared" si="20"/>
        <v>Lentils, dry</v>
      </c>
      <c r="C55" s="3" t="str">
        <f t="shared" si="21"/>
        <v>Pulses</v>
      </c>
      <c r="D55" s="3" t="str">
        <f t="shared" si="22"/>
        <v>Yes</v>
      </c>
      <c r="E55" s="406"/>
      <c r="F55" s="441">
        <f t="shared" si="23"/>
        <v>0.35967775435335247</v>
      </c>
      <c r="G55" s="400">
        <f t="shared" si="24"/>
        <v>0.29644956383498938</v>
      </c>
      <c r="H55" s="401">
        <f t="shared" si="25"/>
        <v>2.136717264597855E-4</v>
      </c>
      <c r="I55" s="401">
        <f t="shared" si="26"/>
        <v>0</v>
      </c>
      <c r="J55" s="401">
        <f t="shared" si="27"/>
        <v>2.0828122003612264E-4</v>
      </c>
      <c r="K55" s="457"/>
      <c r="L55" s="110">
        <f t="shared" si="15"/>
        <v>11.111111111111111</v>
      </c>
      <c r="M55" s="54">
        <f t="shared" si="16"/>
        <v>7.0000000000000007E-2</v>
      </c>
      <c r="N55" s="402">
        <f t="shared" si="17"/>
        <v>0</v>
      </c>
      <c r="O55" s="400">
        <f t="shared" si="18"/>
        <v>1E-3</v>
      </c>
      <c r="P55" s="136">
        <f t="shared" si="28"/>
        <v>0</v>
      </c>
      <c r="Q55" s="48">
        <f>IF(D55="Yes",SUM(INDEX(Crop_data,MATCH(A55,Crop_data_codes,0),21):INDEX(Crop_data,MATCH(A55,Crop_data_codes,0),22):INDEX(Crop_data,MATCH(A55,Crop_data_codes,0),23):INDEX(Crop_data,MATCH(A55,Crop_data_codes,0),24):INDEX(Crop_data,MATCH(A55,Crop_data_codes,0),25))*(1/INDEX(Crop_data,MATCH(A55,Crop_data_codes,0),6)*10000)/(No_species/1000000),"")</f>
        <v>9.0575729176198177E-11</v>
      </c>
      <c r="R55" s="49">
        <f t="shared" si="19"/>
        <v>0</v>
      </c>
      <c r="S55" s="469">
        <f t="shared" si="29"/>
        <v>1.5266666666666666E-2</v>
      </c>
    </row>
    <row r="56" spans="1:19" ht="15" customHeight="1" x14ac:dyDescent="0.3">
      <c r="A56" s="40" t="s">
        <v>90</v>
      </c>
      <c r="B56" s="3" t="str">
        <f t="shared" si="20"/>
        <v>Lettuce and chicory</v>
      </c>
      <c r="C56" s="3" t="str">
        <f t="shared" si="21"/>
        <v>Vegetables</v>
      </c>
      <c r="D56" s="3" t="str">
        <f t="shared" si="22"/>
        <v>Yes</v>
      </c>
      <c r="E56" s="413"/>
      <c r="F56" s="441">
        <f t="shared" si="23"/>
        <v>0.17213755271155073</v>
      </c>
      <c r="G56" s="400">
        <f t="shared" si="24"/>
        <v>7.9400632054893852E-2</v>
      </c>
      <c r="H56" s="401">
        <f t="shared" si="25"/>
        <v>1.4609966133989215E-4</v>
      </c>
      <c r="I56" s="401">
        <f t="shared" si="26"/>
        <v>0</v>
      </c>
      <c r="J56" s="401">
        <f t="shared" si="27"/>
        <v>3.2374780494039601E-4</v>
      </c>
      <c r="K56" s="404"/>
      <c r="L56" s="110">
        <f t="shared" si="15"/>
        <v>0.63456447301958774</v>
      </c>
      <c r="M56" s="54">
        <f t="shared" si="16"/>
        <v>6.5994035154514881E-3</v>
      </c>
      <c r="N56" s="402">
        <f t="shared" si="17"/>
        <v>1.332571863696935E-3</v>
      </c>
      <c r="O56" s="400">
        <f t="shared" si="18"/>
        <v>3.4000000000000002E-2</v>
      </c>
      <c r="P56" s="136">
        <f t="shared" si="28"/>
        <v>0.10470313804823198</v>
      </c>
      <c r="Q56" s="48">
        <f>IF(D56="Yes",SUM(INDEX(Crop_data,MATCH(A56,Crop_data_codes,0),21):INDEX(Crop_data,MATCH(A56,Crop_data_codes,0),22):INDEX(Crop_data,MATCH(A56,Crop_data_codes,0),23):INDEX(Crop_data,MATCH(A56,Crop_data_codes,0),24):INDEX(Crop_data,MATCH(A56,Crop_data_codes,0),25))*(1/INDEX(Crop_data,MATCH(A56,Crop_data_codes,0),6)*10000)/(No_species/1000000),"")</f>
        <v>5.1728525867753195E-12</v>
      </c>
      <c r="R56" s="49">
        <f t="shared" si="19"/>
        <v>4.0120811476995175E-4</v>
      </c>
      <c r="S56" s="469">
        <f t="shared" si="29"/>
        <v>1.5610286036281859E-2</v>
      </c>
    </row>
    <row r="57" spans="1:19" ht="15" customHeight="1" x14ac:dyDescent="0.3">
      <c r="A57" s="40" t="s">
        <v>91</v>
      </c>
      <c r="B57" s="3" t="str">
        <f t="shared" si="20"/>
        <v>Linseed</v>
      </c>
      <c r="C57" s="3" t="str">
        <f t="shared" si="21"/>
        <v>Seeds</v>
      </c>
      <c r="D57" s="3" t="str">
        <f t="shared" si="22"/>
        <v>Yes</v>
      </c>
      <c r="E57" s="6"/>
      <c r="F57" s="441">
        <f t="shared" si="23"/>
        <v>0.70872236989949422</v>
      </c>
      <c r="G57" s="400">
        <f t="shared" si="24"/>
        <v>0.31342791527658553</v>
      </c>
      <c r="H57" s="401">
        <f t="shared" si="25"/>
        <v>3.7977237448899261E-4</v>
      </c>
      <c r="I57" s="401">
        <f t="shared" si="26"/>
        <v>0</v>
      </c>
      <c r="J57" s="401">
        <f t="shared" si="27"/>
        <v>1.4065100288026986E-3</v>
      </c>
      <c r="K57" s="6"/>
      <c r="L57" s="110">
        <f t="shared" si="15"/>
        <v>6.3490451036164171</v>
      </c>
      <c r="M57" s="54">
        <f t="shared" si="16"/>
        <v>3.8094270621698498E-2</v>
      </c>
      <c r="N57" s="402">
        <f t="shared" si="17"/>
        <v>9.5235676554246244E-3</v>
      </c>
      <c r="O57" s="400">
        <f t="shared" si="18"/>
        <v>0.28199999999999997</v>
      </c>
      <c r="P57" s="136">
        <f t="shared" si="28"/>
        <v>0.44443315725314914</v>
      </c>
      <c r="Q57" s="48">
        <f>IF(D57="Yes",SUM(INDEX(Crop_data,MATCH(A57,Crop_data_codes,0),21):INDEX(Crop_data,MATCH(A57,Crop_data_codes,0),22):INDEX(Crop_data,MATCH(A57,Crop_data_codes,0),23):INDEX(Crop_data,MATCH(A57,Crop_data_codes,0),24):INDEX(Crop_data,MATCH(A57,Crop_data_codes,0),25))*(1/INDEX(Crop_data,MATCH(A57,Crop_data_codes,0),6)*10000)/(No_species/1000000),"")</f>
        <v>5.1756245084936496E-11</v>
      </c>
      <c r="R57" s="49">
        <f t="shared" si="19"/>
        <v>2.3159260475410404E-3</v>
      </c>
      <c r="S57" s="469">
        <f t="shared" si="29"/>
        <v>1.0088632669646486E-2</v>
      </c>
    </row>
    <row r="58" spans="1:19" ht="15" customHeight="1" x14ac:dyDescent="0.3">
      <c r="A58" s="40" t="s">
        <v>92</v>
      </c>
      <c r="B58" s="3" t="str">
        <f t="shared" si="20"/>
        <v>Lupins</v>
      </c>
      <c r="C58" s="3" t="str">
        <f t="shared" si="21"/>
        <v>Pulses</v>
      </c>
      <c r="D58" s="3" t="str">
        <f t="shared" si="22"/>
        <v>No</v>
      </c>
      <c r="E58" s="6"/>
      <c r="F58" s="441" t="str">
        <f t="shared" si="23"/>
        <v/>
      </c>
      <c r="G58" s="400" t="str">
        <f t="shared" si="24"/>
        <v/>
      </c>
      <c r="H58" s="401" t="str">
        <f t="shared" si="25"/>
        <v/>
      </c>
      <c r="I58" s="401" t="str">
        <f t="shared" si="26"/>
        <v/>
      </c>
      <c r="J58" s="401" t="str">
        <f t="shared" si="27"/>
        <v/>
      </c>
      <c r="K58" s="6"/>
      <c r="L58" s="110" t="str">
        <f t="shared" si="15"/>
        <v/>
      </c>
      <c r="M58" s="54" t="str">
        <f t="shared" si="16"/>
        <v/>
      </c>
      <c r="N58" s="402" t="str">
        <f t="shared" si="17"/>
        <v/>
      </c>
      <c r="O58" s="400" t="str">
        <f t="shared" si="18"/>
        <v/>
      </c>
      <c r="P58" s="136" t="str">
        <f t="shared" si="28"/>
        <v/>
      </c>
      <c r="Q58" s="48" t="str">
        <f>IF(D58="Yes",SUM(INDEX(Crop_data,MATCH(A58,Crop_data_codes,0),21):INDEX(Crop_data,MATCH(A58,Crop_data_codes,0),22):INDEX(Crop_data,MATCH(A58,Crop_data_codes,0),23):INDEX(Crop_data,MATCH(A58,Crop_data_codes,0),24):INDEX(Crop_data,MATCH(A58,Crop_data_codes,0),25))*(1/INDEX(Crop_data,MATCH(A58,Crop_data_codes,0),6)*10000)/(No_species/1000000),"")</f>
        <v/>
      </c>
      <c r="R58" s="49" t="str">
        <f t="shared" si="19"/>
        <v/>
      </c>
      <c r="S58" s="469" t="str">
        <f t="shared" si="29"/>
        <v/>
      </c>
    </row>
    <row r="59" spans="1:19" ht="15" customHeight="1" x14ac:dyDescent="0.3">
      <c r="A59" s="40" t="s">
        <v>93</v>
      </c>
      <c r="B59" s="3" t="str">
        <f t="shared" si="20"/>
        <v>Maize (corn)</v>
      </c>
      <c r="C59" s="3" t="str">
        <f t="shared" si="21"/>
        <v>Cereals, incl feed</v>
      </c>
      <c r="D59" s="3" t="str">
        <f t="shared" si="22"/>
        <v>Yes</v>
      </c>
      <c r="E59" s="6"/>
      <c r="F59" s="441">
        <f t="shared" si="23"/>
        <v>0.37291683727976122</v>
      </c>
      <c r="G59" s="400">
        <f t="shared" si="24"/>
        <v>0.15609459051089891</v>
      </c>
      <c r="H59" s="401">
        <f t="shared" si="25"/>
        <v>2.1322924781678643E-4</v>
      </c>
      <c r="I59" s="401">
        <f t="shared" si="26"/>
        <v>0</v>
      </c>
      <c r="J59" s="401">
        <f t="shared" si="27"/>
        <v>7.7094511056381709E-4</v>
      </c>
      <c r="K59" s="6"/>
      <c r="L59" s="110">
        <f t="shared" si="15"/>
        <v>1.5128936360129202</v>
      </c>
      <c r="M59" s="54">
        <f t="shared" si="16"/>
        <v>1.9969742813918306E-2</v>
      </c>
      <c r="N59" s="402">
        <f t="shared" si="17"/>
        <v>5.5975794251134645E-3</v>
      </c>
      <c r="O59" s="400">
        <f t="shared" si="18"/>
        <v>4.9999999999999996E-2</v>
      </c>
      <c r="P59" s="136">
        <f t="shared" si="28"/>
        <v>1.6641829996142121E-2</v>
      </c>
      <c r="Q59" s="48">
        <f>IF(D59="Yes",SUM(INDEX(Crop_data,MATCH(A59,Crop_data_codes,0),21):INDEX(Crop_data,MATCH(A59,Crop_data_codes,0),22):INDEX(Crop_data,MATCH(A59,Crop_data_codes,0),23):INDEX(Crop_data,MATCH(A59,Crop_data_codes,0),24):INDEX(Crop_data,MATCH(A59,Crop_data_codes,0),25))*(1/INDEX(Crop_data,MATCH(A59,Crop_data_codes,0),6)*10000)/(No_species/1000000),"")</f>
        <v>1.2332829982311002E-11</v>
      </c>
      <c r="R59" s="49">
        <f t="shared" si="19"/>
        <v>1.2140525803663977E-3</v>
      </c>
      <c r="S59" s="469">
        <f t="shared" si="29"/>
        <v>2.101409260421946E-3</v>
      </c>
    </row>
    <row r="60" spans="1:19" ht="15" customHeight="1" x14ac:dyDescent="0.3">
      <c r="A60" s="40" t="s">
        <v>94</v>
      </c>
      <c r="B60" s="3" t="str">
        <f t="shared" si="20"/>
        <v>Mangoes, guavas and mangosteens</v>
      </c>
      <c r="C60" s="3" t="str">
        <f t="shared" si="21"/>
        <v>Fruits</v>
      </c>
      <c r="D60" s="3" t="str">
        <f t="shared" si="22"/>
        <v>No</v>
      </c>
      <c r="E60" s="6"/>
      <c r="F60" s="441" t="str">
        <f t="shared" si="23"/>
        <v/>
      </c>
      <c r="G60" s="400" t="str">
        <f t="shared" si="24"/>
        <v/>
      </c>
      <c r="H60" s="401" t="str">
        <f t="shared" si="25"/>
        <v/>
      </c>
      <c r="I60" s="401" t="str">
        <f t="shared" si="26"/>
        <v/>
      </c>
      <c r="J60" s="401" t="str">
        <f t="shared" si="27"/>
        <v/>
      </c>
      <c r="K60" s="455"/>
      <c r="L60" s="110" t="str">
        <f t="shared" ref="L60:L91" si="30">IF(D60="Yes",1/INDEX(Crop_data,MATCH(A60,Crop_data_codes,0),6)*10000,"")</f>
        <v/>
      </c>
      <c r="M60" s="54" t="str">
        <f t="shared" ref="M60:M91" si="31">IF(D60="Yes",(INDEX(Crop_data,MATCH(A60,Crop_data_codes,0),7)+INDEX(Crop_data,MATCH(A60,Crop_data_codes,0),8))/INDEX(Crop_data,MATCH(A60,Crop_data_codes,0),6),"")</f>
        <v/>
      </c>
      <c r="N60" s="402" t="str">
        <f t="shared" ref="N60:N91" si="32">IF(D60="Yes",INDEX(Crop_data,MATCH(A60,Crop_data_codes,0),10)/INDEX(Crop_data,MATCH(A60,Crop_data_codes,0),6),"")</f>
        <v/>
      </c>
      <c r="O60" s="400" t="str">
        <f t="shared" ref="O60:O91" si="33">IF(D60="Yes",INDEX(Crop_data,MATCH(A60,Crop_data_codes,0),12)/INDEX(Crop_data,MATCH(A60,Crop_data_codes,0),6),"")</f>
        <v/>
      </c>
      <c r="P60" s="136" t="str">
        <f t="shared" si="28"/>
        <v/>
      </c>
      <c r="Q60" s="48" t="str">
        <f>IF(D60="Yes",SUM(INDEX(Crop_data,MATCH(A60,Crop_data_codes,0),21):INDEX(Crop_data,MATCH(A60,Crop_data_codes,0),22):INDEX(Crop_data,MATCH(A60,Crop_data_codes,0),23):INDEX(Crop_data,MATCH(A60,Crop_data_codes,0),24):INDEX(Crop_data,MATCH(A60,Crop_data_codes,0),25))*(1/INDEX(Crop_data,MATCH(A60,Crop_data_codes,0),6)*10000)/(No_species/1000000),"")</f>
        <v/>
      </c>
      <c r="R60" s="49" t="str">
        <f t="shared" ref="R60:R91" si="34">IF(D60="Yes",INDEX(Crop_data,MATCH(A60,Crop_data_codes,0),7)/INDEX(Crop_data,MATCH(A60,Crop_data_codes,0),6)*EF_NH3*N_to_NH3,"")</f>
        <v/>
      </c>
      <c r="S60" s="469" t="str">
        <f t="shared" si="29"/>
        <v/>
      </c>
    </row>
    <row r="61" spans="1:19" ht="15" customHeight="1" x14ac:dyDescent="0.3">
      <c r="A61" s="40" t="s">
        <v>95</v>
      </c>
      <c r="B61" s="3" t="str">
        <f t="shared" si="20"/>
        <v>Millet</v>
      </c>
      <c r="C61" s="3" t="str">
        <f t="shared" si="21"/>
        <v>Cereals</v>
      </c>
      <c r="D61" s="3" t="str">
        <f t="shared" si="22"/>
        <v>No</v>
      </c>
      <c r="E61" s="6"/>
      <c r="F61" s="441" t="str">
        <f t="shared" si="23"/>
        <v/>
      </c>
      <c r="G61" s="400" t="str">
        <f t="shared" si="24"/>
        <v/>
      </c>
      <c r="H61" s="401" t="str">
        <f t="shared" si="25"/>
        <v/>
      </c>
      <c r="I61" s="401" t="str">
        <f t="shared" si="26"/>
        <v/>
      </c>
      <c r="J61" s="401" t="str">
        <f t="shared" si="27"/>
        <v/>
      </c>
      <c r="K61" s="455"/>
      <c r="L61" s="110" t="str">
        <f t="shared" si="30"/>
        <v/>
      </c>
      <c r="M61" s="54" t="str">
        <f t="shared" si="31"/>
        <v/>
      </c>
      <c r="N61" s="402" t="str">
        <f t="shared" si="32"/>
        <v/>
      </c>
      <c r="O61" s="400" t="str">
        <f t="shared" si="33"/>
        <v/>
      </c>
      <c r="P61" s="136" t="str">
        <f t="shared" si="28"/>
        <v/>
      </c>
      <c r="Q61" s="48" t="str">
        <f>IF(D61="Yes",SUM(INDEX(Crop_data,MATCH(A61,Crop_data_codes,0),21):INDEX(Crop_data,MATCH(A61,Crop_data_codes,0),22):INDEX(Crop_data,MATCH(A61,Crop_data_codes,0),23):INDEX(Crop_data,MATCH(A61,Crop_data_codes,0),24):INDEX(Crop_data,MATCH(A61,Crop_data_codes,0),25))*(1/INDEX(Crop_data,MATCH(A61,Crop_data_codes,0),6)*10000)/(No_species/1000000),"")</f>
        <v/>
      </c>
      <c r="R61" s="49" t="str">
        <f t="shared" si="34"/>
        <v/>
      </c>
      <c r="S61" s="469" t="str">
        <f t="shared" si="29"/>
        <v/>
      </c>
    </row>
    <row r="62" spans="1:19" ht="15" customHeight="1" x14ac:dyDescent="0.3">
      <c r="A62" s="40" t="s">
        <v>96</v>
      </c>
      <c r="B62" s="3" t="str">
        <f t="shared" si="20"/>
        <v>Mixed grain</v>
      </c>
      <c r="C62" s="3" t="str">
        <f t="shared" si="21"/>
        <v>Cereals</v>
      </c>
      <c r="D62" s="3" t="str">
        <f t="shared" si="22"/>
        <v>No</v>
      </c>
      <c r="E62" s="6"/>
      <c r="F62" s="441" t="str">
        <f t="shared" si="23"/>
        <v/>
      </c>
      <c r="G62" s="400" t="str">
        <f t="shared" si="24"/>
        <v/>
      </c>
      <c r="H62" s="401" t="str">
        <f t="shared" si="25"/>
        <v/>
      </c>
      <c r="I62" s="401" t="str">
        <f t="shared" si="26"/>
        <v/>
      </c>
      <c r="J62" s="401" t="str">
        <f t="shared" si="27"/>
        <v/>
      </c>
      <c r="K62" s="6"/>
      <c r="L62" s="110" t="str">
        <f t="shared" si="30"/>
        <v/>
      </c>
      <c r="M62" s="54" t="str">
        <f t="shared" si="31"/>
        <v/>
      </c>
      <c r="N62" s="402" t="str">
        <f t="shared" si="32"/>
        <v/>
      </c>
      <c r="O62" s="400" t="str">
        <f t="shared" si="33"/>
        <v/>
      </c>
      <c r="P62" s="136" t="str">
        <f t="shared" si="28"/>
        <v/>
      </c>
      <c r="Q62" s="48" t="str">
        <f>IF(D62="Yes",SUM(INDEX(Crop_data,MATCH(A62,Crop_data_codes,0),21):INDEX(Crop_data,MATCH(A62,Crop_data_codes,0),22):INDEX(Crop_data,MATCH(A62,Crop_data_codes,0),23):INDEX(Crop_data,MATCH(A62,Crop_data_codes,0),24):INDEX(Crop_data,MATCH(A62,Crop_data_codes,0),25))*(1/INDEX(Crop_data,MATCH(A62,Crop_data_codes,0),6)*10000)/(No_species/1000000),"")</f>
        <v/>
      </c>
      <c r="R62" s="49" t="str">
        <f t="shared" si="34"/>
        <v/>
      </c>
      <c r="S62" s="469" t="str">
        <f t="shared" si="29"/>
        <v/>
      </c>
    </row>
    <row r="63" spans="1:19" ht="15" customHeight="1" x14ac:dyDescent="0.3">
      <c r="A63" s="40" t="s">
        <v>97</v>
      </c>
      <c r="B63" s="3" t="str">
        <f t="shared" si="20"/>
        <v>Mushrooms and truffles</v>
      </c>
      <c r="C63" s="3" t="str">
        <f t="shared" si="21"/>
        <v>Mushrooms</v>
      </c>
      <c r="D63" s="3" t="str">
        <f t="shared" si="22"/>
        <v>No</v>
      </c>
      <c r="E63" s="6"/>
      <c r="F63" s="441" t="str">
        <f t="shared" si="23"/>
        <v/>
      </c>
      <c r="G63" s="400" t="str">
        <f t="shared" si="24"/>
        <v/>
      </c>
      <c r="H63" s="401" t="str">
        <f t="shared" si="25"/>
        <v/>
      </c>
      <c r="I63" s="401" t="str">
        <f t="shared" si="26"/>
        <v/>
      </c>
      <c r="J63" s="401" t="str">
        <f t="shared" si="27"/>
        <v/>
      </c>
      <c r="K63" s="6"/>
      <c r="L63" s="110" t="str">
        <f t="shared" si="30"/>
        <v/>
      </c>
      <c r="M63" s="54" t="str">
        <f t="shared" si="31"/>
        <v/>
      </c>
      <c r="N63" s="402" t="str">
        <f t="shared" si="32"/>
        <v/>
      </c>
      <c r="O63" s="400" t="str">
        <f t="shared" si="33"/>
        <v/>
      </c>
      <c r="P63" s="136" t="str">
        <f t="shared" si="28"/>
        <v/>
      </c>
      <c r="Q63" s="48" t="str">
        <f>IF(D63="Yes",SUM(INDEX(Crop_data,MATCH(A63,Crop_data_codes,0),21):INDEX(Crop_data,MATCH(A63,Crop_data_codes,0),22):INDEX(Crop_data,MATCH(A63,Crop_data_codes,0),23):INDEX(Crop_data,MATCH(A63,Crop_data_codes,0),24):INDEX(Crop_data,MATCH(A63,Crop_data_codes,0),25))*(1/INDEX(Crop_data,MATCH(A63,Crop_data_codes,0),6)*10000)/(No_species/1000000),"")</f>
        <v/>
      </c>
      <c r="R63" s="49" t="str">
        <f t="shared" si="34"/>
        <v/>
      </c>
      <c r="S63" s="469" t="str">
        <f t="shared" si="29"/>
        <v/>
      </c>
    </row>
    <row r="64" spans="1:19" ht="15" customHeight="1" x14ac:dyDescent="0.3">
      <c r="A64" s="40" t="s">
        <v>98</v>
      </c>
      <c r="B64" s="3" t="str">
        <f t="shared" si="20"/>
        <v>Oats</v>
      </c>
      <c r="C64" s="3" t="str">
        <f t="shared" si="21"/>
        <v>Cereals, incl feed</v>
      </c>
      <c r="D64" s="3" t="str">
        <f t="shared" si="22"/>
        <v>Yes</v>
      </c>
      <c r="E64" s="6"/>
      <c r="F64" s="441">
        <f t="shared" si="23"/>
        <v>0.37345007500066307</v>
      </c>
      <c r="G64" s="400">
        <f t="shared" si="24"/>
        <v>0.16518002398865653</v>
      </c>
      <c r="H64" s="401">
        <f t="shared" si="25"/>
        <v>2.0152510969407954E-4</v>
      </c>
      <c r="I64" s="401">
        <f t="shared" si="26"/>
        <v>0</v>
      </c>
      <c r="J64" s="401">
        <f t="shared" si="27"/>
        <v>7.4089598074404022E-4</v>
      </c>
      <c r="K64" s="6"/>
      <c r="L64" s="110">
        <f t="shared" si="30"/>
        <v>2.5461100530609335</v>
      </c>
      <c r="M64" s="54">
        <f t="shared" si="31"/>
        <v>1.8075356415478614E-2</v>
      </c>
      <c r="N64" s="402">
        <f t="shared" si="32"/>
        <v>3.8187372708757637E-3</v>
      </c>
      <c r="O64" s="400">
        <f t="shared" si="33"/>
        <v>0</v>
      </c>
      <c r="P64" s="136">
        <f t="shared" si="28"/>
        <v>0.11457495238774201</v>
      </c>
      <c r="Q64" s="48">
        <f>IF(D64="Yes",SUM(INDEX(Crop_data,MATCH(A64,Crop_data_codes,0),21):INDEX(Crop_data,MATCH(A64,Crop_data_codes,0),22):INDEX(Crop_data,MATCH(A64,Crop_data_codes,0),23):INDEX(Crop_data,MATCH(A64,Crop_data_codes,0),24):INDEX(Crop_data,MATCH(A64,Crop_data_codes,0),25))*(1/INDEX(Crop_data,MATCH(A64,Crop_data_codes,0),6)*10000)/(No_species/1000000),"")</f>
        <v>2.0755419715695846E-11</v>
      </c>
      <c r="R64" s="49">
        <f t="shared" si="34"/>
        <v>1.098884111915529E-3</v>
      </c>
      <c r="S64" s="469">
        <f t="shared" si="29"/>
        <v>3.864995060546497E-3</v>
      </c>
    </row>
    <row r="65" spans="1:19" ht="15" customHeight="1" x14ac:dyDescent="0.3">
      <c r="A65" s="40" t="s">
        <v>99</v>
      </c>
      <c r="B65" s="3" t="str">
        <f t="shared" si="20"/>
        <v>Oil palm fruit</v>
      </c>
      <c r="C65" s="3" t="str">
        <f t="shared" si="21"/>
        <v>Oil crops, tree</v>
      </c>
      <c r="D65" s="3" t="str">
        <f t="shared" si="22"/>
        <v>No</v>
      </c>
      <c r="E65" s="6"/>
      <c r="F65" s="441" t="str">
        <f t="shared" si="23"/>
        <v/>
      </c>
      <c r="G65" s="400" t="str">
        <f t="shared" si="24"/>
        <v/>
      </c>
      <c r="H65" s="401" t="str">
        <f t="shared" si="25"/>
        <v/>
      </c>
      <c r="I65" s="401" t="str">
        <f t="shared" si="26"/>
        <v/>
      </c>
      <c r="J65" s="401" t="str">
        <f t="shared" si="27"/>
        <v/>
      </c>
      <c r="K65" s="6"/>
      <c r="L65" s="110" t="str">
        <f t="shared" si="30"/>
        <v/>
      </c>
      <c r="M65" s="54" t="str">
        <f t="shared" si="31"/>
        <v/>
      </c>
      <c r="N65" s="402" t="str">
        <f t="shared" si="32"/>
        <v/>
      </c>
      <c r="O65" s="400" t="str">
        <f t="shared" si="33"/>
        <v/>
      </c>
      <c r="P65" s="136" t="str">
        <f t="shared" si="28"/>
        <v/>
      </c>
      <c r="Q65" s="48" t="str">
        <f>IF(D65="Yes",SUM(INDEX(Crop_data,MATCH(A65,Crop_data_codes,0),21):INDEX(Crop_data,MATCH(A65,Crop_data_codes,0),22):INDEX(Crop_data,MATCH(A65,Crop_data_codes,0),23):INDEX(Crop_data,MATCH(A65,Crop_data_codes,0),24):INDEX(Crop_data,MATCH(A65,Crop_data_codes,0),25))*(1/INDEX(Crop_data,MATCH(A65,Crop_data_codes,0),6)*10000)/(No_species/1000000),"")</f>
        <v/>
      </c>
      <c r="R65" s="49" t="str">
        <f t="shared" si="34"/>
        <v/>
      </c>
      <c r="S65" s="469" t="str">
        <f t="shared" si="29"/>
        <v/>
      </c>
    </row>
    <row r="66" spans="1:19" ht="15" customHeight="1" x14ac:dyDescent="0.3">
      <c r="A66" s="40" t="s">
        <v>100</v>
      </c>
      <c r="B66" s="3" t="str">
        <f t="shared" si="20"/>
        <v>Olives</v>
      </c>
      <c r="C66" s="3" t="str">
        <f t="shared" si="21"/>
        <v>Oil crops, tree</v>
      </c>
      <c r="D66" s="3" t="str">
        <f t="shared" si="22"/>
        <v>No</v>
      </c>
      <c r="E66" s="6"/>
      <c r="F66" s="441" t="str">
        <f t="shared" si="23"/>
        <v/>
      </c>
      <c r="G66" s="400" t="str">
        <f t="shared" si="24"/>
        <v/>
      </c>
      <c r="H66" s="401" t="str">
        <f t="shared" si="25"/>
        <v/>
      </c>
      <c r="I66" s="401" t="str">
        <f t="shared" si="26"/>
        <v/>
      </c>
      <c r="J66" s="401" t="str">
        <f t="shared" si="27"/>
        <v/>
      </c>
      <c r="K66" s="6"/>
      <c r="L66" s="110" t="str">
        <f t="shared" si="30"/>
        <v/>
      </c>
      <c r="M66" s="54" t="str">
        <f t="shared" si="31"/>
        <v/>
      </c>
      <c r="N66" s="402" t="str">
        <f t="shared" si="32"/>
        <v/>
      </c>
      <c r="O66" s="400" t="str">
        <f t="shared" si="33"/>
        <v/>
      </c>
      <c r="P66" s="136" t="str">
        <f t="shared" si="28"/>
        <v/>
      </c>
      <c r="Q66" s="48" t="str">
        <f>IF(D66="Yes",SUM(INDEX(Crop_data,MATCH(A66,Crop_data_codes,0),21):INDEX(Crop_data,MATCH(A66,Crop_data_codes,0),22):INDEX(Crop_data,MATCH(A66,Crop_data_codes,0),23):INDEX(Crop_data,MATCH(A66,Crop_data_codes,0),24):INDEX(Crop_data,MATCH(A66,Crop_data_codes,0),25))*(1/INDEX(Crop_data,MATCH(A66,Crop_data_codes,0),6)*10000)/(No_species/1000000),"")</f>
        <v/>
      </c>
      <c r="R66" s="49" t="str">
        <f t="shared" si="34"/>
        <v/>
      </c>
      <c r="S66" s="469" t="str">
        <f t="shared" si="29"/>
        <v/>
      </c>
    </row>
    <row r="67" spans="1:19" ht="15" customHeight="1" x14ac:dyDescent="0.3">
      <c r="A67" s="40" t="s">
        <v>101</v>
      </c>
      <c r="B67" s="3" t="str">
        <f t="shared" si="20"/>
        <v>Onions and shallots, dry (excluding dehydrated)</v>
      </c>
      <c r="C67" s="3" t="str">
        <f t="shared" si="21"/>
        <v>Vegetables</v>
      </c>
      <c r="D67" s="3" t="str">
        <f t="shared" si="22"/>
        <v>Yes</v>
      </c>
      <c r="E67" s="6"/>
      <c r="F67" s="441">
        <f t="shared" si="23"/>
        <v>9.3577142026971857E-2</v>
      </c>
      <c r="G67" s="400">
        <f t="shared" si="24"/>
        <v>5.2822855583042276E-2</v>
      </c>
      <c r="H67" s="401">
        <f t="shared" si="25"/>
        <v>1.2504892890517321E-4</v>
      </c>
      <c r="I67" s="401">
        <f t="shared" si="26"/>
        <v>0</v>
      </c>
      <c r="J67" s="401">
        <f t="shared" si="27"/>
        <v>1.3563307092511145E-4</v>
      </c>
      <c r="K67" s="6"/>
      <c r="L67" s="110">
        <f t="shared" si="30"/>
        <v>0.21815199085506856</v>
      </c>
      <c r="M67" s="54">
        <f t="shared" si="31"/>
        <v>3.1413612565445027E-3</v>
      </c>
      <c r="N67" s="402">
        <f t="shared" si="32"/>
        <v>9.5986038394415369E-4</v>
      </c>
      <c r="O67" s="400">
        <f t="shared" si="33"/>
        <v>3.1999995636960182E-2</v>
      </c>
      <c r="P67" s="136">
        <f t="shared" si="28"/>
        <v>0.10274958769273729</v>
      </c>
      <c r="Q67" s="48">
        <f>IF(D67="Yes",SUM(INDEX(Crop_data,MATCH(A67,Crop_data_codes,0),21):INDEX(Crop_data,MATCH(A67,Crop_data_codes,0),22):INDEX(Crop_data,MATCH(A67,Crop_data_codes,0),23):INDEX(Crop_data,MATCH(A67,Crop_data_codes,0),24):INDEX(Crop_data,MATCH(A67,Crop_data_codes,0),25))*(1/INDEX(Crop_data,MATCH(A67,Crop_data_codes,0),6)*10000)/(No_species/1000000),"")</f>
        <v>1.7783348078643438E-12</v>
      </c>
      <c r="R67" s="49">
        <f t="shared" si="34"/>
        <v>1.9097780952455709E-4</v>
      </c>
      <c r="S67" s="469">
        <f t="shared" si="29"/>
        <v>3.8460195987748587E-3</v>
      </c>
    </row>
    <row r="68" spans="1:19" ht="15" customHeight="1" x14ac:dyDescent="0.3">
      <c r="A68" s="40" t="s">
        <v>102</v>
      </c>
      <c r="B68" s="3" t="str">
        <f t="shared" si="20"/>
        <v>Oranges</v>
      </c>
      <c r="C68" s="3" t="str">
        <f t="shared" si="21"/>
        <v>Fruits</v>
      </c>
      <c r="D68" s="3" t="str">
        <f t="shared" si="22"/>
        <v>No</v>
      </c>
      <c r="E68" s="406"/>
      <c r="F68" s="441" t="str">
        <f t="shared" si="23"/>
        <v/>
      </c>
      <c r="G68" s="400" t="str">
        <f t="shared" si="24"/>
        <v/>
      </c>
      <c r="H68" s="401" t="str">
        <f t="shared" si="25"/>
        <v/>
      </c>
      <c r="I68" s="401" t="str">
        <f t="shared" si="26"/>
        <v/>
      </c>
      <c r="J68" s="401" t="str">
        <f t="shared" si="27"/>
        <v/>
      </c>
      <c r="K68" s="403"/>
      <c r="L68" s="110" t="str">
        <f t="shared" si="30"/>
        <v/>
      </c>
      <c r="M68" s="54" t="str">
        <f t="shared" si="31"/>
        <v/>
      </c>
      <c r="N68" s="402" t="str">
        <f t="shared" si="32"/>
        <v/>
      </c>
      <c r="O68" s="400" t="str">
        <f t="shared" si="33"/>
        <v/>
      </c>
      <c r="P68" s="136" t="str">
        <f t="shared" si="28"/>
        <v/>
      </c>
      <c r="Q68" s="48" t="str">
        <f>IF(D68="Yes",SUM(INDEX(Crop_data,MATCH(A68,Crop_data_codes,0),21):INDEX(Crop_data,MATCH(A68,Crop_data_codes,0),22):INDEX(Crop_data,MATCH(A68,Crop_data_codes,0),23):INDEX(Crop_data,MATCH(A68,Crop_data_codes,0),24):INDEX(Crop_data,MATCH(A68,Crop_data_codes,0),25))*(1/INDEX(Crop_data,MATCH(A68,Crop_data_codes,0),6)*10000)/(No_species/1000000),"")</f>
        <v/>
      </c>
      <c r="R68" s="49" t="str">
        <f t="shared" si="34"/>
        <v/>
      </c>
      <c r="S68" s="469" t="str">
        <f t="shared" si="29"/>
        <v/>
      </c>
    </row>
    <row r="69" spans="1:19" ht="15" customHeight="1" x14ac:dyDescent="0.3">
      <c r="A69" s="40" t="s">
        <v>103</v>
      </c>
      <c r="B69" s="3" t="str">
        <f t="shared" si="20"/>
        <v>Other beans, green</v>
      </c>
      <c r="C69" s="3" t="str">
        <f t="shared" si="21"/>
        <v>Vegetables</v>
      </c>
      <c r="D69" s="3" t="str">
        <f t="shared" si="22"/>
        <v>Yes</v>
      </c>
      <c r="E69" s="421"/>
      <c r="F69" s="441">
        <f t="shared" si="23"/>
        <v>0.16546170972938351</v>
      </c>
      <c r="G69" s="400">
        <f t="shared" si="24"/>
        <v>9.8810902012287302E-2</v>
      </c>
      <c r="H69" s="401">
        <f t="shared" si="25"/>
        <v>1.3263984685999274E-4</v>
      </c>
      <c r="I69" s="401">
        <f t="shared" si="26"/>
        <v>0</v>
      </c>
      <c r="J69" s="401">
        <f t="shared" si="27"/>
        <v>2.2966351751160612E-4</v>
      </c>
      <c r="K69" s="6"/>
      <c r="L69" s="110">
        <f t="shared" si="30"/>
        <v>3.9119804400977998</v>
      </c>
      <c r="M69" s="54">
        <f t="shared" si="31"/>
        <v>1.0171225669693248E-2</v>
      </c>
      <c r="N69" s="402">
        <f t="shared" si="32"/>
        <v>1.5649452269170579E-3</v>
      </c>
      <c r="O69" s="400">
        <f t="shared" si="33"/>
        <v>1E-3</v>
      </c>
      <c r="P69" s="136">
        <f t="shared" si="28"/>
        <v>0.23276283618581906</v>
      </c>
      <c r="Q69" s="48">
        <f>IF(D69="Yes",SUM(INDEX(Crop_data,MATCH(A69,Crop_data_codes,0),21):INDEX(Crop_data,MATCH(A69,Crop_data_codes,0),22):INDEX(Crop_data,MATCH(A69,Crop_data_codes,0),23):INDEX(Crop_data,MATCH(A69,Crop_data_codes,0),24):INDEX(Crop_data,MATCH(A69,Crop_data_codes,0),25))*(1/INDEX(Crop_data,MATCH(A69,Crop_data_codes,0),6)*10000)/(No_species/1000000),"")</f>
        <v>3.1889743279639463E-11</v>
      </c>
      <c r="R69" s="49">
        <f t="shared" si="34"/>
        <v>4.7570111657786133E-5</v>
      </c>
      <c r="S69" s="469">
        <f t="shared" si="29"/>
        <v>6.0948655256723716E-3</v>
      </c>
    </row>
    <row r="70" spans="1:19" ht="15" customHeight="1" x14ac:dyDescent="0.3">
      <c r="A70" s="40" t="s">
        <v>104</v>
      </c>
      <c r="B70" s="3" t="str">
        <f t="shared" ref="B70:B101" si="35">INDEX(Crop_data,MATCH(A70,Crop_data_codes,0),2)</f>
        <v>Other fruits, n.e.c.</v>
      </c>
      <c r="C70" s="3" t="str">
        <f t="shared" ref="C70:C101" si="36">INDEX(Crop_data,MATCH(A70,Crop_data_codes,0),3)</f>
        <v>Fruits</v>
      </c>
      <c r="D70" s="3" t="str">
        <f t="shared" ref="D70:D101" si="37">IF(INDEX(Crop_data,MATCH(A70,Crop_data_codes,0),6)&gt;0,"Yes","No")</f>
        <v>No</v>
      </c>
      <c r="E70" s="413"/>
      <c r="F70" s="441" t="str">
        <f t="shared" ref="F70:F101" si="38">IF(D70="Yes",INDEX(CO2e_data,MATCH(A70,CO2e_codes,0),1),"")</f>
        <v/>
      </c>
      <c r="G70" s="400" t="str">
        <f t="shared" ref="G70:G101" si="39">IF(D70="Yes",INDEX(CO2_data,MATCH(A70,CO2_codes,0),1),"")</f>
        <v/>
      </c>
      <c r="H70" s="401" t="str">
        <f t="shared" ref="H70:H101" si="40">IF(D70="Yes",INDEX(CH4_data,MATCH(A70,CH4_codes,0),1),"")</f>
        <v/>
      </c>
      <c r="I70" s="401" t="str">
        <f t="shared" ref="I70:I101" si="41">IF(D70="Yes",INDEX(CH4_bio_data,MATCH(A70,CH4_bio_codes,0),1),"")</f>
        <v/>
      </c>
      <c r="J70" s="401" t="str">
        <f t="shared" ref="J70:J101" si="42">IF(D70="Yes",INDEX(N2O_data,MATCH(A70,N2O_codes,0),1),"")</f>
        <v/>
      </c>
      <c r="K70" s="404"/>
      <c r="L70" s="110" t="str">
        <f t="shared" si="30"/>
        <v/>
      </c>
      <c r="M70" s="54" t="str">
        <f t="shared" si="31"/>
        <v/>
      </c>
      <c r="N70" s="402" t="str">
        <f t="shared" si="32"/>
        <v/>
      </c>
      <c r="O70" s="400" t="str">
        <f t="shared" si="33"/>
        <v/>
      </c>
      <c r="P70" s="136" t="str">
        <f t="shared" ref="P70:P101" si="43">IF(D70="Yes",INDEX(Crop_data,MATCH(A70,Crop_data_codes,0),13)/INDEX(Crop_data,MATCH(A70,Crop_data_codes,0),6)*1000,"")</f>
        <v/>
      </c>
      <c r="Q70" s="48" t="str">
        <f>IF(D70="Yes",SUM(INDEX(Crop_data,MATCH(A70,Crop_data_codes,0),21):INDEX(Crop_data,MATCH(A70,Crop_data_codes,0),22):INDEX(Crop_data,MATCH(A70,Crop_data_codes,0),23):INDEX(Crop_data,MATCH(A70,Crop_data_codes,0),24):INDEX(Crop_data,MATCH(A70,Crop_data_codes,0),25))*(1/INDEX(Crop_data,MATCH(A70,Crop_data_codes,0),6)*10000)/(No_species/1000000),"")</f>
        <v/>
      </c>
      <c r="R70" s="49" t="str">
        <f t="shared" si="34"/>
        <v/>
      </c>
      <c r="S70" s="469" t="str">
        <f t="shared" ref="S70:S101" si="44">IF(D70="Yes",INDEX(Crop_data,MATCH(A70,Crop_data_codes,0),26)/INDEX(Crop_data,MATCH(A70,Crop_data_codes,0),6),"")</f>
        <v/>
      </c>
    </row>
    <row r="71" spans="1:19" ht="15" customHeight="1" x14ac:dyDescent="0.3">
      <c r="A71" s="40" t="s">
        <v>105</v>
      </c>
      <c r="B71" s="3" t="str">
        <f t="shared" si="35"/>
        <v>Other oil seeds, n.e.c.</v>
      </c>
      <c r="C71" s="3" t="str">
        <f t="shared" si="36"/>
        <v>Oil crops</v>
      </c>
      <c r="D71" s="3" t="str">
        <f t="shared" si="37"/>
        <v>No</v>
      </c>
      <c r="E71" s="406"/>
      <c r="F71" s="441" t="str">
        <f t="shared" si="38"/>
        <v/>
      </c>
      <c r="G71" s="400" t="str">
        <f t="shared" si="39"/>
        <v/>
      </c>
      <c r="H71" s="401" t="str">
        <f t="shared" si="40"/>
        <v/>
      </c>
      <c r="I71" s="401" t="str">
        <f t="shared" si="41"/>
        <v/>
      </c>
      <c r="J71" s="401" t="str">
        <f t="shared" si="42"/>
        <v/>
      </c>
      <c r="K71" s="457"/>
      <c r="L71" s="110" t="str">
        <f t="shared" si="30"/>
        <v/>
      </c>
      <c r="M71" s="54" t="str">
        <f t="shared" si="31"/>
        <v/>
      </c>
      <c r="N71" s="402" t="str">
        <f t="shared" si="32"/>
        <v/>
      </c>
      <c r="O71" s="400" t="str">
        <f t="shared" si="33"/>
        <v/>
      </c>
      <c r="P71" s="136" t="str">
        <f t="shared" si="43"/>
        <v/>
      </c>
      <c r="Q71" s="48" t="str">
        <f>IF(D71="Yes",SUM(INDEX(Crop_data,MATCH(A71,Crop_data_codes,0),21):INDEX(Crop_data,MATCH(A71,Crop_data_codes,0),22):INDEX(Crop_data,MATCH(A71,Crop_data_codes,0),23):INDEX(Crop_data,MATCH(A71,Crop_data_codes,0),24):INDEX(Crop_data,MATCH(A71,Crop_data_codes,0),25))*(1/INDEX(Crop_data,MATCH(A71,Crop_data_codes,0),6)*10000)/(No_species/1000000),"")</f>
        <v/>
      </c>
      <c r="R71" s="49" t="str">
        <f t="shared" si="34"/>
        <v/>
      </c>
      <c r="S71" s="469" t="str">
        <f t="shared" si="44"/>
        <v/>
      </c>
    </row>
    <row r="72" spans="1:19" ht="15" customHeight="1" x14ac:dyDescent="0.3">
      <c r="A72" s="40" t="s">
        <v>106</v>
      </c>
      <c r="B72" s="3" t="str">
        <f t="shared" si="35"/>
        <v>Other pulses n.e.c.</v>
      </c>
      <c r="C72" s="3" t="str">
        <f t="shared" si="36"/>
        <v>Pulses</v>
      </c>
      <c r="D72" s="3" t="str">
        <f t="shared" si="37"/>
        <v>Yes</v>
      </c>
      <c r="E72" s="6"/>
      <c r="F72" s="441">
        <f t="shared" si="38"/>
        <v>0.25238240857002625</v>
      </c>
      <c r="G72" s="400">
        <f t="shared" si="39"/>
        <v>0.17899346988383616</v>
      </c>
      <c r="H72" s="401">
        <f t="shared" si="40"/>
        <v>1.6506111402821611E-4</v>
      </c>
      <c r="I72" s="401">
        <f t="shared" si="41"/>
        <v>0</v>
      </c>
      <c r="J72" s="401">
        <f t="shared" si="42"/>
        <v>2.508062911653818E-4</v>
      </c>
      <c r="K72" s="455"/>
      <c r="L72" s="110">
        <f t="shared" si="30"/>
        <v>6.6861679899707482</v>
      </c>
      <c r="M72" s="54">
        <f t="shared" si="31"/>
        <v>1.738370157165172E-2</v>
      </c>
      <c r="N72" s="402">
        <f t="shared" si="32"/>
        <v>2.6737967914438501E-3</v>
      </c>
      <c r="O72" s="400">
        <f t="shared" si="33"/>
        <v>1E-3</v>
      </c>
      <c r="P72" s="136">
        <f t="shared" si="43"/>
        <v>0.3978269954032595</v>
      </c>
      <c r="Q72" s="48">
        <f>IF(D72="Yes",SUM(INDEX(Crop_data,MATCH(A72,Crop_data_codes,0),21):INDEX(Crop_data,MATCH(A72,Crop_data_codes,0),22):INDEX(Crop_data,MATCH(A72,Crop_data_codes,0),23):INDEX(Crop_data,MATCH(A72,Crop_data_codes,0),24):INDEX(Crop_data,MATCH(A72,Crop_data_codes,0),25))*(1/INDEX(Crop_data,MATCH(A72,Crop_data_codes,0),6)*10000)/(No_species/1000000),"")</f>
        <v>5.4504408697754025E-11</v>
      </c>
      <c r="R72" s="49">
        <f t="shared" si="34"/>
        <v>8.1276206816377906E-5</v>
      </c>
      <c r="S72" s="469">
        <f t="shared" si="44"/>
        <v>1.0417049728374426E-2</v>
      </c>
    </row>
    <row r="73" spans="1:19" ht="15" customHeight="1" x14ac:dyDescent="0.3">
      <c r="A73" s="40" t="s">
        <v>107</v>
      </c>
      <c r="B73" s="3" t="str">
        <f t="shared" si="35"/>
        <v>Other stimulant, spice and aromatic crops, n.e.c.</v>
      </c>
      <c r="C73" s="3" t="str">
        <f t="shared" si="36"/>
        <v>Stimulants</v>
      </c>
      <c r="D73" s="3" t="str">
        <f t="shared" si="37"/>
        <v>No</v>
      </c>
      <c r="E73" s="6"/>
      <c r="F73" s="441" t="str">
        <f t="shared" si="38"/>
        <v/>
      </c>
      <c r="G73" s="400" t="str">
        <f t="shared" si="39"/>
        <v/>
      </c>
      <c r="H73" s="401" t="str">
        <f t="shared" si="40"/>
        <v/>
      </c>
      <c r="I73" s="401" t="str">
        <f t="shared" si="41"/>
        <v/>
      </c>
      <c r="J73" s="401" t="str">
        <f t="shared" si="42"/>
        <v/>
      </c>
      <c r="K73" s="6"/>
      <c r="L73" s="110" t="str">
        <f t="shared" si="30"/>
        <v/>
      </c>
      <c r="M73" s="54" t="str">
        <f t="shared" si="31"/>
        <v/>
      </c>
      <c r="N73" s="402" t="str">
        <f t="shared" si="32"/>
        <v/>
      </c>
      <c r="O73" s="400" t="str">
        <f t="shared" si="33"/>
        <v/>
      </c>
      <c r="P73" s="136" t="str">
        <f t="shared" si="43"/>
        <v/>
      </c>
      <c r="Q73" s="48" t="str">
        <f>IF(D73="Yes",SUM(INDEX(Crop_data,MATCH(A73,Crop_data_codes,0),21):INDEX(Crop_data,MATCH(A73,Crop_data_codes,0),22):INDEX(Crop_data,MATCH(A73,Crop_data_codes,0),23):INDEX(Crop_data,MATCH(A73,Crop_data_codes,0),24):INDEX(Crop_data,MATCH(A73,Crop_data_codes,0),25))*(1/INDEX(Crop_data,MATCH(A73,Crop_data_codes,0),6)*10000)/(No_species/1000000),"")</f>
        <v/>
      </c>
      <c r="R73" s="49" t="str">
        <f t="shared" si="34"/>
        <v/>
      </c>
      <c r="S73" s="469" t="str">
        <f t="shared" si="44"/>
        <v/>
      </c>
    </row>
    <row r="74" spans="1:19" ht="15" customHeight="1" x14ac:dyDescent="0.3">
      <c r="A74" s="40" t="s">
        <v>108</v>
      </c>
      <c r="B74" s="3" t="str">
        <f t="shared" si="35"/>
        <v>Other vegetables, fresh n.e.c.</v>
      </c>
      <c r="C74" s="3" t="str">
        <f t="shared" si="36"/>
        <v>Vegetables</v>
      </c>
      <c r="D74" s="3" t="str">
        <f t="shared" si="37"/>
        <v>Yes</v>
      </c>
      <c r="E74" s="406"/>
      <c r="F74" s="441">
        <f t="shared" si="38"/>
        <v>0.2549987878588138</v>
      </c>
      <c r="G74" s="400">
        <f t="shared" si="39"/>
        <v>0.10685765897084415</v>
      </c>
      <c r="H74" s="401">
        <f t="shared" si="40"/>
        <v>1.6605164150286752E-4</v>
      </c>
      <c r="I74" s="401">
        <f t="shared" si="41"/>
        <v>0</v>
      </c>
      <c r="J74" s="401">
        <f t="shared" si="42"/>
        <v>5.2451571418016187E-4</v>
      </c>
      <c r="K74" s="403"/>
      <c r="L74" s="110">
        <f t="shared" si="30"/>
        <v>0.94361521636153289</v>
      </c>
      <c r="M74" s="54">
        <f t="shared" si="31"/>
        <v>1.2455180222683526E-2</v>
      </c>
      <c r="N74" s="402">
        <f t="shared" si="32"/>
        <v>2.8307227778826194E-3</v>
      </c>
      <c r="O74" s="400">
        <f t="shared" si="33"/>
        <v>1E-3</v>
      </c>
      <c r="P74" s="136">
        <f t="shared" si="43"/>
        <v>0.1556965106996529</v>
      </c>
      <c r="Q74" s="48">
        <f>IF(D74="Yes",SUM(INDEX(Crop_data,MATCH(A74,Crop_data_codes,0),21):INDEX(Crop_data,MATCH(A74,Crop_data_codes,0),22):INDEX(Crop_data,MATCH(A74,Crop_data_codes,0),23):INDEX(Crop_data,MATCH(A74,Crop_data_codes,0),24):INDEX(Crop_data,MATCH(A74,Crop_data_codes,0),25))*(1/INDEX(Crop_data,MATCH(A74,Crop_data_codes,0),6)*10000)/(No_species/1000000),"")</f>
        <v>7.6921772655331672E-12</v>
      </c>
      <c r="R74" s="49">
        <f t="shared" si="34"/>
        <v>7.5720773317813634E-4</v>
      </c>
      <c r="S74" s="469">
        <f t="shared" si="44"/>
        <v>2.3527276141444144E-2</v>
      </c>
    </row>
    <row r="75" spans="1:19" ht="15" customHeight="1" x14ac:dyDescent="0.3">
      <c r="A75" s="40" t="s">
        <v>109</v>
      </c>
      <c r="B75" s="3" t="str">
        <f t="shared" si="35"/>
        <v>Papayas</v>
      </c>
      <c r="C75" s="3" t="str">
        <f t="shared" si="36"/>
        <v>Fruits</v>
      </c>
      <c r="D75" s="3" t="str">
        <f t="shared" si="37"/>
        <v>No</v>
      </c>
      <c r="E75" s="6"/>
      <c r="F75" s="441" t="str">
        <f t="shared" si="38"/>
        <v/>
      </c>
      <c r="G75" s="400" t="str">
        <f t="shared" si="39"/>
        <v/>
      </c>
      <c r="H75" s="401" t="str">
        <f t="shared" si="40"/>
        <v/>
      </c>
      <c r="I75" s="401" t="str">
        <f t="shared" si="41"/>
        <v/>
      </c>
      <c r="J75" s="401" t="str">
        <f t="shared" si="42"/>
        <v/>
      </c>
      <c r="K75" s="455"/>
      <c r="L75" s="110" t="str">
        <f t="shared" si="30"/>
        <v/>
      </c>
      <c r="M75" s="54" t="str">
        <f t="shared" si="31"/>
        <v/>
      </c>
      <c r="N75" s="402" t="str">
        <f t="shared" si="32"/>
        <v/>
      </c>
      <c r="O75" s="400" t="str">
        <f t="shared" si="33"/>
        <v/>
      </c>
      <c r="P75" s="136" t="str">
        <f t="shared" si="43"/>
        <v/>
      </c>
      <c r="Q75" s="48" t="str">
        <f>IF(D75="Yes",SUM(INDEX(Crop_data,MATCH(A75,Crop_data_codes,0),21):INDEX(Crop_data,MATCH(A75,Crop_data_codes,0),22):INDEX(Crop_data,MATCH(A75,Crop_data_codes,0),23):INDEX(Crop_data,MATCH(A75,Crop_data_codes,0),24):INDEX(Crop_data,MATCH(A75,Crop_data_codes,0),25))*(1/INDEX(Crop_data,MATCH(A75,Crop_data_codes,0),6)*10000)/(No_species/1000000),"")</f>
        <v/>
      </c>
      <c r="R75" s="49" t="str">
        <f t="shared" si="34"/>
        <v/>
      </c>
      <c r="S75" s="469" t="str">
        <f t="shared" si="44"/>
        <v/>
      </c>
    </row>
    <row r="76" spans="1:19" ht="15" customHeight="1" x14ac:dyDescent="0.3">
      <c r="A76" s="40" t="s">
        <v>110</v>
      </c>
      <c r="B76" s="3" t="str">
        <f t="shared" si="35"/>
        <v>Peaches and nectarines</v>
      </c>
      <c r="C76" s="3" t="str">
        <f t="shared" si="36"/>
        <v>Fruits</v>
      </c>
      <c r="D76" s="3" t="str">
        <f t="shared" si="37"/>
        <v>No</v>
      </c>
      <c r="E76" s="406"/>
      <c r="F76" s="441" t="str">
        <f t="shared" si="38"/>
        <v/>
      </c>
      <c r="G76" s="400" t="str">
        <f t="shared" si="39"/>
        <v/>
      </c>
      <c r="H76" s="401" t="str">
        <f t="shared" si="40"/>
        <v/>
      </c>
      <c r="I76" s="401" t="str">
        <f t="shared" si="41"/>
        <v/>
      </c>
      <c r="J76" s="401" t="str">
        <f t="shared" si="42"/>
        <v/>
      </c>
      <c r="K76" s="457"/>
      <c r="L76" s="110" t="str">
        <f t="shared" si="30"/>
        <v/>
      </c>
      <c r="M76" s="54" t="str">
        <f t="shared" si="31"/>
        <v/>
      </c>
      <c r="N76" s="402" t="str">
        <f t="shared" si="32"/>
        <v/>
      </c>
      <c r="O76" s="400" t="str">
        <f t="shared" si="33"/>
        <v/>
      </c>
      <c r="P76" s="136" t="str">
        <f t="shared" si="43"/>
        <v/>
      </c>
      <c r="Q76" s="48" t="str">
        <f>IF(D76="Yes",SUM(INDEX(Crop_data,MATCH(A76,Crop_data_codes,0),21):INDEX(Crop_data,MATCH(A76,Crop_data_codes,0),22):INDEX(Crop_data,MATCH(A76,Crop_data_codes,0),23):INDEX(Crop_data,MATCH(A76,Crop_data_codes,0),24):INDEX(Crop_data,MATCH(A76,Crop_data_codes,0),25))*(1/INDEX(Crop_data,MATCH(A76,Crop_data_codes,0),6)*10000)/(No_species/1000000),"")</f>
        <v/>
      </c>
      <c r="R76" s="49" t="str">
        <f t="shared" si="34"/>
        <v/>
      </c>
      <c r="S76" s="469" t="str">
        <f t="shared" si="44"/>
        <v/>
      </c>
    </row>
    <row r="77" spans="1:19" ht="15" customHeight="1" x14ac:dyDescent="0.3">
      <c r="A77" s="40" t="s">
        <v>111</v>
      </c>
      <c r="B77" s="3" t="str">
        <f t="shared" si="35"/>
        <v>Pears</v>
      </c>
      <c r="C77" s="3" t="str">
        <f t="shared" si="36"/>
        <v>Fruits</v>
      </c>
      <c r="D77" s="3" t="str">
        <f t="shared" si="37"/>
        <v>Yes</v>
      </c>
      <c r="E77" s="6"/>
      <c r="F77" s="441">
        <f t="shared" si="38"/>
        <v>0.19060267164786496</v>
      </c>
      <c r="G77" s="400">
        <f t="shared" si="39"/>
        <v>0.1295101303615479</v>
      </c>
      <c r="H77" s="401">
        <f t="shared" si="40"/>
        <v>1.8488312256183167E-4</v>
      </c>
      <c r="I77" s="401">
        <f t="shared" si="41"/>
        <v>0</v>
      </c>
      <c r="J77" s="401">
        <f t="shared" si="42"/>
        <v>2.0360082136986989E-4</v>
      </c>
      <c r="K77" s="454"/>
      <c r="L77" s="110">
        <f t="shared" si="30"/>
        <v>0.63333709113340741</v>
      </c>
      <c r="M77" s="54">
        <f t="shared" si="31"/>
        <v>3.0400912027360822E-3</v>
      </c>
      <c r="N77" s="402">
        <f t="shared" si="32"/>
        <v>4.1354740642219267E-4</v>
      </c>
      <c r="O77" s="400">
        <f t="shared" si="33"/>
        <v>0.15199999999999997</v>
      </c>
      <c r="P77" s="136">
        <f t="shared" si="43"/>
        <v>0.38570228850024507</v>
      </c>
      <c r="Q77" s="48">
        <f>IF(D77="Yes",SUM(INDEX(Crop_data,MATCH(A77,Crop_data_codes,0),21):INDEX(Crop_data,MATCH(A77,Crop_data_codes,0),22):INDEX(Crop_data,MATCH(A77,Crop_data_codes,0),23):INDEX(Crop_data,MATCH(A77,Crop_data_codes,0),24):INDEX(Crop_data,MATCH(A77,Crop_data_codes,0),25))*(1/INDEX(Crop_data,MATCH(A77,Crop_data_codes,0),6)*10000)/(No_species/1000000),"")</f>
        <v>5.1628471959366598E-12</v>
      </c>
      <c r="R77" s="49">
        <f t="shared" si="34"/>
        <v>1.8482113683800319E-4</v>
      </c>
      <c r="S77" s="469">
        <f t="shared" si="44"/>
        <v>1.8094440693681449E-2</v>
      </c>
    </row>
    <row r="78" spans="1:19" ht="15" customHeight="1" x14ac:dyDescent="0.3">
      <c r="A78" s="40" t="s">
        <v>112</v>
      </c>
      <c r="B78" s="3" t="str">
        <f t="shared" si="35"/>
        <v>Peas, dry</v>
      </c>
      <c r="C78" s="3" t="str">
        <f t="shared" si="36"/>
        <v>Pulses, incl feed</v>
      </c>
      <c r="D78" s="3" t="str">
        <f t="shared" si="37"/>
        <v>Yes</v>
      </c>
      <c r="E78" s="6"/>
      <c r="F78" s="441">
        <f t="shared" si="38"/>
        <v>0.17942165001022103</v>
      </c>
      <c r="G78" s="400">
        <f t="shared" si="39"/>
        <v>0.11888757284654408</v>
      </c>
      <c r="H78" s="401">
        <f t="shared" si="40"/>
        <v>1.3501775178985113E-4</v>
      </c>
      <c r="I78" s="401">
        <f t="shared" si="41"/>
        <v>0</v>
      </c>
      <c r="J78" s="401">
        <f t="shared" si="42"/>
        <v>2.0699834490966814E-4</v>
      </c>
      <c r="K78" s="6"/>
      <c r="L78" s="110">
        <f t="shared" si="30"/>
        <v>3.3757097429734602</v>
      </c>
      <c r="M78" s="54">
        <f t="shared" si="31"/>
        <v>2.1266971380732799E-2</v>
      </c>
      <c r="N78" s="402">
        <f t="shared" si="32"/>
        <v>1.688048615800135E-3</v>
      </c>
      <c r="O78" s="400">
        <f t="shared" si="33"/>
        <v>1E-3</v>
      </c>
      <c r="P78" s="136">
        <f t="shared" si="43"/>
        <v>0.19579116509246067</v>
      </c>
      <c r="Q78" s="48">
        <f>IF(D78="Yes",SUM(INDEX(Crop_data,MATCH(A78,Crop_data_codes,0),21):INDEX(Crop_data,MATCH(A78,Crop_data_codes,0),22):INDEX(Crop_data,MATCH(A78,Crop_data_codes,0),23):INDEX(Crop_data,MATCH(A78,Crop_data_codes,0),24):INDEX(Crop_data,MATCH(A78,Crop_data_codes,0),25))*(1/INDEX(Crop_data,MATCH(A78,Crop_data_codes,0),6)*10000)/(No_species/1000000),"")</f>
        <v>2.7518163431131597E-11</v>
      </c>
      <c r="R78" s="49">
        <f t="shared" si="34"/>
        <v>0</v>
      </c>
      <c r="S78" s="469">
        <f t="shared" si="44"/>
        <v>4.638225186845534E-3</v>
      </c>
    </row>
    <row r="79" spans="1:19" ht="15" customHeight="1" x14ac:dyDescent="0.3">
      <c r="A79" s="40" t="s">
        <v>113</v>
      </c>
      <c r="B79" s="3" t="str">
        <f t="shared" si="35"/>
        <v>Peas, green</v>
      </c>
      <c r="C79" s="3" t="str">
        <f t="shared" si="36"/>
        <v>Vegetables</v>
      </c>
      <c r="D79" s="3" t="str">
        <f t="shared" si="37"/>
        <v>Yes</v>
      </c>
      <c r="E79" s="6"/>
      <c r="F79" s="441">
        <f t="shared" si="38"/>
        <v>0.13427371595767124</v>
      </c>
      <c r="G79" s="400">
        <f t="shared" si="39"/>
        <v>7.4528024276096991E-2</v>
      </c>
      <c r="H79" s="401">
        <f t="shared" si="40"/>
        <v>1.1988255232121806E-4</v>
      </c>
      <c r="I79" s="401">
        <f t="shared" si="41"/>
        <v>0</v>
      </c>
      <c r="J79" s="401">
        <f t="shared" si="42"/>
        <v>2.05762606675465E-4</v>
      </c>
      <c r="K79" s="455"/>
      <c r="L79" s="110">
        <f t="shared" si="30"/>
        <v>2.4895811030835953</v>
      </c>
      <c r="M79" s="54">
        <f t="shared" si="31"/>
        <v>1.568436094942665E-2</v>
      </c>
      <c r="N79" s="402">
        <f t="shared" si="32"/>
        <v>1.2447099825740602E-3</v>
      </c>
      <c r="O79" s="400">
        <f t="shared" si="33"/>
        <v>1.0000000000000002E-3</v>
      </c>
      <c r="P79" s="136">
        <f t="shared" si="43"/>
        <v>0.14439570397884852</v>
      </c>
      <c r="Q79" s="48">
        <f>IF(D79="Yes",SUM(INDEX(Crop_data,MATCH(A79,Crop_data_codes,0),21):INDEX(Crop_data,MATCH(A79,Crop_data_codes,0),22):INDEX(Crop_data,MATCH(A79,Crop_data_codes,0),23):INDEX(Crop_data,MATCH(A79,Crop_data_codes,0),24):INDEX(Crop_data,MATCH(A79,Crop_data_codes,0),25))*(1/INDEX(Crop_data,MATCH(A79,Crop_data_codes,0),6)*10000)/(No_species/1000000),"")</f>
        <v>2.0294606137957242E-11</v>
      </c>
      <c r="R79" s="49">
        <f t="shared" si="34"/>
        <v>0</v>
      </c>
      <c r="S79" s="469">
        <f t="shared" si="44"/>
        <v>3.8787673586042413E-3</v>
      </c>
    </row>
    <row r="80" spans="1:19" ht="15" customHeight="1" x14ac:dyDescent="0.3">
      <c r="A80" s="40" t="s">
        <v>114</v>
      </c>
      <c r="B80" s="3" t="str">
        <f t="shared" si="35"/>
        <v>Pepper (Piper spp.), raw</v>
      </c>
      <c r="C80" s="3" t="str">
        <f t="shared" si="36"/>
        <v>Vegetables</v>
      </c>
      <c r="D80" s="3" t="str">
        <f t="shared" si="37"/>
        <v>No</v>
      </c>
      <c r="E80" s="413"/>
      <c r="F80" s="441" t="str">
        <f t="shared" si="38"/>
        <v/>
      </c>
      <c r="G80" s="400" t="str">
        <f t="shared" si="39"/>
        <v/>
      </c>
      <c r="H80" s="401" t="str">
        <f t="shared" si="40"/>
        <v/>
      </c>
      <c r="I80" s="401" t="str">
        <f t="shared" si="41"/>
        <v/>
      </c>
      <c r="J80" s="401" t="str">
        <f t="shared" si="42"/>
        <v/>
      </c>
      <c r="K80" s="403"/>
      <c r="L80" s="110" t="str">
        <f t="shared" si="30"/>
        <v/>
      </c>
      <c r="M80" s="54" t="str">
        <f t="shared" si="31"/>
        <v/>
      </c>
      <c r="N80" s="402" t="str">
        <f t="shared" si="32"/>
        <v/>
      </c>
      <c r="O80" s="400" t="str">
        <f t="shared" si="33"/>
        <v/>
      </c>
      <c r="P80" s="136" t="str">
        <f t="shared" si="43"/>
        <v/>
      </c>
      <c r="Q80" s="48" t="str">
        <f>IF(D80="Yes",SUM(INDEX(Crop_data,MATCH(A80,Crop_data_codes,0),21):INDEX(Crop_data,MATCH(A80,Crop_data_codes,0),22):INDEX(Crop_data,MATCH(A80,Crop_data_codes,0),23):INDEX(Crop_data,MATCH(A80,Crop_data_codes,0),24):INDEX(Crop_data,MATCH(A80,Crop_data_codes,0),25))*(1/INDEX(Crop_data,MATCH(A80,Crop_data_codes,0),6)*10000)/(No_species/1000000),"")</f>
        <v/>
      </c>
      <c r="R80" s="49" t="str">
        <f t="shared" si="34"/>
        <v/>
      </c>
      <c r="S80" s="469" t="str">
        <f t="shared" si="44"/>
        <v/>
      </c>
    </row>
    <row r="81" spans="1:19" ht="15" customHeight="1" x14ac:dyDescent="0.3">
      <c r="A81" s="40" t="s">
        <v>115</v>
      </c>
      <c r="B81" s="3" t="str">
        <f t="shared" si="35"/>
        <v>Pineapples</v>
      </c>
      <c r="C81" s="3" t="str">
        <f t="shared" si="36"/>
        <v>Fruits</v>
      </c>
      <c r="D81" s="3" t="str">
        <f t="shared" si="37"/>
        <v>No</v>
      </c>
      <c r="E81" s="6"/>
      <c r="F81" s="441" t="str">
        <f t="shared" si="38"/>
        <v/>
      </c>
      <c r="G81" s="400" t="str">
        <f t="shared" si="39"/>
        <v/>
      </c>
      <c r="H81" s="401" t="str">
        <f t="shared" si="40"/>
        <v/>
      </c>
      <c r="I81" s="401" t="str">
        <f t="shared" si="41"/>
        <v/>
      </c>
      <c r="J81" s="401" t="str">
        <f t="shared" si="42"/>
        <v/>
      </c>
      <c r="K81" s="6"/>
      <c r="L81" s="110" t="str">
        <f t="shared" si="30"/>
        <v/>
      </c>
      <c r="M81" s="54" t="str">
        <f t="shared" si="31"/>
        <v/>
      </c>
      <c r="N81" s="402" t="str">
        <f t="shared" si="32"/>
        <v/>
      </c>
      <c r="O81" s="400" t="str">
        <f t="shared" si="33"/>
        <v/>
      </c>
      <c r="P81" s="136" t="str">
        <f t="shared" si="43"/>
        <v/>
      </c>
      <c r="Q81" s="48" t="str">
        <f>IF(D81="Yes",SUM(INDEX(Crop_data,MATCH(A81,Crop_data_codes,0),21):INDEX(Crop_data,MATCH(A81,Crop_data_codes,0),22):INDEX(Crop_data,MATCH(A81,Crop_data_codes,0),23):INDEX(Crop_data,MATCH(A81,Crop_data_codes,0),24):INDEX(Crop_data,MATCH(A81,Crop_data_codes,0),25))*(1/INDEX(Crop_data,MATCH(A81,Crop_data_codes,0),6)*10000)/(No_species/1000000),"")</f>
        <v/>
      </c>
      <c r="R81" s="49" t="str">
        <f t="shared" si="34"/>
        <v/>
      </c>
      <c r="S81" s="469" t="str">
        <f t="shared" si="44"/>
        <v/>
      </c>
    </row>
    <row r="82" spans="1:19" ht="15" customHeight="1" x14ac:dyDescent="0.3">
      <c r="A82" s="40" t="s">
        <v>116</v>
      </c>
      <c r="B82" s="3" t="str">
        <f t="shared" si="35"/>
        <v>Plantains and cooking bananas</v>
      </c>
      <c r="C82" s="3" t="str">
        <f t="shared" si="36"/>
        <v>Fruits</v>
      </c>
      <c r="D82" s="3" t="str">
        <f t="shared" si="37"/>
        <v>No</v>
      </c>
      <c r="E82" s="6"/>
      <c r="F82" s="441" t="str">
        <f t="shared" si="38"/>
        <v/>
      </c>
      <c r="G82" s="400" t="str">
        <f t="shared" si="39"/>
        <v/>
      </c>
      <c r="H82" s="401" t="str">
        <f t="shared" si="40"/>
        <v/>
      </c>
      <c r="I82" s="401" t="str">
        <f t="shared" si="41"/>
        <v/>
      </c>
      <c r="J82" s="401" t="str">
        <f t="shared" si="42"/>
        <v/>
      </c>
      <c r="K82" s="6"/>
      <c r="L82" s="110" t="str">
        <f t="shared" si="30"/>
        <v/>
      </c>
      <c r="M82" s="54" t="str">
        <f t="shared" si="31"/>
        <v/>
      </c>
      <c r="N82" s="402" t="str">
        <f t="shared" si="32"/>
        <v/>
      </c>
      <c r="O82" s="400" t="str">
        <f t="shared" si="33"/>
        <v/>
      </c>
      <c r="P82" s="136" t="str">
        <f t="shared" si="43"/>
        <v/>
      </c>
      <c r="Q82" s="48" t="str">
        <f>IF(D82="Yes",SUM(INDEX(Crop_data,MATCH(A82,Crop_data_codes,0),21):INDEX(Crop_data,MATCH(A82,Crop_data_codes,0),22):INDEX(Crop_data,MATCH(A82,Crop_data_codes,0),23):INDEX(Crop_data,MATCH(A82,Crop_data_codes,0),24):INDEX(Crop_data,MATCH(A82,Crop_data_codes,0),25))*(1/INDEX(Crop_data,MATCH(A82,Crop_data_codes,0),6)*10000)/(No_species/1000000),"")</f>
        <v/>
      </c>
      <c r="R82" s="49" t="str">
        <f t="shared" si="34"/>
        <v/>
      </c>
      <c r="S82" s="469" t="str">
        <f t="shared" si="44"/>
        <v/>
      </c>
    </row>
    <row r="83" spans="1:19" ht="15" customHeight="1" x14ac:dyDescent="0.3">
      <c r="A83" s="40" t="s">
        <v>117</v>
      </c>
      <c r="B83" s="3" t="str">
        <f t="shared" si="35"/>
        <v>Plums and sloes</v>
      </c>
      <c r="C83" s="3" t="str">
        <f t="shared" si="36"/>
        <v>Fruits</v>
      </c>
      <c r="D83" s="3" t="str">
        <f t="shared" si="37"/>
        <v>Yes</v>
      </c>
      <c r="E83" s="421"/>
      <c r="F83" s="441">
        <f t="shared" si="38"/>
        <v>0.36283534403430295</v>
      </c>
      <c r="G83" s="400">
        <f t="shared" si="39"/>
        <v>0.26384182059393541</v>
      </c>
      <c r="H83" s="401">
        <f t="shared" si="40"/>
        <v>2.5394252485934598E-4</v>
      </c>
      <c r="I83" s="401">
        <f t="shared" si="41"/>
        <v>0</v>
      </c>
      <c r="J83" s="401">
        <f t="shared" si="42"/>
        <v>3.3489390549289037E-4</v>
      </c>
      <c r="K83" s="6"/>
      <c r="L83" s="110">
        <f t="shared" si="30"/>
        <v>1.6528925619834711</v>
      </c>
      <c r="M83" s="54">
        <f t="shared" si="31"/>
        <v>6.7768595041322313E-3</v>
      </c>
      <c r="N83" s="402">
        <f t="shared" si="32"/>
        <v>9.9173553719008266E-4</v>
      </c>
      <c r="O83" s="400">
        <f t="shared" si="33"/>
        <v>0.152</v>
      </c>
      <c r="P83" s="136">
        <f t="shared" si="43"/>
        <v>1.0066115702479339</v>
      </c>
      <c r="Q83" s="48">
        <f>IF(D83="Yes",SUM(INDEX(Crop_data,MATCH(A83,Crop_data_codes,0),21):INDEX(Crop_data,MATCH(A83,Crop_data_codes,0),22):INDEX(Crop_data,MATCH(A83,Crop_data_codes,0),23):INDEX(Crop_data,MATCH(A83,Crop_data_codes,0),24):INDEX(Crop_data,MATCH(A83,Crop_data_codes,0),25))*(1/INDEX(Crop_data,MATCH(A83,Crop_data_codes,0),6)*10000)/(No_species/1000000),"")</f>
        <v>1.3474075414641053E-11</v>
      </c>
      <c r="R83" s="49">
        <f t="shared" si="34"/>
        <v>4.1199648109829383E-4</v>
      </c>
      <c r="S83" s="469">
        <f t="shared" si="44"/>
        <v>5.5100826446280997E-2</v>
      </c>
    </row>
    <row r="84" spans="1:19" ht="15" customHeight="1" x14ac:dyDescent="0.3">
      <c r="A84" s="40" t="s">
        <v>118</v>
      </c>
      <c r="B84" s="3" t="str">
        <f t="shared" si="35"/>
        <v>Pomelos and grapefruits</v>
      </c>
      <c r="C84" s="3" t="str">
        <f t="shared" si="36"/>
        <v>Fruits</v>
      </c>
      <c r="D84" s="3" t="str">
        <f t="shared" si="37"/>
        <v>No</v>
      </c>
      <c r="E84" s="421"/>
      <c r="F84" s="441" t="str">
        <f t="shared" si="38"/>
        <v/>
      </c>
      <c r="G84" s="400" t="str">
        <f t="shared" si="39"/>
        <v/>
      </c>
      <c r="H84" s="401" t="str">
        <f t="shared" si="40"/>
        <v/>
      </c>
      <c r="I84" s="401" t="str">
        <f t="shared" si="41"/>
        <v/>
      </c>
      <c r="J84" s="401" t="str">
        <f t="shared" si="42"/>
        <v/>
      </c>
      <c r="K84" s="6"/>
      <c r="L84" s="1" t="str">
        <f t="shared" si="30"/>
        <v/>
      </c>
      <c r="M84" s="54" t="str">
        <f t="shared" si="31"/>
        <v/>
      </c>
      <c r="N84" s="402" t="str">
        <f t="shared" si="32"/>
        <v/>
      </c>
      <c r="O84" s="400" t="str">
        <f t="shared" si="33"/>
        <v/>
      </c>
      <c r="P84" s="136" t="str">
        <f t="shared" si="43"/>
        <v/>
      </c>
      <c r="Q84" s="48" t="str">
        <f>IF(D84="Yes",SUM(INDEX(Crop_data,MATCH(A84,Crop_data_codes,0),21):INDEX(Crop_data,MATCH(A84,Crop_data_codes,0),22):INDEX(Crop_data,MATCH(A84,Crop_data_codes,0),23):INDEX(Crop_data,MATCH(A84,Crop_data_codes,0),24):INDEX(Crop_data,MATCH(A84,Crop_data_codes,0),25))*(1/INDEX(Crop_data,MATCH(A84,Crop_data_codes,0),6)*10000)/(No_species/1000000),"")</f>
        <v/>
      </c>
      <c r="R84" s="49" t="str">
        <f t="shared" si="34"/>
        <v/>
      </c>
      <c r="S84" s="469" t="str">
        <f t="shared" si="44"/>
        <v/>
      </c>
    </row>
    <row r="85" spans="1:19" ht="15" customHeight="1" x14ac:dyDescent="0.3">
      <c r="A85" s="40" t="s">
        <v>119</v>
      </c>
      <c r="B85" s="3" t="str">
        <f t="shared" si="35"/>
        <v>Poppy seed</v>
      </c>
      <c r="C85" s="3" t="str">
        <f t="shared" si="36"/>
        <v>Seeds</v>
      </c>
      <c r="D85" s="3" t="str">
        <f t="shared" si="37"/>
        <v>No</v>
      </c>
      <c r="E85" s="421"/>
      <c r="F85" s="441" t="str">
        <f t="shared" si="38"/>
        <v/>
      </c>
      <c r="G85" s="400" t="str">
        <f t="shared" si="39"/>
        <v/>
      </c>
      <c r="H85" s="401" t="str">
        <f t="shared" si="40"/>
        <v/>
      </c>
      <c r="I85" s="401" t="str">
        <f t="shared" si="41"/>
        <v/>
      </c>
      <c r="J85" s="401" t="str">
        <f t="shared" si="42"/>
        <v/>
      </c>
      <c r="K85" s="6"/>
      <c r="L85" s="1" t="str">
        <f t="shared" si="30"/>
        <v/>
      </c>
      <c r="M85" s="54" t="str">
        <f t="shared" si="31"/>
        <v/>
      </c>
      <c r="N85" s="402" t="str">
        <f t="shared" si="32"/>
        <v/>
      </c>
      <c r="O85" s="400" t="str">
        <f t="shared" si="33"/>
        <v/>
      </c>
      <c r="P85" s="136" t="str">
        <f t="shared" si="43"/>
        <v/>
      </c>
      <c r="Q85" s="48" t="str">
        <f>IF(D85="Yes",SUM(INDEX(Crop_data,MATCH(A85,Crop_data_codes,0),21):INDEX(Crop_data,MATCH(A85,Crop_data_codes,0),22):INDEX(Crop_data,MATCH(A85,Crop_data_codes,0),23):INDEX(Crop_data,MATCH(A85,Crop_data_codes,0),24):INDEX(Crop_data,MATCH(A85,Crop_data_codes,0),25))*(1/INDEX(Crop_data,MATCH(A85,Crop_data_codes,0),6)*10000)/(No_species/1000000),"")</f>
        <v/>
      </c>
      <c r="R85" s="49" t="str">
        <f t="shared" si="34"/>
        <v/>
      </c>
      <c r="S85" s="469" t="str">
        <f t="shared" si="44"/>
        <v/>
      </c>
    </row>
    <row r="86" spans="1:19" ht="15" customHeight="1" x14ac:dyDescent="0.3">
      <c r="A86" s="40" t="s">
        <v>120</v>
      </c>
      <c r="B86" s="3" t="str">
        <f t="shared" si="35"/>
        <v>Potatoes</v>
      </c>
      <c r="C86" s="3" t="str">
        <f t="shared" si="36"/>
        <v>Roots</v>
      </c>
      <c r="D86" s="3" t="str">
        <f t="shared" si="37"/>
        <v>Yes</v>
      </c>
      <c r="E86" s="6"/>
      <c r="F86" s="441">
        <f t="shared" si="38"/>
        <v>9.1563239191327958E-2</v>
      </c>
      <c r="G86" s="400">
        <f t="shared" si="39"/>
        <v>5.2896461758542922E-2</v>
      </c>
      <c r="H86" s="401">
        <f t="shared" si="40"/>
        <v>1.1976869440580975E-4</v>
      </c>
      <c r="I86" s="401">
        <f t="shared" si="41"/>
        <v>0</v>
      </c>
      <c r="J86" s="401">
        <f t="shared" si="42"/>
        <v>1.2856289501645386E-4</v>
      </c>
      <c r="K86" s="6"/>
      <c r="L86" s="110">
        <f t="shared" si="30"/>
        <v>0.29075261313911061</v>
      </c>
      <c r="M86" s="54">
        <f t="shared" si="31"/>
        <v>2.936601392705017E-3</v>
      </c>
      <c r="N86" s="402">
        <f t="shared" si="32"/>
        <v>1.1920857138703533E-3</v>
      </c>
      <c r="O86" s="400">
        <f t="shared" si="33"/>
        <v>0.01</v>
      </c>
      <c r="P86" s="136">
        <f t="shared" si="43"/>
        <v>6.1930306598630559E-2</v>
      </c>
      <c r="Q86" s="48">
        <f>IF(D86="Yes",SUM(INDEX(Crop_data,MATCH(A86,Crop_data_codes,0),21):INDEX(Crop_data,MATCH(A86,Crop_data_codes,0),22):INDEX(Crop_data,MATCH(A86,Crop_data_codes,0),23):INDEX(Crop_data,MATCH(A86,Crop_data_codes,0),24):INDEX(Crop_data,MATCH(A86,Crop_data_codes,0),25))*(1/INDEX(Crop_data,MATCH(A86,Crop_data_codes,0),6)*10000)/(No_species/1000000),"")</f>
        <v>2.3701616950464005E-12</v>
      </c>
      <c r="R86" s="49">
        <f t="shared" si="34"/>
        <v>1.7852951495380575E-4</v>
      </c>
      <c r="S86" s="469">
        <f t="shared" si="44"/>
        <v>3.2020585285010249E-3</v>
      </c>
    </row>
    <row r="87" spans="1:19" ht="15" customHeight="1" x14ac:dyDescent="0.3">
      <c r="A87" s="40" t="s">
        <v>121</v>
      </c>
      <c r="B87" s="3" t="str">
        <f t="shared" si="35"/>
        <v>Pumpkins, squash and gourds</v>
      </c>
      <c r="C87" s="3" t="str">
        <f t="shared" si="36"/>
        <v>Vegetables</v>
      </c>
      <c r="D87" s="3" t="str">
        <f t="shared" si="37"/>
        <v>Yes</v>
      </c>
      <c r="E87" s="6"/>
      <c r="F87" s="441">
        <f t="shared" si="38"/>
        <v>9.1158829406201083E-2</v>
      </c>
      <c r="G87" s="400">
        <f t="shared" si="39"/>
        <v>5.3661112629310941E-2</v>
      </c>
      <c r="H87" s="401">
        <f t="shared" si="40"/>
        <v>1.1982243309921901E-4</v>
      </c>
      <c r="I87" s="401">
        <f t="shared" si="41"/>
        <v>0</v>
      </c>
      <c r="J87" s="401">
        <f t="shared" si="42"/>
        <v>1.2427475556971946E-4</v>
      </c>
      <c r="K87" s="455"/>
      <c r="L87" s="110">
        <f t="shared" si="30"/>
        <v>0.43438882578184562</v>
      </c>
      <c r="M87" s="54">
        <f t="shared" si="31"/>
        <v>7.8189479171191531E-4</v>
      </c>
      <c r="N87" s="402">
        <f t="shared" si="32"/>
        <v>0</v>
      </c>
      <c r="O87" s="400">
        <f t="shared" si="33"/>
        <v>3.3999999999999996E-2</v>
      </c>
      <c r="P87" s="136">
        <f t="shared" si="43"/>
        <v>7.1674156254004515E-2</v>
      </c>
      <c r="Q87" s="48">
        <f>IF(D87="Yes",SUM(INDEX(Crop_data,MATCH(A87,Crop_data_codes,0),21):INDEX(Crop_data,MATCH(A87,Crop_data_codes,0),22):INDEX(Crop_data,MATCH(A87,Crop_data_codes,0),23):INDEX(Crop_data,MATCH(A87,Crop_data_codes,0),24):INDEX(Crop_data,MATCH(A87,Crop_data_codes,0),25))*(1/INDEX(Crop_data,MATCH(A87,Crop_data_codes,0),6)*10000)/(No_species/1000000),"")</f>
        <v>3.5410576177064865E-12</v>
      </c>
      <c r="R87" s="49">
        <f t="shared" si="34"/>
        <v>4.7534983214270115E-5</v>
      </c>
      <c r="S87" s="469">
        <f t="shared" si="44"/>
        <v>6.5896784871105974E-3</v>
      </c>
    </row>
    <row r="88" spans="1:19" ht="15" customHeight="1" x14ac:dyDescent="0.3">
      <c r="A88" s="40" t="s">
        <v>122</v>
      </c>
      <c r="B88" s="3" t="str">
        <f t="shared" si="35"/>
        <v>Quinces</v>
      </c>
      <c r="C88" s="3" t="str">
        <f t="shared" si="36"/>
        <v>Other</v>
      </c>
      <c r="D88" s="3" t="str">
        <f t="shared" si="37"/>
        <v>No</v>
      </c>
      <c r="E88" s="6"/>
      <c r="F88" s="441" t="str">
        <f t="shared" si="38"/>
        <v/>
      </c>
      <c r="G88" s="400" t="str">
        <f t="shared" si="39"/>
        <v/>
      </c>
      <c r="H88" s="401" t="str">
        <f t="shared" si="40"/>
        <v/>
      </c>
      <c r="I88" s="401" t="str">
        <f t="shared" si="41"/>
        <v/>
      </c>
      <c r="J88" s="401" t="str">
        <f t="shared" si="42"/>
        <v/>
      </c>
      <c r="K88" s="6"/>
      <c r="L88" s="110" t="str">
        <f t="shared" si="30"/>
        <v/>
      </c>
      <c r="M88" s="54" t="str">
        <f t="shared" si="31"/>
        <v/>
      </c>
      <c r="N88" s="402" t="str">
        <f t="shared" si="32"/>
        <v/>
      </c>
      <c r="O88" s="400" t="str">
        <f t="shared" si="33"/>
        <v/>
      </c>
      <c r="P88" s="136" t="str">
        <f t="shared" si="43"/>
        <v/>
      </c>
      <c r="Q88" s="48" t="str">
        <f>IF(D88="Yes",SUM(INDEX(Crop_data,MATCH(A88,Crop_data_codes,0),21):INDEX(Crop_data,MATCH(A88,Crop_data_codes,0),22):INDEX(Crop_data,MATCH(A88,Crop_data_codes,0),23):INDEX(Crop_data,MATCH(A88,Crop_data_codes,0),24):INDEX(Crop_data,MATCH(A88,Crop_data_codes,0),25))*(1/INDEX(Crop_data,MATCH(A88,Crop_data_codes,0),6)*10000)/(No_species/1000000),"")</f>
        <v/>
      </c>
      <c r="R88" s="49" t="str">
        <f t="shared" si="34"/>
        <v/>
      </c>
      <c r="S88" s="469" t="str">
        <f t="shared" si="44"/>
        <v/>
      </c>
    </row>
    <row r="89" spans="1:19" ht="15" customHeight="1" x14ac:dyDescent="0.3">
      <c r="A89" s="40" t="s">
        <v>123</v>
      </c>
      <c r="B89" s="3" t="str">
        <f t="shared" si="35"/>
        <v>Quinoa</v>
      </c>
      <c r="C89" s="3" t="str">
        <f t="shared" si="36"/>
        <v>Seeds</v>
      </c>
      <c r="D89" s="3" t="str">
        <f t="shared" si="37"/>
        <v>No</v>
      </c>
      <c r="E89" s="6"/>
      <c r="F89" s="441" t="str">
        <f t="shared" si="38"/>
        <v/>
      </c>
      <c r="G89" s="400" t="str">
        <f t="shared" si="39"/>
        <v/>
      </c>
      <c r="H89" s="401" t="str">
        <f t="shared" si="40"/>
        <v/>
      </c>
      <c r="I89" s="401" t="str">
        <f t="shared" si="41"/>
        <v/>
      </c>
      <c r="J89" s="401" t="str">
        <f t="shared" si="42"/>
        <v/>
      </c>
      <c r="K89" s="6"/>
      <c r="L89" s="1" t="str">
        <f t="shared" si="30"/>
        <v/>
      </c>
      <c r="M89" s="54" t="str">
        <f t="shared" si="31"/>
        <v/>
      </c>
      <c r="N89" s="402" t="str">
        <f t="shared" si="32"/>
        <v/>
      </c>
      <c r="O89" s="136" t="str">
        <f t="shared" si="33"/>
        <v/>
      </c>
      <c r="P89" s="136" t="str">
        <f t="shared" si="43"/>
        <v/>
      </c>
      <c r="Q89" s="48" t="str">
        <f>IF(D89="Yes",SUM(INDEX(Crop_data,MATCH(A89,Crop_data_codes,0),21):INDEX(Crop_data,MATCH(A89,Crop_data_codes,0),22):INDEX(Crop_data,MATCH(A89,Crop_data_codes,0),23):INDEX(Crop_data,MATCH(A89,Crop_data_codes,0),24):INDEX(Crop_data,MATCH(A89,Crop_data_codes,0),25))*(1/INDEX(Crop_data,MATCH(A89,Crop_data_codes,0),6)*10000)/(No_species/1000000),"")</f>
        <v/>
      </c>
      <c r="R89" s="49" t="str">
        <f t="shared" si="34"/>
        <v/>
      </c>
      <c r="S89" s="469" t="str">
        <f t="shared" si="44"/>
        <v/>
      </c>
    </row>
    <row r="90" spans="1:19" ht="15" customHeight="1" x14ac:dyDescent="0.3">
      <c r="A90" s="40" t="s">
        <v>124</v>
      </c>
      <c r="B90" s="3" t="str">
        <f t="shared" si="35"/>
        <v>Rape or colza seed, average</v>
      </c>
      <c r="C90" s="3" t="str">
        <f t="shared" si="36"/>
        <v>Oil crops</v>
      </c>
      <c r="D90" s="3" t="str">
        <f t="shared" si="37"/>
        <v>Yes</v>
      </c>
      <c r="E90" s="6"/>
      <c r="F90" s="441">
        <f t="shared" si="38"/>
        <v>0.80710377822514956</v>
      </c>
      <c r="G90" s="400">
        <f t="shared" si="39"/>
        <v>0.32718206012453666</v>
      </c>
      <c r="H90" s="401">
        <f t="shared" si="40"/>
        <v>3.3144695387115535E-4</v>
      </c>
      <c r="I90" s="401">
        <f t="shared" si="41"/>
        <v>0</v>
      </c>
      <c r="J90" s="401">
        <f t="shared" si="42"/>
        <v>1.7217750874551374E-3</v>
      </c>
      <c r="K90" s="6"/>
      <c r="L90" s="110">
        <f t="shared" si="30"/>
        <v>3.2078013729389876</v>
      </c>
      <c r="M90" s="54">
        <f t="shared" si="31"/>
        <v>4.7154680182203118E-2</v>
      </c>
      <c r="N90" s="402">
        <f t="shared" si="32"/>
        <v>9.2699884125144842E-3</v>
      </c>
      <c r="O90" s="400">
        <f t="shared" si="33"/>
        <v>2E-3</v>
      </c>
      <c r="P90" s="136">
        <f t="shared" si="43"/>
        <v>0.11516006928850966</v>
      </c>
      <c r="Q90" s="48">
        <f>IF(D90="Yes",SUM(INDEX(Crop_data,MATCH(A90,Crop_data_codes,0),21):INDEX(Crop_data,MATCH(A90,Crop_data_codes,0),22):INDEX(Crop_data,MATCH(A90,Crop_data_codes,0),23):INDEX(Crop_data,MATCH(A90,Crop_data_codes,0),24):INDEX(Crop_data,MATCH(A90,Crop_data_codes,0),25))*(1/INDEX(Crop_data,MATCH(A90,Crop_data_codes,0),6)*10000)/(No_species/1000000),"")</f>
        <v>2.6149405356572259E-11</v>
      </c>
      <c r="R90" s="49">
        <f t="shared" si="34"/>
        <v>2.8667500470589751E-3</v>
      </c>
      <c r="S90" s="469">
        <f t="shared" si="44"/>
        <v>5.0971963816000511E-3</v>
      </c>
    </row>
    <row r="91" spans="1:19" ht="15" customHeight="1" x14ac:dyDescent="0.3">
      <c r="A91" s="40" t="s">
        <v>125</v>
      </c>
      <c r="B91" s="3" t="str">
        <f t="shared" si="35"/>
        <v>Rape or colza seed, spring</v>
      </c>
      <c r="C91" s="3" t="str">
        <f t="shared" si="36"/>
        <v>Oil crops</v>
      </c>
      <c r="D91" s="3" t="str">
        <f t="shared" si="37"/>
        <v>Yes</v>
      </c>
      <c r="E91" s="406"/>
      <c r="F91" s="441">
        <f t="shared" si="38"/>
        <v>1.2957776114849884</v>
      </c>
      <c r="G91" s="400">
        <f t="shared" si="39"/>
        <v>0.45505991773134624</v>
      </c>
      <c r="H91" s="401">
        <f t="shared" si="40"/>
        <v>4.9983982909944727E-4</v>
      </c>
      <c r="I91" s="401">
        <f t="shared" si="41"/>
        <v>0</v>
      </c>
      <c r="J91" s="401">
        <f t="shared" si="42"/>
        <v>3.0249907210493721E-3</v>
      </c>
      <c r="K91" s="455"/>
      <c r="L91" s="110">
        <f t="shared" si="30"/>
        <v>5.793742757821553</v>
      </c>
      <c r="M91" s="54">
        <f t="shared" si="31"/>
        <v>8.5168018539976825E-2</v>
      </c>
      <c r="N91" s="402">
        <f t="shared" si="32"/>
        <v>9.2699884125144842E-3</v>
      </c>
      <c r="O91" s="400">
        <f t="shared" si="33"/>
        <v>2E-3</v>
      </c>
      <c r="P91" s="136">
        <f t="shared" si="43"/>
        <v>0.15063731170336037</v>
      </c>
      <c r="Q91" s="48">
        <f>IF(D91="Yes",SUM(INDEX(Crop_data,MATCH(A91,Crop_data_codes,0),21):INDEX(Crop_data,MATCH(A91,Crop_data_codes,0),22):INDEX(Crop_data,MATCH(A91,Crop_data_codes,0),23):INDEX(Crop_data,MATCH(A91,Crop_data_codes,0),24):INDEX(Crop_data,MATCH(A91,Crop_data_codes,0),25))*(1/INDEX(Crop_data,MATCH(A91,Crop_data_codes,0),6)*10000)/(No_species/1000000),"")</f>
        <v>4.7229522745410413E-11</v>
      </c>
      <c r="R91" s="49">
        <f t="shared" si="34"/>
        <v>5.1777558497692056E-3</v>
      </c>
      <c r="S91" s="469">
        <f t="shared" si="44"/>
        <v>9.2062572421784481E-3</v>
      </c>
    </row>
    <row r="92" spans="1:19" ht="15" customHeight="1" x14ac:dyDescent="0.3">
      <c r="A92" s="40" t="s">
        <v>126</v>
      </c>
      <c r="B92" s="3" t="str">
        <f t="shared" si="35"/>
        <v>Rape or colza seed, winter</v>
      </c>
      <c r="C92" s="3" t="str">
        <f t="shared" si="36"/>
        <v>Oil crops</v>
      </c>
      <c r="D92" s="3" t="str">
        <f t="shared" si="37"/>
        <v>Yes</v>
      </c>
      <c r="E92" s="406"/>
      <c r="F92" s="441">
        <f t="shared" si="38"/>
        <v>0.74369835694882169</v>
      </c>
      <c r="G92" s="400">
        <f t="shared" si="39"/>
        <v>0.28492353690502514</v>
      </c>
      <c r="H92" s="401">
        <f t="shared" si="40"/>
        <v>3.215771459845745E-4</v>
      </c>
      <c r="I92" s="401">
        <f t="shared" si="41"/>
        <v>0</v>
      </c>
      <c r="J92" s="401">
        <f t="shared" si="42"/>
        <v>1.6453912860566165E-3</v>
      </c>
      <c r="K92" s="404"/>
      <c r="L92" s="110">
        <f t="shared" ref="L92:L118" si="45">IF(D92="Yes",1/INDEX(Crop_data,MATCH(A92,Crop_data_codes,0),6)*10000,"")</f>
        <v>3.0562347188264058</v>
      </c>
      <c r="M92" s="54">
        <f t="shared" ref="M92:M118" si="46">IF(D92="Yes",(INDEX(Crop_data,MATCH(A92,Crop_data_codes,0),7)+INDEX(Crop_data,MATCH(A92,Crop_data_codes,0),8))/INDEX(Crop_data,MATCH(A92,Crop_data_codes,0),6),"")</f>
        <v>4.4926650366748165E-2</v>
      </c>
      <c r="N92" s="402">
        <f t="shared" ref="N92:N118" si="47">IF(D92="Yes",INDEX(Crop_data,MATCH(A92,Crop_data_codes,0),10)/INDEX(Crop_data,MATCH(A92,Crop_data_codes,0),6),"")</f>
        <v>4.8899755501222494E-3</v>
      </c>
      <c r="O92" s="400">
        <f t="shared" ref="O92:O118" si="48">IF(D92="Yes",INDEX(Crop_data,MATCH(A92,Crop_data_codes,0),12)/INDEX(Crop_data,MATCH(A92,Crop_data_codes,0),6),"")</f>
        <v>2E-3</v>
      </c>
      <c r="P92" s="136">
        <f t="shared" si="43"/>
        <v>0.11308068459657701</v>
      </c>
      <c r="Q92" s="48">
        <f>IF(D92="Yes",SUM(INDEX(Crop_data,MATCH(A92,Crop_data_codes,0),21):INDEX(Crop_data,MATCH(A92,Crop_data_codes,0),22):INDEX(Crop_data,MATCH(A92,Crop_data_codes,0),23):INDEX(Crop_data,MATCH(A92,Crop_data_codes,0),24):INDEX(Crop_data,MATCH(A92,Crop_data_codes,0),25))*(1/INDEX(Crop_data,MATCH(A92,Crop_data_codes,0),6)*10000)/(No_species/1000000),"")</f>
        <v>2.491386193721833E-11</v>
      </c>
      <c r="R92" s="49">
        <f t="shared" ref="R92:R118" si="49">IF(D92="Yes",INDEX(Crop_data,MATCH(A92,Crop_data_codes,0),7)/INDEX(Crop_data,MATCH(A92,Crop_data_codes,0),6)*EF_NH3*N_to_NH3,"")</f>
        <v>2.7312978596276431E-3</v>
      </c>
      <c r="S92" s="469">
        <f t="shared" si="44"/>
        <v>4.8563569682151591E-3</v>
      </c>
    </row>
    <row r="93" spans="1:19" ht="15" customHeight="1" x14ac:dyDescent="0.3">
      <c r="A93" s="40" t="s">
        <v>127</v>
      </c>
      <c r="B93" s="3" t="str">
        <f t="shared" si="35"/>
        <v>Raspberries</v>
      </c>
      <c r="C93" s="3" t="str">
        <f t="shared" si="36"/>
        <v>Berries</v>
      </c>
      <c r="D93" s="3" t="str">
        <f t="shared" si="37"/>
        <v>Yes</v>
      </c>
      <c r="E93" s="406"/>
      <c r="F93" s="441">
        <f t="shared" si="38"/>
        <v>0.65909232779033289</v>
      </c>
      <c r="G93" s="400">
        <f t="shared" si="39"/>
        <v>0.35512528941160748</v>
      </c>
      <c r="H93" s="401">
        <f t="shared" si="40"/>
        <v>3.4604340852041729E-4</v>
      </c>
      <c r="I93" s="401">
        <f t="shared" si="41"/>
        <v>0</v>
      </c>
      <c r="J93" s="401">
        <f t="shared" si="42"/>
        <v>1.0756591384791831E-3</v>
      </c>
      <c r="K93" s="404"/>
      <c r="L93" s="110">
        <f t="shared" si="45"/>
        <v>2.8394570958032821</v>
      </c>
      <c r="M93" s="54">
        <f t="shared" si="46"/>
        <v>2.8394570958032824E-2</v>
      </c>
      <c r="N93" s="402">
        <f t="shared" si="47"/>
        <v>3.549321369754103E-3</v>
      </c>
      <c r="O93" s="400">
        <f t="shared" si="48"/>
        <v>0.15199999999999997</v>
      </c>
      <c r="P93" s="136">
        <f t="shared" si="43"/>
        <v>0.63887784655573854</v>
      </c>
      <c r="Q93" s="48">
        <f>IF(D93="Yes",SUM(INDEX(Crop_data,MATCH(A93,Crop_data_codes,0),21):INDEX(Crop_data,MATCH(A93,Crop_data_codes,0),22):INDEX(Crop_data,MATCH(A93,Crop_data_codes,0),23):INDEX(Crop_data,MATCH(A93,Crop_data_codes,0),24):INDEX(Crop_data,MATCH(A93,Crop_data_codes,0),25))*(1/INDEX(Crop_data,MATCH(A93,Crop_data_codes,0),6)*10000)/(No_species/1000000),"")</f>
        <v>2.314673072252211E-11</v>
      </c>
      <c r="R93" s="49">
        <f t="shared" si="49"/>
        <v>1.7262366601922502E-3</v>
      </c>
      <c r="S93" s="469">
        <f t="shared" si="44"/>
        <v>0.50003975239934118</v>
      </c>
    </row>
    <row r="94" spans="1:19" ht="15" customHeight="1" x14ac:dyDescent="0.3">
      <c r="A94" s="40" t="s">
        <v>128</v>
      </c>
      <c r="B94" s="3" t="str">
        <f t="shared" si="35"/>
        <v>Rice</v>
      </c>
      <c r="C94" s="3" t="str">
        <f t="shared" si="36"/>
        <v>Cereals</v>
      </c>
      <c r="D94" s="3" t="str">
        <f t="shared" si="37"/>
        <v>No</v>
      </c>
      <c r="E94" s="6">
        <v>40</v>
      </c>
      <c r="F94" s="441" t="str">
        <f t="shared" si="38"/>
        <v/>
      </c>
      <c r="G94" s="400" t="str">
        <f t="shared" si="39"/>
        <v/>
      </c>
      <c r="H94" s="401" t="str">
        <f t="shared" si="40"/>
        <v/>
      </c>
      <c r="I94" s="401" t="str">
        <f t="shared" si="41"/>
        <v/>
      </c>
      <c r="J94" s="401" t="str">
        <f t="shared" si="42"/>
        <v/>
      </c>
      <c r="K94" s="6"/>
      <c r="L94" s="110" t="str">
        <f t="shared" si="45"/>
        <v/>
      </c>
      <c r="M94" s="54" t="str">
        <f t="shared" si="46"/>
        <v/>
      </c>
      <c r="N94" s="402" t="str">
        <f t="shared" si="47"/>
        <v/>
      </c>
      <c r="O94" s="400" t="str">
        <f t="shared" si="48"/>
        <v/>
      </c>
      <c r="P94" s="136" t="str">
        <f t="shared" si="43"/>
        <v/>
      </c>
      <c r="Q94" s="48" t="str">
        <f>IF(D94="Yes",SUM(INDEX(Crop_data,MATCH(A94,Crop_data_codes,0),21):INDEX(Crop_data,MATCH(A94,Crop_data_codes,0),22):INDEX(Crop_data,MATCH(A94,Crop_data_codes,0),23):INDEX(Crop_data,MATCH(A94,Crop_data_codes,0),24):INDEX(Crop_data,MATCH(A94,Crop_data_codes,0),25))*(1/INDEX(Crop_data,MATCH(A94,Crop_data_codes,0),6)*10000)/(No_species/1000000),"")</f>
        <v/>
      </c>
      <c r="R94" s="49" t="str">
        <f t="shared" si="49"/>
        <v/>
      </c>
      <c r="S94" s="469" t="str">
        <f t="shared" si="44"/>
        <v/>
      </c>
    </row>
    <row r="95" spans="1:19" ht="15" customHeight="1" x14ac:dyDescent="0.3">
      <c r="A95" s="40" t="s">
        <v>129</v>
      </c>
      <c r="B95" s="3" t="str">
        <f t="shared" si="35"/>
        <v>Rye</v>
      </c>
      <c r="C95" s="3" t="str">
        <f t="shared" si="36"/>
        <v>Cereals, incl feed</v>
      </c>
      <c r="D95" s="3" t="str">
        <f t="shared" si="37"/>
        <v>Yes</v>
      </c>
      <c r="E95" s="6"/>
      <c r="F95" s="441">
        <f t="shared" si="38"/>
        <v>0.32908819820639024</v>
      </c>
      <c r="G95" s="400">
        <f t="shared" si="39"/>
        <v>0.14252482321578389</v>
      </c>
      <c r="H95" s="401">
        <f t="shared" si="40"/>
        <v>1.8598744972238678E-4</v>
      </c>
      <c r="I95" s="401">
        <f t="shared" si="41"/>
        <v>0</v>
      </c>
      <c r="J95" s="401">
        <f t="shared" si="42"/>
        <v>6.6308039922666391E-4</v>
      </c>
      <c r="K95" s="6"/>
      <c r="L95" s="110">
        <f t="shared" si="45"/>
        <v>1.6760975086486631</v>
      </c>
      <c r="M95" s="54">
        <f t="shared" si="46"/>
        <v>1.5923566878980892E-2</v>
      </c>
      <c r="N95" s="402">
        <f t="shared" si="47"/>
        <v>1.1733154542406972E-3</v>
      </c>
      <c r="O95" s="400">
        <f t="shared" si="48"/>
        <v>0</v>
      </c>
      <c r="P95" s="136">
        <f t="shared" si="43"/>
        <v>0.15755316581297432</v>
      </c>
      <c r="Q95" s="48">
        <f>IF(D95="Yes",SUM(INDEX(Crop_data,MATCH(A95,Crop_data_codes,0),21):INDEX(Crop_data,MATCH(A95,Crop_data_codes,0),22):INDEX(Crop_data,MATCH(A95,Crop_data_codes,0),23):INDEX(Crop_data,MATCH(A95,Crop_data_codes,0),24):INDEX(Crop_data,MATCH(A95,Crop_data_codes,0),25))*(1/INDEX(Crop_data,MATCH(A95,Crop_data_codes,0),6)*10000)/(No_species/1000000),"")</f>
        <v>1.3663237861463563E-11</v>
      </c>
      <c r="R95" s="49">
        <f t="shared" si="49"/>
        <v>9.6806692195303612E-4</v>
      </c>
      <c r="S95" s="469">
        <f t="shared" si="44"/>
        <v>2.681756013837861E-3</v>
      </c>
    </row>
    <row r="96" spans="1:19" ht="15" customHeight="1" x14ac:dyDescent="0.3">
      <c r="A96" s="40" t="s">
        <v>130</v>
      </c>
      <c r="B96" s="3" t="str">
        <f t="shared" si="35"/>
        <v>Sorghum</v>
      </c>
      <c r="C96" s="3" t="str">
        <f t="shared" si="36"/>
        <v>Cereals</v>
      </c>
      <c r="D96" s="3" t="str">
        <f t="shared" si="37"/>
        <v>No</v>
      </c>
      <c r="E96" s="6"/>
      <c r="F96" s="441" t="str">
        <f t="shared" si="38"/>
        <v/>
      </c>
      <c r="G96" s="400" t="str">
        <f t="shared" si="39"/>
        <v/>
      </c>
      <c r="H96" s="401" t="str">
        <f t="shared" si="40"/>
        <v/>
      </c>
      <c r="I96" s="401" t="str">
        <f t="shared" si="41"/>
        <v/>
      </c>
      <c r="J96" s="401" t="str">
        <f t="shared" si="42"/>
        <v/>
      </c>
      <c r="K96" s="6"/>
      <c r="L96" s="110" t="str">
        <f t="shared" si="45"/>
        <v/>
      </c>
      <c r="M96" s="54" t="str">
        <f t="shared" si="46"/>
        <v/>
      </c>
      <c r="N96" s="402" t="str">
        <f t="shared" si="47"/>
        <v/>
      </c>
      <c r="O96" s="400" t="str">
        <f t="shared" si="48"/>
        <v/>
      </c>
      <c r="P96" s="136" t="str">
        <f t="shared" si="43"/>
        <v/>
      </c>
      <c r="Q96" s="48" t="str">
        <f>IF(D96="Yes",SUM(INDEX(Crop_data,MATCH(A96,Crop_data_codes,0),21):INDEX(Crop_data,MATCH(A96,Crop_data_codes,0),22):INDEX(Crop_data,MATCH(A96,Crop_data_codes,0),23):INDEX(Crop_data,MATCH(A96,Crop_data_codes,0),24):INDEX(Crop_data,MATCH(A96,Crop_data_codes,0),25))*(1/INDEX(Crop_data,MATCH(A96,Crop_data_codes,0),6)*10000)/(No_species/1000000),"")</f>
        <v/>
      </c>
      <c r="R96" s="49" t="str">
        <f t="shared" si="49"/>
        <v/>
      </c>
      <c r="S96" s="469" t="str">
        <f t="shared" si="44"/>
        <v/>
      </c>
    </row>
    <row r="97" spans="1:19" ht="15" customHeight="1" x14ac:dyDescent="0.3">
      <c r="A97" s="40" t="s">
        <v>131</v>
      </c>
      <c r="B97" s="3" t="str">
        <f t="shared" si="35"/>
        <v>Sour cherries</v>
      </c>
      <c r="C97" s="3" t="str">
        <f t="shared" si="36"/>
        <v>Fruits</v>
      </c>
      <c r="D97" s="3" t="str">
        <f t="shared" si="37"/>
        <v>Yes</v>
      </c>
      <c r="E97" s="421">
        <v>60</v>
      </c>
      <c r="F97" s="441">
        <f t="shared" si="38"/>
        <v>0.75862824978820076</v>
      </c>
      <c r="G97" s="400">
        <f t="shared" si="39"/>
        <v>0.46074608726263871</v>
      </c>
      <c r="H97" s="401">
        <f t="shared" si="40"/>
        <v>3.9414166699912572E-4</v>
      </c>
      <c r="I97" s="401">
        <f t="shared" si="41"/>
        <v>0</v>
      </c>
      <c r="J97" s="401">
        <f t="shared" si="42"/>
        <v>1.0481199298497731E-3</v>
      </c>
      <c r="K97" s="403"/>
      <c r="L97" s="110">
        <f t="shared" si="45"/>
        <v>2.7497758932646992</v>
      </c>
      <c r="M97" s="54">
        <f t="shared" si="46"/>
        <v>2.7495188342040143E-2</v>
      </c>
      <c r="N97" s="402">
        <f t="shared" si="47"/>
        <v>3.5743744844652183E-3</v>
      </c>
      <c r="O97" s="400">
        <f t="shared" si="48"/>
        <v>0.152</v>
      </c>
      <c r="P97" s="136">
        <f t="shared" si="43"/>
        <v>1.6746135189982017</v>
      </c>
      <c r="Q97" s="48">
        <f>IF(D97="Yes",SUM(INDEX(Crop_data,MATCH(A97,Crop_data_codes,0),21):INDEX(Crop_data,MATCH(A97,Crop_data_codes,0),22):INDEX(Crop_data,MATCH(A97,Crop_data_codes,0),23):INDEX(Crop_data,MATCH(A97,Crop_data_codes,0),24):INDEX(Crop_data,MATCH(A97,Crop_data_codes,0),25))*(1/INDEX(Crop_data,MATCH(A97,Crop_data_codes,0),6)*10000)/(No_species/1000000),"")</f>
        <v>2.2415666094322366E-11</v>
      </c>
      <c r="R97" s="49">
        <f t="shared" si="49"/>
        <v>1.671559051378902E-3</v>
      </c>
      <c r="S97" s="469">
        <f t="shared" si="44"/>
        <v>9.1666529177872005E-2</v>
      </c>
    </row>
    <row r="98" spans="1:19" ht="15" customHeight="1" x14ac:dyDescent="0.3">
      <c r="A98" s="40" t="s">
        <v>132</v>
      </c>
      <c r="B98" s="3" t="str">
        <f t="shared" si="35"/>
        <v>Soya beans</v>
      </c>
      <c r="C98" s="3" t="str">
        <f t="shared" si="36"/>
        <v>Pulses</v>
      </c>
      <c r="D98" s="3" t="str">
        <f t="shared" si="37"/>
        <v>No</v>
      </c>
      <c r="E98" s="421"/>
      <c r="F98" s="441" t="str">
        <f t="shared" si="38"/>
        <v/>
      </c>
      <c r="G98" s="400" t="str">
        <f t="shared" si="39"/>
        <v/>
      </c>
      <c r="H98" s="401" t="str">
        <f t="shared" si="40"/>
        <v/>
      </c>
      <c r="I98" s="401" t="str">
        <f t="shared" si="41"/>
        <v/>
      </c>
      <c r="J98" s="401" t="str">
        <f t="shared" si="42"/>
        <v/>
      </c>
      <c r="K98" s="403"/>
      <c r="L98" s="110" t="str">
        <f t="shared" si="45"/>
        <v/>
      </c>
      <c r="M98" s="54" t="str">
        <f t="shared" si="46"/>
        <v/>
      </c>
      <c r="N98" s="402" t="str">
        <f t="shared" si="47"/>
        <v/>
      </c>
      <c r="O98" s="400" t="str">
        <f t="shared" si="48"/>
        <v/>
      </c>
      <c r="P98" s="136" t="str">
        <f t="shared" si="43"/>
        <v/>
      </c>
      <c r="Q98" s="48" t="str">
        <f>IF(D98="Yes",SUM(INDEX(Crop_data,MATCH(A98,Crop_data_codes,0),21):INDEX(Crop_data,MATCH(A98,Crop_data_codes,0),22):INDEX(Crop_data,MATCH(A98,Crop_data_codes,0),23):INDEX(Crop_data,MATCH(A98,Crop_data_codes,0),24):INDEX(Crop_data,MATCH(A98,Crop_data_codes,0),25))*(1/INDEX(Crop_data,MATCH(A98,Crop_data_codes,0),6)*10000)/(No_species/1000000),"")</f>
        <v/>
      </c>
      <c r="R98" s="49" t="str">
        <f t="shared" si="49"/>
        <v/>
      </c>
      <c r="S98" s="469" t="str">
        <f t="shared" si="44"/>
        <v/>
      </c>
    </row>
    <row r="99" spans="1:19" ht="15" customHeight="1" x14ac:dyDescent="0.3">
      <c r="A99" s="40" t="s">
        <v>133</v>
      </c>
      <c r="B99" s="3" t="str">
        <f t="shared" si="35"/>
        <v>Spinach</v>
      </c>
      <c r="C99" s="3" t="str">
        <f t="shared" si="36"/>
        <v>Vegetables</v>
      </c>
      <c r="D99" s="3" t="str">
        <f t="shared" si="37"/>
        <v>Yes</v>
      </c>
      <c r="E99" s="421"/>
      <c r="F99" s="441">
        <f t="shared" si="38"/>
        <v>0.33259780319994181</v>
      </c>
      <c r="G99" s="400">
        <f t="shared" si="39"/>
        <v>0.1804034272305455</v>
      </c>
      <c r="H99" s="401">
        <f t="shared" si="40"/>
        <v>2.0644265876118182E-4</v>
      </c>
      <c r="I99" s="401">
        <f t="shared" si="41"/>
        <v>0</v>
      </c>
      <c r="J99" s="401">
        <f t="shared" si="42"/>
        <v>5.3495379025023104E-4</v>
      </c>
      <c r="K99" s="456"/>
      <c r="L99" s="110">
        <f t="shared" si="45"/>
        <v>2.8225783688884123</v>
      </c>
      <c r="M99" s="54">
        <f t="shared" si="46"/>
        <v>1.2701100762066046E-2</v>
      </c>
      <c r="N99" s="402">
        <f t="shared" si="47"/>
        <v>2.5402201524132085E-3</v>
      </c>
      <c r="O99" s="400">
        <f t="shared" si="48"/>
        <v>3.3999999999999996E-2</v>
      </c>
      <c r="P99" s="136">
        <f t="shared" si="43"/>
        <v>0.46572543086658796</v>
      </c>
      <c r="Q99" s="48">
        <f>IF(D99="Yes",SUM(INDEX(Crop_data,MATCH(A99,Crop_data_codes,0),21):INDEX(Crop_data,MATCH(A99,Crop_data_codes,0),22):INDEX(Crop_data,MATCH(A99,Crop_data_codes,0),23):INDEX(Crop_data,MATCH(A99,Crop_data_codes,0),24):INDEX(Crop_data,MATCH(A99,Crop_data_codes,0),25))*(1/INDEX(Crop_data,MATCH(A99,Crop_data_codes,0),6)*10000)/(No_species/1000000),"")</f>
        <v>2.3009138452712886E-11</v>
      </c>
      <c r="R99" s="49">
        <f t="shared" si="49"/>
        <v>7.7215837466533457E-4</v>
      </c>
      <c r="S99" s="469">
        <f t="shared" si="44"/>
        <v>6.5963656480922195E-3</v>
      </c>
    </row>
    <row r="100" spans="1:19" ht="15" customHeight="1" x14ac:dyDescent="0.3">
      <c r="A100" s="40" t="s">
        <v>134</v>
      </c>
      <c r="B100" s="3" t="str">
        <f t="shared" si="35"/>
        <v>Strawberries</v>
      </c>
      <c r="C100" s="3" t="str">
        <f t="shared" si="36"/>
        <v>Fruits</v>
      </c>
      <c r="D100" s="3" t="str">
        <f t="shared" si="37"/>
        <v>Yes</v>
      </c>
      <c r="E100" s="421">
        <v>95</v>
      </c>
      <c r="F100" s="441">
        <f t="shared" si="38"/>
        <v>0.22927084692213198</v>
      </c>
      <c r="G100" s="400">
        <f t="shared" si="39"/>
        <v>0.15729290749453601</v>
      </c>
      <c r="H100" s="401">
        <f t="shared" si="40"/>
        <v>1.9999450213944878E-4</v>
      </c>
      <c r="I100" s="401">
        <f t="shared" si="41"/>
        <v>0</v>
      </c>
      <c r="J100" s="401">
        <f t="shared" si="42"/>
        <v>2.4182455408000157E-4</v>
      </c>
      <c r="K100" s="453"/>
      <c r="L100" s="110">
        <f t="shared" si="45"/>
        <v>1.2536292566981411</v>
      </c>
      <c r="M100" s="54">
        <f t="shared" si="46"/>
        <v>4.1368935690109061E-3</v>
      </c>
      <c r="N100" s="402">
        <f t="shared" si="47"/>
        <v>1.7550457565500815E-3</v>
      </c>
      <c r="O100" s="400">
        <f t="shared" si="48"/>
        <v>0.152</v>
      </c>
      <c r="P100" s="136">
        <f t="shared" si="43"/>
        <v>0.2820665827570818</v>
      </c>
      <c r="Q100" s="48">
        <f>IF(D100="Yes",SUM(INDEX(Crop_data,MATCH(A100,Crop_data_codes,0),21):INDEX(Crop_data,MATCH(A100,Crop_data_codes,0),22):INDEX(Crop_data,MATCH(A100,Crop_data_codes,0),23):INDEX(Crop_data,MATCH(A100,Crop_data_codes,0),24):INDEX(Crop_data,MATCH(A100,Crop_data_codes,0),25))*(1/INDEX(Crop_data,MATCH(A100,Crop_data_codes,0),6)*10000)/(No_species/1000000),"")</f>
        <v>1.0219354563784451E-11</v>
      </c>
      <c r="R100" s="49">
        <f t="shared" si="49"/>
        <v>2.5150080093462102E-4</v>
      </c>
      <c r="S100" s="469">
        <f t="shared" si="44"/>
        <v>0.10123432336614499</v>
      </c>
    </row>
    <row r="101" spans="1:19" ht="15" customHeight="1" x14ac:dyDescent="0.3">
      <c r="A101" s="40" t="s">
        <v>135</v>
      </c>
      <c r="B101" s="3" t="str">
        <f t="shared" si="35"/>
        <v>Sugar beet</v>
      </c>
      <c r="C101" s="3" t="str">
        <f t="shared" si="36"/>
        <v>Sugar crops</v>
      </c>
      <c r="D101" s="3" t="str">
        <f t="shared" si="37"/>
        <v>Yes</v>
      </c>
      <c r="E101" s="421">
        <v>5</v>
      </c>
      <c r="F101" s="441">
        <f t="shared" si="38"/>
        <v>6.8428231098276379E-2</v>
      </c>
      <c r="G101" s="400">
        <f t="shared" si="39"/>
        <v>4.2786893708439085E-2</v>
      </c>
      <c r="H101" s="401">
        <f t="shared" si="40"/>
        <v>1.1028672918245429E-4</v>
      </c>
      <c r="I101" s="401">
        <f t="shared" si="41"/>
        <v>0</v>
      </c>
      <c r="J101" s="401">
        <f t="shared" si="42"/>
        <v>8.1885688132601336E-5</v>
      </c>
      <c r="K101" s="453"/>
      <c r="L101" s="110">
        <f t="shared" si="45"/>
        <v>0.15006502317454154</v>
      </c>
      <c r="M101" s="54">
        <f t="shared" si="46"/>
        <v>1.5756775413427774E-3</v>
      </c>
      <c r="N101" s="402">
        <f t="shared" si="47"/>
        <v>3.6015486659263484E-4</v>
      </c>
      <c r="O101" s="400">
        <f t="shared" si="48"/>
        <v>2.9999993997399071E-3</v>
      </c>
      <c r="P101" s="136">
        <f t="shared" si="43"/>
        <v>3.5715475515540884E-2</v>
      </c>
      <c r="Q101" s="48">
        <f>IF(D101="Yes",SUM(INDEX(Crop_data,MATCH(A101,Crop_data_codes,0),21):INDEX(Crop_data,MATCH(A101,Crop_data_codes,0),22):INDEX(Crop_data,MATCH(A101,Crop_data_codes,0),23):INDEX(Crop_data,MATCH(A101,Crop_data_codes,0),24):INDEX(Crop_data,MATCH(A101,Crop_data_codes,0),25))*(1/INDEX(Crop_data,MATCH(A101,Crop_data_codes,0),6)*10000)/(No_species/1000000),"")</f>
        <v>1.2233024008089461E-12</v>
      </c>
      <c r="R101" s="49">
        <f t="shared" si="49"/>
        <v>9.5792690107120883E-5</v>
      </c>
      <c r="S101" s="469">
        <f t="shared" si="44"/>
        <v>4.4854435426870464E-4</v>
      </c>
    </row>
    <row r="102" spans="1:19" ht="15" customHeight="1" x14ac:dyDescent="0.3">
      <c r="A102" s="40" t="s">
        <v>136</v>
      </c>
      <c r="B102" s="3" t="str">
        <f t="shared" ref="B102:B118" si="50">INDEX(Crop_data,MATCH(A102,Crop_data_codes,0),2)</f>
        <v>Sugar cane</v>
      </c>
      <c r="C102" s="3" t="str">
        <f t="shared" ref="C102:C118" si="51">INDEX(Crop_data,MATCH(A102,Crop_data_codes,0),3)</f>
        <v>Sugar crops</v>
      </c>
      <c r="D102" s="3" t="str">
        <f t="shared" ref="D102:D118" si="52">IF(INDEX(Crop_data,MATCH(A102,Crop_data_codes,0),6)&gt;0,"Yes","No")</f>
        <v>No</v>
      </c>
      <c r="E102" s="406"/>
      <c r="F102" s="441" t="str">
        <f t="shared" ref="F102:F118" si="53">IF(D102="Yes",INDEX(CO2e_data,MATCH(A102,CO2e_codes,0),1),"")</f>
        <v/>
      </c>
      <c r="G102" s="400" t="str">
        <f t="shared" ref="G102:G118" si="54">IF(D102="Yes",INDEX(CO2_data,MATCH(A102,CO2_codes,0),1),"")</f>
        <v/>
      </c>
      <c r="H102" s="401" t="str">
        <f t="shared" ref="H102:H118" si="55">IF(D102="Yes",INDEX(CH4_data,MATCH(A102,CH4_codes,0),1),"")</f>
        <v/>
      </c>
      <c r="I102" s="401" t="str">
        <f t="shared" ref="I102:I118" si="56">IF(D102="Yes",INDEX(CH4_bio_data,MATCH(A102,CH4_bio_codes,0),1),"")</f>
        <v/>
      </c>
      <c r="J102" s="401" t="str">
        <f t="shared" ref="J102:J118" si="57">IF(D102="Yes",INDEX(N2O_data,MATCH(A102,N2O_codes,0),1),"")</f>
        <v/>
      </c>
      <c r="K102" s="404"/>
      <c r="L102" s="110" t="str">
        <f t="shared" si="45"/>
        <v/>
      </c>
      <c r="M102" s="54" t="str">
        <f t="shared" si="46"/>
        <v/>
      </c>
      <c r="N102" s="402" t="str">
        <f t="shared" si="47"/>
        <v/>
      </c>
      <c r="O102" s="400" t="str">
        <f t="shared" si="48"/>
        <v/>
      </c>
      <c r="P102" s="136" t="str">
        <f t="shared" ref="P102:P118" si="58">IF(D102="Yes",INDEX(Crop_data,MATCH(A102,Crop_data_codes,0),13)/INDEX(Crop_data,MATCH(A102,Crop_data_codes,0),6)*1000,"")</f>
        <v/>
      </c>
      <c r="Q102" s="48" t="str">
        <f>IF(D102="Yes",SUM(INDEX(Crop_data,MATCH(A102,Crop_data_codes,0),21):INDEX(Crop_data,MATCH(A102,Crop_data_codes,0),22):INDEX(Crop_data,MATCH(A102,Crop_data_codes,0),23):INDEX(Crop_data,MATCH(A102,Crop_data_codes,0),24):INDEX(Crop_data,MATCH(A102,Crop_data_codes,0),25))*(1/INDEX(Crop_data,MATCH(A102,Crop_data_codes,0),6)*10000)/(No_species/1000000),"")</f>
        <v/>
      </c>
      <c r="R102" s="49" t="str">
        <f t="shared" si="49"/>
        <v/>
      </c>
      <c r="S102" s="469" t="str">
        <f t="shared" ref="S102:S118" si="59">IF(D102="Yes",INDEX(Crop_data,MATCH(A102,Crop_data_codes,0),26)/INDEX(Crop_data,MATCH(A102,Crop_data_codes,0),6),"")</f>
        <v/>
      </c>
    </row>
    <row r="103" spans="1:19" ht="15" customHeight="1" x14ac:dyDescent="0.3">
      <c r="A103" s="40" t="s">
        <v>137</v>
      </c>
      <c r="B103" s="3" t="str">
        <f t="shared" si="50"/>
        <v>Sunflower seed</v>
      </c>
      <c r="C103" s="3" t="str">
        <f t="shared" si="51"/>
        <v>Oil crops</v>
      </c>
      <c r="D103" s="3" t="str">
        <f t="shared" si="52"/>
        <v>No</v>
      </c>
      <c r="E103" s="406"/>
      <c r="F103" s="441" t="str">
        <f t="shared" si="53"/>
        <v/>
      </c>
      <c r="G103" s="400" t="str">
        <f t="shared" si="54"/>
        <v/>
      </c>
      <c r="H103" s="401" t="str">
        <f t="shared" si="55"/>
        <v/>
      </c>
      <c r="I103" s="401" t="str">
        <f t="shared" si="56"/>
        <v/>
      </c>
      <c r="J103" s="401" t="str">
        <f t="shared" si="57"/>
        <v/>
      </c>
      <c r="K103" s="458"/>
      <c r="L103" s="110" t="str">
        <f t="shared" si="45"/>
        <v/>
      </c>
      <c r="M103" s="54" t="str">
        <f t="shared" si="46"/>
        <v/>
      </c>
      <c r="N103" s="402" t="str">
        <f t="shared" si="47"/>
        <v/>
      </c>
      <c r="O103" s="400" t="str">
        <f t="shared" si="48"/>
        <v/>
      </c>
      <c r="P103" s="136" t="str">
        <f t="shared" si="58"/>
        <v/>
      </c>
      <c r="Q103" s="48" t="str">
        <f>IF(D103="Yes",SUM(INDEX(Crop_data,MATCH(A103,Crop_data_codes,0),21):INDEX(Crop_data,MATCH(A103,Crop_data_codes,0),22):INDEX(Crop_data,MATCH(A103,Crop_data_codes,0),23):INDEX(Crop_data,MATCH(A103,Crop_data_codes,0),24):INDEX(Crop_data,MATCH(A103,Crop_data_codes,0),25))*(1/INDEX(Crop_data,MATCH(A103,Crop_data_codes,0),6)*10000)/(No_species/1000000),"")</f>
        <v/>
      </c>
      <c r="R103" s="49" t="str">
        <f t="shared" si="49"/>
        <v/>
      </c>
      <c r="S103" s="469" t="str">
        <f t="shared" si="59"/>
        <v/>
      </c>
    </row>
    <row r="104" spans="1:19" ht="15" customHeight="1" x14ac:dyDescent="0.3">
      <c r="A104" s="40" t="s">
        <v>138</v>
      </c>
      <c r="B104" s="3" t="str">
        <f t="shared" si="50"/>
        <v>Sweet potatoes</v>
      </c>
      <c r="C104" s="3" t="str">
        <f t="shared" si="51"/>
        <v>Roots</v>
      </c>
      <c r="D104" s="3" t="str">
        <f t="shared" si="52"/>
        <v>No</v>
      </c>
      <c r="E104" s="406"/>
      <c r="F104" s="441" t="str">
        <f t="shared" si="53"/>
        <v/>
      </c>
      <c r="G104" s="400" t="str">
        <f t="shared" si="54"/>
        <v/>
      </c>
      <c r="H104" s="401" t="str">
        <f t="shared" si="55"/>
        <v/>
      </c>
      <c r="I104" s="401" t="str">
        <f t="shared" si="56"/>
        <v/>
      </c>
      <c r="J104" s="401" t="str">
        <f t="shared" si="57"/>
        <v/>
      </c>
      <c r="K104" s="453"/>
      <c r="L104" s="110" t="str">
        <f t="shared" si="45"/>
        <v/>
      </c>
      <c r="M104" s="54" t="str">
        <f t="shared" si="46"/>
        <v/>
      </c>
      <c r="N104" s="402" t="str">
        <f t="shared" si="47"/>
        <v/>
      </c>
      <c r="O104" s="400" t="str">
        <f t="shared" si="48"/>
        <v/>
      </c>
      <c r="P104" s="136" t="str">
        <f t="shared" si="58"/>
        <v/>
      </c>
      <c r="Q104" s="48" t="str">
        <f>IF(D104="Yes",SUM(INDEX(Crop_data,MATCH(A104,Crop_data_codes,0),21):INDEX(Crop_data,MATCH(A104,Crop_data_codes,0),22):INDEX(Crop_data,MATCH(A104,Crop_data_codes,0),23):INDEX(Crop_data,MATCH(A104,Crop_data_codes,0),24):INDEX(Crop_data,MATCH(A104,Crop_data_codes,0),25))*(1/INDEX(Crop_data,MATCH(A104,Crop_data_codes,0),6)*10000)/(No_species/1000000),"")</f>
        <v/>
      </c>
      <c r="R104" s="49" t="str">
        <f t="shared" si="49"/>
        <v/>
      </c>
      <c r="S104" s="469" t="str">
        <f t="shared" si="59"/>
        <v/>
      </c>
    </row>
    <row r="105" spans="1:19" ht="15" customHeight="1" x14ac:dyDescent="0.3">
      <c r="A105" s="40" t="s">
        <v>139</v>
      </c>
      <c r="B105" s="3" t="str">
        <f t="shared" si="50"/>
        <v>Tangerines, mandarins, clementines</v>
      </c>
      <c r="C105" s="3" t="str">
        <f t="shared" si="51"/>
        <v>Fruits</v>
      </c>
      <c r="D105" s="3" t="str">
        <f t="shared" si="52"/>
        <v>No</v>
      </c>
      <c r="E105" s="406"/>
      <c r="F105" s="441" t="str">
        <f t="shared" si="53"/>
        <v/>
      </c>
      <c r="G105" s="400" t="str">
        <f t="shared" si="54"/>
        <v/>
      </c>
      <c r="H105" s="401" t="str">
        <f t="shared" si="55"/>
        <v/>
      </c>
      <c r="I105" s="401" t="str">
        <f t="shared" si="56"/>
        <v/>
      </c>
      <c r="J105" s="401" t="str">
        <f t="shared" si="57"/>
        <v/>
      </c>
      <c r="K105" s="453"/>
      <c r="L105" s="110" t="str">
        <f t="shared" si="45"/>
        <v/>
      </c>
      <c r="M105" s="54" t="str">
        <f t="shared" si="46"/>
        <v/>
      </c>
      <c r="N105" s="402" t="str">
        <f t="shared" si="47"/>
        <v/>
      </c>
      <c r="O105" s="400" t="str">
        <f t="shared" si="48"/>
        <v/>
      </c>
      <c r="P105" s="136" t="str">
        <f t="shared" si="58"/>
        <v/>
      </c>
      <c r="Q105" s="48" t="str">
        <f>IF(D105="Yes",SUM(INDEX(Crop_data,MATCH(A105,Crop_data_codes,0),21):INDEX(Crop_data,MATCH(A105,Crop_data_codes,0),22):INDEX(Crop_data,MATCH(A105,Crop_data_codes,0),23):INDEX(Crop_data,MATCH(A105,Crop_data_codes,0),24):INDEX(Crop_data,MATCH(A105,Crop_data_codes,0),25))*(1/INDEX(Crop_data,MATCH(A105,Crop_data_codes,0),6)*10000)/(No_species/1000000),"")</f>
        <v/>
      </c>
      <c r="R105" s="49" t="str">
        <f t="shared" si="49"/>
        <v/>
      </c>
      <c r="S105" s="469" t="str">
        <f t="shared" si="59"/>
        <v/>
      </c>
    </row>
    <row r="106" spans="1:19" ht="15" customHeight="1" x14ac:dyDescent="0.3">
      <c r="A106" s="40" t="s">
        <v>140</v>
      </c>
      <c r="B106" s="3" t="str">
        <f t="shared" si="50"/>
        <v>Tomatoes, average</v>
      </c>
      <c r="C106" s="3" t="str">
        <f t="shared" si="51"/>
        <v>Vegetables</v>
      </c>
      <c r="D106" s="3" t="str">
        <f t="shared" si="52"/>
        <v>Yes</v>
      </c>
      <c r="E106" s="413"/>
      <c r="F106" s="441">
        <f t="shared" si="53"/>
        <v>0.28494839973698693</v>
      </c>
      <c r="G106" s="400">
        <f t="shared" si="54"/>
        <v>0.2445323228735598</v>
      </c>
      <c r="H106" s="401">
        <f t="shared" si="55"/>
        <v>2.599480224040842E-4</v>
      </c>
      <c r="I106" s="401">
        <f t="shared" si="56"/>
        <v>0</v>
      </c>
      <c r="J106" s="401">
        <f t="shared" si="57"/>
        <v>1.1966895895892092E-4</v>
      </c>
      <c r="K106" s="403"/>
      <c r="L106" s="110">
        <f t="shared" si="45"/>
        <v>2.2820786084797477E-2</v>
      </c>
      <c r="M106" s="54">
        <f t="shared" si="46"/>
        <v>2.6951348366145819E-3</v>
      </c>
      <c r="N106" s="402">
        <f t="shared" si="47"/>
        <v>7.4517013546570145E-4</v>
      </c>
      <c r="O106" s="400">
        <f t="shared" si="48"/>
        <v>3.9999999999999992E-3</v>
      </c>
      <c r="P106" s="136">
        <f t="shared" si="58"/>
        <v>3.7654297039915836E-3</v>
      </c>
      <c r="Q106" s="48">
        <f>IF(D106="Yes",SUM(INDEX(Crop_data,MATCH(A106,Crop_data_codes,0),21):INDEX(Crop_data,MATCH(A106,Crop_data_codes,0),22):INDEX(Crop_data,MATCH(A106,Crop_data_codes,0),23):INDEX(Crop_data,MATCH(A106,Crop_data_codes,0),24):INDEX(Crop_data,MATCH(A106,Crop_data_codes,0),25))*(1/INDEX(Crop_data,MATCH(A106,Crop_data_codes,0),6)*10000)/(No_species/1000000),"")</f>
        <v>2.2815338067340793E-13</v>
      </c>
      <c r="R106" s="49">
        <f t="shared" si="49"/>
        <v>1.6384965161127629E-4</v>
      </c>
      <c r="S106" s="469">
        <f t="shared" si="59"/>
        <v>1.8428469387056505E-3</v>
      </c>
    </row>
    <row r="107" spans="1:19" ht="15" customHeight="1" x14ac:dyDescent="0.3">
      <c r="A107" s="40" t="s">
        <v>141</v>
      </c>
      <c r="B107" s="3" t="str">
        <f t="shared" si="50"/>
        <v>Tomatoes, greenhouse</v>
      </c>
      <c r="C107" s="3" t="str">
        <f t="shared" si="51"/>
        <v>Vegetables</v>
      </c>
      <c r="D107" s="3" t="str">
        <f t="shared" si="52"/>
        <v>Yes</v>
      </c>
      <c r="E107" s="6"/>
      <c r="F107" s="441">
        <f t="shared" si="53"/>
        <v>0.28494839973698693</v>
      </c>
      <c r="G107" s="400">
        <f t="shared" si="54"/>
        <v>0.2445323228735598</v>
      </c>
      <c r="H107" s="401">
        <f t="shared" si="55"/>
        <v>2.599480224040842E-4</v>
      </c>
      <c r="I107" s="401">
        <f t="shared" si="56"/>
        <v>0</v>
      </c>
      <c r="J107" s="401">
        <f t="shared" si="57"/>
        <v>1.1966895895892092E-4</v>
      </c>
      <c r="K107" s="455"/>
      <c r="L107" s="110">
        <f t="shared" si="45"/>
        <v>2.2820786084797477E-2</v>
      </c>
      <c r="M107" s="54">
        <f t="shared" si="46"/>
        <v>2.6951348366145819E-3</v>
      </c>
      <c r="N107" s="402">
        <f t="shared" si="47"/>
        <v>7.4517013546570145E-4</v>
      </c>
      <c r="O107" s="400">
        <f t="shared" si="48"/>
        <v>4.0000000000000001E-3</v>
      </c>
      <c r="P107" s="136">
        <f t="shared" si="58"/>
        <v>3.7654297039915836E-3</v>
      </c>
      <c r="Q107" s="48">
        <f>IF(D107="Yes",SUM(INDEX(Crop_data,MATCH(A107,Crop_data_codes,0),21):INDEX(Crop_data,MATCH(A107,Crop_data_codes,0),22):INDEX(Crop_data,MATCH(A107,Crop_data_codes,0),23):INDEX(Crop_data,MATCH(A107,Crop_data_codes,0),24):INDEX(Crop_data,MATCH(A107,Crop_data_codes,0),25))*(1/INDEX(Crop_data,MATCH(A107,Crop_data_codes,0),6)*10000)/(No_species/1000000),"")</f>
        <v>2.2815338067340793E-13</v>
      </c>
      <c r="R107" s="49">
        <f t="shared" si="49"/>
        <v>1.6384965161127629E-4</v>
      </c>
      <c r="S107" s="469">
        <f t="shared" si="59"/>
        <v>1.8428469387056505E-3</v>
      </c>
    </row>
    <row r="108" spans="1:19" ht="15" customHeight="1" x14ac:dyDescent="0.3">
      <c r="A108" s="40" t="s">
        <v>142</v>
      </c>
      <c r="B108" s="3" t="str">
        <f t="shared" si="50"/>
        <v>Tomatoes, openfield</v>
      </c>
      <c r="C108" s="3" t="str">
        <f t="shared" si="51"/>
        <v>Vegetables</v>
      </c>
      <c r="D108" s="3" t="str">
        <f t="shared" si="52"/>
        <v>No</v>
      </c>
      <c r="E108" s="6"/>
      <c r="F108" s="441" t="str">
        <f t="shared" si="53"/>
        <v/>
      </c>
      <c r="G108" s="400" t="str">
        <f t="shared" si="54"/>
        <v/>
      </c>
      <c r="H108" s="401" t="str">
        <f t="shared" si="55"/>
        <v/>
      </c>
      <c r="I108" s="401" t="str">
        <f t="shared" si="56"/>
        <v/>
      </c>
      <c r="J108" s="401" t="str">
        <f t="shared" si="57"/>
        <v/>
      </c>
      <c r="K108" s="455"/>
      <c r="L108" s="110" t="str">
        <f t="shared" si="45"/>
        <v/>
      </c>
      <c r="M108" s="54" t="str">
        <f t="shared" si="46"/>
        <v/>
      </c>
      <c r="N108" s="402" t="str">
        <f t="shared" si="47"/>
        <v/>
      </c>
      <c r="O108" s="400" t="str">
        <f t="shared" si="48"/>
        <v/>
      </c>
      <c r="P108" s="136" t="str">
        <f t="shared" si="58"/>
        <v/>
      </c>
      <c r="Q108" s="48" t="str">
        <f>IF(D108="Yes",SUM(INDEX(Crop_data,MATCH(A108,Crop_data_codes,0),21):INDEX(Crop_data,MATCH(A108,Crop_data_codes,0),22):INDEX(Crop_data,MATCH(A108,Crop_data_codes,0),23):INDEX(Crop_data,MATCH(A108,Crop_data_codes,0),24):INDEX(Crop_data,MATCH(A108,Crop_data_codes,0),25))*(1/INDEX(Crop_data,MATCH(A108,Crop_data_codes,0),6)*10000)/(No_species/1000000),"")</f>
        <v/>
      </c>
      <c r="R108" s="49" t="str">
        <f t="shared" si="49"/>
        <v/>
      </c>
      <c r="S108" s="469" t="str">
        <f t="shared" si="59"/>
        <v/>
      </c>
    </row>
    <row r="109" spans="1:19" ht="15" customHeight="1" x14ac:dyDescent="0.3">
      <c r="A109" s="40" t="s">
        <v>143</v>
      </c>
      <c r="B109" s="3" t="str">
        <f t="shared" si="50"/>
        <v>Triticale</v>
      </c>
      <c r="C109" s="3" t="str">
        <f t="shared" si="51"/>
        <v>Cereals</v>
      </c>
      <c r="D109" s="3" t="str">
        <f t="shared" si="52"/>
        <v>Yes</v>
      </c>
      <c r="E109" s="6"/>
      <c r="F109" s="441">
        <f t="shared" si="53"/>
        <v>0.37038315282074541</v>
      </c>
      <c r="G109" s="400">
        <f t="shared" si="54"/>
        <v>0.15563844978082086</v>
      </c>
      <c r="H109" s="401">
        <f t="shared" si="55"/>
        <v>2.0122947679537077E-4</v>
      </c>
      <c r="I109" s="401">
        <f t="shared" si="56"/>
        <v>0</v>
      </c>
      <c r="J109" s="401">
        <f t="shared" si="57"/>
        <v>7.6464492538982594E-4</v>
      </c>
      <c r="K109" s="455"/>
      <c r="L109" s="110">
        <f t="shared" si="45"/>
        <v>1.8343238682221732</v>
      </c>
      <c r="M109" s="54">
        <f t="shared" si="46"/>
        <v>1.9442406456346296E-2</v>
      </c>
      <c r="N109" s="402">
        <f t="shared" si="47"/>
        <v>7.5201760821716791E-3</v>
      </c>
      <c r="O109" s="400">
        <f t="shared" si="48"/>
        <v>2E-3</v>
      </c>
      <c r="P109" s="136">
        <f t="shared" si="58"/>
        <v>0.11189375596155256</v>
      </c>
      <c r="Q109" s="48">
        <f>IF(D109="Yes",SUM(INDEX(Crop_data,MATCH(A109,Crop_data_codes,0),21):INDEX(Crop_data,MATCH(A109,Crop_data_codes,0),22):INDEX(Crop_data,MATCH(A109,Crop_data_codes,0),23):INDEX(Crop_data,MATCH(A109,Crop_data_codes,0),24):INDEX(Crop_data,MATCH(A109,Crop_data_codes,0),25))*(1/INDEX(Crop_data,MATCH(A109,Crop_data_codes,0),6)*10000)/(No_species/1000000),"")</f>
        <v>1.4953069971857502E-11</v>
      </c>
      <c r="R109" s="49">
        <f t="shared" si="49"/>
        <v>1.1819933760192538E-3</v>
      </c>
      <c r="S109" s="469">
        <f t="shared" si="59"/>
        <v>2.9349181891554772E-3</v>
      </c>
    </row>
    <row r="110" spans="1:19" ht="15" customHeight="1" x14ac:dyDescent="0.3">
      <c r="A110" s="40" t="s">
        <v>144</v>
      </c>
      <c r="B110" s="3" t="str">
        <f t="shared" si="50"/>
        <v>True hemp, raw or retted</v>
      </c>
      <c r="C110" s="3" t="str">
        <f t="shared" si="51"/>
        <v>Other</v>
      </c>
      <c r="D110" s="3" t="str">
        <f t="shared" si="52"/>
        <v>No</v>
      </c>
      <c r="E110" s="6"/>
      <c r="F110" s="441" t="str">
        <f t="shared" si="53"/>
        <v/>
      </c>
      <c r="G110" s="400" t="str">
        <f t="shared" si="54"/>
        <v/>
      </c>
      <c r="H110" s="401" t="str">
        <f t="shared" si="55"/>
        <v/>
      </c>
      <c r="I110" s="401" t="str">
        <f t="shared" si="56"/>
        <v/>
      </c>
      <c r="J110" s="401" t="str">
        <f t="shared" si="57"/>
        <v/>
      </c>
      <c r="K110" s="455"/>
      <c r="L110" s="110" t="str">
        <f t="shared" si="45"/>
        <v/>
      </c>
      <c r="M110" s="54" t="str">
        <f t="shared" si="46"/>
        <v/>
      </c>
      <c r="N110" s="402" t="str">
        <f t="shared" si="47"/>
        <v/>
      </c>
      <c r="O110" s="400" t="str">
        <f t="shared" si="48"/>
        <v/>
      </c>
      <c r="P110" s="136" t="str">
        <f t="shared" si="58"/>
        <v/>
      </c>
      <c r="Q110" s="48" t="str">
        <f>IF(D110="Yes",SUM(INDEX(Crop_data,MATCH(A110,Crop_data_codes,0),21):INDEX(Crop_data,MATCH(A110,Crop_data_codes,0),22):INDEX(Crop_data,MATCH(A110,Crop_data_codes,0),23):INDEX(Crop_data,MATCH(A110,Crop_data_codes,0),24):INDEX(Crop_data,MATCH(A110,Crop_data_codes,0),25))*(1/INDEX(Crop_data,MATCH(A110,Crop_data_codes,0),6)*10000)/(No_species/1000000),"")</f>
        <v/>
      </c>
      <c r="R110" s="49" t="str">
        <f t="shared" si="49"/>
        <v/>
      </c>
      <c r="S110" s="469" t="str">
        <f t="shared" si="59"/>
        <v/>
      </c>
    </row>
    <row r="111" spans="1:19" ht="15" customHeight="1" x14ac:dyDescent="0.3">
      <c r="A111" s="40" t="s">
        <v>145</v>
      </c>
      <c r="B111" s="3" t="str">
        <f t="shared" si="50"/>
        <v>Vetches</v>
      </c>
      <c r="C111" s="3" t="str">
        <f t="shared" si="51"/>
        <v>Other</v>
      </c>
      <c r="D111" s="3" t="str">
        <f t="shared" si="52"/>
        <v>No</v>
      </c>
      <c r="E111" s="6"/>
      <c r="F111" s="441" t="str">
        <f t="shared" si="53"/>
        <v/>
      </c>
      <c r="G111" s="400" t="str">
        <f t="shared" si="54"/>
        <v/>
      </c>
      <c r="H111" s="401" t="str">
        <f t="shared" si="55"/>
        <v/>
      </c>
      <c r="I111" s="401" t="str">
        <f t="shared" si="56"/>
        <v/>
      </c>
      <c r="J111" s="401" t="str">
        <f t="shared" si="57"/>
        <v/>
      </c>
      <c r="K111" s="6"/>
      <c r="L111" s="110" t="str">
        <f t="shared" si="45"/>
        <v/>
      </c>
      <c r="M111" s="54" t="str">
        <f t="shared" si="46"/>
        <v/>
      </c>
      <c r="N111" s="402" t="str">
        <f t="shared" si="47"/>
        <v/>
      </c>
      <c r="O111" s="400" t="str">
        <f t="shared" si="48"/>
        <v/>
      </c>
      <c r="P111" s="136" t="str">
        <f t="shared" si="58"/>
        <v/>
      </c>
      <c r="Q111" s="48" t="str">
        <f>IF(D111="Yes",SUM(INDEX(Crop_data,MATCH(A111,Crop_data_codes,0),21):INDEX(Crop_data,MATCH(A111,Crop_data_codes,0),22):INDEX(Crop_data,MATCH(A111,Crop_data_codes,0),23):INDEX(Crop_data,MATCH(A111,Crop_data_codes,0),24):INDEX(Crop_data,MATCH(A111,Crop_data_codes,0),25))*(1/INDEX(Crop_data,MATCH(A111,Crop_data_codes,0),6)*10000)/(No_species/1000000),"")</f>
        <v/>
      </c>
      <c r="R111" s="49" t="str">
        <f t="shared" si="49"/>
        <v/>
      </c>
      <c r="S111" s="469" t="str">
        <f t="shared" si="59"/>
        <v/>
      </c>
    </row>
    <row r="112" spans="1:19" ht="15" customHeight="1" x14ac:dyDescent="0.3">
      <c r="A112" s="40" t="s">
        <v>146</v>
      </c>
      <c r="B112" s="3" t="str">
        <f t="shared" si="50"/>
        <v>Walnuts, in shell</v>
      </c>
      <c r="C112" s="3" t="str">
        <f t="shared" si="51"/>
        <v>Nuts</v>
      </c>
      <c r="D112" s="3" t="str">
        <f t="shared" si="52"/>
        <v>No</v>
      </c>
      <c r="E112" s="6"/>
      <c r="F112" s="441" t="str">
        <f t="shared" si="53"/>
        <v/>
      </c>
      <c r="G112" s="400" t="str">
        <f t="shared" si="54"/>
        <v/>
      </c>
      <c r="H112" s="401" t="str">
        <f t="shared" si="55"/>
        <v/>
      </c>
      <c r="I112" s="401" t="str">
        <f t="shared" si="56"/>
        <v/>
      </c>
      <c r="J112" s="401" t="str">
        <f t="shared" si="57"/>
        <v/>
      </c>
      <c r="K112" s="455"/>
      <c r="L112" s="110" t="str">
        <f t="shared" si="45"/>
        <v/>
      </c>
      <c r="M112" s="54" t="str">
        <f t="shared" si="46"/>
        <v/>
      </c>
      <c r="N112" s="402" t="str">
        <f t="shared" si="47"/>
        <v/>
      </c>
      <c r="O112" s="400" t="str">
        <f t="shared" si="48"/>
        <v/>
      </c>
      <c r="P112" s="136" t="str">
        <f t="shared" si="58"/>
        <v/>
      </c>
      <c r="Q112" s="48" t="str">
        <f>IF(D112="Yes",SUM(INDEX(Crop_data,MATCH(A112,Crop_data_codes,0),21):INDEX(Crop_data,MATCH(A112,Crop_data_codes,0),22):INDEX(Crop_data,MATCH(A112,Crop_data_codes,0),23):INDEX(Crop_data,MATCH(A112,Crop_data_codes,0),24):INDEX(Crop_data,MATCH(A112,Crop_data_codes,0),25))*(1/INDEX(Crop_data,MATCH(A112,Crop_data_codes,0),6)*10000)/(No_species/1000000),"")</f>
        <v/>
      </c>
      <c r="R112" s="49" t="str">
        <f t="shared" si="49"/>
        <v/>
      </c>
      <c r="S112" s="469" t="str">
        <f t="shared" si="59"/>
        <v/>
      </c>
    </row>
    <row r="113" spans="1:19" ht="15" customHeight="1" x14ac:dyDescent="0.3">
      <c r="A113" s="40" t="s">
        <v>147</v>
      </c>
      <c r="B113" s="3" t="str">
        <f t="shared" si="50"/>
        <v>Watermelons</v>
      </c>
      <c r="C113" s="3" t="str">
        <f t="shared" si="51"/>
        <v>Fruits</v>
      </c>
      <c r="D113" s="3" t="str">
        <f t="shared" si="52"/>
        <v>No</v>
      </c>
      <c r="E113" s="6"/>
      <c r="F113" s="441" t="str">
        <f t="shared" si="53"/>
        <v/>
      </c>
      <c r="G113" s="400" t="str">
        <f t="shared" si="54"/>
        <v/>
      </c>
      <c r="H113" s="401" t="str">
        <f t="shared" si="55"/>
        <v/>
      </c>
      <c r="I113" s="401" t="str">
        <f t="shared" si="56"/>
        <v/>
      </c>
      <c r="J113" s="401" t="str">
        <f t="shared" si="57"/>
        <v/>
      </c>
      <c r="K113" s="455"/>
      <c r="L113" s="110" t="str">
        <f t="shared" si="45"/>
        <v/>
      </c>
      <c r="M113" s="54" t="str">
        <f t="shared" si="46"/>
        <v/>
      </c>
      <c r="N113" s="402" t="str">
        <f t="shared" si="47"/>
        <v/>
      </c>
      <c r="O113" s="400" t="str">
        <f t="shared" si="48"/>
        <v/>
      </c>
      <c r="P113" s="136" t="str">
        <f t="shared" si="58"/>
        <v/>
      </c>
      <c r="Q113" s="48" t="str">
        <f>IF(D113="Yes",SUM(INDEX(Crop_data,MATCH(A113,Crop_data_codes,0),21):INDEX(Crop_data,MATCH(A113,Crop_data_codes,0),22):INDEX(Crop_data,MATCH(A113,Crop_data_codes,0),23):INDEX(Crop_data,MATCH(A113,Crop_data_codes,0),24):INDEX(Crop_data,MATCH(A113,Crop_data_codes,0),25))*(1/INDEX(Crop_data,MATCH(A113,Crop_data_codes,0),6)*10000)/(No_species/1000000),"")</f>
        <v/>
      </c>
      <c r="R113" s="49" t="str">
        <f t="shared" si="49"/>
        <v/>
      </c>
      <c r="S113" s="469" t="str">
        <f t="shared" si="59"/>
        <v/>
      </c>
    </row>
    <row r="114" spans="1:19" ht="15" customHeight="1" x14ac:dyDescent="0.3">
      <c r="A114" s="40" t="s">
        <v>148</v>
      </c>
      <c r="B114" s="3" t="str">
        <f t="shared" si="50"/>
        <v>Watermelons, greenhouse</v>
      </c>
      <c r="C114" s="3" t="str">
        <f t="shared" si="51"/>
        <v>Fruits</v>
      </c>
      <c r="D114" s="3" t="str">
        <f t="shared" si="52"/>
        <v>No</v>
      </c>
      <c r="E114" s="6"/>
      <c r="F114" s="441" t="str">
        <f t="shared" si="53"/>
        <v/>
      </c>
      <c r="G114" s="400" t="str">
        <f t="shared" si="54"/>
        <v/>
      </c>
      <c r="H114" s="401" t="str">
        <f t="shared" si="55"/>
        <v/>
      </c>
      <c r="I114" s="401" t="str">
        <f t="shared" si="56"/>
        <v/>
      </c>
      <c r="J114" s="401" t="str">
        <f t="shared" si="57"/>
        <v/>
      </c>
      <c r="K114" s="6"/>
      <c r="L114" s="110" t="str">
        <f t="shared" si="45"/>
        <v/>
      </c>
      <c r="M114" s="54" t="str">
        <f t="shared" si="46"/>
        <v/>
      </c>
      <c r="N114" s="402" t="str">
        <f t="shared" si="47"/>
        <v/>
      </c>
      <c r="O114" s="400" t="str">
        <f t="shared" si="48"/>
        <v/>
      </c>
      <c r="P114" s="400" t="str">
        <f t="shared" si="58"/>
        <v/>
      </c>
      <c r="Q114" s="48" t="str">
        <f>IF(D114="Yes",SUM(INDEX(Crop_data,MATCH(A114,Crop_data_codes,0),21):INDEX(Crop_data,MATCH(A114,Crop_data_codes,0),22):INDEX(Crop_data,MATCH(A114,Crop_data_codes,0),23):INDEX(Crop_data,MATCH(A114,Crop_data_codes,0),24):INDEX(Crop_data,MATCH(A114,Crop_data_codes,0),25))*(1/INDEX(Crop_data,MATCH(A114,Crop_data_codes,0),6)*10000)/(No_species/1000000),"")</f>
        <v/>
      </c>
      <c r="R114" s="49" t="str">
        <f t="shared" si="49"/>
        <v/>
      </c>
      <c r="S114" s="469" t="str">
        <f t="shared" si="59"/>
        <v/>
      </c>
    </row>
    <row r="115" spans="1:19" ht="15" customHeight="1" x14ac:dyDescent="0.3">
      <c r="A115" s="40" t="s">
        <v>149</v>
      </c>
      <c r="B115" s="3" t="str">
        <f t="shared" si="50"/>
        <v>Watermelons, openfield</v>
      </c>
      <c r="C115" s="3" t="str">
        <f t="shared" si="51"/>
        <v>Fruits</v>
      </c>
      <c r="D115" s="3" t="str">
        <f t="shared" si="52"/>
        <v>No</v>
      </c>
      <c r="E115" s="421">
        <v>100</v>
      </c>
      <c r="F115" s="441" t="str">
        <f t="shared" si="53"/>
        <v/>
      </c>
      <c r="G115" s="400" t="str">
        <f t="shared" si="54"/>
        <v/>
      </c>
      <c r="H115" s="401" t="str">
        <f t="shared" si="55"/>
        <v/>
      </c>
      <c r="I115" s="401" t="str">
        <f t="shared" si="56"/>
        <v/>
      </c>
      <c r="J115" s="401" t="str">
        <f t="shared" si="57"/>
        <v/>
      </c>
      <c r="K115" s="453"/>
      <c r="L115" s="110" t="str">
        <f t="shared" si="45"/>
        <v/>
      </c>
      <c r="M115" s="54" t="str">
        <f t="shared" si="46"/>
        <v/>
      </c>
      <c r="N115" s="402" t="str">
        <f t="shared" si="47"/>
        <v/>
      </c>
      <c r="O115" s="400" t="str">
        <f t="shared" si="48"/>
        <v/>
      </c>
      <c r="P115" s="400" t="str">
        <f t="shared" si="58"/>
        <v/>
      </c>
      <c r="Q115" s="48" t="str">
        <f>IF(D115="Yes",SUM(INDEX(Crop_data,MATCH(A115,Crop_data_codes,0),21):INDEX(Crop_data,MATCH(A115,Crop_data_codes,0),22):INDEX(Crop_data,MATCH(A115,Crop_data_codes,0),23):INDEX(Crop_data,MATCH(A115,Crop_data_codes,0),24):INDEX(Crop_data,MATCH(A115,Crop_data_codes,0),25))*(1/INDEX(Crop_data,MATCH(A115,Crop_data_codes,0),6)*10000)/(No_species/1000000),"")</f>
        <v/>
      </c>
      <c r="R115" s="49" t="str">
        <f t="shared" si="49"/>
        <v/>
      </c>
      <c r="S115" s="469" t="str">
        <f t="shared" si="59"/>
        <v/>
      </c>
    </row>
    <row r="116" spans="1:19" ht="15" customHeight="1" x14ac:dyDescent="0.3">
      <c r="A116" s="40" t="s">
        <v>150</v>
      </c>
      <c r="B116" s="3" t="str">
        <f t="shared" si="50"/>
        <v>Wheat, average</v>
      </c>
      <c r="C116" s="3" t="str">
        <f t="shared" si="51"/>
        <v>Cereals, incl feed</v>
      </c>
      <c r="D116" s="3" t="str">
        <f t="shared" si="52"/>
        <v>Yes</v>
      </c>
      <c r="E116" s="421"/>
      <c r="F116" s="441">
        <f t="shared" si="53"/>
        <v>0.42153794927943045</v>
      </c>
      <c r="G116" s="400">
        <f t="shared" si="54"/>
        <v>0.16484003368588274</v>
      </c>
      <c r="H116" s="401">
        <f t="shared" si="55"/>
        <v>2.1569594254895508E-4</v>
      </c>
      <c r="I116" s="401">
        <f t="shared" si="56"/>
        <v>0</v>
      </c>
      <c r="J116" s="401">
        <f t="shared" si="57"/>
        <v>9.1674057328054498E-4</v>
      </c>
      <c r="K116" s="453"/>
      <c r="L116" s="110">
        <f t="shared" si="45"/>
        <v>1.5363343063450607</v>
      </c>
      <c r="M116" s="54">
        <f t="shared" si="46"/>
        <v>2.350591488707943E-2</v>
      </c>
      <c r="N116" s="402">
        <f t="shared" si="47"/>
        <v>2.150868028883085E-3</v>
      </c>
      <c r="O116" s="400">
        <f t="shared" si="48"/>
        <v>2E-3</v>
      </c>
      <c r="P116" s="136">
        <f t="shared" si="58"/>
        <v>0.11368873866953449</v>
      </c>
      <c r="Q116" s="48">
        <f>IF(D116="Yes",SUM(INDEX(Crop_data,MATCH(A116,Crop_data_codes,0),21):INDEX(Crop_data,MATCH(A116,Crop_data_codes,0),22):INDEX(Crop_data,MATCH(A116,Crop_data_codes,0),23):INDEX(Crop_data,MATCH(A116,Crop_data_codes,0),24):INDEX(Crop_data,MATCH(A116,Crop_data_codes,0),25))*(1/INDEX(Crop_data,MATCH(A116,Crop_data_codes,0),6)*10000)/(No_species/1000000),"")</f>
        <v>1.2523914005005126E-11</v>
      </c>
      <c r="R116" s="49">
        <f t="shared" si="49"/>
        <v>1.4290327566282921E-3</v>
      </c>
      <c r="S116" s="469">
        <f t="shared" si="59"/>
        <v>2.3859271777538793E-3</v>
      </c>
    </row>
    <row r="117" spans="1:19" x14ac:dyDescent="0.3">
      <c r="A117" s="40" t="s">
        <v>151</v>
      </c>
      <c r="B117" s="3" t="str">
        <f t="shared" si="50"/>
        <v>Wheat, spring</v>
      </c>
      <c r="C117" s="3" t="str">
        <f t="shared" si="51"/>
        <v>Cereals</v>
      </c>
      <c r="D117" s="3" t="str">
        <f t="shared" si="52"/>
        <v>Yes</v>
      </c>
      <c r="E117" s="421"/>
      <c r="F117" s="441">
        <f t="shared" si="53"/>
        <v>0.45741422491828254</v>
      </c>
      <c r="G117" s="400">
        <f t="shared" si="54"/>
        <v>0.18700342314955129</v>
      </c>
      <c r="H117" s="401">
        <f t="shared" si="55"/>
        <v>2.2837987087375594E-4</v>
      </c>
      <c r="I117" s="401">
        <f t="shared" si="56"/>
        <v>0</v>
      </c>
      <c r="J117" s="401">
        <f t="shared" si="57"/>
        <v>9.6558637954832717E-4</v>
      </c>
      <c r="K117" s="453"/>
      <c r="L117" s="110">
        <f t="shared" si="45"/>
        <v>2.4875621890547261</v>
      </c>
      <c r="M117" s="54">
        <f t="shared" si="46"/>
        <v>2.4626865671641792E-2</v>
      </c>
      <c r="N117" s="402">
        <f t="shared" si="47"/>
        <v>3.7313432835820895E-3</v>
      </c>
      <c r="O117" s="400">
        <f t="shared" si="48"/>
        <v>1.9999999999999996E-3</v>
      </c>
      <c r="P117" s="136">
        <f t="shared" si="58"/>
        <v>0.1044776119402985</v>
      </c>
      <c r="Q117" s="48">
        <f>IF(D117="Yes",SUM(INDEX(Crop_data,MATCH(A117,Crop_data_codes,0),21):INDEX(Crop_data,MATCH(A117,Crop_data_codes,0),22):INDEX(Crop_data,MATCH(A117,Crop_data_codes,0),23):INDEX(Crop_data,MATCH(A117,Crop_data_codes,0),24):INDEX(Crop_data,MATCH(A117,Crop_data_codes,0),25))*(1/INDEX(Crop_data,MATCH(A117,Crop_data_codes,0),6)*10000)/(No_species/1000000),"")</f>
        <v>2.0278148323029442E-11</v>
      </c>
      <c r="R117" s="49">
        <f t="shared" si="49"/>
        <v>1.4971805142205015E-3</v>
      </c>
      <c r="S117" s="469">
        <f t="shared" si="59"/>
        <v>3.8631840796019899E-3</v>
      </c>
    </row>
    <row r="118" spans="1:19" x14ac:dyDescent="0.3">
      <c r="A118" s="42" t="s">
        <v>152</v>
      </c>
      <c r="B118" s="46" t="str">
        <f t="shared" si="50"/>
        <v>Wheat, winter</v>
      </c>
      <c r="C118" s="46" t="str">
        <f t="shared" si="51"/>
        <v>Cereals</v>
      </c>
      <c r="D118" s="46" t="str">
        <f t="shared" si="52"/>
        <v>Yes</v>
      </c>
      <c r="E118" s="428"/>
      <c r="F118" s="405">
        <f t="shared" si="53"/>
        <v>0.41920919822127989</v>
      </c>
      <c r="G118" s="429">
        <f t="shared" si="54"/>
        <v>0.16353198429127452</v>
      </c>
      <c r="H118" s="430">
        <f t="shared" si="55"/>
        <v>2.1492391962068047E-4</v>
      </c>
      <c r="I118" s="430">
        <f t="shared" si="56"/>
        <v>0</v>
      </c>
      <c r="J118" s="430">
        <f t="shared" si="57"/>
        <v>9.1308601144801823E-4</v>
      </c>
      <c r="K118" s="459"/>
      <c r="L118" s="111">
        <f t="shared" si="45"/>
        <v>1.4736221632773356</v>
      </c>
      <c r="M118" s="426">
        <f t="shared" si="46"/>
        <v>2.3430592396109638E-2</v>
      </c>
      <c r="N118" s="435">
        <f t="shared" si="47"/>
        <v>2.0630710285882699E-3</v>
      </c>
      <c r="O118" s="429">
        <f t="shared" si="48"/>
        <v>2E-3</v>
      </c>
      <c r="P118" s="437">
        <f t="shared" si="58"/>
        <v>0.11346890657235485</v>
      </c>
      <c r="Q118" s="75">
        <f>IF(D118="Yes",SUM(INDEX(Crop_data,MATCH(A118,Crop_data_codes,0),21):INDEX(Crop_data,MATCH(A118,Crop_data_codes,0),22):INDEX(Crop_data,MATCH(A118,Crop_data_codes,0),23):INDEX(Crop_data,MATCH(A118,Crop_data_codes,0),24):INDEX(Crop_data,MATCH(A118,Crop_data_codes,0),25))*(1/INDEX(Crop_data,MATCH(A118,Crop_data_codes,0),6)*10000)/(No_species/1000000),"")</f>
        <v>1.2012696177214613E-11</v>
      </c>
      <c r="R118" s="76">
        <f t="shared" si="49"/>
        <v>1.4244535557155109E-3</v>
      </c>
      <c r="S118" s="470">
        <f t="shared" si="59"/>
        <v>2.2885352195697022E-3</v>
      </c>
    </row>
    <row r="119" spans="1:19" x14ac:dyDescent="0.3">
      <c r="E119" s="3"/>
      <c r="F119" s="445"/>
      <c r="G119" s="400"/>
      <c r="H119" s="401"/>
      <c r="I119" s="401"/>
      <c r="J119" s="401"/>
      <c r="K119" s="37"/>
      <c r="L119" s="79"/>
      <c r="M119" s="54"/>
      <c r="N119" s="402"/>
      <c r="O119" s="400"/>
      <c r="P119" s="136"/>
      <c r="Q119" s="48"/>
      <c r="R119" s="48"/>
      <c r="S119" s="446"/>
    </row>
    <row r="120" spans="1:19" x14ac:dyDescent="0.3">
      <c r="Q120" s="125"/>
    </row>
  </sheetData>
  <autoFilter ref="A5:S118" xr:uid="{00000000-0009-0000-0000-000001000000}">
    <sortState xmlns:xlrd2="http://schemas.microsoft.com/office/spreadsheetml/2017/richdata2" ref="A6:U116">
      <sortCondition ref="B5:B11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 filterMode="1">
    <tabColor theme="4" tint="0.39997558519241921"/>
  </sheetPr>
  <dimension ref="A2:AM229"/>
  <sheetViews>
    <sheetView zoomScale="80" zoomScaleNormal="80" workbookViewId="0">
      <selection activeCell="L8" sqref="L8"/>
    </sheetView>
  </sheetViews>
  <sheetFormatPr defaultColWidth="8.6640625" defaultRowHeight="14.4" x14ac:dyDescent="0.3"/>
  <cols>
    <col min="1" max="1" width="9.33203125" style="35"/>
    <col min="2" max="2" width="22.33203125" style="3" customWidth="1"/>
    <col min="3" max="3" width="17.6640625" style="3" customWidth="1"/>
    <col min="4" max="4" width="9.6640625" style="3" customWidth="1"/>
    <col min="5" max="5" width="6.33203125" customWidth="1"/>
    <col min="6" max="6" width="12.44140625" customWidth="1"/>
    <col min="7" max="7" width="11.33203125" style="38" customWidth="1"/>
    <col min="8" max="8" width="9.44140625" customWidth="1"/>
    <col min="9" max="9" width="10.33203125" customWidth="1"/>
    <col min="11" max="11" width="10.33203125" customWidth="1"/>
    <col min="12" max="12" width="10.6640625" customWidth="1"/>
    <col min="13" max="13" width="9.33203125" bestFit="1" customWidth="1"/>
    <col min="18" max="18" width="8.6640625" bestFit="1" customWidth="1"/>
    <col min="19" max="19" width="11" customWidth="1"/>
    <col min="20" max="20" width="9.33203125" bestFit="1" customWidth="1"/>
    <col min="21" max="25" width="10.6640625" customWidth="1"/>
    <col min="26" max="26" width="14.44140625" customWidth="1"/>
    <col min="27" max="39" width="20.6640625" customWidth="1"/>
  </cols>
  <sheetData>
    <row r="2" spans="1:39" ht="21" x14ac:dyDescent="0.3">
      <c r="A2" s="34" t="s">
        <v>153</v>
      </c>
      <c r="E2" s="21"/>
      <c r="F2" s="442"/>
      <c r="G2" s="37"/>
      <c r="H2" s="21"/>
      <c r="I2" s="26"/>
      <c r="J2" s="313"/>
      <c r="K2" s="313"/>
      <c r="L2" s="21"/>
      <c r="M2" s="23"/>
      <c r="N2" s="312"/>
      <c r="O2" s="26"/>
      <c r="P2" s="26"/>
      <c r="Q2" s="23"/>
      <c r="R2" s="23"/>
      <c r="S2" s="23"/>
      <c r="T2" s="23"/>
      <c r="U2" s="315"/>
      <c r="V2" s="315"/>
      <c r="W2" s="315"/>
      <c r="X2" s="315"/>
      <c r="Y2" s="315"/>
      <c r="Z2" s="21"/>
      <c r="AA2" s="125"/>
      <c r="AC2" s="5"/>
    </row>
    <row r="3" spans="1:39" x14ac:dyDescent="0.3">
      <c r="A3" s="53"/>
      <c r="B3" s="53"/>
      <c r="C3" s="53"/>
      <c r="D3" s="53"/>
      <c r="E3" s="53"/>
      <c r="F3" s="53"/>
      <c r="G3" s="53"/>
      <c r="H3" s="53"/>
      <c r="I3" s="52"/>
      <c r="J3" s="53"/>
      <c r="K3" s="53"/>
      <c r="L3" s="53"/>
      <c r="M3" s="52"/>
      <c r="N3" s="53"/>
      <c r="O3" s="53"/>
      <c r="P3" s="52"/>
      <c r="Q3" s="53"/>
      <c r="R3" s="53"/>
      <c r="S3" s="53"/>
      <c r="T3" s="52"/>
      <c r="U3" s="53"/>
      <c r="V3" s="53"/>
      <c r="W3" s="53"/>
      <c r="X3" s="52"/>
      <c r="Y3" s="53"/>
      <c r="Z3" s="53"/>
      <c r="AA3" t="s">
        <v>154</v>
      </c>
    </row>
    <row r="4" spans="1:39" x14ac:dyDescent="0.3">
      <c r="A4" s="174" t="s">
        <v>11</v>
      </c>
      <c r="B4" s="175"/>
      <c r="C4" s="175"/>
      <c r="D4" s="175"/>
      <c r="E4" s="177"/>
      <c r="F4" s="348" t="s">
        <v>155</v>
      </c>
      <c r="G4" s="176" t="s">
        <v>156</v>
      </c>
      <c r="H4" s="177"/>
      <c r="I4" s="178"/>
      <c r="J4" s="179"/>
      <c r="K4" s="180" t="s">
        <v>157</v>
      </c>
      <c r="L4" s="180" t="s">
        <v>16</v>
      </c>
      <c r="M4" s="181" t="s">
        <v>17</v>
      </c>
      <c r="N4" s="369" t="s">
        <v>158</v>
      </c>
      <c r="O4" s="178"/>
      <c r="P4" s="178"/>
      <c r="Q4" s="177"/>
      <c r="R4" s="182"/>
      <c r="S4" s="182"/>
      <c r="T4" s="183"/>
      <c r="U4" s="184" t="s">
        <v>159</v>
      </c>
      <c r="V4" s="182"/>
      <c r="W4" s="182"/>
      <c r="X4" s="182"/>
      <c r="Y4" s="183"/>
      <c r="Z4" s="366" t="s">
        <v>20</v>
      </c>
      <c r="AA4" s="216" t="s">
        <v>155</v>
      </c>
      <c r="AB4" s="217" t="s">
        <v>156</v>
      </c>
      <c r="AC4" s="218"/>
      <c r="AD4" s="219"/>
      <c r="AE4" s="219"/>
      <c r="AF4" s="220" t="s">
        <v>157</v>
      </c>
      <c r="AG4" s="220" t="s">
        <v>16</v>
      </c>
      <c r="AH4" s="221" t="s">
        <v>17</v>
      </c>
      <c r="AI4" s="222" t="s">
        <v>158</v>
      </c>
      <c r="AJ4" s="219"/>
      <c r="AK4" s="221" t="s">
        <v>18</v>
      </c>
      <c r="AL4" s="223"/>
      <c r="AM4" s="224" t="s">
        <v>20</v>
      </c>
    </row>
    <row r="5" spans="1:39" s="36" customFormat="1" ht="68.099999999999994" customHeight="1" x14ac:dyDescent="0.3">
      <c r="A5" s="163" t="s">
        <v>21</v>
      </c>
      <c r="B5" s="164" t="s">
        <v>22</v>
      </c>
      <c r="C5" s="164" t="s">
        <v>23</v>
      </c>
      <c r="D5" s="164" t="s">
        <v>24</v>
      </c>
      <c r="E5" s="343" t="s">
        <v>25</v>
      </c>
      <c r="F5" s="349" t="s">
        <v>160</v>
      </c>
      <c r="G5" s="185" t="s">
        <v>161</v>
      </c>
      <c r="H5" s="354" t="s">
        <v>162</v>
      </c>
      <c r="I5" s="347" t="s">
        <v>163</v>
      </c>
      <c r="J5" s="186" t="s">
        <v>164</v>
      </c>
      <c r="K5" s="187" t="s">
        <v>165</v>
      </c>
      <c r="L5" s="363" t="s">
        <v>166</v>
      </c>
      <c r="M5" s="188" t="s">
        <v>167</v>
      </c>
      <c r="N5" s="370" t="s">
        <v>168</v>
      </c>
      <c r="O5" s="371" t="s">
        <v>169</v>
      </c>
      <c r="P5" s="371" t="s">
        <v>170</v>
      </c>
      <c r="Q5" s="371" t="s">
        <v>171</v>
      </c>
      <c r="R5" s="371" t="s">
        <v>172</v>
      </c>
      <c r="S5" s="371" t="s">
        <v>173</v>
      </c>
      <c r="T5" s="189" t="s">
        <v>174</v>
      </c>
      <c r="U5" s="190" t="s">
        <v>175</v>
      </c>
      <c r="V5" s="367" t="s">
        <v>176</v>
      </c>
      <c r="W5" s="367" t="s">
        <v>177</v>
      </c>
      <c r="X5" s="367" t="s">
        <v>178</v>
      </c>
      <c r="Y5" s="391" t="s">
        <v>179</v>
      </c>
      <c r="Z5" s="367" t="s">
        <v>180</v>
      </c>
      <c r="AA5" s="225" t="s">
        <v>160</v>
      </c>
      <c r="AB5" s="201" t="s">
        <v>181</v>
      </c>
      <c r="AC5" s="202" t="s">
        <v>162</v>
      </c>
      <c r="AD5" s="201" t="s">
        <v>163</v>
      </c>
      <c r="AE5" s="202" t="s">
        <v>164</v>
      </c>
      <c r="AF5" s="202" t="s">
        <v>165</v>
      </c>
      <c r="AG5" s="203" t="s">
        <v>35</v>
      </c>
      <c r="AH5" s="204" t="s">
        <v>167</v>
      </c>
      <c r="AI5" s="205" t="s">
        <v>182</v>
      </c>
      <c r="AJ5" s="205" t="s">
        <v>168</v>
      </c>
      <c r="AK5" s="206" t="s">
        <v>183</v>
      </c>
      <c r="AL5" s="206" t="s">
        <v>184</v>
      </c>
      <c r="AM5" s="226" t="s">
        <v>180</v>
      </c>
    </row>
    <row r="6" spans="1:39" ht="15" hidden="1" customHeight="1" x14ac:dyDescent="0.3">
      <c r="A6" s="40" t="s">
        <v>40</v>
      </c>
      <c r="B6" s="3" t="s">
        <v>185</v>
      </c>
      <c r="C6" s="3" t="s">
        <v>186</v>
      </c>
      <c r="D6" s="3" t="str">
        <f t="shared" ref="D6:D37" si="0">IF(F6&gt;0,"Yes","No")</f>
        <v>No</v>
      </c>
      <c r="E6" s="325"/>
      <c r="F6" s="350"/>
      <c r="G6" s="147"/>
      <c r="H6" s="325"/>
      <c r="J6" s="146"/>
      <c r="K6" s="154"/>
      <c r="L6" s="43"/>
      <c r="M6" s="154"/>
      <c r="N6" s="161"/>
      <c r="O6" s="325"/>
      <c r="P6" s="325"/>
      <c r="Q6" s="325"/>
      <c r="R6" s="325"/>
      <c r="S6" s="325"/>
      <c r="T6" s="146"/>
      <c r="U6" s="147"/>
      <c r="V6" s="320"/>
      <c r="W6" s="320"/>
      <c r="X6" s="320"/>
      <c r="Y6" s="162"/>
      <c r="Z6" s="320"/>
      <c r="AA6" s="1"/>
      <c r="AH6" s="4"/>
      <c r="AI6" s="4"/>
      <c r="AJ6" s="4"/>
      <c r="AM6" s="162"/>
    </row>
    <row r="7" spans="1:39" ht="15" hidden="1" customHeight="1" x14ac:dyDescent="0.3">
      <c r="A7" s="40" t="s">
        <v>41</v>
      </c>
      <c r="B7" s="3" t="s">
        <v>187</v>
      </c>
      <c r="C7" s="51" t="s">
        <v>188</v>
      </c>
      <c r="D7" s="3" t="str">
        <f t="shared" si="0"/>
        <v>No</v>
      </c>
      <c r="E7" s="325"/>
      <c r="F7" s="350"/>
      <c r="G7" s="147"/>
      <c r="H7" s="325"/>
      <c r="J7" s="146"/>
      <c r="K7" s="154"/>
      <c r="L7" s="43"/>
      <c r="M7" s="154"/>
      <c r="N7" s="161"/>
      <c r="O7" s="325"/>
      <c r="P7" s="325"/>
      <c r="Q7" s="325"/>
      <c r="R7" s="325"/>
      <c r="S7" s="325"/>
      <c r="T7" s="146"/>
      <c r="U7" s="147"/>
      <c r="V7" s="320"/>
      <c r="W7" s="320"/>
      <c r="X7" s="320"/>
      <c r="Y7" s="162"/>
      <c r="Z7" s="320"/>
      <c r="AA7" s="1"/>
      <c r="AH7" s="4"/>
      <c r="AI7" s="4"/>
      <c r="AJ7" s="4"/>
      <c r="AM7" s="162"/>
    </row>
    <row r="8" spans="1:39" ht="15" customHeight="1" x14ac:dyDescent="0.3">
      <c r="A8" s="40" t="s">
        <v>42</v>
      </c>
      <c r="B8" s="51" t="s">
        <v>189</v>
      </c>
      <c r="C8" s="51" t="s">
        <v>190</v>
      </c>
      <c r="D8" s="3" t="str">
        <f t="shared" si="0"/>
        <v>Yes</v>
      </c>
      <c r="E8" s="344"/>
      <c r="F8" s="351">
        <v>18918.46</v>
      </c>
      <c r="G8" s="262">
        <f>41/18918*F8</f>
        <v>41.000996934136801</v>
      </c>
      <c r="H8" s="141"/>
      <c r="I8" s="323">
        <f>((F8*S8*P8)*T8*O8*(1-N8))+((F8*S8)+(F8*S8*P8))*Q8*T8*R8</f>
        <v>173.92875385599999</v>
      </c>
      <c r="J8" s="282">
        <f>6/18918*F8</f>
        <v>6.0001458928005071</v>
      </c>
      <c r="K8" s="331">
        <v>450</v>
      </c>
      <c r="L8" s="259">
        <v>548.63530000000003</v>
      </c>
      <c r="M8" s="318">
        <v>5.97</v>
      </c>
      <c r="N8" s="372">
        <v>0.14299999999999999</v>
      </c>
      <c r="O8" s="373">
        <v>8.0000000000000002E-3</v>
      </c>
      <c r="P8" s="373">
        <v>1</v>
      </c>
      <c r="Q8" s="264">
        <v>0.22</v>
      </c>
      <c r="R8" s="373">
        <v>8.9999999999999993E-3</v>
      </c>
      <c r="S8" s="264">
        <v>0.85</v>
      </c>
      <c r="T8" s="265">
        <v>1</v>
      </c>
      <c r="U8" s="151">
        <v>4.9926191507892996E-13</v>
      </c>
      <c r="V8" s="337">
        <v>7.6196994155457501E-13</v>
      </c>
      <c r="W8" s="339">
        <v>6.9410319174027301E-14</v>
      </c>
      <c r="X8" s="339">
        <v>7.1402612381482693E-15</v>
      </c>
      <c r="Y8" s="392">
        <v>1.53428969970343E-12</v>
      </c>
      <c r="Z8" s="385">
        <v>296.77999999999997</v>
      </c>
      <c r="AA8" s="227" t="s">
        <v>191</v>
      </c>
      <c r="AB8" s="165" t="s">
        <v>192</v>
      </c>
      <c r="AC8" s="165"/>
      <c r="AD8" s="165" t="s">
        <v>193</v>
      </c>
      <c r="AE8" s="165" t="s">
        <v>192</v>
      </c>
      <c r="AF8" s="207" t="s">
        <v>194</v>
      </c>
      <c r="AG8" s="305" t="s">
        <v>195</v>
      </c>
      <c r="AH8" s="208" t="s">
        <v>196</v>
      </c>
      <c r="AI8" s="207"/>
      <c r="AJ8" s="209" t="s">
        <v>197</v>
      </c>
      <c r="AK8" s="165" t="s">
        <v>198</v>
      </c>
      <c r="AL8" s="165" t="s">
        <v>199</v>
      </c>
      <c r="AM8" s="274" t="s">
        <v>200</v>
      </c>
    </row>
    <row r="9" spans="1:39" ht="15" hidden="1" customHeight="1" x14ac:dyDescent="0.3">
      <c r="A9" s="40" t="s">
        <v>43</v>
      </c>
      <c r="B9" s="51" t="s">
        <v>201</v>
      </c>
      <c r="C9" s="51" t="s">
        <v>190</v>
      </c>
      <c r="D9" s="3" t="str">
        <f t="shared" si="0"/>
        <v>No</v>
      </c>
      <c r="E9" s="325"/>
      <c r="F9" s="350"/>
      <c r="G9" s="147"/>
      <c r="H9" s="325"/>
      <c r="J9" s="146"/>
      <c r="K9" s="154"/>
      <c r="L9" s="364"/>
      <c r="M9" s="154"/>
      <c r="N9" s="161"/>
      <c r="O9" s="325"/>
      <c r="P9" s="325"/>
      <c r="Q9" s="325"/>
      <c r="R9" s="325"/>
      <c r="S9" s="325"/>
      <c r="T9" s="146"/>
      <c r="U9" s="147"/>
      <c r="V9" s="320"/>
      <c r="W9" s="320"/>
      <c r="X9" s="320"/>
      <c r="Y9" s="162"/>
      <c r="Z9" s="325"/>
      <c r="AA9" s="1"/>
      <c r="AF9" s="26"/>
      <c r="AG9" s="258"/>
      <c r="AH9" s="4"/>
      <c r="AI9" s="4"/>
      <c r="AJ9" s="4"/>
      <c r="AM9" s="275"/>
    </row>
    <row r="10" spans="1:39" ht="15" hidden="1" customHeight="1" x14ac:dyDescent="0.3">
      <c r="A10" s="40" t="s">
        <v>44</v>
      </c>
      <c r="B10" s="3" t="s">
        <v>202</v>
      </c>
      <c r="C10" s="51" t="s">
        <v>188</v>
      </c>
      <c r="D10" s="3" t="str">
        <f t="shared" si="0"/>
        <v>No</v>
      </c>
      <c r="E10" s="325"/>
      <c r="F10" s="350"/>
      <c r="G10" s="147"/>
      <c r="H10" s="325"/>
      <c r="J10" s="146"/>
      <c r="K10" s="154"/>
      <c r="L10" s="364"/>
      <c r="M10" s="154"/>
      <c r="N10" s="161"/>
      <c r="O10" s="325"/>
      <c r="P10" s="325"/>
      <c r="Q10" s="325"/>
      <c r="R10" s="325"/>
      <c r="S10" s="325"/>
      <c r="T10" s="146"/>
      <c r="U10" s="147"/>
      <c r="V10" s="320"/>
      <c r="W10" s="320"/>
      <c r="X10" s="320"/>
      <c r="Y10" s="162"/>
      <c r="Z10" s="325"/>
      <c r="AA10" s="1"/>
      <c r="AG10" s="258"/>
      <c r="AH10" s="4"/>
      <c r="AI10" s="4"/>
      <c r="AJ10" s="4"/>
      <c r="AM10" s="275"/>
    </row>
    <row r="11" spans="1:39" ht="15" customHeight="1" x14ac:dyDescent="0.3">
      <c r="A11" s="40" t="s">
        <v>45</v>
      </c>
      <c r="B11" s="51" t="s">
        <v>203</v>
      </c>
      <c r="C11" s="51" t="s">
        <v>188</v>
      </c>
      <c r="D11" s="3" t="str">
        <f t="shared" si="0"/>
        <v>Yes</v>
      </c>
      <c r="E11" s="344"/>
      <c r="F11" s="350">
        <v>1655.825</v>
      </c>
      <c r="G11" s="262">
        <v>20</v>
      </c>
      <c r="H11" s="322"/>
      <c r="I11" s="323">
        <f>((F11*S11*P11)*T11*O11*(1-N11))+((F11*S11)+(F11*S11*P11))*Q11*T11*R11</f>
        <v>15.222992720000001</v>
      </c>
      <c r="J11" s="286">
        <v>4</v>
      </c>
      <c r="K11" s="330">
        <v>140</v>
      </c>
      <c r="L11" s="259">
        <v>56.298050000000003</v>
      </c>
      <c r="M11" s="314">
        <v>1.65</v>
      </c>
      <c r="N11" s="372">
        <v>0.14299999999999999</v>
      </c>
      <c r="O11" s="373">
        <v>8.0000000000000002E-3</v>
      </c>
      <c r="P11" s="373">
        <v>1</v>
      </c>
      <c r="Q11" s="264">
        <v>0.22</v>
      </c>
      <c r="R11" s="373">
        <v>8.9999999999999993E-3</v>
      </c>
      <c r="S11" s="264">
        <v>0.85</v>
      </c>
      <c r="T11" s="265">
        <v>1</v>
      </c>
      <c r="U11" s="151">
        <v>4.9926191507892996E-13</v>
      </c>
      <c r="V11" s="337">
        <v>7.6196994155457501E-13</v>
      </c>
      <c r="W11" s="339">
        <v>6.9410319174027301E-14</v>
      </c>
      <c r="X11" s="339">
        <v>7.1402612381482693E-15</v>
      </c>
      <c r="Y11" s="392">
        <v>1.53428969970343E-12</v>
      </c>
      <c r="Z11" s="385">
        <v>352.6</v>
      </c>
      <c r="AA11" s="227" t="s">
        <v>191</v>
      </c>
      <c r="AB11" s="165" t="s">
        <v>204</v>
      </c>
      <c r="AC11" s="165"/>
      <c r="AD11" s="165" t="s">
        <v>193</v>
      </c>
      <c r="AE11" s="165" t="s">
        <v>204</v>
      </c>
      <c r="AF11" s="207" t="s">
        <v>205</v>
      </c>
      <c r="AG11" s="305" t="s">
        <v>206</v>
      </c>
      <c r="AH11" s="208" t="s">
        <v>207</v>
      </c>
      <c r="AI11" s="207"/>
      <c r="AJ11" s="209" t="s">
        <v>197</v>
      </c>
      <c r="AK11" s="165" t="s">
        <v>198</v>
      </c>
      <c r="AL11" s="165" t="s">
        <v>199</v>
      </c>
      <c r="AM11" s="274" t="s">
        <v>200</v>
      </c>
    </row>
    <row r="12" spans="1:39" ht="15" hidden="1" customHeight="1" x14ac:dyDescent="0.3">
      <c r="A12" s="40" t="s">
        <v>46</v>
      </c>
      <c r="B12" s="51" t="s">
        <v>208</v>
      </c>
      <c r="C12" s="51" t="s">
        <v>188</v>
      </c>
      <c r="D12" s="3" t="str">
        <f t="shared" si="0"/>
        <v>No</v>
      </c>
      <c r="E12" s="344"/>
      <c r="F12" s="350"/>
      <c r="G12" s="147"/>
      <c r="H12" s="326"/>
      <c r="I12" s="30"/>
      <c r="J12" s="283"/>
      <c r="K12" s="155"/>
      <c r="L12" s="364"/>
      <c r="M12" s="156"/>
      <c r="N12" s="333"/>
      <c r="O12" s="358"/>
      <c r="P12" s="358"/>
      <c r="Q12" s="374"/>
      <c r="R12" s="359"/>
      <c r="S12" s="359"/>
      <c r="T12" s="149"/>
      <c r="U12" s="150"/>
      <c r="V12" s="338"/>
      <c r="W12" s="338"/>
      <c r="X12" s="338"/>
      <c r="Y12" s="393"/>
      <c r="Z12" s="344"/>
      <c r="AA12" s="1"/>
      <c r="AG12" s="258"/>
      <c r="AH12" s="21"/>
      <c r="AI12" s="26"/>
      <c r="AJ12" s="26"/>
      <c r="AM12" s="276"/>
    </row>
    <row r="13" spans="1:39" ht="15" hidden="1" customHeight="1" x14ac:dyDescent="0.3">
      <c r="A13" s="40" t="s">
        <v>47</v>
      </c>
      <c r="B13" s="51" t="s">
        <v>209</v>
      </c>
      <c r="C13" s="51" t="s">
        <v>190</v>
      </c>
      <c r="D13" s="3" t="str">
        <f t="shared" si="0"/>
        <v>No</v>
      </c>
      <c r="E13" s="325"/>
      <c r="F13" s="350"/>
      <c r="G13" s="147"/>
      <c r="H13" s="325"/>
      <c r="J13" s="146"/>
      <c r="K13" s="154"/>
      <c r="L13" s="364"/>
      <c r="M13" s="154"/>
      <c r="N13" s="161"/>
      <c r="O13" s="325"/>
      <c r="P13" s="325"/>
      <c r="Q13" s="325"/>
      <c r="R13" s="325"/>
      <c r="S13" s="325"/>
      <c r="T13" s="146"/>
      <c r="U13" s="147"/>
      <c r="V13" s="320"/>
      <c r="W13" s="320"/>
      <c r="X13" s="320"/>
      <c r="Y13" s="162"/>
      <c r="Z13" s="325"/>
      <c r="AA13" s="1"/>
      <c r="AF13" s="30"/>
      <c r="AG13" s="258"/>
      <c r="AH13" s="4"/>
      <c r="AI13" s="4"/>
      <c r="AJ13" s="4"/>
      <c r="AM13" s="275"/>
    </row>
    <row r="14" spans="1:39" ht="15" customHeight="1" x14ac:dyDescent="0.3">
      <c r="A14" s="40" t="s">
        <v>48</v>
      </c>
      <c r="B14" s="51" t="s">
        <v>210</v>
      </c>
      <c r="C14" s="51" t="s">
        <v>211</v>
      </c>
      <c r="D14" s="3" t="str">
        <f t="shared" si="0"/>
        <v>Yes</v>
      </c>
      <c r="E14" s="325"/>
      <c r="F14" s="350">
        <v>4584</v>
      </c>
      <c r="G14" s="321">
        <f>94/4584*F14</f>
        <v>94</v>
      </c>
      <c r="H14" s="325"/>
      <c r="I14">
        <v>58</v>
      </c>
      <c r="J14" s="287">
        <f>7/4584*F14</f>
        <v>7</v>
      </c>
      <c r="K14" s="334">
        <v>70</v>
      </c>
      <c r="L14" s="259">
        <v>0</v>
      </c>
      <c r="M14" s="154">
        <v>0.52</v>
      </c>
      <c r="N14" s="263">
        <v>0.112</v>
      </c>
      <c r="O14" s="327">
        <v>7.0000000000000001E-3</v>
      </c>
      <c r="P14" s="327">
        <v>1.2</v>
      </c>
      <c r="Q14" s="327">
        <v>0.22</v>
      </c>
      <c r="R14" s="327">
        <v>1.4E-2</v>
      </c>
      <c r="S14" s="327">
        <v>0.89</v>
      </c>
      <c r="T14" s="268">
        <v>1</v>
      </c>
      <c r="U14" s="151">
        <v>4.9926191507892996E-13</v>
      </c>
      <c r="V14" s="337">
        <v>7.6196994155457501E-13</v>
      </c>
      <c r="W14" s="339">
        <v>6.9410319174027301E-14</v>
      </c>
      <c r="X14" s="339">
        <v>7.1402612381482693E-15</v>
      </c>
      <c r="Y14" s="392">
        <v>1.53428969970343E-12</v>
      </c>
      <c r="Z14" s="385">
        <v>16</v>
      </c>
      <c r="AA14" s="227"/>
      <c r="AB14" s="165"/>
      <c r="AC14" s="165"/>
      <c r="AD14" s="165" t="s">
        <v>193</v>
      </c>
      <c r="AE14" s="165"/>
      <c r="AF14" s="210"/>
      <c r="AG14" s="305" t="s">
        <v>195</v>
      </c>
      <c r="AH14" s="173"/>
      <c r="AI14" s="173"/>
      <c r="AJ14" s="173"/>
      <c r="AK14" s="165"/>
      <c r="AL14" s="165"/>
      <c r="AM14" s="274" t="s">
        <v>200</v>
      </c>
    </row>
    <row r="15" spans="1:39" ht="15" customHeight="1" x14ac:dyDescent="0.3">
      <c r="A15" s="40" t="s">
        <v>49</v>
      </c>
      <c r="B15" s="51" t="s">
        <v>212</v>
      </c>
      <c r="C15" s="51" t="s">
        <v>213</v>
      </c>
      <c r="D15" s="3" t="str">
        <f t="shared" si="0"/>
        <v>Yes</v>
      </c>
      <c r="E15" s="325">
        <v>90</v>
      </c>
      <c r="F15" s="350">
        <v>4446</v>
      </c>
      <c r="G15" s="284">
        <f>90/4446*F15</f>
        <v>90</v>
      </c>
      <c r="H15" s="141"/>
      <c r="I15" s="323">
        <f>((F15*S15*P15)*T15*O15*(1-N15))+((F15*S15)+(F15*S15*P15))*Q15*T15*R15</f>
        <v>56.726691840000001</v>
      </c>
      <c r="J15" s="324">
        <f>7/4446*F15</f>
        <v>6.9999999999999991</v>
      </c>
      <c r="K15" s="328">
        <v>70</v>
      </c>
      <c r="L15" s="259">
        <v>0</v>
      </c>
      <c r="M15" s="314">
        <v>0.47</v>
      </c>
      <c r="N15" s="375">
        <v>0.1</v>
      </c>
      <c r="O15" s="335">
        <v>7.0000000000000001E-3</v>
      </c>
      <c r="P15" s="335">
        <v>1.2</v>
      </c>
      <c r="Q15" s="336">
        <v>0.22</v>
      </c>
      <c r="R15" s="335">
        <v>1.4E-2</v>
      </c>
      <c r="S15" s="336">
        <v>0.89</v>
      </c>
      <c r="T15" s="265">
        <v>1</v>
      </c>
      <c r="U15" s="151">
        <v>4.9926191507892996E-13</v>
      </c>
      <c r="V15" s="337">
        <v>7.6196994155457501E-13</v>
      </c>
      <c r="W15" s="339">
        <v>6.9410319174027301E-14</v>
      </c>
      <c r="X15" s="339">
        <v>7.1402612381482693E-15</v>
      </c>
      <c r="Y15" s="392">
        <v>1.53428969970343E-12</v>
      </c>
      <c r="Z15" s="385">
        <v>16</v>
      </c>
      <c r="AA15" s="227" t="s">
        <v>214</v>
      </c>
      <c r="AB15" s="165" t="s">
        <v>215</v>
      </c>
      <c r="AC15" s="165"/>
      <c r="AD15" s="165" t="s">
        <v>193</v>
      </c>
      <c r="AE15" s="165" t="s">
        <v>215</v>
      </c>
      <c r="AF15" s="207" t="s">
        <v>216</v>
      </c>
      <c r="AG15" s="305" t="s">
        <v>195</v>
      </c>
      <c r="AH15" s="208" t="s">
        <v>196</v>
      </c>
      <c r="AI15" s="211" t="s">
        <v>217</v>
      </c>
      <c r="AJ15" s="212" t="s">
        <v>218</v>
      </c>
      <c r="AK15" s="165" t="s">
        <v>198</v>
      </c>
      <c r="AL15" s="165" t="s">
        <v>199</v>
      </c>
      <c r="AM15" s="274" t="s">
        <v>200</v>
      </c>
    </row>
    <row r="16" spans="1:39" ht="15" customHeight="1" x14ac:dyDescent="0.3">
      <c r="A16" s="40" t="s">
        <v>50</v>
      </c>
      <c r="B16" s="51" t="s">
        <v>219</v>
      </c>
      <c r="C16" s="51" t="s">
        <v>213</v>
      </c>
      <c r="D16" s="3" t="str">
        <f t="shared" si="0"/>
        <v>Yes</v>
      </c>
      <c r="E16" s="325">
        <v>10</v>
      </c>
      <c r="F16" s="350">
        <v>5826</v>
      </c>
      <c r="G16" s="284">
        <f>126/5826*F16</f>
        <v>126</v>
      </c>
      <c r="H16" s="320"/>
      <c r="I16" s="323">
        <f>((F16*S16*P16)*T16*O16*(1-N16))+((F16*S16)+(F16*S16*P16))*Q16*T16*R16</f>
        <v>69.107545920000007</v>
      </c>
      <c r="J16" s="324">
        <f>8/5826*F16</f>
        <v>8</v>
      </c>
      <c r="K16" s="328">
        <v>66.7</v>
      </c>
      <c r="L16" s="259">
        <v>0</v>
      </c>
      <c r="M16" s="314">
        <v>1</v>
      </c>
      <c r="N16" s="375">
        <v>0.22</v>
      </c>
      <c r="O16" s="335">
        <v>7.0000000000000001E-3</v>
      </c>
      <c r="P16" s="335">
        <v>1.2</v>
      </c>
      <c r="Q16" s="336">
        <v>0.22</v>
      </c>
      <c r="R16" s="335">
        <v>1.4E-2</v>
      </c>
      <c r="S16" s="336">
        <v>0.89</v>
      </c>
      <c r="T16" s="265">
        <v>1</v>
      </c>
      <c r="U16" s="151">
        <v>4.9926191507892996E-13</v>
      </c>
      <c r="V16" s="337">
        <v>7.6196994155457501E-13</v>
      </c>
      <c r="W16" s="339">
        <v>6.9410319174027301E-14</v>
      </c>
      <c r="X16" s="339">
        <v>7.1402612381482693E-15</v>
      </c>
      <c r="Y16" s="392">
        <v>1.53428969970343E-12</v>
      </c>
      <c r="Z16" s="385">
        <v>16</v>
      </c>
      <c r="AA16" s="227" t="s">
        <v>214</v>
      </c>
      <c r="AB16" s="165" t="s">
        <v>215</v>
      </c>
      <c r="AC16" s="165"/>
      <c r="AD16" s="165" t="s">
        <v>193</v>
      </c>
      <c r="AE16" s="165" t="s">
        <v>215</v>
      </c>
      <c r="AF16" s="207" t="s">
        <v>216</v>
      </c>
      <c r="AG16" s="305" t="s">
        <v>195</v>
      </c>
      <c r="AH16" s="208" t="s">
        <v>196</v>
      </c>
      <c r="AI16" s="211" t="s">
        <v>217</v>
      </c>
      <c r="AJ16" s="212" t="s">
        <v>218</v>
      </c>
      <c r="AK16" s="165" t="s">
        <v>198</v>
      </c>
      <c r="AL16" s="165" t="s">
        <v>199</v>
      </c>
      <c r="AM16" s="274" t="s">
        <v>200</v>
      </c>
    </row>
    <row r="17" spans="1:39" ht="15" customHeight="1" x14ac:dyDescent="0.3">
      <c r="A17" s="40" t="s">
        <v>51</v>
      </c>
      <c r="B17" s="51" t="s">
        <v>220</v>
      </c>
      <c r="C17" s="51" t="s">
        <v>221</v>
      </c>
      <c r="D17" s="3" t="str">
        <f t="shared" si="0"/>
        <v>Yes</v>
      </c>
      <c r="E17" s="344"/>
      <c r="F17" s="351">
        <v>1800</v>
      </c>
      <c r="G17" s="284">
        <f>30/1800*F17</f>
        <v>30</v>
      </c>
      <c r="H17" s="340">
        <v>25</v>
      </c>
      <c r="I17" s="323">
        <f>((F17*S17*P17)*T17*O17*(1-N17))+((F17*S17)+(F17*S17*P17))*Q17*T17*R17</f>
        <v>34.631251200000001</v>
      </c>
      <c r="J17" s="285">
        <f>10/1800*F17</f>
        <v>10</v>
      </c>
      <c r="K17" s="330">
        <v>65</v>
      </c>
      <c r="L17" s="259">
        <v>1.8</v>
      </c>
      <c r="M17" s="318">
        <v>1.1000000000000001</v>
      </c>
      <c r="N17" s="372">
        <v>2.1999999999999999E-2</v>
      </c>
      <c r="O17" s="373">
        <v>8.0000000000000002E-3</v>
      </c>
      <c r="P17" s="373">
        <v>2.1</v>
      </c>
      <c r="Q17" s="264">
        <v>0.19</v>
      </c>
      <c r="R17" s="373">
        <v>8.0000000000000002E-3</v>
      </c>
      <c r="S17" s="336">
        <v>0.91</v>
      </c>
      <c r="T17" s="265">
        <v>1</v>
      </c>
      <c r="U17" s="151">
        <v>4.9926191507892996E-13</v>
      </c>
      <c r="V17" s="337">
        <v>7.6196994155457501E-13</v>
      </c>
      <c r="W17" s="339">
        <v>6.9410319174027301E-14</v>
      </c>
      <c r="X17" s="339">
        <v>7.1402612381482693E-15</v>
      </c>
      <c r="Y17" s="392">
        <v>1.53428969970343E-12</v>
      </c>
      <c r="Z17" s="385">
        <v>13.74</v>
      </c>
      <c r="AA17" s="227" t="s">
        <v>222</v>
      </c>
      <c r="AB17" s="165" t="s">
        <v>223</v>
      </c>
      <c r="AC17" s="165" t="s">
        <v>223</v>
      </c>
      <c r="AD17" s="165" t="s">
        <v>193</v>
      </c>
      <c r="AE17" s="165" t="s">
        <v>222</v>
      </c>
      <c r="AF17" s="165" t="s">
        <v>224</v>
      </c>
      <c r="AG17" s="305" t="s">
        <v>195</v>
      </c>
      <c r="AH17" s="208" t="s">
        <v>222</v>
      </c>
      <c r="AI17" s="207"/>
      <c r="AJ17" s="212" t="s">
        <v>218</v>
      </c>
      <c r="AK17" s="165" t="s">
        <v>198</v>
      </c>
      <c r="AL17" s="165"/>
      <c r="AM17" s="274" t="s">
        <v>200</v>
      </c>
    </row>
    <row r="18" spans="1:39" ht="15" hidden="1" customHeight="1" x14ac:dyDescent="0.3">
      <c r="A18" s="40" t="s">
        <v>52</v>
      </c>
      <c r="B18" s="51" t="s">
        <v>225</v>
      </c>
      <c r="C18" s="51" t="s">
        <v>226</v>
      </c>
      <c r="D18" s="3" t="str">
        <f t="shared" si="0"/>
        <v>No</v>
      </c>
      <c r="E18" s="344"/>
      <c r="F18" s="351"/>
      <c r="G18" s="147"/>
      <c r="H18" s="326"/>
      <c r="I18" s="30"/>
      <c r="J18" s="283"/>
      <c r="K18" s="155"/>
      <c r="L18" s="364"/>
      <c r="M18" s="156"/>
      <c r="N18" s="333"/>
      <c r="O18" s="358"/>
      <c r="P18" s="358"/>
      <c r="Q18" s="374"/>
      <c r="R18" s="359"/>
      <c r="S18" s="359"/>
      <c r="T18" s="149"/>
      <c r="U18" s="150"/>
      <c r="V18" s="338"/>
      <c r="W18" s="338"/>
      <c r="X18" s="338"/>
      <c r="Y18" s="393"/>
      <c r="Z18" s="344"/>
      <c r="AA18" s="1"/>
      <c r="AF18" s="23"/>
      <c r="AG18" s="258"/>
      <c r="AH18" s="21"/>
      <c r="AI18" s="26"/>
      <c r="AJ18" s="26"/>
      <c r="AM18" s="276"/>
    </row>
    <row r="19" spans="1:39" ht="15" hidden="1" customHeight="1" x14ac:dyDescent="0.3">
      <c r="A19" s="40" t="s">
        <v>53</v>
      </c>
      <c r="B19" s="51" t="s">
        <v>227</v>
      </c>
      <c r="C19" s="51" t="s">
        <v>186</v>
      </c>
      <c r="D19" s="3" t="str">
        <f t="shared" si="0"/>
        <v>No</v>
      </c>
      <c r="E19" s="325"/>
      <c r="F19" s="350"/>
      <c r="G19" s="147"/>
      <c r="H19" s="325"/>
      <c r="J19" s="146"/>
      <c r="K19" s="154"/>
      <c r="L19" s="364"/>
      <c r="M19" s="154"/>
      <c r="N19" s="161"/>
      <c r="O19" s="325"/>
      <c r="P19" s="325"/>
      <c r="Q19" s="325"/>
      <c r="R19" s="325"/>
      <c r="S19" s="325"/>
      <c r="T19" s="146"/>
      <c r="U19" s="147"/>
      <c r="V19" s="320"/>
      <c r="W19" s="320"/>
      <c r="X19" s="320"/>
      <c r="Y19" s="162"/>
      <c r="Z19" s="325"/>
      <c r="AA19" s="1"/>
      <c r="AF19" s="30"/>
      <c r="AG19" s="258"/>
      <c r="AH19" s="4"/>
      <c r="AI19" s="4"/>
      <c r="AJ19" s="4"/>
      <c r="AM19" s="275"/>
    </row>
    <row r="20" spans="1:39" ht="15" customHeight="1" x14ac:dyDescent="0.3">
      <c r="A20" s="40" t="s">
        <v>54</v>
      </c>
      <c r="B20" s="51" t="s">
        <v>228</v>
      </c>
      <c r="C20" s="51" t="s">
        <v>229</v>
      </c>
      <c r="D20" s="3" t="str">
        <f t="shared" si="0"/>
        <v>Yes</v>
      </c>
      <c r="E20" s="344"/>
      <c r="F20" s="351">
        <v>1980</v>
      </c>
      <c r="G20" s="262">
        <f>2/1980*F20</f>
        <v>2</v>
      </c>
      <c r="H20" s="340">
        <v>24</v>
      </c>
      <c r="I20" s="323">
        <f>((F20*S20*P20)*T20*O20*(1-N20))+((F20*S20)+(F20*S20*P20))*Q20*T20*R20</f>
        <v>38.094376320000002</v>
      </c>
      <c r="J20" s="285">
        <f>4/1980*F20</f>
        <v>4</v>
      </c>
      <c r="K20" s="330">
        <v>63.2</v>
      </c>
      <c r="L20" s="259">
        <v>1.98</v>
      </c>
      <c r="M20" s="318">
        <v>0.61</v>
      </c>
      <c r="N20" s="372">
        <v>2.1999999999999999E-2</v>
      </c>
      <c r="O20" s="373">
        <v>8.0000000000000002E-3</v>
      </c>
      <c r="P20" s="373">
        <v>2.1</v>
      </c>
      <c r="Q20" s="264">
        <v>0.19</v>
      </c>
      <c r="R20" s="373">
        <v>8.0000000000000002E-3</v>
      </c>
      <c r="S20" s="264">
        <v>0.91</v>
      </c>
      <c r="T20" s="265">
        <v>1</v>
      </c>
      <c r="U20" s="151">
        <v>4.9926191507892996E-13</v>
      </c>
      <c r="V20" s="337">
        <v>7.6196994155457501E-13</v>
      </c>
      <c r="W20" s="339">
        <v>6.9410319174027301E-14</v>
      </c>
      <c r="X20" s="339">
        <v>7.1402612381482693E-15</v>
      </c>
      <c r="Y20" s="392">
        <v>1.53428969970343E-12</v>
      </c>
      <c r="Z20" s="385">
        <v>13.74</v>
      </c>
      <c r="AA20" s="227" t="s">
        <v>191</v>
      </c>
      <c r="AB20" s="165" t="s">
        <v>215</v>
      </c>
      <c r="AC20" s="165" t="s">
        <v>230</v>
      </c>
      <c r="AD20" s="165" t="s">
        <v>193</v>
      </c>
      <c r="AE20" s="165" t="s">
        <v>231</v>
      </c>
      <c r="AF20" s="207" t="s">
        <v>216</v>
      </c>
      <c r="AG20" s="305" t="s">
        <v>195</v>
      </c>
      <c r="AH20" s="208" t="s">
        <v>196</v>
      </c>
      <c r="AI20" s="211" t="s">
        <v>217</v>
      </c>
      <c r="AJ20" s="212" t="s">
        <v>218</v>
      </c>
      <c r="AK20" s="165" t="s">
        <v>198</v>
      </c>
      <c r="AL20" s="165" t="s">
        <v>199</v>
      </c>
      <c r="AM20" s="274" t="s">
        <v>200</v>
      </c>
    </row>
    <row r="21" spans="1:39" ht="15" hidden="1" customHeight="1" x14ac:dyDescent="0.3">
      <c r="A21" s="40" t="s">
        <v>55</v>
      </c>
      <c r="B21" s="51" t="s">
        <v>232</v>
      </c>
      <c r="C21" s="51" t="s">
        <v>188</v>
      </c>
      <c r="D21" s="3" t="str">
        <f t="shared" si="0"/>
        <v>No</v>
      </c>
      <c r="E21" s="344"/>
      <c r="F21" s="351"/>
      <c r="G21" s="147"/>
      <c r="H21" s="326"/>
      <c r="I21" s="30"/>
      <c r="J21" s="283"/>
      <c r="K21" s="155"/>
      <c r="L21" s="364"/>
      <c r="M21" s="156"/>
      <c r="N21" s="333"/>
      <c r="O21" s="358"/>
      <c r="P21" s="358"/>
      <c r="Q21" s="374"/>
      <c r="R21" s="359"/>
      <c r="S21" s="359"/>
      <c r="T21" s="149"/>
      <c r="U21" s="150"/>
      <c r="V21" s="338"/>
      <c r="W21" s="338"/>
      <c r="X21" s="338"/>
      <c r="Y21" s="393"/>
      <c r="Z21" s="344"/>
      <c r="AA21" s="1"/>
      <c r="AF21" s="26"/>
      <c r="AG21" s="258"/>
      <c r="AH21" s="21"/>
      <c r="AI21" s="26"/>
      <c r="AJ21" s="26"/>
      <c r="AM21" s="276"/>
    </row>
    <row r="22" spans="1:39" ht="15" customHeight="1" x14ac:dyDescent="0.3">
      <c r="A22" s="40" t="s">
        <v>56</v>
      </c>
      <c r="B22" s="51" t="s">
        <v>233</v>
      </c>
      <c r="C22" s="51" t="s">
        <v>188</v>
      </c>
      <c r="D22" s="3" t="str">
        <f t="shared" si="0"/>
        <v>Yes</v>
      </c>
      <c r="E22" s="325">
        <v>40</v>
      </c>
      <c r="F22" s="351">
        <v>6888</v>
      </c>
      <c r="G22" s="260">
        <f>150/6888*F22</f>
        <v>150</v>
      </c>
      <c r="H22" s="340"/>
      <c r="I22" s="323">
        <f>((F22*S22*P22)*T22*O22*(1-N22))+((F22*S22)+(F22*S22*P22))*Q22*T22*R22</f>
        <v>63.325516800000003</v>
      </c>
      <c r="J22" s="285">
        <f>22.944752181741/6888*F22</f>
        <v>22.944752181740999</v>
      </c>
      <c r="K22" s="330">
        <v>140</v>
      </c>
      <c r="L22" s="259">
        <v>234.19200000000001</v>
      </c>
      <c r="M22" s="314">
        <v>1.65</v>
      </c>
      <c r="N22" s="372">
        <v>0.14299999999999999</v>
      </c>
      <c r="O22" s="373">
        <v>8.0000000000000002E-3</v>
      </c>
      <c r="P22" s="373">
        <v>1</v>
      </c>
      <c r="Q22" s="264">
        <v>0.22</v>
      </c>
      <c r="R22" s="373">
        <v>8.9999999999999993E-3</v>
      </c>
      <c r="S22" s="264">
        <v>0.85</v>
      </c>
      <c r="T22" s="265">
        <v>1</v>
      </c>
      <c r="U22" s="151">
        <v>4.9926191507892996E-13</v>
      </c>
      <c r="V22" s="337">
        <v>7.6196994155457501E-13</v>
      </c>
      <c r="W22" s="339">
        <v>6.9410319174027301E-14</v>
      </c>
      <c r="X22" s="339">
        <v>7.1402612381482693E-15</v>
      </c>
      <c r="Y22" s="392">
        <v>1.53428969970343E-12</v>
      </c>
      <c r="Z22" s="385">
        <v>250.1</v>
      </c>
      <c r="AA22" s="227" t="s">
        <v>234</v>
      </c>
      <c r="AB22" s="165" t="s">
        <v>235</v>
      </c>
      <c r="AC22" s="165"/>
      <c r="AD22" s="165" t="s">
        <v>193</v>
      </c>
      <c r="AE22" s="165" t="s">
        <v>235</v>
      </c>
      <c r="AF22" s="165" t="s">
        <v>216</v>
      </c>
      <c r="AG22" s="305" t="s">
        <v>206</v>
      </c>
      <c r="AH22" s="208" t="s">
        <v>207</v>
      </c>
      <c r="AI22" s="207"/>
      <c r="AJ22" s="209" t="s">
        <v>197</v>
      </c>
      <c r="AK22" s="165" t="s">
        <v>198</v>
      </c>
      <c r="AL22" s="165" t="s">
        <v>199</v>
      </c>
      <c r="AM22" s="274" t="s">
        <v>200</v>
      </c>
    </row>
    <row r="23" spans="1:39" ht="15" hidden="1" customHeight="1" x14ac:dyDescent="0.3">
      <c r="A23" s="40" t="s">
        <v>57</v>
      </c>
      <c r="B23" s="51" t="s">
        <v>236</v>
      </c>
      <c r="C23" s="51" t="s">
        <v>237</v>
      </c>
      <c r="D23" s="3" t="str">
        <f t="shared" si="0"/>
        <v>No</v>
      </c>
      <c r="E23" s="325"/>
      <c r="F23" s="43"/>
      <c r="G23" s="355"/>
      <c r="J23" s="6"/>
      <c r="K23" s="43"/>
      <c r="L23" s="43"/>
      <c r="M23" s="43"/>
      <c r="N23" s="1"/>
      <c r="T23" s="6"/>
      <c r="U23" s="1"/>
      <c r="Y23" s="6"/>
    </row>
    <row r="24" spans="1:39" ht="15" customHeight="1" x14ac:dyDescent="0.3">
      <c r="A24" s="40" t="s">
        <v>58</v>
      </c>
      <c r="B24" s="51" t="s">
        <v>238</v>
      </c>
      <c r="C24" s="51" t="s">
        <v>188</v>
      </c>
      <c r="D24" s="3" t="str">
        <f t="shared" si="0"/>
        <v>Yes</v>
      </c>
      <c r="E24" s="325"/>
      <c r="F24" s="350">
        <v>33519.06</v>
      </c>
      <c r="G24" s="260">
        <f>200/33519*F24</f>
        <v>200.00035800590709</v>
      </c>
      <c r="H24" s="322"/>
      <c r="I24" s="323">
        <f>((F24*S24*P24)*T24*O24*(1-N24))+((F24*S24)+(F24*S24*P24))*Q24*T24*R24</f>
        <v>308.16083001599992</v>
      </c>
      <c r="J24" s="286">
        <f>16/33519*F24</f>
        <v>16.000028640472568</v>
      </c>
      <c r="K24" s="328">
        <v>140</v>
      </c>
      <c r="L24" s="259">
        <v>1139.64804</v>
      </c>
      <c r="M24" s="314">
        <v>1.65</v>
      </c>
      <c r="N24" s="372">
        <v>0.14299999999999999</v>
      </c>
      <c r="O24" s="373">
        <v>8.0000000000000002E-3</v>
      </c>
      <c r="P24" s="373">
        <v>1</v>
      </c>
      <c r="Q24" s="264">
        <v>0.22</v>
      </c>
      <c r="R24" s="373">
        <v>8.9999999999999993E-3</v>
      </c>
      <c r="S24" s="264">
        <v>0.85</v>
      </c>
      <c r="T24" s="265">
        <v>1</v>
      </c>
      <c r="U24" s="151">
        <v>4.9926191507892996E-13</v>
      </c>
      <c r="V24" s="337">
        <v>7.6196994155457501E-13</v>
      </c>
      <c r="W24" s="339">
        <v>6.9410319174027301E-14</v>
      </c>
      <c r="X24" s="339">
        <v>7.1402612381482693E-15</v>
      </c>
      <c r="Y24" s="392">
        <v>1.53428969970343E-12</v>
      </c>
      <c r="Z24" s="385">
        <v>164</v>
      </c>
      <c r="AA24" s="227" t="s">
        <v>191</v>
      </c>
      <c r="AB24" s="165" t="s">
        <v>235</v>
      </c>
      <c r="AD24" s="165" t="s">
        <v>193</v>
      </c>
      <c r="AE24" s="165" t="s">
        <v>235</v>
      </c>
      <c r="AF24" s="165" t="s">
        <v>216</v>
      </c>
      <c r="AG24" s="305" t="s">
        <v>206</v>
      </c>
      <c r="AH24" s="173" t="s">
        <v>207</v>
      </c>
      <c r="AI24" s="173"/>
      <c r="AJ24" s="209" t="s">
        <v>197</v>
      </c>
      <c r="AK24" s="165" t="s">
        <v>198</v>
      </c>
      <c r="AL24" s="165" t="s">
        <v>199</v>
      </c>
      <c r="AM24" s="274" t="s">
        <v>200</v>
      </c>
    </row>
    <row r="25" spans="1:39" ht="15" hidden="1" customHeight="1" x14ac:dyDescent="0.3">
      <c r="A25" s="40" t="s">
        <v>59</v>
      </c>
      <c r="B25" s="51" t="s">
        <v>239</v>
      </c>
      <c r="C25" s="51" t="s">
        <v>190</v>
      </c>
      <c r="D25" s="3" t="str">
        <f t="shared" si="0"/>
        <v>No</v>
      </c>
      <c r="E25" s="344"/>
      <c r="F25" s="43"/>
      <c r="G25" s="355"/>
      <c r="J25" s="6"/>
      <c r="K25" s="43"/>
      <c r="L25" s="43"/>
      <c r="M25" s="43"/>
      <c r="N25" s="1"/>
      <c r="T25" s="6"/>
      <c r="U25" s="1"/>
      <c r="Y25" s="6"/>
    </row>
    <row r="26" spans="1:39" ht="15" customHeight="1" x14ac:dyDescent="0.3">
      <c r="A26" s="40" t="s">
        <v>60</v>
      </c>
      <c r="B26" s="51" t="s">
        <v>240</v>
      </c>
      <c r="C26" s="51" t="s">
        <v>188</v>
      </c>
      <c r="D26" s="3" t="str">
        <f t="shared" si="0"/>
        <v>Yes</v>
      </c>
      <c r="E26" s="325"/>
      <c r="F26" s="351">
        <v>62471</v>
      </c>
      <c r="G26" s="260">
        <f>83/62471*F26</f>
        <v>83</v>
      </c>
      <c r="H26" s="340"/>
      <c r="I26" s="323">
        <f>((F26*S26*P26)*T26*O26*(1-N26))+((F26*S26)+(F26*S26*P26))*Q26*T26*R26</f>
        <v>157.28198728000001</v>
      </c>
      <c r="J26" s="285">
        <f>29.746/62471*F26</f>
        <v>29.745999999999999</v>
      </c>
      <c r="K26" s="330">
        <v>140</v>
      </c>
      <c r="L26" s="259">
        <v>2124.0140000000001</v>
      </c>
      <c r="M26" s="318">
        <v>2.23</v>
      </c>
      <c r="N26" s="372">
        <v>0.01</v>
      </c>
      <c r="O26" s="335">
        <v>1.9E-2</v>
      </c>
      <c r="P26" s="335">
        <v>0.4</v>
      </c>
      <c r="Q26" s="336">
        <v>0.2</v>
      </c>
      <c r="R26" s="335">
        <v>1.4E-2</v>
      </c>
      <c r="S26" s="264">
        <v>0.22</v>
      </c>
      <c r="T26" s="265">
        <v>1</v>
      </c>
      <c r="U26" s="151">
        <v>4.9926191507892996E-13</v>
      </c>
      <c r="V26" s="337">
        <v>7.6196994155457501E-13</v>
      </c>
      <c r="W26" s="339">
        <v>6.9410319174027301E-14</v>
      </c>
      <c r="X26" s="339">
        <v>7.1402612381482693E-15</v>
      </c>
      <c r="Y26" s="392">
        <v>1.53428969970343E-12</v>
      </c>
      <c r="Z26" s="385">
        <v>90.2</v>
      </c>
      <c r="AA26" s="227" t="s">
        <v>191</v>
      </c>
      <c r="AB26" s="165" t="s">
        <v>241</v>
      </c>
      <c r="AC26" s="165"/>
      <c r="AD26" s="165" t="s">
        <v>193</v>
      </c>
      <c r="AE26" s="165" t="s">
        <v>241</v>
      </c>
      <c r="AF26" s="165" t="s">
        <v>216</v>
      </c>
      <c r="AG26" s="305" t="s">
        <v>206</v>
      </c>
      <c r="AH26" s="208" t="s">
        <v>196</v>
      </c>
      <c r="AI26" s="211" t="s">
        <v>242</v>
      </c>
      <c r="AJ26" s="209" t="s">
        <v>243</v>
      </c>
      <c r="AK26" s="165" t="s">
        <v>198</v>
      </c>
      <c r="AL26" s="165" t="s">
        <v>199</v>
      </c>
      <c r="AM26" s="274" t="s">
        <v>200</v>
      </c>
    </row>
    <row r="27" spans="1:39" ht="15" hidden="1" customHeight="1" x14ac:dyDescent="0.3">
      <c r="A27" s="40" t="s">
        <v>61</v>
      </c>
      <c r="B27" s="3" t="s">
        <v>244</v>
      </c>
      <c r="C27" s="51" t="s">
        <v>186</v>
      </c>
      <c r="D27" s="3" t="str">
        <f t="shared" si="0"/>
        <v>No</v>
      </c>
      <c r="F27" s="43"/>
      <c r="G27" s="355"/>
      <c r="J27" s="6"/>
      <c r="K27" s="43"/>
      <c r="L27" s="43"/>
      <c r="M27" s="43"/>
      <c r="N27" s="1"/>
      <c r="T27" s="6"/>
      <c r="U27" s="1"/>
      <c r="Y27" s="6"/>
    </row>
    <row r="28" spans="1:39" ht="15" customHeight="1" x14ac:dyDescent="0.3">
      <c r="A28" s="40" t="s">
        <v>62</v>
      </c>
      <c r="B28" s="51" t="s">
        <v>245</v>
      </c>
      <c r="C28" s="51" t="s">
        <v>188</v>
      </c>
      <c r="D28" s="3" t="str">
        <f t="shared" si="0"/>
        <v>Yes</v>
      </c>
      <c r="E28" s="325">
        <v>60</v>
      </c>
      <c r="F28" s="351">
        <v>15210</v>
      </c>
      <c r="G28" s="260">
        <f>220/15210*F28</f>
        <v>220</v>
      </c>
      <c r="H28" s="340"/>
      <c r="I28" s="323">
        <f>((F28*S28*P28)*T28*O28*(1-N28))+((F28*S28)+(F28*S28*P28))*Q28*T28*R28</f>
        <v>139.834656</v>
      </c>
      <c r="J28" s="285">
        <f>21.384/15210*F28</f>
        <v>21.384</v>
      </c>
      <c r="K28" s="330">
        <v>140</v>
      </c>
      <c r="L28" s="259">
        <v>517.14</v>
      </c>
      <c r="M28" s="314">
        <v>1.65</v>
      </c>
      <c r="N28" s="372">
        <v>0.14299999999999999</v>
      </c>
      <c r="O28" s="373">
        <v>8.0000000000000002E-3</v>
      </c>
      <c r="P28" s="373">
        <v>1</v>
      </c>
      <c r="Q28" s="264">
        <v>0.22</v>
      </c>
      <c r="R28" s="373">
        <v>8.9999999999999993E-3</v>
      </c>
      <c r="S28" s="264">
        <v>0.85</v>
      </c>
      <c r="T28" s="265">
        <v>1</v>
      </c>
      <c r="U28" s="151">
        <v>4.9926191507892996E-13</v>
      </c>
      <c r="V28" s="337">
        <v>7.6196994155457501E-13</v>
      </c>
      <c r="W28" s="339">
        <v>6.9410319174027301E-14</v>
      </c>
      <c r="X28" s="339">
        <v>7.1402612381482693E-15</v>
      </c>
      <c r="Y28" s="392">
        <v>1.53428969970343E-12</v>
      </c>
      <c r="Z28" s="385">
        <v>250.1</v>
      </c>
      <c r="AA28" s="227" t="s">
        <v>234</v>
      </c>
      <c r="AB28" s="165" t="s">
        <v>235</v>
      </c>
      <c r="AC28" s="165"/>
      <c r="AD28" s="165" t="s">
        <v>193</v>
      </c>
      <c r="AE28" s="165" t="s">
        <v>235</v>
      </c>
      <c r="AF28" s="165" t="s">
        <v>216</v>
      </c>
      <c r="AG28" s="305" t="s">
        <v>206</v>
      </c>
      <c r="AH28" s="208" t="s">
        <v>207</v>
      </c>
      <c r="AI28" s="207"/>
      <c r="AJ28" s="209" t="s">
        <v>197</v>
      </c>
      <c r="AK28" s="165" t="s">
        <v>198</v>
      </c>
      <c r="AL28" s="165" t="s">
        <v>199</v>
      </c>
      <c r="AM28" s="274" t="s">
        <v>200</v>
      </c>
    </row>
    <row r="29" spans="1:39" ht="15" customHeight="1" x14ac:dyDescent="0.3">
      <c r="A29" s="40" t="s">
        <v>63</v>
      </c>
      <c r="B29" s="3" t="s">
        <v>246</v>
      </c>
      <c r="C29" s="51" t="s">
        <v>188</v>
      </c>
      <c r="D29" s="3" t="str">
        <f t="shared" si="0"/>
        <v>Yes</v>
      </c>
      <c r="E29" s="325"/>
      <c r="F29" s="350">
        <v>11881</v>
      </c>
      <c r="G29" s="261">
        <f>192/11881*F29</f>
        <v>192.00000000000003</v>
      </c>
      <c r="H29" s="356"/>
      <c r="I29" s="357">
        <v>109</v>
      </c>
      <c r="J29" s="287">
        <f>22/11881*F29</f>
        <v>22</v>
      </c>
      <c r="K29" s="329">
        <v>140</v>
      </c>
      <c r="L29" s="259">
        <v>403.95400000000001</v>
      </c>
      <c r="M29" s="154">
        <v>1.65</v>
      </c>
      <c r="N29" s="372">
        <v>0.14299999999999999</v>
      </c>
      <c r="O29" s="373">
        <v>8.0000000000000002E-3</v>
      </c>
      <c r="P29" s="373">
        <v>1</v>
      </c>
      <c r="Q29" s="264">
        <v>0.22</v>
      </c>
      <c r="R29" s="373">
        <v>8.9999999999999993E-3</v>
      </c>
      <c r="S29" s="264">
        <v>0.85</v>
      </c>
      <c r="T29" s="265">
        <v>1</v>
      </c>
      <c r="U29" s="151">
        <v>4.9926191507892996E-13</v>
      </c>
      <c r="V29" s="337">
        <v>7.6196994155457501E-13</v>
      </c>
      <c r="W29" s="339">
        <v>6.9410319174027301E-14</v>
      </c>
      <c r="X29" s="339">
        <v>7.1402612381482693E-15</v>
      </c>
      <c r="Y29" s="392">
        <v>1.53428969970343E-12</v>
      </c>
      <c r="Z29" s="385">
        <v>250.1</v>
      </c>
      <c r="AA29" s="227"/>
      <c r="AB29" s="165"/>
      <c r="AC29" s="165"/>
      <c r="AD29" s="165" t="s">
        <v>193</v>
      </c>
      <c r="AE29" s="165"/>
      <c r="AF29" s="165"/>
      <c r="AG29" s="305" t="s">
        <v>206</v>
      </c>
      <c r="AH29" s="173"/>
      <c r="AI29" s="173"/>
      <c r="AJ29" s="173"/>
      <c r="AK29" s="165"/>
      <c r="AL29" s="165"/>
      <c r="AM29" s="274" t="s">
        <v>200</v>
      </c>
    </row>
    <row r="30" spans="1:39" ht="15" hidden="1" customHeight="1" x14ac:dyDescent="0.3">
      <c r="A30" s="40" t="s">
        <v>64</v>
      </c>
      <c r="B30" s="51" t="s">
        <v>247</v>
      </c>
      <c r="C30" s="51" t="s">
        <v>213</v>
      </c>
      <c r="D30" s="3" t="str">
        <f t="shared" si="0"/>
        <v>No</v>
      </c>
      <c r="E30" s="325"/>
      <c r="F30" s="350"/>
      <c r="G30" s="147"/>
      <c r="H30" s="325"/>
      <c r="J30" s="146"/>
      <c r="K30" s="154"/>
      <c r="L30" s="364"/>
      <c r="M30" s="154"/>
      <c r="N30" s="161"/>
      <c r="O30" s="325"/>
      <c r="P30" s="325"/>
      <c r="Q30" s="325"/>
      <c r="R30" s="325"/>
      <c r="S30" s="325"/>
      <c r="T30" s="146"/>
      <c r="U30" s="147"/>
      <c r="V30" s="320"/>
      <c r="W30" s="320"/>
      <c r="X30" s="320"/>
      <c r="Y30" s="162"/>
      <c r="Z30" s="325"/>
      <c r="AA30" s="1"/>
      <c r="AG30" s="258"/>
      <c r="AH30" s="4"/>
      <c r="AI30" s="4"/>
      <c r="AJ30" s="4"/>
      <c r="AM30" s="275"/>
    </row>
    <row r="31" spans="1:39" ht="15" hidden="1" customHeight="1" x14ac:dyDescent="0.3">
      <c r="A31" s="40" t="s">
        <v>65</v>
      </c>
      <c r="B31" s="51" t="s">
        <v>248</v>
      </c>
      <c r="C31" s="51" t="s">
        <v>226</v>
      </c>
      <c r="D31" s="3" t="str">
        <f t="shared" si="0"/>
        <v>No</v>
      </c>
      <c r="E31" s="344"/>
      <c r="F31" s="351"/>
      <c r="G31" s="147"/>
      <c r="H31" s="326"/>
      <c r="I31" s="30"/>
      <c r="J31" s="283"/>
      <c r="K31" s="155"/>
      <c r="L31" s="364"/>
      <c r="M31" s="156"/>
      <c r="N31" s="333"/>
      <c r="O31" s="358"/>
      <c r="P31" s="358"/>
      <c r="Q31" s="374"/>
      <c r="R31" s="359"/>
      <c r="S31" s="359"/>
      <c r="T31" s="149"/>
      <c r="U31" s="150"/>
      <c r="V31" s="338"/>
      <c r="W31" s="338"/>
      <c r="X31" s="338"/>
      <c r="Y31" s="393"/>
      <c r="Z31" s="344"/>
      <c r="AA31" s="1"/>
      <c r="AG31" s="258"/>
      <c r="AH31" s="21"/>
      <c r="AI31" s="26"/>
      <c r="AJ31" s="26"/>
      <c r="AM31" s="276"/>
    </row>
    <row r="32" spans="1:39" ht="15" hidden="1" customHeight="1" x14ac:dyDescent="0.3">
      <c r="A32" s="40" t="s">
        <v>66</v>
      </c>
      <c r="B32" s="51" t="s">
        <v>249</v>
      </c>
      <c r="C32" s="51" t="s">
        <v>186</v>
      </c>
      <c r="D32" s="3" t="str">
        <f t="shared" si="0"/>
        <v>No</v>
      </c>
      <c r="E32" s="344"/>
      <c r="F32" s="351"/>
      <c r="G32" s="147"/>
      <c r="H32" s="326"/>
      <c r="I32" s="30"/>
      <c r="J32" s="283"/>
      <c r="K32" s="155"/>
      <c r="L32" s="364"/>
      <c r="M32" s="156"/>
      <c r="N32" s="333"/>
      <c r="O32" s="358"/>
      <c r="P32" s="358"/>
      <c r="Q32" s="374"/>
      <c r="R32" s="359"/>
      <c r="S32" s="359"/>
      <c r="T32" s="149"/>
      <c r="U32" s="150"/>
      <c r="V32" s="338"/>
      <c r="W32" s="338"/>
      <c r="X32" s="338"/>
      <c r="Y32" s="393"/>
      <c r="Z32" s="344"/>
      <c r="AA32" s="1"/>
      <c r="AG32" s="258"/>
      <c r="AH32" s="21"/>
      <c r="AI32" s="26"/>
      <c r="AJ32" s="26"/>
      <c r="AM32" s="276"/>
    </row>
    <row r="33" spans="1:39" ht="15" hidden="1" customHeight="1" x14ac:dyDescent="0.3">
      <c r="A33" s="40" t="s">
        <v>67</v>
      </c>
      <c r="B33" s="51" t="s">
        <v>250</v>
      </c>
      <c r="C33" s="51" t="s">
        <v>221</v>
      </c>
      <c r="D33" s="3" t="str">
        <f t="shared" si="0"/>
        <v>No</v>
      </c>
      <c r="E33" s="325"/>
      <c r="F33" s="350"/>
      <c r="G33" s="147"/>
      <c r="H33" s="325"/>
      <c r="J33" s="146"/>
      <c r="K33" s="154"/>
      <c r="L33" s="364"/>
      <c r="M33" s="154"/>
      <c r="N33" s="161"/>
      <c r="O33" s="325"/>
      <c r="P33" s="325"/>
      <c r="Q33" s="325"/>
      <c r="R33" s="325"/>
      <c r="S33" s="325"/>
      <c r="T33" s="146"/>
      <c r="U33" s="147"/>
      <c r="V33" s="320"/>
      <c r="W33" s="320"/>
      <c r="X33" s="320"/>
      <c r="Y33" s="162"/>
      <c r="Z33" s="325"/>
      <c r="AA33" s="1"/>
      <c r="AG33" s="258"/>
      <c r="AH33" s="4"/>
      <c r="AI33" s="4"/>
      <c r="AJ33" s="4"/>
      <c r="AM33" s="275"/>
    </row>
    <row r="34" spans="1:39" ht="15" hidden="1" customHeight="1" x14ac:dyDescent="0.3">
      <c r="A34" s="40" t="s">
        <v>68</v>
      </c>
      <c r="B34" s="51" t="s">
        <v>251</v>
      </c>
      <c r="C34" s="51" t="s">
        <v>252</v>
      </c>
      <c r="D34" s="3" t="str">
        <f t="shared" si="0"/>
        <v>No</v>
      </c>
      <c r="E34" s="325"/>
      <c r="F34" s="350"/>
      <c r="G34" s="147"/>
      <c r="H34" s="325"/>
      <c r="J34" s="146"/>
      <c r="K34" s="154"/>
      <c r="L34" s="364"/>
      <c r="M34" s="154"/>
      <c r="N34" s="161"/>
      <c r="O34" s="325"/>
      <c r="P34" s="325"/>
      <c r="Q34" s="325"/>
      <c r="R34" s="325"/>
      <c r="S34" s="325"/>
      <c r="T34" s="146"/>
      <c r="U34" s="147"/>
      <c r="V34" s="320"/>
      <c r="W34" s="320"/>
      <c r="X34" s="320"/>
      <c r="Y34" s="162"/>
      <c r="Z34" s="325"/>
      <c r="AA34" s="1"/>
      <c r="AG34" s="258"/>
      <c r="AH34" s="4"/>
      <c r="AI34" s="4"/>
      <c r="AJ34" s="4"/>
      <c r="AM34" s="275"/>
    </row>
    <row r="35" spans="1:39" ht="15" hidden="1" customHeight="1" x14ac:dyDescent="0.3">
      <c r="A35" s="40" t="s">
        <v>69</v>
      </c>
      <c r="B35" s="3" t="s">
        <v>253</v>
      </c>
      <c r="C35" s="3" t="s">
        <v>254</v>
      </c>
      <c r="D35" s="3" t="str">
        <f t="shared" si="0"/>
        <v>No</v>
      </c>
      <c r="E35" s="325"/>
      <c r="F35" s="350"/>
      <c r="G35" s="147"/>
      <c r="H35" s="325"/>
      <c r="J35" s="146"/>
      <c r="K35" s="154"/>
      <c r="L35" s="364"/>
      <c r="M35" s="154"/>
      <c r="N35" s="161"/>
      <c r="O35" s="325"/>
      <c r="P35" s="325"/>
      <c r="Q35" s="325"/>
      <c r="R35" s="325"/>
      <c r="S35" s="325"/>
      <c r="T35" s="146"/>
      <c r="U35" s="147"/>
      <c r="V35" s="320"/>
      <c r="W35" s="320"/>
      <c r="X35" s="320"/>
      <c r="Y35" s="162"/>
      <c r="Z35" s="325"/>
      <c r="AA35" s="1"/>
      <c r="AG35" s="258"/>
      <c r="AH35" s="4"/>
      <c r="AI35" s="4"/>
      <c r="AJ35" s="4"/>
      <c r="AM35" s="275"/>
    </row>
    <row r="36" spans="1:39" ht="15" hidden="1" customHeight="1" x14ac:dyDescent="0.3">
      <c r="A36" s="40" t="s">
        <v>70</v>
      </c>
      <c r="B36" s="3" t="s">
        <v>255</v>
      </c>
      <c r="C36" s="3" t="s">
        <v>186</v>
      </c>
      <c r="D36" s="3" t="str">
        <f t="shared" si="0"/>
        <v>No</v>
      </c>
      <c r="E36" s="325"/>
      <c r="F36" s="350"/>
      <c r="G36" s="147"/>
      <c r="H36" s="325"/>
      <c r="J36" s="146"/>
      <c r="K36" s="154"/>
      <c r="L36" s="364"/>
      <c r="M36" s="154"/>
      <c r="N36" s="161"/>
      <c r="O36" s="325"/>
      <c r="P36" s="325"/>
      <c r="Q36" s="325"/>
      <c r="R36" s="325"/>
      <c r="S36" s="325"/>
      <c r="T36" s="146"/>
      <c r="U36" s="147"/>
      <c r="V36" s="320"/>
      <c r="W36" s="320"/>
      <c r="X36" s="320"/>
      <c r="Y36" s="162"/>
      <c r="Z36" s="325"/>
      <c r="AA36" s="1"/>
      <c r="AG36" s="258"/>
      <c r="AH36" s="4"/>
      <c r="AI36" s="4"/>
      <c r="AJ36" s="4"/>
      <c r="AM36" s="275"/>
    </row>
    <row r="37" spans="1:39" ht="15" hidden="1" customHeight="1" x14ac:dyDescent="0.3">
      <c r="A37" s="40" t="s">
        <v>71</v>
      </c>
      <c r="B37" s="3" t="s">
        <v>256</v>
      </c>
      <c r="C37" s="3" t="s">
        <v>254</v>
      </c>
      <c r="D37" s="3" t="str">
        <f t="shared" si="0"/>
        <v>No</v>
      </c>
      <c r="E37" s="325"/>
      <c r="F37" s="350"/>
      <c r="G37" s="147"/>
      <c r="H37" s="325"/>
      <c r="J37" s="146"/>
      <c r="K37" s="154"/>
      <c r="L37" s="364"/>
      <c r="M37" s="154"/>
      <c r="N37" s="161"/>
      <c r="O37" s="325"/>
      <c r="P37" s="325"/>
      <c r="Q37" s="325"/>
      <c r="R37" s="325"/>
      <c r="S37" s="325"/>
      <c r="T37" s="146"/>
      <c r="U37" s="147"/>
      <c r="V37" s="320"/>
      <c r="W37" s="320"/>
      <c r="X37" s="320"/>
      <c r="Y37" s="162"/>
      <c r="Z37" s="325"/>
      <c r="AA37" s="1"/>
      <c r="AG37" s="258"/>
      <c r="AH37" s="4"/>
      <c r="AI37" s="4"/>
      <c r="AJ37" s="4"/>
      <c r="AM37" s="275"/>
    </row>
    <row r="38" spans="1:39" ht="15" customHeight="1" x14ac:dyDescent="0.3">
      <c r="A38" s="40" t="s">
        <v>72</v>
      </c>
      <c r="B38" s="3" t="s">
        <v>257</v>
      </c>
      <c r="C38" s="3" t="s">
        <v>188</v>
      </c>
      <c r="D38" s="3" t="str">
        <f t="shared" ref="D38:D69" si="1">IF(F38&gt;0,"Yes","No")</f>
        <v>Yes</v>
      </c>
      <c r="E38" s="325">
        <v>95</v>
      </c>
      <c r="F38" s="478">
        <f>(INDEX(Crop_data,MATCH("01232_gh",Crop_data_codes,0),5)*INDEX(Crop_data,MATCH("01232_gh",Crop_data_codes,0),6)+INDEX(Crop_data,MATCH("01232_of",Crop_data_codes,0),5)*INDEX(Crop_data,MATCH("01232_of",Crop_data_codes,0),6))/100</f>
        <v>438079.3</v>
      </c>
      <c r="G38" s="261">
        <f>(INDEX(Crop_data,MATCH("01232_gh",Crop_data_codes,0),5)*INDEX(Crop_data,MATCH("01232_gh",Crop_data_codes,0),7)+INDEX(Crop_data,MATCH("01232_of",Crop_data_codes,0),5)*INDEX(Crop_data,MATCH("01232_of",Crop_data_codes,0),7))/100</f>
        <v>1385.8545100000001</v>
      </c>
      <c r="H38" s="479">
        <f>(INDEX(Crop_data,MATCH("01232_gh",Crop_data_codes,0),5)*INDEX(Crop_data,MATCH("01232_gh",Crop_data_codes,0),8)+INDEX(Crop_data,MATCH("01232_of",Crop_data_codes,0),5)*INDEX(Crop_data,MATCH("01232_of",Crop_data_codes,0),8))/100</f>
        <v>0</v>
      </c>
      <c r="I38" s="479">
        <f>(INDEX(Crop_data,MATCH("01232_gh",Crop_data_codes,0),5)*INDEX(Crop_data,MATCH("01232_gh",Crop_data_codes,0),9)+INDEX(Crop_data,MATCH("01232_of",Crop_data_codes,0),5)*INDEX(Crop_data,MATCH("01232_of",Crop_data_codes,0),9))/100</f>
        <v>127.74387775999999</v>
      </c>
      <c r="J38" s="287">
        <f>(INDEX(Crop_data,MATCH("01232_gh",Crop_data_codes,0),5)*INDEX(Crop_data,MATCH("01232_gh",Crop_data_codes,0),10)+INDEX(Crop_data,MATCH("01232_of",Crop_data_codes,0),5)*INDEX(Crop_data,MATCH("01232_of",Crop_data_codes,0),10))/100</f>
        <v>670.3447507692307</v>
      </c>
      <c r="K38" s="479">
        <f>(INDEX(Crop_data,MATCH("01232_gh",Crop_data_codes,0),5)*INDEX(Crop_data,MATCH("01232_gh",Crop_data_codes,0),11)+INDEX(Crop_data,MATCH("01232_of",Crop_data_codes,0),5)*INDEX(Crop_data,MATCH("01232_of",Crop_data_codes,0),11))/100</f>
        <v>7</v>
      </c>
      <c r="L38" s="478">
        <f>(INDEX(Crop_data,MATCH("01232_gh",Crop_data_codes,0),5)*INDEX(Crop_data,MATCH("01232_gh",Crop_data_codes,0),12)+INDEX(Crop_data,MATCH("01232_of",Crop_data_codes,0),5)*INDEX(Crop_data,MATCH("01232_of",Crop_data_codes,0),12))/100</f>
        <v>1752.3172</v>
      </c>
      <c r="M38" s="478">
        <f>(INDEX(Crop_data,MATCH("01232_gh",Crop_data_codes,0),5)*INDEX(Crop_data,MATCH("01232_gh",Crop_data_codes,0),13)+INDEX(Crop_data,MATCH("01232_of",Crop_data_codes,0),5)*INDEX(Crop_data,MATCH("01232_of",Crop_data_codes,0),13))/100</f>
        <v>1.65</v>
      </c>
      <c r="N38" s="480">
        <f>(INDEX(Crop_data,MATCH("01232_gh",Crop_data_codes,0),5)*INDEX(Crop_data,MATCH("01232_gh",Crop_data_codes,0),14)+INDEX(Crop_data,MATCH("01232_of",Crop_data_codes,0),5)*INDEX(Crop_data,MATCH("01232_of",Crop_data_codes,0),14))/100</f>
        <v>0.14299999999999999</v>
      </c>
      <c r="O38" s="381">
        <f>(INDEX(Crop_data,MATCH("01232_gh",Crop_data_codes,0),5)*INDEX(Crop_data,MATCH("01232_gh",Crop_data_codes,0),15)+INDEX(Crop_data,MATCH("01232_of",Crop_data_codes,0),5)*INDEX(Crop_data,MATCH("01232_of",Crop_data_codes,0),15))/100</f>
        <v>8.0000000000000002E-3</v>
      </c>
      <c r="P38" s="381">
        <f>(INDEX(Crop_data,MATCH("01232_gh",Crop_data_codes,0),5)*INDEX(Crop_data,MATCH("01232_gh",Crop_data_codes,0),16)+INDEX(Crop_data,MATCH("01232_of",Crop_data_codes,0),5)*INDEX(Crop_data,MATCH("01232_of",Crop_data_codes,0),16))/100</f>
        <v>1</v>
      </c>
      <c r="Q38" s="381">
        <f>(INDEX(Crop_data,MATCH("01232_gh",Crop_data_codes,0),5)*INDEX(Crop_data,MATCH("01232_gh",Crop_data_codes,0),17)+INDEX(Crop_data,MATCH("01232_of",Crop_data_codes,0),5)*INDEX(Crop_data,MATCH("01232_of",Crop_data_codes,0),17))/100</f>
        <v>0.22</v>
      </c>
      <c r="R38" s="381">
        <f>(INDEX(Crop_data,MATCH("01232_gh",Crop_data_codes,0),5)*INDEX(Crop_data,MATCH("01232_gh",Crop_data_codes,0),18)+INDEX(Crop_data,MATCH("01232_of",Crop_data_codes,0),5)*INDEX(Crop_data,MATCH("01232_of",Crop_data_codes,0),18))/100</f>
        <v>9.0000000000000011E-3</v>
      </c>
      <c r="S38" s="381">
        <f>(INDEX(Crop_data,MATCH("01232_gh",Crop_data_codes,0),5)*INDEX(Crop_data,MATCH("01232_gh",Crop_data_codes,0),19)+INDEX(Crop_data,MATCH("01232_of",Crop_data_codes,0),5)*INDEX(Crop_data,MATCH("01232_of",Crop_data_codes,0),19))/100</f>
        <v>0.85</v>
      </c>
      <c r="T38" s="381">
        <f>(INDEX(Crop_data,MATCH("01232_gh",Crop_data_codes,0),5)*INDEX(Crop_data,MATCH("01232_gh",Crop_data_codes,0),20)+INDEX(Crop_data,MATCH("01232_of",Crop_data_codes,0),5)*INDEX(Crop_data,MATCH("01232_of",Crop_data_codes,0),20))/100</f>
        <v>1</v>
      </c>
      <c r="U38" s="481">
        <f>(INDEX(Crop_data,MATCH("01232_gh",Crop_data_codes,0),5)*INDEX(Crop_data,MATCH("01232_gh",Crop_data_codes,0),21)+INDEX(Crop_data,MATCH("01232_of",Crop_data_codes,0),5)*INDEX(Crop_data,MATCH("01232_of",Crop_data_codes,0),21))/100</f>
        <v>5.6894688245295621E-13</v>
      </c>
      <c r="V38" s="482">
        <f>(INDEX(Crop_data,MATCH("01232_gh",Crop_data_codes,0),5)*INDEX(Crop_data,MATCH("01232_gh",Crop_data_codes,0),22)+INDEX(Crop_data,MATCH("01232_of",Crop_data_codes,0),5)*INDEX(Crop_data,MATCH("01232_of",Crop_data_codes,0),22))/100</f>
        <v>9.8975981750283773E-13</v>
      </c>
      <c r="W38" s="482">
        <f>(INDEX(Crop_data,MATCH("01232_gh",Crop_data_codes,0),5)*INDEX(Crop_data,MATCH("01232_gh",Crop_data_codes,0),23)+INDEX(Crop_data,MATCH("01232_of",Crop_data_codes,0),5)*INDEX(Crop_data,MATCH("01232_of",Crop_data_codes,0),23))/100</f>
        <v>7.8855136945193544E-14</v>
      </c>
      <c r="X38" s="482">
        <f>(INDEX(Crop_data,MATCH("01232_gh",Crop_data_codes,0),5)*INDEX(Crop_data,MATCH("01232_gh",Crop_data_codes,0),24)+INDEX(Crop_data,MATCH("01232_of",Crop_data_codes,0),5)*INDEX(Crop_data,MATCH("01232_of",Crop_data_codes,0),24))/100</f>
        <v>8.5803353762918609E-15</v>
      </c>
      <c r="Y38" s="482">
        <f>(INDEX(Crop_data,MATCH("01232_gh",Crop_data_codes,0),5)*INDEX(Crop_data,MATCH("01232_gh",Crop_data_codes,0),25)+INDEX(Crop_data,MATCH("01232_of",Crop_data_codes,0),5)*INDEX(Crop_data,MATCH("01232_of",Crop_data_codes,0),25))/100</f>
        <v>1.8437308872552773E-12</v>
      </c>
      <c r="Z38" s="483">
        <f>(INDEX(Crop_data,MATCH("01232_gh",Crop_data_codes,0),5)*INDEX(Crop_data,MATCH("01232_gh",Crop_data_codes,0),26)+INDEX(Crop_data,MATCH("01232_of",Crop_data_codes,0),5)*INDEX(Crop_data,MATCH("01232_of",Crop_data_codes,0),26))/100</f>
        <v>782.52849999999989</v>
      </c>
      <c r="AA38" s="227" t="s">
        <v>191</v>
      </c>
      <c r="AB38" s="165"/>
      <c r="AC38" s="165"/>
      <c r="AD38" s="165" t="s">
        <v>193</v>
      </c>
      <c r="AE38" s="165"/>
      <c r="AF38" s="165"/>
      <c r="AG38" s="305" t="s">
        <v>258</v>
      </c>
      <c r="AH38" s="173"/>
      <c r="AI38" s="173"/>
      <c r="AJ38" s="173"/>
      <c r="AK38" s="165"/>
      <c r="AL38" s="165"/>
      <c r="AM38" s="229" t="s">
        <v>259</v>
      </c>
    </row>
    <row r="39" spans="1:39" ht="15" customHeight="1" x14ac:dyDescent="0.3">
      <c r="A39" s="40" t="s">
        <v>73</v>
      </c>
      <c r="B39" s="51" t="s">
        <v>260</v>
      </c>
      <c r="C39" s="51" t="s">
        <v>188</v>
      </c>
      <c r="D39" s="3" t="str">
        <f t="shared" si="1"/>
        <v>Yes</v>
      </c>
      <c r="E39" s="325">
        <v>95</v>
      </c>
      <c r="F39" s="351">
        <v>458366</v>
      </c>
      <c r="G39" s="260">
        <f>1451.4258/458366*F39</f>
        <v>1451.4258</v>
      </c>
      <c r="H39" s="340"/>
      <c r="I39" s="357">
        <v>109</v>
      </c>
      <c r="J39" s="282">
        <f>703.7216/458366*F39</f>
        <v>703.72159999999997</v>
      </c>
      <c r="K39" s="330">
        <v>0</v>
      </c>
      <c r="L39" s="259">
        <v>1833.4639999999999</v>
      </c>
      <c r="M39" s="314">
        <v>1.65</v>
      </c>
      <c r="N39" s="372">
        <v>0.14299999999999999</v>
      </c>
      <c r="O39" s="373">
        <v>8.0000000000000002E-3</v>
      </c>
      <c r="P39" s="373">
        <v>1</v>
      </c>
      <c r="Q39" s="264">
        <v>0.22</v>
      </c>
      <c r="R39" s="373">
        <v>8.9999999999999993E-3</v>
      </c>
      <c r="S39" s="264">
        <v>0.85</v>
      </c>
      <c r="T39" s="265">
        <v>1</v>
      </c>
      <c r="U39" s="151">
        <v>5.7261451231474699E-13</v>
      </c>
      <c r="V39" s="337">
        <v>1.00174875834222E-12</v>
      </c>
      <c r="W39" s="339">
        <v>7.9352232617360196E-14</v>
      </c>
      <c r="X39" s="339">
        <v>8.6561287519836293E-15</v>
      </c>
      <c r="Y39" s="392">
        <v>1.86001726554748E-12</v>
      </c>
      <c r="Z39" s="386">
        <v>807.53</v>
      </c>
      <c r="AA39" s="227" t="s">
        <v>234</v>
      </c>
      <c r="AB39" s="213" t="s">
        <v>261</v>
      </c>
      <c r="AC39" s="165"/>
      <c r="AD39" s="165" t="s">
        <v>193</v>
      </c>
      <c r="AE39" s="213" t="s">
        <v>262</v>
      </c>
      <c r="AF39" s="165"/>
      <c r="AG39" s="305" t="s">
        <v>258</v>
      </c>
      <c r="AH39" s="208" t="s">
        <v>207</v>
      </c>
      <c r="AI39" s="207"/>
      <c r="AJ39" s="209" t="s">
        <v>197</v>
      </c>
      <c r="AK39" s="165" t="s">
        <v>198</v>
      </c>
      <c r="AL39" s="165" t="s">
        <v>263</v>
      </c>
      <c r="AM39" s="228" t="s">
        <v>259</v>
      </c>
    </row>
    <row r="40" spans="1:39" ht="15" customHeight="1" x14ac:dyDescent="0.3">
      <c r="A40" s="40" t="s">
        <v>74</v>
      </c>
      <c r="B40" s="51" t="s">
        <v>264</v>
      </c>
      <c r="C40" s="51" t="s">
        <v>188</v>
      </c>
      <c r="D40" s="3" t="str">
        <f t="shared" si="1"/>
        <v>Yes</v>
      </c>
      <c r="E40" s="325">
        <v>5</v>
      </c>
      <c r="F40" s="351">
        <v>52632</v>
      </c>
      <c r="G40" s="260">
        <f>140/52632*F40</f>
        <v>140</v>
      </c>
      <c r="H40" s="340"/>
      <c r="I40" s="323">
        <f>((F40*S40*P40)*T40*O40*(1-N40))+((F40*S40)+(F40*S40*P40))*Q40*T40*R40</f>
        <v>483.87755519999996</v>
      </c>
      <c r="J40" s="282">
        <f>36.1846153846154/52632*F40</f>
        <v>36.184615384615398</v>
      </c>
      <c r="K40" s="330">
        <v>140</v>
      </c>
      <c r="L40" s="259">
        <v>210.52800000000002</v>
      </c>
      <c r="M40" s="314">
        <v>1.65</v>
      </c>
      <c r="N40" s="372">
        <v>0.14299999999999999</v>
      </c>
      <c r="O40" s="373">
        <v>8.0000000000000002E-3</v>
      </c>
      <c r="P40" s="373">
        <v>1</v>
      </c>
      <c r="Q40" s="264">
        <v>0.22</v>
      </c>
      <c r="R40" s="373">
        <v>8.9999999999999993E-3</v>
      </c>
      <c r="S40" s="264">
        <v>0.85</v>
      </c>
      <c r="T40" s="265">
        <v>1</v>
      </c>
      <c r="U40" s="151">
        <v>4.9926191507892996E-13</v>
      </c>
      <c r="V40" s="337">
        <v>7.6196994155457501E-13</v>
      </c>
      <c r="W40" s="339">
        <v>6.9410319174027301E-14</v>
      </c>
      <c r="X40" s="339">
        <v>7.1402612381482693E-15</v>
      </c>
      <c r="Y40" s="392">
        <v>1.53428969970343E-12</v>
      </c>
      <c r="Z40" s="385">
        <v>307.5</v>
      </c>
      <c r="AA40" s="227" t="s">
        <v>234</v>
      </c>
      <c r="AB40" s="165" t="s">
        <v>235</v>
      </c>
      <c r="AC40" s="165"/>
      <c r="AD40" s="165" t="s">
        <v>193</v>
      </c>
      <c r="AE40" s="165" t="s">
        <v>235</v>
      </c>
      <c r="AF40" s="207" t="s">
        <v>205</v>
      </c>
      <c r="AG40" s="305" t="s">
        <v>258</v>
      </c>
      <c r="AH40" s="208" t="s">
        <v>207</v>
      </c>
      <c r="AI40" s="207"/>
      <c r="AJ40" s="209" t="s">
        <v>197</v>
      </c>
      <c r="AK40" s="165" t="s">
        <v>198</v>
      </c>
      <c r="AL40" s="165" t="s">
        <v>199</v>
      </c>
      <c r="AM40" s="274" t="s">
        <v>200</v>
      </c>
    </row>
    <row r="41" spans="1:39" ht="15" customHeight="1" x14ac:dyDescent="0.3">
      <c r="A41" s="40" t="s">
        <v>75</v>
      </c>
      <c r="B41" s="51" t="s">
        <v>265</v>
      </c>
      <c r="C41" s="51" t="s">
        <v>226</v>
      </c>
      <c r="D41" s="3" t="str">
        <f t="shared" si="1"/>
        <v>Yes</v>
      </c>
      <c r="E41" s="344"/>
      <c r="F41" s="351">
        <v>4000</v>
      </c>
      <c r="G41" s="262">
        <f>400*0.08/4000*F41</f>
        <v>32</v>
      </c>
      <c r="H41" s="141"/>
      <c r="I41" s="323">
        <f>((F41*S41*P41)*T41*O41*(1-N41))+((F41*S41)+(F41*S41*P41))*Q41*T41*R41</f>
        <v>36.7744</v>
      </c>
      <c r="J41" s="285">
        <f>400*0.05/4000*F41</f>
        <v>20</v>
      </c>
      <c r="K41" s="331">
        <v>300</v>
      </c>
      <c r="L41" s="259">
        <v>40.368879999999997</v>
      </c>
      <c r="M41" s="314">
        <v>2.25</v>
      </c>
      <c r="N41" s="375">
        <v>0.14299999999999999</v>
      </c>
      <c r="O41" s="373">
        <v>8.0000000000000002E-3</v>
      </c>
      <c r="P41" s="373">
        <v>1</v>
      </c>
      <c r="Q41" s="264">
        <v>0.22</v>
      </c>
      <c r="R41" s="373">
        <v>8.9999999999999993E-3</v>
      </c>
      <c r="S41" s="264">
        <v>0.85</v>
      </c>
      <c r="T41" s="265">
        <v>1</v>
      </c>
      <c r="U41" s="151">
        <v>4.9926191507892996E-13</v>
      </c>
      <c r="V41" s="337">
        <v>7.6196994155457501E-13</v>
      </c>
      <c r="W41" s="339">
        <v>6.9410319174027301E-14</v>
      </c>
      <c r="X41" s="339">
        <v>7.1402612381482693E-15</v>
      </c>
      <c r="Y41" s="392">
        <v>1.53428969970343E-12</v>
      </c>
      <c r="Z41" s="443">
        <v>755.15</v>
      </c>
      <c r="AA41" s="165" t="s">
        <v>266</v>
      </c>
      <c r="AB41" s="165" t="s">
        <v>266</v>
      </c>
      <c r="AC41" s="165"/>
      <c r="AD41" s="165" t="s">
        <v>193</v>
      </c>
      <c r="AE41" s="165" t="s">
        <v>266</v>
      </c>
      <c r="AF41" s="207" t="s">
        <v>267</v>
      </c>
      <c r="AG41" s="305" t="s">
        <v>206</v>
      </c>
      <c r="AH41" s="208" t="s">
        <v>268</v>
      </c>
      <c r="AI41" s="207"/>
      <c r="AJ41" s="209" t="s">
        <v>197</v>
      </c>
      <c r="AK41" s="165" t="s">
        <v>198</v>
      </c>
      <c r="AL41" s="165" t="s">
        <v>199</v>
      </c>
      <c r="AM41" s="274" t="s">
        <v>200</v>
      </c>
    </row>
    <row r="42" spans="1:39" ht="15" hidden="1" customHeight="1" x14ac:dyDescent="0.3">
      <c r="A42" s="40" t="s">
        <v>76</v>
      </c>
      <c r="B42" s="3" t="s">
        <v>269</v>
      </c>
      <c r="C42" s="3" t="s">
        <v>190</v>
      </c>
      <c r="D42" s="3" t="str">
        <f t="shared" si="1"/>
        <v>No</v>
      </c>
      <c r="E42" s="344"/>
      <c r="F42" s="351"/>
      <c r="G42" s="147"/>
      <c r="H42" s="326"/>
      <c r="I42" s="30"/>
      <c r="J42" s="283"/>
      <c r="K42" s="158"/>
      <c r="L42" s="364"/>
      <c r="M42" s="156"/>
      <c r="N42" s="333"/>
      <c r="O42" s="358"/>
      <c r="P42" s="358"/>
      <c r="Q42" s="374"/>
      <c r="R42" s="359"/>
      <c r="S42" s="359"/>
      <c r="T42" s="149"/>
      <c r="U42" s="150"/>
      <c r="V42" s="338"/>
      <c r="W42" s="338"/>
      <c r="X42" s="338"/>
      <c r="Y42" s="393"/>
      <c r="Z42" s="344"/>
      <c r="AA42" s="1"/>
      <c r="AG42" s="258"/>
      <c r="AH42" s="21"/>
      <c r="AI42" s="26"/>
      <c r="AJ42" s="26"/>
      <c r="AM42" s="276"/>
    </row>
    <row r="43" spans="1:39" ht="15" hidden="1" customHeight="1" x14ac:dyDescent="0.3">
      <c r="A43" s="40" t="s">
        <v>77</v>
      </c>
      <c r="B43" s="3" t="s">
        <v>270</v>
      </c>
      <c r="C43" s="3" t="s">
        <v>271</v>
      </c>
      <c r="D43" s="3" t="str">
        <f t="shared" si="1"/>
        <v>No</v>
      </c>
      <c r="E43" s="344"/>
      <c r="F43" s="351"/>
      <c r="G43" s="147"/>
      <c r="H43" s="358"/>
      <c r="I43" s="30"/>
      <c r="J43" s="288"/>
      <c r="K43" s="158"/>
      <c r="L43" s="364"/>
      <c r="M43" s="156"/>
      <c r="N43" s="333"/>
      <c r="O43" s="358"/>
      <c r="P43" s="358"/>
      <c r="Q43" s="374"/>
      <c r="R43" s="359"/>
      <c r="S43" s="359"/>
      <c r="T43" s="149"/>
      <c r="U43" s="151"/>
      <c r="V43" s="337"/>
      <c r="W43" s="337"/>
      <c r="X43" s="337"/>
      <c r="Y43" s="143"/>
      <c r="Z43" s="374"/>
      <c r="AA43" s="1"/>
      <c r="AG43" s="258"/>
      <c r="AH43" s="21"/>
      <c r="AI43" s="26"/>
      <c r="AJ43" s="26"/>
      <c r="AM43" s="277"/>
    </row>
    <row r="44" spans="1:39" ht="15" hidden="1" customHeight="1" x14ac:dyDescent="0.3">
      <c r="A44" s="40" t="s">
        <v>78</v>
      </c>
      <c r="B44" s="51" t="s">
        <v>272</v>
      </c>
      <c r="C44" s="51" t="s">
        <v>188</v>
      </c>
      <c r="D44" s="3" t="str">
        <f t="shared" si="1"/>
        <v>No</v>
      </c>
      <c r="E44" s="344"/>
      <c r="F44" s="351"/>
      <c r="G44" s="147"/>
      <c r="H44" s="326"/>
      <c r="I44" s="30"/>
      <c r="J44" s="283"/>
      <c r="K44" s="155"/>
      <c r="L44" s="364"/>
      <c r="M44" s="156"/>
      <c r="N44" s="333"/>
      <c r="O44" s="358"/>
      <c r="P44" s="358"/>
      <c r="Q44" s="374"/>
      <c r="R44" s="359"/>
      <c r="S44" s="359"/>
      <c r="T44" s="149"/>
      <c r="U44" s="150"/>
      <c r="V44" s="338"/>
      <c r="W44" s="338"/>
      <c r="X44" s="338"/>
      <c r="Y44" s="393"/>
      <c r="Z44" s="344"/>
      <c r="AA44" s="1"/>
      <c r="AG44" s="258"/>
      <c r="AH44" s="21"/>
      <c r="AI44" s="26"/>
      <c r="AJ44" s="26"/>
      <c r="AM44" s="276"/>
    </row>
    <row r="45" spans="1:39" ht="15" hidden="1" customHeight="1" x14ac:dyDescent="0.3">
      <c r="A45" s="40" t="s">
        <v>79</v>
      </c>
      <c r="B45" s="51" t="s">
        <v>273</v>
      </c>
      <c r="C45" s="51" t="s">
        <v>190</v>
      </c>
      <c r="D45" s="3" t="str">
        <f t="shared" si="1"/>
        <v>No</v>
      </c>
      <c r="E45" s="344"/>
      <c r="F45" s="351"/>
      <c r="G45" s="147"/>
      <c r="H45" s="358"/>
      <c r="I45" s="30"/>
      <c r="J45" s="288"/>
      <c r="K45" s="158"/>
      <c r="L45" s="364"/>
      <c r="M45" s="156"/>
      <c r="N45" s="333"/>
      <c r="O45" s="358"/>
      <c r="P45" s="358"/>
      <c r="Q45" s="374"/>
      <c r="R45" s="359"/>
      <c r="S45" s="359"/>
      <c r="T45" s="149"/>
      <c r="U45" s="151"/>
      <c r="V45" s="337"/>
      <c r="W45" s="337"/>
      <c r="X45" s="337"/>
      <c r="Y45" s="143"/>
      <c r="Z45" s="374"/>
      <c r="AA45" s="1"/>
      <c r="AG45" s="258"/>
      <c r="AH45" s="21"/>
      <c r="AI45" s="26"/>
      <c r="AJ45" s="26"/>
      <c r="AM45" s="277"/>
    </row>
    <row r="46" spans="1:39" ht="15" hidden="1" customHeight="1" x14ac:dyDescent="0.3">
      <c r="A46" s="40" t="s">
        <v>80</v>
      </c>
      <c r="B46" s="51" t="s">
        <v>274</v>
      </c>
      <c r="C46" s="51" t="s">
        <v>226</v>
      </c>
      <c r="D46" s="3" t="str">
        <f t="shared" si="1"/>
        <v>No</v>
      </c>
      <c r="E46" s="345"/>
      <c r="F46" s="351"/>
      <c r="G46" s="147"/>
      <c r="H46" s="326"/>
      <c r="I46" s="26"/>
      <c r="J46" s="283"/>
      <c r="K46" s="155"/>
      <c r="L46" s="364"/>
      <c r="M46" s="156"/>
      <c r="N46" s="376"/>
      <c r="O46" s="377"/>
      <c r="P46" s="377"/>
      <c r="Q46" s="377"/>
      <c r="R46" s="377"/>
      <c r="S46" s="377"/>
      <c r="T46" s="152"/>
      <c r="U46" s="150"/>
      <c r="V46" s="338"/>
      <c r="W46" s="338"/>
      <c r="X46" s="338"/>
      <c r="Y46" s="393"/>
      <c r="Z46" s="387"/>
      <c r="AA46" s="1"/>
      <c r="AG46" s="258"/>
      <c r="AH46" s="21"/>
      <c r="AI46" s="10"/>
      <c r="AJ46" s="10"/>
      <c r="AM46" s="278"/>
    </row>
    <row r="47" spans="1:39" ht="15" customHeight="1" x14ac:dyDescent="0.3">
      <c r="A47" s="40" t="s">
        <v>81</v>
      </c>
      <c r="B47" s="51" t="s">
        <v>275</v>
      </c>
      <c r="C47" s="51" t="s">
        <v>190</v>
      </c>
      <c r="D47" s="3" t="str">
        <f t="shared" si="1"/>
        <v>Yes</v>
      </c>
      <c r="E47" s="344"/>
      <c r="F47" s="351">
        <v>1511</v>
      </c>
      <c r="G47" s="262">
        <f>33/7977*F47</f>
        <v>6.2508461827754793</v>
      </c>
      <c r="H47" s="141"/>
      <c r="I47" s="323">
        <f>((F47*S47*P47)*T47*O47*(1-N47))+((F47*S47)+(F47*S47*P47))*Q47*T47*R47</f>
        <v>13.891529599999998</v>
      </c>
      <c r="J47" s="285">
        <f>14/7977*F47</f>
        <v>2.6518741381471731</v>
      </c>
      <c r="K47" s="330">
        <v>450</v>
      </c>
      <c r="L47" s="259">
        <v>126.92400000000001</v>
      </c>
      <c r="M47" s="318">
        <v>6.09</v>
      </c>
      <c r="N47" s="372">
        <v>0.14299999999999999</v>
      </c>
      <c r="O47" s="373">
        <v>8.0000000000000002E-3</v>
      </c>
      <c r="P47" s="373">
        <v>1</v>
      </c>
      <c r="Q47" s="264">
        <v>0.22</v>
      </c>
      <c r="R47" s="373">
        <v>8.9999999999999993E-3</v>
      </c>
      <c r="S47" s="264">
        <v>0.85</v>
      </c>
      <c r="T47" s="265">
        <v>1</v>
      </c>
      <c r="U47" s="151">
        <v>4.9926191507892996E-13</v>
      </c>
      <c r="V47" s="337">
        <v>7.6196994155457501E-13</v>
      </c>
      <c r="W47" s="339">
        <v>6.9410319174027301E-14</v>
      </c>
      <c r="X47" s="339">
        <v>7.1402612381482693E-15</v>
      </c>
      <c r="Y47" s="392">
        <v>1.53428969970343E-12</v>
      </c>
      <c r="Z47" s="385">
        <v>332.9</v>
      </c>
      <c r="AA47" s="227" t="s">
        <v>191</v>
      </c>
      <c r="AB47" s="165" t="s">
        <v>259</v>
      </c>
      <c r="AC47" s="165"/>
      <c r="AD47" s="165" t="s">
        <v>193</v>
      </c>
      <c r="AE47" s="165" t="s">
        <v>259</v>
      </c>
      <c r="AF47" s="207" t="s">
        <v>276</v>
      </c>
      <c r="AG47" s="305" t="s">
        <v>195</v>
      </c>
      <c r="AH47" s="208" t="s">
        <v>277</v>
      </c>
      <c r="AI47" s="207"/>
      <c r="AJ47" s="209" t="s">
        <v>197</v>
      </c>
      <c r="AK47" s="165" t="s">
        <v>198</v>
      </c>
      <c r="AL47" s="165" t="s">
        <v>199</v>
      </c>
      <c r="AM47" s="274" t="s">
        <v>200</v>
      </c>
    </row>
    <row r="48" spans="1:39" ht="15" hidden="1" customHeight="1" x14ac:dyDescent="0.3">
      <c r="A48" s="40" t="s">
        <v>82</v>
      </c>
      <c r="B48" s="51" t="s">
        <v>278</v>
      </c>
      <c r="C48" s="51" t="s">
        <v>188</v>
      </c>
      <c r="D48" s="3" t="str">
        <f t="shared" si="1"/>
        <v>No</v>
      </c>
      <c r="E48" s="344"/>
      <c r="F48" s="351"/>
      <c r="G48" s="147"/>
      <c r="H48" s="359"/>
      <c r="I48" s="26"/>
      <c r="J48" s="289"/>
      <c r="K48" s="159"/>
      <c r="L48" s="364"/>
      <c r="M48" s="156"/>
      <c r="N48" s="333"/>
      <c r="O48" s="358"/>
      <c r="P48" s="358"/>
      <c r="Q48" s="374"/>
      <c r="R48" s="359"/>
      <c r="S48" s="359"/>
      <c r="T48" s="149"/>
      <c r="U48" s="153"/>
      <c r="V48" s="368"/>
      <c r="W48" s="368"/>
      <c r="X48" s="368"/>
      <c r="Y48" s="394"/>
      <c r="Z48" s="388"/>
      <c r="AA48" s="1"/>
      <c r="AG48" s="258"/>
      <c r="AH48" s="21"/>
      <c r="AI48" s="26"/>
      <c r="AJ48" s="26"/>
      <c r="AM48" s="278"/>
    </row>
    <row r="49" spans="1:39" ht="15" customHeight="1" x14ac:dyDescent="0.3">
      <c r="A49" s="40" t="s">
        <v>83</v>
      </c>
      <c r="B49" s="51" t="s">
        <v>279</v>
      </c>
      <c r="C49" s="51" t="s">
        <v>188</v>
      </c>
      <c r="D49" s="3" t="str">
        <f t="shared" si="1"/>
        <v>Yes</v>
      </c>
      <c r="E49" s="344"/>
      <c r="F49" s="351">
        <v>3625</v>
      </c>
      <c r="G49" s="262">
        <f>144/45840*F49</f>
        <v>11.387434554973822</v>
      </c>
      <c r="H49" s="141"/>
      <c r="I49" s="323">
        <f>((F49*S49*P49)*T49*O49*(1-N49))+((F49*S49)+(F49*S49*P49))*Q49*T49*R49</f>
        <v>9.1265900000000002</v>
      </c>
      <c r="J49" s="282">
        <f>44/45840*F49</f>
        <v>3.4794938917975569</v>
      </c>
      <c r="K49" s="331">
        <v>140</v>
      </c>
      <c r="L49" s="259">
        <v>123.25</v>
      </c>
      <c r="M49" s="314">
        <v>1.65</v>
      </c>
      <c r="N49" s="372">
        <f>AVERAGE(N101,N86)</f>
        <v>0.01</v>
      </c>
      <c r="O49" s="335">
        <v>1.9E-2</v>
      </c>
      <c r="P49" s="335">
        <v>0.4</v>
      </c>
      <c r="Q49" s="336">
        <v>0.2</v>
      </c>
      <c r="R49" s="335">
        <v>1.4E-2</v>
      </c>
      <c r="S49" s="264">
        <v>0.22</v>
      </c>
      <c r="T49" s="265">
        <v>1</v>
      </c>
      <c r="U49" s="151">
        <v>4.9926191507892996E-13</v>
      </c>
      <c r="V49" s="337">
        <v>7.6196994155457501E-13</v>
      </c>
      <c r="W49" s="339">
        <v>6.9410319174027301E-14</v>
      </c>
      <c r="X49" s="339">
        <v>7.1402612381482693E-15</v>
      </c>
      <c r="Y49" s="392">
        <v>1.53428969970343E-12</v>
      </c>
      <c r="Z49" s="385">
        <v>176.3</v>
      </c>
      <c r="AA49" s="227" t="s">
        <v>191</v>
      </c>
      <c r="AB49" s="165" t="s">
        <v>280</v>
      </c>
      <c r="AC49" s="165"/>
      <c r="AD49" s="165" t="s">
        <v>193</v>
      </c>
      <c r="AE49" s="165" t="s">
        <v>281</v>
      </c>
      <c r="AF49" s="207" t="s">
        <v>205</v>
      </c>
      <c r="AG49" s="305" t="s">
        <v>206</v>
      </c>
      <c r="AH49" s="208" t="s">
        <v>207</v>
      </c>
      <c r="AI49" s="207" t="s">
        <v>242</v>
      </c>
      <c r="AJ49" s="209" t="s">
        <v>282</v>
      </c>
      <c r="AK49" s="165" t="s">
        <v>198</v>
      </c>
      <c r="AL49" s="165" t="s">
        <v>199</v>
      </c>
      <c r="AM49" s="274" t="s">
        <v>200</v>
      </c>
    </row>
    <row r="50" spans="1:39" ht="15" hidden="1" customHeight="1" x14ac:dyDescent="0.3">
      <c r="A50" s="40" t="s">
        <v>84</v>
      </c>
      <c r="B50" s="3" t="s">
        <v>283</v>
      </c>
      <c r="C50" s="3" t="s">
        <v>186</v>
      </c>
      <c r="D50" s="3" t="str">
        <f t="shared" si="1"/>
        <v>No</v>
      </c>
      <c r="E50" s="344"/>
      <c r="F50" s="351"/>
      <c r="G50" s="147"/>
      <c r="H50" s="358"/>
      <c r="I50" s="26"/>
      <c r="J50" s="288"/>
      <c r="K50" s="158"/>
      <c r="L50" s="364"/>
      <c r="M50" s="156"/>
      <c r="N50" s="376"/>
      <c r="O50" s="377"/>
      <c r="P50" s="377"/>
      <c r="Q50" s="377"/>
      <c r="R50" s="377"/>
      <c r="S50" s="377"/>
      <c r="T50" s="152"/>
      <c r="U50" s="151"/>
      <c r="V50" s="337"/>
      <c r="W50" s="337"/>
      <c r="X50" s="337"/>
      <c r="Y50" s="143"/>
      <c r="Z50" s="374"/>
      <c r="AA50" s="1"/>
      <c r="AG50" s="258"/>
      <c r="AH50" s="21"/>
      <c r="AI50" s="10"/>
      <c r="AJ50" s="10"/>
      <c r="AM50" s="277"/>
    </row>
    <row r="51" spans="1:39" ht="15" hidden="1" customHeight="1" x14ac:dyDescent="0.3">
      <c r="A51" s="40" t="s">
        <v>85</v>
      </c>
      <c r="B51" s="3" t="s">
        <v>284</v>
      </c>
      <c r="C51" s="3" t="s">
        <v>186</v>
      </c>
      <c r="D51" s="3" t="str">
        <f t="shared" si="1"/>
        <v>No</v>
      </c>
      <c r="E51" s="345"/>
      <c r="F51" s="351"/>
      <c r="G51" s="147"/>
      <c r="H51" s="326"/>
      <c r="I51" s="26"/>
      <c r="J51" s="283"/>
      <c r="K51" s="155"/>
      <c r="L51" s="364"/>
      <c r="M51" s="156"/>
      <c r="N51" s="376"/>
      <c r="O51" s="377"/>
      <c r="P51" s="377"/>
      <c r="Q51" s="377"/>
      <c r="R51" s="345"/>
      <c r="S51" s="377"/>
      <c r="T51" s="152"/>
      <c r="U51" s="150"/>
      <c r="V51" s="338"/>
      <c r="W51" s="338"/>
      <c r="X51" s="338"/>
      <c r="Y51" s="393"/>
      <c r="Z51" s="387"/>
      <c r="AA51" s="1"/>
      <c r="AG51" s="258"/>
      <c r="AH51" s="21"/>
      <c r="AI51" s="10"/>
      <c r="AJ51" s="10"/>
      <c r="AM51" s="278"/>
    </row>
    <row r="52" spans="1:39" ht="15" hidden="1" customHeight="1" x14ac:dyDescent="0.3">
      <c r="A52" s="40" t="s">
        <v>86</v>
      </c>
      <c r="B52" s="3" t="s">
        <v>285</v>
      </c>
      <c r="C52" s="3" t="s">
        <v>190</v>
      </c>
      <c r="D52" s="3" t="str">
        <f t="shared" si="1"/>
        <v>No</v>
      </c>
      <c r="E52" s="345"/>
      <c r="F52" s="351"/>
      <c r="G52" s="147"/>
      <c r="H52" s="326"/>
      <c r="I52" s="26"/>
      <c r="J52" s="283"/>
      <c r="K52" s="155"/>
      <c r="L52" s="364"/>
      <c r="M52" s="156"/>
      <c r="N52" s="376"/>
      <c r="O52" s="377"/>
      <c r="P52" s="377"/>
      <c r="Q52" s="377"/>
      <c r="R52" s="377"/>
      <c r="S52" s="377"/>
      <c r="T52" s="152"/>
      <c r="U52" s="150"/>
      <c r="V52" s="338"/>
      <c r="W52" s="338"/>
      <c r="X52" s="338"/>
      <c r="Y52" s="393"/>
      <c r="Z52" s="387"/>
      <c r="AA52" s="1"/>
      <c r="AG52" s="258"/>
      <c r="AH52" s="21"/>
      <c r="AI52" s="10"/>
      <c r="AJ52" s="10"/>
      <c r="AM52" s="278"/>
    </row>
    <row r="53" spans="1:39" ht="15" customHeight="1" x14ac:dyDescent="0.3">
      <c r="A53" s="40" t="s">
        <v>87</v>
      </c>
      <c r="B53" s="51" t="s">
        <v>286</v>
      </c>
      <c r="C53" s="51" t="s">
        <v>188</v>
      </c>
      <c r="D53" s="3" t="str">
        <f t="shared" si="1"/>
        <v>Yes</v>
      </c>
      <c r="E53" s="344"/>
      <c r="F53" s="351">
        <v>29234.9</v>
      </c>
      <c r="G53" s="262">
        <f>220/29235*F53</f>
        <v>219.9992474773388</v>
      </c>
      <c r="H53" s="141"/>
      <c r="I53" s="323">
        <f>((F53*S53*P53)*T53*O53*(1-N53))+((F53*S53)+(F53*S53*P53))*Q53*T53*R53</f>
        <v>73.604123032000018</v>
      </c>
      <c r="J53" s="282">
        <f>44/29235*F53</f>
        <v>43.999849495467764</v>
      </c>
      <c r="K53" s="331">
        <v>140</v>
      </c>
      <c r="L53" s="259">
        <v>993.98660000000007</v>
      </c>
      <c r="M53" s="314">
        <v>1.65</v>
      </c>
      <c r="N53" s="372">
        <f>AVERAGE(N101,N86)</f>
        <v>0.01</v>
      </c>
      <c r="O53" s="335">
        <v>1.9E-2</v>
      </c>
      <c r="P53" s="335">
        <v>0.4</v>
      </c>
      <c r="Q53" s="336">
        <v>0.2</v>
      </c>
      <c r="R53" s="335">
        <v>1.4E-2</v>
      </c>
      <c r="S53" s="264">
        <v>0.22</v>
      </c>
      <c r="T53" s="265">
        <v>1</v>
      </c>
      <c r="U53" s="151">
        <v>4.9926191507892996E-13</v>
      </c>
      <c r="V53" s="337">
        <v>7.6196994155457501E-13</v>
      </c>
      <c r="W53" s="339">
        <v>6.9410319174027301E-14</v>
      </c>
      <c r="X53" s="339">
        <v>7.1402612381482693E-15</v>
      </c>
      <c r="Y53" s="392">
        <v>1.53428969970343E-12</v>
      </c>
      <c r="Z53" s="385">
        <v>666.25</v>
      </c>
      <c r="AA53" s="227" t="s">
        <v>191</v>
      </c>
      <c r="AB53" s="165" t="s">
        <v>287</v>
      </c>
      <c r="AC53" s="165"/>
      <c r="AD53" s="165" t="s">
        <v>193</v>
      </c>
      <c r="AE53" s="165" t="s">
        <v>287</v>
      </c>
      <c r="AF53" s="207" t="s">
        <v>216</v>
      </c>
      <c r="AG53" s="305" t="s">
        <v>206</v>
      </c>
      <c r="AH53" s="208" t="s">
        <v>207</v>
      </c>
      <c r="AI53" s="207" t="s">
        <v>242</v>
      </c>
      <c r="AJ53" s="209" t="s">
        <v>282</v>
      </c>
      <c r="AK53" s="165" t="s">
        <v>198</v>
      </c>
      <c r="AL53" s="165" t="s">
        <v>199</v>
      </c>
      <c r="AM53" s="274" t="s">
        <v>200</v>
      </c>
    </row>
    <row r="54" spans="1:39" ht="15" hidden="1" customHeight="1" x14ac:dyDescent="0.3">
      <c r="A54" s="40" t="s">
        <v>88</v>
      </c>
      <c r="B54" s="51" t="s">
        <v>288</v>
      </c>
      <c r="C54" s="51" t="s">
        <v>190</v>
      </c>
      <c r="D54" s="3" t="str">
        <f t="shared" si="1"/>
        <v>No</v>
      </c>
      <c r="E54" s="345"/>
      <c r="F54" s="351"/>
      <c r="G54" s="147"/>
      <c r="H54" s="326"/>
      <c r="I54" s="26"/>
      <c r="J54" s="283"/>
      <c r="K54" s="155"/>
      <c r="L54" s="364"/>
      <c r="M54" s="156"/>
      <c r="N54" s="376"/>
      <c r="O54" s="377"/>
      <c r="P54" s="377"/>
      <c r="Q54" s="377"/>
      <c r="R54" s="377"/>
      <c r="S54" s="377"/>
      <c r="T54" s="152"/>
      <c r="U54" s="150"/>
      <c r="V54" s="338"/>
      <c r="W54" s="338"/>
      <c r="X54" s="338"/>
      <c r="Y54" s="393"/>
      <c r="Z54" s="387"/>
      <c r="AA54" s="1"/>
      <c r="AF54" s="26"/>
      <c r="AG54" s="258"/>
      <c r="AH54" s="21"/>
      <c r="AI54" s="10"/>
      <c r="AJ54" s="10"/>
      <c r="AM54" s="278"/>
    </row>
    <row r="55" spans="1:39" ht="15" customHeight="1" x14ac:dyDescent="0.3">
      <c r="A55" s="40" t="s">
        <v>89</v>
      </c>
      <c r="B55" s="3" t="s">
        <v>289</v>
      </c>
      <c r="C55" s="3" t="s">
        <v>221</v>
      </c>
      <c r="D55" s="3" t="str">
        <f t="shared" si="1"/>
        <v>Yes</v>
      </c>
      <c r="E55" s="345"/>
      <c r="F55" s="352">
        <v>900</v>
      </c>
      <c r="G55" s="284">
        <f>0/900*F55</f>
        <v>0</v>
      </c>
      <c r="H55" s="322">
        <v>63</v>
      </c>
      <c r="I55" s="323">
        <f>((F55*S55*P55)*T55*O55*(1-N55))+((F55*S55)+(F55*S55*P55))*Q55*T55*R55</f>
        <v>17.315625600000001</v>
      </c>
      <c r="J55" s="285">
        <f>0/900*F55</f>
        <v>0</v>
      </c>
      <c r="K55" s="332">
        <v>79</v>
      </c>
      <c r="L55" s="259">
        <v>0.9</v>
      </c>
      <c r="M55" s="318">
        <v>0</v>
      </c>
      <c r="N55" s="378">
        <v>2.1999999999999999E-2</v>
      </c>
      <c r="O55" s="266">
        <v>8.0000000000000002E-3</v>
      </c>
      <c r="P55" s="373">
        <v>2.1</v>
      </c>
      <c r="Q55" s="266">
        <v>0.19</v>
      </c>
      <c r="R55" s="267">
        <v>8.0000000000000002E-3</v>
      </c>
      <c r="S55" s="266">
        <v>0.91</v>
      </c>
      <c r="T55" s="265">
        <v>1</v>
      </c>
      <c r="U55" s="151">
        <v>4.9926191507892996E-13</v>
      </c>
      <c r="V55" s="337">
        <v>7.6196994155457501E-13</v>
      </c>
      <c r="W55" s="339">
        <v>6.9410319174027301E-14</v>
      </c>
      <c r="X55" s="339">
        <v>7.1402612381482693E-15</v>
      </c>
      <c r="Y55" s="392">
        <v>1.53428969970343E-12</v>
      </c>
      <c r="Z55" s="385">
        <v>13.74</v>
      </c>
      <c r="AA55" s="230" t="s">
        <v>222</v>
      </c>
      <c r="AB55" s="165"/>
      <c r="AC55" s="165" t="s">
        <v>290</v>
      </c>
      <c r="AD55" s="165" t="s">
        <v>193</v>
      </c>
      <c r="AE55" s="165"/>
      <c r="AF55" s="214" t="s">
        <v>222</v>
      </c>
      <c r="AG55" s="305" t="s">
        <v>291</v>
      </c>
      <c r="AH55" s="208"/>
      <c r="AI55" s="5"/>
      <c r="AJ55" s="5"/>
      <c r="AK55" s="165"/>
      <c r="AL55" s="165"/>
      <c r="AM55" s="274" t="s">
        <v>200</v>
      </c>
    </row>
    <row r="56" spans="1:39" ht="15" customHeight="1" x14ac:dyDescent="0.3">
      <c r="A56" s="40" t="s">
        <v>90</v>
      </c>
      <c r="B56" s="51" t="s">
        <v>292</v>
      </c>
      <c r="C56" s="51" t="s">
        <v>188</v>
      </c>
      <c r="D56" s="3" t="str">
        <f t="shared" si="1"/>
        <v>Yes</v>
      </c>
      <c r="E56" s="345"/>
      <c r="F56" s="351">
        <v>15758.84</v>
      </c>
      <c r="G56" s="262">
        <f>104/15759*F56</f>
        <v>103.99894409543754</v>
      </c>
      <c r="H56" s="141"/>
      <c r="I56" s="323">
        <f>((F56*S56*P56)*T56*O56*(1-N56))+((F56*S56)+(F56*S56*P56))*Q56*T56*R56</f>
        <v>144.88047142399998</v>
      </c>
      <c r="J56" s="285">
        <f>21/15759*F56</f>
        <v>20.999786788501808</v>
      </c>
      <c r="K56" s="330">
        <v>140</v>
      </c>
      <c r="L56" s="259">
        <v>535.80056000000002</v>
      </c>
      <c r="M56" s="314">
        <v>1.65</v>
      </c>
      <c r="N56" s="372">
        <v>0.14299999999999999</v>
      </c>
      <c r="O56" s="373">
        <v>8.0000000000000002E-3</v>
      </c>
      <c r="P56" s="373">
        <v>1</v>
      </c>
      <c r="Q56" s="264">
        <v>0.22</v>
      </c>
      <c r="R56" s="373">
        <v>8.9999999999999993E-3</v>
      </c>
      <c r="S56" s="264">
        <v>0.85</v>
      </c>
      <c r="T56" s="265">
        <v>1</v>
      </c>
      <c r="U56" s="151">
        <v>4.9926191507892996E-13</v>
      </c>
      <c r="V56" s="337">
        <v>7.6196994155457501E-13</v>
      </c>
      <c r="W56" s="339">
        <v>6.9410319174027301E-14</v>
      </c>
      <c r="X56" s="339">
        <v>7.1402612381482693E-15</v>
      </c>
      <c r="Y56" s="392">
        <v>1.53428969970343E-12</v>
      </c>
      <c r="Z56" s="385">
        <v>246</v>
      </c>
      <c r="AA56" s="227" t="s">
        <v>191</v>
      </c>
      <c r="AB56" s="165" t="s">
        <v>287</v>
      </c>
      <c r="AC56" s="165"/>
      <c r="AD56" s="165" t="s">
        <v>193</v>
      </c>
      <c r="AE56" s="165" t="s">
        <v>287</v>
      </c>
      <c r="AF56" s="210" t="s">
        <v>216</v>
      </c>
      <c r="AG56" s="305" t="s">
        <v>206</v>
      </c>
      <c r="AH56" s="208" t="s">
        <v>207</v>
      </c>
      <c r="AI56" s="5"/>
      <c r="AJ56" s="209" t="s">
        <v>197</v>
      </c>
      <c r="AK56" s="165" t="s">
        <v>198</v>
      </c>
      <c r="AL56" s="165" t="s">
        <v>199</v>
      </c>
      <c r="AM56" s="274" t="s">
        <v>200</v>
      </c>
    </row>
    <row r="57" spans="1:39" ht="15" customHeight="1" x14ac:dyDescent="0.3">
      <c r="A57" s="40" t="s">
        <v>91</v>
      </c>
      <c r="B57" s="51" t="s">
        <v>293</v>
      </c>
      <c r="C57" s="51" t="s">
        <v>237</v>
      </c>
      <c r="D57" s="3" t="str">
        <f t="shared" si="1"/>
        <v>Yes</v>
      </c>
      <c r="E57" s="345"/>
      <c r="F57" s="351">
        <v>1575.04</v>
      </c>
      <c r="G57" s="262">
        <v>60</v>
      </c>
      <c r="H57" s="141"/>
      <c r="I57" s="323">
        <f>((F57*S57*P57)*T57*O57*(1-N57))+((F57*S57)+(F57*S57*P57))*Q57*T57*R57</f>
        <v>14.480287743999998</v>
      </c>
      <c r="J57" s="285">
        <v>15</v>
      </c>
      <c r="K57" s="330">
        <v>65.400000000000006</v>
      </c>
      <c r="L57" s="259">
        <v>444.16127999999998</v>
      </c>
      <c r="M57" s="318">
        <v>0.7</v>
      </c>
      <c r="N57" s="372">
        <v>0.14299999999999999</v>
      </c>
      <c r="O57" s="373">
        <v>8.0000000000000002E-3</v>
      </c>
      <c r="P57" s="373">
        <v>1</v>
      </c>
      <c r="Q57" s="264">
        <v>0.22</v>
      </c>
      <c r="R57" s="373">
        <v>8.9999999999999993E-3</v>
      </c>
      <c r="S57" s="264">
        <v>0.85</v>
      </c>
      <c r="T57" s="265">
        <v>1</v>
      </c>
      <c r="U57" s="151">
        <v>4.9926191507892996E-13</v>
      </c>
      <c r="V57" s="337">
        <v>7.6196994155457501E-13</v>
      </c>
      <c r="W57" s="339">
        <v>6.9410319174027301E-14</v>
      </c>
      <c r="X57" s="339">
        <v>7.1402612381482693E-15</v>
      </c>
      <c r="Y57" s="392">
        <v>1.53428969970343E-12</v>
      </c>
      <c r="Z57" s="385">
        <v>15.89</v>
      </c>
      <c r="AA57" s="227" t="s">
        <v>191</v>
      </c>
      <c r="AB57" s="165" t="s">
        <v>294</v>
      </c>
      <c r="AC57" s="165"/>
      <c r="AD57" s="165" t="s">
        <v>193</v>
      </c>
      <c r="AE57" s="165" t="s">
        <v>294</v>
      </c>
      <c r="AF57" s="165" t="s">
        <v>216</v>
      </c>
      <c r="AG57" s="305" t="s">
        <v>295</v>
      </c>
      <c r="AH57" s="208" t="s">
        <v>196</v>
      </c>
      <c r="AI57" s="5"/>
      <c r="AJ57" s="209" t="s">
        <v>197</v>
      </c>
      <c r="AK57" s="165" t="s">
        <v>198</v>
      </c>
      <c r="AL57" s="165" t="s">
        <v>199</v>
      </c>
      <c r="AM57" s="274" t="s">
        <v>200</v>
      </c>
    </row>
    <row r="58" spans="1:39" ht="15" hidden="1" customHeight="1" x14ac:dyDescent="0.3">
      <c r="A58" s="40" t="s">
        <v>92</v>
      </c>
      <c r="B58" s="51" t="s">
        <v>296</v>
      </c>
      <c r="C58" s="51" t="s">
        <v>221</v>
      </c>
      <c r="D58" s="3" t="str">
        <f t="shared" si="1"/>
        <v>No</v>
      </c>
      <c r="E58" s="344"/>
      <c r="F58" s="351"/>
      <c r="G58" s="147"/>
      <c r="H58" s="358"/>
      <c r="I58" s="30"/>
      <c r="J58" s="288"/>
      <c r="K58" s="158"/>
      <c r="L58" s="364"/>
      <c r="M58" s="156"/>
      <c r="N58" s="333"/>
      <c r="O58" s="358"/>
      <c r="P58" s="358"/>
      <c r="Q58" s="374"/>
      <c r="R58" s="359"/>
      <c r="S58" s="359"/>
      <c r="T58" s="149"/>
      <c r="U58" s="151"/>
      <c r="V58" s="337"/>
      <c r="W58" s="337"/>
      <c r="X58" s="337"/>
      <c r="Y58" s="143"/>
      <c r="Z58" s="374"/>
      <c r="AA58" s="1"/>
      <c r="AF58" s="30"/>
      <c r="AG58" s="258"/>
      <c r="AH58" s="21"/>
      <c r="AI58" s="26"/>
      <c r="AJ58" s="26"/>
      <c r="AM58" s="277"/>
    </row>
    <row r="59" spans="1:39" ht="15" customHeight="1" x14ac:dyDescent="0.3">
      <c r="A59" s="40" t="s">
        <v>93</v>
      </c>
      <c r="B59" s="51" t="s">
        <v>297</v>
      </c>
      <c r="C59" s="51" t="s">
        <v>211</v>
      </c>
      <c r="D59" s="3" t="str">
        <f t="shared" si="1"/>
        <v>Yes</v>
      </c>
      <c r="E59" s="344"/>
      <c r="F59" s="351">
        <v>6609.85</v>
      </c>
      <c r="G59" s="262">
        <f>132/6610*F59</f>
        <v>131.99700453857793</v>
      </c>
      <c r="H59" s="141"/>
      <c r="I59" s="323">
        <f>((F59*S59*P59)*T59*O59*(1-N59))+((F59*S59)+(F59*S59*P59))*Q59*T59*R59</f>
        <v>53.259262966000001</v>
      </c>
      <c r="J59" s="285">
        <f>37/6610*F59</f>
        <v>36.999160363086233</v>
      </c>
      <c r="K59" s="330">
        <v>69</v>
      </c>
      <c r="L59" s="259">
        <v>330.49250000000001</v>
      </c>
      <c r="M59" s="318">
        <v>0.11</v>
      </c>
      <c r="N59" s="375">
        <v>0.14299999999999999</v>
      </c>
      <c r="O59" s="335">
        <v>6.0000000000000001E-3</v>
      </c>
      <c r="P59" s="335">
        <v>1</v>
      </c>
      <c r="Q59" s="264">
        <v>0.22</v>
      </c>
      <c r="R59" s="379">
        <v>7.0000000000000001E-3</v>
      </c>
      <c r="S59" s="264">
        <v>0.98</v>
      </c>
      <c r="T59" s="265">
        <v>1</v>
      </c>
      <c r="U59" s="151">
        <v>4.9926191507892996E-13</v>
      </c>
      <c r="V59" s="337">
        <v>7.6196994155457501E-13</v>
      </c>
      <c r="W59" s="339">
        <v>6.9410319174027301E-14</v>
      </c>
      <c r="X59" s="339">
        <v>7.1402612381482693E-15</v>
      </c>
      <c r="Y59" s="392">
        <v>1.53428969970343E-12</v>
      </c>
      <c r="Z59" s="385">
        <v>13.89</v>
      </c>
      <c r="AA59" s="227" t="s">
        <v>191</v>
      </c>
      <c r="AB59" s="165" t="s">
        <v>215</v>
      </c>
      <c r="AC59" s="165"/>
      <c r="AD59" s="165" t="s">
        <v>193</v>
      </c>
      <c r="AE59" s="165" t="s">
        <v>215</v>
      </c>
      <c r="AF59" s="207" t="s">
        <v>298</v>
      </c>
      <c r="AG59" s="305" t="s">
        <v>195</v>
      </c>
      <c r="AH59" s="208" t="s">
        <v>196</v>
      </c>
      <c r="AI59" s="211" t="s">
        <v>217</v>
      </c>
      <c r="AJ59" s="209" t="s">
        <v>197</v>
      </c>
      <c r="AK59" s="165" t="s">
        <v>198</v>
      </c>
      <c r="AL59" s="165" t="s">
        <v>199</v>
      </c>
      <c r="AM59" s="274" t="s">
        <v>200</v>
      </c>
    </row>
    <row r="60" spans="1:39" ht="15" hidden="1" customHeight="1" x14ac:dyDescent="0.3">
      <c r="A60" s="40" t="s">
        <v>94</v>
      </c>
      <c r="B60" s="3" t="s">
        <v>299</v>
      </c>
      <c r="C60" s="3" t="s">
        <v>190</v>
      </c>
      <c r="D60" s="3" t="str">
        <f t="shared" si="1"/>
        <v>No</v>
      </c>
      <c r="E60" s="344"/>
      <c r="F60" s="351"/>
      <c r="G60" s="147"/>
      <c r="H60" s="358"/>
      <c r="I60" s="30"/>
      <c r="J60" s="288"/>
      <c r="K60" s="158"/>
      <c r="L60" s="364"/>
      <c r="M60" s="156"/>
      <c r="N60" s="333"/>
      <c r="O60" s="358"/>
      <c r="P60" s="358"/>
      <c r="Q60" s="374"/>
      <c r="R60" s="359"/>
      <c r="S60" s="359"/>
      <c r="T60" s="149"/>
      <c r="U60" s="151"/>
      <c r="V60" s="337"/>
      <c r="W60" s="337"/>
      <c r="X60" s="337"/>
      <c r="Y60" s="143"/>
      <c r="Z60" s="389"/>
      <c r="AA60" s="1"/>
      <c r="AE60" t="s">
        <v>215</v>
      </c>
      <c r="AF60" s="30"/>
      <c r="AG60" s="258"/>
      <c r="AH60" s="21"/>
      <c r="AI60" s="26"/>
      <c r="AJ60" s="26"/>
      <c r="AM60" s="279"/>
    </row>
    <row r="61" spans="1:39" ht="15" hidden="1" customHeight="1" x14ac:dyDescent="0.3">
      <c r="A61" s="40" t="s">
        <v>95</v>
      </c>
      <c r="B61" s="51" t="s">
        <v>300</v>
      </c>
      <c r="C61" s="51" t="s">
        <v>213</v>
      </c>
      <c r="D61" s="3" t="str">
        <f t="shared" si="1"/>
        <v>No</v>
      </c>
      <c r="E61" s="344"/>
      <c r="F61" s="351"/>
      <c r="G61" s="147"/>
      <c r="H61" s="326"/>
      <c r="I61" s="30"/>
      <c r="J61" s="283"/>
      <c r="K61" s="155"/>
      <c r="L61" s="364"/>
      <c r="M61" s="156"/>
      <c r="N61" s="333"/>
      <c r="O61" s="358"/>
      <c r="P61" s="358"/>
      <c r="Q61" s="374"/>
      <c r="R61" s="359"/>
      <c r="S61" s="359"/>
      <c r="T61" s="149"/>
      <c r="U61" s="150"/>
      <c r="V61" s="338"/>
      <c r="W61" s="338"/>
      <c r="X61" s="338"/>
      <c r="Y61" s="393"/>
      <c r="Z61" s="344"/>
      <c r="AA61" s="1"/>
      <c r="AF61" s="23"/>
      <c r="AG61" s="258"/>
      <c r="AH61" s="21"/>
      <c r="AI61" s="26"/>
      <c r="AJ61" s="26"/>
      <c r="AM61" s="276"/>
    </row>
    <row r="62" spans="1:39" ht="15" hidden="1" customHeight="1" x14ac:dyDescent="0.3">
      <c r="A62" s="40" t="s">
        <v>96</v>
      </c>
      <c r="B62" s="51" t="s">
        <v>301</v>
      </c>
      <c r="C62" s="51" t="s">
        <v>213</v>
      </c>
      <c r="D62" s="3" t="str">
        <f t="shared" si="1"/>
        <v>No</v>
      </c>
      <c r="E62" s="345"/>
      <c r="F62" s="351"/>
      <c r="G62" s="147"/>
      <c r="H62" s="326"/>
      <c r="I62" s="26"/>
      <c r="J62" s="283"/>
      <c r="K62" s="155"/>
      <c r="L62" s="364"/>
      <c r="M62" s="156"/>
      <c r="N62" s="376"/>
      <c r="O62" s="377"/>
      <c r="P62" s="377"/>
      <c r="Q62" s="377"/>
      <c r="R62" s="345"/>
      <c r="S62" s="377"/>
      <c r="T62" s="152"/>
      <c r="U62" s="150"/>
      <c r="V62" s="338"/>
      <c r="W62" s="338"/>
      <c r="X62" s="338"/>
      <c r="Y62" s="393"/>
      <c r="Z62" s="387"/>
      <c r="AA62" s="1"/>
      <c r="AF62" s="30"/>
      <c r="AG62" s="258"/>
      <c r="AH62" s="21"/>
      <c r="AI62" s="10"/>
      <c r="AJ62" s="10"/>
      <c r="AM62" s="278"/>
    </row>
    <row r="63" spans="1:39" ht="15" hidden="1" customHeight="1" x14ac:dyDescent="0.3">
      <c r="A63" s="40" t="s">
        <v>97</v>
      </c>
      <c r="B63" s="51" t="s">
        <v>302</v>
      </c>
      <c r="C63" s="51" t="s">
        <v>303</v>
      </c>
      <c r="D63" s="3" t="str">
        <f t="shared" si="1"/>
        <v>No</v>
      </c>
      <c r="E63" s="345"/>
      <c r="F63" s="351"/>
      <c r="G63" s="147"/>
      <c r="H63" s="326"/>
      <c r="I63" s="26"/>
      <c r="J63" s="283"/>
      <c r="K63" s="155"/>
      <c r="L63" s="364"/>
      <c r="M63" s="156"/>
      <c r="N63" s="380"/>
      <c r="O63" s="377"/>
      <c r="P63" s="377"/>
      <c r="Q63" s="345"/>
      <c r="R63" s="377"/>
      <c r="S63" s="377"/>
      <c r="T63" s="152"/>
      <c r="U63" s="150"/>
      <c r="V63" s="338"/>
      <c r="W63" s="338"/>
      <c r="X63" s="338"/>
      <c r="Y63" s="393"/>
      <c r="Z63" s="387"/>
      <c r="AA63" s="1"/>
      <c r="AF63" s="26"/>
      <c r="AG63" s="258"/>
      <c r="AH63" s="21"/>
      <c r="AI63" s="215"/>
      <c r="AJ63" s="215"/>
      <c r="AM63" s="278"/>
    </row>
    <row r="64" spans="1:39" ht="15" customHeight="1" x14ac:dyDescent="0.3">
      <c r="A64" s="40" t="s">
        <v>98</v>
      </c>
      <c r="B64" s="51" t="s">
        <v>304</v>
      </c>
      <c r="C64" s="51" t="s">
        <v>211</v>
      </c>
      <c r="D64" s="3" t="str">
        <f t="shared" si="1"/>
        <v>Yes</v>
      </c>
      <c r="E64" s="325"/>
      <c r="F64" s="350">
        <v>3927.56</v>
      </c>
      <c r="G64" s="262">
        <f>71/3928*F64</f>
        <v>70.992046843177178</v>
      </c>
      <c r="H64" s="322"/>
      <c r="I64" s="323">
        <f>((F64*S64*P64)*T64*O64*(1-N64))+((F64*S64)+(F64*S64*P64))*Q64*T64*R64</f>
        <v>44.707808236000005</v>
      </c>
      <c r="J64" s="286">
        <f>15/3928*F64</f>
        <v>14.998319755600814</v>
      </c>
      <c r="K64" s="328">
        <v>68.599999999999994</v>
      </c>
      <c r="L64" s="259">
        <v>0</v>
      </c>
      <c r="M64" s="314">
        <v>0.45</v>
      </c>
      <c r="N64" s="375">
        <v>0.1</v>
      </c>
      <c r="O64" s="335">
        <v>7.0000000000000001E-3</v>
      </c>
      <c r="P64" s="335">
        <v>1.3</v>
      </c>
      <c r="Q64" s="336">
        <v>0.25</v>
      </c>
      <c r="R64" s="335">
        <v>8.0000000000000002E-3</v>
      </c>
      <c r="S64" s="336">
        <v>0.89</v>
      </c>
      <c r="T64" s="265">
        <v>1</v>
      </c>
      <c r="U64" s="151">
        <v>4.9926191507892996E-13</v>
      </c>
      <c r="V64" s="337">
        <v>7.6196994155457501E-13</v>
      </c>
      <c r="W64" s="339">
        <v>6.9410319174027301E-14</v>
      </c>
      <c r="X64" s="339">
        <v>7.1402612381482693E-15</v>
      </c>
      <c r="Y64" s="392">
        <v>1.53428969970343E-12</v>
      </c>
      <c r="Z64" s="385">
        <v>15.18</v>
      </c>
      <c r="AA64" s="227" t="s">
        <v>191</v>
      </c>
      <c r="AB64" s="165" t="s">
        <v>215</v>
      </c>
      <c r="AC64" s="165"/>
      <c r="AD64" s="165" t="s">
        <v>193</v>
      </c>
      <c r="AE64" s="165" t="s">
        <v>215</v>
      </c>
      <c r="AF64" s="207" t="s">
        <v>216</v>
      </c>
      <c r="AG64" s="305" t="s">
        <v>195</v>
      </c>
      <c r="AH64" s="208" t="s">
        <v>196</v>
      </c>
      <c r="AI64" s="211" t="s">
        <v>217</v>
      </c>
      <c r="AJ64" s="212" t="s">
        <v>218</v>
      </c>
      <c r="AK64" s="165" t="s">
        <v>198</v>
      </c>
      <c r="AL64" s="165" t="s">
        <v>199</v>
      </c>
      <c r="AM64" s="274" t="s">
        <v>200</v>
      </c>
    </row>
    <row r="65" spans="1:39" ht="15" hidden="1" customHeight="1" x14ac:dyDescent="0.3">
      <c r="A65" s="40" t="s">
        <v>99</v>
      </c>
      <c r="B65" s="3" t="s">
        <v>305</v>
      </c>
      <c r="C65" s="3" t="s">
        <v>306</v>
      </c>
      <c r="D65" s="3" t="str">
        <f t="shared" si="1"/>
        <v>No</v>
      </c>
      <c r="E65" s="325"/>
      <c r="F65" s="350"/>
      <c r="G65" s="147"/>
      <c r="H65" s="325"/>
      <c r="J65" s="146"/>
      <c r="K65" s="154"/>
      <c r="L65" s="364"/>
      <c r="M65" s="154"/>
      <c r="N65" s="161"/>
      <c r="O65" s="325"/>
      <c r="P65" s="325"/>
      <c r="Q65" s="325"/>
      <c r="R65" s="325"/>
      <c r="S65" s="325"/>
      <c r="T65" s="146"/>
      <c r="U65" s="147"/>
      <c r="V65" s="320"/>
      <c r="W65" s="320"/>
      <c r="X65" s="320"/>
      <c r="Y65" s="162"/>
      <c r="Z65" s="325"/>
      <c r="AA65" s="1"/>
      <c r="AE65" t="s">
        <v>215</v>
      </c>
      <c r="AF65" s="30"/>
      <c r="AG65" s="258"/>
      <c r="AH65" s="4"/>
      <c r="AI65" s="4"/>
      <c r="AJ65" s="4"/>
      <c r="AM65" s="275"/>
    </row>
    <row r="66" spans="1:39" ht="15" hidden="1" customHeight="1" x14ac:dyDescent="0.3">
      <c r="A66" s="40" t="s">
        <v>100</v>
      </c>
      <c r="B66" s="51" t="s">
        <v>307</v>
      </c>
      <c r="C66" s="51" t="s">
        <v>306</v>
      </c>
      <c r="D66" s="3" t="str">
        <f t="shared" si="1"/>
        <v>No</v>
      </c>
      <c r="E66" s="325"/>
      <c r="F66" s="350"/>
      <c r="G66" s="147"/>
      <c r="H66" s="325"/>
      <c r="J66" s="146"/>
      <c r="K66" s="154"/>
      <c r="L66" s="364"/>
      <c r="M66" s="154"/>
      <c r="N66" s="161"/>
      <c r="O66" s="325"/>
      <c r="P66" s="325"/>
      <c r="Q66" s="325"/>
      <c r="R66" s="325"/>
      <c r="S66" s="325"/>
      <c r="T66" s="146"/>
      <c r="U66" s="147"/>
      <c r="V66" s="320"/>
      <c r="W66" s="320"/>
      <c r="X66" s="320"/>
      <c r="Y66" s="162"/>
      <c r="Z66" s="325"/>
      <c r="AA66" s="1"/>
      <c r="AF66" s="30"/>
      <c r="AG66" s="258"/>
      <c r="AH66" s="4"/>
      <c r="AI66" s="4"/>
      <c r="AJ66" s="4"/>
      <c r="AM66" s="275"/>
    </row>
    <row r="67" spans="1:39" ht="15" customHeight="1" x14ac:dyDescent="0.3">
      <c r="A67" s="40" t="s">
        <v>101</v>
      </c>
      <c r="B67" s="51" t="s">
        <v>308</v>
      </c>
      <c r="C67" s="51" t="s">
        <v>188</v>
      </c>
      <c r="D67" s="3" t="str">
        <f t="shared" si="1"/>
        <v>Yes</v>
      </c>
      <c r="E67" s="325"/>
      <c r="F67" s="350">
        <v>45839.6</v>
      </c>
      <c r="G67" s="262">
        <f>144/45840*F67</f>
        <v>143.99874345549739</v>
      </c>
      <c r="H67" s="322"/>
      <c r="I67" s="323">
        <f>((F67*S67*P67)*T67*O67*(1-N67))+((F67*S67)+(F67*S67*P67))*Q67*T67*R67</f>
        <v>115.40944412799999</v>
      </c>
      <c r="J67" s="286">
        <f>44/45840*F67</f>
        <v>43.999616055846424</v>
      </c>
      <c r="K67" s="328">
        <v>140</v>
      </c>
      <c r="L67" s="259">
        <v>1466.867</v>
      </c>
      <c r="M67" s="314">
        <v>4.71</v>
      </c>
      <c r="N67" s="375">
        <f>AVERAGE(N101,N86)</f>
        <v>0.01</v>
      </c>
      <c r="O67" s="335">
        <v>1.9E-2</v>
      </c>
      <c r="P67" s="335">
        <v>0.4</v>
      </c>
      <c r="Q67" s="336">
        <v>0.2</v>
      </c>
      <c r="R67" s="335">
        <v>1.4E-2</v>
      </c>
      <c r="S67" s="264">
        <v>0.22</v>
      </c>
      <c r="T67" s="265">
        <v>1</v>
      </c>
      <c r="U67" s="151">
        <v>4.9926191507892996E-13</v>
      </c>
      <c r="V67" s="337">
        <v>7.6196994155457501E-13</v>
      </c>
      <c r="W67" s="339">
        <v>6.9410319174027301E-14</v>
      </c>
      <c r="X67" s="339">
        <v>7.1402612381482693E-15</v>
      </c>
      <c r="Y67" s="392">
        <v>1.53428969970343E-12</v>
      </c>
      <c r="Z67" s="385">
        <v>176.3</v>
      </c>
      <c r="AA67" s="227" t="s">
        <v>191</v>
      </c>
      <c r="AB67" s="165" t="s">
        <v>241</v>
      </c>
      <c r="AC67" s="165"/>
      <c r="AD67" s="165" t="s">
        <v>193</v>
      </c>
      <c r="AE67" s="165" t="s">
        <v>241</v>
      </c>
      <c r="AF67" s="210" t="s">
        <v>216</v>
      </c>
      <c r="AG67" s="305" t="s">
        <v>195</v>
      </c>
      <c r="AH67" s="208" t="s">
        <v>196</v>
      </c>
      <c r="AI67" s="207" t="s">
        <v>242</v>
      </c>
      <c r="AJ67" s="212" t="s">
        <v>309</v>
      </c>
      <c r="AK67" s="165" t="s">
        <v>198</v>
      </c>
      <c r="AL67" s="165" t="s">
        <v>199</v>
      </c>
      <c r="AM67" s="274" t="s">
        <v>200</v>
      </c>
    </row>
    <row r="68" spans="1:39" ht="15" hidden="1" customHeight="1" x14ac:dyDescent="0.3">
      <c r="A68" s="40" t="s">
        <v>102</v>
      </c>
      <c r="B68" s="51" t="s">
        <v>310</v>
      </c>
      <c r="C68" s="51" t="s">
        <v>190</v>
      </c>
      <c r="D68" s="3" t="str">
        <f t="shared" si="1"/>
        <v>No</v>
      </c>
      <c r="E68" s="325"/>
      <c r="F68" s="350"/>
      <c r="G68" s="147"/>
      <c r="H68" s="325"/>
      <c r="J68" s="146"/>
      <c r="K68" s="154"/>
      <c r="L68" s="364"/>
      <c r="M68" s="154"/>
      <c r="N68" s="161"/>
      <c r="O68" s="325"/>
      <c r="P68" s="325"/>
      <c r="Q68" s="325"/>
      <c r="R68" s="325"/>
      <c r="S68" s="325"/>
      <c r="T68" s="146"/>
      <c r="U68" s="147"/>
      <c r="V68" s="320"/>
      <c r="W68" s="320"/>
      <c r="X68" s="320"/>
      <c r="Y68" s="162"/>
      <c r="Z68" s="325"/>
      <c r="AA68" s="1"/>
      <c r="AG68" s="258"/>
      <c r="AH68" s="4"/>
      <c r="AI68" s="4"/>
      <c r="AJ68" s="4"/>
      <c r="AM68" s="275"/>
    </row>
    <row r="69" spans="1:39" ht="15" customHeight="1" x14ac:dyDescent="0.3">
      <c r="A69" s="40" t="s">
        <v>103</v>
      </c>
      <c r="B69" s="51" t="s">
        <v>311</v>
      </c>
      <c r="C69" s="51" t="s">
        <v>188</v>
      </c>
      <c r="D69" s="3" t="str">
        <f t="shared" si="1"/>
        <v>Yes</v>
      </c>
      <c r="E69" s="325"/>
      <c r="F69" s="350">
        <v>2556.25</v>
      </c>
      <c r="G69" s="262">
        <f>2/2556*F69</f>
        <v>2.0001956181533647</v>
      </c>
      <c r="H69" s="141">
        <v>24</v>
      </c>
      <c r="I69" s="323">
        <f>((F69*S69*P69)*T69*O69*(1-N69))+((F69*S69)+(F69*S69*P69))*Q69*T69*R69</f>
        <v>49.181186600000004</v>
      </c>
      <c r="J69" s="286">
        <f>4/2556*F69</f>
        <v>4.0003912363067293</v>
      </c>
      <c r="K69" s="328">
        <v>61.1</v>
      </c>
      <c r="L69" s="259">
        <v>2.5562499999999999</v>
      </c>
      <c r="M69" s="314">
        <v>0.59499999999999997</v>
      </c>
      <c r="N69" s="375">
        <v>2.1999999999999999E-2</v>
      </c>
      <c r="O69" s="373">
        <v>8.0000000000000002E-3</v>
      </c>
      <c r="P69" s="373">
        <v>2.1</v>
      </c>
      <c r="Q69" s="264">
        <v>0.19</v>
      </c>
      <c r="R69" s="373">
        <v>8.0000000000000002E-3</v>
      </c>
      <c r="S69" s="264">
        <v>0.91</v>
      </c>
      <c r="T69" s="265">
        <v>1</v>
      </c>
      <c r="U69" s="151">
        <v>4.9926191507892996E-13</v>
      </c>
      <c r="V69" s="337">
        <v>7.6196994155457501E-13</v>
      </c>
      <c r="W69" s="339">
        <v>6.9410319174027301E-14</v>
      </c>
      <c r="X69" s="339">
        <v>7.1402612381482693E-15</v>
      </c>
      <c r="Y69" s="392">
        <v>1.53428969970343E-12</v>
      </c>
      <c r="Z69" s="385">
        <v>15.58</v>
      </c>
      <c r="AA69" s="227" t="s">
        <v>191</v>
      </c>
      <c r="AB69" s="165" t="s">
        <v>312</v>
      </c>
      <c r="AC69" s="165" t="s">
        <v>230</v>
      </c>
      <c r="AD69" s="165" t="s">
        <v>193</v>
      </c>
      <c r="AE69" s="165" t="s">
        <v>312</v>
      </c>
      <c r="AF69" s="165" t="s">
        <v>216</v>
      </c>
      <c r="AG69" s="305" t="s">
        <v>313</v>
      </c>
      <c r="AH69" s="173" t="s">
        <v>314</v>
      </c>
      <c r="AI69" s="211" t="s">
        <v>217</v>
      </c>
      <c r="AJ69" s="212" t="s">
        <v>218</v>
      </c>
      <c r="AK69" s="165" t="s">
        <v>198</v>
      </c>
      <c r="AL69" s="165" t="s">
        <v>199</v>
      </c>
      <c r="AM69" s="274" t="s">
        <v>200</v>
      </c>
    </row>
    <row r="70" spans="1:39" ht="15" hidden="1" customHeight="1" x14ac:dyDescent="0.3">
      <c r="A70" s="40" t="s">
        <v>104</v>
      </c>
      <c r="B70" s="3" t="s">
        <v>315</v>
      </c>
      <c r="C70" s="3" t="s">
        <v>190</v>
      </c>
      <c r="D70" s="3" t="str">
        <f t="shared" ref="D70:D101" si="2">IF(F70&gt;0,"Yes","No")</f>
        <v>No</v>
      </c>
      <c r="E70" s="325"/>
      <c r="F70" s="350"/>
      <c r="G70" s="147"/>
      <c r="H70" s="325"/>
      <c r="J70" s="146"/>
      <c r="K70" s="154"/>
      <c r="L70" s="364"/>
      <c r="M70" s="154"/>
      <c r="N70" s="161"/>
      <c r="O70" s="325"/>
      <c r="P70" s="325"/>
      <c r="Q70" s="325"/>
      <c r="R70" s="325"/>
      <c r="S70" s="325"/>
      <c r="T70" s="146"/>
      <c r="U70" s="147"/>
      <c r="V70" s="320"/>
      <c r="W70" s="320"/>
      <c r="X70" s="320"/>
      <c r="Y70" s="162"/>
      <c r="Z70" s="325"/>
      <c r="AA70" s="1"/>
      <c r="AG70" s="258"/>
      <c r="AH70" s="4"/>
      <c r="AI70" s="4"/>
      <c r="AJ70" s="4"/>
      <c r="AM70" s="275"/>
    </row>
    <row r="71" spans="1:39" ht="15" hidden="1" customHeight="1" x14ac:dyDescent="0.3">
      <c r="A71" s="40" t="s">
        <v>105</v>
      </c>
      <c r="B71" s="51" t="s">
        <v>316</v>
      </c>
      <c r="C71" s="51" t="s">
        <v>317</v>
      </c>
      <c r="D71" s="3" t="str">
        <f t="shared" si="2"/>
        <v>No</v>
      </c>
      <c r="E71" s="325"/>
      <c r="F71" s="350"/>
      <c r="G71" s="147"/>
      <c r="H71" s="325"/>
      <c r="J71" s="146"/>
      <c r="K71" s="154"/>
      <c r="L71" s="364"/>
      <c r="M71" s="154"/>
      <c r="N71" s="161"/>
      <c r="O71" s="325"/>
      <c r="P71" s="325"/>
      <c r="Q71" s="325"/>
      <c r="R71" s="325"/>
      <c r="S71" s="325"/>
      <c r="T71" s="146"/>
      <c r="U71" s="147"/>
      <c r="V71" s="320"/>
      <c r="W71" s="320"/>
      <c r="X71" s="320"/>
      <c r="Y71" s="162"/>
      <c r="Z71" s="325"/>
      <c r="AA71" s="1"/>
      <c r="AG71" s="258"/>
      <c r="AH71" s="4"/>
      <c r="AI71" s="4"/>
      <c r="AJ71" s="4"/>
      <c r="AM71" s="275"/>
    </row>
    <row r="72" spans="1:39" ht="15" customHeight="1" x14ac:dyDescent="0.3">
      <c r="A72" s="40" t="s">
        <v>106</v>
      </c>
      <c r="B72" s="51" t="s">
        <v>318</v>
      </c>
      <c r="C72" s="51" t="s">
        <v>221</v>
      </c>
      <c r="D72" s="3" t="str">
        <f t="shared" si="2"/>
        <v>Yes</v>
      </c>
      <c r="E72" s="325"/>
      <c r="F72" s="350">
        <v>1495.625</v>
      </c>
      <c r="G72" s="262">
        <f>2/1496*F72</f>
        <v>1.9994986631016041</v>
      </c>
      <c r="H72" s="141">
        <v>24</v>
      </c>
      <c r="I72" s="323">
        <f>((F72*S72*P72)*T72*O72*(1-N72))+((F72*S72)+(F72*S72*P72))*Q72*T72*R72</f>
        <v>28.775202820000001</v>
      </c>
      <c r="J72" s="286">
        <f>4/1496*F72</f>
        <v>3.9989973262032081</v>
      </c>
      <c r="K72" s="328">
        <v>63.2</v>
      </c>
      <c r="L72" s="259">
        <v>1.495625</v>
      </c>
      <c r="M72" s="314">
        <v>0.59499999999999997</v>
      </c>
      <c r="N72" s="375">
        <v>2.1999999999999999E-2</v>
      </c>
      <c r="O72" s="373">
        <v>8.0000000000000002E-3</v>
      </c>
      <c r="P72" s="373">
        <v>2.1</v>
      </c>
      <c r="Q72" s="264">
        <v>0.19</v>
      </c>
      <c r="R72" s="373">
        <v>8.0000000000000002E-3</v>
      </c>
      <c r="S72" s="264">
        <v>0.91</v>
      </c>
      <c r="T72" s="265">
        <v>1</v>
      </c>
      <c r="U72" s="151">
        <v>4.9926191507892996E-13</v>
      </c>
      <c r="V72" s="337">
        <v>7.6196994155457501E-13</v>
      </c>
      <c r="W72" s="339">
        <v>6.9410319174027301E-14</v>
      </c>
      <c r="X72" s="339">
        <v>7.1402612381482693E-15</v>
      </c>
      <c r="Y72" s="392">
        <v>1.53428969970343E-12</v>
      </c>
      <c r="Z72" s="385">
        <v>15.58</v>
      </c>
      <c r="AA72" s="227" t="s">
        <v>191</v>
      </c>
      <c r="AB72" s="165" t="s">
        <v>312</v>
      </c>
      <c r="AC72" s="165" t="s">
        <v>230</v>
      </c>
      <c r="AD72" s="165" t="s">
        <v>193</v>
      </c>
      <c r="AE72" s="165" t="s">
        <v>312</v>
      </c>
      <c r="AF72" s="165" t="s">
        <v>216</v>
      </c>
      <c r="AG72" s="305" t="s">
        <v>291</v>
      </c>
      <c r="AH72" s="173" t="s">
        <v>314</v>
      </c>
      <c r="AI72" s="211" t="s">
        <v>217</v>
      </c>
      <c r="AJ72" s="209" t="s">
        <v>319</v>
      </c>
      <c r="AK72" s="165" t="s">
        <v>198</v>
      </c>
      <c r="AL72" s="165" t="s">
        <v>199</v>
      </c>
      <c r="AM72" s="274" t="s">
        <v>200</v>
      </c>
    </row>
    <row r="73" spans="1:39" ht="15" hidden="1" customHeight="1" x14ac:dyDescent="0.3">
      <c r="A73" s="40" t="s">
        <v>107</v>
      </c>
      <c r="B73" s="51" t="s">
        <v>320</v>
      </c>
      <c r="C73" s="51" t="s">
        <v>254</v>
      </c>
      <c r="D73" s="3" t="str">
        <f t="shared" si="2"/>
        <v>No</v>
      </c>
      <c r="E73" s="325"/>
      <c r="F73" s="350"/>
      <c r="G73" s="147"/>
      <c r="H73" s="325"/>
      <c r="J73" s="146"/>
      <c r="K73" s="154"/>
      <c r="L73" s="364"/>
      <c r="M73" s="154"/>
      <c r="N73" s="161"/>
      <c r="O73" s="325"/>
      <c r="P73" s="325"/>
      <c r="Q73" s="325"/>
      <c r="R73" s="325"/>
      <c r="S73" s="325"/>
      <c r="T73" s="146"/>
      <c r="U73" s="147"/>
      <c r="V73" s="320"/>
      <c r="W73" s="320"/>
      <c r="X73" s="320"/>
      <c r="Y73" s="162"/>
      <c r="Z73" s="325"/>
      <c r="AA73" s="1"/>
      <c r="AG73" s="258"/>
      <c r="AH73" s="4"/>
      <c r="AI73" s="4"/>
      <c r="AJ73" s="4"/>
      <c r="AM73" s="275"/>
    </row>
    <row r="74" spans="1:39" ht="15" customHeight="1" x14ac:dyDescent="0.3">
      <c r="A74" s="40" t="s">
        <v>108</v>
      </c>
      <c r="B74" s="51" t="s">
        <v>321</v>
      </c>
      <c r="C74" s="51" t="s">
        <v>188</v>
      </c>
      <c r="D74" s="3" t="str">
        <f t="shared" si="2"/>
        <v>Yes</v>
      </c>
      <c r="E74" s="325"/>
      <c r="F74" s="350">
        <v>10597.54</v>
      </c>
      <c r="G74" s="262">
        <f>132/10598*F74</f>
        <v>131.99427061709758</v>
      </c>
      <c r="H74" s="322"/>
      <c r="I74" s="323">
        <f>((F74*S74*P74)*T74*O74*(1-N74))+((F74*S74)+(F74*S74*P74))*Q74*T74*R74</f>
        <v>97.405522653333321</v>
      </c>
      <c r="J74" s="286">
        <f>30/10598*F74</f>
        <v>29.998697867522175</v>
      </c>
      <c r="K74" s="330">
        <v>140</v>
      </c>
      <c r="L74" s="259">
        <v>10.59754</v>
      </c>
      <c r="M74" s="314">
        <v>1.65</v>
      </c>
      <c r="N74" s="375">
        <f>AVERAGE(N15:N16,N95,N117:N118,N64)</f>
        <v>0.14333333333333334</v>
      </c>
      <c r="O74" s="373">
        <v>8.0000000000000002E-3</v>
      </c>
      <c r="P74" s="373">
        <v>1</v>
      </c>
      <c r="Q74" s="264">
        <v>0.22</v>
      </c>
      <c r="R74" s="373">
        <v>8.9999999999999993E-3</v>
      </c>
      <c r="S74" s="264">
        <v>0.85</v>
      </c>
      <c r="T74" s="265">
        <v>1</v>
      </c>
      <c r="U74" s="151">
        <v>4.9926191507892996E-13</v>
      </c>
      <c r="V74" s="337">
        <v>7.6196994155457501E-13</v>
      </c>
      <c r="W74" s="339">
        <v>6.9410319174027301E-14</v>
      </c>
      <c r="X74" s="339">
        <v>7.1402612381482693E-15</v>
      </c>
      <c r="Y74" s="392">
        <v>1.53428969970343E-12</v>
      </c>
      <c r="Z74" s="385">
        <f>(Z24+Z26+Z22+Z28+Z53+Z56+Z67+Z87)/8</f>
        <v>249.33125000000001</v>
      </c>
      <c r="AA74" s="227" t="s">
        <v>191</v>
      </c>
      <c r="AB74" s="165" t="s">
        <v>322</v>
      </c>
      <c r="AC74" s="165"/>
      <c r="AD74" s="165" t="s">
        <v>193</v>
      </c>
      <c r="AE74" s="165" t="s">
        <v>322</v>
      </c>
      <c r="AF74" s="207" t="s">
        <v>205</v>
      </c>
      <c r="AG74" s="305" t="s">
        <v>195</v>
      </c>
      <c r="AH74" s="173" t="s">
        <v>207</v>
      </c>
      <c r="AI74" s="173"/>
      <c r="AJ74" s="209" t="s">
        <v>197</v>
      </c>
      <c r="AK74" s="165" t="s">
        <v>198</v>
      </c>
      <c r="AL74" s="165" t="s">
        <v>199</v>
      </c>
      <c r="AM74" s="229" t="s">
        <v>323</v>
      </c>
    </row>
    <row r="75" spans="1:39" ht="15" hidden="1" customHeight="1" x14ac:dyDescent="0.3">
      <c r="A75" s="40" t="s">
        <v>109</v>
      </c>
      <c r="B75" s="3" t="s">
        <v>324</v>
      </c>
      <c r="C75" s="3" t="s">
        <v>190</v>
      </c>
      <c r="D75" s="3" t="str">
        <f t="shared" si="2"/>
        <v>No</v>
      </c>
      <c r="E75" s="325"/>
      <c r="F75" s="350"/>
      <c r="G75" s="147"/>
      <c r="H75" s="325"/>
      <c r="J75" s="146"/>
      <c r="K75" s="154"/>
      <c r="L75" s="364"/>
      <c r="M75" s="154"/>
      <c r="N75" s="161"/>
      <c r="O75" s="325"/>
      <c r="P75" s="325"/>
      <c r="Q75" s="325"/>
      <c r="R75" s="325"/>
      <c r="S75" s="325"/>
      <c r="T75" s="146"/>
      <c r="U75" s="147"/>
      <c r="V75" s="320"/>
      <c r="W75" s="320"/>
      <c r="X75" s="320"/>
      <c r="Y75" s="162"/>
      <c r="Z75" s="325"/>
      <c r="AA75" s="1"/>
      <c r="AG75" s="258"/>
      <c r="AH75" s="4"/>
      <c r="AI75" s="4"/>
      <c r="AJ75" s="4"/>
      <c r="AM75" s="275"/>
    </row>
    <row r="76" spans="1:39" ht="15" hidden="1" customHeight="1" x14ac:dyDescent="0.3">
      <c r="A76" s="40" t="s">
        <v>110</v>
      </c>
      <c r="B76" s="51" t="s">
        <v>325</v>
      </c>
      <c r="C76" s="51" t="s">
        <v>190</v>
      </c>
      <c r="D76" s="3" t="str">
        <f t="shared" si="2"/>
        <v>No</v>
      </c>
      <c r="E76" s="325"/>
      <c r="F76" s="350"/>
      <c r="G76" s="147"/>
      <c r="H76" s="325"/>
      <c r="J76" s="146"/>
      <c r="K76" s="154"/>
      <c r="L76" s="364"/>
      <c r="M76" s="154"/>
      <c r="N76" s="161"/>
      <c r="O76" s="325"/>
      <c r="P76" s="325"/>
      <c r="Q76" s="325"/>
      <c r="R76" s="325"/>
      <c r="S76" s="325"/>
      <c r="T76" s="146"/>
      <c r="U76" s="147"/>
      <c r="V76" s="320"/>
      <c r="W76" s="320"/>
      <c r="X76" s="320"/>
      <c r="Y76" s="162"/>
      <c r="Z76" s="325"/>
      <c r="AA76" s="1"/>
      <c r="AG76" s="258"/>
      <c r="AH76" s="4"/>
      <c r="AI76" s="4"/>
      <c r="AJ76" s="4"/>
      <c r="AM76" s="275"/>
    </row>
    <row r="77" spans="1:39" ht="15" customHeight="1" x14ac:dyDescent="0.3">
      <c r="A77" s="40" t="s">
        <v>111</v>
      </c>
      <c r="B77" s="51" t="s">
        <v>326</v>
      </c>
      <c r="C77" s="51" t="s">
        <v>190</v>
      </c>
      <c r="D77" s="3" t="str">
        <f t="shared" si="2"/>
        <v>Yes</v>
      </c>
      <c r="E77" s="325"/>
      <c r="F77" s="350">
        <v>15789.38</v>
      </c>
      <c r="G77" s="260">
        <f>48/15789*F77</f>
        <v>48.001155234657041</v>
      </c>
      <c r="H77" s="322"/>
      <c r="I77" s="323">
        <f>((F77*S77*P77)*T77*O77*(1-N77))+((F77*S77)+(F77*S77*P77))*Q77*T77*R77</f>
        <v>145.16124396799998</v>
      </c>
      <c r="J77" s="282">
        <f>6.5295/15789*F77</f>
        <v>6.5296571480144401</v>
      </c>
      <c r="K77" s="328">
        <v>450</v>
      </c>
      <c r="L77" s="259">
        <v>2399.9857599999996</v>
      </c>
      <c r="M77" s="318">
        <v>6.09</v>
      </c>
      <c r="N77" s="375">
        <v>0.14299999999999999</v>
      </c>
      <c r="O77" s="373">
        <v>8.0000000000000002E-3</v>
      </c>
      <c r="P77" s="373">
        <v>1</v>
      </c>
      <c r="Q77" s="264">
        <v>0.22</v>
      </c>
      <c r="R77" s="373">
        <v>8.9999999999999993E-3</v>
      </c>
      <c r="S77" s="264">
        <v>0.85</v>
      </c>
      <c r="T77" s="265">
        <v>1</v>
      </c>
      <c r="U77" s="151">
        <v>4.9926191507892996E-13</v>
      </c>
      <c r="V77" s="337">
        <v>7.6196994155457501E-13</v>
      </c>
      <c r="W77" s="339">
        <v>6.9410319174027301E-14</v>
      </c>
      <c r="X77" s="339">
        <v>7.1402612381482693E-15</v>
      </c>
      <c r="Y77" s="392">
        <v>1.53428969970343E-12</v>
      </c>
      <c r="Z77" s="385">
        <v>285.7</v>
      </c>
      <c r="AA77" s="227" t="s">
        <v>191</v>
      </c>
      <c r="AB77" s="165" t="s">
        <v>192</v>
      </c>
      <c r="AC77" s="165"/>
      <c r="AD77" s="165" t="s">
        <v>193</v>
      </c>
      <c r="AE77" s="165" t="s">
        <v>192</v>
      </c>
      <c r="AF77" s="165" t="s">
        <v>194</v>
      </c>
      <c r="AG77" s="305" t="s">
        <v>327</v>
      </c>
      <c r="AH77" s="173" t="s">
        <v>277</v>
      </c>
      <c r="AI77" s="173"/>
      <c r="AJ77" s="209" t="s">
        <v>197</v>
      </c>
      <c r="AK77" s="165" t="s">
        <v>198</v>
      </c>
      <c r="AL77" s="165" t="s">
        <v>199</v>
      </c>
      <c r="AM77" s="274" t="s">
        <v>200</v>
      </c>
    </row>
    <row r="78" spans="1:39" ht="15" customHeight="1" x14ac:dyDescent="0.3">
      <c r="A78" s="40" t="s">
        <v>112</v>
      </c>
      <c r="B78" s="51" t="s">
        <v>328</v>
      </c>
      <c r="C78" s="51" t="s">
        <v>229</v>
      </c>
      <c r="D78" s="3" t="str">
        <f t="shared" si="2"/>
        <v>Yes</v>
      </c>
      <c r="E78" s="325"/>
      <c r="F78" s="350">
        <v>2962.34</v>
      </c>
      <c r="G78" s="262">
        <f>0/2962*F78</f>
        <v>0</v>
      </c>
      <c r="H78" s="322">
        <v>63</v>
      </c>
      <c r="I78" s="323">
        <f>((F78*S78*P78)*T78*O78*(1-N78))+((F78*S78)+(F78*S78*P78))*Q78*T78*R78</f>
        <v>57.990530852800006</v>
      </c>
      <c r="J78" s="286">
        <f>5/2962*F78</f>
        <v>5.0005739365293724</v>
      </c>
      <c r="K78" s="328">
        <v>63.2</v>
      </c>
      <c r="L78" s="259">
        <v>2.9623400000000002</v>
      </c>
      <c r="M78" s="314">
        <v>0.57999999999999996</v>
      </c>
      <c r="N78" s="375">
        <v>0</v>
      </c>
      <c r="O78" s="373">
        <v>8.0000000000000002E-3</v>
      </c>
      <c r="P78" s="373">
        <v>2.1</v>
      </c>
      <c r="Q78" s="264">
        <v>0.19</v>
      </c>
      <c r="R78" s="373">
        <v>8.0000000000000002E-3</v>
      </c>
      <c r="S78" s="264">
        <v>0.91</v>
      </c>
      <c r="T78" s="265">
        <v>1</v>
      </c>
      <c r="U78" s="151">
        <v>4.9926191507892996E-13</v>
      </c>
      <c r="V78" s="337">
        <v>7.6196994155457501E-13</v>
      </c>
      <c r="W78" s="339">
        <v>6.9410319174027301E-14</v>
      </c>
      <c r="X78" s="339">
        <v>7.1402612381482693E-15</v>
      </c>
      <c r="Y78" s="392">
        <v>1.53428969970343E-12</v>
      </c>
      <c r="Z78" s="385">
        <v>13.74</v>
      </c>
      <c r="AA78" s="227" t="s">
        <v>329</v>
      </c>
      <c r="AB78" s="165" t="s">
        <v>215</v>
      </c>
      <c r="AC78" s="165" t="s">
        <v>230</v>
      </c>
      <c r="AD78" s="165" t="s">
        <v>193</v>
      </c>
      <c r="AE78" s="165" t="s">
        <v>215</v>
      </c>
      <c r="AF78" s="165" t="s">
        <v>216</v>
      </c>
      <c r="AG78" s="305" t="s">
        <v>195</v>
      </c>
      <c r="AH78" s="208" t="s">
        <v>196</v>
      </c>
      <c r="AI78" s="211" t="s">
        <v>217</v>
      </c>
      <c r="AJ78" s="212" t="s">
        <v>218</v>
      </c>
      <c r="AK78" s="165" t="s">
        <v>198</v>
      </c>
      <c r="AL78" s="165" t="s">
        <v>199</v>
      </c>
      <c r="AM78" s="274" t="s">
        <v>200</v>
      </c>
    </row>
    <row r="79" spans="1:39" ht="15" customHeight="1" x14ac:dyDescent="0.3">
      <c r="A79" s="40" t="s">
        <v>113</v>
      </c>
      <c r="B79" s="51" t="s">
        <v>330</v>
      </c>
      <c r="C79" s="51" t="s">
        <v>188</v>
      </c>
      <c r="D79" s="3" t="str">
        <f t="shared" si="2"/>
        <v>Yes</v>
      </c>
      <c r="E79" s="325"/>
      <c r="F79" s="350">
        <v>4016.74</v>
      </c>
      <c r="G79" s="262">
        <f>0/4017*F79</f>
        <v>0</v>
      </c>
      <c r="H79" s="322">
        <v>63</v>
      </c>
      <c r="I79" s="323">
        <f>((F79*S79*P79)*T79*O79*(1-N79))+((F79*S79)+(F79*S79*P79))*Q79*T79*R79</f>
        <v>78.631380900799996</v>
      </c>
      <c r="J79" s="286">
        <f>5/4017*F79</f>
        <v>4.9996763754045306</v>
      </c>
      <c r="K79" s="328">
        <v>63.2</v>
      </c>
      <c r="L79" s="259">
        <v>4.0167400000000004</v>
      </c>
      <c r="M79" s="314">
        <v>0.57999999999999996</v>
      </c>
      <c r="N79" s="375">
        <v>0</v>
      </c>
      <c r="O79" s="373">
        <v>8.0000000000000002E-3</v>
      </c>
      <c r="P79" s="373">
        <v>2.1</v>
      </c>
      <c r="Q79" s="264">
        <v>0.19</v>
      </c>
      <c r="R79" s="373">
        <v>8.0000000000000002E-3</v>
      </c>
      <c r="S79" s="264">
        <v>0.91</v>
      </c>
      <c r="T79" s="265">
        <v>1</v>
      </c>
      <c r="U79" s="151">
        <v>4.9926191507892996E-13</v>
      </c>
      <c r="V79" s="337">
        <v>7.6196994155457501E-13</v>
      </c>
      <c r="W79" s="339">
        <v>6.9410319174027301E-14</v>
      </c>
      <c r="X79" s="339">
        <v>7.1402612381482693E-15</v>
      </c>
      <c r="Y79" s="392">
        <v>1.53428969970343E-12</v>
      </c>
      <c r="Z79" s="385">
        <v>15.58</v>
      </c>
      <c r="AA79" s="227" t="s">
        <v>331</v>
      </c>
      <c r="AB79" s="165" t="s">
        <v>215</v>
      </c>
      <c r="AC79" s="165" t="s">
        <v>230</v>
      </c>
      <c r="AD79" s="165" t="s">
        <v>193</v>
      </c>
      <c r="AE79" s="165" t="s">
        <v>215</v>
      </c>
      <c r="AF79" s="165" t="s">
        <v>216</v>
      </c>
      <c r="AG79" s="305" t="s">
        <v>195</v>
      </c>
      <c r="AH79" s="208" t="s">
        <v>196</v>
      </c>
      <c r="AI79" s="211" t="s">
        <v>217</v>
      </c>
      <c r="AJ79" s="212" t="s">
        <v>218</v>
      </c>
      <c r="AK79" s="165" t="s">
        <v>198</v>
      </c>
      <c r="AL79" s="165" t="s">
        <v>199</v>
      </c>
      <c r="AM79" s="274" t="s">
        <v>200</v>
      </c>
    </row>
    <row r="80" spans="1:39" ht="15" hidden="1" customHeight="1" x14ac:dyDescent="0.3">
      <c r="A80" s="40" t="s">
        <v>114</v>
      </c>
      <c r="B80" s="3" t="s">
        <v>332</v>
      </c>
      <c r="C80" s="3" t="s">
        <v>188</v>
      </c>
      <c r="D80" s="3" t="str">
        <f t="shared" si="2"/>
        <v>No</v>
      </c>
      <c r="E80" s="325"/>
      <c r="F80" s="350"/>
      <c r="G80" s="147"/>
      <c r="H80" s="325"/>
      <c r="J80" s="146"/>
      <c r="K80" s="154"/>
      <c r="L80" s="364"/>
      <c r="M80" s="154"/>
      <c r="N80" s="161"/>
      <c r="O80" s="325"/>
      <c r="P80" s="325"/>
      <c r="Q80" s="325"/>
      <c r="R80" s="325"/>
      <c r="S80" s="325"/>
      <c r="T80" s="146"/>
      <c r="U80" s="147"/>
      <c r="V80" s="320"/>
      <c r="W80" s="320"/>
      <c r="X80" s="320"/>
      <c r="Y80" s="162"/>
      <c r="Z80" s="325"/>
      <c r="AA80" s="1"/>
      <c r="AG80" s="258"/>
      <c r="AH80" s="4"/>
      <c r="AI80" s="4"/>
      <c r="AJ80" s="4"/>
      <c r="AM80" s="275"/>
    </row>
    <row r="81" spans="1:39" ht="15" hidden="1" customHeight="1" x14ac:dyDescent="0.3">
      <c r="A81" s="40" t="s">
        <v>115</v>
      </c>
      <c r="B81" s="3" t="s">
        <v>333</v>
      </c>
      <c r="C81" s="3" t="s">
        <v>190</v>
      </c>
      <c r="D81" s="3" t="str">
        <f t="shared" si="2"/>
        <v>No</v>
      </c>
      <c r="E81" s="325"/>
      <c r="F81" s="350"/>
      <c r="G81" s="147"/>
      <c r="H81" s="325"/>
      <c r="J81" s="146"/>
      <c r="K81" s="154"/>
      <c r="L81" s="364"/>
      <c r="M81" s="154"/>
      <c r="N81" s="161"/>
      <c r="O81" s="325"/>
      <c r="P81" s="325"/>
      <c r="Q81" s="325"/>
      <c r="R81" s="325"/>
      <c r="S81" s="325"/>
      <c r="T81" s="146"/>
      <c r="U81" s="147"/>
      <c r="V81" s="320"/>
      <c r="W81" s="320"/>
      <c r="X81" s="320"/>
      <c r="Y81" s="162"/>
      <c r="Z81" s="325"/>
      <c r="AA81" s="1"/>
      <c r="AG81" s="258"/>
      <c r="AH81" s="4"/>
      <c r="AI81" s="4"/>
      <c r="AJ81" s="4"/>
      <c r="AM81" s="275"/>
    </row>
    <row r="82" spans="1:39" ht="15" hidden="1" customHeight="1" x14ac:dyDescent="0.3">
      <c r="A82" s="40" t="s">
        <v>116</v>
      </c>
      <c r="B82" s="3" t="s">
        <v>334</v>
      </c>
      <c r="C82" s="3" t="s">
        <v>190</v>
      </c>
      <c r="D82" s="3" t="str">
        <f t="shared" si="2"/>
        <v>No</v>
      </c>
      <c r="E82" s="325"/>
      <c r="F82" s="350"/>
      <c r="G82" s="147"/>
      <c r="H82" s="325"/>
      <c r="J82" s="146"/>
      <c r="K82" s="154"/>
      <c r="L82" s="364"/>
      <c r="M82" s="154"/>
      <c r="N82" s="161"/>
      <c r="O82" s="325"/>
      <c r="P82" s="325"/>
      <c r="Q82" s="325"/>
      <c r="R82" s="325"/>
      <c r="S82" s="325"/>
      <c r="T82" s="146"/>
      <c r="U82" s="147"/>
      <c r="V82" s="320"/>
      <c r="W82" s="320"/>
      <c r="X82" s="320"/>
      <c r="Y82" s="162"/>
      <c r="Z82" s="325"/>
      <c r="AA82" s="1"/>
      <c r="AG82" s="258"/>
      <c r="AH82" s="4"/>
      <c r="AI82" s="4"/>
      <c r="AJ82" s="4"/>
      <c r="AM82" s="275"/>
    </row>
    <row r="83" spans="1:39" ht="15" customHeight="1" x14ac:dyDescent="0.3">
      <c r="A83" s="40" t="s">
        <v>117</v>
      </c>
      <c r="B83" s="51" t="s">
        <v>335</v>
      </c>
      <c r="C83" s="51" t="s">
        <v>190</v>
      </c>
      <c r="D83" s="3" t="str">
        <f t="shared" si="2"/>
        <v>Yes</v>
      </c>
      <c r="E83" s="325"/>
      <c r="F83" s="350">
        <v>6050</v>
      </c>
      <c r="G83" s="262">
        <f>41/6050*F83</f>
        <v>41</v>
      </c>
      <c r="H83" s="322"/>
      <c r="I83" s="323">
        <f>((F83*S83*P83)*T83*O83*(1-N83))+((F83*S83)+(F83*S83*P83))*Q83*T83*R83</f>
        <v>55.621279999999999</v>
      </c>
      <c r="J83" s="286">
        <f>6/6050*F83</f>
        <v>6</v>
      </c>
      <c r="K83" s="328">
        <v>450</v>
      </c>
      <c r="L83" s="259">
        <v>919.6</v>
      </c>
      <c r="M83" s="318">
        <v>6.09</v>
      </c>
      <c r="N83" s="375">
        <v>0.14299999999999999</v>
      </c>
      <c r="O83" s="373">
        <v>8.0000000000000002E-3</v>
      </c>
      <c r="P83" s="373">
        <v>1</v>
      </c>
      <c r="Q83" s="264">
        <v>0.22</v>
      </c>
      <c r="R83" s="373">
        <v>8.9999999999999993E-3</v>
      </c>
      <c r="S83" s="264">
        <v>0.85</v>
      </c>
      <c r="T83" s="265">
        <v>1</v>
      </c>
      <c r="U83" s="151">
        <v>4.9926191507892996E-13</v>
      </c>
      <c r="V83" s="337">
        <v>7.6196994155457501E-13</v>
      </c>
      <c r="W83" s="339">
        <v>6.9410319174027301E-14</v>
      </c>
      <c r="X83" s="339">
        <v>7.1402612381482693E-15</v>
      </c>
      <c r="Y83" s="392">
        <v>1.53428969970343E-12</v>
      </c>
      <c r="Z83" s="385">
        <v>333.36</v>
      </c>
      <c r="AA83" s="227" t="s">
        <v>191</v>
      </c>
      <c r="AB83" s="165" t="s">
        <v>336</v>
      </c>
      <c r="AC83" s="165"/>
      <c r="AD83" s="165" t="s">
        <v>193</v>
      </c>
      <c r="AE83" s="165" t="s">
        <v>336</v>
      </c>
      <c r="AF83" s="207" t="s">
        <v>276</v>
      </c>
      <c r="AG83" s="305" t="s">
        <v>327</v>
      </c>
      <c r="AH83" s="173" t="s">
        <v>277</v>
      </c>
      <c r="AI83" s="173"/>
      <c r="AJ83" s="209" t="s">
        <v>197</v>
      </c>
      <c r="AK83" s="165" t="s">
        <v>198</v>
      </c>
      <c r="AL83" s="165" t="s">
        <v>199</v>
      </c>
      <c r="AM83" s="274" t="s">
        <v>200</v>
      </c>
    </row>
    <row r="84" spans="1:39" ht="15" hidden="1" customHeight="1" x14ac:dyDescent="0.3">
      <c r="A84" s="40" t="s">
        <v>118</v>
      </c>
      <c r="B84" s="51" t="s">
        <v>337</v>
      </c>
      <c r="C84" s="51" t="s">
        <v>190</v>
      </c>
      <c r="D84" s="3" t="str">
        <f t="shared" si="2"/>
        <v>No</v>
      </c>
      <c r="E84" s="325"/>
      <c r="F84" s="350"/>
      <c r="G84" s="147"/>
      <c r="H84" s="325"/>
      <c r="J84" s="146"/>
      <c r="K84" s="154"/>
      <c r="L84" s="364"/>
      <c r="M84" s="154"/>
      <c r="N84" s="161"/>
      <c r="O84" s="325"/>
      <c r="P84" s="325"/>
      <c r="Q84" s="325"/>
      <c r="R84" s="325"/>
      <c r="S84" s="325"/>
      <c r="T84" s="146"/>
      <c r="U84" s="147"/>
      <c r="V84" s="320"/>
      <c r="W84" s="320"/>
      <c r="X84" s="320"/>
      <c r="Y84" s="162"/>
      <c r="Z84" s="325"/>
      <c r="AA84" s="1"/>
      <c r="AG84" s="258"/>
      <c r="AH84" s="4"/>
      <c r="AI84" s="4"/>
      <c r="AJ84" s="4"/>
      <c r="AM84" s="275"/>
    </row>
    <row r="85" spans="1:39" ht="15" hidden="1" customHeight="1" x14ac:dyDescent="0.3">
      <c r="A85" s="40" t="s">
        <v>119</v>
      </c>
      <c r="B85" s="51" t="s">
        <v>338</v>
      </c>
      <c r="C85" s="51" t="s">
        <v>237</v>
      </c>
      <c r="D85" s="3" t="str">
        <f t="shared" si="2"/>
        <v>No</v>
      </c>
      <c r="E85" s="325"/>
      <c r="F85" s="350"/>
      <c r="G85" s="147"/>
      <c r="H85" s="325"/>
      <c r="J85" s="146"/>
      <c r="K85" s="154"/>
      <c r="L85" s="364"/>
      <c r="M85" s="154"/>
      <c r="N85" s="161"/>
      <c r="O85" s="325"/>
      <c r="P85" s="325"/>
      <c r="Q85" s="325"/>
      <c r="R85" s="325"/>
      <c r="S85" s="325"/>
      <c r="T85" s="146"/>
      <c r="U85" s="147"/>
      <c r="V85" s="320"/>
      <c r="W85" s="320"/>
      <c r="X85" s="320"/>
      <c r="Y85" s="162"/>
      <c r="Z85" s="325"/>
      <c r="AA85" s="1"/>
      <c r="AG85" s="258"/>
      <c r="AH85" s="4"/>
      <c r="AI85" s="4"/>
      <c r="AJ85" s="4"/>
      <c r="AM85" s="275"/>
    </row>
    <row r="86" spans="1:39" ht="15" customHeight="1" x14ac:dyDescent="0.3">
      <c r="A86" s="40" t="s">
        <v>120</v>
      </c>
      <c r="B86" s="51" t="s">
        <v>339</v>
      </c>
      <c r="C86" s="51" t="s">
        <v>271</v>
      </c>
      <c r="D86" s="3" t="str">
        <f t="shared" si="2"/>
        <v>Yes</v>
      </c>
      <c r="E86" s="325"/>
      <c r="F86" s="350">
        <v>34393.5</v>
      </c>
      <c r="G86" s="262">
        <f>101/34393.5*F86</f>
        <v>101</v>
      </c>
      <c r="H86" s="322"/>
      <c r="I86" s="323">
        <f>((F86*S86*P86)*T86*O86*(1-N86))+((F86*S86)+(F86*S86*P86))*Q86*T86*R86</f>
        <v>86.419309284000008</v>
      </c>
      <c r="J86" s="324">
        <f>41/34393.5*F86</f>
        <v>40.999999999999993</v>
      </c>
      <c r="K86" s="328">
        <v>135.5</v>
      </c>
      <c r="L86" s="259">
        <v>343.935</v>
      </c>
      <c r="M86" s="314">
        <v>2.13</v>
      </c>
      <c r="N86" s="375">
        <v>1.2999999999999999E-2</v>
      </c>
      <c r="O86" s="335">
        <v>1.9E-2</v>
      </c>
      <c r="P86" s="335">
        <v>0.4</v>
      </c>
      <c r="Q86" s="336">
        <v>0.2</v>
      </c>
      <c r="R86" s="335">
        <v>1.4E-2</v>
      </c>
      <c r="S86" s="264">
        <v>0.22</v>
      </c>
      <c r="T86" s="265">
        <v>1</v>
      </c>
      <c r="U86" s="151">
        <v>4.9926191507892996E-13</v>
      </c>
      <c r="V86" s="337">
        <v>7.6196994155457501E-13</v>
      </c>
      <c r="W86" s="339">
        <v>6.9410319174027301E-14</v>
      </c>
      <c r="X86" s="339">
        <v>7.1402612381482693E-15</v>
      </c>
      <c r="Y86" s="392">
        <v>1.53428969970343E-12</v>
      </c>
      <c r="Z86" s="385">
        <v>110.13</v>
      </c>
      <c r="AA86" s="227" t="s">
        <v>191</v>
      </c>
      <c r="AB86" s="165" t="s">
        <v>215</v>
      </c>
      <c r="AC86" s="165"/>
      <c r="AD86" s="165" t="s">
        <v>193</v>
      </c>
      <c r="AE86" s="165" t="s">
        <v>215</v>
      </c>
      <c r="AF86" s="165" t="s">
        <v>216</v>
      </c>
      <c r="AG86" s="305" t="s">
        <v>195</v>
      </c>
      <c r="AH86" s="208" t="s">
        <v>196</v>
      </c>
      <c r="AI86" s="211" t="s">
        <v>217</v>
      </c>
      <c r="AJ86" s="212" t="s">
        <v>218</v>
      </c>
      <c r="AK86" s="165" t="s">
        <v>198</v>
      </c>
      <c r="AL86" s="165" t="s">
        <v>199</v>
      </c>
      <c r="AM86" s="274" t="s">
        <v>200</v>
      </c>
    </row>
    <row r="87" spans="1:39" ht="15" customHeight="1" x14ac:dyDescent="0.3">
      <c r="A87" s="40" t="s">
        <v>121</v>
      </c>
      <c r="B87" s="51" t="s">
        <v>340</v>
      </c>
      <c r="C87" s="51" t="s">
        <v>188</v>
      </c>
      <c r="D87" s="3" t="str">
        <f t="shared" si="2"/>
        <v>Yes</v>
      </c>
      <c r="E87" s="325"/>
      <c r="F87" s="350">
        <v>23020.85</v>
      </c>
      <c r="G87" s="262">
        <f>18/23021*F87</f>
        <v>17.999882715781244</v>
      </c>
      <c r="H87" s="322"/>
      <c r="I87" s="323">
        <f>((F87*S87*P87)*T87*O87*(1-N87))+((F87*S87)+(F87*S87*P87))*Q87*T87*R87</f>
        <v>211.64448655999999</v>
      </c>
      <c r="J87" s="286"/>
      <c r="K87" s="328">
        <v>140</v>
      </c>
      <c r="L87" s="259">
        <v>782.70889999999986</v>
      </c>
      <c r="M87" s="314">
        <v>1.65</v>
      </c>
      <c r="N87" s="372">
        <v>0.14299999999999999</v>
      </c>
      <c r="O87" s="373">
        <v>8.0000000000000002E-3</v>
      </c>
      <c r="P87" s="373">
        <v>1</v>
      </c>
      <c r="Q87" s="264">
        <v>0.22</v>
      </c>
      <c r="R87" s="373">
        <v>8.9999999999999993E-3</v>
      </c>
      <c r="S87" s="264">
        <v>0.85</v>
      </c>
      <c r="T87" s="265">
        <v>1</v>
      </c>
      <c r="U87" s="151">
        <v>4.9926191507892996E-13</v>
      </c>
      <c r="V87" s="337">
        <v>7.6196994155457501E-13</v>
      </c>
      <c r="W87" s="339">
        <v>6.9410319174027301E-14</v>
      </c>
      <c r="X87" s="339">
        <v>7.1402612381482693E-15</v>
      </c>
      <c r="Y87" s="392">
        <v>1.53428969970343E-12</v>
      </c>
      <c r="Z87" s="385">
        <v>151.69999999999999</v>
      </c>
      <c r="AA87" s="227" t="s">
        <v>329</v>
      </c>
      <c r="AB87" s="165" t="s">
        <v>341</v>
      </c>
      <c r="AC87" s="165"/>
      <c r="AD87" s="165" t="s">
        <v>193</v>
      </c>
      <c r="AE87" s="165"/>
      <c r="AF87" s="207" t="s">
        <v>205</v>
      </c>
      <c r="AG87" s="305" t="s">
        <v>206</v>
      </c>
      <c r="AH87" s="173" t="s">
        <v>207</v>
      </c>
      <c r="AI87" s="173"/>
      <c r="AJ87" s="209" t="s">
        <v>197</v>
      </c>
      <c r="AK87" s="165" t="s">
        <v>198</v>
      </c>
      <c r="AL87" s="165" t="s">
        <v>199</v>
      </c>
      <c r="AM87" s="274" t="s">
        <v>200</v>
      </c>
    </row>
    <row r="88" spans="1:39" ht="15" hidden="1" customHeight="1" x14ac:dyDescent="0.3">
      <c r="A88" s="40" t="s">
        <v>122</v>
      </c>
      <c r="B88" s="51" t="s">
        <v>342</v>
      </c>
      <c r="C88" s="51" t="s">
        <v>343</v>
      </c>
      <c r="D88" s="3" t="str">
        <f t="shared" si="2"/>
        <v>No</v>
      </c>
      <c r="E88" s="325"/>
      <c r="F88" s="350"/>
      <c r="G88" s="147"/>
      <c r="H88" s="325"/>
      <c r="J88" s="146"/>
      <c r="K88" s="154"/>
      <c r="L88" s="364"/>
      <c r="M88" s="154"/>
      <c r="N88" s="161"/>
      <c r="O88" s="325"/>
      <c r="P88" s="325"/>
      <c r="Q88" s="325"/>
      <c r="R88" s="325"/>
      <c r="S88" s="325"/>
      <c r="T88" s="146"/>
      <c r="U88" s="147"/>
      <c r="V88" s="320"/>
      <c r="W88" s="320"/>
      <c r="X88" s="320"/>
      <c r="Y88" s="162"/>
      <c r="Z88" s="325"/>
      <c r="AA88" s="1"/>
      <c r="AG88" s="258"/>
      <c r="AH88" s="4"/>
      <c r="AI88" s="4"/>
      <c r="AJ88" s="4"/>
      <c r="AM88" s="275"/>
    </row>
    <row r="89" spans="1:39" ht="15" hidden="1" customHeight="1" x14ac:dyDescent="0.3">
      <c r="A89" s="40" t="s">
        <v>123</v>
      </c>
      <c r="B89" s="3" t="s">
        <v>344</v>
      </c>
      <c r="C89" s="3" t="s">
        <v>237</v>
      </c>
      <c r="D89" s="3" t="str">
        <f t="shared" si="2"/>
        <v>No</v>
      </c>
      <c r="E89" s="325"/>
      <c r="F89" s="350"/>
      <c r="G89" s="147"/>
      <c r="H89" s="325"/>
      <c r="J89" s="146"/>
      <c r="K89" s="154"/>
      <c r="L89" s="364"/>
      <c r="M89" s="154"/>
      <c r="N89" s="161"/>
      <c r="O89" s="325"/>
      <c r="P89" s="325"/>
      <c r="Q89" s="325"/>
      <c r="R89" s="325"/>
      <c r="S89" s="325"/>
      <c r="T89" s="146"/>
      <c r="U89" s="147"/>
      <c r="V89" s="320"/>
      <c r="W89" s="320"/>
      <c r="X89" s="320"/>
      <c r="Y89" s="162"/>
      <c r="Z89" s="325"/>
      <c r="AA89" s="1"/>
      <c r="AG89" s="258"/>
      <c r="AH89" s="4"/>
      <c r="AI89" s="4"/>
      <c r="AJ89" s="4"/>
      <c r="AM89" s="275"/>
    </row>
    <row r="90" spans="1:39" ht="15" customHeight="1" x14ac:dyDescent="0.3">
      <c r="A90" s="40" t="s">
        <v>124</v>
      </c>
      <c r="B90" s="51" t="s">
        <v>345</v>
      </c>
      <c r="C90" s="51" t="s">
        <v>317</v>
      </c>
      <c r="D90" s="3" t="str">
        <f t="shared" si="2"/>
        <v>Yes</v>
      </c>
      <c r="E90" s="325"/>
      <c r="F90" s="350">
        <v>3117.4</v>
      </c>
      <c r="G90" s="284">
        <v>147</v>
      </c>
      <c r="H90" s="325"/>
      <c r="I90" s="357">
        <v>30.525580799999997</v>
      </c>
      <c r="J90" s="286">
        <f>16/1726*F90</f>
        <v>28.898261877172654</v>
      </c>
      <c r="K90" s="329">
        <v>60</v>
      </c>
      <c r="L90" s="444">
        <v>6.2347999999999999</v>
      </c>
      <c r="M90" s="259">
        <v>0.35900000000000004</v>
      </c>
      <c r="N90" s="375">
        <v>5.5E-2</v>
      </c>
      <c r="O90" s="373">
        <v>8.0000000000000002E-3</v>
      </c>
      <c r="P90" s="373">
        <v>1</v>
      </c>
      <c r="Q90" s="264">
        <v>0.22</v>
      </c>
      <c r="R90" s="373">
        <v>8.9999999999999993E-3</v>
      </c>
      <c r="S90" s="264">
        <v>0.85</v>
      </c>
      <c r="T90" s="265">
        <v>1</v>
      </c>
      <c r="U90" s="151">
        <v>4.9926191507892996E-13</v>
      </c>
      <c r="V90" s="337">
        <v>7.6196994155457501E-13</v>
      </c>
      <c r="W90" s="339">
        <v>6.9410319174027301E-14</v>
      </c>
      <c r="X90" s="339">
        <v>7.1402612381482693E-15</v>
      </c>
      <c r="Y90" s="392">
        <v>1.53428969970343E-12</v>
      </c>
      <c r="Z90" s="385">
        <v>15.89</v>
      </c>
      <c r="AA90" s="227" t="s">
        <v>346</v>
      </c>
      <c r="AG90" s="258"/>
      <c r="AH90" s="4"/>
      <c r="AI90" s="4"/>
      <c r="AJ90" s="4"/>
      <c r="AM90" s="275"/>
    </row>
    <row r="91" spans="1:39" ht="15" customHeight="1" x14ac:dyDescent="0.3">
      <c r="A91" s="40" t="s">
        <v>125</v>
      </c>
      <c r="B91" s="51" t="s">
        <v>347</v>
      </c>
      <c r="C91" s="51" t="s">
        <v>317</v>
      </c>
      <c r="D91" s="3" t="str">
        <f t="shared" si="2"/>
        <v>Yes</v>
      </c>
      <c r="E91" s="325">
        <v>10</v>
      </c>
      <c r="F91" s="350">
        <v>1726</v>
      </c>
      <c r="G91" s="262">
        <f>147/1726*F91</f>
        <v>147</v>
      </c>
      <c r="H91" s="322"/>
      <c r="I91" s="323">
        <f>((F91*S91*P91)*T91*O91*(1-N91))+((F91*S91)+(F91*S91*P91))*Q91*T91*R91</f>
        <v>16.900991999999999</v>
      </c>
      <c r="J91" s="286">
        <f>16/1726*F91</f>
        <v>16</v>
      </c>
      <c r="K91" s="328">
        <v>60</v>
      </c>
      <c r="L91" s="259">
        <v>3.452</v>
      </c>
      <c r="M91" s="314">
        <v>0.26</v>
      </c>
      <c r="N91" s="375">
        <v>5.5E-2</v>
      </c>
      <c r="O91" s="373">
        <v>8.0000000000000002E-3</v>
      </c>
      <c r="P91" s="373">
        <v>1</v>
      </c>
      <c r="Q91" s="264">
        <v>0.22</v>
      </c>
      <c r="R91" s="373">
        <v>8.9999999999999993E-3</v>
      </c>
      <c r="S91" s="264">
        <v>0.85</v>
      </c>
      <c r="T91" s="265">
        <v>1</v>
      </c>
      <c r="U91" s="151">
        <v>4.9926191507892996E-13</v>
      </c>
      <c r="V91" s="337">
        <v>7.6196994155457501E-13</v>
      </c>
      <c r="W91" s="339">
        <v>6.9410319174027301E-14</v>
      </c>
      <c r="X91" s="339">
        <v>7.1402612381482693E-15</v>
      </c>
      <c r="Y91" s="392">
        <v>1.53428969970343E-12</v>
      </c>
      <c r="Z91" s="385">
        <v>15.89</v>
      </c>
      <c r="AA91" s="227" t="s">
        <v>214</v>
      </c>
      <c r="AB91" s="165" t="s">
        <v>348</v>
      </c>
      <c r="AC91" s="165"/>
      <c r="AD91" s="165" t="s">
        <v>193</v>
      </c>
      <c r="AE91" s="165" t="s">
        <v>348</v>
      </c>
      <c r="AF91" s="165" t="s">
        <v>216</v>
      </c>
      <c r="AG91" s="305" t="s">
        <v>195</v>
      </c>
      <c r="AH91" s="208" t="s">
        <v>196</v>
      </c>
      <c r="AI91" s="173"/>
      <c r="AJ91" s="212" t="s">
        <v>218</v>
      </c>
      <c r="AK91" s="165" t="s">
        <v>198</v>
      </c>
      <c r="AL91" s="165" t="s">
        <v>199</v>
      </c>
      <c r="AM91" s="274" t="s">
        <v>200</v>
      </c>
    </row>
    <row r="92" spans="1:39" ht="15" customHeight="1" x14ac:dyDescent="0.3">
      <c r="A92" s="40" t="s">
        <v>126</v>
      </c>
      <c r="B92" s="51" t="s">
        <v>349</v>
      </c>
      <c r="C92" s="51" t="s">
        <v>317</v>
      </c>
      <c r="D92" s="3" t="str">
        <f t="shared" si="2"/>
        <v>Yes</v>
      </c>
      <c r="E92" s="325">
        <v>90</v>
      </c>
      <c r="F92" s="350">
        <v>3272</v>
      </c>
      <c r="G92" s="262">
        <f>147/3272*F92</f>
        <v>147</v>
      </c>
      <c r="H92" s="322"/>
      <c r="I92" s="323">
        <f>((F92*S92*P92)*T92*O92*(1-N92))+((F92*S92)+(F92*S92*P92))*Q92*T92*R92</f>
        <v>32.039423999999997</v>
      </c>
      <c r="J92" s="286">
        <f>16/3272*F92</f>
        <v>16</v>
      </c>
      <c r="K92" s="328">
        <v>60</v>
      </c>
      <c r="L92" s="259">
        <v>6.5439999999999996</v>
      </c>
      <c r="M92" s="314">
        <v>0.37</v>
      </c>
      <c r="N92" s="375">
        <v>5.5E-2</v>
      </c>
      <c r="O92" s="373">
        <v>8.0000000000000002E-3</v>
      </c>
      <c r="P92" s="373">
        <v>1</v>
      </c>
      <c r="Q92" s="264">
        <v>0.22</v>
      </c>
      <c r="R92" s="373">
        <v>8.9999999999999993E-3</v>
      </c>
      <c r="S92" s="264">
        <v>0.85</v>
      </c>
      <c r="T92" s="265">
        <v>1</v>
      </c>
      <c r="U92" s="151">
        <v>4.9926191507892996E-13</v>
      </c>
      <c r="V92" s="337">
        <v>7.6196994155457501E-13</v>
      </c>
      <c r="W92" s="339">
        <v>6.9410319174027301E-14</v>
      </c>
      <c r="X92" s="339">
        <v>7.1402612381482693E-15</v>
      </c>
      <c r="Y92" s="392">
        <v>1.53428969970343E-12</v>
      </c>
      <c r="Z92" s="385">
        <v>15.89</v>
      </c>
      <c r="AA92" s="227" t="s">
        <v>214</v>
      </c>
      <c r="AB92" s="165" t="s">
        <v>348</v>
      </c>
      <c r="AC92" s="165"/>
      <c r="AD92" s="165" t="s">
        <v>193</v>
      </c>
      <c r="AE92" s="165" t="s">
        <v>348</v>
      </c>
      <c r="AF92" s="165" t="s">
        <v>216</v>
      </c>
      <c r="AG92" s="305" t="s">
        <v>195</v>
      </c>
      <c r="AH92" s="208" t="s">
        <v>196</v>
      </c>
      <c r="AI92" s="173"/>
      <c r="AJ92" s="212" t="s">
        <v>218</v>
      </c>
      <c r="AK92" s="165" t="s">
        <v>198</v>
      </c>
      <c r="AL92" s="165" t="s">
        <v>199</v>
      </c>
      <c r="AM92" s="274" t="s">
        <v>200</v>
      </c>
    </row>
    <row r="93" spans="1:39" ht="15" customHeight="1" x14ac:dyDescent="0.3">
      <c r="A93" s="40" t="s">
        <v>127</v>
      </c>
      <c r="B93" s="51" t="s">
        <v>350</v>
      </c>
      <c r="C93" s="51" t="s">
        <v>226</v>
      </c>
      <c r="D93" s="3" t="str">
        <f t="shared" si="2"/>
        <v>Yes</v>
      </c>
      <c r="E93" s="325"/>
      <c r="F93" s="350">
        <v>3521.8</v>
      </c>
      <c r="G93" s="262">
        <f>100/3521.8*F93</f>
        <v>100</v>
      </c>
      <c r="H93" s="322"/>
      <c r="I93" s="323">
        <f>((F93*S93*P93)*T93*O93*(1-N93))+((F93*S93)+(F93*S93*P93))*Q93*T93*R93</f>
        <v>32.378020480000004</v>
      </c>
      <c r="J93" s="282">
        <f>12.5/3521.8*F93</f>
        <v>12.5</v>
      </c>
      <c r="K93" s="328">
        <v>300</v>
      </c>
      <c r="L93" s="259">
        <v>535.31359999999995</v>
      </c>
      <c r="M93" s="314">
        <v>2.25</v>
      </c>
      <c r="N93" s="375">
        <v>0.14299999999999999</v>
      </c>
      <c r="O93" s="373">
        <v>8.0000000000000002E-3</v>
      </c>
      <c r="P93" s="373">
        <v>1</v>
      </c>
      <c r="Q93" s="264">
        <v>0.22</v>
      </c>
      <c r="R93" s="373">
        <v>8.9999999999999993E-3</v>
      </c>
      <c r="S93" s="264">
        <v>0.85</v>
      </c>
      <c r="T93" s="265">
        <v>1</v>
      </c>
      <c r="U93" s="151">
        <v>4.9926191507892996E-13</v>
      </c>
      <c r="V93" s="337">
        <v>7.6196994155457501E-13</v>
      </c>
      <c r="W93" s="339">
        <v>6.9410319174027301E-14</v>
      </c>
      <c r="X93" s="339">
        <v>7.1402612381482693E-15</v>
      </c>
      <c r="Y93" s="392">
        <v>1.53428969970343E-12</v>
      </c>
      <c r="Z93" s="385">
        <v>1761.04</v>
      </c>
      <c r="AA93" s="227" t="s">
        <v>191</v>
      </c>
      <c r="AB93" s="165" t="s">
        <v>351</v>
      </c>
      <c r="AC93" s="165"/>
      <c r="AD93" s="165" t="s">
        <v>193</v>
      </c>
      <c r="AE93" s="165" t="s">
        <v>351</v>
      </c>
      <c r="AF93" s="165" t="s">
        <v>194</v>
      </c>
      <c r="AG93" s="305" t="s">
        <v>327</v>
      </c>
      <c r="AH93" s="208" t="s">
        <v>268</v>
      </c>
      <c r="AI93" s="173"/>
      <c r="AJ93" s="209" t="s">
        <v>197</v>
      </c>
      <c r="AK93" s="165" t="s">
        <v>198</v>
      </c>
      <c r="AL93" s="165" t="s">
        <v>199</v>
      </c>
      <c r="AM93" s="274" t="s">
        <v>200</v>
      </c>
    </row>
    <row r="94" spans="1:39" ht="15" hidden="1" customHeight="1" x14ac:dyDescent="0.3">
      <c r="A94" s="40" t="s">
        <v>128</v>
      </c>
      <c r="B94" s="51" t="s">
        <v>352</v>
      </c>
      <c r="C94" s="51" t="s">
        <v>213</v>
      </c>
      <c r="D94" s="3" t="str">
        <f t="shared" si="2"/>
        <v>No</v>
      </c>
      <c r="E94" s="325"/>
      <c r="F94" s="350"/>
      <c r="G94" s="147"/>
      <c r="H94" s="325"/>
      <c r="J94" s="146"/>
      <c r="K94" s="154"/>
      <c r="L94" s="364"/>
      <c r="M94" s="154"/>
      <c r="N94" s="161"/>
      <c r="O94" s="325"/>
      <c r="P94" s="325"/>
      <c r="Q94" s="325"/>
      <c r="R94" s="325"/>
      <c r="S94" s="325"/>
      <c r="T94" s="146"/>
      <c r="U94" s="147"/>
      <c r="V94" s="320"/>
      <c r="W94" s="320"/>
      <c r="X94" s="320"/>
      <c r="Y94" s="162"/>
      <c r="Z94" s="325"/>
      <c r="AA94" s="1"/>
      <c r="AG94" s="258"/>
      <c r="AH94" s="4"/>
      <c r="AI94" s="4"/>
      <c r="AJ94" s="4"/>
      <c r="AM94" s="275"/>
    </row>
    <row r="95" spans="1:39" ht="15" customHeight="1" x14ac:dyDescent="0.3">
      <c r="A95" s="40" t="s">
        <v>129</v>
      </c>
      <c r="B95" s="51" t="s">
        <v>353</v>
      </c>
      <c r="C95" s="51" t="s">
        <v>211</v>
      </c>
      <c r="D95" s="3" t="str">
        <f t="shared" si="2"/>
        <v>Yes</v>
      </c>
      <c r="E95" s="325"/>
      <c r="F95" s="350">
        <v>5966.24</v>
      </c>
      <c r="G95" s="262">
        <f>95/5966*F95</f>
        <v>95.003821656050945</v>
      </c>
      <c r="H95" s="322"/>
      <c r="I95" s="323">
        <f>((F95*S95*P95)*T95*O95*(1-N95))+((F95*S95)+(F95*S95*P95))*Q95*T95*R95</f>
        <v>65.7966493184</v>
      </c>
      <c r="J95" s="286">
        <f>7/5966*F95</f>
        <v>7.0002815957090174</v>
      </c>
      <c r="K95" s="328">
        <v>68.7</v>
      </c>
      <c r="L95" s="259">
        <v>0</v>
      </c>
      <c r="M95" s="314">
        <v>0.94</v>
      </c>
      <c r="N95" s="375">
        <v>0.22</v>
      </c>
      <c r="O95" s="335">
        <v>5.0000000000000001E-3</v>
      </c>
      <c r="P95" s="335">
        <v>1.6</v>
      </c>
      <c r="Q95" s="336">
        <v>0.22</v>
      </c>
      <c r="R95" s="335">
        <v>1.0999999999999999E-2</v>
      </c>
      <c r="S95" s="336">
        <v>0.88</v>
      </c>
      <c r="T95" s="265">
        <v>1</v>
      </c>
      <c r="U95" s="151">
        <v>4.9926191507892996E-13</v>
      </c>
      <c r="V95" s="337">
        <v>7.6196994155457501E-13</v>
      </c>
      <c r="W95" s="339">
        <v>6.9410319174027301E-14</v>
      </c>
      <c r="X95" s="339">
        <v>7.1402612381482693E-15</v>
      </c>
      <c r="Y95" s="392">
        <v>1.53428969970343E-12</v>
      </c>
      <c r="Z95" s="385">
        <v>16</v>
      </c>
      <c r="AA95" s="227" t="s">
        <v>191</v>
      </c>
      <c r="AB95" s="165" t="s">
        <v>215</v>
      </c>
      <c r="AC95" s="165"/>
      <c r="AD95" s="165" t="s">
        <v>193</v>
      </c>
      <c r="AE95" s="165" t="s">
        <v>215</v>
      </c>
      <c r="AF95" s="165" t="s">
        <v>216</v>
      </c>
      <c r="AG95" s="305" t="s">
        <v>195</v>
      </c>
      <c r="AH95" s="208" t="s">
        <v>196</v>
      </c>
      <c r="AI95" s="211" t="s">
        <v>217</v>
      </c>
      <c r="AJ95" s="212" t="s">
        <v>218</v>
      </c>
      <c r="AK95" s="165" t="s">
        <v>198</v>
      </c>
      <c r="AL95" s="165" t="s">
        <v>199</v>
      </c>
      <c r="AM95" s="274" t="s">
        <v>200</v>
      </c>
    </row>
    <row r="96" spans="1:39" ht="15" hidden="1" customHeight="1" x14ac:dyDescent="0.3">
      <c r="A96" s="40" t="s">
        <v>130</v>
      </c>
      <c r="B96" s="51" t="s">
        <v>354</v>
      </c>
      <c r="C96" s="51" t="s">
        <v>213</v>
      </c>
      <c r="D96" s="3" t="str">
        <f t="shared" si="2"/>
        <v>No</v>
      </c>
      <c r="E96" s="325"/>
      <c r="F96" s="350"/>
      <c r="G96" s="147"/>
      <c r="H96" s="325"/>
      <c r="J96" s="146"/>
      <c r="K96" s="154"/>
      <c r="L96" s="364"/>
      <c r="M96" s="154"/>
      <c r="N96" s="161"/>
      <c r="O96" s="325"/>
      <c r="P96" s="325"/>
      <c r="Q96" s="325"/>
      <c r="R96" s="325"/>
      <c r="S96" s="325"/>
      <c r="T96" s="146"/>
      <c r="U96" s="147"/>
      <c r="V96" s="320"/>
      <c r="W96" s="320"/>
      <c r="X96" s="320"/>
      <c r="Y96" s="162"/>
      <c r="Z96" s="325"/>
      <c r="AA96" s="1"/>
      <c r="AG96" s="258"/>
      <c r="AH96" s="4"/>
      <c r="AI96" s="4"/>
      <c r="AJ96" s="4"/>
      <c r="AM96" s="275"/>
    </row>
    <row r="97" spans="1:39" ht="15" customHeight="1" x14ac:dyDescent="0.3">
      <c r="A97" s="40" t="s">
        <v>131</v>
      </c>
      <c r="B97" s="51" t="s">
        <v>355</v>
      </c>
      <c r="C97" s="51" t="s">
        <v>190</v>
      </c>
      <c r="D97" s="3" t="str">
        <f t="shared" si="2"/>
        <v>Yes</v>
      </c>
      <c r="E97" s="325"/>
      <c r="F97" s="350">
        <v>3636.66</v>
      </c>
      <c r="G97" s="262">
        <f>100/3637*F97</f>
        <v>99.990651635963701</v>
      </c>
      <c r="H97" s="322"/>
      <c r="I97" s="323">
        <f>((F97*S97*P97)*T97*O97*(1-N97))+((F97*S97)+(F97*S97*P97))*Q97*T97*R97</f>
        <v>33.433997375999994</v>
      </c>
      <c r="J97" s="286">
        <f>13/3637*F97</f>
        <v>12.998784712675281</v>
      </c>
      <c r="K97" s="328">
        <v>450</v>
      </c>
      <c r="L97" s="259">
        <v>552.77231999999992</v>
      </c>
      <c r="M97" s="318">
        <v>6.09</v>
      </c>
      <c r="N97" s="375">
        <v>0.14299999999999999</v>
      </c>
      <c r="O97" s="373">
        <v>8.0000000000000002E-3</v>
      </c>
      <c r="P97" s="373">
        <v>1</v>
      </c>
      <c r="Q97" s="264">
        <v>0.22</v>
      </c>
      <c r="R97" s="373">
        <v>8.9999999999999993E-3</v>
      </c>
      <c r="S97" s="264">
        <v>0.85</v>
      </c>
      <c r="T97" s="265">
        <v>1</v>
      </c>
      <c r="U97" s="151">
        <v>4.9926191507892996E-13</v>
      </c>
      <c r="V97" s="337">
        <v>7.6196994155457501E-13</v>
      </c>
      <c r="W97" s="339">
        <v>6.9410319174027301E-14</v>
      </c>
      <c r="X97" s="339">
        <v>7.1402612381482693E-15</v>
      </c>
      <c r="Y97" s="392">
        <v>1.53428969970343E-12</v>
      </c>
      <c r="Z97" s="385">
        <v>333.36</v>
      </c>
      <c r="AA97" s="227" t="s">
        <v>191</v>
      </c>
      <c r="AB97" s="165" t="s">
        <v>356</v>
      </c>
      <c r="AC97" s="165"/>
      <c r="AD97" s="165" t="s">
        <v>193</v>
      </c>
      <c r="AE97" s="165" t="s">
        <v>356</v>
      </c>
      <c r="AF97" s="207" t="s">
        <v>276</v>
      </c>
      <c r="AG97" s="305" t="s">
        <v>327</v>
      </c>
      <c r="AH97" s="173" t="s">
        <v>277</v>
      </c>
      <c r="AI97" s="173"/>
      <c r="AJ97" s="209" t="s">
        <v>197</v>
      </c>
      <c r="AK97" s="165" t="s">
        <v>198</v>
      </c>
      <c r="AL97" s="165" t="s">
        <v>199</v>
      </c>
      <c r="AM97" s="229" t="s">
        <v>357</v>
      </c>
    </row>
    <row r="98" spans="1:39" ht="15" hidden="1" customHeight="1" x14ac:dyDescent="0.3">
      <c r="A98" s="40" t="s">
        <v>132</v>
      </c>
      <c r="B98" s="51" t="s">
        <v>358</v>
      </c>
      <c r="C98" s="51" t="s">
        <v>221</v>
      </c>
      <c r="D98" s="3" t="str">
        <f t="shared" si="2"/>
        <v>No</v>
      </c>
      <c r="E98" s="325"/>
      <c r="F98" s="350"/>
      <c r="G98" s="147"/>
      <c r="H98" s="325"/>
      <c r="J98" s="146"/>
      <c r="K98" s="154"/>
      <c r="L98" s="364"/>
      <c r="M98" s="154"/>
      <c r="N98" s="161"/>
      <c r="O98" s="325"/>
      <c r="P98" s="325"/>
      <c r="Q98" s="325"/>
      <c r="R98" s="325"/>
      <c r="S98" s="325"/>
      <c r="T98" s="146"/>
      <c r="U98" s="147"/>
      <c r="V98" s="320"/>
      <c r="W98" s="320"/>
      <c r="X98" s="320"/>
      <c r="Y98" s="162"/>
      <c r="Z98" s="325"/>
      <c r="AA98" s="1"/>
      <c r="AG98" s="258"/>
      <c r="AH98" s="4"/>
      <c r="AI98" s="4"/>
      <c r="AJ98" s="4"/>
      <c r="AM98" s="275"/>
    </row>
    <row r="99" spans="1:39" ht="15" customHeight="1" x14ac:dyDescent="0.3">
      <c r="A99" s="40" t="s">
        <v>133</v>
      </c>
      <c r="B99" s="51" t="s">
        <v>359</v>
      </c>
      <c r="C99" s="51" t="s">
        <v>188</v>
      </c>
      <c r="D99" s="3" t="str">
        <f t="shared" si="2"/>
        <v>Yes</v>
      </c>
      <c r="E99" s="325"/>
      <c r="F99" s="350">
        <v>3542.86</v>
      </c>
      <c r="G99" s="262">
        <f>45/3543*F99</f>
        <v>44.998221845893312</v>
      </c>
      <c r="H99" s="322"/>
      <c r="I99" s="323">
        <f>((F99*S99*P99)*T99*O99*(1-N99))+((F99*S99)+(F99*S99*P99))*Q99*T99*R99</f>
        <v>32.571637695999996</v>
      </c>
      <c r="J99" s="286">
        <f>9/3543*F99</f>
        <v>8.999644369178661</v>
      </c>
      <c r="K99" s="328">
        <v>140</v>
      </c>
      <c r="L99" s="259">
        <v>120.45724</v>
      </c>
      <c r="M99" s="314">
        <v>1.65</v>
      </c>
      <c r="N99" s="372">
        <v>0.14299999999999999</v>
      </c>
      <c r="O99" s="373">
        <v>8.0000000000000002E-3</v>
      </c>
      <c r="P99" s="373">
        <v>1</v>
      </c>
      <c r="Q99" s="264">
        <v>0.22</v>
      </c>
      <c r="R99" s="373">
        <v>8.9999999999999993E-3</v>
      </c>
      <c r="S99" s="264">
        <v>0.85</v>
      </c>
      <c r="T99" s="265">
        <v>1</v>
      </c>
      <c r="U99" s="151">
        <v>4.9926191507892996E-13</v>
      </c>
      <c r="V99" s="337">
        <v>7.6196994155457501E-13</v>
      </c>
      <c r="W99" s="339">
        <v>6.9410319174027301E-14</v>
      </c>
      <c r="X99" s="339">
        <v>7.1402612381482693E-15</v>
      </c>
      <c r="Y99" s="392">
        <v>1.53428969970343E-12</v>
      </c>
      <c r="Z99" s="385">
        <v>23.37</v>
      </c>
      <c r="AA99" s="227" t="s">
        <v>191</v>
      </c>
      <c r="AB99" s="165" t="s">
        <v>341</v>
      </c>
      <c r="AC99" s="165"/>
      <c r="AD99" s="165" t="s">
        <v>193</v>
      </c>
      <c r="AE99" s="165" t="s">
        <v>360</v>
      </c>
      <c r="AF99" s="207" t="s">
        <v>205</v>
      </c>
      <c r="AG99" s="305" t="s">
        <v>206</v>
      </c>
      <c r="AH99" s="173" t="s">
        <v>207</v>
      </c>
      <c r="AI99" s="173"/>
      <c r="AJ99" s="209" t="s">
        <v>197</v>
      </c>
      <c r="AK99" s="165" t="s">
        <v>198</v>
      </c>
      <c r="AL99" s="165" t="s">
        <v>199</v>
      </c>
      <c r="AM99" s="274" t="s">
        <v>200</v>
      </c>
    </row>
    <row r="100" spans="1:39" ht="15" customHeight="1" x14ac:dyDescent="0.3">
      <c r="A100" s="40" t="s">
        <v>134</v>
      </c>
      <c r="B100" s="51" t="s">
        <v>361</v>
      </c>
      <c r="C100" s="51" t="s">
        <v>190</v>
      </c>
      <c r="D100" s="3" t="str">
        <f t="shared" si="2"/>
        <v>Yes</v>
      </c>
      <c r="E100" s="325"/>
      <c r="F100" s="350">
        <v>7976.84</v>
      </c>
      <c r="G100" s="262">
        <f>33/7977*F100</f>
        <v>32.999338097028954</v>
      </c>
      <c r="H100" s="322"/>
      <c r="I100" s="323">
        <f>((F100*S100*P100)*T100*O100*(1-N100))+((F100*S100)+(F100*S100*P100))*Q100*T100*R100</f>
        <v>73.335876224000003</v>
      </c>
      <c r="J100" s="286">
        <f>14/7977*F100</f>
        <v>13.999719192678953</v>
      </c>
      <c r="K100" s="328">
        <v>300</v>
      </c>
      <c r="L100" s="259">
        <v>1212.4796799999999</v>
      </c>
      <c r="M100" s="314">
        <v>2.25</v>
      </c>
      <c r="N100" s="375">
        <v>0.14299999999999999</v>
      </c>
      <c r="O100" s="373">
        <v>8.0000000000000002E-3</v>
      </c>
      <c r="P100" s="373">
        <v>1</v>
      </c>
      <c r="Q100" s="264">
        <v>0.22</v>
      </c>
      <c r="R100" s="373">
        <v>8.9999999999999993E-3</v>
      </c>
      <c r="S100" s="264">
        <v>0.85</v>
      </c>
      <c r="T100" s="265">
        <v>1</v>
      </c>
      <c r="U100" s="151">
        <v>4.9926191507892996E-13</v>
      </c>
      <c r="V100" s="337">
        <v>7.6196994155457501E-13</v>
      </c>
      <c r="W100" s="339">
        <v>6.9410319174027301E-14</v>
      </c>
      <c r="X100" s="339">
        <v>7.1402612381482693E-15</v>
      </c>
      <c r="Y100" s="392">
        <v>1.53428969970343E-12</v>
      </c>
      <c r="Z100" s="385">
        <v>807.53</v>
      </c>
      <c r="AA100" s="227" t="s">
        <v>329</v>
      </c>
      <c r="AB100" s="165" t="s">
        <v>362</v>
      </c>
      <c r="AC100" s="165"/>
      <c r="AD100" s="165" t="s">
        <v>193</v>
      </c>
      <c r="AE100" s="165" t="s">
        <v>362</v>
      </c>
      <c r="AF100" s="165" t="s">
        <v>194</v>
      </c>
      <c r="AG100" s="305" t="s">
        <v>327</v>
      </c>
      <c r="AH100" s="208" t="s">
        <v>196</v>
      </c>
      <c r="AI100" s="173"/>
      <c r="AJ100" s="209" t="s">
        <v>197</v>
      </c>
      <c r="AK100" s="165" t="s">
        <v>198</v>
      </c>
      <c r="AL100" s="165" t="s">
        <v>199</v>
      </c>
      <c r="AM100" s="274" t="s">
        <v>200</v>
      </c>
    </row>
    <row r="101" spans="1:39" ht="15" customHeight="1" x14ac:dyDescent="0.3">
      <c r="A101" s="40" t="s">
        <v>135</v>
      </c>
      <c r="B101" s="51" t="s">
        <v>363</v>
      </c>
      <c r="C101" s="51" t="s">
        <v>364</v>
      </c>
      <c r="D101" s="3" t="str">
        <f t="shared" si="2"/>
        <v>Yes</v>
      </c>
      <c r="E101" s="325"/>
      <c r="F101" s="350">
        <v>66637.78</v>
      </c>
      <c r="G101" s="262">
        <f>105/66638*F101</f>
        <v>104.9996533509409</v>
      </c>
      <c r="H101" s="322"/>
      <c r="I101" s="323">
        <f>((F101*S101*P101)*T101*O101*(1-N101))+((F101*S101)+(F101*S101*P101))*Q101*T101*R101</f>
        <v>168.10686105488</v>
      </c>
      <c r="J101" s="286">
        <f>24/66638*F101</f>
        <v>23.99992076592935</v>
      </c>
      <c r="K101" s="328">
        <v>130</v>
      </c>
      <c r="L101" s="259">
        <v>199.91329999999999</v>
      </c>
      <c r="M101" s="314">
        <v>2.38</v>
      </c>
      <c r="N101" s="375">
        <v>7.0000000000000001E-3</v>
      </c>
      <c r="O101" s="335">
        <v>1.9E-2</v>
      </c>
      <c r="P101" s="335">
        <v>0.4</v>
      </c>
      <c r="Q101" s="336">
        <v>0.2</v>
      </c>
      <c r="R101" s="335">
        <v>1.4E-2</v>
      </c>
      <c r="S101" s="264">
        <v>0.22</v>
      </c>
      <c r="T101" s="265">
        <v>1</v>
      </c>
      <c r="U101" s="151">
        <v>4.9926191507892996E-13</v>
      </c>
      <c r="V101" s="337">
        <v>7.6196994155457501E-13</v>
      </c>
      <c r="W101" s="339">
        <v>6.9410319174027301E-14</v>
      </c>
      <c r="X101" s="339">
        <v>7.1402612381482693E-15</v>
      </c>
      <c r="Y101" s="392">
        <v>1.53428969970343E-12</v>
      </c>
      <c r="Z101" s="385">
        <v>29.89</v>
      </c>
      <c r="AA101" s="227" t="s">
        <v>331</v>
      </c>
      <c r="AB101" s="165" t="s">
        <v>215</v>
      </c>
      <c r="AC101" s="165"/>
      <c r="AD101" s="165" t="s">
        <v>193</v>
      </c>
      <c r="AE101" s="165" t="s">
        <v>215</v>
      </c>
      <c r="AF101" s="165" t="s">
        <v>216</v>
      </c>
      <c r="AG101" s="305" t="s">
        <v>195</v>
      </c>
      <c r="AH101" s="208" t="s">
        <v>196</v>
      </c>
      <c r="AI101" s="173" t="s">
        <v>365</v>
      </c>
      <c r="AJ101" s="212" t="s">
        <v>218</v>
      </c>
      <c r="AK101" s="165" t="s">
        <v>198</v>
      </c>
      <c r="AL101" s="165" t="s">
        <v>199</v>
      </c>
      <c r="AM101" s="274" t="s">
        <v>200</v>
      </c>
    </row>
    <row r="102" spans="1:39" ht="15" hidden="1" customHeight="1" x14ac:dyDescent="0.3">
      <c r="A102" s="40" t="s">
        <v>136</v>
      </c>
      <c r="B102" s="51" t="s">
        <v>366</v>
      </c>
      <c r="C102" s="51" t="s">
        <v>364</v>
      </c>
      <c r="D102" s="3" t="str">
        <f t="shared" ref="D102:D118" si="3">IF(F102&gt;0,"Yes","No")</f>
        <v>No</v>
      </c>
      <c r="E102" s="325"/>
      <c r="F102" s="350"/>
      <c r="G102" s="147"/>
      <c r="H102" s="325"/>
      <c r="J102" s="146"/>
      <c r="K102" s="154"/>
      <c r="L102" s="364"/>
      <c r="M102" s="154"/>
      <c r="N102" s="161"/>
      <c r="O102" s="325"/>
      <c r="P102" s="325"/>
      <c r="Q102" s="325"/>
      <c r="R102" s="325"/>
      <c r="S102" s="325"/>
      <c r="T102" s="146"/>
      <c r="U102" s="147"/>
      <c r="V102" s="320"/>
      <c r="W102" s="320"/>
      <c r="X102" s="320"/>
      <c r="Y102" s="162"/>
      <c r="Z102" s="325"/>
      <c r="AA102" s="1"/>
      <c r="AG102" s="258"/>
      <c r="AH102" s="4"/>
      <c r="AI102" s="4"/>
      <c r="AJ102" s="4"/>
      <c r="AM102" s="275"/>
    </row>
    <row r="103" spans="1:39" ht="15" hidden="1" customHeight="1" x14ac:dyDescent="0.3">
      <c r="A103" s="40" t="s">
        <v>137</v>
      </c>
      <c r="B103" s="51" t="s">
        <v>367</v>
      </c>
      <c r="C103" s="51" t="s">
        <v>317</v>
      </c>
      <c r="D103" s="3" t="str">
        <f t="shared" si="3"/>
        <v>No</v>
      </c>
      <c r="E103" s="325"/>
      <c r="F103" s="350"/>
      <c r="G103" s="147"/>
      <c r="H103" s="325"/>
      <c r="J103" s="146"/>
      <c r="K103" s="154"/>
      <c r="L103" s="364"/>
      <c r="M103" s="154"/>
      <c r="N103" s="161"/>
      <c r="O103" s="325"/>
      <c r="P103" s="325"/>
      <c r="Q103" s="325"/>
      <c r="R103" s="325"/>
      <c r="S103" s="325"/>
      <c r="T103" s="146"/>
      <c r="U103" s="147"/>
      <c r="V103" s="320"/>
      <c r="W103" s="320"/>
      <c r="X103" s="320"/>
      <c r="Y103" s="162"/>
      <c r="Z103" s="325"/>
      <c r="AA103" s="1"/>
      <c r="AG103" s="258"/>
      <c r="AH103" s="4"/>
      <c r="AI103" s="4"/>
      <c r="AJ103" s="4"/>
      <c r="AM103" s="275"/>
    </row>
    <row r="104" spans="1:39" ht="15" hidden="1" customHeight="1" x14ac:dyDescent="0.3">
      <c r="A104" s="40" t="s">
        <v>138</v>
      </c>
      <c r="B104" s="3" t="s">
        <v>368</v>
      </c>
      <c r="C104" s="3" t="s">
        <v>271</v>
      </c>
      <c r="D104" s="3" t="str">
        <f t="shared" si="3"/>
        <v>No</v>
      </c>
      <c r="E104" s="325"/>
      <c r="F104" s="350"/>
      <c r="G104" s="147"/>
      <c r="H104" s="325"/>
      <c r="J104" s="146"/>
      <c r="K104" s="154"/>
      <c r="L104" s="364"/>
      <c r="M104" s="154"/>
      <c r="N104" s="161"/>
      <c r="O104" s="325"/>
      <c r="P104" s="325"/>
      <c r="Q104" s="325"/>
      <c r="R104" s="325"/>
      <c r="S104" s="325"/>
      <c r="T104" s="146"/>
      <c r="U104" s="147"/>
      <c r="V104" s="320"/>
      <c r="W104" s="320"/>
      <c r="X104" s="320"/>
      <c r="Y104" s="162"/>
      <c r="Z104" s="325"/>
      <c r="AA104" s="1"/>
      <c r="AG104" s="258"/>
      <c r="AH104" s="4"/>
      <c r="AI104" s="4"/>
      <c r="AJ104" s="4"/>
      <c r="AM104" s="275"/>
    </row>
    <row r="105" spans="1:39" ht="15" hidden="1" customHeight="1" x14ac:dyDescent="0.3">
      <c r="A105" s="40" t="s">
        <v>139</v>
      </c>
      <c r="B105" s="51" t="s">
        <v>369</v>
      </c>
      <c r="C105" s="51" t="s">
        <v>190</v>
      </c>
      <c r="D105" s="3" t="str">
        <f t="shared" si="3"/>
        <v>No</v>
      </c>
      <c r="E105" s="325"/>
      <c r="F105" s="350"/>
      <c r="G105" s="147"/>
      <c r="H105" s="325"/>
      <c r="J105" s="146"/>
      <c r="K105" s="154"/>
      <c r="L105" s="364"/>
      <c r="M105" s="154"/>
      <c r="N105" s="161"/>
      <c r="O105" s="325"/>
      <c r="P105" s="325"/>
      <c r="Q105" s="325"/>
      <c r="R105" s="325"/>
      <c r="S105" s="325"/>
      <c r="T105" s="146"/>
      <c r="U105" s="147"/>
      <c r="V105" s="320"/>
      <c r="W105" s="320"/>
      <c r="X105" s="320"/>
      <c r="Y105" s="162"/>
      <c r="Z105" s="325"/>
      <c r="AA105" s="1"/>
      <c r="AG105" s="258"/>
      <c r="AH105" s="4"/>
      <c r="AI105" s="4"/>
      <c r="AJ105" s="4"/>
      <c r="AL105" s="165" t="s">
        <v>263</v>
      </c>
      <c r="AM105" s="275"/>
    </row>
    <row r="106" spans="1:39" ht="15" customHeight="1" x14ac:dyDescent="0.3">
      <c r="A106" s="40" t="s">
        <v>140</v>
      </c>
      <c r="B106" s="51" t="s">
        <v>370</v>
      </c>
      <c r="C106" s="51" t="s">
        <v>188</v>
      </c>
      <c r="D106" s="3" t="str">
        <f t="shared" si="3"/>
        <v>Yes</v>
      </c>
      <c r="E106" s="325">
        <v>100</v>
      </c>
      <c r="F106" s="478">
        <f>(INDEX(Crop_data,MATCH("01234_gh",Crop_data_codes,0),5)*INDEX(Crop_data,MATCH("01234_gh",Crop_data_codes,0),6)+INDEX(Crop_data,MATCH("01234_of",Crop_data_codes,0),5)*INDEX(Crop_data,MATCH("01234_of",Crop_data_codes,0),6))/100</f>
        <v>438197</v>
      </c>
      <c r="G106" s="261">
        <f>(INDEX(Crop_data,MATCH("01234_gh",Crop_data_codes,0),5)*INDEX(Crop_data,MATCH("01234_gh",Crop_data_codes,0),7)+INDEX(Crop_data,MATCH("01234_of",Crop_data_codes,0),5)*INDEX(Crop_data,MATCH("01234_of",Crop_data_codes,0),7))/100</f>
        <v>1181</v>
      </c>
      <c r="H106" s="479">
        <f>(INDEX(Crop_data,MATCH("01234_gh",Crop_data_codes,0),5)*INDEX(Crop_data,MATCH("01234_gh",Crop_data_codes,0),8)+INDEX(Crop_data,MATCH("01234_of",Crop_data_codes,0),5)*INDEX(Crop_data,MATCH("01234_of",Crop_data_codes,0),8))/100</f>
        <v>0</v>
      </c>
      <c r="I106" s="479">
        <f>(INDEX(Crop_data,MATCH("01234_gh",Crop_data_codes,0),5)*INDEX(Crop_data,MATCH("01234_gh",Crop_data_codes,0),9)+INDEX(Crop_data,MATCH("01234_of",Crop_data_codes,0),5)*INDEX(Crop_data,MATCH("01234_of",Crop_data_codes,0),9))/100</f>
        <v>0</v>
      </c>
      <c r="J106" s="287">
        <f>(INDEX(Crop_data,MATCH("01234_gh",Crop_data_codes,0),5)*INDEX(Crop_data,MATCH("01234_gh",Crop_data_codes,0),10)+INDEX(Crop_data,MATCH("01234_of",Crop_data_codes,0),5)*INDEX(Crop_data,MATCH("01234_of",Crop_data_codes,0),10))/100</f>
        <v>326.53131785066398</v>
      </c>
      <c r="K106" s="479">
        <f>(INDEX(Crop_data,MATCH("01234_gh",Crop_data_codes,0),5)*INDEX(Crop_data,MATCH("01234_gh",Crop_data_codes,0),11)+INDEX(Crop_data,MATCH("01234_of",Crop_data_codes,0),5)*INDEX(Crop_data,MATCH("01234_of",Crop_data_codes,0),11))/100</f>
        <v>0</v>
      </c>
      <c r="L106" s="478">
        <f>(INDEX(Crop_data,MATCH("01234_gh",Crop_data_codes,0),5)*INDEX(Crop_data,MATCH("01234_gh",Crop_data_codes,0),12)+INDEX(Crop_data,MATCH("01234_of",Crop_data_codes,0),5)*INDEX(Crop_data,MATCH("01234_of",Crop_data_codes,0),12))/100</f>
        <v>1752.7879999999998</v>
      </c>
      <c r="M106" s="478">
        <f>(INDEX(Crop_data,MATCH("01234_gh",Crop_data_codes,0),5)*INDEX(Crop_data,MATCH("01234_gh",Crop_data_codes,0),13)+INDEX(Crop_data,MATCH("01234_of",Crop_data_codes,0),5)*INDEX(Crop_data,MATCH("01234_of",Crop_data_codes,0),13))/100</f>
        <v>1.65</v>
      </c>
      <c r="N106" s="480">
        <f>(INDEX(Crop_data,MATCH("01234_gh",Crop_data_codes,0),5)*INDEX(Crop_data,MATCH("01234_gh",Crop_data_codes,0),14)+INDEX(Crop_data,MATCH("01234_of",Crop_data_codes,0),5)*INDEX(Crop_data,MATCH("01234_of",Crop_data_codes,0),14))/100</f>
        <v>0.14299999999999999</v>
      </c>
      <c r="O106" s="381">
        <f>(INDEX(Crop_data,MATCH("01234_gh",Crop_data_codes,0),5)*INDEX(Crop_data,MATCH("01234_gh",Crop_data_codes,0),15)+INDEX(Crop_data,MATCH("01234_of",Crop_data_codes,0),5)*INDEX(Crop_data,MATCH("01234_of",Crop_data_codes,0),15))/100</f>
        <v>8.0000000000000002E-3</v>
      </c>
      <c r="P106" s="381">
        <f>(INDEX(Crop_data,MATCH("01234_gh",Crop_data_codes,0),5)*INDEX(Crop_data,MATCH("01234_gh",Crop_data_codes,0),16)+INDEX(Crop_data,MATCH("01234_of",Crop_data_codes,0),5)*INDEX(Crop_data,MATCH("01234_of",Crop_data_codes,0),16))/100</f>
        <v>1</v>
      </c>
      <c r="Q106" s="381">
        <f>(INDEX(Crop_data,MATCH("01234_gh",Crop_data_codes,0),5)*INDEX(Crop_data,MATCH("01234_gh",Crop_data_codes,0),17)+INDEX(Crop_data,MATCH("01234_of",Crop_data_codes,0),5)*INDEX(Crop_data,MATCH("01234_of",Crop_data_codes,0),17))/100</f>
        <v>0.22</v>
      </c>
      <c r="R106" s="381">
        <f>(INDEX(Crop_data,MATCH("01234_gh",Crop_data_codes,0),5)*INDEX(Crop_data,MATCH("01234_gh",Crop_data_codes,0),18)+INDEX(Crop_data,MATCH("01234_of",Crop_data_codes,0),5)*INDEX(Crop_data,MATCH("01234_of",Crop_data_codes,0),18))/100</f>
        <v>8.9999999999999993E-3</v>
      </c>
      <c r="S106" s="381">
        <f>(INDEX(Crop_data,MATCH("01234_gh",Crop_data_codes,0),5)*INDEX(Crop_data,MATCH("01234_gh",Crop_data_codes,0),19)+INDEX(Crop_data,MATCH("01234_of",Crop_data_codes,0),5)*INDEX(Crop_data,MATCH("01234_of",Crop_data_codes,0),19))/100</f>
        <v>0.85</v>
      </c>
      <c r="T106" s="381">
        <f>(INDEX(Crop_data,MATCH("01234_gh",Crop_data_codes,0),5)*INDEX(Crop_data,MATCH("01234_gh",Crop_data_codes,0),20)+INDEX(Crop_data,MATCH("01234_of",Crop_data_codes,0),5)*INDEX(Crop_data,MATCH("01234_of",Crop_data_codes,0),20))/100</f>
        <v>1</v>
      </c>
      <c r="U106" s="481">
        <f>(INDEX(Crop_data,MATCH("01234_gh",Crop_data_codes,0),5)*INDEX(Crop_data,MATCH("01234_gh",Crop_data_codes,0),21)+INDEX(Crop_data,MATCH("01234_of",Crop_data_codes,0),5)*INDEX(Crop_data,MATCH("01234_of",Crop_data_codes,0),21))/100</f>
        <v>5.7261451231474699E-13</v>
      </c>
      <c r="V106" s="482">
        <f>(INDEX(Crop_data,MATCH("01234_gh",Crop_data_codes,0),5)*INDEX(Crop_data,MATCH("01234_gh",Crop_data_codes,0),22)+INDEX(Crop_data,MATCH("01234_of",Crop_data_codes,0),5)*INDEX(Crop_data,MATCH("01234_of",Crop_data_codes,0),22))/100</f>
        <v>1.00174875834222E-12</v>
      </c>
      <c r="W106" s="482">
        <f>(INDEX(Crop_data,MATCH("01234_gh",Crop_data_codes,0),5)*INDEX(Crop_data,MATCH("01234_gh",Crop_data_codes,0),23)+INDEX(Crop_data,MATCH("01234_of",Crop_data_codes,0),5)*INDEX(Crop_data,MATCH("01234_of",Crop_data_codes,0),23))/100</f>
        <v>7.9352232617360196E-14</v>
      </c>
      <c r="X106" s="482">
        <f>(INDEX(Crop_data,MATCH("01234_gh",Crop_data_codes,0),5)*INDEX(Crop_data,MATCH("01234_gh",Crop_data_codes,0),24)+INDEX(Crop_data,MATCH("01234_of",Crop_data_codes,0),5)*INDEX(Crop_data,MATCH("01234_of",Crop_data_codes,0),24))/100</f>
        <v>8.6561287519836293E-15</v>
      </c>
      <c r="Y106" s="484">
        <f>(INDEX(Crop_data,MATCH("01234_gh",Crop_data_codes,0),5)*INDEX(Crop_data,MATCH("01234_gh",Crop_data_codes,0),25)+INDEX(Crop_data,MATCH("01234_of",Crop_data_codes,0),5)*INDEX(Crop_data,MATCH("01234_of",Crop_data_codes,0),25))/100</f>
        <v>1.86001726554748E-12</v>
      </c>
      <c r="Z106" s="483">
        <f>(INDEX(Crop_data,MATCH("01234_gh",Crop_data_codes,0),5)*INDEX(Crop_data,MATCH("01234_gh",Crop_data_codes,0),26)+INDEX(Crop_data,MATCH("01234_of",Crop_data_codes,0),5)*INDEX(Crop_data,MATCH("01234_of",Crop_data_codes,0),26))/100</f>
        <v>807.53</v>
      </c>
      <c r="AA106" s="227" t="s">
        <v>331</v>
      </c>
      <c r="AB106" s="165"/>
      <c r="AC106" s="165"/>
      <c r="AD106" s="165" t="s">
        <v>193</v>
      </c>
      <c r="AE106" s="165"/>
      <c r="AF106" s="165"/>
      <c r="AG106" s="305" t="s">
        <v>195</v>
      </c>
      <c r="AH106" s="173"/>
      <c r="AI106" s="173"/>
      <c r="AJ106" s="173"/>
      <c r="AK106" s="165"/>
      <c r="AL106" s="165"/>
      <c r="AM106" s="229" t="s">
        <v>259</v>
      </c>
    </row>
    <row r="107" spans="1:39" ht="15" customHeight="1" x14ac:dyDescent="0.3">
      <c r="A107" s="40" t="s">
        <v>141</v>
      </c>
      <c r="B107" s="51" t="s">
        <v>371</v>
      </c>
      <c r="C107" s="51" t="s">
        <v>188</v>
      </c>
      <c r="D107" s="3" t="str">
        <f t="shared" si="3"/>
        <v>Yes</v>
      </c>
      <c r="E107" s="325">
        <v>100</v>
      </c>
      <c r="F107" s="350">
        <v>438197</v>
      </c>
      <c r="G107" s="284">
        <f>1181/438197*F107</f>
        <v>1181</v>
      </c>
      <c r="H107" s="322"/>
      <c r="I107" s="323"/>
      <c r="J107" s="282">
        <f>326.531317850664/438197*F107</f>
        <v>326.53131785066398</v>
      </c>
      <c r="K107" s="328">
        <v>0</v>
      </c>
      <c r="L107" s="259">
        <v>1752.788</v>
      </c>
      <c r="M107" s="314">
        <v>1.65</v>
      </c>
      <c r="N107" s="372">
        <v>0.14299999999999999</v>
      </c>
      <c r="O107" s="373">
        <v>8.0000000000000002E-3</v>
      </c>
      <c r="P107" s="373">
        <v>1</v>
      </c>
      <c r="Q107" s="264">
        <v>0.22</v>
      </c>
      <c r="R107" s="373">
        <v>8.9999999999999993E-3</v>
      </c>
      <c r="S107" s="264">
        <v>0.85</v>
      </c>
      <c r="T107" s="265">
        <v>1</v>
      </c>
      <c r="U107" s="151">
        <v>5.7261451231474699E-13</v>
      </c>
      <c r="V107" s="337">
        <v>1.00174875834222E-12</v>
      </c>
      <c r="W107" s="339">
        <v>7.9352232617360196E-14</v>
      </c>
      <c r="X107" s="339">
        <v>8.6561287519836293E-15</v>
      </c>
      <c r="Y107" s="392">
        <v>1.86001726554748E-12</v>
      </c>
      <c r="Z107" s="385">
        <v>807.53</v>
      </c>
      <c r="AA107" s="227" t="s">
        <v>234</v>
      </c>
      <c r="AB107" s="213" t="s">
        <v>372</v>
      </c>
      <c r="AC107" s="165"/>
      <c r="AD107" s="165" t="s">
        <v>193</v>
      </c>
      <c r="AE107" s="213" t="s">
        <v>372</v>
      </c>
      <c r="AF107" s="165"/>
      <c r="AG107" s="305" t="s">
        <v>195</v>
      </c>
      <c r="AH107" s="208" t="s">
        <v>207</v>
      </c>
      <c r="AI107" s="173"/>
      <c r="AJ107" s="209" t="s">
        <v>197</v>
      </c>
      <c r="AK107" s="165" t="s">
        <v>198</v>
      </c>
      <c r="AM107" s="229" t="s">
        <v>259</v>
      </c>
    </row>
    <row r="108" spans="1:39" ht="15" hidden="1" customHeight="1" x14ac:dyDescent="0.3">
      <c r="A108" s="40" t="s">
        <v>142</v>
      </c>
      <c r="B108" s="51" t="s">
        <v>373</v>
      </c>
      <c r="C108" s="51" t="s">
        <v>188</v>
      </c>
      <c r="D108" s="3" t="str">
        <f t="shared" si="3"/>
        <v>No</v>
      </c>
      <c r="E108" s="325">
        <v>0</v>
      </c>
      <c r="F108" s="350"/>
      <c r="G108" s="361"/>
      <c r="H108" s="322"/>
      <c r="I108" s="323"/>
      <c r="J108" s="142"/>
      <c r="K108" s="157"/>
      <c r="L108" s="364"/>
      <c r="M108" s="314"/>
      <c r="N108" s="382"/>
      <c r="O108" s="341"/>
      <c r="P108" s="341"/>
      <c r="Q108" s="139"/>
      <c r="R108" s="341"/>
      <c r="S108" s="139"/>
      <c r="T108" s="148"/>
      <c r="U108" s="151"/>
      <c r="V108" s="337"/>
      <c r="W108" s="339"/>
      <c r="X108" s="339"/>
      <c r="Y108" s="392"/>
      <c r="Z108" s="320"/>
      <c r="AA108" s="1"/>
      <c r="AG108" s="258"/>
      <c r="AH108" s="21"/>
      <c r="AI108" s="4"/>
      <c r="AJ108" s="342"/>
      <c r="AM108" s="280"/>
    </row>
    <row r="109" spans="1:39" ht="15" customHeight="1" x14ac:dyDescent="0.3">
      <c r="A109" s="40" t="s">
        <v>143</v>
      </c>
      <c r="B109" s="51" t="s">
        <v>374</v>
      </c>
      <c r="C109" s="51" t="s">
        <v>213</v>
      </c>
      <c r="D109" s="3" t="str">
        <f t="shared" si="3"/>
        <v>Yes</v>
      </c>
      <c r="E109" s="325"/>
      <c r="F109" s="350">
        <v>5451.6</v>
      </c>
      <c r="G109" s="262">
        <f>106/5452*F109</f>
        <v>105.99222303741747</v>
      </c>
      <c r="H109" s="322"/>
      <c r="I109" s="323">
        <f>((F109*S109*P109)*T109*O109*(1-N109))+((F109*S109)+(F109*S109*P109))*Q109*T109*R109</f>
        <v>50.119829760000002</v>
      </c>
      <c r="J109" s="286">
        <f>41/5452*F109</f>
        <v>40.99699192956713</v>
      </c>
      <c r="K109" s="328">
        <v>66.7</v>
      </c>
      <c r="L109" s="259">
        <v>10.9032</v>
      </c>
      <c r="M109" s="314">
        <v>0.61</v>
      </c>
      <c r="N109" s="375">
        <v>0.14299999999999999</v>
      </c>
      <c r="O109" s="373">
        <v>8.0000000000000002E-3</v>
      </c>
      <c r="P109" s="373">
        <v>1</v>
      </c>
      <c r="Q109" s="264">
        <v>0.22</v>
      </c>
      <c r="R109" s="373">
        <v>8.9999999999999993E-3</v>
      </c>
      <c r="S109" s="264">
        <v>0.85</v>
      </c>
      <c r="T109" s="265">
        <v>1</v>
      </c>
      <c r="U109" s="151">
        <v>4.9926191507892996E-13</v>
      </c>
      <c r="V109" s="337">
        <v>7.6196994155457501E-13</v>
      </c>
      <c r="W109" s="339">
        <v>6.9410319174027301E-14</v>
      </c>
      <c r="X109" s="339">
        <v>7.1402612381482693E-15</v>
      </c>
      <c r="Y109" s="392">
        <v>1.53428969970343E-12</v>
      </c>
      <c r="Z109" s="385">
        <v>16</v>
      </c>
      <c r="AA109" s="227" t="s">
        <v>331</v>
      </c>
      <c r="AB109" s="165" t="s">
        <v>215</v>
      </c>
      <c r="AC109" s="165"/>
      <c r="AD109" s="165" t="s">
        <v>193</v>
      </c>
      <c r="AE109" s="165" t="s">
        <v>215</v>
      </c>
      <c r="AF109" s="165" t="s">
        <v>216</v>
      </c>
      <c r="AG109" s="305" t="s">
        <v>375</v>
      </c>
      <c r="AH109" s="208" t="s">
        <v>196</v>
      </c>
      <c r="AI109" s="173" t="s">
        <v>376</v>
      </c>
      <c r="AJ109" s="209" t="s">
        <v>197</v>
      </c>
      <c r="AK109" s="165" t="s">
        <v>198</v>
      </c>
      <c r="AL109" s="165" t="s">
        <v>199</v>
      </c>
      <c r="AM109" s="274" t="s">
        <v>200</v>
      </c>
    </row>
    <row r="110" spans="1:39" ht="15" hidden="1" customHeight="1" x14ac:dyDescent="0.3">
      <c r="A110" s="40" t="s">
        <v>144</v>
      </c>
      <c r="B110" s="51" t="s">
        <v>377</v>
      </c>
      <c r="C110" s="51" t="s">
        <v>343</v>
      </c>
      <c r="D110" s="3" t="str">
        <f t="shared" si="3"/>
        <v>No</v>
      </c>
      <c r="E110" s="325"/>
      <c r="F110" s="350"/>
      <c r="G110" s="147"/>
      <c r="H110" s="325"/>
      <c r="J110" s="146"/>
      <c r="K110" s="154"/>
      <c r="L110" s="364"/>
      <c r="M110" s="154"/>
      <c r="N110" s="161"/>
      <c r="O110" s="325"/>
      <c r="P110" s="325"/>
      <c r="Q110" s="325"/>
      <c r="R110" s="325"/>
      <c r="S110" s="325"/>
      <c r="T110" s="146"/>
      <c r="U110" s="147"/>
      <c r="V110" s="320"/>
      <c r="W110" s="320"/>
      <c r="X110" s="320"/>
      <c r="Y110" s="162"/>
      <c r="Z110" s="325"/>
      <c r="AA110" s="1"/>
      <c r="AG110" s="258"/>
      <c r="AH110" s="4"/>
      <c r="AI110" s="4"/>
      <c r="AJ110" s="4"/>
      <c r="AM110" s="275"/>
    </row>
    <row r="111" spans="1:39" ht="15" hidden="1" customHeight="1" x14ac:dyDescent="0.3">
      <c r="A111" s="40" t="s">
        <v>145</v>
      </c>
      <c r="B111" s="51" t="s">
        <v>378</v>
      </c>
      <c r="C111" s="51" t="s">
        <v>343</v>
      </c>
      <c r="D111" s="3" t="str">
        <f t="shared" si="3"/>
        <v>No</v>
      </c>
      <c r="E111" s="325"/>
      <c r="F111" s="350"/>
      <c r="G111" s="147"/>
      <c r="H111" s="325"/>
      <c r="J111" s="146"/>
      <c r="K111" s="154"/>
      <c r="L111" s="364"/>
      <c r="M111" s="154"/>
      <c r="N111" s="161"/>
      <c r="O111" s="325"/>
      <c r="P111" s="325"/>
      <c r="Q111" s="325"/>
      <c r="R111" s="325"/>
      <c r="S111" s="325"/>
      <c r="T111" s="146"/>
      <c r="U111" s="147"/>
      <c r="V111" s="320"/>
      <c r="W111" s="320"/>
      <c r="X111" s="320"/>
      <c r="Y111" s="162"/>
      <c r="Z111" s="325"/>
      <c r="AA111" s="1"/>
      <c r="AG111" s="258"/>
      <c r="AH111" s="4"/>
      <c r="AI111" s="4"/>
      <c r="AJ111" s="4"/>
      <c r="AM111" s="275"/>
    </row>
    <row r="112" spans="1:39" ht="15" hidden="1" customHeight="1" x14ac:dyDescent="0.3">
      <c r="A112" s="40" t="s">
        <v>146</v>
      </c>
      <c r="B112" s="51" t="s">
        <v>379</v>
      </c>
      <c r="C112" s="51" t="s">
        <v>186</v>
      </c>
      <c r="D112" s="3" t="str">
        <f t="shared" si="3"/>
        <v>No</v>
      </c>
      <c r="E112" s="325"/>
      <c r="F112" s="350"/>
      <c r="G112" s="147"/>
      <c r="H112" s="325"/>
      <c r="J112" s="146"/>
      <c r="K112" s="154"/>
      <c r="L112" s="364"/>
      <c r="M112" s="154"/>
      <c r="N112" s="161"/>
      <c r="O112" s="325"/>
      <c r="P112" s="325"/>
      <c r="Q112" s="325"/>
      <c r="R112" s="325"/>
      <c r="S112" s="325"/>
      <c r="T112" s="146"/>
      <c r="U112" s="147"/>
      <c r="V112" s="320"/>
      <c r="W112" s="320"/>
      <c r="X112" s="320"/>
      <c r="Y112" s="162"/>
      <c r="Z112" s="325"/>
      <c r="AA112" s="1"/>
      <c r="AG112" s="258"/>
      <c r="AH112" s="4"/>
      <c r="AI112" s="4"/>
      <c r="AJ112" s="4"/>
      <c r="AM112" s="275"/>
    </row>
    <row r="113" spans="1:39" ht="15" hidden="1" customHeight="1" x14ac:dyDescent="0.3">
      <c r="A113" s="40" t="s">
        <v>147</v>
      </c>
      <c r="B113" s="51" t="s">
        <v>380</v>
      </c>
      <c r="C113" s="51" t="s">
        <v>190</v>
      </c>
      <c r="D113" s="3" t="str">
        <f t="shared" si="3"/>
        <v>No</v>
      </c>
      <c r="E113" s="325"/>
      <c r="F113" s="350"/>
      <c r="G113" s="147"/>
      <c r="H113" s="325"/>
      <c r="J113" s="146"/>
      <c r="K113" s="154"/>
      <c r="L113" s="364"/>
      <c r="M113" s="154"/>
      <c r="N113" s="161"/>
      <c r="O113" s="325"/>
      <c r="P113" s="325"/>
      <c r="Q113" s="325"/>
      <c r="R113" s="325"/>
      <c r="S113" s="325"/>
      <c r="T113" s="146"/>
      <c r="U113" s="147"/>
      <c r="V113" s="320"/>
      <c r="W113" s="320"/>
      <c r="X113" s="320"/>
      <c r="Y113" s="162"/>
      <c r="Z113" s="325"/>
      <c r="AA113" s="1"/>
      <c r="AG113" s="258"/>
      <c r="AH113" s="4"/>
      <c r="AI113" s="4"/>
      <c r="AJ113" s="4"/>
      <c r="AM113" s="275"/>
    </row>
    <row r="114" spans="1:39" ht="15" hidden="1" customHeight="1" x14ac:dyDescent="0.3">
      <c r="A114" s="40" t="s">
        <v>148</v>
      </c>
      <c r="B114" s="51" t="s">
        <v>381</v>
      </c>
      <c r="C114" s="51" t="s">
        <v>190</v>
      </c>
      <c r="D114" s="3" t="str">
        <f t="shared" si="3"/>
        <v>No</v>
      </c>
      <c r="E114" s="325"/>
      <c r="F114" s="350"/>
      <c r="G114" s="147"/>
      <c r="H114" s="325"/>
      <c r="J114" s="146"/>
      <c r="K114" s="154"/>
      <c r="L114" s="364"/>
      <c r="M114" s="154"/>
      <c r="N114" s="161"/>
      <c r="O114" s="325"/>
      <c r="P114" s="325"/>
      <c r="Q114" s="325"/>
      <c r="R114" s="325"/>
      <c r="S114" s="325"/>
      <c r="T114" s="146"/>
      <c r="U114" s="147"/>
      <c r="V114" s="320"/>
      <c r="W114" s="320"/>
      <c r="X114" s="320"/>
      <c r="Y114" s="162"/>
      <c r="Z114" s="325"/>
      <c r="AA114" s="1"/>
      <c r="AG114" s="258"/>
      <c r="AH114" s="4"/>
      <c r="AI114" s="4"/>
      <c r="AJ114" s="4"/>
      <c r="AM114" s="275"/>
    </row>
    <row r="115" spans="1:39" ht="15" hidden="1" customHeight="1" x14ac:dyDescent="0.3">
      <c r="A115" s="40" t="s">
        <v>149</v>
      </c>
      <c r="B115" s="51" t="s">
        <v>382</v>
      </c>
      <c r="C115" s="51" t="s">
        <v>190</v>
      </c>
      <c r="D115" s="3" t="str">
        <f t="shared" si="3"/>
        <v>No</v>
      </c>
      <c r="E115" s="325"/>
      <c r="F115" s="350"/>
      <c r="G115" s="147"/>
      <c r="H115" s="325"/>
      <c r="J115" s="146"/>
      <c r="K115" s="154"/>
      <c r="L115" s="364"/>
      <c r="M115" s="154"/>
      <c r="N115" s="161"/>
      <c r="O115" s="325"/>
      <c r="P115" s="325"/>
      <c r="Q115" s="325"/>
      <c r="R115" s="325"/>
      <c r="S115" s="325"/>
      <c r="T115" s="146"/>
      <c r="U115" s="147"/>
      <c r="V115" s="320"/>
      <c r="W115" s="320"/>
      <c r="X115" s="320"/>
      <c r="Y115" s="162"/>
      <c r="Z115" s="325"/>
      <c r="AA115" s="1"/>
      <c r="AG115" s="258"/>
      <c r="AH115" s="4"/>
      <c r="AI115" s="4"/>
      <c r="AJ115" s="4"/>
      <c r="AM115" s="275"/>
    </row>
    <row r="116" spans="1:39" ht="15" customHeight="1" x14ac:dyDescent="0.3">
      <c r="A116" s="40" t="s">
        <v>150</v>
      </c>
      <c r="B116" s="51" t="s">
        <v>383</v>
      </c>
      <c r="C116" s="51" t="s">
        <v>211</v>
      </c>
      <c r="D116" s="3" t="str">
        <f t="shared" si="3"/>
        <v>Yes</v>
      </c>
      <c r="E116" s="325"/>
      <c r="F116" s="350">
        <v>6509</v>
      </c>
      <c r="G116" s="284">
        <f>153/6509*F116</f>
        <v>153</v>
      </c>
      <c r="H116" s="325"/>
      <c r="I116">
        <v>68</v>
      </c>
      <c r="J116" s="360">
        <f>14/6509*F116</f>
        <v>14</v>
      </c>
      <c r="K116" s="329">
        <v>71</v>
      </c>
      <c r="L116" s="259">
        <v>13.018000000000001</v>
      </c>
      <c r="M116" s="259">
        <v>0.74</v>
      </c>
      <c r="N116" s="263">
        <v>0.11799999999999999</v>
      </c>
      <c r="O116" s="327">
        <v>6.0000000000000001E-3</v>
      </c>
      <c r="P116" s="381">
        <v>1.3</v>
      </c>
      <c r="Q116" s="383">
        <v>0.24</v>
      </c>
      <c r="R116" s="327">
        <v>8.9999999999999993E-3</v>
      </c>
      <c r="S116" s="327">
        <v>0.89</v>
      </c>
      <c r="T116" s="268">
        <v>1</v>
      </c>
      <c r="U116" s="151">
        <v>4.9926191507892996E-13</v>
      </c>
      <c r="V116" s="337">
        <v>7.6196994155457501E-13</v>
      </c>
      <c r="W116" s="339">
        <v>6.9410319174027301E-14</v>
      </c>
      <c r="X116" s="339">
        <v>7.1402612381482693E-15</v>
      </c>
      <c r="Y116" s="392">
        <v>1.53428969970343E-12</v>
      </c>
      <c r="Z116" s="385">
        <v>15.53</v>
      </c>
      <c r="AA116" s="227" t="s">
        <v>331</v>
      </c>
      <c r="AB116" s="165"/>
      <c r="AC116" s="165"/>
      <c r="AD116" s="165" t="s">
        <v>193</v>
      </c>
      <c r="AE116" s="165"/>
      <c r="AF116" s="165"/>
      <c r="AG116" s="305" t="s">
        <v>195</v>
      </c>
      <c r="AH116" s="173"/>
      <c r="AI116" s="173"/>
      <c r="AJ116" s="173"/>
      <c r="AK116" s="165"/>
      <c r="AL116" s="165"/>
      <c r="AM116" s="274" t="s">
        <v>200</v>
      </c>
    </row>
    <row r="117" spans="1:39" ht="15" customHeight="1" x14ac:dyDescent="0.3">
      <c r="A117" s="40" t="s">
        <v>151</v>
      </c>
      <c r="B117" s="51" t="s">
        <v>384</v>
      </c>
      <c r="C117" s="51" t="s">
        <v>213</v>
      </c>
      <c r="D117" s="3" t="str">
        <f t="shared" si="3"/>
        <v>Yes</v>
      </c>
      <c r="E117" s="325">
        <v>10</v>
      </c>
      <c r="F117" s="350">
        <v>4020</v>
      </c>
      <c r="G117" s="284">
        <f>99/4020*F117</f>
        <v>99</v>
      </c>
      <c r="H117" s="322"/>
      <c r="I117" s="323">
        <f>((F117*S117*P117)*T117*O117*(1-N117))+((F117*S117)+(F117*S117*P117))*Q117*T117*R117</f>
        <v>45.853084800000005</v>
      </c>
      <c r="J117" s="324">
        <f>15/4020*F117</f>
        <v>15</v>
      </c>
      <c r="K117" s="328">
        <v>71.900000000000006</v>
      </c>
      <c r="L117" s="259">
        <v>8.0399999999999991</v>
      </c>
      <c r="M117" s="314">
        <v>0.42</v>
      </c>
      <c r="N117" s="375">
        <v>0.1</v>
      </c>
      <c r="O117" s="335">
        <v>6.0000000000000001E-3</v>
      </c>
      <c r="P117" s="335">
        <v>1.3</v>
      </c>
      <c r="Q117" s="336">
        <v>0.28000000000000003</v>
      </c>
      <c r="R117" s="335">
        <v>8.9999999999999993E-3</v>
      </c>
      <c r="S117" s="336">
        <v>0.89</v>
      </c>
      <c r="T117" s="265">
        <v>1</v>
      </c>
      <c r="U117" s="151">
        <v>4.9926191507892996E-13</v>
      </c>
      <c r="V117" s="337">
        <v>7.6196994155457501E-13</v>
      </c>
      <c r="W117" s="339">
        <v>6.9410319174027301E-14</v>
      </c>
      <c r="X117" s="339">
        <v>7.1402612381482693E-15</v>
      </c>
      <c r="Y117" s="395">
        <v>1.53428969970343E-12</v>
      </c>
      <c r="Z117" s="385">
        <v>15.53</v>
      </c>
      <c r="AA117" s="227" t="s">
        <v>214</v>
      </c>
      <c r="AB117" s="165" t="s">
        <v>215</v>
      </c>
      <c r="AC117" s="165"/>
      <c r="AD117" s="165" t="s">
        <v>193</v>
      </c>
      <c r="AE117" s="165" t="s">
        <v>215</v>
      </c>
      <c r="AF117" s="207" t="s">
        <v>216</v>
      </c>
      <c r="AG117" s="305" t="s">
        <v>195</v>
      </c>
      <c r="AH117" s="208" t="s">
        <v>196</v>
      </c>
      <c r="AI117" s="173" t="s">
        <v>217</v>
      </c>
      <c r="AJ117" s="212" t="s">
        <v>218</v>
      </c>
      <c r="AK117" s="165" t="s">
        <v>198</v>
      </c>
      <c r="AL117" s="165" t="s">
        <v>199</v>
      </c>
      <c r="AM117" s="274" t="s">
        <v>200</v>
      </c>
    </row>
    <row r="118" spans="1:39" ht="15" customHeight="1" x14ac:dyDescent="0.3">
      <c r="A118" s="42" t="s">
        <v>152</v>
      </c>
      <c r="B118" s="32" t="s">
        <v>385</v>
      </c>
      <c r="C118" s="32" t="s">
        <v>213</v>
      </c>
      <c r="D118" s="46" t="str">
        <f t="shared" si="3"/>
        <v>Yes</v>
      </c>
      <c r="E118" s="346">
        <v>90</v>
      </c>
      <c r="F118" s="353">
        <v>6786</v>
      </c>
      <c r="G118" s="290">
        <f>159/6786*F118</f>
        <v>159</v>
      </c>
      <c r="H118" s="291"/>
      <c r="I118" s="292">
        <f>((F118*S118*P118)*T118*O118*(1-N118))+((F118*S118)+(F118*S118*P118))*Q118*T118*R118</f>
        <v>70.209652500000004</v>
      </c>
      <c r="J118" s="293">
        <f>14/6786*F118</f>
        <v>14</v>
      </c>
      <c r="K118" s="362">
        <v>71.3</v>
      </c>
      <c r="L118" s="365">
        <v>13.571999999999999</v>
      </c>
      <c r="M118" s="319">
        <v>0.77</v>
      </c>
      <c r="N118" s="384">
        <v>0.12</v>
      </c>
      <c r="O118" s="269">
        <v>6.0000000000000001E-3</v>
      </c>
      <c r="P118" s="269">
        <v>1.3</v>
      </c>
      <c r="Q118" s="270">
        <v>0.23</v>
      </c>
      <c r="R118" s="269">
        <v>8.9999999999999993E-3</v>
      </c>
      <c r="S118" s="270">
        <v>0.89</v>
      </c>
      <c r="T118" s="271">
        <v>1</v>
      </c>
      <c r="U118" s="396">
        <v>4.9926191507892996E-13</v>
      </c>
      <c r="V118" s="397">
        <v>7.6196994155457501E-13</v>
      </c>
      <c r="W118" s="398">
        <v>6.9410319174027301E-14</v>
      </c>
      <c r="X118" s="398">
        <v>7.1402612381482693E-15</v>
      </c>
      <c r="Y118" s="399">
        <v>1.53428969970343E-12</v>
      </c>
      <c r="Z118" s="390">
        <v>15.53</v>
      </c>
      <c r="AA118" s="231" t="s">
        <v>214</v>
      </c>
      <c r="AB118" s="232" t="s">
        <v>215</v>
      </c>
      <c r="AC118" s="232"/>
      <c r="AD118" s="232" t="s">
        <v>193</v>
      </c>
      <c r="AE118" s="232" t="s">
        <v>215</v>
      </c>
      <c r="AF118" s="233" t="s">
        <v>216</v>
      </c>
      <c r="AG118" s="306" t="s">
        <v>195</v>
      </c>
      <c r="AH118" s="234" t="s">
        <v>196</v>
      </c>
      <c r="AI118" s="235" t="s">
        <v>217</v>
      </c>
      <c r="AJ118" s="236" t="s">
        <v>218</v>
      </c>
      <c r="AK118" s="165" t="s">
        <v>198</v>
      </c>
      <c r="AL118" s="232" t="s">
        <v>199</v>
      </c>
      <c r="AM118" s="281" t="s">
        <v>200</v>
      </c>
    </row>
    <row r="119" spans="1:39" x14ac:dyDescent="0.3">
      <c r="AA119" s="165"/>
      <c r="AB119" s="165"/>
      <c r="AC119" s="165"/>
      <c r="AD119" s="165"/>
      <c r="AE119" s="165"/>
      <c r="AF119" s="165"/>
      <c r="AG119" s="165"/>
      <c r="AH119" s="173"/>
      <c r="AI119" s="173"/>
      <c r="AJ119" s="173"/>
      <c r="AK119" s="165"/>
      <c r="AL119" s="165"/>
      <c r="AM119" s="165"/>
    </row>
    <row r="120" spans="1:39" x14ac:dyDescent="0.3">
      <c r="V120" s="125"/>
      <c r="AA120" s="165"/>
      <c r="AB120" s="165"/>
      <c r="AC120" s="165"/>
      <c r="AD120" s="165"/>
      <c r="AE120" s="165"/>
      <c r="AF120" s="165"/>
      <c r="AG120" s="165"/>
      <c r="AH120" s="173"/>
      <c r="AI120" s="173"/>
      <c r="AJ120" s="173"/>
      <c r="AK120" s="165"/>
      <c r="AL120" s="165"/>
      <c r="AM120" s="165"/>
    </row>
    <row r="121" spans="1:39" x14ac:dyDescent="0.3">
      <c r="AA121" s="165"/>
      <c r="AB121" s="165"/>
      <c r="AC121" s="165"/>
      <c r="AD121" s="165"/>
      <c r="AE121" s="165"/>
      <c r="AF121" s="165"/>
      <c r="AG121" s="165"/>
      <c r="AH121" s="173"/>
      <c r="AI121" s="173"/>
      <c r="AJ121" s="173"/>
      <c r="AK121" s="165"/>
      <c r="AL121" s="165"/>
      <c r="AM121" s="165"/>
    </row>
    <row r="122" spans="1:39" x14ac:dyDescent="0.3">
      <c r="AA122" s="165"/>
      <c r="AB122" s="165"/>
      <c r="AC122" s="165"/>
      <c r="AD122" s="165"/>
      <c r="AE122" s="165"/>
      <c r="AF122" s="165"/>
      <c r="AG122" s="165"/>
      <c r="AH122" s="173"/>
      <c r="AI122" s="173"/>
      <c r="AJ122" s="173"/>
      <c r="AK122" s="165"/>
      <c r="AL122" s="165"/>
      <c r="AM122" s="165"/>
    </row>
    <row r="123" spans="1:39" x14ac:dyDescent="0.3">
      <c r="AA123" s="165"/>
      <c r="AB123" s="165"/>
      <c r="AC123" s="165"/>
      <c r="AD123" s="165"/>
      <c r="AE123" s="165"/>
      <c r="AF123" s="165"/>
      <c r="AG123" s="165"/>
      <c r="AH123" s="173"/>
      <c r="AI123" s="173"/>
      <c r="AJ123" s="173"/>
      <c r="AK123" s="165"/>
      <c r="AL123" s="165"/>
      <c r="AM123" s="165"/>
    </row>
    <row r="124" spans="1:39" x14ac:dyDescent="0.3">
      <c r="AA124" s="165"/>
      <c r="AB124" s="165"/>
      <c r="AC124" s="165"/>
      <c r="AD124" s="165"/>
      <c r="AE124" s="165"/>
      <c r="AF124" s="165"/>
      <c r="AG124" s="165"/>
      <c r="AH124" s="173"/>
      <c r="AI124" s="173"/>
      <c r="AJ124" s="173"/>
      <c r="AK124" s="165"/>
      <c r="AL124" s="165"/>
      <c r="AM124" s="165"/>
    </row>
    <row r="125" spans="1:39" x14ac:dyDescent="0.3">
      <c r="AA125" s="165"/>
      <c r="AB125" s="165"/>
      <c r="AC125" s="165"/>
      <c r="AD125" s="165"/>
      <c r="AE125" s="165"/>
      <c r="AF125" s="165"/>
      <c r="AG125" s="165"/>
      <c r="AH125" s="173"/>
      <c r="AI125" s="173"/>
      <c r="AJ125" s="173"/>
      <c r="AK125" s="165"/>
      <c r="AL125" s="165"/>
      <c r="AM125" s="165"/>
    </row>
    <row r="126" spans="1:39" x14ac:dyDescent="0.3">
      <c r="AA126" s="165"/>
      <c r="AB126" s="165"/>
      <c r="AC126" s="165"/>
      <c r="AD126" s="165"/>
      <c r="AE126" s="165"/>
      <c r="AF126" s="165"/>
      <c r="AG126" s="165"/>
      <c r="AH126" s="173"/>
      <c r="AI126" s="173"/>
      <c r="AJ126" s="173"/>
      <c r="AK126" s="165"/>
      <c r="AL126" s="165"/>
      <c r="AM126" s="165"/>
    </row>
    <row r="127" spans="1:39" x14ac:dyDescent="0.3">
      <c r="AA127" s="165"/>
      <c r="AB127" s="165"/>
      <c r="AC127" s="165"/>
      <c r="AD127" s="165"/>
      <c r="AE127" s="165"/>
      <c r="AF127" s="165"/>
      <c r="AG127" s="165"/>
      <c r="AH127" s="173"/>
      <c r="AI127" s="173"/>
      <c r="AJ127" s="173"/>
      <c r="AK127" s="165"/>
      <c r="AL127" s="165"/>
      <c r="AM127" s="165"/>
    </row>
    <row r="128" spans="1:39" x14ac:dyDescent="0.3">
      <c r="L128" s="38"/>
      <c r="AA128" s="165"/>
      <c r="AB128" s="165"/>
      <c r="AC128" s="165"/>
      <c r="AD128" s="165"/>
      <c r="AE128" s="165"/>
      <c r="AF128" s="165"/>
      <c r="AG128" s="165"/>
      <c r="AH128" s="173"/>
      <c r="AI128" s="173"/>
      <c r="AJ128" s="173"/>
      <c r="AK128" s="165"/>
      <c r="AL128" s="165"/>
      <c r="AM128" s="165"/>
    </row>
    <row r="129" spans="12:36" x14ac:dyDescent="0.3">
      <c r="L129" s="38"/>
      <c r="AG129" s="165"/>
      <c r="AH129" s="4"/>
      <c r="AI129" s="4"/>
      <c r="AJ129" s="4"/>
    </row>
    <row r="130" spans="12:36" x14ac:dyDescent="0.3">
      <c r="L130" s="38"/>
      <c r="AG130" s="165"/>
      <c r="AH130" s="4"/>
      <c r="AI130" s="4"/>
      <c r="AJ130" s="4"/>
    </row>
    <row r="131" spans="12:36" x14ac:dyDescent="0.3">
      <c r="AG131" s="165"/>
      <c r="AH131" s="4"/>
      <c r="AI131" s="4"/>
      <c r="AJ131" s="4"/>
    </row>
    <row r="132" spans="12:36" x14ac:dyDescent="0.3">
      <c r="AG132" s="165"/>
      <c r="AH132" s="4"/>
      <c r="AI132" s="4"/>
      <c r="AJ132" s="4"/>
    </row>
    <row r="133" spans="12:36" x14ac:dyDescent="0.3">
      <c r="AG133" s="165"/>
      <c r="AH133" s="4"/>
      <c r="AI133" s="4"/>
      <c r="AJ133" s="4"/>
    </row>
    <row r="134" spans="12:36" x14ac:dyDescent="0.3">
      <c r="AG134" s="165"/>
      <c r="AH134" s="4"/>
      <c r="AI134" s="4"/>
      <c r="AJ134" s="4"/>
    </row>
    <row r="135" spans="12:36" x14ac:dyDescent="0.3">
      <c r="AG135" s="165"/>
      <c r="AH135" s="4"/>
      <c r="AI135" s="4"/>
      <c r="AJ135" s="4"/>
    </row>
    <row r="136" spans="12:36" x14ac:dyDescent="0.3">
      <c r="AG136" s="165"/>
      <c r="AH136" s="4"/>
      <c r="AI136" s="4"/>
      <c r="AJ136" s="4"/>
    </row>
    <row r="137" spans="12:36" x14ac:dyDescent="0.3">
      <c r="AG137" s="165"/>
      <c r="AH137" s="4"/>
      <c r="AI137" s="4"/>
      <c r="AJ137" s="4"/>
    </row>
    <row r="138" spans="12:36" x14ac:dyDescent="0.3">
      <c r="AG138" s="165"/>
      <c r="AH138" s="4"/>
      <c r="AI138" s="4"/>
      <c r="AJ138" s="4"/>
    </row>
    <row r="139" spans="12:36" x14ac:dyDescent="0.3">
      <c r="AG139" s="165"/>
      <c r="AH139" s="4"/>
      <c r="AI139" s="4"/>
      <c r="AJ139" s="4"/>
    </row>
    <row r="140" spans="12:36" x14ac:dyDescent="0.3">
      <c r="AG140" s="165"/>
      <c r="AH140" s="4"/>
      <c r="AI140" s="4"/>
      <c r="AJ140" s="4"/>
    </row>
    <row r="141" spans="12:36" x14ac:dyDescent="0.3">
      <c r="AG141" s="165"/>
      <c r="AH141" s="4"/>
      <c r="AI141" s="4"/>
      <c r="AJ141" s="4"/>
    </row>
    <row r="142" spans="12:36" x14ac:dyDescent="0.3">
      <c r="AG142" s="165"/>
      <c r="AH142" s="4"/>
      <c r="AI142" s="4"/>
      <c r="AJ142" s="4"/>
    </row>
    <row r="143" spans="12:36" x14ac:dyDescent="0.3">
      <c r="AG143" s="165"/>
      <c r="AH143" s="4"/>
      <c r="AI143" s="4"/>
      <c r="AJ143" s="4"/>
    </row>
    <row r="144" spans="12:36" x14ac:dyDescent="0.3">
      <c r="AG144" s="165"/>
      <c r="AH144" s="4"/>
      <c r="AI144" s="4"/>
      <c r="AJ144" s="4"/>
    </row>
    <row r="145" spans="33:36" x14ac:dyDescent="0.3">
      <c r="AG145" s="165"/>
      <c r="AH145" s="4"/>
      <c r="AI145" s="4"/>
      <c r="AJ145" s="4"/>
    </row>
    <row r="146" spans="33:36" x14ac:dyDescent="0.3">
      <c r="AG146" s="165"/>
      <c r="AH146" s="4"/>
      <c r="AI146" s="4"/>
      <c r="AJ146" s="4"/>
    </row>
    <row r="147" spans="33:36" x14ac:dyDescent="0.3">
      <c r="AG147" s="165"/>
      <c r="AH147" s="4"/>
      <c r="AI147" s="4"/>
      <c r="AJ147" s="4"/>
    </row>
    <row r="148" spans="33:36" x14ac:dyDescent="0.3">
      <c r="AG148" s="165"/>
      <c r="AH148" s="4"/>
      <c r="AI148" s="4"/>
      <c r="AJ148" s="4"/>
    </row>
    <row r="149" spans="33:36" x14ac:dyDescent="0.3">
      <c r="AG149" s="165"/>
      <c r="AH149" s="4"/>
      <c r="AI149" s="4"/>
      <c r="AJ149" s="4"/>
    </row>
    <row r="150" spans="33:36" x14ac:dyDescent="0.3">
      <c r="AG150" s="165"/>
      <c r="AH150" s="4"/>
      <c r="AI150" s="4"/>
      <c r="AJ150" s="4"/>
    </row>
    <row r="151" spans="33:36" x14ac:dyDescent="0.3">
      <c r="AG151" s="165"/>
      <c r="AH151" s="4"/>
      <c r="AI151" s="4"/>
      <c r="AJ151" s="4"/>
    </row>
    <row r="152" spans="33:36" x14ac:dyDescent="0.3">
      <c r="AG152" s="165"/>
      <c r="AH152" s="4"/>
      <c r="AI152" s="4"/>
      <c r="AJ152" s="4"/>
    </row>
    <row r="153" spans="33:36" x14ac:dyDescent="0.3">
      <c r="AG153" s="165"/>
      <c r="AH153" s="4"/>
      <c r="AI153" s="4"/>
      <c r="AJ153" s="4"/>
    </row>
    <row r="154" spans="33:36" x14ac:dyDescent="0.3">
      <c r="AG154" s="165"/>
      <c r="AH154" s="4"/>
      <c r="AI154" s="4"/>
      <c r="AJ154" s="4"/>
    </row>
    <row r="155" spans="33:36" x14ac:dyDescent="0.3">
      <c r="AG155" s="165"/>
      <c r="AH155" s="4"/>
      <c r="AI155" s="4"/>
      <c r="AJ155" s="4"/>
    </row>
    <row r="156" spans="33:36" x14ac:dyDescent="0.3">
      <c r="AG156" s="165"/>
      <c r="AH156" s="4"/>
      <c r="AI156" s="4"/>
      <c r="AJ156" s="4"/>
    </row>
    <row r="157" spans="33:36" x14ac:dyDescent="0.3">
      <c r="AG157" s="165"/>
      <c r="AH157" s="4"/>
      <c r="AI157" s="4"/>
      <c r="AJ157" s="4"/>
    </row>
    <row r="158" spans="33:36" x14ac:dyDescent="0.3">
      <c r="AG158" s="165"/>
      <c r="AH158" s="4"/>
      <c r="AI158" s="4"/>
      <c r="AJ158" s="4"/>
    </row>
    <row r="159" spans="33:36" x14ac:dyDescent="0.3">
      <c r="AG159" s="165"/>
      <c r="AH159" s="4"/>
      <c r="AI159" s="4"/>
      <c r="AJ159" s="4"/>
    </row>
    <row r="160" spans="33:36" x14ac:dyDescent="0.3">
      <c r="AG160" s="165"/>
      <c r="AH160" s="4"/>
      <c r="AI160" s="4"/>
      <c r="AJ160" s="4"/>
    </row>
    <row r="161" spans="33:36" x14ac:dyDescent="0.3">
      <c r="AG161" s="165"/>
      <c r="AH161" s="4"/>
      <c r="AI161" s="4"/>
      <c r="AJ161" s="4"/>
    </row>
    <row r="162" spans="33:36" x14ac:dyDescent="0.3">
      <c r="AG162" s="165"/>
      <c r="AH162" s="4"/>
      <c r="AI162" s="4"/>
      <c r="AJ162" s="4"/>
    </row>
    <row r="163" spans="33:36" x14ac:dyDescent="0.3">
      <c r="AG163" s="165"/>
      <c r="AH163" s="4"/>
      <c r="AI163" s="4"/>
      <c r="AJ163" s="4"/>
    </row>
    <row r="164" spans="33:36" x14ac:dyDescent="0.3">
      <c r="AG164" s="165"/>
      <c r="AH164" s="4"/>
      <c r="AI164" s="4"/>
      <c r="AJ164" s="4"/>
    </row>
    <row r="165" spans="33:36" x14ac:dyDescent="0.3">
      <c r="AG165" s="165"/>
      <c r="AH165" s="4"/>
      <c r="AI165" s="4"/>
      <c r="AJ165" s="4"/>
    </row>
    <row r="166" spans="33:36" x14ac:dyDescent="0.3">
      <c r="AG166" s="165"/>
      <c r="AH166" s="4"/>
      <c r="AI166" s="4"/>
      <c r="AJ166" s="4"/>
    </row>
    <row r="167" spans="33:36" x14ac:dyDescent="0.3">
      <c r="AG167" s="165"/>
      <c r="AH167" s="4"/>
      <c r="AI167" s="4"/>
      <c r="AJ167" s="4"/>
    </row>
    <row r="168" spans="33:36" x14ac:dyDescent="0.3">
      <c r="AG168" s="165"/>
      <c r="AH168" s="4"/>
      <c r="AI168" s="4"/>
      <c r="AJ168" s="4"/>
    </row>
    <row r="169" spans="33:36" x14ac:dyDescent="0.3">
      <c r="AG169" s="165"/>
      <c r="AH169" s="4"/>
      <c r="AI169" s="4"/>
      <c r="AJ169" s="4"/>
    </row>
    <row r="170" spans="33:36" x14ac:dyDescent="0.3">
      <c r="AG170" s="165"/>
      <c r="AH170" s="4"/>
      <c r="AI170" s="4"/>
      <c r="AJ170" s="4"/>
    </row>
    <row r="171" spans="33:36" x14ac:dyDescent="0.3">
      <c r="AG171" s="165"/>
      <c r="AH171" s="4"/>
      <c r="AI171" s="4"/>
      <c r="AJ171" s="4"/>
    </row>
    <row r="172" spans="33:36" x14ac:dyDescent="0.3">
      <c r="AG172" s="165"/>
      <c r="AH172" s="4"/>
      <c r="AI172" s="4"/>
      <c r="AJ172" s="4"/>
    </row>
    <row r="173" spans="33:36" x14ac:dyDescent="0.3">
      <c r="AG173" s="165"/>
      <c r="AH173" s="4"/>
      <c r="AI173" s="4"/>
      <c r="AJ173" s="4"/>
    </row>
    <row r="174" spans="33:36" x14ac:dyDescent="0.3">
      <c r="AG174" s="165"/>
      <c r="AH174" s="4"/>
      <c r="AI174" s="4"/>
      <c r="AJ174" s="4"/>
    </row>
    <row r="175" spans="33:36" x14ac:dyDescent="0.3">
      <c r="AG175" s="165"/>
      <c r="AH175" s="4"/>
      <c r="AI175" s="4"/>
      <c r="AJ175" s="4"/>
    </row>
    <row r="176" spans="33:36" x14ac:dyDescent="0.3">
      <c r="AG176" s="165"/>
      <c r="AH176" s="4"/>
      <c r="AI176" s="4"/>
      <c r="AJ176" s="4"/>
    </row>
    <row r="177" spans="33:36" x14ac:dyDescent="0.3">
      <c r="AG177" s="165"/>
      <c r="AH177" s="4"/>
      <c r="AI177" s="4"/>
      <c r="AJ177" s="4"/>
    </row>
    <row r="178" spans="33:36" x14ac:dyDescent="0.3">
      <c r="AG178" s="165"/>
      <c r="AH178" s="4"/>
      <c r="AI178" s="4"/>
      <c r="AJ178" s="4"/>
    </row>
    <row r="179" spans="33:36" x14ac:dyDescent="0.3">
      <c r="AG179" s="165"/>
      <c r="AH179" s="4"/>
      <c r="AI179" s="4"/>
      <c r="AJ179" s="4"/>
    </row>
    <row r="180" spans="33:36" x14ac:dyDescent="0.3">
      <c r="AG180" s="165"/>
      <c r="AH180" s="4"/>
      <c r="AI180" s="4"/>
      <c r="AJ180" s="4"/>
    </row>
    <row r="181" spans="33:36" x14ac:dyDescent="0.3">
      <c r="AG181" s="165"/>
      <c r="AH181" s="4"/>
      <c r="AI181" s="4"/>
      <c r="AJ181" s="4"/>
    </row>
    <row r="182" spans="33:36" x14ac:dyDescent="0.3">
      <c r="AG182" s="165"/>
      <c r="AH182" s="4"/>
      <c r="AI182" s="4"/>
      <c r="AJ182" s="4"/>
    </row>
    <row r="183" spans="33:36" x14ac:dyDescent="0.3">
      <c r="AG183" s="165"/>
      <c r="AH183" s="4"/>
      <c r="AI183" s="4"/>
      <c r="AJ183" s="4"/>
    </row>
    <row r="184" spans="33:36" x14ac:dyDescent="0.3">
      <c r="AG184" s="165"/>
      <c r="AH184" s="4"/>
      <c r="AI184" s="4"/>
      <c r="AJ184" s="4"/>
    </row>
    <row r="185" spans="33:36" x14ac:dyDescent="0.3">
      <c r="AG185" s="165"/>
      <c r="AH185" s="4"/>
      <c r="AI185" s="4"/>
      <c r="AJ185" s="4"/>
    </row>
    <row r="186" spans="33:36" x14ac:dyDescent="0.3">
      <c r="AG186" s="165"/>
      <c r="AH186" s="4"/>
      <c r="AI186" s="4"/>
      <c r="AJ186" s="4"/>
    </row>
    <row r="187" spans="33:36" x14ac:dyDescent="0.3">
      <c r="AG187" s="165"/>
      <c r="AH187" s="4"/>
      <c r="AI187" s="4"/>
      <c r="AJ187" s="4"/>
    </row>
    <row r="188" spans="33:36" x14ac:dyDescent="0.3">
      <c r="AG188" s="165"/>
      <c r="AH188" s="4"/>
      <c r="AI188" s="4"/>
      <c r="AJ188" s="4"/>
    </row>
    <row r="189" spans="33:36" x14ac:dyDescent="0.3">
      <c r="AG189" s="165"/>
      <c r="AH189" s="4"/>
      <c r="AI189" s="4"/>
      <c r="AJ189" s="4"/>
    </row>
    <row r="190" spans="33:36" x14ac:dyDescent="0.3">
      <c r="AH190" s="4"/>
      <c r="AI190" s="4"/>
      <c r="AJ190" s="4"/>
    </row>
    <row r="191" spans="33:36" x14ac:dyDescent="0.3">
      <c r="AH191" s="4"/>
      <c r="AI191" s="4"/>
      <c r="AJ191" s="4"/>
    </row>
    <row r="192" spans="33:36" x14ac:dyDescent="0.3">
      <c r="AH192" s="4"/>
      <c r="AI192" s="4"/>
      <c r="AJ192" s="4"/>
    </row>
    <row r="193" spans="34:36" x14ac:dyDescent="0.3">
      <c r="AH193" s="4"/>
      <c r="AI193" s="4"/>
      <c r="AJ193" s="4"/>
    </row>
    <row r="194" spans="34:36" x14ac:dyDescent="0.3">
      <c r="AH194" s="4"/>
      <c r="AI194" s="4"/>
      <c r="AJ194" s="4"/>
    </row>
    <row r="195" spans="34:36" x14ac:dyDescent="0.3">
      <c r="AH195" s="4"/>
      <c r="AI195" s="4"/>
      <c r="AJ195" s="4"/>
    </row>
    <row r="196" spans="34:36" x14ac:dyDescent="0.3">
      <c r="AH196" s="4"/>
      <c r="AI196" s="4"/>
      <c r="AJ196" s="4"/>
    </row>
    <row r="197" spans="34:36" x14ac:dyDescent="0.3">
      <c r="AH197" s="4"/>
      <c r="AI197" s="4"/>
      <c r="AJ197" s="4"/>
    </row>
    <row r="198" spans="34:36" x14ac:dyDescent="0.3">
      <c r="AH198" s="4"/>
      <c r="AI198" s="4"/>
      <c r="AJ198" s="4"/>
    </row>
    <row r="199" spans="34:36" x14ac:dyDescent="0.3">
      <c r="AH199" s="4"/>
      <c r="AI199" s="4"/>
      <c r="AJ199" s="4"/>
    </row>
    <row r="200" spans="34:36" x14ac:dyDescent="0.3">
      <c r="AH200" s="4"/>
      <c r="AI200" s="4"/>
      <c r="AJ200" s="4"/>
    </row>
    <row r="201" spans="34:36" x14ac:dyDescent="0.3">
      <c r="AH201" s="4"/>
      <c r="AI201" s="4"/>
      <c r="AJ201" s="4"/>
    </row>
    <row r="202" spans="34:36" x14ac:dyDescent="0.3">
      <c r="AH202" s="4"/>
      <c r="AI202" s="4"/>
      <c r="AJ202" s="4"/>
    </row>
    <row r="203" spans="34:36" x14ac:dyDescent="0.3">
      <c r="AH203" s="4"/>
      <c r="AI203" s="4"/>
      <c r="AJ203" s="4"/>
    </row>
    <row r="204" spans="34:36" x14ac:dyDescent="0.3">
      <c r="AH204" s="4"/>
      <c r="AI204" s="4"/>
      <c r="AJ204" s="4"/>
    </row>
    <row r="205" spans="34:36" x14ac:dyDescent="0.3">
      <c r="AH205" s="4"/>
      <c r="AI205" s="4"/>
      <c r="AJ205" s="4"/>
    </row>
    <row r="206" spans="34:36" x14ac:dyDescent="0.3">
      <c r="AH206" s="4"/>
      <c r="AI206" s="4"/>
      <c r="AJ206" s="4"/>
    </row>
    <row r="207" spans="34:36" x14ac:dyDescent="0.3">
      <c r="AH207" s="4"/>
      <c r="AI207" s="4"/>
      <c r="AJ207" s="4"/>
    </row>
    <row r="208" spans="34:36" x14ac:dyDescent="0.3">
      <c r="AH208" s="4"/>
      <c r="AI208" s="4"/>
      <c r="AJ208" s="4"/>
    </row>
    <row r="209" spans="34:36" x14ac:dyDescent="0.3">
      <c r="AH209" s="4"/>
      <c r="AI209" s="4"/>
      <c r="AJ209" s="4"/>
    </row>
    <row r="210" spans="34:36" x14ac:dyDescent="0.3">
      <c r="AH210" s="4"/>
      <c r="AI210" s="4"/>
      <c r="AJ210" s="4"/>
    </row>
    <row r="211" spans="34:36" x14ac:dyDescent="0.3">
      <c r="AH211" s="4"/>
      <c r="AI211" s="4"/>
      <c r="AJ211" s="4"/>
    </row>
    <row r="212" spans="34:36" x14ac:dyDescent="0.3">
      <c r="AH212" s="4"/>
      <c r="AI212" s="4"/>
      <c r="AJ212" s="4"/>
    </row>
    <row r="213" spans="34:36" x14ac:dyDescent="0.3">
      <c r="AH213" s="4"/>
      <c r="AI213" s="4"/>
      <c r="AJ213" s="4"/>
    </row>
    <row r="214" spans="34:36" x14ac:dyDescent="0.3">
      <c r="AH214" s="4"/>
      <c r="AI214" s="4"/>
      <c r="AJ214" s="4"/>
    </row>
    <row r="215" spans="34:36" x14ac:dyDescent="0.3">
      <c r="AH215" s="4"/>
      <c r="AI215" s="4"/>
      <c r="AJ215" s="4"/>
    </row>
    <row r="216" spans="34:36" x14ac:dyDescent="0.3">
      <c r="AH216" s="4"/>
      <c r="AI216" s="4"/>
      <c r="AJ216" s="4"/>
    </row>
    <row r="217" spans="34:36" x14ac:dyDescent="0.3">
      <c r="AH217" s="4"/>
      <c r="AI217" s="4"/>
      <c r="AJ217" s="4"/>
    </row>
    <row r="218" spans="34:36" x14ac:dyDescent="0.3">
      <c r="AH218" s="4"/>
      <c r="AI218" s="4"/>
      <c r="AJ218" s="4"/>
    </row>
    <row r="219" spans="34:36" x14ac:dyDescent="0.3">
      <c r="AH219" s="4"/>
      <c r="AI219" s="4"/>
      <c r="AJ219" s="4"/>
    </row>
    <row r="220" spans="34:36" x14ac:dyDescent="0.3">
      <c r="AH220" s="4"/>
      <c r="AI220" s="4"/>
      <c r="AJ220" s="4"/>
    </row>
    <row r="221" spans="34:36" x14ac:dyDescent="0.3">
      <c r="AH221" s="4"/>
      <c r="AI221" s="4"/>
      <c r="AJ221" s="4"/>
    </row>
    <row r="222" spans="34:36" x14ac:dyDescent="0.3">
      <c r="AH222" s="4"/>
      <c r="AI222" s="4"/>
      <c r="AJ222" s="4"/>
    </row>
    <row r="223" spans="34:36" x14ac:dyDescent="0.3">
      <c r="AH223" s="4"/>
      <c r="AI223" s="4"/>
      <c r="AJ223" s="4"/>
    </row>
    <row r="224" spans="34:36" x14ac:dyDescent="0.3">
      <c r="AH224" s="4"/>
      <c r="AI224" s="4"/>
      <c r="AJ224" s="4"/>
    </row>
    <row r="225" spans="34:36" x14ac:dyDescent="0.3">
      <c r="AH225" s="4"/>
      <c r="AI225" s="4"/>
      <c r="AJ225" s="4"/>
    </row>
    <row r="226" spans="34:36" x14ac:dyDescent="0.3">
      <c r="AH226" s="4"/>
      <c r="AI226" s="4"/>
      <c r="AJ226" s="4"/>
    </row>
    <row r="227" spans="34:36" x14ac:dyDescent="0.3">
      <c r="AH227" s="4"/>
      <c r="AI227" s="4"/>
      <c r="AJ227" s="4"/>
    </row>
    <row r="228" spans="34:36" x14ac:dyDescent="0.3">
      <c r="AH228" s="4"/>
      <c r="AI228" s="4"/>
      <c r="AJ228" s="4"/>
    </row>
    <row r="229" spans="34:36" x14ac:dyDescent="0.3">
      <c r="AH229" s="4"/>
      <c r="AI229" s="4"/>
      <c r="AJ229" s="4"/>
    </row>
  </sheetData>
  <autoFilter ref="A5:AM118" xr:uid="{00000000-0009-0000-0000-000002000000}">
    <filterColumn colId="3">
      <filters>
        <filter val="Yes"/>
      </filters>
    </filterColumn>
    <sortState xmlns:xlrd2="http://schemas.microsoft.com/office/spreadsheetml/2017/richdata2" ref="A6:AM116">
      <sortCondition ref="B5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79998168889431442"/>
  </sheetPr>
  <dimension ref="A2:O118"/>
  <sheetViews>
    <sheetView zoomScale="90" zoomScaleNormal="90" workbookViewId="0">
      <selection activeCell="F8" sqref="F8"/>
    </sheetView>
  </sheetViews>
  <sheetFormatPr defaultColWidth="8.6640625" defaultRowHeight="14.4" x14ac:dyDescent="0.3"/>
  <cols>
    <col min="1" max="1" width="9.6640625" customWidth="1"/>
    <col min="2" max="2" width="29.44140625" customWidth="1"/>
    <col min="3" max="3" width="18.33203125" customWidth="1"/>
    <col min="4" max="4" width="10.33203125" customWidth="1"/>
    <col min="5" max="5" width="9.44140625" customWidth="1"/>
    <col min="6" max="6" width="12.6640625" customWidth="1"/>
    <col min="7" max="7" width="14.44140625" customWidth="1"/>
    <col min="8" max="9" width="12.6640625" customWidth="1"/>
    <col min="10" max="10" width="10.44140625" customWidth="1"/>
    <col min="11" max="11" width="12.44140625" customWidth="1"/>
    <col min="12" max="12" width="12.33203125" customWidth="1"/>
    <col min="13" max="13" width="12.44140625" customWidth="1"/>
    <col min="14" max="14" width="16.44140625" customWidth="1"/>
  </cols>
  <sheetData>
    <row r="2" spans="1:15" ht="21" x14ac:dyDescent="0.4">
      <c r="A2" s="39" t="s">
        <v>386</v>
      </c>
    </row>
    <row r="4" spans="1:15" x14ac:dyDescent="0.3">
      <c r="A4" s="244" t="s">
        <v>11</v>
      </c>
      <c r="B4" s="245"/>
      <c r="C4" s="245"/>
      <c r="D4" s="251"/>
      <c r="E4" s="246" t="s">
        <v>387</v>
      </c>
      <c r="F4" s="252" t="s">
        <v>388</v>
      </c>
      <c r="G4" s="248"/>
      <c r="H4" s="252" t="s">
        <v>389</v>
      </c>
      <c r="I4" s="249"/>
      <c r="J4" s="253" t="s">
        <v>390</v>
      </c>
      <c r="K4" s="250"/>
      <c r="L4" s="250"/>
      <c r="M4" s="249"/>
      <c r="N4" s="438" t="s">
        <v>391</v>
      </c>
    </row>
    <row r="5" spans="1:15" ht="43.2" x14ac:dyDescent="0.3">
      <c r="A5" s="239" t="s">
        <v>392</v>
      </c>
      <c r="B5" s="240" t="s">
        <v>11</v>
      </c>
      <c r="C5" s="240" t="s">
        <v>393</v>
      </c>
      <c r="D5" s="255" t="s">
        <v>394</v>
      </c>
      <c r="E5" s="241"/>
      <c r="F5" s="256" t="s">
        <v>395</v>
      </c>
      <c r="G5" s="243" t="s">
        <v>396</v>
      </c>
      <c r="H5" s="256" t="s">
        <v>397</v>
      </c>
      <c r="I5" s="243" t="s">
        <v>398</v>
      </c>
      <c r="J5" s="256" t="s">
        <v>399</v>
      </c>
      <c r="K5" s="242" t="s">
        <v>400</v>
      </c>
      <c r="L5" s="242" t="s">
        <v>401</v>
      </c>
      <c r="M5" s="243" t="s">
        <v>402</v>
      </c>
      <c r="N5" s="243" t="s">
        <v>403</v>
      </c>
    </row>
    <row r="6" spans="1:15" x14ac:dyDescent="0.3">
      <c r="A6" s="40" t="s">
        <v>40</v>
      </c>
      <c r="B6" s="3" t="str">
        <f>INDEX(Crop_data,MATCH(A6,Crop_data_codes,0),2)</f>
        <v>Almonds, in shell</v>
      </c>
      <c r="C6" s="3" t="str">
        <f t="shared" ref="C6:C37" si="0">INDEX(Crop_data,MATCH(A6,Crop_data_codes,0),3)</f>
        <v>Nuts</v>
      </c>
      <c r="D6" s="41" t="str">
        <f t="shared" ref="D6:D37" si="1">INDEX(Crop_data,MATCH(A6,Crop_data_codes,0),4)</f>
        <v>No</v>
      </c>
      <c r="E6" s="423" t="str">
        <f t="shared" ref="E6:E37" si="2">IF(D6="Yes", SUM(F6:N6),"")</f>
        <v/>
      </c>
      <c r="F6" s="407" t="str">
        <f t="shared" ref="F6:F37" si="3">IF(D6="YES",INDEX(CO2_data,MATCH(A6,CO2_codes,0),2)+INDEX(CH4_data,MATCH(A6,CH4_codes,0),2)*CF_fossil_CH4+INDEX(CH4_bio_data,MATCH(A6,CH4_bio_codes,0),2)*CF_biog_CH4+INDEX(N2O_data,MATCH(A6,N2O_codes,0),2)*CF_N2O,"")</f>
        <v/>
      </c>
      <c r="G6" s="419" t="str">
        <f t="shared" ref="G6:G37" si="4">IF(D6="YES",INDEX(CO2_data,MATCH(A6,CO2_codes,0),3)+INDEX(CH4_data,MATCH(A6,CH4_codes,0),3)*CF_fossil_CH4+INDEX(CH4_bio_data,MATCH(A6,CH4_bio_codes,0),3)*CF_biog_CH4+INDEX(N2O_data,MATCH(A6,N2O_codes,0),3)*CF_N2O,"")</f>
        <v/>
      </c>
      <c r="H6" s="407" t="str">
        <f t="shared" ref="H6:H37" si="5">IF(D6="YES",INDEX(CO2_data,MATCH(A6,CO2_codes,0),4)+INDEX(CH4_data,MATCH(A6,CH4_codes,0),4)*CF_fossil_CH4+INDEX(CH4_bio_data,MATCH(A6,CH4_bio_codes,0),4)*CF_biog_CH4+INDEX(N2O_data,MATCH(A6,N2O_codes,0),4)*CF_N2O,"")</f>
        <v/>
      </c>
      <c r="I6" s="419" t="str">
        <f t="shared" ref="I6:I37" si="6">IF(D6="YES",INDEX(CO2_data,MATCH(A6,CO2_codes,0),5)+INDEX(CH4_data,MATCH(A6,CH4_codes,0),5)*CF_fossil_CH4+INDEX(CH4_bio_data,MATCH(A6,CH4_bio_codes,0),5)*CF_biog_CH4+INDEX(N2O_data,MATCH(A6,N2O_codes,0),5)*CF_N2O,"")</f>
        <v/>
      </c>
      <c r="J6" s="407" t="str">
        <f t="shared" ref="J6:J37" si="7">IF(D6="YES",INDEX(CO2_data,MATCH(A6,CO2_codes,0),6)+INDEX(CH4_data,MATCH(A6,CH4_codes,0),6)*CF_fossil_CH4+INDEX(CH4_bio_data,MATCH(A6,CH4_bio_codes,0),6)*CF_biog_CH4+INDEX(N2O_data,MATCH(A6,N2O_codes,0),6)*CF_N2O,"")</f>
        <v/>
      </c>
      <c r="K6" s="54" t="str">
        <f t="shared" ref="K6:K37" si="8">IF(D6="YES",INDEX(CO2_data,MATCH(A6,CO2_codes,0),7)+INDEX(CH4_data,MATCH(A6,CH4_codes,0),7)*CF_fossil_CH4+INDEX(CH4_bio_data,MATCH(A6,CH4_bio_codes,0),7)*CF_biog_CH4+INDEX(N2O_data,MATCH(A6,N2O_codes,0),7)*CF_N2O,"")</f>
        <v/>
      </c>
      <c r="L6" s="54" t="str">
        <f t="shared" ref="L6:L37" si="9">IF(D6="YES",INDEX(CO2_data,MATCH(A6,CO2_codes,0),8)+INDEX(CH4_data,MATCH(A6,CH4_codes,0),8)*CF_fossil_CH4+INDEX(CH4_bio_data,MATCH(A6,CH4_bio_codes,0),8)*CF_biog_CH4+INDEX(N2O_data,MATCH(A6,N2O_codes,0),8)*CF_N2O,"")</f>
        <v/>
      </c>
      <c r="M6" s="419" t="str">
        <f t="shared" ref="M6:M37" si="10">IF(D6="YES",INDEX(CO2_data,MATCH(A6,CO2_codes,0),9)+INDEX(CH4_data,MATCH(A6,CH4_codes,0),9)*CF_fossil_CH4+INDEX(CH4_bio_data,MATCH(A6,CH4_bio_codes,0),9)*CF_biog_CH4+INDEX(N2O_data,MATCH(A6,N2O_codes,0),9)*CF_N2O,"")</f>
        <v/>
      </c>
      <c r="N6" s="419" t="str">
        <f t="shared" ref="N6:N37" si="11">IF(D6="YES",INDEX(CO2_data,MATCH(A6,CO2_codes,0),10)+INDEX(CH4_data,MATCH(A6,CH4_codes,0),10)*CF_fossil_CH4+INDEX(CH4_bio_data,MATCH(A6,CH4_bio_codes,0),10)*CF_biog_CH4+INDEX(N2O_data,MATCH(A6,N2O_codes,0),10)*CF_N2O,"")</f>
        <v/>
      </c>
    </row>
    <row r="7" spans="1:15" x14ac:dyDescent="0.3">
      <c r="A7" s="40" t="s">
        <v>41</v>
      </c>
      <c r="B7" s="3" t="str">
        <f t="shared" ref="B7:B37" si="12">INDEX(Crop_data,MATCH(A7,Crop_data_codes,0),2)</f>
        <v>Anise, badian, coriander, cumin, caraway, fennel and juniper berries, raw</v>
      </c>
      <c r="C7" s="3" t="str">
        <f t="shared" si="0"/>
        <v>Vegetables</v>
      </c>
      <c r="D7" s="41" t="str">
        <f t="shared" si="1"/>
        <v>No</v>
      </c>
      <c r="E7" s="423" t="str">
        <f t="shared" si="2"/>
        <v/>
      </c>
      <c r="F7" s="407" t="str">
        <f t="shared" si="3"/>
        <v/>
      </c>
      <c r="G7" s="419" t="str">
        <f t="shared" si="4"/>
        <v/>
      </c>
      <c r="H7" s="407" t="str">
        <f t="shared" si="5"/>
        <v/>
      </c>
      <c r="I7" s="419" t="str">
        <f t="shared" si="6"/>
        <v/>
      </c>
      <c r="J7" s="407" t="str">
        <f t="shared" si="7"/>
        <v/>
      </c>
      <c r="K7" s="54" t="str">
        <f t="shared" si="8"/>
        <v/>
      </c>
      <c r="L7" s="54" t="str">
        <f t="shared" si="9"/>
        <v/>
      </c>
      <c r="M7" s="419" t="str">
        <f t="shared" si="10"/>
        <v/>
      </c>
      <c r="N7" s="419" t="str">
        <f t="shared" si="11"/>
        <v/>
      </c>
    </row>
    <row r="8" spans="1:15" x14ac:dyDescent="0.3">
      <c r="A8" s="40" t="s">
        <v>42</v>
      </c>
      <c r="B8" s="3" t="str">
        <f t="shared" si="12"/>
        <v>Apples</v>
      </c>
      <c r="C8" s="3" t="str">
        <f t="shared" si="0"/>
        <v>Fruits</v>
      </c>
      <c r="D8" s="41" t="str">
        <f t="shared" si="1"/>
        <v>Yes</v>
      </c>
      <c r="E8" s="424">
        <f t="shared" si="2"/>
        <v>0.15649168322082296</v>
      </c>
      <c r="F8" s="407">
        <f t="shared" si="3"/>
        <v>1.0956800083407226E-2</v>
      </c>
      <c r="G8" s="419">
        <f t="shared" si="4"/>
        <v>3.01313E-2</v>
      </c>
      <c r="H8" s="407">
        <f t="shared" si="5"/>
        <v>3.854031751956867E-2</v>
      </c>
      <c r="I8" s="419">
        <f t="shared" si="6"/>
        <v>3.8540317519568669E-3</v>
      </c>
      <c r="J8" s="407">
        <f t="shared" si="7"/>
        <v>6.4871498470805783E-2</v>
      </c>
      <c r="K8" s="54">
        <f t="shared" si="8"/>
        <v>0</v>
      </c>
      <c r="L8" s="54">
        <f t="shared" si="9"/>
        <v>2.4171178121681074E-3</v>
      </c>
      <c r="M8" s="419">
        <f t="shared" si="10"/>
        <v>5.7206175829163184E-3</v>
      </c>
      <c r="N8" s="419">
        <f t="shared" si="11"/>
        <v>0</v>
      </c>
      <c r="O8" s="54"/>
    </row>
    <row r="9" spans="1:15" x14ac:dyDescent="0.3">
      <c r="A9" s="40" t="s">
        <v>43</v>
      </c>
      <c r="B9" s="3" t="str">
        <f t="shared" si="12"/>
        <v>Apricots</v>
      </c>
      <c r="C9" s="3" t="str">
        <f t="shared" si="0"/>
        <v>Fruits</v>
      </c>
      <c r="D9" s="41" t="str">
        <f t="shared" si="1"/>
        <v>No</v>
      </c>
      <c r="E9" s="424" t="str">
        <f t="shared" si="2"/>
        <v/>
      </c>
      <c r="F9" s="407" t="str">
        <f t="shared" si="3"/>
        <v/>
      </c>
      <c r="G9" s="419" t="str">
        <f t="shared" si="4"/>
        <v/>
      </c>
      <c r="H9" s="407" t="str">
        <f t="shared" si="5"/>
        <v/>
      </c>
      <c r="I9" s="419" t="str">
        <f t="shared" si="6"/>
        <v/>
      </c>
      <c r="J9" s="407" t="str">
        <f t="shared" si="7"/>
        <v/>
      </c>
      <c r="K9" s="54" t="str">
        <f t="shared" si="8"/>
        <v/>
      </c>
      <c r="L9" s="54" t="str">
        <f t="shared" si="9"/>
        <v/>
      </c>
      <c r="M9" s="419" t="str">
        <f t="shared" si="10"/>
        <v/>
      </c>
      <c r="N9" s="419" t="str">
        <f t="shared" si="11"/>
        <v/>
      </c>
      <c r="O9" s="54"/>
    </row>
    <row r="10" spans="1:15" x14ac:dyDescent="0.3">
      <c r="A10" s="40" t="s">
        <v>44</v>
      </c>
      <c r="B10" s="3" t="str">
        <f t="shared" si="12"/>
        <v>Artichokes</v>
      </c>
      <c r="C10" s="3" t="str">
        <f t="shared" si="0"/>
        <v>Vegetables</v>
      </c>
      <c r="D10" s="41" t="str">
        <f t="shared" si="1"/>
        <v>No</v>
      </c>
      <c r="E10" s="424" t="str">
        <f t="shared" si="2"/>
        <v/>
      </c>
      <c r="F10" s="407" t="str">
        <f t="shared" si="3"/>
        <v/>
      </c>
      <c r="G10" s="419" t="str">
        <f t="shared" si="4"/>
        <v/>
      </c>
      <c r="H10" s="407" t="str">
        <f t="shared" si="5"/>
        <v/>
      </c>
      <c r="I10" s="419" t="str">
        <f t="shared" si="6"/>
        <v/>
      </c>
      <c r="J10" s="407" t="str">
        <f t="shared" si="7"/>
        <v/>
      </c>
      <c r="K10" s="54" t="str">
        <f t="shared" si="8"/>
        <v/>
      </c>
      <c r="L10" s="54" t="str">
        <f t="shared" si="9"/>
        <v/>
      </c>
      <c r="M10" s="419" t="str">
        <f t="shared" si="10"/>
        <v/>
      </c>
      <c r="N10" s="419" t="str">
        <f t="shared" si="11"/>
        <v/>
      </c>
      <c r="O10" s="54"/>
    </row>
    <row r="11" spans="1:15" x14ac:dyDescent="0.3">
      <c r="A11" s="40" t="s">
        <v>45</v>
      </c>
      <c r="B11" s="3" t="str">
        <f t="shared" si="12"/>
        <v>Asparagus</v>
      </c>
      <c r="C11" s="3" t="str">
        <f t="shared" si="0"/>
        <v>Vegetables</v>
      </c>
      <c r="D11" s="41" t="str">
        <f t="shared" si="1"/>
        <v>Yes</v>
      </c>
      <c r="E11" s="424">
        <f t="shared" si="2"/>
        <v>0.44756951767978242</v>
      </c>
      <c r="F11" s="407">
        <f t="shared" si="3"/>
        <v>6.1064761093713997E-2</v>
      </c>
      <c r="G11" s="419">
        <f t="shared" si="4"/>
        <v>3.01313E-2</v>
      </c>
      <c r="H11" s="407">
        <f t="shared" si="5"/>
        <v>0.10657163846498272</v>
      </c>
      <c r="I11" s="419">
        <f t="shared" si="6"/>
        <v>1.0657163846498273E-2</v>
      </c>
      <c r="J11" s="407">
        <f t="shared" si="7"/>
        <v>0.23059017422251749</v>
      </c>
      <c r="K11" s="54">
        <f t="shared" si="8"/>
        <v>0</v>
      </c>
      <c r="L11" s="54">
        <f t="shared" si="9"/>
        <v>2.8338624691536521E-3</v>
      </c>
      <c r="M11" s="419">
        <f t="shared" si="10"/>
        <v>5.7206175829163184E-3</v>
      </c>
      <c r="N11" s="419">
        <f t="shared" si="11"/>
        <v>0</v>
      </c>
      <c r="O11" s="54"/>
    </row>
    <row r="12" spans="1:15" x14ac:dyDescent="0.3">
      <c r="A12" s="40" t="s">
        <v>46</v>
      </c>
      <c r="B12" s="3" t="str">
        <f t="shared" si="12"/>
        <v>Avocados</v>
      </c>
      <c r="C12" s="3" t="str">
        <f t="shared" si="0"/>
        <v>Vegetables</v>
      </c>
      <c r="D12" s="41" t="str">
        <f t="shared" si="1"/>
        <v>No</v>
      </c>
      <c r="E12" s="424" t="str">
        <f t="shared" si="2"/>
        <v/>
      </c>
      <c r="F12" s="407" t="str">
        <f t="shared" si="3"/>
        <v/>
      </c>
      <c r="G12" s="419" t="str">
        <f t="shared" si="4"/>
        <v/>
      </c>
      <c r="H12" s="407" t="str">
        <f t="shared" si="5"/>
        <v/>
      </c>
      <c r="I12" s="419" t="str">
        <f t="shared" si="6"/>
        <v/>
      </c>
      <c r="J12" s="407" t="str">
        <f t="shared" si="7"/>
        <v/>
      </c>
      <c r="K12" s="54" t="str">
        <f t="shared" si="8"/>
        <v/>
      </c>
      <c r="L12" s="54" t="str">
        <f t="shared" si="9"/>
        <v/>
      </c>
      <c r="M12" s="419" t="str">
        <f t="shared" si="10"/>
        <v/>
      </c>
      <c r="N12" s="419" t="str">
        <f t="shared" si="11"/>
        <v/>
      </c>
      <c r="O12" s="54"/>
    </row>
    <row r="13" spans="1:15" x14ac:dyDescent="0.3">
      <c r="A13" s="40" t="s">
        <v>47</v>
      </c>
      <c r="B13" s="3" t="str">
        <f t="shared" si="12"/>
        <v>Bananas</v>
      </c>
      <c r="C13" s="3" t="str">
        <f t="shared" si="0"/>
        <v>Fruits</v>
      </c>
      <c r="D13" s="41" t="str">
        <f t="shared" si="1"/>
        <v>No</v>
      </c>
      <c r="E13" s="424" t="str">
        <f t="shared" si="2"/>
        <v/>
      </c>
      <c r="F13" s="407" t="str">
        <f t="shared" si="3"/>
        <v/>
      </c>
      <c r="G13" s="419" t="str">
        <f t="shared" si="4"/>
        <v/>
      </c>
      <c r="H13" s="407" t="str">
        <f t="shared" si="5"/>
        <v/>
      </c>
      <c r="I13" s="419" t="str">
        <f t="shared" si="6"/>
        <v/>
      </c>
      <c r="J13" s="407" t="str">
        <f t="shared" si="7"/>
        <v/>
      </c>
      <c r="K13" s="54" t="str">
        <f t="shared" si="8"/>
        <v/>
      </c>
      <c r="L13" s="54" t="str">
        <f t="shared" si="9"/>
        <v/>
      </c>
      <c r="M13" s="419" t="str">
        <f t="shared" si="10"/>
        <v/>
      </c>
      <c r="N13" s="419" t="str">
        <f t="shared" si="11"/>
        <v/>
      </c>
      <c r="O13" s="54"/>
    </row>
    <row r="14" spans="1:15" x14ac:dyDescent="0.3">
      <c r="A14" s="40" t="s">
        <v>48</v>
      </c>
      <c r="B14" s="3" t="str">
        <f t="shared" si="12"/>
        <v>Barley, average</v>
      </c>
      <c r="C14" s="3" t="str">
        <f t="shared" si="0"/>
        <v>Cereals, incl feed</v>
      </c>
      <c r="D14" s="41" t="str">
        <f t="shared" si="1"/>
        <v>Yes</v>
      </c>
      <c r="E14" s="424">
        <f t="shared" si="2"/>
        <v>0.4016984089374841</v>
      </c>
      <c r="F14" s="407">
        <f t="shared" si="3"/>
        <v>0.10367125278765164</v>
      </c>
      <c r="G14" s="419">
        <f t="shared" si="4"/>
        <v>3.01313E-2</v>
      </c>
      <c r="H14" s="407">
        <f t="shared" si="5"/>
        <v>0.17332198952879582</v>
      </c>
      <c r="I14" s="419">
        <f t="shared" si="6"/>
        <v>1.7332198952879584E-2</v>
      </c>
      <c r="J14" s="407">
        <f t="shared" si="7"/>
        <v>4.1646703232111698E-2</v>
      </c>
      <c r="K14" s="54">
        <f t="shared" si="8"/>
        <v>0</v>
      </c>
      <c r="L14" s="54">
        <f t="shared" si="9"/>
        <v>0</v>
      </c>
      <c r="M14" s="419">
        <f t="shared" si="10"/>
        <v>3.5594964436045345E-2</v>
      </c>
      <c r="N14" s="419">
        <f t="shared" si="11"/>
        <v>0</v>
      </c>
      <c r="O14" s="54"/>
    </row>
    <row r="15" spans="1:15" x14ac:dyDescent="0.3">
      <c r="A15" s="40" t="s">
        <v>49</v>
      </c>
      <c r="B15" s="3" t="str">
        <f t="shared" si="12"/>
        <v>Barley, spring</v>
      </c>
      <c r="C15" s="3" t="str">
        <f t="shared" si="0"/>
        <v>Cereals</v>
      </c>
      <c r="D15" s="41" t="str">
        <f t="shared" si="1"/>
        <v>Yes</v>
      </c>
      <c r="E15" s="424">
        <f t="shared" si="2"/>
        <v>0.39997434227292594</v>
      </c>
      <c r="F15" s="407">
        <f t="shared" si="3"/>
        <v>0.10234064578744835</v>
      </c>
      <c r="G15" s="419">
        <f t="shared" si="4"/>
        <v>3.01313E-2</v>
      </c>
      <c r="H15" s="407">
        <f t="shared" si="5"/>
        <v>0.17178913738105261</v>
      </c>
      <c r="I15" s="419">
        <f t="shared" si="6"/>
        <v>1.7178913738105261E-2</v>
      </c>
      <c r="J15" s="407">
        <f t="shared" si="7"/>
        <v>4.2939380930274405E-2</v>
      </c>
      <c r="K15" s="54">
        <f t="shared" si="8"/>
        <v>0</v>
      </c>
      <c r="L15" s="54">
        <f t="shared" si="9"/>
        <v>0</v>
      </c>
      <c r="M15" s="419">
        <f t="shared" si="10"/>
        <v>3.5594964436045345E-2</v>
      </c>
      <c r="N15" s="419">
        <f t="shared" si="11"/>
        <v>0</v>
      </c>
      <c r="O15" s="54"/>
    </row>
    <row r="16" spans="1:15" x14ac:dyDescent="0.3">
      <c r="A16" s="40" t="s">
        <v>50</v>
      </c>
      <c r="B16" s="3" t="str">
        <f t="shared" si="12"/>
        <v>Barley, winter</v>
      </c>
      <c r="C16" s="3" t="str">
        <f t="shared" si="0"/>
        <v>Cereals</v>
      </c>
      <c r="D16" s="41" t="str">
        <f t="shared" si="1"/>
        <v>Yes</v>
      </c>
      <c r="E16" s="424">
        <f t="shared" si="2"/>
        <v>0.40316861548552041</v>
      </c>
      <c r="F16" s="407">
        <f t="shared" si="3"/>
        <v>0.10933901744582794</v>
      </c>
      <c r="G16" s="419">
        <f t="shared" si="4"/>
        <v>3.01313E-2</v>
      </c>
      <c r="H16" s="407">
        <f t="shared" si="5"/>
        <v>0.17898160370718846</v>
      </c>
      <c r="I16" s="419">
        <f t="shared" si="6"/>
        <v>1.7898160370718848E-2</v>
      </c>
      <c r="J16" s="407">
        <f t="shared" si="7"/>
        <v>3.1223569525739788E-2</v>
      </c>
      <c r="K16" s="54">
        <f t="shared" si="8"/>
        <v>0</v>
      </c>
      <c r="L16" s="54">
        <f t="shared" si="9"/>
        <v>0</v>
      </c>
      <c r="M16" s="419">
        <f t="shared" si="10"/>
        <v>3.5594964436045345E-2</v>
      </c>
      <c r="N16" s="419">
        <f t="shared" si="11"/>
        <v>0</v>
      </c>
      <c r="O16" s="54"/>
    </row>
    <row r="17" spans="1:15" x14ac:dyDescent="0.3">
      <c r="A17" s="40" t="s">
        <v>51</v>
      </c>
      <c r="B17" s="3" t="str">
        <f t="shared" si="12"/>
        <v>Beans, dry</v>
      </c>
      <c r="C17" s="3" t="str">
        <f t="shared" si="0"/>
        <v>Pulses</v>
      </c>
      <c r="D17" s="41" t="str">
        <f t="shared" si="1"/>
        <v>Yes</v>
      </c>
      <c r="E17" s="424">
        <f t="shared" si="2"/>
        <v>0.42886957376368495</v>
      </c>
      <c r="F17" s="407">
        <f t="shared" si="3"/>
        <v>8.4260465031665815E-2</v>
      </c>
      <c r="G17" s="419">
        <f t="shared" si="4"/>
        <v>3.01313E-2</v>
      </c>
      <c r="H17" s="407">
        <f t="shared" si="5"/>
        <v>0.16392268921599998</v>
      </c>
      <c r="I17" s="419">
        <f t="shared" si="6"/>
        <v>1.6392268921599999E-2</v>
      </c>
      <c r="J17" s="407">
        <f t="shared" si="7"/>
        <v>9.8484537262222213E-2</v>
      </c>
      <c r="K17" s="54">
        <f t="shared" si="8"/>
        <v>0</v>
      </c>
      <c r="L17" s="54">
        <f t="shared" si="9"/>
        <v>8.3348896151578009E-5</v>
      </c>
      <c r="M17" s="419">
        <f t="shared" si="10"/>
        <v>3.5594964436045345E-2</v>
      </c>
      <c r="N17" s="419">
        <f t="shared" si="11"/>
        <v>0</v>
      </c>
      <c r="O17" s="54"/>
    </row>
    <row r="18" spans="1:15" x14ac:dyDescent="0.3">
      <c r="A18" s="40" t="s">
        <v>52</v>
      </c>
      <c r="B18" s="3" t="str">
        <f t="shared" si="12"/>
        <v>Blueberries</v>
      </c>
      <c r="C18" s="3" t="str">
        <f t="shared" si="0"/>
        <v>Berries</v>
      </c>
      <c r="D18" s="41" t="str">
        <f t="shared" si="1"/>
        <v>No</v>
      </c>
      <c r="E18" s="424" t="str">
        <f t="shared" si="2"/>
        <v/>
      </c>
      <c r="F18" s="407" t="str">
        <f t="shared" si="3"/>
        <v/>
      </c>
      <c r="G18" s="419" t="str">
        <f t="shared" si="4"/>
        <v/>
      </c>
      <c r="H18" s="407" t="str">
        <f t="shared" si="5"/>
        <v/>
      </c>
      <c r="I18" s="419" t="str">
        <f t="shared" si="6"/>
        <v/>
      </c>
      <c r="J18" s="407" t="str">
        <f t="shared" si="7"/>
        <v/>
      </c>
      <c r="K18" s="54" t="str">
        <f t="shared" si="8"/>
        <v/>
      </c>
      <c r="L18" s="54" t="str">
        <f t="shared" si="9"/>
        <v/>
      </c>
      <c r="M18" s="419" t="str">
        <f t="shared" si="10"/>
        <v/>
      </c>
      <c r="N18" s="419" t="str">
        <f t="shared" si="11"/>
        <v/>
      </c>
      <c r="O18" s="54"/>
    </row>
    <row r="19" spans="1:15" x14ac:dyDescent="0.3">
      <c r="A19" s="40" t="s">
        <v>53</v>
      </c>
      <c r="B19" s="3" t="str">
        <f t="shared" si="12"/>
        <v>Brazil nuts, in shell</v>
      </c>
      <c r="C19" s="3" t="str">
        <f t="shared" si="0"/>
        <v>Nuts</v>
      </c>
      <c r="D19" s="41" t="str">
        <f t="shared" si="1"/>
        <v>No</v>
      </c>
      <c r="E19" s="424" t="str">
        <f t="shared" si="2"/>
        <v/>
      </c>
      <c r="F19" s="407" t="str">
        <f t="shared" si="3"/>
        <v/>
      </c>
      <c r="G19" s="419" t="str">
        <f t="shared" si="4"/>
        <v/>
      </c>
      <c r="H19" s="407" t="str">
        <f t="shared" si="5"/>
        <v/>
      </c>
      <c r="I19" s="419" t="str">
        <f t="shared" si="6"/>
        <v/>
      </c>
      <c r="J19" s="407" t="str">
        <f t="shared" si="7"/>
        <v/>
      </c>
      <c r="K19" s="54" t="str">
        <f t="shared" si="8"/>
        <v/>
      </c>
      <c r="L19" s="54" t="str">
        <f t="shared" si="9"/>
        <v/>
      </c>
      <c r="M19" s="419" t="str">
        <f t="shared" si="10"/>
        <v/>
      </c>
      <c r="N19" s="419" t="str">
        <f t="shared" si="11"/>
        <v/>
      </c>
      <c r="O19" s="54"/>
    </row>
    <row r="20" spans="1:15" x14ac:dyDescent="0.3">
      <c r="A20" s="40" t="s">
        <v>54</v>
      </c>
      <c r="B20" s="3" t="str">
        <f t="shared" si="12"/>
        <v>Broad beans and horse beans, dry</v>
      </c>
      <c r="C20" s="3" t="str">
        <f t="shared" si="0"/>
        <v>Pulses, incl feed</v>
      </c>
      <c r="D20" s="41" t="str">
        <f t="shared" si="1"/>
        <v>Yes</v>
      </c>
      <c r="E20" s="424">
        <f t="shared" si="2"/>
        <v>0.22006999948997871</v>
      </c>
      <c r="F20" s="407">
        <f t="shared" si="3"/>
        <v>5.1066948504039887E-3</v>
      </c>
      <c r="G20" s="419">
        <f t="shared" si="4"/>
        <v>3.01313E-2</v>
      </c>
      <c r="H20" s="407">
        <f t="shared" si="5"/>
        <v>5.6456022549333337E-2</v>
      </c>
      <c r="I20" s="419">
        <f t="shared" si="6"/>
        <v>5.6456022549333336E-3</v>
      </c>
      <c r="J20" s="407">
        <f t="shared" si="7"/>
        <v>8.705206650311112E-2</v>
      </c>
      <c r="K20" s="54">
        <f t="shared" si="8"/>
        <v>0</v>
      </c>
      <c r="L20" s="54">
        <f t="shared" si="9"/>
        <v>8.3348896151578009E-5</v>
      </c>
      <c r="M20" s="419">
        <f t="shared" si="10"/>
        <v>3.5594964436045345E-2</v>
      </c>
      <c r="N20" s="419">
        <f t="shared" si="11"/>
        <v>0</v>
      </c>
      <c r="O20" s="54"/>
    </row>
    <row r="21" spans="1:15" x14ac:dyDescent="0.3">
      <c r="A21" s="40" t="s">
        <v>55</v>
      </c>
      <c r="B21" s="3" t="str">
        <f t="shared" si="12"/>
        <v>Broad beans and horse beans, green</v>
      </c>
      <c r="C21" s="3" t="str">
        <f t="shared" si="0"/>
        <v>Vegetables</v>
      </c>
      <c r="D21" s="41" t="str">
        <f t="shared" si="1"/>
        <v>No</v>
      </c>
      <c r="E21" s="424" t="str">
        <f t="shared" si="2"/>
        <v/>
      </c>
      <c r="F21" s="407" t="str">
        <f t="shared" si="3"/>
        <v/>
      </c>
      <c r="G21" s="419" t="str">
        <f t="shared" si="4"/>
        <v/>
      </c>
      <c r="H21" s="407" t="str">
        <f t="shared" si="5"/>
        <v/>
      </c>
      <c r="I21" s="419" t="str">
        <f t="shared" si="6"/>
        <v/>
      </c>
      <c r="J21" s="407" t="str">
        <f t="shared" si="7"/>
        <v/>
      </c>
      <c r="K21" s="54" t="str">
        <f t="shared" si="8"/>
        <v/>
      </c>
      <c r="L21" s="54" t="str">
        <f t="shared" si="9"/>
        <v/>
      </c>
      <c r="M21" s="419" t="str">
        <f t="shared" si="10"/>
        <v/>
      </c>
      <c r="N21" s="419" t="str">
        <f t="shared" si="11"/>
        <v/>
      </c>
      <c r="O21" s="54"/>
    </row>
    <row r="22" spans="1:15" x14ac:dyDescent="0.3">
      <c r="A22" s="40" t="s">
        <v>56</v>
      </c>
      <c r="B22" s="3" t="str">
        <f t="shared" si="12"/>
        <v>Broccoli</v>
      </c>
      <c r="C22" s="3" t="str">
        <f t="shared" si="0"/>
        <v>Vegetables</v>
      </c>
      <c r="D22" s="41" t="str">
        <f t="shared" si="1"/>
        <v>Yes</v>
      </c>
      <c r="E22" s="424">
        <f t="shared" si="2"/>
        <v>0.39467024996852057</v>
      </c>
      <c r="F22" s="407">
        <f t="shared" si="3"/>
        <v>0.11009642643510339</v>
      </c>
      <c r="G22" s="419">
        <f t="shared" si="4"/>
        <v>3.01313E-2</v>
      </c>
      <c r="H22" s="407">
        <f t="shared" si="5"/>
        <v>0.17314167831637631</v>
      </c>
      <c r="I22" s="419">
        <f t="shared" si="6"/>
        <v>1.7314167831637632E-2</v>
      </c>
      <c r="J22" s="407">
        <f t="shared" si="7"/>
        <v>5.5432197333333329E-2</v>
      </c>
      <c r="K22" s="54">
        <f t="shared" si="8"/>
        <v>0</v>
      </c>
      <c r="L22" s="54">
        <f t="shared" si="9"/>
        <v>2.8338624691536525E-3</v>
      </c>
      <c r="M22" s="419">
        <f t="shared" si="10"/>
        <v>5.7206175829163184E-3</v>
      </c>
      <c r="N22" s="419">
        <f t="shared" si="11"/>
        <v>0</v>
      </c>
      <c r="O22" s="54"/>
    </row>
    <row r="23" spans="1:15" x14ac:dyDescent="0.3">
      <c r="A23" s="40" t="s">
        <v>57</v>
      </c>
      <c r="B23" s="3" t="str">
        <f t="shared" si="12"/>
        <v>Buckwheat</v>
      </c>
      <c r="C23" s="3" t="str">
        <f t="shared" si="0"/>
        <v>Seeds</v>
      </c>
      <c r="D23" s="41" t="str">
        <f t="shared" si="1"/>
        <v>No</v>
      </c>
      <c r="E23" s="424" t="str">
        <f t="shared" si="2"/>
        <v/>
      </c>
      <c r="F23" s="407" t="str">
        <f t="shared" si="3"/>
        <v/>
      </c>
      <c r="G23" s="419" t="str">
        <f t="shared" si="4"/>
        <v/>
      </c>
      <c r="H23" s="407" t="str">
        <f t="shared" si="5"/>
        <v/>
      </c>
      <c r="I23" s="419" t="str">
        <f t="shared" si="6"/>
        <v/>
      </c>
      <c r="J23" s="407" t="str">
        <f t="shared" si="7"/>
        <v/>
      </c>
      <c r="K23" s="54" t="str">
        <f t="shared" si="8"/>
        <v/>
      </c>
      <c r="L23" s="54" t="str">
        <f t="shared" si="9"/>
        <v/>
      </c>
      <c r="M23" s="419" t="str">
        <f t="shared" si="10"/>
        <v/>
      </c>
      <c r="N23" s="419" t="str">
        <f t="shared" si="11"/>
        <v/>
      </c>
      <c r="O23" s="54"/>
    </row>
    <row r="24" spans="1:15" x14ac:dyDescent="0.3">
      <c r="A24" s="40" t="s">
        <v>58</v>
      </c>
      <c r="B24" s="3" t="str">
        <f t="shared" si="12"/>
        <v>Cabbages</v>
      </c>
      <c r="C24" s="3" t="str">
        <f t="shared" si="0"/>
        <v>Vegetables</v>
      </c>
      <c r="D24" s="41" t="str">
        <f t="shared" si="1"/>
        <v>Yes</v>
      </c>
      <c r="E24" s="424">
        <f t="shared" si="2"/>
        <v>0.15132478731396051</v>
      </c>
      <c r="F24" s="407">
        <f t="shared" si="3"/>
        <v>3.0165744216115925E-2</v>
      </c>
      <c r="G24" s="419">
        <f t="shared" si="4"/>
        <v>3.01313E-2</v>
      </c>
      <c r="H24" s="407">
        <f t="shared" si="5"/>
        <v>6.4620202171950233E-2</v>
      </c>
      <c r="I24" s="419">
        <f t="shared" si="6"/>
        <v>6.4620202171950247E-3</v>
      </c>
      <c r="J24" s="407">
        <f t="shared" si="7"/>
        <v>1.1391040656629391E-2</v>
      </c>
      <c r="K24" s="54">
        <f t="shared" si="8"/>
        <v>0</v>
      </c>
      <c r="L24" s="54">
        <f t="shared" si="9"/>
        <v>2.8338624691536525E-3</v>
      </c>
      <c r="M24" s="419">
        <f t="shared" si="10"/>
        <v>5.7206175829163184E-3</v>
      </c>
      <c r="N24" s="419">
        <f t="shared" si="11"/>
        <v>0</v>
      </c>
      <c r="O24" s="54"/>
    </row>
    <row r="25" spans="1:15" x14ac:dyDescent="0.3">
      <c r="A25" s="40" t="s">
        <v>59</v>
      </c>
      <c r="B25" s="3" t="str">
        <f t="shared" si="12"/>
        <v>Cantaloupes and other melons</v>
      </c>
      <c r="C25" s="3" t="str">
        <f t="shared" si="0"/>
        <v>Fruits</v>
      </c>
      <c r="D25" s="41" t="str">
        <f t="shared" si="1"/>
        <v>No</v>
      </c>
      <c r="E25" s="424" t="str">
        <f t="shared" si="2"/>
        <v/>
      </c>
      <c r="F25" s="407" t="str">
        <f t="shared" si="3"/>
        <v/>
      </c>
      <c r="G25" s="419" t="str">
        <f t="shared" si="4"/>
        <v/>
      </c>
      <c r="H25" s="407" t="str">
        <f t="shared" si="5"/>
        <v/>
      </c>
      <c r="I25" s="419" t="str">
        <f t="shared" si="6"/>
        <v/>
      </c>
      <c r="J25" s="407" t="str">
        <f t="shared" si="7"/>
        <v/>
      </c>
      <c r="K25" s="54" t="str">
        <f t="shared" si="8"/>
        <v/>
      </c>
      <c r="L25" s="54" t="str">
        <f t="shared" si="9"/>
        <v/>
      </c>
      <c r="M25" s="419" t="str">
        <f t="shared" si="10"/>
        <v/>
      </c>
      <c r="N25" s="419" t="str">
        <f t="shared" si="11"/>
        <v/>
      </c>
      <c r="O25" s="54"/>
    </row>
    <row r="26" spans="1:15" x14ac:dyDescent="0.3">
      <c r="A26" s="40" t="s">
        <v>60</v>
      </c>
      <c r="B26" s="3" t="str">
        <f t="shared" si="12"/>
        <v>Carrots and turnips</v>
      </c>
      <c r="C26" s="3" t="str">
        <f t="shared" si="0"/>
        <v>Vegetables</v>
      </c>
      <c r="D26" s="41" t="str">
        <f t="shared" si="1"/>
        <v>Yes</v>
      </c>
      <c r="E26" s="424">
        <f t="shared" si="2"/>
        <v>6.8674823126044907E-2</v>
      </c>
      <c r="F26" s="407">
        <f t="shared" si="3"/>
        <v>6.7169905373324536E-3</v>
      </c>
      <c r="G26" s="419">
        <f t="shared" si="4"/>
        <v>3.01313E-2</v>
      </c>
      <c r="H26" s="407">
        <f t="shared" si="5"/>
        <v>1.5600131825306462E-2</v>
      </c>
      <c r="I26" s="419">
        <f t="shared" si="6"/>
        <v>1.5600131825306463E-3</v>
      </c>
      <c r="J26" s="407">
        <f t="shared" si="7"/>
        <v>6.1119075288053656E-3</v>
      </c>
      <c r="K26" s="54">
        <f t="shared" si="8"/>
        <v>0</v>
      </c>
      <c r="L26" s="54">
        <f t="shared" si="9"/>
        <v>2.8338624691536525E-3</v>
      </c>
      <c r="M26" s="419">
        <f t="shared" si="10"/>
        <v>5.7206175829163184E-3</v>
      </c>
      <c r="N26" s="419">
        <f t="shared" si="11"/>
        <v>0</v>
      </c>
      <c r="O26" s="54"/>
    </row>
    <row r="27" spans="1:15" x14ac:dyDescent="0.3">
      <c r="A27" s="40" t="s">
        <v>61</v>
      </c>
      <c r="B27" s="3" t="str">
        <f t="shared" si="12"/>
        <v>Cashew nuts, in shell</v>
      </c>
      <c r="C27" s="3" t="str">
        <f t="shared" si="0"/>
        <v>Nuts</v>
      </c>
      <c r="D27" s="41" t="str">
        <f t="shared" si="1"/>
        <v>No</v>
      </c>
      <c r="E27" s="424" t="str">
        <f t="shared" si="2"/>
        <v/>
      </c>
      <c r="F27" s="407" t="str">
        <f t="shared" si="3"/>
        <v/>
      </c>
      <c r="G27" s="419" t="str">
        <f t="shared" si="4"/>
        <v/>
      </c>
      <c r="H27" s="407" t="str">
        <f t="shared" si="5"/>
        <v/>
      </c>
      <c r="I27" s="419" t="str">
        <f t="shared" si="6"/>
        <v/>
      </c>
      <c r="J27" s="407" t="str">
        <f t="shared" si="7"/>
        <v/>
      </c>
      <c r="K27" s="54" t="str">
        <f t="shared" si="8"/>
        <v/>
      </c>
      <c r="L27" s="54" t="str">
        <f t="shared" si="9"/>
        <v/>
      </c>
      <c r="M27" s="419" t="str">
        <f t="shared" si="10"/>
        <v/>
      </c>
      <c r="N27" s="419" t="str">
        <f t="shared" si="11"/>
        <v/>
      </c>
      <c r="O27" s="54"/>
    </row>
    <row r="28" spans="1:15" x14ac:dyDescent="0.3">
      <c r="A28" s="40" t="s">
        <v>62</v>
      </c>
      <c r="B28" s="3" t="str">
        <f t="shared" si="12"/>
        <v>Cauliflowers</v>
      </c>
      <c r="C28" s="3" t="str">
        <f t="shared" si="0"/>
        <v>Vegetables</v>
      </c>
      <c r="D28" s="41" t="str">
        <f t="shared" si="1"/>
        <v>Yes</v>
      </c>
      <c r="E28" s="424">
        <f t="shared" si="2"/>
        <v>0.27215527108746695</v>
      </c>
      <c r="F28" s="407">
        <f t="shared" si="3"/>
        <v>7.3125452887441725E-2</v>
      </c>
      <c r="G28" s="419">
        <f t="shared" si="4"/>
        <v>3.01313E-2</v>
      </c>
      <c r="H28" s="407">
        <f t="shared" si="5"/>
        <v>0.12294637768205129</v>
      </c>
      <c r="I28" s="419">
        <f t="shared" si="6"/>
        <v>1.2294637768205129E-2</v>
      </c>
      <c r="J28" s="407">
        <f t="shared" si="7"/>
        <v>2.5103022697698884E-2</v>
      </c>
      <c r="K28" s="54">
        <f t="shared" si="8"/>
        <v>0</v>
      </c>
      <c r="L28" s="54">
        <f t="shared" si="9"/>
        <v>2.8338624691536521E-3</v>
      </c>
      <c r="M28" s="419">
        <f t="shared" si="10"/>
        <v>5.7206175829163184E-3</v>
      </c>
      <c r="N28" s="419">
        <f t="shared" si="11"/>
        <v>0</v>
      </c>
      <c r="O28" s="54"/>
    </row>
    <row r="29" spans="1:15" x14ac:dyDescent="0.3">
      <c r="A29" s="40" t="s">
        <v>63</v>
      </c>
      <c r="B29" s="3" t="str">
        <f t="shared" si="12"/>
        <v>Cauliflowers and broccoli, average</v>
      </c>
      <c r="C29" s="3" t="str">
        <f t="shared" si="0"/>
        <v>Vegetables</v>
      </c>
      <c r="D29" s="41" t="str">
        <f t="shared" si="1"/>
        <v>Yes</v>
      </c>
      <c r="E29" s="424">
        <f t="shared" si="2"/>
        <v>0.30051533416340659</v>
      </c>
      <c r="F29" s="407">
        <f t="shared" si="3"/>
        <v>8.1700240481844141E-2</v>
      </c>
      <c r="G29" s="419">
        <f t="shared" si="4"/>
        <v>3.01313E-2</v>
      </c>
      <c r="H29" s="407">
        <f t="shared" si="5"/>
        <v>0.13453867519569063</v>
      </c>
      <c r="I29" s="419">
        <f t="shared" si="6"/>
        <v>1.3453867519569063E-2</v>
      </c>
      <c r="J29" s="407">
        <f t="shared" si="7"/>
        <v>3.213677091423281E-2</v>
      </c>
      <c r="K29" s="54">
        <f t="shared" si="8"/>
        <v>0</v>
      </c>
      <c r="L29" s="54">
        <f t="shared" si="9"/>
        <v>2.8338624691536525E-3</v>
      </c>
      <c r="M29" s="419">
        <f t="shared" si="10"/>
        <v>5.7206175829163184E-3</v>
      </c>
      <c r="N29" s="419">
        <f t="shared" si="11"/>
        <v>0</v>
      </c>
      <c r="O29" s="54"/>
    </row>
    <row r="30" spans="1:15" x14ac:dyDescent="0.3">
      <c r="A30" s="40" t="s">
        <v>64</v>
      </c>
      <c r="B30" s="3" t="str">
        <f t="shared" si="12"/>
        <v>Cereals n.e.c.</v>
      </c>
      <c r="C30" s="3" t="str">
        <f t="shared" si="0"/>
        <v>Cereals</v>
      </c>
      <c r="D30" s="41" t="str">
        <f t="shared" si="1"/>
        <v>No</v>
      </c>
      <c r="E30" s="424" t="str">
        <f t="shared" si="2"/>
        <v/>
      </c>
      <c r="F30" s="407" t="str">
        <f t="shared" si="3"/>
        <v/>
      </c>
      <c r="G30" s="419" t="str">
        <f t="shared" si="4"/>
        <v/>
      </c>
      <c r="H30" s="407" t="str">
        <f t="shared" si="5"/>
        <v/>
      </c>
      <c r="I30" s="419" t="str">
        <f t="shared" si="6"/>
        <v/>
      </c>
      <c r="J30" s="407" t="str">
        <f t="shared" si="7"/>
        <v/>
      </c>
      <c r="K30" s="54" t="str">
        <f t="shared" si="8"/>
        <v/>
      </c>
      <c r="L30" s="54" t="str">
        <f t="shared" si="9"/>
        <v/>
      </c>
      <c r="M30" s="419" t="str">
        <f t="shared" si="10"/>
        <v/>
      </c>
      <c r="N30" s="419" t="str">
        <f t="shared" si="11"/>
        <v/>
      </c>
      <c r="O30" s="54"/>
    </row>
    <row r="31" spans="1:15" x14ac:dyDescent="0.3">
      <c r="A31" s="40" t="s">
        <v>65</v>
      </c>
      <c r="B31" s="3" t="str">
        <f t="shared" si="12"/>
        <v>Cherries</v>
      </c>
      <c r="C31" s="3" t="str">
        <f t="shared" si="0"/>
        <v>Berries</v>
      </c>
      <c r="D31" s="41" t="str">
        <f t="shared" si="1"/>
        <v>No</v>
      </c>
      <c r="E31" s="424" t="str">
        <f t="shared" si="2"/>
        <v/>
      </c>
      <c r="F31" s="407" t="str">
        <f t="shared" si="3"/>
        <v/>
      </c>
      <c r="G31" s="419" t="str">
        <f t="shared" si="4"/>
        <v/>
      </c>
      <c r="H31" s="407" t="str">
        <f t="shared" si="5"/>
        <v/>
      </c>
      <c r="I31" s="419" t="str">
        <f t="shared" si="6"/>
        <v/>
      </c>
      <c r="J31" s="407" t="str">
        <f t="shared" si="7"/>
        <v/>
      </c>
      <c r="K31" s="54" t="str">
        <f t="shared" si="8"/>
        <v/>
      </c>
      <c r="L31" s="54" t="str">
        <f t="shared" si="9"/>
        <v/>
      </c>
      <c r="M31" s="419" t="str">
        <f t="shared" si="10"/>
        <v/>
      </c>
      <c r="N31" s="419" t="str">
        <f t="shared" si="11"/>
        <v/>
      </c>
      <c r="O31" s="54"/>
    </row>
    <row r="32" spans="1:15" x14ac:dyDescent="0.3">
      <c r="A32" s="40" t="s">
        <v>66</v>
      </c>
      <c r="B32" s="3" t="str">
        <f t="shared" si="12"/>
        <v>Chestnuts, in shell</v>
      </c>
      <c r="C32" s="3" t="str">
        <f t="shared" si="0"/>
        <v>Nuts</v>
      </c>
      <c r="D32" s="41" t="str">
        <f t="shared" si="1"/>
        <v>No</v>
      </c>
      <c r="E32" s="424" t="str">
        <f t="shared" si="2"/>
        <v/>
      </c>
      <c r="F32" s="407" t="str">
        <f t="shared" si="3"/>
        <v/>
      </c>
      <c r="G32" s="419" t="str">
        <f t="shared" si="4"/>
        <v/>
      </c>
      <c r="H32" s="407" t="str">
        <f t="shared" si="5"/>
        <v/>
      </c>
      <c r="I32" s="419" t="str">
        <f t="shared" si="6"/>
        <v/>
      </c>
      <c r="J32" s="407" t="str">
        <f t="shared" si="7"/>
        <v/>
      </c>
      <c r="K32" s="54" t="str">
        <f t="shared" si="8"/>
        <v/>
      </c>
      <c r="L32" s="54" t="str">
        <f t="shared" si="9"/>
        <v/>
      </c>
      <c r="M32" s="419" t="str">
        <f t="shared" si="10"/>
        <v/>
      </c>
      <c r="N32" s="419" t="str">
        <f t="shared" si="11"/>
        <v/>
      </c>
      <c r="O32" s="54"/>
    </row>
    <row r="33" spans="1:15" x14ac:dyDescent="0.3">
      <c r="A33" s="40" t="s">
        <v>67</v>
      </c>
      <c r="B33" s="3" t="str">
        <f t="shared" si="12"/>
        <v>Chick peas, dry</v>
      </c>
      <c r="C33" s="3" t="str">
        <f t="shared" si="0"/>
        <v>Pulses</v>
      </c>
      <c r="D33" s="41" t="str">
        <f t="shared" si="1"/>
        <v>No</v>
      </c>
      <c r="E33" s="424" t="str">
        <f t="shared" si="2"/>
        <v/>
      </c>
      <c r="F33" s="407" t="str">
        <f t="shared" si="3"/>
        <v/>
      </c>
      <c r="G33" s="419" t="str">
        <f t="shared" si="4"/>
        <v/>
      </c>
      <c r="H33" s="407" t="str">
        <f t="shared" si="5"/>
        <v/>
      </c>
      <c r="I33" s="419" t="str">
        <f t="shared" si="6"/>
        <v/>
      </c>
      <c r="J33" s="407" t="str">
        <f t="shared" si="7"/>
        <v/>
      </c>
      <c r="K33" s="54" t="str">
        <f t="shared" si="8"/>
        <v/>
      </c>
      <c r="L33" s="54" t="str">
        <f t="shared" si="9"/>
        <v/>
      </c>
      <c r="M33" s="419" t="str">
        <f t="shared" si="10"/>
        <v/>
      </c>
      <c r="N33" s="419" t="str">
        <f t="shared" si="11"/>
        <v/>
      </c>
      <c r="O33" s="54"/>
    </row>
    <row r="34" spans="1:15" x14ac:dyDescent="0.3">
      <c r="A34" s="40" t="s">
        <v>68</v>
      </c>
      <c r="B34" s="3" t="str">
        <f t="shared" si="12"/>
        <v>Chillies and peppers, green (Capsicum spp. and Pimenta spp.), raw</v>
      </c>
      <c r="C34" s="3" t="str">
        <f t="shared" si="0"/>
        <v>Spices</v>
      </c>
      <c r="D34" s="41" t="str">
        <f t="shared" si="1"/>
        <v>No</v>
      </c>
      <c r="E34" s="424" t="str">
        <f t="shared" si="2"/>
        <v/>
      </c>
      <c r="F34" s="407" t="str">
        <f t="shared" si="3"/>
        <v/>
      </c>
      <c r="G34" s="419" t="str">
        <f t="shared" si="4"/>
        <v/>
      </c>
      <c r="H34" s="407" t="str">
        <f t="shared" si="5"/>
        <v/>
      </c>
      <c r="I34" s="419" t="str">
        <f t="shared" si="6"/>
        <v/>
      </c>
      <c r="J34" s="407" t="str">
        <f t="shared" si="7"/>
        <v/>
      </c>
      <c r="K34" s="54" t="str">
        <f t="shared" si="8"/>
        <v/>
      </c>
      <c r="L34" s="54" t="str">
        <f t="shared" si="9"/>
        <v/>
      </c>
      <c r="M34" s="419" t="str">
        <f t="shared" si="10"/>
        <v/>
      </c>
      <c r="N34" s="419" t="str">
        <f t="shared" si="11"/>
        <v/>
      </c>
      <c r="O34" s="54"/>
    </row>
    <row r="35" spans="1:15" x14ac:dyDescent="0.3">
      <c r="A35" s="40" t="s">
        <v>69</v>
      </c>
      <c r="B35" s="3" t="str">
        <f t="shared" si="12"/>
        <v>Cocoa beans</v>
      </c>
      <c r="C35" s="3" t="str">
        <f t="shared" si="0"/>
        <v>Stimulants</v>
      </c>
      <c r="D35" s="41" t="str">
        <f t="shared" si="1"/>
        <v>No</v>
      </c>
      <c r="E35" s="424" t="str">
        <f t="shared" si="2"/>
        <v/>
      </c>
      <c r="F35" s="407" t="str">
        <f t="shared" si="3"/>
        <v/>
      </c>
      <c r="G35" s="419" t="str">
        <f t="shared" si="4"/>
        <v/>
      </c>
      <c r="H35" s="407" t="str">
        <f t="shared" si="5"/>
        <v/>
      </c>
      <c r="I35" s="419" t="str">
        <f t="shared" si="6"/>
        <v/>
      </c>
      <c r="J35" s="407" t="str">
        <f t="shared" si="7"/>
        <v/>
      </c>
      <c r="K35" s="54" t="str">
        <f t="shared" si="8"/>
        <v/>
      </c>
      <c r="L35" s="54" t="str">
        <f t="shared" si="9"/>
        <v/>
      </c>
      <c r="M35" s="419" t="str">
        <f t="shared" si="10"/>
        <v/>
      </c>
      <c r="N35" s="419" t="str">
        <f t="shared" si="11"/>
        <v/>
      </c>
      <c r="O35" s="54"/>
    </row>
    <row r="36" spans="1:15" x14ac:dyDescent="0.3">
      <c r="A36" s="40" t="s">
        <v>70</v>
      </c>
      <c r="B36" s="3" t="str">
        <f t="shared" si="12"/>
        <v>Coconut, in shell</v>
      </c>
      <c r="C36" s="3" t="str">
        <f t="shared" si="0"/>
        <v>Nuts</v>
      </c>
      <c r="D36" s="41" t="str">
        <f t="shared" si="1"/>
        <v>No</v>
      </c>
      <c r="E36" s="424" t="str">
        <f t="shared" si="2"/>
        <v/>
      </c>
      <c r="F36" s="407" t="str">
        <f t="shared" si="3"/>
        <v/>
      </c>
      <c r="G36" s="419" t="str">
        <f t="shared" si="4"/>
        <v/>
      </c>
      <c r="H36" s="407" t="str">
        <f t="shared" si="5"/>
        <v/>
      </c>
      <c r="I36" s="419" t="str">
        <f t="shared" si="6"/>
        <v/>
      </c>
      <c r="J36" s="407" t="str">
        <f t="shared" si="7"/>
        <v/>
      </c>
      <c r="K36" s="54" t="str">
        <f t="shared" si="8"/>
        <v/>
      </c>
      <c r="L36" s="54" t="str">
        <f t="shared" si="9"/>
        <v/>
      </c>
      <c r="M36" s="419" t="str">
        <f t="shared" si="10"/>
        <v/>
      </c>
      <c r="N36" s="419" t="str">
        <f t="shared" si="11"/>
        <v/>
      </c>
      <c r="O36" s="54"/>
    </row>
    <row r="37" spans="1:15" x14ac:dyDescent="0.3">
      <c r="A37" s="40" t="s">
        <v>71</v>
      </c>
      <c r="B37" s="3" t="str">
        <f t="shared" si="12"/>
        <v>Coffee, green</v>
      </c>
      <c r="C37" s="3" t="str">
        <f t="shared" si="0"/>
        <v>Stimulants</v>
      </c>
      <c r="D37" s="41" t="str">
        <f t="shared" si="1"/>
        <v>No</v>
      </c>
      <c r="E37" s="424" t="str">
        <f t="shared" si="2"/>
        <v/>
      </c>
      <c r="F37" s="407" t="str">
        <f t="shared" si="3"/>
        <v/>
      </c>
      <c r="G37" s="419" t="str">
        <f t="shared" si="4"/>
        <v/>
      </c>
      <c r="H37" s="407" t="str">
        <f t="shared" si="5"/>
        <v/>
      </c>
      <c r="I37" s="419" t="str">
        <f t="shared" si="6"/>
        <v/>
      </c>
      <c r="J37" s="407" t="str">
        <f t="shared" si="7"/>
        <v/>
      </c>
      <c r="K37" s="54" t="str">
        <f t="shared" si="8"/>
        <v/>
      </c>
      <c r="L37" s="54" t="str">
        <f t="shared" si="9"/>
        <v/>
      </c>
      <c r="M37" s="419" t="str">
        <f t="shared" si="10"/>
        <v/>
      </c>
      <c r="N37" s="419" t="str">
        <f t="shared" si="11"/>
        <v/>
      </c>
      <c r="O37" s="54"/>
    </row>
    <row r="38" spans="1:15" x14ac:dyDescent="0.3">
      <c r="A38" s="40" t="s">
        <v>72</v>
      </c>
      <c r="B38" s="3" t="str">
        <f t="shared" ref="B38:B69" si="13">INDEX(Crop_data,MATCH(A38,Crop_data_codes,0),2)</f>
        <v>Cucumbers and gherkins, averrage</v>
      </c>
      <c r="C38" s="3" t="str">
        <f t="shared" ref="C38:C69" si="14">INDEX(Crop_data,MATCH(A38,Crop_data_codes,0),3)</f>
        <v>Vegetables</v>
      </c>
      <c r="D38" s="41" t="str">
        <f t="shared" ref="D38:D69" si="15">INDEX(Crop_data,MATCH(A38,Crop_data_codes,0),4)</f>
        <v>Yes</v>
      </c>
      <c r="E38" s="424">
        <f t="shared" ref="E38:E69" si="16">IF(D38="Yes", SUM(F38:N38),"")</f>
        <v>0.53017466192305474</v>
      </c>
      <c r="F38" s="407">
        <f t="shared" ref="F38:F69" si="17">IF(D38="YES",INDEX(CO2_data,MATCH(A38,CO2_codes,0),2)+INDEX(CH4_data,MATCH(A38,CH4_codes,0),2)*CF_fossil_CH4+INDEX(CH4_bio_data,MATCH(A38,CH4_bio_codes,0),2)*CF_biog_CH4+INDEX(N2O_data,MATCH(A38,N2O_codes,0),2)*CF_N2O,"")</f>
        <v>1.5993370900496514E-2</v>
      </c>
      <c r="G38" s="419">
        <f t="shared" ref="G38:G69" si="18">IF(D38="YES",INDEX(CO2_data,MATCH(A38,CO2_codes,0),3)+INDEX(CH4_data,MATCH(A38,CH4_codes,0),3)*CF_fossil_CH4+INDEX(CH4_bio_data,MATCH(A38,CH4_bio_codes,0),3)*CF_biog_CH4+INDEX(N2O_data,MATCH(A38,N2O_codes,0),3)*CF_N2O,"")</f>
        <v>3.01313E-2</v>
      </c>
      <c r="H38" s="407">
        <f t="shared" ref="H38:H69" si="19">IF(D38="YES",INDEX(CO2_data,MATCH(A38,CO2_codes,0),4)+INDEX(CH4_data,MATCH(A38,CH4_codes,0),4)*CF_fossil_CH4+INDEX(CH4_bio_data,MATCH(A38,CH4_bio_codes,0),4)*CF_biog_CH4+INDEX(N2O_data,MATCH(A38,N2O_codes,0),4)*CF_N2O,"")</f>
        <v>2.2464695542551864E-2</v>
      </c>
      <c r="I38" s="419">
        <f t="shared" ref="I38:I69" si="20">IF(D38="YES",INDEX(CO2_data,MATCH(A38,CO2_codes,0),5)+INDEX(CH4_data,MATCH(A38,CH4_codes,0),5)*CF_fossil_CH4+INDEX(CH4_bio_data,MATCH(A38,CH4_bio_codes,0),5)*CF_biog_CH4+INDEX(N2O_data,MATCH(A38,N2O_codes,0),5)*CF_N2O,"")</f>
        <v>2.2464695542551865E-3</v>
      </c>
      <c r="J38" s="407">
        <f t="shared" ref="J38:J69" si="21">IF(D38="YES",INDEX(CO2_data,MATCH(A38,CO2_codes,0),6)+INDEX(CH4_data,MATCH(A38,CH4_codes,0),6)*CF_fossil_CH4+INDEX(CH4_bio_data,MATCH(A38,CH4_bio_codes,0),6)*CF_biog_CH4+INDEX(N2O_data,MATCH(A38,N2O_codes,0),6)*CF_N2O,"")</f>
        <v>4.3578522796215216E-5</v>
      </c>
      <c r="K38" s="54">
        <f t="shared" ref="K38:K69" si="22">IF(D38="YES",INDEX(CO2_data,MATCH(A38,CO2_codes,0),7)+INDEX(CH4_data,MATCH(A38,CH4_codes,0),7)*CF_fossil_CH4+INDEX(CH4_bio_data,MATCH(A38,CH4_bio_codes,0),7)*CF_biog_CH4+INDEX(N2O_data,MATCH(A38,N2O_codes,0),7)*CF_N2O,"")</f>
        <v>0.45324123423543233</v>
      </c>
      <c r="L38" s="54">
        <f t="shared" ref="L38:L69" si="23">IF(D38="YES",INDEX(CO2_data,MATCH(A38,CO2_codes,0),8)+INDEX(CH4_data,MATCH(A38,CH4_codes,0),8)*CF_fossil_CH4+INDEX(CH4_bio_data,MATCH(A38,CH4_bio_codes,0),8)*CF_biog_CH4+INDEX(N2O_data,MATCH(A38,N2O_codes,0),8)*CF_N2O,"")</f>
        <v>3.3339558460631204E-4</v>
      </c>
      <c r="M38" s="419">
        <f t="shared" ref="M38:M69" si="24">IF(D38="YES",INDEX(CO2_data,MATCH(A38,CO2_codes,0),9)+INDEX(CH4_data,MATCH(A38,CH4_codes,0),9)*CF_fossil_CH4+INDEX(CH4_bio_data,MATCH(A38,CH4_bio_codes,0),9)*CF_biog_CH4+INDEX(N2O_data,MATCH(A38,N2O_codes,0),9)*CF_N2O,"")</f>
        <v>5.7206175829163184E-3</v>
      </c>
      <c r="N38" s="419">
        <f t="shared" ref="N38:N69" si="25">IF(D38="YES",INDEX(CO2_data,MATCH(A38,CO2_codes,0),10)+INDEX(CH4_data,MATCH(A38,CH4_codes,0),10)*CF_fossil_CH4+INDEX(CH4_bio_data,MATCH(A38,CH4_bio_codes,0),10)*CF_biog_CH4+INDEX(N2O_data,MATCH(A38,N2O_codes,0),10)*CF_N2O,"")</f>
        <v>0</v>
      </c>
      <c r="O38" s="54"/>
    </row>
    <row r="39" spans="1:15" x14ac:dyDescent="0.3">
      <c r="A39" s="40" t="s">
        <v>73</v>
      </c>
      <c r="B39" s="3" t="str">
        <f t="shared" si="13"/>
        <v>Cucumbers and gherkins, greenhouse</v>
      </c>
      <c r="C39" s="3" t="str">
        <f t="shared" si="14"/>
        <v>Vegetables</v>
      </c>
      <c r="D39" s="41" t="str">
        <f t="shared" si="15"/>
        <v>Yes</v>
      </c>
      <c r="E39" s="424">
        <f t="shared" si="16"/>
        <v>0.53272296745823555</v>
      </c>
      <c r="F39" s="407">
        <f t="shared" si="17"/>
        <v>1.6008754514989017E-2</v>
      </c>
      <c r="G39" s="419">
        <f t="shared" si="18"/>
        <v>3.01313E-2</v>
      </c>
      <c r="H39" s="407">
        <f t="shared" si="19"/>
        <v>2.2347104041748292E-2</v>
      </c>
      <c r="I39" s="419">
        <f t="shared" si="20"/>
        <v>2.2347104041748295E-3</v>
      </c>
      <c r="J39" s="407">
        <f t="shared" si="21"/>
        <v>0</v>
      </c>
      <c r="K39" s="54">
        <f t="shared" si="22"/>
        <v>0.45598036830828187</v>
      </c>
      <c r="L39" s="54">
        <f t="shared" si="23"/>
        <v>3.0011260612516005E-4</v>
      </c>
      <c r="M39" s="419">
        <f t="shared" si="24"/>
        <v>5.7206175829163184E-3</v>
      </c>
      <c r="N39" s="419">
        <f t="shared" si="25"/>
        <v>0</v>
      </c>
      <c r="O39" s="54"/>
    </row>
    <row r="40" spans="1:15" x14ac:dyDescent="0.3">
      <c r="A40" s="40" t="s">
        <v>74</v>
      </c>
      <c r="B40" s="3" t="str">
        <f t="shared" si="13"/>
        <v>Cucumbers and gherkins, openfield</v>
      </c>
      <c r="C40" s="3" t="str">
        <f t="shared" si="14"/>
        <v>Vegetables</v>
      </c>
      <c r="D40" s="41" t="str">
        <f t="shared" si="15"/>
        <v>Yes</v>
      </c>
      <c r="E40" s="424">
        <f t="shared" si="16"/>
        <v>0.10300230266614081</v>
      </c>
      <c r="F40" s="407">
        <f t="shared" si="17"/>
        <v>1.3447862636152774E-2</v>
      </c>
      <c r="G40" s="419">
        <f t="shared" si="18"/>
        <v>3.01313E-2</v>
      </c>
      <c r="H40" s="407">
        <f t="shared" si="19"/>
        <v>4.1922420335248518E-2</v>
      </c>
      <c r="I40" s="419">
        <f t="shared" si="20"/>
        <v>4.1922420335248527E-3</v>
      </c>
      <c r="J40" s="407">
        <f t="shared" si="21"/>
        <v>7.2544644936920503E-3</v>
      </c>
      <c r="K40" s="54">
        <f t="shared" si="22"/>
        <v>0</v>
      </c>
      <c r="L40" s="54">
        <f t="shared" si="23"/>
        <v>3.3339558460631204E-4</v>
      </c>
      <c r="M40" s="419">
        <f t="shared" si="24"/>
        <v>5.7206175829163184E-3</v>
      </c>
      <c r="N40" s="419">
        <f t="shared" si="25"/>
        <v>0</v>
      </c>
      <c r="O40" s="54"/>
    </row>
    <row r="41" spans="1:15" x14ac:dyDescent="0.3">
      <c r="A41" s="40" t="s">
        <v>75</v>
      </c>
      <c r="B41" s="3" t="str">
        <f t="shared" si="13"/>
        <v>Currants</v>
      </c>
      <c r="C41" s="3" t="str">
        <f t="shared" si="14"/>
        <v>Berries</v>
      </c>
      <c r="D41" s="41" t="str">
        <f t="shared" si="15"/>
        <v>Yes</v>
      </c>
      <c r="E41" s="424">
        <f t="shared" si="16"/>
        <v>0.36239626581191847</v>
      </c>
      <c r="F41" s="407">
        <f t="shared" si="17"/>
        <v>4.0445023215199591E-2</v>
      </c>
      <c r="G41" s="419">
        <f t="shared" si="18"/>
        <v>3.01313E-2</v>
      </c>
      <c r="H41" s="407">
        <f t="shared" si="19"/>
        <v>7.8576326399999993E-2</v>
      </c>
      <c r="I41" s="419">
        <f t="shared" si="20"/>
        <v>7.857632639999999E-3</v>
      </c>
      <c r="J41" s="407">
        <f t="shared" si="21"/>
        <v>0.20454480816000001</v>
      </c>
      <c r="K41" s="54">
        <f t="shared" si="22"/>
        <v>0</v>
      </c>
      <c r="L41" s="54">
        <f t="shared" si="23"/>
        <v>8.4117539671887845E-4</v>
      </c>
      <c r="M41" s="419">
        <f t="shared" si="24"/>
        <v>0</v>
      </c>
      <c r="N41" s="419">
        <f t="shared" si="25"/>
        <v>0</v>
      </c>
      <c r="O41" s="54"/>
    </row>
    <row r="42" spans="1:15" x14ac:dyDescent="0.3">
      <c r="A42" s="40" t="s">
        <v>76</v>
      </c>
      <c r="B42" s="3" t="str">
        <f t="shared" si="13"/>
        <v>Dates</v>
      </c>
      <c r="C42" s="3" t="str">
        <f t="shared" si="14"/>
        <v>Fruits</v>
      </c>
      <c r="D42" s="41" t="str">
        <f t="shared" si="15"/>
        <v>No</v>
      </c>
      <c r="E42" s="424" t="str">
        <f t="shared" si="16"/>
        <v/>
      </c>
      <c r="F42" s="407" t="str">
        <f t="shared" si="17"/>
        <v/>
      </c>
      <c r="G42" s="419" t="str">
        <f t="shared" si="18"/>
        <v/>
      </c>
      <c r="H42" s="407" t="str">
        <f t="shared" si="19"/>
        <v/>
      </c>
      <c r="I42" s="419" t="str">
        <f t="shared" si="20"/>
        <v/>
      </c>
      <c r="J42" s="407" t="str">
        <f t="shared" si="21"/>
        <v/>
      </c>
      <c r="K42" s="54" t="str">
        <f t="shared" si="22"/>
        <v/>
      </c>
      <c r="L42" s="54" t="str">
        <f t="shared" si="23"/>
        <v/>
      </c>
      <c r="M42" s="419" t="str">
        <f t="shared" si="24"/>
        <v/>
      </c>
      <c r="N42" s="419" t="str">
        <f t="shared" si="25"/>
        <v/>
      </c>
      <c r="O42" s="54"/>
    </row>
    <row r="43" spans="1:15" x14ac:dyDescent="0.3">
      <c r="A43" s="40" t="s">
        <v>77</v>
      </c>
      <c r="B43" s="3" t="str">
        <f t="shared" si="13"/>
        <v>Edible roots and tubers with high starch or inulin content, n.e.c., fresh</v>
      </c>
      <c r="C43" s="3" t="str">
        <f t="shared" si="14"/>
        <v>Roots</v>
      </c>
      <c r="D43" s="41" t="str">
        <f t="shared" si="15"/>
        <v>No</v>
      </c>
      <c r="E43" s="424" t="str">
        <f t="shared" si="16"/>
        <v/>
      </c>
      <c r="F43" s="407" t="str">
        <f t="shared" si="17"/>
        <v/>
      </c>
      <c r="G43" s="419" t="str">
        <f t="shared" si="18"/>
        <v/>
      </c>
      <c r="H43" s="407" t="str">
        <f t="shared" si="19"/>
        <v/>
      </c>
      <c r="I43" s="419" t="str">
        <f t="shared" si="20"/>
        <v/>
      </c>
      <c r="J43" s="407" t="str">
        <f t="shared" si="21"/>
        <v/>
      </c>
      <c r="K43" s="54" t="str">
        <f t="shared" si="22"/>
        <v/>
      </c>
      <c r="L43" s="54" t="str">
        <f t="shared" si="23"/>
        <v/>
      </c>
      <c r="M43" s="419" t="str">
        <f t="shared" si="24"/>
        <v/>
      </c>
      <c r="N43" s="419" t="str">
        <f t="shared" si="25"/>
        <v/>
      </c>
      <c r="O43" s="54"/>
    </row>
    <row r="44" spans="1:15" x14ac:dyDescent="0.3">
      <c r="A44" s="40" t="s">
        <v>78</v>
      </c>
      <c r="B44" s="3" t="str">
        <f t="shared" si="13"/>
        <v>Eggplants (aubergines)</v>
      </c>
      <c r="C44" s="3" t="str">
        <f t="shared" si="14"/>
        <v>Vegetables</v>
      </c>
      <c r="D44" s="41" t="str">
        <f t="shared" si="15"/>
        <v>No</v>
      </c>
      <c r="E44" s="424" t="str">
        <f t="shared" si="16"/>
        <v/>
      </c>
      <c r="F44" s="407" t="str">
        <f t="shared" si="17"/>
        <v/>
      </c>
      <c r="G44" s="419" t="str">
        <f t="shared" si="18"/>
        <v/>
      </c>
      <c r="H44" s="407" t="str">
        <f t="shared" si="19"/>
        <v/>
      </c>
      <c r="I44" s="419" t="str">
        <f t="shared" si="20"/>
        <v/>
      </c>
      <c r="J44" s="407" t="str">
        <f t="shared" si="21"/>
        <v/>
      </c>
      <c r="K44" s="54" t="str">
        <f t="shared" si="22"/>
        <v/>
      </c>
      <c r="L44" s="54" t="str">
        <f t="shared" si="23"/>
        <v/>
      </c>
      <c r="M44" s="419" t="str">
        <f t="shared" si="24"/>
        <v/>
      </c>
      <c r="N44" s="419" t="str">
        <f t="shared" si="25"/>
        <v/>
      </c>
      <c r="O44" s="54"/>
    </row>
    <row r="45" spans="1:15" x14ac:dyDescent="0.3">
      <c r="A45" s="40" t="s">
        <v>79</v>
      </c>
      <c r="B45" s="3" t="str">
        <f t="shared" si="13"/>
        <v>Figs</v>
      </c>
      <c r="C45" s="3" t="str">
        <f t="shared" si="14"/>
        <v>Fruits</v>
      </c>
      <c r="D45" s="41" t="str">
        <f t="shared" si="15"/>
        <v>No</v>
      </c>
      <c r="E45" s="424" t="str">
        <f t="shared" si="16"/>
        <v/>
      </c>
      <c r="F45" s="407" t="str">
        <f t="shared" si="17"/>
        <v/>
      </c>
      <c r="G45" s="419" t="str">
        <f t="shared" si="18"/>
        <v/>
      </c>
      <c r="H45" s="407" t="str">
        <f t="shared" si="19"/>
        <v/>
      </c>
      <c r="I45" s="419" t="str">
        <f t="shared" si="20"/>
        <v/>
      </c>
      <c r="J45" s="407" t="str">
        <f t="shared" si="21"/>
        <v/>
      </c>
      <c r="K45" s="54" t="str">
        <f t="shared" si="22"/>
        <v/>
      </c>
      <c r="L45" s="54" t="str">
        <f t="shared" si="23"/>
        <v/>
      </c>
      <c r="M45" s="419" t="str">
        <f t="shared" si="24"/>
        <v/>
      </c>
      <c r="N45" s="419" t="str">
        <f t="shared" si="25"/>
        <v/>
      </c>
      <c r="O45" s="54"/>
    </row>
    <row r="46" spans="1:15" x14ac:dyDescent="0.3">
      <c r="A46" s="40" t="s">
        <v>80</v>
      </c>
      <c r="B46" s="3" t="str">
        <f t="shared" si="13"/>
        <v>Gooseberries</v>
      </c>
      <c r="C46" s="3" t="str">
        <f t="shared" si="14"/>
        <v>Berries</v>
      </c>
      <c r="D46" s="41" t="str">
        <f t="shared" si="15"/>
        <v>No</v>
      </c>
      <c r="E46" s="424" t="str">
        <f t="shared" si="16"/>
        <v/>
      </c>
      <c r="F46" s="407" t="str">
        <f t="shared" si="17"/>
        <v/>
      </c>
      <c r="G46" s="419" t="str">
        <f t="shared" si="18"/>
        <v/>
      </c>
      <c r="H46" s="407" t="str">
        <f t="shared" si="19"/>
        <v/>
      </c>
      <c r="I46" s="419" t="str">
        <f t="shared" si="20"/>
        <v/>
      </c>
      <c r="J46" s="407" t="str">
        <f t="shared" si="21"/>
        <v/>
      </c>
      <c r="K46" s="54" t="str">
        <f t="shared" si="22"/>
        <v/>
      </c>
      <c r="L46" s="54" t="str">
        <f t="shared" si="23"/>
        <v/>
      </c>
      <c r="M46" s="419" t="str">
        <f t="shared" si="24"/>
        <v/>
      </c>
      <c r="N46" s="419" t="str">
        <f t="shared" si="25"/>
        <v/>
      </c>
      <c r="O46" s="54"/>
    </row>
    <row r="47" spans="1:15" x14ac:dyDescent="0.3">
      <c r="A47" s="40" t="s">
        <v>81</v>
      </c>
      <c r="B47" s="3" t="str">
        <f t="shared" si="13"/>
        <v>Grapes</v>
      </c>
      <c r="C47" s="3" t="str">
        <f t="shared" si="14"/>
        <v>Fruits</v>
      </c>
      <c r="D47" s="41" t="str">
        <f t="shared" si="15"/>
        <v>Yes</v>
      </c>
      <c r="E47" s="424">
        <f t="shared" si="16"/>
        <v>0.9332567108027281</v>
      </c>
      <c r="F47" s="407">
        <f t="shared" si="17"/>
        <v>2.0914594554681996E-2</v>
      </c>
      <c r="G47" s="419">
        <f t="shared" si="18"/>
        <v>3.01313E-2</v>
      </c>
      <c r="H47" s="407">
        <f t="shared" si="19"/>
        <v>5.2059963857690857E-2</v>
      </c>
      <c r="I47" s="419">
        <f t="shared" si="20"/>
        <v>5.205996385769086E-3</v>
      </c>
      <c r="J47" s="407">
        <f t="shared" si="21"/>
        <v>0.81222293114493727</v>
      </c>
      <c r="K47" s="54">
        <f t="shared" si="22"/>
        <v>0</v>
      </c>
      <c r="L47" s="54">
        <f t="shared" si="23"/>
        <v>7.0013072767325536E-3</v>
      </c>
      <c r="M47" s="419">
        <f t="shared" si="24"/>
        <v>5.7206175829163184E-3</v>
      </c>
      <c r="N47" s="419">
        <f t="shared" si="25"/>
        <v>0</v>
      </c>
      <c r="O47" s="54"/>
    </row>
    <row r="48" spans="1:15" x14ac:dyDescent="0.3">
      <c r="A48" s="40" t="s">
        <v>82</v>
      </c>
      <c r="B48" s="3" t="str">
        <f t="shared" si="13"/>
        <v>Green corn (maize)</v>
      </c>
      <c r="C48" s="3" t="str">
        <f t="shared" si="14"/>
        <v>Vegetables</v>
      </c>
      <c r="D48" s="41" t="str">
        <f t="shared" si="15"/>
        <v>No</v>
      </c>
      <c r="E48" s="424" t="str">
        <f t="shared" si="16"/>
        <v/>
      </c>
      <c r="F48" s="407" t="str">
        <f t="shared" si="17"/>
        <v/>
      </c>
      <c r="G48" s="419" t="str">
        <f t="shared" si="18"/>
        <v/>
      </c>
      <c r="H48" s="407" t="str">
        <f t="shared" si="19"/>
        <v/>
      </c>
      <c r="I48" s="419" t="str">
        <f t="shared" si="20"/>
        <v/>
      </c>
      <c r="J48" s="407" t="str">
        <f t="shared" si="21"/>
        <v/>
      </c>
      <c r="K48" s="54" t="str">
        <f t="shared" si="22"/>
        <v/>
      </c>
      <c r="L48" s="54" t="str">
        <f t="shared" si="23"/>
        <v/>
      </c>
      <c r="M48" s="419" t="str">
        <f t="shared" si="24"/>
        <v/>
      </c>
      <c r="N48" s="419" t="str">
        <f t="shared" si="25"/>
        <v/>
      </c>
      <c r="O48" s="54"/>
    </row>
    <row r="49" spans="1:15" x14ac:dyDescent="0.3">
      <c r="A49" s="40" t="s">
        <v>83</v>
      </c>
      <c r="B49" s="3" t="str">
        <f t="shared" si="13"/>
        <v>Green garlic</v>
      </c>
      <c r="C49" s="3" t="str">
        <f t="shared" si="14"/>
        <v>Vegetables</v>
      </c>
      <c r="D49" s="41" t="str">
        <f t="shared" si="15"/>
        <v>Yes</v>
      </c>
      <c r="E49" s="424">
        <f t="shared" si="16"/>
        <v>0.19074324760767261</v>
      </c>
      <c r="F49" s="407">
        <f t="shared" si="17"/>
        <v>1.588155361853387E-2</v>
      </c>
      <c r="G49" s="419">
        <f t="shared" si="18"/>
        <v>3.01313E-2</v>
      </c>
      <c r="H49" s="407">
        <f t="shared" si="19"/>
        <v>2.8042811984921465E-2</v>
      </c>
      <c r="I49" s="419">
        <f t="shared" si="20"/>
        <v>2.8042811984921468E-3</v>
      </c>
      <c r="J49" s="407">
        <f t="shared" si="21"/>
        <v>0.10532882075365517</v>
      </c>
      <c r="K49" s="54">
        <f t="shared" si="22"/>
        <v>0</v>
      </c>
      <c r="L49" s="54">
        <f t="shared" si="23"/>
        <v>2.8338624691536521E-3</v>
      </c>
      <c r="M49" s="419">
        <f t="shared" si="24"/>
        <v>5.7206175829163184E-3</v>
      </c>
      <c r="N49" s="419">
        <f t="shared" si="25"/>
        <v>0</v>
      </c>
      <c r="O49" s="54"/>
    </row>
    <row r="50" spans="1:15" x14ac:dyDescent="0.3">
      <c r="A50" s="40" t="s">
        <v>84</v>
      </c>
      <c r="B50" s="3" t="str">
        <f t="shared" si="13"/>
        <v>Groundnuts, excluding shelled</v>
      </c>
      <c r="C50" s="3" t="str">
        <f t="shared" si="14"/>
        <v>Nuts</v>
      </c>
      <c r="D50" s="41" t="str">
        <f t="shared" si="15"/>
        <v>No</v>
      </c>
      <c r="E50" s="424" t="str">
        <f t="shared" si="16"/>
        <v/>
      </c>
      <c r="F50" s="407" t="str">
        <f t="shared" si="17"/>
        <v/>
      </c>
      <c r="G50" s="419" t="str">
        <f t="shared" si="18"/>
        <v/>
      </c>
      <c r="H50" s="407" t="str">
        <f t="shared" si="19"/>
        <v/>
      </c>
      <c r="I50" s="419" t="str">
        <f t="shared" si="20"/>
        <v/>
      </c>
      <c r="J50" s="407" t="str">
        <f t="shared" si="21"/>
        <v/>
      </c>
      <c r="K50" s="54" t="str">
        <f t="shared" si="22"/>
        <v/>
      </c>
      <c r="L50" s="54" t="str">
        <f t="shared" si="23"/>
        <v/>
      </c>
      <c r="M50" s="419" t="str">
        <f t="shared" si="24"/>
        <v/>
      </c>
      <c r="N50" s="419" t="str">
        <f t="shared" si="25"/>
        <v/>
      </c>
      <c r="O50" s="54"/>
    </row>
    <row r="51" spans="1:15" x14ac:dyDescent="0.3">
      <c r="A51" s="40" t="s">
        <v>85</v>
      </c>
      <c r="B51" s="3" t="str">
        <f t="shared" si="13"/>
        <v>Hazelnuts, in shell</v>
      </c>
      <c r="C51" s="3" t="str">
        <f t="shared" si="14"/>
        <v>Nuts</v>
      </c>
      <c r="D51" s="41" t="str">
        <f t="shared" si="15"/>
        <v>No</v>
      </c>
      <c r="E51" s="424" t="str">
        <f t="shared" si="16"/>
        <v/>
      </c>
      <c r="F51" s="407" t="str">
        <f t="shared" si="17"/>
        <v/>
      </c>
      <c r="G51" s="419" t="str">
        <f t="shared" si="18"/>
        <v/>
      </c>
      <c r="H51" s="407" t="str">
        <f t="shared" si="19"/>
        <v/>
      </c>
      <c r="I51" s="419" t="str">
        <f t="shared" si="20"/>
        <v/>
      </c>
      <c r="J51" s="407" t="str">
        <f t="shared" si="21"/>
        <v/>
      </c>
      <c r="K51" s="54" t="str">
        <f t="shared" si="22"/>
        <v/>
      </c>
      <c r="L51" s="54" t="str">
        <f t="shared" si="23"/>
        <v/>
      </c>
      <c r="M51" s="419" t="str">
        <f t="shared" si="24"/>
        <v/>
      </c>
      <c r="N51" s="419" t="str">
        <f t="shared" si="25"/>
        <v/>
      </c>
      <c r="O51" s="54"/>
    </row>
    <row r="52" spans="1:15" x14ac:dyDescent="0.3">
      <c r="A52" s="40" t="s">
        <v>86</v>
      </c>
      <c r="B52" s="3" t="str">
        <f t="shared" si="13"/>
        <v>Kiwi fruit</v>
      </c>
      <c r="C52" s="3" t="str">
        <f t="shared" si="14"/>
        <v>Fruits</v>
      </c>
      <c r="D52" s="41" t="str">
        <f t="shared" si="15"/>
        <v>No</v>
      </c>
      <c r="E52" s="424" t="str">
        <f t="shared" si="16"/>
        <v/>
      </c>
      <c r="F52" s="407" t="str">
        <f t="shared" si="17"/>
        <v/>
      </c>
      <c r="G52" s="419" t="str">
        <f t="shared" si="18"/>
        <v/>
      </c>
      <c r="H52" s="407" t="str">
        <f t="shared" si="19"/>
        <v/>
      </c>
      <c r="I52" s="419" t="str">
        <f t="shared" si="20"/>
        <v/>
      </c>
      <c r="J52" s="407" t="str">
        <f t="shared" si="21"/>
        <v/>
      </c>
      <c r="K52" s="54" t="str">
        <f t="shared" si="22"/>
        <v/>
      </c>
      <c r="L52" s="54" t="str">
        <f t="shared" si="23"/>
        <v/>
      </c>
      <c r="M52" s="419" t="str">
        <f t="shared" si="24"/>
        <v/>
      </c>
      <c r="N52" s="419" t="str">
        <f t="shared" si="25"/>
        <v/>
      </c>
      <c r="O52" s="54"/>
    </row>
    <row r="53" spans="1:15" x14ac:dyDescent="0.3">
      <c r="A53" s="40" t="s">
        <v>87</v>
      </c>
      <c r="B53" s="3" t="str">
        <f t="shared" si="13"/>
        <v>Leeks and other alliaceous vegetables</v>
      </c>
      <c r="C53" s="3" t="str">
        <f t="shared" si="14"/>
        <v>Vegetables</v>
      </c>
      <c r="D53" s="41" t="str">
        <f t="shared" si="15"/>
        <v>Yes</v>
      </c>
      <c r="E53" s="424">
        <f t="shared" si="16"/>
        <v>0.15373786989267588</v>
      </c>
      <c r="F53" s="407">
        <f t="shared" si="17"/>
        <v>3.8044745627432486E-2</v>
      </c>
      <c r="G53" s="419">
        <f t="shared" si="18"/>
        <v>3.01313E-2</v>
      </c>
      <c r="H53" s="407">
        <f t="shared" si="19"/>
        <v>5.8133663784340692E-2</v>
      </c>
      <c r="I53" s="419">
        <f t="shared" si="20"/>
        <v>5.8133663784340692E-3</v>
      </c>
      <c r="J53" s="407">
        <f t="shared" si="21"/>
        <v>1.3060314050398668E-2</v>
      </c>
      <c r="K53" s="54">
        <f t="shared" si="22"/>
        <v>0</v>
      </c>
      <c r="L53" s="54">
        <f t="shared" si="23"/>
        <v>2.8338624691536525E-3</v>
      </c>
      <c r="M53" s="419">
        <f t="shared" si="24"/>
        <v>5.7206175829163184E-3</v>
      </c>
      <c r="N53" s="419">
        <f t="shared" si="25"/>
        <v>0</v>
      </c>
      <c r="O53" s="54"/>
    </row>
    <row r="54" spans="1:15" x14ac:dyDescent="0.3">
      <c r="A54" s="40" t="s">
        <v>88</v>
      </c>
      <c r="B54" s="3" t="str">
        <f t="shared" si="13"/>
        <v>Lemons and limes</v>
      </c>
      <c r="C54" s="3" t="str">
        <f t="shared" si="14"/>
        <v>Fruits</v>
      </c>
      <c r="D54" s="41" t="str">
        <f t="shared" si="15"/>
        <v>No</v>
      </c>
      <c r="E54" s="424" t="str">
        <f t="shared" si="16"/>
        <v/>
      </c>
      <c r="F54" s="407" t="str">
        <f t="shared" si="17"/>
        <v/>
      </c>
      <c r="G54" s="419" t="str">
        <f t="shared" si="18"/>
        <v/>
      </c>
      <c r="H54" s="407" t="str">
        <f t="shared" si="19"/>
        <v/>
      </c>
      <c r="I54" s="419" t="str">
        <f t="shared" si="20"/>
        <v/>
      </c>
      <c r="J54" s="407" t="str">
        <f t="shared" si="21"/>
        <v/>
      </c>
      <c r="K54" s="54" t="str">
        <f t="shared" si="22"/>
        <v/>
      </c>
      <c r="L54" s="54" t="str">
        <f t="shared" si="23"/>
        <v/>
      </c>
      <c r="M54" s="419" t="str">
        <f t="shared" si="24"/>
        <v/>
      </c>
      <c r="N54" s="419" t="str">
        <f t="shared" si="25"/>
        <v/>
      </c>
      <c r="O54" s="54"/>
    </row>
    <row r="55" spans="1:15" x14ac:dyDescent="0.3">
      <c r="A55" s="40" t="s">
        <v>89</v>
      </c>
      <c r="B55" s="3" t="str">
        <f t="shared" si="13"/>
        <v>Lentils, dry</v>
      </c>
      <c r="C55" s="3" t="str">
        <f t="shared" si="14"/>
        <v>Pulses</v>
      </c>
      <c r="D55" s="41" t="str">
        <f t="shared" si="15"/>
        <v>Yes</v>
      </c>
      <c r="E55" s="424">
        <f t="shared" si="16"/>
        <v>0.35967775435335247</v>
      </c>
      <c r="F55" s="407">
        <f t="shared" si="17"/>
        <v>0</v>
      </c>
      <c r="G55" s="419">
        <f t="shared" si="18"/>
        <v>3.01313E-2</v>
      </c>
      <c r="H55" s="407">
        <f t="shared" si="19"/>
        <v>4.9522689215999997E-2</v>
      </c>
      <c r="I55" s="419">
        <f t="shared" si="20"/>
        <v>4.9522689215999996E-3</v>
      </c>
      <c r="J55" s="407">
        <f t="shared" si="21"/>
        <v>0.23939318288355557</v>
      </c>
      <c r="K55" s="54">
        <f t="shared" si="22"/>
        <v>0</v>
      </c>
      <c r="L55" s="54">
        <f t="shared" si="23"/>
        <v>8.3348896151578009E-5</v>
      </c>
      <c r="M55" s="419">
        <f t="shared" si="24"/>
        <v>3.5594964436045345E-2</v>
      </c>
      <c r="N55" s="419">
        <f t="shared" si="25"/>
        <v>0</v>
      </c>
      <c r="O55" s="54"/>
    </row>
    <row r="56" spans="1:15" x14ac:dyDescent="0.3">
      <c r="A56" s="40" t="s">
        <v>90</v>
      </c>
      <c r="B56" s="3" t="str">
        <f t="shared" si="13"/>
        <v>Lettuce and chicory</v>
      </c>
      <c r="C56" s="3" t="str">
        <f t="shared" si="14"/>
        <v>Vegetables</v>
      </c>
      <c r="D56" s="41" t="str">
        <f t="shared" si="15"/>
        <v>Yes</v>
      </c>
      <c r="E56" s="424">
        <f t="shared" si="16"/>
        <v>0.17213755271155073</v>
      </c>
      <c r="F56" s="407">
        <f t="shared" si="17"/>
        <v>3.3364128548613148E-2</v>
      </c>
      <c r="G56" s="419">
        <f t="shared" si="18"/>
        <v>3.01313E-2</v>
      </c>
      <c r="H56" s="407">
        <f t="shared" si="19"/>
        <v>6.8962632130059015E-2</v>
      </c>
      <c r="I56" s="419">
        <f t="shared" si="20"/>
        <v>6.8962632130059017E-3</v>
      </c>
      <c r="J56" s="407">
        <f t="shared" si="21"/>
        <v>2.4228748767802705E-2</v>
      </c>
      <c r="K56" s="54">
        <f t="shared" si="22"/>
        <v>0</v>
      </c>
      <c r="L56" s="54">
        <f t="shared" si="23"/>
        <v>2.8338624691536521E-3</v>
      </c>
      <c r="M56" s="419">
        <f t="shared" si="24"/>
        <v>5.7206175829163184E-3</v>
      </c>
      <c r="N56" s="419">
        <f t="shared" si="25"/>
        <v>0</v>
      </c>
      <c r="O56" s="54"/>
    </row>
    <row r="57" spans="1:15" x14ac:dyDescent="0.3">
      <c r="A57" s="40" t="s">
        <v>91</v>
      </c>
      <c r="B57" s="3" t="str">
        <f t="shared" si="13"/>
        <v>Linseed</v>
      </c>
      <c r="C57" s="3" t="str">
        <f t="shared" si="14"/>
        <v>Seeds</v>
      </c>
      <c r="D57" s="41" t="str">
        <f t="shared" si="15"/>
        <v>Yes</v>
      </c>
      <c r="E57" s="424">
        <f t="shared" si="16"/>
        <v>0.70872236989949422</v>
      </c>
      <c r="F57" s="407">
        <f t="shared" si="17"/>
        <v>0.19259045745758643</v>
      </c>
      <c r="G57" s="419">
        <f t="shared" si="18"/>
        <v>3.01313E-2</v>
      </c>
      <c r="H57" s="407">
        <f t="shared" si="19"/>
        <v>0.28514339994733845</v>
      </c>
      <c r="I57" s="419">
        <f t="shared" si="20"/>
        <v>2.8514339994733851E-2</v>
      </c>
      <c r="J57" s="407">
        <f t="shared" si="21"/>
        <v>0.11324351934904513</v>
      </c>
      <c r="K57" s="54">
        <f t="shared" si="22"/>
        <v>0</v>
      </c>
      <c r="L57" s="54">
        <f t="shared" si="23"/>
        <v>2.3504388714744997E-2</v>
      </c>
      <c r="M57" s="419">
        <f t="shared" si="24"/>
        <v>3.5594964436045345E-2</v>
      </c>
      <c r="N57" s="419">
        <f t="shared" si="25"/>
        <v>0</v>
      </c>
      <c r="O57" s="54"/>
    </row>
    <row r="58" spans="1:15" x14ac:dyDescent="0.3">
      <c r="A58" s="40" t="s">
        <v>92</v>
      </c>
      <c r="B58" s="3" t="str">
        <f t="shared" si="13"/>
        <v>Lupins</v>
      </c>
      <c r="C58" s="3" t="str">
        <f t="shared" si="14"/>
        <v>Pulses</v>
      </c>
      <c r="D58" s="41" t="str">
        <f t="shared" si="15"/>
        <v>No</v>
      </c>
      <c r="E58" s="424" t="str">
        <f t="shared" si="16"/>
        <v/>
      </c>
      <c r="F58" s="407" t="str">
        <f t="shared" si="17"/>
        <v/>
      </c>
      <c r="G58" s="419" t="str">
        <f t="shared" si="18"/>
        <v/>
      </c>
      <c r="H58" s="407" t="str">
        <f t="shared" si="19"/>
        <v/>
      </c>
      <c r="I58" s="419" t="str">
        <f t="shared" si="20"/>
        <v/>
      </c>
      <c r="J58" s="407" t="str">
        <f t="shared" si="21"/>
        <v/>
      </c>
      <c r="K58" s="54" t="str">
        <f t="shared" si="22"/>
        <v/>
      </c>
      <c r="L58" s="54" t="str">
        <f t="shared" si="23"/>
        <v/>
      </c>
      <c r="M58" s="419" t="str">
        <f t="shared" si="24"/>
        <v/>
      </c>
      <c r="N58" s="419" t="str">
        <f t="shared" si="25"/>
        <v/>
      </c>
      <c r="O58" s="54"/>
    </row>
    <row r="59" spans="1:15" x14ac:dyDescent="0.3">
      <c r="A59" s="40" t="s">
        <v>93</v>
      </c>
      <c r="B59" s="3" t="str">
        <f t="shared" si="13"/>
        <v>Maize (corn)</v>
      </c>
      <c r="C59" s="3" t="str">
        <f t="shared" si="14"/>
        <v>Cereals, incl feed</v>
      </c>
      <c r="D59" s="41" t="str">
        <f t="shared" si="15"/>
        <v>Yes</v>
      </c>
      <c r="E59" s="424">
        <f t="shared" si="16"/>
        <v>0.37291683727976122</v>
      </c>
      <c r="F59" s="407">
        <f t="shared" si="17"/>
        <v>0.10095958896381138</v>
      </c>
      <c r="G59" s="419">
        <f t="shared" si="18"/>
        <v>3.01313E-2</v>
      </c>
      <c r="H59" s="407">
        <f t="shared" si="19"/>
        <v>0.15781247411473528</v>
      </c>
      <c r="I59" s="419">
        <f t="shared" si="20"/>
        <v>1.5781247411473527E-2</v>
      </c>
      <c r="J59" s="407">
        <f t="shared" si="21"/>
        <v>2.8469817546116778E-2</v>
      </c>
      <c r="K59" s="54">
        <f t="shared" si="22"/>
        <v>0</v>
      </c>
      <c r="L59" s="54">
        <f t="shared" si="23"/>
        <v>4.1674448075789015E-3</v>
      </c>
      <c r="M59" s="419">
        <f t="shared" si="24"/>
        <v>3.5594964436045345E-2</v>
      </c>
      <c r="N59" s="419">
        <f t="shared" si="25"/>
        <v>0</v>
      </c>
      <c r="O59" s="54"/>
    </row>
    <row r="60" spans="1:15" x14ac:dyDescent="0.3">
      <c r="A60" s="40" t="s">
        <v>94</v>
      </c>
      <c r="B60" s="3" t="str">
        <f t="shared" si="13"/>
        <v>Mangoes, guavas and mangosteens</v>
      </c>
      <c r="C60" s="3" t="str">
        <f t="shared" si="14"/>
        <v>Fruits</v>
      </c>
      <c r="D60" s="41" t="str">
        <f t="shared" si="15"/>
        <v>No</v>
      </c>
      <c r="E60" s="424" t="str">
        <f t="shared" si="16"/>
        <v/>
      </c>
      <c r="F60" s="407" t="str">
        <f t="shared" si="17"/>
        <v/>
      </c>
      <c r="G60" s="419" t="str">
        <f t="shared" si="18"/>
        <v/>
      </c>
      <c r="H60" s="407" t="str">
        <f t="shared" si="19"/>
        <v/>
      </c>
      <c r="I60" s="419" t="str">
        <f t="shared" si="20"/>
        <v/>
      </c>
      <c r="J60" s="407" t="str">
        <f t="shared" si="21"/>
        <v/>
      </c>
      <c r="K60" s="54" t="str">
        <f t="shared" si="22"/>
        <v/>
      </c>
      <c r="L60" s="54" t="str">
        <f t="shared" si="23"/>
        <v/>
      </c>
      <c r="M60" s="419" t="str">
        <f t="shared" si="24"/>
        <v/>
      </c>
      <c r="N60" s="419" t="str">
        <f t="shared" si="25"/>
        <v/>
      </c>
      <c r="O60" s="54"/>
    </row>
    <row r="61" spans="1:15" x14ac:dyDescent="0.3">
      <c r="A61" s="40" t="s">
        <v>95</v>
      </c>
      <c r="B61" s="3" t="str">
        <f t="shared" si="13"/>
        <v>Millet</v>
      </c>
      <c r="C61" s="3" t="str">
        <f t="shared" si="14"/>
        <v>Cereals</v>
      </c>
      <c r="D61" s="41" t="str">
        <f t="shared" si="15"/>
        <v>No</v>
      </c>
      <c r="E61" s="424" t="str">
        <f t="shared" si="16"/>
        <v/>
      </c>
      <c r="F61" s="407" t="str">
        <f t="shared" si="17"/>
        <v/>
      </c>
      <c r="G61" s="419" t="str">
        <f t="shared" si="18"/>
        <v/>
      </c>
      <c r="H61" s="407" t="str">
        <f t="shared" si="19"/>
        <v/>
      </c>
      <c r="I61" s="419" t="str">
        <f t="shared" si="20"/>
        <v/>
      </c>
      <c r="J61" s="407" t="str">
        <f t="shared" si="21"/>
        <v/>
      </c>
      <c r="K61" s="54" t="str">
        <f t="shared" si="22"/>
        <v/>
      </c>
      <c r="L61" s="54" t="str">
        <f t="shared" si="23"/>
        <v/>
      </c>
      <c r="M61" s="419" t="str">
        <f t="shared" si="24"/>
        <v/>
      </c>
      <c r="N61" s="419" t="str">
        <f t="shared" si="25"/>
        <v/>
      </c>
      <c r="O61" s="54"/>
    </row>
    <row r="62" spans="1:15" x14ac:dyDescent="0.3">
      <c r="A62" s="40" t="s">
        <v>96</v>
      </c>
      <c r="B62" s="3" t="str">
        <f t="shared" si="13"/>
        <v>Mixed grain</v>
      </c>
      <c r="C62" s="3" t="str">
        <f t="shared" si="14"/>
        <v>Cereals</v>
      </c>
      <c r="D62" s="41" t="str">
        <f t="shared" si="15"/>
        <v>No</v>
      </c>
      <c r="E62" s="424" t="str">
        <f t="shared" si="16"/>
        <v/>
      </c>
      <c r="F62" s="407" t="str">
        <f t="shared" si="17"/>
        <v/>
      </c>
      <c r="G62" s="419" t="str">
        <f t="shared" si="18"/>
        <v/>
      </c>
      <c r="H62" s="407" t="str">
        <f t="shared" si="19"/>
        <v/>
      </c>
      <c r="I62" s="419" t="str">
        <f t="shared" si="20"/>
        <v/>
      </c>
      <c r="J62" s="407" t="str">
        <f t="shared" si="21"/>
        <v/>
      </c>
      <c r="K62" s="54" t="str">
        <f t="shared" si="22"/>
        <v/>
      </c>
      <c r="L62" s="54" t="str">
        <f t="shared" si="23"/>
        <v/>
      </c>
      <c r="M62" s="419" t="str">
        <f t="shared" si="24"/>
        <v/>
      </c>
      <c r="N62" s="419" t="str">
        <f t="shared" si="25"/>
        <v/>
      </c>
      <c r="O62" s="54"/>
    </row>
    <row r="63" spans="1:15" x14ac:dyDescent="0.3">
      <c r="A63" s="40" t="s">
        <v>97</v>
      </c>
      <c r="B63" s="3" t="str">
        <f t="shared" si="13"/>
        <v>Mushrooms and truffles</v>
      </c>
      <c r="C63" s="3" t="str">
        <f t="shared" si="14"/>
        <v>Mushrooms</v>
      </c>
      <c r="D63" s="41" t="str">
        <f t="shared" si="15"/>
        <v>No</v>
      </c>
      <c r="E63" s="424" t="str">
        <f t="shared" si="16"/>
        <v/>
      </c>
      <c r="F63" s="407" t="str">
        <f t="shared" si="17"/>
        <v/>
      </c>
      <c r="G63" s="419" t="str">
        <f t="shared" si="18"/>
        <v/>
      </c>
      <c r="H63" s="407" t="str">
        <f t="shared" si="19"/>
        <v/>
      </c>
      <c r="I63" s="419" t="str">
        <f t="shared" si="20"/>
        <v/>
      </c>
      <c r="J63" s="407" t="str">
        <f t="shared" si="21"/>
        <v/>
      </c>
      <c r="K63" s="54" t="str">
        <f t="shared" si="22"/>
        <v/>
      </c>
      <c r="L63" s="54" t="str">
        <f t="shared" si="23"/>
        <v/>
      </c>
      <c r="M63" s="419" t="str">
        <f t="shared" si="24"/>
        <v/>
      </c>
      <c r="N63" s="419" t="str">
        <f t="shared" si="25"/>
        <v/>
      </c>
      <c r="O63" s="54"/>
    </row>
    <row r="64" spans="1:15" x14ac:dyDescent="0.3">
      <c r="A64" s="40" t="s">
        <v>98</v>
      </c>
      <c r="B64" s="3" t="str">
        <f t="shared" si="13"/>
        <v>Oats</v>
      </c>
      <c r="C64" s="3" t="str">
        <f t="shared" si="14"/>
        <v>Cereals, incl feed</v>
      </c>
      <c r="D64" s="41" t="str">
        <f t="shared" si="15"/>
        <v>Yes</v>
      </c>
      <c r="E64" s="424">
        <f t="shared" si="16"/>
        <v>0.37345007500066307</v>
      </c>
      <c r="F64" s="407">
        <f t="shared" si="17"/>
        <v>9.1382276230879911E-2</v>
      </c>
      <c r="G64" s="419">
        <f t="shared" si="18"/>
        <v>3.01313E-2</v>
      </c>
      <c r="H64" s="407">
        <f t="shared" si="19"/>
        <v>0.15336934583584519</v>
      </c>
      <c r="I64" s="419">
        <f t="shared" si="20"/>
        <v>1.5336934583584519E-2</v>
      </c>
      <c r="J64" s="407">
        <f t="shared" si="21"/>
        <v>4.7635253914308118E-2</v>
      </c>
      <c r="K64" s="54">
        <f t="shared" si="22"/>
        <v>0</v>
      </c>
      <c r="L64" s="54">
        <f t="shared" si="23"/>
        <v>0</v>
      </c>
      <c r="M64" s="419">
        <f t="shared" si="24"/>
        <v>3.5594964436045345E-2</v>
      </c>
      <c r="N64" s="419">
        <f t="shared" si="25"/>
        <v>0</v>
      </c>
      <c r="O64" s="54"/>
    </row>
    <row r="65" spans="1:15" x14ac:dyDescent="0.3">
      <c r="A65" s="40" t="s">
        <v>99</v>
      </c>
      <c r="B65" s="3" t="str">
        <f t="shared" si="13"/>
        <v>Oil palm fruit</v>
      </c>
      <c r="C65" s="3" t="str">
        <f t="shared" si="14"/>
        <v>Oil crops, tree</v>
      </c>
      <c r="D65" s="41" t="str">
        <f t="shared" si="15"/>
        <v>No</v>
      </c>
      <c r="E65" s="424" t="str">
        <f t="shared" si="16"/>
        <v/>
      </c>
      <c r="F65" s="407" t="str">
        <f t="shared" si="17"/>
        <v/>
      </c>
      <c r="G65" s="419" t="str">
        <f t="shared" si="18"/>
        <v/>
      </c>
      <c r="H65" s="407" t="str">
        <f t="shared" si="19"/>
        <v/>
      </c>
      <c r="I65" s="419" t="str">
        <f t="shared" si="20"/>
        <v/>
      </c>
      <c r="J65" s="407" t="str">
        <f t="shared" si="21"/>
        <v/>
      </c>
      <c r="K65" s="54" t="str">
        <f t="shared" si="22"/>
        <v/>
      </c>
      <c r="L65" s="54" t="str">
        <f t="shared" si="23"/>
        <v/>
      </c>
      <c r="M65" s="419" t="str">
        <f t="shared" si="24"/>
        <v/>
      </c>
      <c r="N65" s="419" t="str">
        <f t="shared" si="25"/>
        <v/>
      </c>
      <c r="O65" s="54"/>
    </row>
    <row r="66" spans="1:15" x14ac:dyDescent="0.3">
      <c r="A66" s="40" t="s">
        <v>100</v>
      </c>
      <c r="B66" s="3" t="str">
        <f t="shared" si="13"/>
        <v>Olives</v>
      </c>
      <c r="C66" s="3" t="str">
        <f t="shared" si="14"/>
        <v>Oil crops, tree</v>
      </c>
      <c r="D66" s="41" t="str">
        <f t="shared" si="15"/>
        <v>No</v>
      </c>
      <c r="E66" s="424" t="str">
        <f t="shared" si="16"/>
        <v/>
      </c>
      <c r="F66" s="407" t="str">
        <f t="shared" si="17"/>
        <v/>
      </c>
      <c r="G66" s="419" t="str">
        <f t="shared" si="18"/>
        <v/>
      </c>
      <c r="H66" s="407" t="str">
        <f t="shared" si="19"/>
        <v/>
      </c>
      <c r="I66" s="419" t="str">
        <f t="shared" si="20"/>
        <v/>
      </c>
      <c r="J66" s="407" t="str">
        <f t="shared" si="21"/>
        <v/>
      </c>
      <c r="K66" s="54" t="str">
        <f t="shared" si="22"/>
        <v/>
      </c>
      <c r="L66" s="54" t="str">
        <f t="shared" si="23"/>
        <v/>
      </c>
      <c r="M66" s="419" t="str">
        <f t="shared" si="24"/>
        <v/>
      </c>
      <c r="N66" s="419" t="str">
        <f t="shared" si="25"/>
        <v/>
      </c>
      <c r="O66" s="54"/>
    </row>
    <row r="67" spans="1:15" x14ac:dyDescent="0.3">
      <c r="A67" s="40" t="s">
        <v>101</v>
      </c>
      <c r="B67" s="3" t="str">
        <f t="shared" si="13"/>
        <v>Onions and shallots, dry (excluding dehydrated)</v>
      </c>
      <c r="C67" s="3" t="str">
        <f t="shared" si="14"/>
        <v>Vegetables</v>
      </c>
      <c r="D67" s="41" t="str">
        <f t="shared" si="15"/>
        <v>Yes</v>
      </c>
      <c r="E67" s="424">
        <f t="shared" si="16"/>
        <v>9.3577142026971857E-2</v>
      </c>
      <c r="F67" s="407">
        <f t="shared" si="17"/>
        <v>1.588155361853387E-2</v>
      </c>
      <c r="G67" s="419">
        <f t="shared" si="18"/>
        <v>3.01313E-2</v>
      </c>
      <c r="H67" s="407">
        <f t="shared" si="19"/>
        <v>2.8042811984921472E-2</v>
      </c>
      <c r="I67" s="419">
        <f t="shared" si="20"/>
        <v>2.8042811984921477E-3</v>
      </c>
      <c r="J67" s="407">
        <f t="shared" si="21"/>
        <v>8.3294133289121206E-3</v>
      </c>
      <c r="K67" s="54">
        <f t="shared" si="22"/>
        <v>0</v>
      </c>
      <c r="L67" s="54">
        <f t="shared" si="23"/>
        <v>2.6671643131959437E-3</v>
      </c>
      <c r="M67" s="419">
        <f t="shared" si="24"/>
        <v>5.7206175829163184E-3</v>
      </c>
      <c r="N67" s="419">
        <f t="shared" si="25"/>
        <v>0</v>
      </c>
      <c r="O67" s="54"/>
    </row>
    <row r="68" spans="1:15" x14ac:dyDescent="0.3">
      <c r="A68" s="40" t="s">
        <v>102</v>
      </c>
      <c r="B68" s="3" t="str">
        <f t="shared" si="13"/>
        <v>Oranges</v>
      </c>
      <c r="C68" s="3" t="str">
        <f t="shared" si="14"/>
        <v>Fruits</v>
      </c>
      <c r="D68" s="41" t="str">
        <f t="shared" si="15"/>
        <v>No</v>
      </c>
      <c r="E68" s="424" t="str">
        <f t="shared" si="16"/>
        <v/>
      </c>
      <c r="F68" s="407" t="str">
        <f t="shared" si="17"/>
        <v/>
      </c>
      <c r="G68" s="419" t="str">
        <f t="shared" si="18"/>
        <v/>
      </c>
      <c r="H68" s="407" t="str">
        <f t="shared" si="19"/>
        <v/>
      </c>
      <c r="I68" s="419" t="str">
        <f t="shared" si="20"/>
        <v/>
      </c>
      <c r="J68" s="407" t="str">
        <f t="shared" si="21"/>
        <v/>
      </c>
      <c r="K68" s="54" t="str">
        <f t="shared" si="22"/>
        <v/>
      </c>
      <c r="L68" s="54" t="str">
        <f t="shared" si="23"/>
        <v/>
      </c>
      <c r="M68" s="419" t="str">
        <f t="shared" si="24"/>
        <v/>
      </c>
      <c r="N68" s="419" t="str">
        <f t="shared" si="25"/>
        <v/>
      </c>
      <c r="O68" s="54"/>
    </row>
    <row r="69" spans="1:15" x14ac:dyDescent="0.3">
      <c r="A69" s="40" t="s">
        <v>103</v>
      </c>
      <c r="B69" s="3" t="str">
        <f t="shared" si="13"/>
        <v>Other beans, green</v>
      </c>
      <c r="C69" s="3" t="str">
        <f t="shared" si="14"/>
        <v>Vegetables</v>
      </c>
      <c r="D69" s="41" t="str">
        <f t="shared" si="15"/>
        <v>Yes</v>
      </c>
      <c r="E69" s="424">
        <f t="shared" si="16"/>
        <v>0.16546170972938351</v>
      </c>
      <c r="F69" s="407">
        <f t="shared" si="17"/>
        <v>3.9558903770735123E-3</v>
      </c>
      <c r="G69" s="419">
        <f t="shared" si="18"/>
        <v>3.01313E-2</v>
      </c>
      <c r="H69" s="407">
        <f t="shared" si="19"/>
        <v>5.4893581234779353E-2</v>
      </c>
      <c r="I69" s="419">
        <f t="shared" si="20"/>
        <v>5.4893581234779359E-3</v>
      </c>
      <c r="J69" s="407">
        <f t="shared" si="21"/>
        <v>6.5187613514984838E-2</v>
      </c>
      <c r="K69" s="54">
        <f t="shared" si="22"/>
        <v>0</v>
      </c>
      <c r="L69" s="54">
        <f t="shared" si="23"/>
        <v>8.3348896151578009E-5</v>
      </c>
      <c r="M69" s="419">
        <f t="shared" si="24"/>
        <v>5.7206175829163184E-3</v>
      </c>
      <c r="N69" s="419">
        <f t="shared" si="25"/>
        <v>0</v>
      </c>
      <c r="O69" s="54"/>
    </row>
    <row r="70" spans="1:15" x14ac:dyDescent="0.3">
      <c r="A70" s="40" t="s">
        <v>104</v>
      </c>
      <c r="B70" s="3" t="str">
        <f t="shared" ref="B70:B101" si="26">INDEX(Crop_data,MATCH(A70,Crop_data_codes,0),2)</f>
        <v>Other fruits, n.e.c.</v>
      </c>
      <c r="C70" s="3" t="str">
        <f t="shared" ref="C70:C101" si="27">INDEX(Crop_data,MATCH(A70,Crop_data_codes,0),3)</f>
        <v>Fruits</v>
      </c>
      <c r="D70" s="41" t="str">
        <f t="shared" ref="D70:D101" si="28">INDEX(Crop_data,MATCH(A70,Crop_data_codes,0),4)</f>
        <v>No</v>
      </c>
      <c r="E70" s="424" t="str">
        <f t="shared" ref="E70:E101" si="29">IF(D70="Yes", SUM(F70:N70),"")</f>
        <v/>
      </c>
      <c r="F70" s="407" t="str">
        <f t="shared" ref="F70:F101" si="30">IF(D70="YES",INDEX(CO2_data,MATCH(A70,CO2_codes,0),2)+INDEX(CH4_data,MATCH(A70,CH4_codes,0),2)*CF_fossil_CH4+INDEX(CH4_bio_data,MATCH(A70,CH4_bio_codes,0),2)*CF_biog_CH4+INDEX(N2O_data,MATCH(A70,N2O_codes,0),2)*CF_N2O,"")</f>
        <v/>
      </c>
      <c r="G70" s="419" t="str">
        <f t="shared" ref="G70:G101" si="31">IF(D70="YES",INDEX(CO2_data,MATCH(A70,CO2_codes,0),3)+INDEX(CH4_data,MATCH(A70,CH4_codes,0),3)*CF_fossil_CH4+INDEX(CH4_bio_data,MATCH(A70,CH4_bio_codes,0),3)*CF_biog_CH4+INDEX(N2O_data,MATCH(A70,N2O_codes,0),3)*CF_N2O,"")</f>
        <v/>
      </c>
      <c r="H70" s="407" t="str">
        <f t="shared" ref="H70:H101" si="32">IF(D70="YES",INDEX(CO2_data,MATCH(A70,CO2_codes,0),4)+INDEX(CH4_data,MATCH(A70,CH4_codes,0),4)*CF_fossil_CH4+INDEX(CH4_bio_data,MATCH(A70,CH4_bio_codes,0),4)*CF_biog_CH4+INDEX(N2O_data,MATCH(A70,N2O_codes,0),4)*CF_N2O,"")</f>
        <v/>
      </c>
      <c r="I70" s="419" t="str">
        <f t="shared" ref="I70:I101" si="33">IF(D70="YES",INDEX(CO2_data,MATCH(A70,CO2_codes,0),5)+INDEX(CH4_data,MATCH(A70,CH4_codes,0),5)*CF_fossil_CH4+INDEX(CH4_bio_data,MATCH(A70,CH4_bio_codes,0),5)*CF_biog_CH4+INDEX(N2O_data,MATCH(A70,N2O_codes,0),5)*CF_N2O,"")</f>
        <v/>
      </c>
      <c r="J70" s="407" t="str">
        <f t="shared" ref="J70:J101" si="34">IF(D70="YES",INDEX(CO2_data,MATCH(A70,CO2_codes,0),6)+INDEX(CH4_data,MATCH(A70,CH4_codes,0),6)*CF_fossil_CH4+INDEX(CH4_bio_data,MATCH(A70,CH4_bio_codes,0),6)*CF_biog_CH4+INDEX(N2O_data,MATCH(A70,N2O_codes,0),6)*CF_N2O,"")</f>
        <v/>
      </c>
      <c r="K70" s="54" t="str">
        <f t="shared" ref="K70:K101" si="35">IF(D70="YES",INDEX(CO2_data,MATCH(A70,CO2_codes,0),7)+INDEX(CH4_data,MATCH(A70,CH4_codes,0),7)*CF_fossil_CH4+INDEX(CH4_bio_data,MATCH(A70,CH4_bio_codes,0),7)*CF_biog_CH4+INDEX(N2O_data,MATCH(A70,N2O_codes,0),7)*CF_N2O,"")</f>
        <v/>
      </c>
      <c r="L70" s="54" t="str">
        <f t="shared" ref="L70:L101" si="36">IF(D70="YES",INDEX(CO2_data,MATCH(A70,CO2_codes,0),8)+INDEX(CH4_data,MATCH(A70,CH4_codes,0),8)*CF_fossil_CH4+INDEX(CH4_bio_data,MATCH(A70,CH4_bio_codes,0),8)*CF_biog_CH4+INDEX(N2O_data,MATCH(A70,N2O_codes,0),8)*CF_N2O,"")</f>
        <v/>
      </c>
      <c r="M70" s="419" t="str">
        <f t="shared" ref="M70:M101" si="37">IF(D70="YES",INDEX(CO2_data,MATCH(A70,CO2_codes,0),9)+INDEX(CH4_data,MATCH(A70,CH4_codes,0),9)*CF_fossil_CH4+INDEX(CH4_bio_data,MATCH(A70,CH4_bio_codes,0),9)*CF_biog_CH4+INDEX(N2O_data,MATCH(A70,N2O_codes,0),9)*CF_N2O,"")</f>
        <v/>
      </c>
      <c r="N70" s="419" t="str">
        <f t="shared" ref="N70:N101" si="38">IF(D70="YES",INDEX(CO2_data,MATCH(A70,CO2_codes,0),10)+INDEX(CH4_data,MATCH(A70,CH4_codes,0),10)*CF_fossil_CH4+INDEX(CH4_bio_data,MATCH(A70,CH4_bio_codes,0),10)*CF_biog_CH4+INDEX(N2O_data,MATCH(A70,N2O_codes,0),10)*CF_N2O,"")</f>
        <v/>
      </c>
      <c r="O70" s="54"/>
    </row>
    <row r="71" spans="1:15" x14ac:dyDescent="0.3">
      <c r="A71" s="40" t="s">
        <v>105</v>
      </c>
      <c r="B71" s="3" t="str">
        <f t="shared" si="26"/>
        <v>Other oil seeds, n.e.c.</v>
      </c>
      <c r="C71" s="3" t="str">
        <f t="shared" si="27"/>
        <v>Oil crops</v>
      </c>
      <c r="D71" s="41" t="str">
        <f t="shared" si="28"/>
        <v>No</v>
      </c>
      <c r="E71" s="424" t="str">
        <f t="shared" si="29"/>
        <v/>
      </c>
      <c r="F71" s="407" t="str">
        <f t="shared" si="30"/>
        <v/>
      </c>
      <c r="G71" s="419" t="str">
        <f t="shared" si="31"/>
        <v/>
      </c>
      <c r="H71" s="407" t="str">
        <f t="shared" si="32"/>
        <v/>
      </c>
      <c r="I71" s="419" t="str">
        <f t="shared" si="33"/>
        <v/>
      </c>
      <c r="J71" s="407" t="str">
        <f t="shared" si="34"/>
        <v/>
      </c>
      <c r="K71" s="54" t="str">
        <f t="shared" si="35"/>
        <v/>
      </c>
      <c r="L71" s="54" t="str">
        <f t="shared" si="36"/>
        <v/>
      </c>
      <c r="M71" s="419" t="str">
        <f t="shared" si="37"/>
        <v/>
      </c>
      <c r="N71" s="419" t="str">
        <f t="shared" si="38"/>
        <v/>
      </c>
      <c r="O71" s="54"/>
    </row>
    <row r="72" spans="1:15" x14ac:dyDescent="0.3">
      <c r="A72" s="40" t="s">
        <v>106</v>
      </c>
      <c r="B72" s="3" t="str">
        <f t="shared" si="26"/>
        <v>Other pulses n.e.c.</v>
      </c>
      <c r="C72" s="3" t="str">
        <f t="shared" si="27"/>
        <v>Pulses</v>
      </c>
      <c r="D72" s="41" t="str">
        <f t="shared" si="28"/>
        <v>Yes</v>
      </c>
      <c r="E72" s="424">
        <f t="shared" si="29"/>
        <v>0.25238240857002625</v>
      </c>
      <c r="F72" s="407">
        <f t="shared" si="30"/>
        <v>6.7588608314170431E-3</v>
      </c>
      <c r="G72" s="419">
        <f t="shared" si="31"/>
        <v>3.01313E-2</v>
      </c>
      <c r="H72" s="407">
        <f t="shared" si="32"/>
        <v>5.8699159804235304E-2</v>
      </c>
      <c r="I72" s="419">
        <f t="shared" si="33"/>
        <v>5.8699159804235304E-3</v>
      </c>
      <c r="J72" s="407">
        <f t="shared" si="34"/>
        <v>0.11524485862175346</v>
      </c>
      <c r="K72" s="54">
        <f t="shared" si="35"/>
        <v>0</v>
      </c>
      <c r="L72" s="54">
        <f t="shared" si="36"/>
        <v>8.3348896151578009E-5</v>
      </c>
      <c r="M72" s="419">
        <f t="shared" si="37"/>
        <v>3.5594964436045345E-2</v>
      </c>
      <c r="N72" s="419">
        <f t="shared" si="38"/>
        <v>0</v>
      </c>
      <c r="O72" s="54"/>
    </row>
    <row r="73" spans="1:15" x14ac:dyDescent="0.3">
      <c r="A73" s="40" t="s">
        <v>107</v>
      </c>
      <c r="B73" s="3" t="str">
        <f t="shared" si="26"/>
        <v>Other stimulant, spice and aromatic crops, n.e.c.</v>
      </c>
      <c r="C73" s="3" t="str">
        <f t="shared" si="27"/>
        <v>Stimulants</v>
      </c>
      <c r="D73" s="41" t="str">
        <f t="shared" si="28"/>
        <v>No</v>
      </c>
      <c r="E73" s="424" t="str">
        <f t="shared" si="29"/>
        <v/>
      </c>
      <c r="F73" s="407" t="str">
        <f t="shared" si="30"/>
        <v/>
      </c>
      <c r="G73" s="419" t="str">
        <f t="shared" si="31"/>
        <v/>
      </c>
      <c r="H73" s="407" t="str">
        <f t="shared" si="32"/>
        <v/>
      </c>
      <c r="I73" s="419" t="str">
        <f t="shared" si="33"/>
        <v/>
      </c>
      <c r="J73" s="407" t="str">
        <f t="shared" si="34"/>
        <v/>
      </c>
      <c r="K73" s="54" t="str">
        <f t="shared" si="35"/>
        <v/>
      </c>
      <c r="L73" s="54" t="str">
        <f t="shared" si="36"/>
        <v/>
      </c>
      <c r="M73" s="419" t="str">
        <f t="shared" si="37"/>
        <v/>
      </c>
      <c r="N73" s="419" t="str">
        <f t="shared" si="38"/>
        <v/>
      </c>
      <c r="O73" s="54"/>
    </row>
    <row r="74" spans="1:15" x14ac:dyDescent="0.3">
      <c r="A74" s="40" t="s">
        <v>108</v>
      </c>
      <c r="B74" s="3" t="str">
        <f t="shared" si="26"/>
        <v>Other vegetables, fresh n.e.c.</v>
      </c>
      <c r="C74" s="3" t="str">
        <f t="shared" si="27"/>
        <v>Vegetables</v>
      </c>
      <c r="D74" s="41" t="str">
        <f t="shared" si="28"/>
        <v>Yes</v>
      </c>
      <c r="E74" s="424">
        <f t="shared" si="29"/>
        <v>0.2549987878588138</v>
      </c>
      <c r="F74" s="407">
        <f t="shared" si="30"/>
        <v>6.2968756656991254E-2</v>
      </c>
      <c r="G74" s="419">
        <f t="shared" si="31"/>
        <v>3.01313E-2</v>
      </c>
      <c r="H74" s="407">
        <f t="shared" si="32"/>
        <v>0.10915084904849971</v>
      </c>
      <c r="I74" s="419">
        <f t="shared" si="33"/>
        <v>1.0915084904849971E-2</v>
      </c>
      <c r="J74" s="407">
        <f t="shared" si="34"/>
        <v>3.6028830769404975E-2</v>
      </c>
      <c r="K74" s="54">
        <f t="shared" si="35"/>
        <v>0</v>
      </c>
      <c r="L74" s="54">
        <f t="shared" si="36"/>
        <v>8.3348896151578009E-5</v>
      </c>
      <c r="M74" s="419">
        <f t="shared" si="37"/>
        <v>5.7206175829163184E-3</v>
      </c>
      <c r="N74" s="419">
        <f t="shared" si="38"/>
        <v>0</v>
      </c>
      <c r="O74" s="54"/>
    </row>
    <row r="75" spans="1:15" x14ac:dyDescent="0.3">
      <c r="A75" s="40" t="s">
        <v>109</v>
      </c>
      <c r="B75" s="3" t="str">
        <f t="shared" si="26"/>
        <v>Papayas</v>
      </c>
      <c r="C75" s="3" t="str">
        <f t="shared" si="27"/>
        <v>Fruits</v>
      </c>
      <c r="D75" s="41" t="str">
        <f t="shared" si="28"/>
        <v>No</v>
      </c>
      <c r="E75" s="424" t="str">
        <f t="shared" si="29"/>
        <v/>
      </c>
      <c r="F75" s="407" t="str">
        <f t="shared" si="30"/>
        <v/>
      </c>
      <c r="G75" s="419" t="str">
        <f t="shared" si="31"/>
        <v/>
      </c>
      <c r="H75" s="407" t="str">
        <f t="shared" si="32"/>
        <v/>
      </c>
      <c r="I75" s="419" t="str">
        <f t="shared" si="33"/>
        <v/>
      </c>
      <c r="J75" s="407" t="str">
        <f t="shared" si="34"/>
        <v/>
      </c>
      <c r="K75" s="54" t="str">
        <f t="shared" si="35"/>
        <v/>
      </c>
      <c r="L75" s="54" t="str">
        <f t="shared" si="36"/>
        <v/>
      </c>
      <c r="M75" s="419" t="str">
        <f t="shared" si="37"/>
        <v/>
      </c>
      <c r="N75" s="419" t="str">
        <f t="shared" si="38"/>
        <v/>
      </c>
      <c r="O75" s="54"/>
    </row>
    <row r="76" spans="1:15" x14ac:dyDescent="0.3">
      <c r="A76" s="40" t="s">
        <v>110</v>
      </c>
      <c r="B76" s="3" t="str">
        <f t="shared" si="26"/>
        <v>Peaches and nectarines</v>
      </c>
      <c r="C76" s="3" t="str">
        <f t="shared" si="27"/>
        <v>Fruits</v>
      </c>
      <c r="D76" s="41" t="str">
        <f t="shared" si="28"/>
        <v>No</v>
      </c>
      <c r="E76" s="424" t="str">
        <f t="shared" si="29"/>
        <v/>
      </c>
      <c r="F76" s="407" t="str">
        <f t="shared" si="30"/>
        <v/>
      </c>
      <c r="G76" s="419" t="str">
        <f t="shared" si="31"/>
        <v/>
      </c>
      <c r="H76" s="407" t="str">
        <f t="shared" si="32"/>
        <v/>
      </c>
      <c r="I76" s="419" t="str">
        <f t="shared" si="33"/>
        <v/>
      </c>
      <c r="J76" s="407" t="str">
        <f t="shared" si="34"/>
        <v/>
      </c>
      <c r="K76" s="54" t="str">
        <f t="shared" si="35"/>
        <v/>
      </c>
      <c r="L76" s="54" t="str">
        <f t="shared" si="36"/>
        <v/>
      </c>
      <c r="M76" s="419" t="str">
        <f t="shared" si="37"/>
        <v/>
      </c>
      <c r="N76" s="419" t="str">
        <f t="shared" si="38"/>
        <v/>
      </c>
      <c r="O76" s="54"/>
    </row>
    <row r="77" spans="1:15" x14ac:dyDescent="0.3">
      <c r="A77" s="40" t="s">
        <v>111</v>
      </c>
      <c r="B77" s="3" t="str">
        <f t="shared" si="26"/>
        <v>Pears</v>
      </c>
      <c r="C77" s="3" t="str">
        <f t="shared" si="27"/>
        <v>Fruits</v>
      </c>
      <c r="D77" s="41" t="str">
        <f t="shared" si="28"/>
        <v>Yes</v>
      </c>
      <c r="E77" s="424">
        <f t="shared" si="29"/>
        <v>0.19060267164786496</v>
      </c>
      <c r="F77" s="407">
        <f t="shared" si="30"/>
        <v>1.5369569908873112E-2</v>
      </c>
      <c r="G77" s="419">
        <f t="shared" si="31"/>
        <v>3.01313E-2</v>
      </c>
      <c r="H77" s="407">
        <f t="shared" si="32"/>
        <v>4.4531512415580468E-2</v>
      </c>
      <c r="I77" s="419">
        <f t="shared" si="33"/>
        <v>4.4531512415580468E-3</v>
      </c>
      <c r="J77" s="407">
        <f t="shared" si="34"/>
        <v>7.7727488283897167E-2</v>
      </c>
      <c r="K77" s="54">
        <f t="shared" si="35"/>
        <v>0</v>
      </c>
      <c r="L77" s="54">
        <f t="shared" si="36"/>
        <v>1.2669032215039856E-2</v>
      </c>
      <c r="M77" s="419">
        <f t="shared" si="37"/>
        <v>5.7206175829163184E-3</v>
      </c>
      <c r="N77" s="419">
        <f t="shared" si="38"/>
        <v>0</v>
      </c>
      <c r="O77" s="54"/>
    </row>
    <row r="78" spans="1:15" x14ac:dyDescent="0.3">
      <c r="A78" s="40" t="s">
        <v>112</v>
      </c>
      <c r="B78" s="3" t="str">
        <f t="shared" si="26"/>
        <v>Peas, dry</v>
      </c>
      <c r="C78" s="3" t="str">
        <f t="shared" si="27"/>
        <v>Pulses, incl feed</v>
      </c>
      <c r="D78" s="41" t="str">
        <f t="shared" si="28"/>
        <v>Yes</v>
      </c>
      <c r="E78" s="424">
        <f t="shared" si="29"/>
        <v>0.17942165001022103</v>
      </c>
      <c r="F78" s="407">
        <f t="shared" si="30"/>
        <v>0</v>
      </c>
      <c r="G78" s="419">
        <f t="shared" si="31"/>
        <v>3.01313E-2</v>
      </c>
      <c r="H78" s="407">
        <f t="shared" si="32"/>
        <v>5.0388418080000004E-2</v>
      </c>
      <c r="I78" s="419">
        <f t="shared" si="33"/>
        <v>5.0388418080000007E-3</v>
      </c>
      <c r="J78" s="407">
        <f t="shared" si="34"/>
        <v>5.8184776790024109E-2</v>
      </c>
      <c r="K78" s="54">
        <f t="shared" si="35"/>
        <v>0</v>
      </c>
      <c r="L78" s="54">
        <f t="shared" si="36"/>
        <v>8.3348896151578009E-5</v>
      </c>
      <c r="M78" s="419">
        <f t="shared" si="37"/>
        <v>3.5594964436045345E-2</v>
      </c>
      <c r="N78" s="419">
        <f t="shared" si="38"/>
        <v>0</v>
      </c>
      <c r="O78" s="54"/>
    </row>
    <row r="79" spans="1:15" x14ac:dyDescent="0.3">
      <c r="A79" s="40" t="s">
        <v>113</v>
      </c>
      <c r="B79" s="3" t="str">
        <f t="shared" si="26"/>
        <v>Peas, green</v>
      </c>
      <c r="C79" s="3" t="str">
        <f t="shared" si="27"/>
        <v>Vegetables</v>
      </c>
      <c r="D79" s="41" t="str">
        <f t="shared" si="28"/>
        <v>Yes</v>
      </c>
      <c r="E79" s="424">
        <f t="shared" si="29"/>
        <v>0.13427371595767124</v>
      </c>
      <c r="F79" s="407">
        <f t="shared" si="30"/>
        <v>0</v>
      </c>
      <c r="G79" s="419">
        <f t="shared" si="31"/>
        <v>3.01313E-2</v>
      </c>
      <c r="H79" s="407">
        <f t="shared" si="32"/>
        <v>5.0388418080000004E-2</v>
      </c>
      <c r="I79" s="419">
        <f t="shared" si="33"/>
        <v>5.0388418080000007E-3</v>
      </c>
      <c r="J79" s="407">
        <f t="shared" si="34"/>
        <v>4.2911189590603332E-2</v>
      </c>
      <c r="K79" s="54">
        <f t="shared" si="35"/>
        <v>0</v>
      </c>
      <c r="L79" s="54">
        <f t="shared" si="36"/>
        <v>8.3348896151578023E-5</v>
      </c>
      <c r="M79" s="419">
        <f t="shared" si="37"/>
        <v>5.7206175829163184E-3</v>
      </c>
      <c r="N79" s="419">
        <f t="shared" si="38"/>
        <v>0</v>
      </c>
      <c r="O79" s="54"/>
    </row>
    <row r="80" spans="1:15" x14ac:dyDescent="0.3">
      <c r="A80" s="40" t="s">
        <v>114</v>
      </c>
      <c r="B80" s="3" t="str">
        <f t="shared" si="26"/>
        <v>Pepper (Piper spp.), raw</v>
      </c>
      <c r="C80" s="3" t="str">
        <f t="shared" si="27"/>
        <v>Vegetables</v>
      </c>
      <c r="D80" s="41" t="str">
        <f t="shared" si="28"/>
        <v>No</v>
      </c>
      <c r="E80" s="424" t="str">
        <f t="shared" si="29"/>
        <v/>
      </c>
      <c r="F80" s="407" t="str">
        <f t="shared" si="30"/>
        <v/>
      </c>
      <c r="G80" s="419" t="str">
        <f t="shared" si="31"/>
        <v/>
      </c>
      <c r="H80" s="407" t="str">
        <f t="shared" si="32"/>
        <v/>
      </c>
      <c r="I80" s="419" t="str">
        <f t="shared" si="33"/>
        <v/>
      </c>
      <c r="J80" s="407" t="str">
        <f t="shared" si="34"/>
        <v/>
      </c>
      <c r="K80" s="54" t="str">
        <f t="shared" si="35"/>
        <v/>
      </c>
      <c r="L80" s="54" t="str">
        <f t="shared" si="36"/>
        <v/>
      </c>
      <c r="M80" s="419" t="str">
        <f t="shared" si="37"/>
        <v/>
      </c>
      <c r="N80" s="419" t="str">
        <f t="shared" si="38"/>
        <v/>
      </c>
      <c r="O80" s="54"/>
    </row>
    <row r="81" spans="1:15" x14ac:dyDescent="0.3">
      <c r="A81" s="40" t="s">
        <v>115</v>
      </c>
      <c r="B81" s="3" t="str">
        <f t="shared" si="26"/>
        <v>Pineapples</v>
      </c>
      <c r="C81" s="3" t="str">
        <f t="shared" si="27"/>
        <v>Fruits</v>
      </c>
      <c r="D81" s="41" t="str">
        <f t="shared" si="28"/>
        <v>No</v>
      </c>
      <c r="E81" s="424" t="str">
        <f t="shared" si="29"/>
        <v/>
      </c>
      <c r="F81" s="407" t="str">
        <f t="shared" si="30"/>
        <v/>
      </c>
      <c r="G81" s="419" t="str">
        <f t="shared" si="31"/>
        <v/>
      </c>
      <c r="H81" s="407" t="str">
        <f t="shared" si="32"/>
        <v/>
      </c>
      <c r="I81" s="419" t="str">
        <f t="shared" si="33"/>
        <v/>
      </c>
      <c r="J81" s="407" t="str">
        <f t="shared" si="34"/>
        <v/>
      </c>
      <c r="K81" s="54" t="str">
        <f t="shared" si="35"/>
        <v/>
      </c>
      <c r="L81" s="54" t="str">
        <f t="shared" si="36"/>
        <v/>
      </c>
      <c r="M81" s="419" t="str">
        <f t="shared" si="37"/>
        <v/>
      </c>
      <c r="N81" s="419" t="str">
        <f t="shared" si="38"/>
        <v/>
      </c>
      <c r="O81" s="54"/>
    </row>
    <row r="82" spans="1:15" x14ac:dyDescent="0.3">
      <c r="A82" s="40" t="s">
        <v>116</v>
      </c>
      <c r="B82" s="3" t="str">
        <f t="shared" si="26"/>
        <v>Plantains and cooking bananas</v>
      </c>
      <c r="C82" s="3" t="str">
        <f t="shared" si="27"/>
        <v>Fruits</v>
      </c>
      <c r="D82" s="41" t="str">
        <f t="shared" si="28"/>
        <v>No</v>
      </c>
      <c r="E82" s="424" t="str">
        <f t="shared" si="29"/>
        <v/>
      </c>
      <c r="F82" s="407" t="str">
        <f t="shared" si="30"/>
        <v/>
      </c>
      <c r="G82" s="419" t="str">
        <f t="shared" si="31"/>
        <v/>
      </c>
      <c r="H82" s="407" t="str">
        <f t="shared" si="32"/>
        <v/>
      </c>
      <c r="I82" s="419" t="str">
        <f t="shared" si="33"/>
        <v/>
      </c>
      <c r="J82" s="407" t="str">
        <f t="shared" si="34"/>
        <v/>
      </c>
      <c r="K82" s="54" t="str">
        <f t="shared" si="35"/>
        <v/>
      </c>
      <c r="L82" s="54" t="str">
        <f t="shared" si="36"/>
        <v/>
      </c>
      <c r="M82" s="419" t="str">
        <f t="shared" si="37"/>
        <v/>
      </c>
      <c r="N82" s="419" t="str">
        <f t="shared" si="38"/>
        <v/>
      </c>
      <c r="O82" s="54"/>
    </row>
    <row r="83" spans="1:15" x14ac:dyDescent="0.3">
      <c r="A83" s="40" t="s">
        <v>117</v>
      </c>
      <c r="B83" s="3" t="str">
        <f t="shared" si="26"/>
        <v>Plums and sloes</v>
      </c>
      <c r="C83" s="3" t="str">
        <f t="shared" si="27"/>
        <v>Fruits</v>
      </c>
      <c r="D83" s="41" t="str">
        <f t="shared" si="28"/>
        <v>Yes</v>
      </c>
      <c r="E83" s="424">
        <f t="shared" si="29"/>
        <v>0.36283534403430295</v>
      </c>
      <c r="F83" s="407">
        <f t="shared" si="30"/>
        <v>3.4261279996346761E-2</v>
      </c>
      <c r="G83" s="419">
        <f t="shared" si="31"/>
        <v>3.01313E-2</v>
      </c>
      <c r="H83" s="407">
        <f t="shared" si="32"/>
        <v>7.0180690036363638E-2</v>
      </c>
      <c r="I83" s="419">
        <f t="shared" si="33"/>
        <v>7.0180690036363647E-3</v>
      </c>
      <c r="J83" s="407">
        <f t="shared" si="34"/>
        <v>0.20285435520000003</v>
      </c>
      <c r="K83" s="54">
        <f t="shared" si="35"/>
        <v>0</v>
      </c>
      <c r="L83" s="54">
        <f t="shared" si="36"/>
        <v>1.2669032215039858E-2</v>
      </c>
      <c r="M83" s="419">
        <f t="shared" si="37"/>
        <v>5.7206175829163184E-3</v>
      </c>
      <c r="N83" s="419">
        <f t="shared" si="38"/>
        <v>0</v>
      </c>
      <c r="O83" s="54"/>
    </row>
    <row r="84" spans="1:15" x14ac:dyDescent="0.3">
      <c r="A84" s="40" t="s">
        <v>118</v>
      </c>
      <c r="B84" s="3" t="str">
        <f t="shared" si="26"/>
        <v>Pomelos and grapefruits</v>
      </c>
      <c r="C84" s="3" t="str">
        <f t="shared" si="27"/>
        <v>Fruits</v>
      </c>
      <c r="D84" s="41" t="str">
        <f t="shared" si="28"/>
        <v>No</v>
      </c>
      <c r="E84" s="424" t="str">
        <f t="shared" si="29"/>
        <v/>
      </c>
      <c r="F84" s="407" t="str">
        <f t="shared" si="30"/>
        <v/>
      </c>
      <c r="G84" s="419" t="str">
        <f t="shared" si="31"/>
        <v/>
      </c>
      <c r="H84" s="407" t="str">
        <f t="shared" si="32"/>
        <v/>
      </c>
      <c r="I84" s="419" t="str">
        <f t="shared" si="33"/>
        <v/>
      </c>
      <c r="J84" s="407" t="str">
        <f t="shared" si="34"/>
        <v/>
      </c>
      <c r="K84" s="54" t="str">
        <f t="shared" si="35"/>
        <v/>
      </c>
      <c r="L84" s="54" t="str">
        <f t="shared" si="36"/>
        <v/>
      </c>
      <c r="M84" s="419" t="str">
        <f t="shared" si="37"/>
        <v/>
      </c>
      <c r="N84" s="419" t="str">
        <f t="shared" si="38"/>
        <v/>
      </c>
      <c r="O84" s="54"/>
    </row>
    <row r="85" spans="1:15" x14ac:dyDescent="0.3">
      <c r="A85" s="40" t="s">
        <v>119</v>
      </c>
      <c r="B85" s="3" t="str">
        <f t="shared" si="26"/>
        <v>Poppy seed</v>
      </c>
      <c r="C85" s="3" t="str">
        <f t="shared" si="27"/>
        <v>Seeds</v>
      </c>
      <c r="D85" s="41" t="str">
        <f t="shared" si="28"/>
        <v>No</v>
      </c>
      <c r="E85" s="424" t="str">
        <f t="shared" si="29"/>
        <v/>
      </c>
      <c r="F85" s="407" t="str">
        <f t="shared" si="30"/>
        <v/>
      </c>
      <c r="G85" s="419" t="str">
        <f t="shared" si="31"/>
        <v/>
      </c>
      <c r="H85" s="407" t="str">
        <f t="shared" si="32"/>
        <v/>
      </c>
      <c r="I85" s="419" t="str">
        <f t="shared" si="33"/>
        <v/>
      </c>
      <c r="J85" s="407" t="str">
        <f t="shared" si="34"/>
        <v/>
      </c>
      <c r="K85" s="54" t="str">
        <f t="shared" si="35"/>
        <v/>
      </c>
      <c r="L85" s="54" t="str">
        <f t="shared" si="36"/>
        <v/>
      </c>
      <c r="M85" s="419" t="str">
        <f t="shared" si="37"/>
        <v/>
      </c>
      <c r="N85" s="419" t="str">
        <f t="shared" si="38"/>
        <v/>
      </c>
      <c r="O85" s="54"/>
    </row>
    <row r="86" spans="1:15" x14ac:dyDescent="0.3">
      <c r="A86" s="40" t="s">
        <v>120</v>
      </c>
      <c r="B86" s="3" t="str">
        <f t="shared" si="26"/>
        <v>Potatoes</v>
      </c>
      <c r="C86" s="3" t="str">
        <f t="shared" si="27"/>
        <v>Roots</v>
      </c>
      <c r="D86" s="41" t="str">
        <f t="shared" si="28"/>
        <v>Yes</v>
      </c>
      <c r="E86" s="424">
        <f t="shared" si="29"/>
        <v>9.1563239191327958E-2</v>
      </c>
      <c r="F86" s="407">
        <f t="shared" si="30"/>
        <v>1.4846363937717731E-2</v>
      </c>
      <c r="G86" s="419">
        <f t="shared" si="31"/>
        <v>3.01313E-2</v>
      </c>
      <c r="H86" s="407">
        <f t="shared" si="32"/>
        <v>2.6624429095527237E-2</v>
      </c>
      <c r="I86" s="419">
        <f t="shared" si="33"/>
        <v>2.662442909552724E-3</v>
      </c>
      <c r="J86" s="407">
        <f t="shared" si="34"/>
        <v>1.074459670409816E-2</v>
      </c>
      <c r="K86" s="54">
        <f t="shared" si="35"/>
        <v>0</v>
      </c>
      <c r="L86" s="54">
        <f t="shared" si="36"/>
        <v>8.3348896151578015E-4</v>
      </c>
      <c r="M86" s="419">
        <f t="shared" si="37"/>
        <v>5.7206175829163184E-3</v>
      </c>
      <c r="N86" s="419">
        <f t="shared" si="38"/>
        <v>0</v>
      </c>
      <c r="O86" s="54"/>
    </row>
    <row r="87" spans="1:15" x14ac:dyDescent="0.3">
      <c r="A87" s="40" t="s">
        <v>121</v>
      </c>
      <c r="B87" s="3" t="str">
        <f t="shared" si="26"/>
        <v>Pumpkins, squash and gourds</v>
      </c>
      <c r="C87" s="3" t="str">
        <f t="shared" si="27"/>
        <v>Vegetables</v>
      </c>
      <c r="D87" s="41" t="str">
        <f t="shared" si="28"/>
        <v>Yes</v>
      </c>
      <c r="E87" s="424">
        <f t="shared" si="29"/>
        <v>9.1158829406201083E-2</v>
      </c>
      <c r="F87" s="407">
        <f t="shared" si="30"/>
        <v>3.9529691253290073E-3</v>
      </c>
      <c r="G87" s="419">
        <f t="shared" si="31"/>
        <v>3.01313E-2</v>
      </c>
      <c r="H87" s="407">
        <f t="shared" si="32"/>
        <v>2.9031252250310589E-2</v>
      </c>
      <c r="I87" s="419">
        <f t="shared" si="33"/>
        <v>2.9031252250310588E-3</v>
      </c>
      <c r="J87" s="407">
        <f t="shared" si="34"/>
        <v>1.6585702753460451E-2</v>
      </c>
      <c r="K87" s="54">
        <f t="shared" si="35"/>
        <v>0</v>
      </c>
      <c r="L87" s="54">
        <f t="shared" si="36"/>
        <v>2.8338624691536521E-3</v>
      </c>
      <c r="M87" s="419">
        <f t="shared" si="37"/>
        <v>5.7206175829163184E-3</v>
      </c>
      <c r="N87" s="419">
        <f t="shared" si="38"/>
        <v>0</v>
      </c>
      <c r="O87" s="54"/>
    </row>
    <row r="88" spans="1:15" x14ac:dyDescent="0.3">
      <c r="A88" s="40" t="s">
        <v>122</v>
      </c>
      <c r="B88" s="3" t="str">
        <f t="shared" si="26"/>
        <v>Quinces</v>
      </c>
      <c r="C88" s="3" t="str">
        <f t="shared" si="27"/>
        <v>Other</v>
      </c>
      <c r="D88" s="41" t="str">
        <f t="shared" si="28"/>
        <v>No</v>
      </c>
      <c r="E88" s="424" t="str">
        <f t="shared" si="29"/>
        <v/>
      </c>
      <c r="F88" s="407" t="str">
        <f t="shared" si="30"/>
        <v/>
      </c>
      <c r="G88" s="419" t="str">
        <f t="shared" si="31"/>
        <v/>
      </c>
      <c r="H88" s="407" t="str">
        <f t="shared" si="32"/>
        <v/>
      </c>
      <c r="I88" s="419" t="str">
        <f t="shared" si="33"/>
        <v/>
      </c>
      <c r="J88" s="407" t="str">
        <f t="shared" si="34"/>
        <v/>
      </c>
      <c r="K88" s="54" t="str">
        <f t="shared" si="35"/>
        <v/>
      </c>
      <c r="L88" s="54" t="str">
        <f t="shared" si="36"/>
        <v/>
      </c>
      <c r="M88" s="419" t="str">
        <f t="shared" si="37"/>
        <v/>
      </c>
      <c r="N88" s="419" t="str">
        <f t="shared" si="38"/>
        <v/>
      </c>
      <c r="O88" s="54"/>
    </row>
    <row r="89" spans="1:15" x14ac:dyDescent="0.3">
      <c r="A89" s="40" t="s">
        <v>123</v>
      </c>
      <c r="B89" s="3" t="str">
        <f t="shared" si="26"/>
        <v>Quinoa</v>
      </c>
      <c r="C89" s="3" t="str">
        <f t="shared" si="27"/>
        <v>Seeds</v>
      </c>
      <c r="D89" s="41" t="str">
        <f t="shared" si="28"/>
        <v>No</v>
      </c>
      <c r="E89" s="424" t="str">
        <f t="shared" si="29"/>
        <v/>
      </c>
      <c r="F89" s="407" t="str">
        <f t="shared" si="30"/>
        <v/>
      </c>
      <c r="G89" s="419" t="str">
        <f t="shared" si="31"/>
        <v/>
      </c>
      <c r="H89" s="407" t="str">
        <f t="shared" si="32"/>
        <v/>
      </c>
      <c r="I89" s="419" t="str">
        <f t="shared" si="33"/>
        <v/>
      </c>
      <c r="J89" s="407" t="str">
        <f t="shared" si="34"/>
        <v/>
      </c>
      <c r="K89" s="54" t="str">
        <f t="shared" si="35"/>
        <v/>
      </c>
      <c r="L89" s="54" t="str">
        <f t="shared" si="36"/>
        <v/>
      </c>
      <c r="M89" s="419" t="str">
        <f t="shared" si="37"/>
        <v/>
      </c>
      <c r="N89" s="419" t="str">
        <f t="shared" si="38"/>
        <v/>
      </c>
      <c r="O89" s="54"/>
    </row>
    <row r="90" spans="1:15" x14ac:dyDescent="0.3">
      <c r="A90" s="40" t="s">
        <v>124</v>
      </c>
      <c r="B90" s="3" t="str">
        <f t="shared" si="26"/>
        <v>Rape or colza seed, average</v>
      </c>
      <c r="C90" s="3" t="str">
        <f t="shared" si="27"/>
        <v>Oil crops</v>
      </c>
      <c r="D90" s="41" t="str">
        <f t="shared" si="28"/>
        <v>Yes</v>
      </c>
      <c r="E90" s="424">
        <f t="shared" si="29"/>
        <v>0.80710377822514956</v>
      </c>
      <c r="F90" s="407">
        <f t="shared" si="30"/>
        <v>0.27296014565299648</v>
      </c>
      <c r="G90" s="419">
        <f t="shared" si="31"/>
        <v>3.01313E-2</v>
      </c>
      <c r="H90" s="407">
        <f t="shared" si="32"/>
        <v>0.34887433277064217</v>
      </c>
      <c r="I90" s="419">
        <f t="shared" si="33"/>
        <v>3.4887433277064214E-2</v>
      </c>
      <c r="J90" s="407">
        <f t="shared" si="34"/>
        <v>4.9967585198473198E-2</v>
      </c>
      <c r="K90" s="54">
        <f t="shared" si="35"/>
        <v>0</v>
      </c>
      <c r="L90" s="54">
        <f t="shared" si="36"/>
        <v>9.9200745914734606E-4</v>
      </c>
      <c r="M90" s="419">
        <f t="shared" si="37"/>
        <v>6.9290973866826158E-2</v>
      </c>
      <c r="N90" s="419">
        <f t="shared" si="38"/>
        <v>0</v>
      </c>
      <c r="O90" s="54"/>
    </row>
    <row r="91" spans="1:15" x14ac:dyDescent="0.3">
      <c r="A91" s="40" t="s">
        <v>125</v>
      </c>
      <c r="B91" s="3" t="str">
        <f t="shared" si="26"/>
        <v>Rape or colza seed, spring</v>
      </c>
      <c r="C91" s="3" t="str">
        <f t="shared" si="27"/>
        <v>Oil crops</v>
      </c>
      <c r="D91" s="41" t="str">
        <f t="shared" si="28"/>
        <v>Yes</v>
      </c>
      <c r="E91" s="424">
        <f t="shared" si="29"/>
        <v>1.2957776114849884</v>
      </c>
      <c r="F91" s="407">
        <f t="shared" si="30"/>
        <v>0.43057781088023894</v>
      </c>
      <c r="G91" s="419">
        <f t="shared" si="31"/>
        <v>3.01313E-2</v>
      </c>
      <c r="H91" s="407">
        <f t="shared" si="32"/>
        <v>0.60979788725840078</v>
      </c>
      <c r="I91" s="419">
        <f t="shared" si="33"/>
        <v>6.0979788725840083E-2</v>
      </c>
      <c r="J91" s="407">
        <f t="shared" si="34"/>
        <v>9.4806400074159913E-2</v>
      </c>
      <c r="K91" s="54">
        <f t="shared" si="35"/>
        <v>0</v>
      </c>
      <c r="L91" s="54">
        <f t="shared" si="36"/>
        <v>1.6669779230315602E-4</v>
      </c>
      <c r="M91" s="419">
        <f t="shared" si="37"/>
        <v>6.9317726754045364E-2</v>
      </c>
      <c r="N91" s="419">
        <f t="shared" si="38"/>
        <v>0</v>
      </c>
      <c r="O91" s="54"/>
    </row>
    <row r="92" spans="1:15" x14ac:dyDescent="0.3">
      <c r="A92" s="40" t="s">
        <v>126</v>
      </c>
      <c r="B92" s="3" t="str">
        <f t="shared" si="26"/>
        <v>Rape or colza seed, winter</v>
      </c>
      <c r="C92" s="3" t="str">
        <f t="shared" si="27"/>
        <v>Oil crops</v>
      </c>
      <c r="D92" s="41" t="str">
        <f t="shared" si="28"/>
        <v>Yes</v>
      </c>
      <c r="E92" s="424">
        <f t="shared" si="29"/>
        <v>0.74369835694882169</v>
      </c>
      <c r="F92" s="407">
        <f t="shared" si="30"/>
        <v>0.22713242713303558</v>
      </c>
      <c r="G92" s="419">
        <f t="shared" si="31"/>
        <v>3.01313E-2</v>
      </c>
      <c r="H92" s="407">
        <f t="shared" si="32"/>
        <v>0.3335811361173594</v>
      </c>
      <c r="I92" s="419">
        <f t="shared" si="33"/>
        <v>3.3358113611735941E-2</v>
      </c>
      <c r="J92" s="407">
        <f t="shared" si="34"/>
        <v>5.0010955540342301E-2</v>
      </c>
      <c r="K92" s="54">
        <f t="shared" si="35"/>
        <v>0</v>
      </c>
      <c r="L92" s="54">
        <f t="shared" si="36"/>
        <v>1.6669779230315602E-4</v>
      </c>
      <c r="M92" s="419">
        <f t="shared" si="37"/>
        <v>6.9317726754045364E-2</v>
      </c>
      <c r="N92" s="419">
        <f t="shared" si="38"/>
        <v>0</v>
      </c>
      <c r="O92" s="54"/>
    </row>
    <row r="93" spans="1:15" x14ac:dyDescent="0.3">
      <c r="A93" s="40" t="s">
        <v>127</v>
      </c>
      <c r="B93" s="3" t="str">
        <f t="shared" si="26"/>
        <v>Raspberries</v>
      </c>
      <c r="C93" s="3" t="str">
        <f t="shared" si="27"/>
        <v>Berries</v>
      </c>
      <c r="D93" s="41" t="str">
        <f t="shared" si="28"/>
        <v>Yes</v>
      </c>
      <c r="E93" s="424">
        <f t="shared" si="29"/>
        <v>0.65909232779033289</v>
      </c>
      <c r="F93" s="407">
        <f t="shared" si="30"/>
        <v>0.14355238519790869</v>
      </c>
      <c r="G93" s="419">
        <f t="shared" si="31"/>
        <v>3.01313E-2</v>
      </c>
      <c r="H93" s="407">
        <f t="shared" si="32"/>
        <v>0.21856466145593734</v>
      </c>
      <c r="I93" s="419">
        <f t="shared" si="33"/>
        <v>2.1856466145593733E-2</v>
      </c>
      <c r="J93" s="407">
        <f t="shared" si="34"/>
        <v>0.23231848277585324</v>
      </c>
      <c r="K93" s="54">
        <f t="shared" si="35"/>
        <v>0</v>
      </c>
      <c r="L93" s="54">
        <f t="shared" si="36"/>
        <v>1.2669032215039854E-2</v>
      </c>
      <c r="M93" s="419">
        <f t="shared" si="37"/>
        <v>0</v>
      </c>
      <c r="N93" s="419">
        <f t="shared" si="38"/>
        <v>0</v>
      </c>
      <c r="O93" s="54"/>
    </row>
    <row r="94" spans="1:15" x14ac:dyDescent="0.3">
      <c r="A94" s="40" t="s">
        <v>128</v>
      </c>
      <c r="B94" s="3" t="str">
        <f t="shared" si="26"/>
        <v>Rice</v>
      </c>
      <c r="C94" s="3" t="str">
        <f t="shared" si="27"/>
        <v>Cereals</v>
      </c>
      <c r="D94" s="41" t="str">
        <f t="shared" si="28"/>
        <v>No</v>
      </c>
      <c r="E94" s="424" t="str">
        <f t="shared" si="29"/>
        <v/>
      </c>
      <c r="F94" s="407" t="str">
        <f t="shared" si="30"/>
        <v/>
      </c>
      <c r="G94" s="419" t="str">
        <f t="shared" si="31"/>
        <v/>
      </c>
      <c r="H94" s="407" t="str">
        <f t="shared" si="32"/>
        <v/>
      </c>
      <c r="I94" s="419" t="str">
        <f t="shared" si="33"/>
        <v/>
      </c>
      <c r="J94" s="407" t="str">
        <f t="shared" si="34"/>
        <v/>
      </c>
      <c r="K94" s="54" t="str">
        <f t="shared" si="35"/>
        <v/>
      </c>
      <c r="L94" s="54" t="str">
        <f t="shared" si="36"/>
        <v/>
      </c>
      <c r="M94" s="419" t="str">
        <f t="shared" si="37"/>
        <v/>
      </c>
      <c r="N94" s="419" t="str">
        <f t="shared" si="38"/>
        <v/>
      </c>
      <c r="O94" s="54"/>
    </row>
    <row r="95" spans="1:15" x14ac:dyDescent="0.3">
      <c r="A95" s="40" t="s">
        <v>129</v>
      </c>
      <c r="B95" s="3" t="str">
        <f t="shared" si="26"/>
        <v>Rye</v>
      </c>
      <c r="C95" s="3" t="str">
        <f t="shared" si="27"/>
        <v>Cereals, incl feed</v>
      </c>
      <c r="D95" s="41" t="str">
        <f t="shared" si="28"/>
        <v>Yes</v>
      </c>
      <c r="E95" s="424">
        <f t="shared" si="29"/>
        <v>0.32908819820639024</v>
      </c>
      <c r="F95" s="407">
        <f t="shared" si="30"/>
        <v>8.0503629011145661E-2</v>
      </c>
      <c r="G95" s="419">
        <f t="shared" si="31"/>
        <v>3.01313E-2</v>
      </c>
      <c r="H95" s="407">
        <f t="shared" si="32"/>
        <v>0.13768584689732485</v>
      </c>
      <c r="I95" s="419">
        <f t="shared" si="33"/>
        <v>1.3768584689732487E-2</v>
      </c>
      <c r="J95" s="407">
        <f t="shared" si="34"/>
        <v>3.1403873172141925E-2</v>
      </c>
      <c r="K95" s="54">
        <f t="shared" si="35"/>
        <v>0</v>
      </c>
      <c r="L95" s="54">
        <f t="shared" si="36"/>
        <v>0</v>
      </c>
      <c r="M95" s="419">
        <f t="shared" si="37"/>
        <v>3.5594964436045345E-2</v>
      </c>
      <c r="N95" s="419">
        <f t="shared" si="38"/>
        <v>0</v>
      </c>
      <c r="O95" s="54"/>
    </row>
    <row r="96" spans="1:15" x14ac:dyDescent="0.3">
      <c r="A96" s="40" t="s">
        <v>130</v>
      </c>
      <c r="B96" s="3" t="str">
        <f t="shared" si="26"/>
        <v>Sorghum</v>
      </c>
      <c r="C96" s="3" t="str">
        <f t="shared" si="27"/>
        <v>Cereals</v>
      </c>
      <c r="D96" s="41" t="str">
        <f t="shared" si="28"/>
        <v>No</v>
      </c>
      <c r="E96" s="424" t="str">
        <f t="shared" si="29"/>
        <v/>
      </c>
      <c r="F96" s="407" t="str">
        <f t="shared" si="30"/>
        <v/>
      </c>
      <c r="G96" s="419" t="str">
        <f t="shared" si="31"/>
        <v/>
      </c>
      <c r="H96" s="407" t="str">
        <f t="shared" si="32"/>
        <v/>
      </c>
      <c r="I96" s="419" t="str">
        <f t="shared" si="33"/>
        <v/>
      </c>
      <c r="J96" s="407" t="str">
        <f t="shared" si="34"/>
        <v/>
      </c>
      <c r="K96" s="54" t="str">
        <f t="shared" si="35"/>
        <v/>
      </c>
      <c r="L96" s="54" t="str">
        <f t="shared" si="36"/>
        <v/>
      </c>
      <c r="M96" s="419" t="str">
        <f t="shared" si="37"/>
        <v/>
      </c>
      <c r="N96" s="419" t="str">
        <f t="shared" si="38"/>
        <v/>
      </c>
      <c r="O96" s="54"/>
    </row>
    <row r="97" spans="1:15" x14ac:dyDescent="0.3">
      <c r="A97" s="40" t="s">
        <v>131</v>
      </c>
      <c r="B97" s="3" t="str">
        <f t="shared" si="26"/>
        <v>Sour cherries</v>
      </c>
      <c r="C97" s="3" t="str">
        <f t="shared" si="27"/>
        <v>Fruits</v>
      </c>
      <c r="D97" s="41" t="str">
        <f t="shared" si="28"/>
        <v>Yes</v>
      </c>
      <c r="E97" s="424">
        <f t="shared" si="29"/>
        <v>0.75862824978820076</v>
      </c>
      <c r="F97" s="407">
        <f t="shared" si="30"/>
        <v>0.13900544135001233</v>
      </c>
      <c r="G97" s="419">
        <f t="shared" si="31"/>
        <v>3.01313E-2</v>
      </c>
      <c r="H97" s="407">
        <f t="shared" si="32"/>
        <v>0.21239129917976352</v>
      </c>
      <c r="I97" s="419">
        <f t="shared" si="33"/>
        <v>2.1239129917976354E-2</v>
      </c>
      <c r="J97" s="407">
        <f t="shared" si="34"/>
        <v>0.33747142954249232</v>
      </c>
      <c r="K97" s="54">
        <f t="shared" si="35"/>
        <v>0</v>
      </c>
      <c r="L97" s="54">
        <f t="shared" si="36"/>
        <v>1.2669032215039856E-2</v>
      </c>
      <c r="M97" s="419">
        <f t="shared" si="37"/>
        <v>5.7206175829163184E-3</v>
      </c>
      <c r="N97" s="419">
        <f t="shared" si="38"/>
        <v>0</v>
      </c>
      <c r="O97" s="54"/>
    </row>
    <row r="98" spans="1:15" x14ac:dyDescent="0.3">
      <c r="A98" s="40" t="s">
        <v>132</v>
      </c>
      <c r="B98" s="3" t="str">
        <f t="shared" si="26"/>
        <v>Soya beans</v>
      </c>
      <c r="C98" s="3" t="str">
        <f t="shared" si="27"/>
        <v>Pulses</v>
      </c>
      <c r="D98" s="41" t="str">
        <f t="shared" si="28"/>
        <v>No</v>
      </c>
      <c r="E98" s="424" t="str">
        <f t="shared" si="29"/>
        <v/>
      </c>
      <c r="F98" s="407" t="str">
        <f t="shared" si="30"/>
        <v/>
      </c>
      <c r="G98" s="419" t="str">
        <f t="shared" si="31"/>
        <v/>
      </c>
      <c r="H98" s="407" t="str">
        <f t="shared" si="32"/>
        <v/>
      </c>
      <c r="I98" s="419" t="str">
        <f t="shared" si="33"/>
        <v/>
      </c>
      <c r="J98" s="407" t="str">
        <f t="shared" si="34"/>
        <v/>
      </c>
      <c r="K98" s="54" t="str">
        <f t="shared" si="35"/>
        <v/>
      </c>
      <c r="L98" s="54" t="str">
        <f t="shared" si="36"/>
        <v/>
      </c>
      <c r="M98" s="419" t="str">
        <f t="shared" si="37"/>
        <v/>
      </c>
      <c r="N98" s="419" t="str">
        <f t="shared" si="38"/>
        <v/>
      </c>
      <c r="O98" s="54"/>
    </row>
    <row r="99" spans="1:15" x14ac:dyDescent="0.3">
      <c r="A99" s="40" t="s">
        <v>133</v>
      </c>
      <c r="B99" s="3" t="str">
        <f t="shared" si="26"/>
        <v>Spinach</v>
      </c>
      <c r="C99" s="3" t="str">
        <f t="shared" si="27"/>
        <v>Vegetables</v>
      </c>
      <c r="D99" s="41" t="str">
        <f t="shared" si="28"/>
        <v>Yes</v>
      </c>
      <c r="E99" s="424">
        <f t="shared" si="29"/>
        <v>0.33259780319994181</v>
      </c>
      <c r="F99" s="407">
        <f t="shared" si="30"/>
        <v>6.4212039397543802E-2</v>
      </c>
      <c r="G99" s="419">
        <f t="shared" si="31"/>
        <v>3.01313E-2</v>
      </c>
      <c r="H99" s="407">
        <f t="shared" si="32"/>
        <v>0.11084468203082135</v>
      </c>
      <c r="I99" s="419">
        <f t="shared" si="33"/>
        <v>1.1084468203082135E-2</v>
      </c>
      <c r="J99" s="407">
        <f t="shared" si="34"/>
        <v>0.10777083351642458</v>
      </c>
      <c r="K99" s="54">
        <f t="shared" si="35"/>
        <v>0</v>
      </c>
      <c r="L99" s="54">
        <f t="shared" si="36"/>
        <v>2.8338624691536521E-3</v>
      </c>
      <c r="M99" s="419">
        <f t="shared" si="37"/>
        <v>5.7206175829163184E-3</v>
      </c>
      <c r="N99" s="419">
        <f t="shared" si="38"/>
        <v>0</v>
      </c>
      <c r="O99" s="54"/>
    </row>
    <row r="100" spans="1:15" x14ac:dyDescent="0.3">
      <c r="A100" s="40" t="s">
        <v>134</v>
      </c>
      <c r="B100" s="3" t="str">
        <f t="shared" si="26"/>
        <v>Strawberries</v>
      </c>
      <c r="C100" s="3" t="str">
        <f t="shared" si="27"/>
        <v>Fruits</v>
      </c>
      <c r="D100" s="41" t="str">
        <f t="shared" si="28"/>
        <v>Yes</v>
      </c>
      <c r="E100" s="424">
        <f t="shared" si="29"/>
        <v>0.22927084692213198</v>
      </c>
      <c r="F100" s="407">
        <f t="shared" si="30"/>
        <v>2.0914594554681996E-2</v>
      </c>
      <c r="G100" s="419">
        <f t="shared" si="31"/>
        <v>3.01313E-2</v>
      </c>
      <c r="H100" s="407">
        <f t="shared" si="32"/>
        <v>5.205996385769087E-2</v>
      </c>
      <c r="I100" s="419">
        <f t="shared" si="33"/>
        <v>5.2059963857690869E-3</v>
      </c>
      <c r="J100" s="407">
        <f t="shared" si="34"/>
        <v>0.10256934232603387</v>
      </c>
      <c r="K100" s="54">
        <f t="shared" si="35"/>
        <v>0</v>
      </c>
      <c r="L100" s="54">
        <f t="shared" si="36"/>
        <v>1.2669032215039856E-2</v>
      </c>
      <c r="M100" s="419">
        <f t="shared" si="37"/>
        <v>5.7206175829163184E-3</v>
      </c>
      <c r="N100" s="419">
        <f t="shared" si="38"/>
        <v>0</v>
      </c>
      <c r="O100" s="54"/>
    </row>
    <row r="101" spans="1:15" x14ac:dyDescent="0.3">
      <c r="A101" s="40" t="s">
        <v>135</v>
      </c>
      <c r="B101" s="3" t="str">
        <f t="shared" si="26"/>
        <v>Sugar beet</v>
      </c>
      <c r="C101" s="3" t="str">
        <f t="shared" si="27"/>
        <v>Sugar crops</v>
      </c>
      <c r="D101" s="41" t="str">
        <f t="shared" si="28"/>
        <v>Yes</v>
      </c>
      <c r="E101" s="424">
        <f t="shared" si="29"/>
        <v>6.8428231098276379E-2</v>
      </c>
      <c r="F101" s="407">
        <f t="shared" si="30"/>
        <v>7.9660393424096556E-3</v>
      </c>
      <c r="G101" s="419">
        <f t="shared" si="31"/>
        <v>3.01313E-2</v>
      </c>
      <c r="H101" s="407">
        <f t="shared" si="32"/>
        <v>1.7308870147776826E-2</v>
      </c>
      <c r="I101" s="419">
        <f t="shared" si="33"/>
        <v>1.7308870147776827E-3</v>
      </c>
      <c r="J101" s="407">
        <f t="shared" si="34"/>
        <v>5.3204703719721752E-3</v>
      </c>
      <c r="K101" s="54">
        <f t="shared" si="35"/>
        <v>0</v>
      </c>
      <c r="L101" s="54">
        <f t="shared" si="36"/>
        <v>2.5004663842371789E-4</v>
      </c>
      <c r="M101" s="419">
        <f t="shared" si="37"/>
        <v>5.7206175829163184E-3</v>
      </c>
      <c r="N101" s="419">
        <f t="shared" si="38"/>
        <v>0</v>
      </c>
      <c r="O101" s="54"/>
    </row>
    <row r="102" spans="1:15" x14ac:dyDescent="0.3">
      <c r="A102" s="40" t="s">
        <v>136</v>
      </c>
      <c r="B102" s="3" t="str">
        <f t="shared" ref="B102:B118" si="39">INDEX(Crop_data,MATCH(A102,Crop_data_codes,0),2)</f>
        <v>Sugar cane</v>
      </c>
      <c r="C102" s="3" t="str">
        <f t="shared" ref="C102:C118" si="40">INDEX(Crop_data,MATCH(A102,Crop_data_codes,0),3)</f>
        <v>Sugar crops</v>
      </c>
      <c r="D102" s="41" t="str">
        <f t="shared" ref="D102:D118" si="41">INDEX(Crop_data,MATCH(A102,Crop_data_codes,0),4)</f>
        <v>No</v>
      </c>
      <c r="E102" s="424" t="str">
        <f t="shared" ref="E102:E116" si="42">IF(D102="Yes", SUM(F102:N102),"")</f>
        <v/>
      </c>
      <c r="F102" s="407" t="str">
        <f t="shared" ref="F102:F118" si="43">IF(D102="YES",INDEX(CO2_data,MATCH(A102,CO2_codes,0),2)+INDEX(CH4_data,MATCH(A102,CH4_codes,0),2)*CF_fossil_CH4+INDEX(CH4_bio_data,MATCH(A102,CH4_bio_codes,0),2)*CF_biog_CH4+INDEX(N2O_data,MATCH(A102,N2O_codes,0),2)*CF_N2O,"")</f>
        <v/>
      </c>
      <c r="G102" s="419" t="str">
        <f t="shared" ref="G102:G118" si="44">IF(D102="YES",INDEX(CO2_data,MATCH(A102,CO2_codes,0),3)+INDEX(CH4_data,MATCH(A102,CH4_codes,0),3)*CF_fossil_CH4+INDEX(CH4_bio_data,MATCH(A102,CH4_bio_codes,0),3)*CF_biog_CH4+INDEX(N2O_data,MATCH(A102,N2O_codes,0),3)*CF_N2O,"")</f>
        <v/>
      </c>
      <c r="H102" s="407" t="str">
        <f t="shared" ref="H102:H118" si="45">IF(D102="YES",INDEX(CO2_data,MATCH(A102,CO2_codes,0),4)+INDEX(CH4_data,MATCH(A102,CH4_codes,0),4)*CF_fossil_CH4+INDEX(CH4_bio_data,MATCH(A102,CH4_bio_codes,0),4)*CF_biog_CH4+INDEX(N2O_data,MATCH(A102,N2O_codes,0),4)*CF_N2O,"")</f>
        <v/>
      </c>
      <c r="I102" s="419" t="str">
        <f t="shared" ref="I102:I118" si="46">IF(D102="YES",INDEX(CO2_data,MATCH(A102,CO2_codes,0),5)+INDEX(CH4_data,MATCH(A102,CH4_codes,0),5)*CF_fossil_CH4+INDEX(CH4_bio_data,MATCH(A102,CH4_bio_codes,0),5)*CF_biog_CH4+INDEX(N2O_data,MATCH(A102,N2O_codes,0),5)*CF_N2O,"")</f>
        <v/>
      </c>
      <c r="J102" s="407" t="str">
        <f t="shared" ref="J102:J118" si="47">IF(D102="YES",INDEX(CO2_data,MATCH(A102,CO2_codes,0),6)+INDEX(CH4_data,MATCH(A102,CH4_codes,0),6)*CF_fossil_CH4+INDEX(CH4_bio_data,MATCH(A102,CH4_bio_codes,0),6)*CF_biog_CH4+INDEX(N2O_data,MATCH(A102,N2O_codes,0),6)*CF_N2O,"")</f>
        <v/>
      </c>
      <c r="K102" s="54" t="str">
        <f t="shared" ref="K102:K118" si="48">IF(D102="YES",INDEX(CO2_data,MATCH(A102,CO2_codes,0),7)+INDEX(CH4_data,MATCH(A102,CH4_codes,0),7)*CF_fossil_CH4+INDEX(CH4_bio_data,MATCH(A102,CH4_bio_codes,0),7)*CF_biog_CH4+INDEX(N2O_data,MATCH(A102,N2O_codes,0),7)*CF_N2O,"")</f>
        <v/>
      </c>
      <c r="L102" s="54" t="str">
        <f t="shared" ref="L102:L118" si="49">IF(D102="YES",INDEX(CO2_data,MATCH(A102,CO2_codes,0),8)+INDEX(CH4_data,MATCH(A102,CH4_codes,0),8)*CF_fossil_CH4+INDEX(CH4_bio_data,MATCH(A102,CH4_bio_codes,0),8)*CF_biog_CH4+INDEX(N2O_data,MATCH(A102,N2O_codes,0),8)*CF_N2O,"")</f>
        <v/>
      </c>
      <c r="M102" s="419" t="str">
        <f t="shared" ref="M102:M118" si="50">IF(D102="YES",INDEX(CO2_data,MATCH(A102,CO2_codes,0),9)+INDEX(CH4_data,MATCH(A102,CH4_codes,0),9)*CF_fossil_CH4+INDEX(CH4_bio_data,MATCH(A102,CH4_bio_codes,0),9)*CF_biog_CH4+INDEX(N2O_data,MATCH(A102,N2O_codes,0),9)*CF_N2O,"")</f>
        <v/>
      </c>
      <c r="N102" s="419" t="str">
        <f t="shared" ref="N102:N118" si="51">IF(D102="YES",INDEX(CO2_data,MATCH(A102,CO2_codes,0),10)+INDEX(CH4_data,MATCH(A102,CH4_codes,0),10)*CF_fossil_CH4+INDEX(CH4_bio_data,MATCH(A102,CH4_bio_codes,0),10)*CF_biog_CH4+INDEX(N2O_data,MATCH(A102,N2O_codes,0),10)*CF_N2O,"")</f>
        <v/>
      </c>
      <c r="O102" s="54"/>
    </row>
    <row r="103" spans="1:15" x14ac:dyDescent="0.3">
      <c r="A103" s="40" t="s">
        <v>137</v>
      </c>
      <c r="B103" s="3" t="str">
        <f t="shared" si="39"/>
        <v>Sunflower seed</v>
      </c>
      <c r="C103" s="3" t="str">
        <f t="shared" si="40"/>
        <v>Oil crops</v>
      </c>
      <c r="D103" s="41" t="str">
        <f t="shared" si="41"/>
        <v>No</v>
      </c>
      <c r="E103" s="424" t="str">
        <f t="shared" si="42"/>
        <v/>
      </c>
      <c r="F103" s="407" t="str">
        <f t="shared" si="43"/>
        <v/>
      </c>
      <c r="G103" s="419" t="str">
        <f t="shared" si="44"/>
        <v/>
      </c>
      <c r="H103" s="407" t="str">
        <f t="shared" si="45"/>
        <v/>
      </c>
      <c r="I103" s="419" t="str">
        <f t="shared" si="46"/>
        <v/>
      </c>
      <c r="J103" s="407" t="str">
        <f t="shared" si="47"/>
        <v/>
      </c>
      <c r="K103" s="54" t="str">
        <f t="shared" si="48"/>
        <v/>
      </c>
      <c r="L103" s="54" t="str">
        <f t="shared" si="49"/>
        <v/>
      </c>
      <c r="M103" s="419" t="str">
        <f t="shared" si="50"/>
        <v/>
      </c>
      <c r="N103" s="419" t="str">
        <f t="shared" si="51"/>
        <v/>
      </c>
      <c r="O103" s="54"/>
    </row>
    <row r="104" spans="1:15" x14ac:dyDescent="0.3">
      <c r="A104" s="40" t="s">
        <v>138</v>
      </c>
      <c r="B104" s="3" t="str">
        <f t="shared" si="39"/>
        <v>Sweet potatoes</v>
      </c>
      <c r="C104" s="3" t="str">
        <f t="shared" si="40"/>
        <v>Roots</v>
      </c>
      <c r="D104" s="41" t="str">
        <f t="shared" si="41"/>
        <v>No</v>
      </c>
      <c r="E104" s="424" t="str">
        <f t="shared" si="42"/>
        <v/>
      </c>
      <c r="F104" s="407" t="str">
        <f t="shared" si="43"/>
        <v/>
      </c>
      <c r="G104" s="419" t="str">
        <f t="shared" si="44"/>
        <v/>
      </c>
      <c r="H104" s="407" t="str">
        <f t="shared" si="45"/>
        <v/>
      </c>
      <c r="I104" s="419" t="str">
        <f t="shared" si="46"/>
        <v/>
      </c>
      <c r="J104" s="407" t="str">
        <f t="shared" si="47"/>
        <v/>
      </c>
      <c r="K104" s="54" t="str">
        <f t="shared" si="48"/>
        <v/>
      </c>
      <c r="L104" s="54" t="str">
        <f t="shared" si="49"/>
        <v/>
      </c>
      <c r="M104" s="419" t="str">
        <f t="shared" si="50"/>
        <v/>
      </c>
      <c r="N104" s="419" t="str">
        <f t="shared" si="51"/>
        <v/>
      </c>
      <c r="O104" s="54"/>
    </row>
    <row r="105" spans="1:15" x14ac:dyDescent="0.3">
      <c r="A105" s="40" t="s">
        <v>139</v>
      </c>
      <c r="B105" s="3" t="str">
        <f t="shared" si="39"/>
        <v>Tangerines, mandarins, clementines</v>
      </c>
      <c r="C105" s="3" t="str">
        <f t="shared" si="40"/>
        <v>Fruits</v>
      </c>
      <c r="D105" s="41" t="str">
        <f t="shared" si="41"/>
        <v>No</v>
      </c>
      <c r="E105" s="424" t="str">
        <f t="shared" si="42"/>
        <v/>
      </c>
      <c r="F105" s="407" t="str">
        <f t="shared" si="43"/>
        <v/>
      </c>
      <c r="G105" s="419" t="str">
        <f t="shared" si="44"/>
        <v/>
      </c>
      <c r="H105" s="407" t="str">
        <f t="shared" si="45"/>
        <v/>
      </c>
      <c r="I105" s="419" t="str">
        <f t="shared" si="46"/>
        <v/>
      </c>
      <c r="J105" s="407" t="str">
        <f t="shared" si="47"/>
        <v/>
      </c>
      <c r="K105" s="54" t="str">
        <f t="shared" si="48"/>
        <v/>
      </c>
      <c r="L105" s="54" t="str">
        <f t="shared" si="49"/>
        <v/>
      </c>
      <c r="M105" s="419" t="str">
        <f t="shared" si="50"/>
        <v/>
      </c>
      <c r="N105" s="419" t="str">
        <f t="shared" si="51"/>
        <v/>
      </c>
      <c r="O105" s="54"/>
    </row>
    <row r="106" spans="1:15" x14ac:dyDescent="0.3">
      <c r="A106" s="40" t="s">
        <v>140</v>
      </c>
      <c r="B106" s="3" t="str">
        <f t="shared" si="39"/>
        <v>Tomatoes, average</v>
      </c>
      <c r="C106" s="3" t="str">
        <f t="shared" si="40"/>
        <v>Vegetables</v>
      </c>
      <c r="D106" s="41" t="str">
        <f t="shared" si="41"/>
        <v>Yes</v>
      </c>
      <c r="E106" s="424">
        <f t="shared" si="42"/>
        <v>0.28494839973698693</v>
      </c>
      <c r="F106" s="407">
        <f t="shared" si="43"/>
        <v>1.3625598879371242E-2</v>
      </c>
      <c r="G106" s="419">
        <f t="shared" si="44"/>
        <v>3.01313E-2</v>
      </c>
      <c r="H106" s="407">
        <f t="shared" si="45"/>
        <v>1.8499405518522492E-2</v>
      </c>
      <c r="I106" s="419">
        <f t="shared" si="46"/>
        <v>1.8499405518522494E-3</v>
      </c>
      <c r="J106" s="407">
        <f t="shared" si="47"/>
        <v>0</v>
      </c>
      <c r="K106" s="54">
        <f t="shared" si="48"/>
        <v>0.21512153720432464</v>
      </c>
      <c r="L106" s="54">
        <f t="shared" si="49"/>
        <v>0</v>
      </c>
      <c r="M106" s="419">
        <f t="shared" si="50"/>
        <v>5.7206175829163184E-3</v>
      </c>
      <c r="N106" s="419">
        <f t="shared" si="51"/>
        <v>0</v>
      </c>
      <c r="O106" s="54"/>
    </row>
    <row r="107" spans="1:15" x14ac:dyDescent="0.3">
      <c r="A107" s="40" t="s">
        <v>141</v>
      </c>
      <c r="B107" s="3" t="str">
        <f t="shared" si="39"/>
        <v>Tomatoes, greenhouse</v>
      </c>
      <c r="C107" s="3" t="str">
        <f t="shared" si="40"/>
        <v>Vegetables</v>
      </c>
      <c r="D107" s="41" t="str">
        <f t="shared" si="41"/>
        <v>Yes</v>
      </c>
      <c r="E107" s="424">
        <f t="shared" si="42"/>
        <v>0.28494839973698693</v>
      </c>
      <c r="F107" s="407">
        <f t="shared" si="43"/>
        <v>1.3625598879371242E-2</v>
      </c>
      <c r="G107" s="419">
        <f t="shared" si="44"/>
        <v>3.01313E-2</v>
      </c>
      <c r="H107" s="407">
        <f t="shared" si="45"/>
        <v>1.8499405518522492E-2</v>
      </c>
      <c r="I107" s="419">
        <f t="shared" si="46"/>
        <v>1.8499405518522494E-3</v>
      </c>
      <c r="J107" s="407">
        <f t="shared" si="47"/>
        <v>0</v>
      </c>
      <c r="K107" s="54">
        <f t="shared" si="48"/>
        <v>0.21512153720432464</v>
      </c>
      <c r="L107" s="54">
        <f t="shared" si="49"/>
        <v>0</v>
      </c>
      <c r="M107" s="419">
        <f t="shared" si="50"/>
        <v>5.7206175829163184E-3</v>
      </c>
      <c r="N107" s="419">
        <f t="shared" si="51"/>
        <v>0</v>
      </c>
      <c r="O107" s="54"/>
    </row>
    <row r="108" spans="1:15" x14ac:dyDescent="0.3">
      <c r="A108" s="40" t="s">
        <v>142</v>
      </c>
      <c r="B108" s="3" t="str">
        <f t="shared" si="39"/>
        <v>Tomatoes, openfield</v>
      </c>
      <c r="C108" s="3" t="str">
        <f t="shared" si="40"/>
        <v>Vegetables</v>
      </c>
      <c r="D108" s="41" t="str">
        <f t="shared" si="41"/>
        <v>No</v>
      </c>
      <c r="E108" s="424" t="str">
        <f t="shared" si="42"/>
        <v/>
      </c>
      <c r="F108" s="407" t="str">
        <f t="shared" si="43"/>
        <v/>
      </c>
      <c r="G108" s="419" t="str">
        <f t="shared" si="44"/>
        <v/>
      </c>
      <c r="H108" s="407" t="str">
        <f t="shared" si="45"/>
        <v/>
      </c>
      <c r="I108" s="419" t="str">
        <f t="shared" si="46"/>
        <v/>
      </c>
      <c r="J108" s="407" t="str">
        <f t="shared" si="47"/>
        <v/>
      </c>
      <c r="K108" s="54" t="str">
        <f t="shared" si="48"/>
        <v/>
      </c>
      <c r="L108" s="54" t="str">
        <f t="shared" si="49"/>
        <v/>
      </c>
      <c r="M108" s="419" t="str">
        <f t="shared" si="50"/>
        <v/>
      </c>
      <c r="N108" s="419" t="str">
        <f t="shared" si="51"/>
        <v/>
      </c>
      <c r="O108" s="54"/>
    </row>
    <row r="109" spans="1:15" x14ac:dyDescent="0.3">
      <c r="A109" s="40" t="s">
        <v>143</v>
      </c>
      <c r="B109" s="3" t="str">
        <f t="shared" si="39"/>
        <v>Triticale</v>
      </c>
      <c r="C109" s="3" t="str">
        <f t="shared" si="40"/>
        <v>Cereals</v>
      </c>
      <c r="D109" s="41" t="str">
        <f t="shared" si="41"/>
        <v>Yes</v>
      </c>
      <c r="E109" s="424">
        <f t="shared" si="42"/>
        <v>0.37038315282074541</v>
      </c>
      <c r="F109" s="407">
        <f t="shared" si="43"/>
        <v>9.8293572560784026E-2</v>
      </c>
      <c r="G109" s="419">
        <f t="shared" si="44"/>
        <v>3.01313E-2</v>
      </c>
      <c r="H109" s="407">
        <f t="shared" si="45"/>
        <v>0.15711700431636097</v>
      </c>
      <c r="I109" s="419">
        <f t="shared" si="46"/>
        <v>1.5711700431636097E-2</v>
      </c>
      <c r="J109" s="407">
        <f t="shared" si="47"/>
        <v>3.3367913283615824E-2</v>
      </c>
      <c r="K109" s="54">
        <f t="shared" si="48"/>
        <v>0</v>
      </c>
      <c r="L109" s="54">
        <f t="shared" si="49"/>
        <v>1.6669779230315602E-4</v>
      </c>
      <c r="M109" s="419">
        <f t="shared" si="50"/>
        <v>3.5594964436045345E-2</v>
      </c>
      <c r="N109" s="419">
        <f t="shared" si="51"/>
        <v>0</v>
      </c>
      <c r="O109" s="54"/>
    </row>
    <row r="110" spans="1:15" x14ac:dyDescent="0.3">
      <c r="A110" s="40" t="s">
        <v>144</v>
      </c>
      <c r="B110" s="3" t="str">
        <f t="shared" si="39"/>
        <v>True hemp, raw or retted</v>
      </c>
      <c r="C110" s="3" t="str">
        <f t="shared" si="40"/>
        <v>Other</v>
      </c>
      <c r="D110" s="41" t="str">
        <f t="shared" si="41"/>
        <v>No</v>
      </c>
      <c r="E110" s="424" t="str">
        <f t="shared" si="42"/>
        <v/>
      </c>
      <c r="F110" s="407" t="str">
        <f t="shared" si="43"/>
        <v/>
      </c>
      <c r="G110" s="419" t="str">
        <f t="shared" si="44"/>
        <v/>
      </c>
      <c r="H110" s="407" t="str">
        <f t="shared" si="45"/>
        <v/>
      </c>
      <c r="I110" s="419" t="str">
        <f t="shared" si="46"/>
        <v/>
      </c>
      <c r="J110" s="407" t="str">
        <f t="shared" si="47"/>
        <v/>
      </c>
      <c r="K110" s="54" t="str">
        <f t="shared" si="48"/>
        <v/>
      </c>
      <c r="L110" s="54" t="str">
        <f t="shared" si="49"/>
        <v/>
      </c>
      <c r="M110" s="419" t="str">
        <f t="shared" si="50"/>
        <v/>
      </c>
      <c r="N110" s="419" t="str">
        <f t="shared" si="51"/>
        <v/>
      </c>
      <c r="O110" s="54"/>
    </row>
    <row r="111" spans="1:15" x14ac:dyDescent="0.3">
      <c r="A111" s="40" t="s">
        <v>145</v>
      </c>
      <c r="B111" s="3" t="str">
        <f t="shared" si="39"/>
        <v>Vetches</v>
      </c>
      <c r="C111" s="3" t="str">
        <f t="shared" si="40"/>
        <v>Other</v>
      </c>
      <c r="D111" s="41" t="str">
        <f t="shared" si="41"/>
        <v>No</v>
      </c>
      <c r="E111" s="424" t="str">
        <f t="shared" si="42"/>
        <v/>
      </c>
      <c r="F111" s="407" t="str">
        <f t="shared" si="43"/>
        <v/>
      </c>
      <c r="G111" s="419" t="str">
        <f t="shared" si="44"/>
        <v/>
      </c>
      <c r="H111" s="407" t="str">
        <f t="shared" si="45"/>
        <v/>
      </c>
      <c r="I111" s="419" t="str">
        <f t="shared" si="46"/>
        <v/>
      </c>
      <c r="J111" s="407" t="str">
        <f t="shared" si="47"/>
        <v/>
      </c>
      <c r="K111" s="54" t="str">
        <f t="shared" si="48"/>
        <v/>
      </c>
      <c r="L111" s="54" t="str">
        <f t="shared" si="49"/>
        <v/>
      </c>
      <c r="M111" s="419" t="str">
        <f t="shared" si="50"/>
        <v/>
      </c>
      <c r="N111" s="419" t="str">
        <f t="shared" si="51"/>
        <v/>
      </c>
      <c r="O111" s="54"/>
    </row>
    <row r="112" spans="1:15" x14ac:dyDescent="0.3">
      <c r="A112" s="40" t="s">
        <v>146</v>
      </c>
      <c r="B112" s="3" t="str">
        <f t="shared" si="39"/>
        <v>Walnuts, in shell</v>
      </c>
      <c r="C112" s="3" t="str">
        <f t="shared" si="40"/>
        <v>Nuts</v>
      </c>
      <c r="D112" s="41" t="str">
        <f t="shared" si="41"/>
        <v>No</v>
      </c>
      <c r="E112" s="424" t="str">
        <f t="shared" si="42"/>
        <v/>
      </c>
      <c r="F112" s="407" t="str">
        <f t="shared" si="43"/>
        <v/>
      </c>
      <c r="G112" s="419" t="str">
        <f t="shared" si="44"/>
        <v/>
      </c>
      <c r="H112" s="407" t="str">
        <f t="shared" si="45"/>
        <v/>
      </c>
      <c r="I112" s="419" t="str">
        <f t="shared" si="46"/>
        <v/>
      </c>
      <c r="J112" s="407" t="str">
        <f t="shared" si="47"/>
        <v/>
      </c>
      <c r="K112" s="54" t="str">
        <f t="shared" si="48"/>
        <v/>
      </c>
      <c r="L112" s="54" t="str">
        <f t="shared" si="49"/>
        <v/>
      </c>
      <c r="M112" s="419" t="str">
        <f t="shared" si="50"/>
        <v/>
      </c>
      <c r="N112" s="419" t="str">
        <f t="shared" si="51"/>
        <v/>
      </c>
      <c r="O112" s="54"/>
    </row>
    <row r="113" spans="1:15" x14ac:dyDescent="0.3">
      <c r="A113" s="40" t="s">
        <v>147</v>
      </c>
      <c r="B113" s="3" t="str">
        <f t="shared" si="39"/>
        <v>Watermelons</v>
      </c>
      <c r="C113" s="3" t="str">
        <f t="shared" si="40"/>
        <v>Fruits</v>
      </c>
      <c r="D113" s="41" t="str">
        <f t="shared" si="41"/>
        <v>No</v>
      </c>
      <c r="E113" s="424" t="str">
        <f t="shared" si="42"/>
        <v/>
      </c>
      <c r="F113" s="407" t="str">
        <f t="shared" si="43"/>
        <v/>
      </c>
      <c r="G113" s="419" t="str">
        <f t="shared" si="44"/>
        <v/>
      </c>
      <c r="H113" s="407" t="str">
        <f t="shared" si="45"/>
        <v/>
      </c>
      <c r="I113" s="419" t="str">
        <f t="shared" si="46"/>
        <v/>
      </c>
      <c r="J113" s="407" t="str">
        <f t="shared" si="47"/>
        <v/>
      </c>
      <c r="K113" s="54" t="str">
        <f t="shared" si="48"/>
        <v/>
      </c>
      <c r="L113" s="54" t="str">
        <f t="shared" si="49"/>
        <v/>
      </c>
      <c r="M113" s="419" t="str">
        <f t="shared" si="50"/>
        <v/>
      </c>
      <c r="N113" s="419" t="str">
        <f t="shared" si="51"/>
        <v/>
      </c>
      <c r="O113" s="54"/>
    </row>
    <row r="114" spans="1:15" x14ac:dyDescent="0.3">
      <c r="A114" s="40" t="s">
        <v>148</v>
      </c>
      <c r="B114" s="3" t="str">
        <f t="shared" si="39"/>
        <v>Watermelons, greenhouse</v>
      </c>
      <c r="C114" s="3" t="str">
        <f t="shared" si="40"/>
        <v>Fruits</v>
      </c>
      <c r="D114" s="41" t="str">
        <f t="shared" si="41"/>
        <v>No</v>
      </c>
      <c r="E114" s="424" t="str">
        <f t="shared" si="42"/>
        <v/>
      </c>
      <c r="F114" s="407" t="str">
        <f t="shared" si="43"/>
        <v/>
      </c>
      <c r="G114" s="419" t="str">
        <f t="shared" si="44"/>
        <v/>
      </c>
      <c r="H114" s="407" t="str">
        <f t="shared" si="45"/>
        <v/>
      </c>
      <c r="I114" s="419" t="str">
        <f t="shared" si="46"/>
        <v/>
      </c>
      <c r="J114" s="407" t="str">
        <f t="shared" si="47"/>
        <v/>
      </c>
      <c r="K114" s="54" t="str">
        <f t="shared" si="48"/>
        <v/>
      </c>
      <c r="L114" s="54" t="str">
        <f t="shared" si="49"/>
        <v/>
      </c>
      <c r="M114" s="419" t="str">
        <f t="shared" si="50"/>
        <v/>
      </c>
      <c r="N114" s="419" t="str">
        <f t="shared" si="51"/>
        <v/>
      </c>
      <c r="O114" s="54"/>
    </row>
    <row r="115" spans="1:15" x14ac:dyDescent="0.3">
      <c r="A115" s="40" t="s">
        <v>149</v>
      </c>
      <c r="B115" s="3" t="str">
        <f t="shared" si="39"/>
        <v>Watermelons, openfield</v>
      </c>
      <c r="C115" s="3" t="str">
        <f t="shared" si="40"/>
        <v>Fruits</v>
      </c>
      <c r="D115" s="41" t="str">
        <f t="shared" si="41"/>
        <v>No</v>
      </c>
      <c r="E115" s="424" t="str">
        <f t="shared" si="42"/>
        <v/>
      </c>
      <c r="F115" s="407" t="str">
        <f t="shared" si="43"/>
        <v/>
      </c>
      <c r="G115" s="419" t="str">
        <f t="shared" si="44"/>
        <v/>
      </c>
      <c r="H115" s="407" t="str">
        <f t="shared" si="45"/>
        <v/>
      </c>
      <c r="I115" s="419" t="str">
        <f t="shared" si="46"/>
        <v/>
      </c>
      <c r="J115" s="407" t="str">
        <f t="shared" si="47"/>
        <v/>
      </c>
      <c r="K115" s="54" t="str">
        <f t="shared" si="48"/>
        <v/>
      </c>
      <c r="L115" s="54" t="str">
        <f t="shared" si="49"/>
        <v/>
      </c>
      <c r="M115" s="419" t="str">
        <f t="shared" si="50"/>
        <v/>
      </c>
      <c r="N115" s="419" t="str">
        <f t="shared" si="51"/>
        <v/>
      </c>
      <c r="O115" s="54"/>
    </row>
    <row r="116" spans="1:15" x14ac:dyDescent="0.3">
      <c r="A116" s="40" t="s">
        <v>150</v>
      </c>
      <c r="B116" s="3" t="str">
        <f t="shared" si="39"/>
        <v>Wheat, average</v>
      </c>
      <c r="C116" s="3" t="str">
        <f t="shared" si="40"/>
        <v>Cereals, incl feed</v>
      </c>
      <c r="D116" s="41" t="str">
        <f t="shared" si="41"/>
        <v>Yes</v>
      </c>
      <c r="E116" s="424">
        <f t="shared" si="42"/>
        <v>0.42153794927943045</v>
      </c>
      <c r="F116" s="407">
        <f t="shared" si="43"/>
        <v>0.11883715916280413</v>
      </c>
      <c r="G116" s="419">
        <f t="shared" si="44"/>
        <v>3.01313E-2</v>
      </c>
      <c r="H116" s="407">
        <f t="shared" si="45"/>
        <v>0.18823536641573205</v>
      </c>
      <c r="I116" s="419">
        <f t="shared" si="46"/>
        <v>1.8823536641573203E-2</v>
      </c>
      <c r="J116" s="407">
        <f t="shared" si="47"/>
        <v>2.9748924830972502E-2</v>
      </c>
      <c r="K116" s="54">
        <f t="shared" si="48"/>
        <v>0</v>
      </c>
      <c r="L116" s="54">
        <f t="shared" si="49"/>
        <v>1.6669779230315605E-4</v>
      </c>
      <c r="M116" s="419">
        <f t="shared" si="50"/>
        <v>3.5594964436045345E-2</v>
      </c>
      <c r="N116" s="419">
        <f t="shared" si="51"/>
        <v>0</v>
      </c>
      <c r="O116" s="54"/>
    </row>
    <row r="117" spans="1:15" x14ac:dyDescent="0.3">
      <c r="A117" s="40" t="s">
        <v>151</v>
      </c>
      <c r="B117" s="3" t="str">
        <f t="shared" si="39"/>
        <v>Wheat, spring</v>
      </c>
      <c r="C117" s="3" t="str">
        <f t="shared" si="40"/>
        <v>Cereals</v>
      </c>
      <c r="D117" s="41" t="str">
        <f t="shared" si="41"/>
        <v>Yes</v>
      </c>
      <c r="E117" s="424">
        <f t="shared" ref="E117:E118" si="52">IF(D117="Yes", SUM(F117:N117),"")</f>
        <v>0.45741422491828254</v>
      </c>
      <c r="F117" s="407">
        <f t="shared" si="43"/>
        <v>0.12450426922589425</v>
      </c>
      <c r="G117" s="419">
        <f t="shared" si="44"/>
        <v>3.01313E-2</v>
      </c>
      <c r="H117" s="407">
        <f t="shared" si="45"/>
        <v>0.19839846773014927</v>
      </c>
      <c r="I117" s="419">
        <f t="shared" si="46"/>
        <v>1.9839846773014928E-2</v>
      </c>
      <c r="J117" s="407">
        <f t="shared" si="47"/>
        <v>4.8778678960875628E-2</v>
      </c>
      <c r="K117" s="54">
        <f t="shared" si="48"/>
        <v>0</v>
      </c>
      <c r="L117" s="54">
        <f t="shared" si="49"/>
        <v>1.6669779230315602E-4</v>
      </c>
      <c r="M117" s="419">
        <f t="shared" si="50"/>
        <v>3.5594964436045345E-2</v>
      </c>
      <c r="N117" s="419">
        <f t="shared" si="51"/>
        <v>0</v>
      </c>
    </row>
    <row r="118" spans="1:15" x14ac:dyDescent="0.3">
      <c r="A118" s="42" t="s">
        <v>152</v>
      </c>
      <c r="B118" s="46" t="str">
        <f t="shared" si="39"/>
        <v>Wheat, winter</v>
      </c>
      <c r="C118" s="46" t="str">
        <f t="shared" si="40"/>
        <v>Cereals</v>
      </c>
      <c r="D118" s="33" t="str">
        <f t="shared" si="41"/>
        <v>Yes</v>
      </c>
      <c r="E118" s="425">
        <f t="shared" si="52"/>
        <v>0.41920919822127989</v>
      </c>
      <c r="F118" s="418">
        <f t="shared" si="43"/>
        <v>0.11845635667581665</v>
      </c>
      <c r="G118" s="420">
        <f t="shared" si="44"/>
        <v>3.01313E-2</v>
      </c>
      <c r="H118" s="418">
        <f t="shared" si="45"/>
        <v>0.18745883370689659</v>
      </c>
      <c r="I118" s="420">
        <f t="shared" si="46"/>
        <v>1.8745883370689661E-2</v>
      </c>
      <c r="J118" s="418">
        <f t="shared" si="47"/>
        <v>2.8655162239528444E-2</v>
      </c>
      <c r="K118" s="426">
        <f t="shared" si="48"/>
        <v>0</v>
      </c>
      <c r="L118" s="426">
        <f t="shared" si="49"/>
        <v>1.6669779230315602E-4</v>
      </c>
      <c r="M118" s="420">
        <f t="shared" si="50"/>
        <v>3.5594964436045345E-2</v>
      </c>
      <c r="N118" s="420">
        <f t="shared" si="51"/>
        <v>0</v>
      </c>
    </row>
  </sheetData>
  <autoFilter ref="A5:N118" xr:uid="{00000000-0009-0000-0000-000003000000}">
    <sortState xmlns:xlrd2="http://schemas.microsoft.com/office/spreadsheetml/2017/richdata2" ref="A6:P116">
      <sortCondition ref="B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9" tint="0.79998168889431442"/>
  </sheetPr>
  <dimension ref="A2:N120"/>
  <sheetViews>
    <sheetView topLeftCell="A91" zoomScale="80" zoomScaleNormal="80" workbookViewId="0">
      <selection activeCell="K41" sqref="K41"/>
    </sheetView>
  </sheetViews>
  <sheetFormatPr defaultColWidth="8.6640625" defaultRowHeight="14.4" x14ac:dyDescent="0.3"/>
  <cols>
    <col min="1" max="1" width="9.6640625" customWidth="1"/>
    <col min="2" max="2" width="29.44140625" customWidth="1"/>
    <col min="3" max="3" width="18.33203125" customWidth="1"/>
    <col min="4" max="4" width="10.44140625" customWidth="1"/>
    <col min="5" max="5" width="9.44140625" customWidth="1"/>
    <col min="6" max="6" width="12.6640625" customWidth="1"/>
    <col min="7" max="7" width="14.44140625" customWidth="1"/>
    <col min="8" max="9" width="12.6640625" customWidth="1"/>
    <col min="10" max="10" width="10.44140625" customWidth="1"/>
    <col min="11" max="11" width="12.44140625" customWidth="1"/>
    <col min="12" max="12" width="12.33203125" customWidth="1"/>
    <col min="13" max="13" width="12.44140625" customWidth="1"/>
    <col min="14" max="14" width="16.44140625" customWidth="1"/>
    <col min="17" max="17" width="10" bestFit="1" customWidth="1"/>
  </cols>
  <sheetData>
    <row r="2" spans="1:14" ht="21" x14ac:dyDescent="0.4">
      <c r="A2" s="39" t="s">
        <v>404</v>
      </c>
    </row>
    <row r="4" spans="1:14" x14ac:dyDescent="0.3">
      <c r="A4" s="244" t="s">
        <v>11</v>
      </c>
      <c r="B4" s="245"/>
      <c r="C4" s="245"/>
      <c r="D4" s="251"/>
      <c r="E4" s="247" t="s">
        <v>387</v>
      </c>
      <c r="F4" s="252" t="s">
        <v>388</v>
      </c>
      <c r="G4" s="474"/>
      <c r="H4" s="252" t="s">
        <v>389</v>
      </c>
      <c r="I4" s="250"/>
      <c r="J4" s="253" t="s">
        <v>390</v>
      </c>
      <c r="K4" s="250"/>
      <c r="L4" s="250"/>
      <c r="M4" s="250"/>
      <c r="N4" s="254" t="s">
        <v>391</v>
      </c>
    </row>
    <row r="5" spans="1:14" ht="43.2" x14ac:dyDescent="0.3">
      <c r="A5" s="239" t="s">
        <v>392</v>
      </c>
      <c r="B5" s="240" t="s">
        <v>11</v>
      </c>
      <c r="C5" s="240" t="s">
        <v>393</v>
      </c>
      <c r="D5" s="255" t="s">
        <v>405</v>
      </c>
      <c r="E5" s="472"/>
      <c r="F5" s="256" t="s">
        <v>395</v>
      </c>
      <c r="G5" s="242" t="s">
        <v>396</v>
      </c>
      <c r="H5" s="256" t="s">
        <v>397</v>
      </c>
      <c r="I5" s="242" t="s">
        <v>398</v>
      </c>
      <c r="J5" s="256" t="s">
        <v>399</v>
      </c>
      <c r="K5" s="242" t="s">
        <v>400</v>
      </c>
      <c r="L5" s="242" t="s">
        <v>401</v>
      </c>
      <c r="M5" s="242" t="s">
        <v>402</v>
      </c>
      <c r="N5" s="257" t="s">
        <v>403</v>
      </c>
    </row>
    <row r="6" spans="1:14" x14ac:dyDescent="0.3">
      <c r="A6" s="40" t="s">
        <v>40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1" t="str">
        <f t="shared" ref="D6:D37" si="2">INDEX(Crop_data,MATCH(A6,Crop_data_codes,0),4)</f>
        <v>No</v>
      </c>
      <c r="E6" s="471" t="str">
        <f t="shared" ref="E6:E37" si="3">IF(D6="Yes", SUM(F6:N6),"")</f>
        <v/>
      </c>
      <c r="F6" s="407" t="str">
        <f t="shared" ref="F6:F37" si="4">IF(D6="YES",INDEX(Crop_data,MATCH(A6,Crop_data_codes,0),7)*(Frac_BAT*EF_min_fert_BAT_CO2+Frac_AN*EF_min_fert_AN_CO2)/INDEX(Crop_data,MATCH(A6,Crop_data_codes,0),6),"")</f>
        <v/>
      </c>
      <c r="G6" s="54" t="str">
        <f t="shared" ref="G6:G37" si="5">IF(D6="YES",EF_capital_goods_CO2,"")</f>
        <v/>
      </c>
      <c r="H6" s="407" t="str">
        <f t="shared" ref="H6:H37" si="6">IF(D6="Yes",INDEX(Soil_carbon_data,MATCH(C6,Soil_carbon_categories,0),2),"")</f>
        <v/>
      </c>
      <c r="I6" s="54"/>
      <c r="J6" s="407" t="str">
        <f t="shared" ref="J6:J38" si="7">IF(D6="YES",INDEX(Crop_data,MATCH(A6,Crop_data_codes,0),11)*Heating_value_diesel*EF_diesel_CO2/INDEX(Crop_data,MATCH(A6,Crop_data_codes,0),6),"")</f>
        <v/>
      </c>
      <c r="K6" s="54"/>
      <c r="L6" s="54" t="str">
        <f t="shared" ref="L6:L37" si="8">IF(D6="YES",INDEX(Crop_data,MATCH(A6,Crop_data_codes,0),12)*EF_irrigation_CO2/INDEX(Crop_data,MATCH(A6,Crop_data_codes,0),6),"")</f>
        <v/>
      </c>
      <c r="M6" s="54" t="str">
        <f t="shared" ref="M6:M37" si="9">IF(D6="Yes",INDEX(Post_harvest_energy_data,MATCH(C6,Post_harvest_energy_categories,0),2)*EF_heating_oil_CO2+INDEX(Post_harvest_energy_data,MATCH(C6,Post_harvest_energy_categories,0),3)*EF_electricity_CO2+INDEX(Post_harvest_energy_data,MATCH(C6,Post_harvest_energy_categories,0),4)*EF_chips_CO2,"")</f>
        <v/>
      </c>
      <c r="N6" s="43"/>
    </row>
    <row r="7" spans="1:14" x14ac:dyDescent="0.3">
      <c r="A7" s="40" t="s">
        <v>41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1" t="str">
        <f t="shared" si="2"/>
        <v>No</v>
      </c>
      <c r="E7" s="471" t="str">
        <f t="shared" si="3"/>
        <v/>
      </c>
      <c r="F7" s="407" t="str">
        <f t="shared" si="4"/>
        <v/>
      </c>
      <c r="G7" s="54" t="str">
        <f t="shared" si="5"/>
        <v/>
      </c>
      <c r="H7" s="407" t="str">
        <f t="shared" si="6"/>
        <v/>
      </c>
      <c r="I7" s="54"/>
      <c r="J7" s="407" t="str">
        <f t="shared" si="7"/>
        <v/>
      </c>
      <c r="K7" s="54"/>
      <c r="L7" s="54" t="str">
        <f t="shared" si="8"/>
        <v/>
      </c>
      <c r="M7" s="54" t="str">
        <f t="shared" si="9"/>
        <v/>
      </c>
      <c r="N7" s="43"/>
    </row>
    <row r="8" spans="1:14" x14ac:dyDescent="0.3">
      <c r="A8" s="40" t="s">
        <v>42</v>
      </c>
      <c r="B8" s="3" t="str">
        <f t="shared" si="0"/>
        <v>Apples</v>
      </c>
      <c r="C8" s="3" t="str">
        <f t="shared" si="1"/>
        <v>Fruits</v>
      </c>
      <c r="D8" s="41" t="str">
        <f t="shared" si="2"/>
        <v>Yes</v>
      </c>
      <c r="E8" s="471">
        <f t="shared" si="3"/>
        <v>0.10494615494158456</v>
      </c>
      <c r="F8" s="485">
        <f t="shared" si="4"/>
        <v>6.7989359490653305E-3</v>
      </c>
      <c r="G8" s="54">
        <f t="shared" si="5"/>
        <v>2.7E-2</v>
      </c>
      <c r="H8" s="407">
        <f t="shared" si="6"/>
        <v>0</v>
      </c>
      <c r="I8" s="54"/>
      <c r="J8" s="407">
        <f t="shared" si="7"/>
        <v>6.3566104217785177E-2</v>
      </c>
      <c r="K8" s="54"/>
      <c r="L8" s="54">
        <f t="shared" si="8"/>
        <v>2.1758162357726138E-3</v>
      </c>
      <c r="M8" s="54">
        <f t="shared" si="9"/>
        <v>5.4052985389614451E-3</v>
      </c>
      <c r="N8" s="43"/>
    </row>
    <row r="9" spans="1:14" x14ac:dyDescent="0.3">
      <c r="A9" s="40" t="s">
        <v>43</v>
      </c>
      <c r="B9" s="3" t="str">
        <f t="shared" si="0"/>
        <v>Apricots</v>
      </c>
      <c r="C9" s="3" t="str">
        <f t="shared" si="1"/>
        <v>Fruits</v>
      </c>
      <c r="D9" s="41" t="str">
        <f t="shared" si="2"/>
        <v>No</v>
      </c>
      <c r="E9" s="471" t="str">
        <f t="shared" si="3"/>
        <v/>
      </c>
      <c r="F9" s="407" t="str">
        <f t="shared" si="4"/>
        <v/>
      </c>
      <c r="G9" s="54" t="str">
        <f t="shared" si="5"/>
        <v/>
      </c>
      <c r="H9" s="407" t="str">
        <f t="shared" si="6"/>
        <v/>
      </c>
      <c r="I9" s="54"/>
      <c r="J9" s="407" t="str">
        <f t="shared" si="7"/>
        <v/>
      </c>
      <c r="K9" s="54"/>
      <c r="L9" s="54" t="str">
        <f t="shared" si="8"/>
        <v/>
      </c>
      <c r="M9" s="54" t="str">
        <f t="shared" si="9"/>
        <v/>
      </c>
      <c r="N9" s="43"/>
    </row>
    <row r="10" spans="1:14" x14ac:dyDescent="0.3">
      <c r="A10" s="40" t="s">
        <v>44</v>
      </c>
      <c r="B10" s="3" t="str">
        <f t="shared" si="0"/>
        <v>Artichokes</v>
      </c>
      <c r="C10" s="3" t="str">
        <f t="shared" si="1"/>
        <v>Vegetables</v>
      </c>
      <c r="D10" s="41" t="str">
        <f t="shared" si="2"/>
        <v>No</v>
      </c>
      <c r="E10" s="471" t="str">
        <f t="shared" si="3"/>
        <v/>
      </c>
      <c r="F10" s="407" t="str">
        <f t="shared" si="4"/>
        <v/>
      </c>
      <c r="G10" s="54" t="str">
        <f t="shared" si="5"/>
        <v/>
      </c>
      <c r="H10" s="407" t="str">
        <f t="shared" si="6"/>
        <v/>
      </c>
      <c r="I10" s="54"/>
      <c r="J10" s="407" t="str">
        <f t="shared" si="7"/>
        <v/>
      </c>
      <c r="K10" s="54"/>
      <c r="L10" s="54" t="str">
        <f t="shared" si="8"/>
        <v/>
      </c>
      <c r="M10" s="54" t="str">
        <f t="shared" si="9"/>
        <v/>
      </c>
      <c r="N10" s="43"/>
    </row>
    <row r="11" spans="1:14" x14ac:dyDescent="0.3">
      <c r="A11" s="40" t="s">
        <v>45</v>
      </c>
      <c r="B11" s="3" t="str">
        <f t="shared" si="0"/>
        <v>Asparagus</v>
      </c>
      <c r="C11" s="3" t="str">
        <f t="shared" si="1"/>
        <v>Vegetables</v>
      </c>
      <c r="D11" s="41" t="str">
        <f t="shared" si="2"/>
        <v>Yes</v>
      </c>
      <c r="E11" s="471">
        <f t="shared" si="3"/>
        <v>0.29879834701737185</v>
      </c>
      <c r="F11" s="407">
        <f t="shared" si="4"/>
        <v>3.7892030178580324E-2</v>
      </c>
      <c r="G11" s="54">
        <f t="shared" si="5"/>
        <v>2.7E-2</v>
      </c>
      <c r="H11" s="407">
        <f t="shared" si="6"/>
        <v>0</v>
      </c>
      <c r="I11" s="54"/>
      <c r="J11" s="407">
        <f t="shared" si="7"/>
        <v>0.22595006114776622</v>
      </c>
      <c r="K11" s="54"/>
      <c r="L11" s="54">
        <f t="shared" si="8"/>
        <v>2.5509571520638602E-3</v>
      </c>
      <c r="M11" s="54">
        <f t="shared" si="9"/>
        <v>5.4052985389614451E-3</v>
      </c>
      <c r="N11" s="43"/>
    </row>
    <row r="12" spans="1:14" x14ac:dyDescent="0.3">
      <c r="A12" s="40" t="s">
        <v>46</v>
      </c>
      <c r="B12" s="3" t="str">
        <f t="shared" si="0"/>
        <v>Avocados</v>
      </c>
      <c r="C12" s="3" t="str">
        <f t="shared" si="1"/>
        <v>Vegetables</v>
      </c>
      <c r="D12" s="41" t="str">
        <f t="shared" si="2"/>
        <v>No</v>
      </c>
      <c r="E12" s="471" t="str">
        <f t="shared" si="3"/>
        <v/>
      </c>
      <c r="F12" s="407" t="str">
        <f t="shared" si="4"/>
        <v/>
      </c>
      <c r="G12" s="54" t="str">
        <f t="shared" si="5"/>
        <v/>
      </c>
      <c r="H12" s="407" t="str">
        <f t="shared" si="6"/>
        <v/>
      </c>
      <c r="I12" s="54"/>
      <c r="J12" s="407" t="str">
        <f t="shared" si="7"/>
        <v/>
      </c>
      <c r="K12" s="54"/>
      <c r="L12" s="54" t="str">
        <f t="shared" si="8"/>
        <v/>
      </c>
      <c r="M12" s="54" t="str">
        <f t="shared" si="9"/>
        <v/>
      </c>
      <c r="N12" s="43"/>
    </row>
    <row r="13" spans="1:14" x14ac:dyDescent="0.3">
      <c r="A13" s="40" t="s">
        <v>47</v>
      </c>
      <c r="B13" s="3" t="str">
        <f t="shared" si="0"/>
        <v>Bananas</v>
      </c>
      <c r="C13" s="3" t="str">
        <f t="shared" si="1"/>
        <v>Fruits</v>
      </c>
      <c r="D13" s="41" t="str">
        <f t="shared" si="2"/>
        <v>No</v>
      </c>
      <c r="E13" s="471" t="str">
        <f t="shared" si="3"/>
        <v/>
      </c>
      <c r="F13" s="407" t="str">
        <f t="shared" si="4"/>
        <v/>
      </c>
      <c r="G13" s="54" t="str">
        <f t="shared" si="5"/>
        <v/>
      </c>
      <c r="H13" s="407" t="str">
        <f t="shared" si="6"/>
        <v/>
      </c>
      <c r="I13" s="54"/>
      <c r="J13" s="407" t="str">
        <f t="shared" si="7"/>
        <v/>
      </c>
      <c r="K13" s="54"/>
      <c r="L13" s="54" t="str">
        <f t="shared" si="8"/>
        <v/>
      </c>
      <c r="M13" s="54" t="str">
        <f t="shared" si="9"/>
        <v/>
      </c>
      <c r="N13" s="43"/>
    </row>
    <row r="14" spans="1:14" x14ac:dyDescent="0.3">
      <c r="A14" s="40" t="s">
        <v>48</v>
      </c>
      <c r="B14" s="3" t="str">
        <f t="shared" si="0"/>
        <v>Barley, average</v>
      </c>
      <c r="C14" s="3" t="str">
        <f t="shared" si="1"/>
        <v>Cereals, incl feed</v>
      </c>
      <c r="D14" s="41" t="str">
        <f t="shared" si="2"/>
        <v>Yes</v>
      </c>
      <c r="E14" s="471">
        <f t="shared" si="3"/>
        <v>0.16693756034847507</v>
      </c>
      <c r="F14" s="407">
        <f t="shared" si="4"/>
        <v>6.4330297358443381E-2</v>
      </c>
      <c r="G14" s="54">
        <f t="shared" si="5"/>
        <v>2.7E-2</v>
      </c>
      <c r="H14" s="407">
        <f t="shared" si="6"/>
        <v>0</v>
      </c>
      <c r="I14" s="54"/>
      <c r="J14" s="407">
        <f t="shared" si="7"/>
        <v>4.0808656195462478E-2</v>
      </c>
      <c r="K14" s="54"/>
      <c r="L14" s="54">
        <f t="shared" si="8"/>
        <v>0</v>
      </c>
      <c r="M14" s="54">
        <f t="shared" si="9"/>
        <v>3.4798606794569205E-2</v>
      </c>
      <c r="N14" s="43"/>
    </row>
    <row r="15" spans="1:14" x14ac:dyDescent="0.3">
      <c r="A15" s="40" t="s">
        <v>49</v>
      </c>
      <c r="B15" s="3" t="str">
        <f t="shared" si="0"/>
        <v>Barley, spring</v>
      </c>
      <c r="C15" s="3" t="str">
        <f t="shared" si="1"/>
        <v>Cereals</v>
      </c>
      <c r="D15" s="41" t="str">
        <f t="shared" si="2"/>
        <v>Yes</v>
      </c>
      <c r="E15" s="471">
        <f t="shared" si="3"/>
        <v>0.16737855481908898</v>
      </c>
      <c r="F15" s="407">
        <f t="shared" si="4"/>
        <v>6.3504626387092866E-2</v>
      </c>
      <c r="G15" s="54">
        <f t="shared" si="5"/>
        <v>2.7E-2</v>
      </c>
      <c r="H15" s="407">
        <f t="shared" si="6"/>
        <v>0</v>
      </c>
      <c r="I15" s="54"/>
      <c r="J15" s="407">
        <f t="shared" si="7"/>
        <v>4.2075321637426902E-2</v>
      </c>
      <c r="K15" s="54"/>
      <c r="L15" s="54">
        <f t="shared" si="8"/>
        <v>0</v>
      </c>
      <c r="M15" s="54">
        <f t="shared" si="9"/>
        <v>3.4798606794569205E-2</v>
      </c>
      <c r="N15" s="43"/>
    </row>
    <row r="16" spans="1:14" x14ac:dyDescent="0.3">
      <c r="A16" s="40" t="s">
        <v>50</v>
      </c>
      <c r="B16" s="3" t="str">
        <f t="shared" si="0"/>
        <v>Barley, winter</v>
      </c>
      <c r="C16" s="3" t="str">
        <f t="shared" si="1"/>
        <v>Cereals</v>
      </c>
      <c r="D16" s="41" t="str">
        <f t="shared" si="2"/>
        <v>Yes</v>
      </c>
      <c r="E16" s="471">
        <f t="shared" si="3"/>
        <v>0.16024114185873345</v>
      </c>
      <c r="F16" s="407">
        <f t="shared" si="4"/>
        <v>6.78472702512566E-2</v>
      </c>
      <c r="G16" s="54">
        <f t="shared" si="5"/>
        <v>2.7E-2</v>
      </c>
      <c r="H16" s="407">
        <f t="shared" si="6"/>
        <v>0</v>
      </c>
      <c r="I16" s="54"/>
      <c r="J16" s="407">
        <f t="shared" si="7"/>
        <v>3.0595264812907658E-2</v>
      </c>
      <c r="K16" s="54"/>
      <c r="L16" s="54">
        <f t="shared" si="8"/>
        <v>0</v>
      </c>
      <c r="M16" s="54">
        <f t="shared" si="9"/>
        <v>3.4798606794569205E-2</v>
      </c>
      <c r="N16" s="43"/>
    </row>
    <row r="17" spans="1:14" x14ac:dyDescent="0.3">
      <c r="A17" s="40" t="s">
        <v>51</v>
      </c>
      <c r="B17" s="3" t="str">
        <f t="shared" si="0"/>
        <v>Beans, dry</v>
      </c>
      <c r="C17" s="3" t="str">
        <f t="shared" si="1"/>
        <v>Pulses</v>
      </c>
      <c r="D17" s="41" t="str">
        <f t="shared" si="2"/>
        <v>Yes</v>
      </c>
      <c r="E17" s="471">
        <f t="shared" si="3"/>
        <v>0.21066186622702918</v>
      </c>
      <c r="F17" s="407">
        <f t="shared" si="4"/>
        <v>5.2285475725373134E-2</v>
      </c>
      <c r="G17" s="54">
        <f t="shared" si="5"/>
        <v>2.7E-2</v>
      </c>
      <c r="H17" s="407">
        <f t="shared" si="6"/>
        <v>0</v>
      </c>
      <c r="I17" s="54"/>
      <c r="J17" s="407">
        <f t="shared" si="7"/>
        <v>9.6502755555555556E-2</v>
      </c>
      <c r="K17" s="54"/>
      <c r="L17" s="54">
        <f t="shared" si="8"/>
        <v>7.5028151531290012E-5</v>
      </c>
      <c r="M17" s="54">
        <f t="shared" si="9"/>
        <v>3.4798606794569205E-2</v>
      </c>
      <c r="N17" s="43"/>
    </row>
    <row r="18" spans="1:14" x14ac:dyDescent="0.3">
      <c r="A18" s="40" t="s">
        <v>52</v>
      </c>
      <c r="B18" s="3" t="str">
        <f t="shared" si="0"/>
        <v>Blueberries</v>
      </c>
      <c r="C18" s="3" t="str">
        <f t="shared" si="1"/>
        <v>Berries</v>
      </c>
      <c r="D18" s="41" t="str">
        <f t="shared" si="2"/>
        <v>No</v>
      </c>
      <c r="E18" s="471" t="str">
        <f t="shared" si="3"/>
        <v/>
      </c>
      <c r="F18" s="407" t="str">
        <f t="shared" si="4"/>
        <v/>
      </c>
      <c r="G18" s="54" t="str">
        <f t="shared" si="5"/>
        <v/>
      </c>
      <c r="H18" s="407" t="str">
        <f t="shared" si="6"/>
        <v/>
      </c>
      <c r="I18" s="54"/>
      <c r="J18" s="407" t="str">
        <f t="shared" si="7"/>
        <v/>
      </c>
      <c r="K18" s="54"/>
      <c r="L18" s="54" t="str">
        <f t="shared" si="8"/>
        <v/>
      </c>
      <c r="M18" s="54" t="str">
        <f t="shared" si="9"/>
        <v/>
      </c>
      <c r="N18" s="43"/>
    </row>
    <row r="19" spans="1:14" x14ac:dyDescent="0.3">
      <c r="A19" s="40" t="s">
        <v>53</v>
      </c>
      <c r="B19" s="3" t="str">
        <f t="shared" si="0"/>
        <v>Brazil nuts, in shell</v>
      </c>
      <c r="C19" s="3" t="str">
        <f t="shared" si="1"/>
        <v>Nuts</v>
      </c>
      <c r="D19" s="41" t="str">
        <f t="shared" si="2"/>
        <v>No</v>
      </c>
      <c r="E19" s="471" t="str">
        <f t="shared" si="3"/>
        <v/>
      </c>
      <c r="F19" s="407" t="str">
        <f t="shared" si="4"/>
        <v/>
      </c>
      <c r="G19" s="54" t="str">
        <f t="shared" si="5"/>
        <v/>
      </c>
      <c r="H19" s="407" t="str">
        <f t="shared" si="6"/>
        <v/>
      </c>
      <c r="I19" s="54"/>
      <c r="J19" s="407" t="str">
        <f t="shared" si="7"/>
        <v/>
      </c>
      <c r="K19" s="54"/>
      <c r="L19" s="54" t="str">
        <f t="shared" si="8"/>
        <v/>
      </c>
      <c r="M19" s="54" t="str">
        <f t="shared" si="9"/>
        <v/>
      </c>
      <c r="N19" s="43"/>
    </row>
    <row r="20" spans="1:14" x14ac:dyDescent="0.3">
      <c r="A20" s="40" t="s">
        <v>54</v>
      </c>
      <c r="B20" s="3" t="str">
        <f t="shared" si="0"/>
        <v>Broad beans and horse beans, dry</v>
      </c>
      <c r="C20" s="3" t="str">
        <f t="shared" si="1"/>
        <v>Pulses, incl feed</v>
      </c>
      <c r="D20" s="41" t="str">
        <f t="shared" si="2"/>
        <v>Yes</v>
      </c>
      <c r="E20" s="471">
        <f t="shared" si="3"/>
        <v>0.15034278943450696</v>
      </c>
      <c r="F20" s="407">
        <f t="shared" si="4"/>
        <v>3.1688167106286749E-3</v>
      </c>
      <c r="G20" s="54">
        <f t="shared" si="5"/>
        <v>2.7E-2</v>
      </c>
      <c r="H20" s="407">
        <f t="shared" si="6"/>
        <v>0</v>
      </c>
      <c r="I20" s="54"/>
      <c r="J20" s="407">
        <f t="shared" si="7"/>
        <v>8.530033777777779E-2</v>
      </c>
      <c r="K20" s="54"/>
      <c r="L20" s="54">
        <f t="shared" si="8"/>
        <v>7.5028151531290012E-5</v>
      </c>
      <c r="M20" s="54">
        <f t="shared" si="9"/>
        <v>3.4798606794569205E-2</v>
      </c>
      <c r="N20" s="43"/>
    </row>
    <row r="21" spans="1:14" x14ac:dyDescent="0.3">
      <c r="A21" s="40" t="s">
        <v>55</v>
      </c>
      <c r="B21" s="3" t="str">
        <f t="shared" si="0"/>
        <v>Broad beans and horse beans, green</v>
      </c>
      <c r="C21" s="3" t="str">
        <f t="shared" si="1"/>
        <v>Vegetables</v>
      </c>
      <c r="D21" s="41" t="str">
        <f t="shared" si="2"/>
        <v>No</v>
      </c>
      <c r="E21" s="471" t="str">
        <f t="shared" si="3"/>
        <v/>
      </c>
      <c r="F21" s="407" t="str">
        <f t="shared" si="4"/>
        <v/>
      </c>
      <c r="G21" s="54" t="str">
        <f t="shared" si="5"/>
        <v/>
      </c>
      <c r="H21" s="407" t="str">
        <f t="shared" si="6"/>
        <v/>
      </c>
      <c r="I21" s="54"/>
      <c r="J21" s="407" t="str">
        <f t="shared" si="7"/>
        <v/>
      </c>
      <c r="K21" s="54"/>
      <c r="L21" s="54" t="str">
        <f t="shared" si="8"/>
        <v/>
      </c>
      <c r="M21" s="54" t="str">
        <f t="shared" si="9"/>
        <v/>
      </c>
      <c r="N21" s="43"/>
    </row>
    <row r="22" spans="1:14" x14ac:dyDescent="0.3">
      <c r="A22" s="40" t="s">
        <v>56</v>
      </c>
      <c r="B22" s="3" t="str">
        <f t="shared" si="0"/>
        <v>Broccoli</v>
      </c>
      <c r="C22" s="3" t="str">
        <f t="shared" si="1"/>
        <v>Vegetables</v>
      </c>
      <c r="D22" s="41" t="str">
        <f t="shared" si="2"/>
        <v>Yes</v>
      </c>
      <c r="E22" s="471">
        <f t="shared" si="3"/>
        <v>0.15759026288155348</v>
      </c>
      <c r="F22" s="407">
        <f t="shared" si="4"/>
        <v>6.8317259223048515E-2</v>
      </c>
      <c r="G22" s="54">
        <f t="shared" si="5"/>
        <v>2.7E-2</v>
      </c>
      <c r="H22" s="407">
        <f t="shared" si="6"/>
        <v>0</v>
      </c>
      <c r="I22" s="54"/>
      <c r="J22" s="407">
        <f t="shared" si="7"/>
        <v>5.4316747967479671E-2</v>
      </c>
      <c r="K22" s="54"/>
      <c r="L22" s="54">
        <f t="shared" si="8"/>
        <v>2.5509571520638606E-3</v>
      </c>
      <c r="M22" s="54">
        <f t="shared" si="9"/>
        <v>5.4052985389614451E-3</v>
      </c>
      <c r="N22" s="43"/>
    </row>
    <row r="23" spans="1:14" x14ac:dyDescent="0.3">
      <c r="A23" s="40" t="s">
        <v>57</v>
      </c>
      <c r="B23" s="3" t="str">
        <f t="shared" si="0"/>
        <v>Buckwheat</v>
      </c>
      <c r="C23" s="3" t="str">
        <f t="shared" si="1"/>
        <v>Seeds</v>
      </c>
      <c r="D23" s="41" t="str">
        <f t="shared" si="2"/>
        <v>No</v>
      </c>
      <c r="E23" s="471" t="str">
        <f t="shared" si="3"/>
        <v/>
      </c>
      <c r="F23" s="407" t="str">
        <f t="shared" si="4"/>
        <v/>
      </c>
      <c r="G23" s="54" t="str">
        <f t="shared" si="5"/>
        <v/>
      </c>
      <c r="H23" s="407" t="str">
        <f t="shared" si="6"/>
        <v/>
      </c>
      <c r="I23" s="54"/>
      <c r="J23" s="407" t="str">
        <f t="shared" si="7"/>
        <v/>
      </c>
      <c r="K23" s="54"/>
      <c r="L23" s="54" t="str">
        <f t="shared" si="8"/>
        <v/>
      </c>
      <c r="M23" s="54" t="str">
        <f t="shared" si="9"/>
        <v/>
      </c>
      <c r="N23" s="43"/>
    </row>
    <row r="24" spans="1:14" x14ac:dyDescent="0.3">
      <c r="A24" s="40" t="s">
        <v>58</v>
      </c>
      <c r="B24" s="3" t="str">
        <f t="shared" si="0"/>
        <v>Cabbages</v>
      </c>
      <c r="C24" s="3" t="str">
        <f t="shared" si="1"/>
        <v>Vegetables</v>
      </c>
      <c r="D24" s="41" t="str">
        <f t="shared" si="2"/>
        <v>Yes</v>
      </c>
      <c r="E24" s="471">
        <f t="shared" si="3"/>
        <v>6.4836586219835707E-2</v>
      </c>
      <c r="F24" s="407">
        <f t="shared" si="4"/>
        <v>1.8718509165084808E-2</v>
      </c>
      <c r="G24" s="54">
        <f t="shared" si="5"/>
        <v>2.7E-2</v>
      </c>
      <c r="H24" s="407">
        <f t="shared" si="6"/>
        <v>0</v>
      </c>
      <c r="I24" s="54"/>
      <c r="J24" s="407">
        <f t="shared" si="7"/>
        <v>1.1161821363725594E-2</v>
      </c>
      <c r="K24" s="54"/>
      <c r="L24" s="54">
        <f t="shared" si="8"/>
        <v>2.5509571520638606E-3</v>
      </c>
      <c r="M24" s="54">
        <f t="shared" si="9"/>
        <v>5.4052985389614451E-3</v>
      </c>
      <c r="N24" s="43"/>
    </row>
    <row r="25" spans="1:14" x14ac:dyDescent="0.3">
      <c r="A25" s="40" t="s">
        <v>59</v>
      </c>
      <c r="B25" s="3" t="str">
        <f t="shared" si="0"/>
        <v>Cantaloupes and other melons</v>
      </c>
      <c r="C25" s="3" t="str">
        <f t="shared" si="1"/>
        <v>Fruits</v>
      </c>
      <c r="D25" s="41" t="str">
        <f t="shared" si="2"/>
        <v>No</v>
      </c>
      <c r="E25" s="471" t="str">
        <f t="shared" si="3"/>
        <v/>
      </c>
      <c r="F25" s="407" t="str">
        <f t="shared" si="4"/>
        <v/>
      </c>
      <c r="G25" s="54" t="str">
        <f t="shared" si="5"/>
        <v/>
      </c>
      <c r="H25" s="407" t="str">
        <f t="shared" si="6"/>
        <v/>
      </c>
      <c r="I25" s="54"/>
      <c r="J25" s="407" t="str">
        <f t="shared" si="7"/>
        <v/>
      </c>
      <c r="K25" s="54"/>
      <c r="L25" s="54" t="str">
        <f t="shared" si="8"/>
        <v/>
      </c>
      <c r="M25" s="54" t="str">
        <f t="shared" si="9"/>
        <v/>
      </c>
      <c r="N25" s="43"/>
    </row>
    <row r="26" spans="1:14" x14ac:dyDescent="0.3">
      <c r="A26" s="40" t="s">
        <v>60</v>
      </c>
      <c r="B26" s="3" t="str">
        <f t="shared" si="0"/>
        <v>Carrots and turnips</v>
      </c>
      <c r="C26" s="3" t="str">
        <f t="shared" si="1"/>
        <v>Vegetables</v>
      </c>
      <c r="D26" s="41" t="str">
        <f t="shared" si="2"/>
        <v>Yes</v>
      </c>
      <c r="E26" s="471">
        <f t="shared" si="3"/>
        <v>4.5113215386121563E-2</v>
      </c>
      <c r="F26" s="407">
        <f t="shared" si="4"/>
        <v>4.168040676671707E-3</v>
      </c>
      <c r="G26" s="54">
        <f t="shared" si="5"/>
        <v>2.7E-2</v>
      </c>
      <c r="H26" s="407">
        <f t="shared" si="6"/>
        <v>0</v>
      </c>
      <c r="I26" s="54"/>
      <c r="J26" s="407">
        <f t="shared" si="7"/>
        <v>5.9889190184245489E-3</v>
      </c>
      <c r="K26" s="54"/>
      <c r="L26" s="54">
        <f t="shared" si="8"/>
        <v>2.5509571520638606E-3</v>
      </c>
      <c r="M26" s="54">
        <f t="shared" si="9"/>
        <v>5.4052985389614451E-3</v>
      </c>
      <c r="N26" s="43"/>
    </row>
    <row r="27" spans="1:14" x14ac:dyDescent="0.3">
      <c r="A27" s="40" t="s">
        <v>61</v>
      </c>
      <c r="B27" s="3" t="str">
        <f t="shared" si="0"/>
        <v>Cashew nuts, in shell</v>
      </c>
      <c r="C27" s="3" t="str">
        <f t="shared" si="1"/>
        <v>Nuts</v>
      </c>
      <c r="D27" s="41" t="str">
        <f t="shared" si="2"/>
        <v>No</v>
      </c>
      <c r="E27" s="471" t="str">
        <f t="shared" si="3"/>
        <v/>
      </c>
      <c r="F27" s="407" t="str">
        <f t="shared" si="4"/>
        <v/>
      </c>
      <c r="G27" s="54" t="str">
        <f t="shared" si="5"/>
        <v/>
      </c>
      <c r="H27" s="407" t="str">
        <f t="shared" si="6"/>
        <v/>
      </c>
      <c r="I27" s="54"/>
      <c r="J27" s="407" t="str">
        <f t="shared" si="7"/>
        <v/>
      </c>
      <c r="K27" s="54"/>
      <c r="L27" s="54" t="str">
        <f t="shared" si="8"/>
        <v/>
      </c>
      <c r="M27" s="54" t="str">
        <f t="shared" si="9"/>
        <v/>
      </c>
      <c r="N27" s="43"/>
    </row>
    <row r="28" spans="1:14" x14ac:dyDescent="0.3">
      <c r="A28" s="40" t="s">
        <v>62</v>
      </c>
      <c r="B28" s="3" t="str">
        <f t="shared" si="0"/>
        <v>Cauliflowers</v>
      </c>
      <c r="C28" s="3" t="str">
        <f t="shared" si="1"/>
        <v>Vegetables</v>
      </c>
      <c r="D28" s="41" t="str">
        <f t="shared" si="2"/>
        <v>Yes</v>
      </c>
      <c r="E28" s="471">
        <f t="shared" si="3"/>
        <v>0.10493009129752927</v>
      </c>
      <c r="F28" s="407">
        <f t="shared" si="4"/>
        <v>4.5375955264623624E-2</v>
      </c>
      <c r="G28" s="54">
        <f t="shared" si="5"/>
        <v>2.7E-2</v>
      </c>
      <c r="H28" s="407">
        <f t="shared" si="6"/>
        <v>0</v>
      </c>
      <c r="I28" s="54"/>
      <c r="J28" s="407">
        <f t="shared" si="7"/>
        <v>2.4597880341880343E-2</v>
      </c>
      <c r="K28" s="54"/>
      <c r="L28" s="54">
        <f t="shared" si="8"/>
        <v>2.5509571520638602E-3</v>
      </c>
      <c r="M28" s="54">
        <f t="shared" si="9"/>
        <v>5.4052985389614451E-3</v>
      </c>
      <c r="N28" s="43"/>
    </row>
    <row r="29" spans="1:14" x14ac:dyDescent="0.3">
      <c r="A29" s="40" t="s">
        <v>63</v>
      </c>
      <c r="B29" s="3" t="str">
        <f t="shared" si="0"/>
        <v>Cauliflowers and broccoli, average</v>
      </c>
      <c r="C29" s="3" t="str">
        <f t="shared" si="1"/>
        <v>Vegetables</v>
      </c>
      <c r="D29" s="41" t="str">
        <f t="shared" si="2"/>
        <v>Yes</v>
      </c>
      <c r="E29" s="471">
        <f t="shared" si="3"/>
        <v>0.11714314571343912</v>
      </c>
      <c r="F29" s="407">
        <f t="shared" si="4"/>
        <v>5.069679996265454E-2</v>
      </c>
      <c r="G29" s="54">
        <f t="shared" si="5"/>
        <v>2.7E-2</v>
      </c>
      <c r="H29" s="407">
        <f t="shared" si="6"/>
        <v>0</v>
      </c>
      <c r="I29" s="54"/>
      <c r="J29" s="407">
        <f t="shared" si="7"/>
        <v>3.1490090059759279E-2</v>
      </c>
      <c r="K29" s="54"/>
      <c r="L29" s="54">
        <f t="shared" si="8"/>
        <v>2.5509571520638606E-3</v>
      </c>
      <c r="M29" s="54">
        <f t="shared" si="9"/>
        <v>5.4052985389614451E-3</v>
      </c>
      <c r="N29" s="43"/>
    </row>
    <row r="30" spans="1:14" x14ac:dyDescent="0.3">
      <c r="A30" s="40" t="s">
        <v>64</v>
      </c>
      <c r="B30" s="3" t="str">
        <f t="shared" si="0"/>
        <v>Cereals n.e.c.</v>
      </c>
      <c r="C30" s="3" t="str">
        <f t="shared" si="1"/>
        <v>Cereals</v>
      </c>
      <c r="D30" s="41" t="str">
        <f t="shared" si="2"/>
        <v>No</v>
      </c>
      <c r="E30" s="471" t="str">
        <f t="shared" si="3"/>
        <v/>
      </c>
      <c r="F30" s="407" t="str">
        <f t="shared" si="4"/>
        <v/>
      </c>
      <c r="G30" s="54" t="str">
        <f t="shared" si="5"/>
        <v/>
      </c>
      <c r="H30" s="407" t="str">
        <f t="shared" si="6"/>
        <v/>
      </c>
      <c r="I30" s="54"/>
      <c r="J30" s="407" t="str">
        <f t="shared" si="7"/>
        <v/>
      </c>
      <c r="K30" s="54"/>
      <c r="L30" s="54" t="str">
        <f t="shared" si="8"/>
        <v/>
      </c>
      <c r="M30" s="54" t="str">
        <f t="shared" si="9"/>
        <v/>
      </c>
      <c r="N30" s="43"/>
    </row>
    <row r="31" spans="1:14" x14ac:dyDescent="0.3">
      <c r="A31" s="40" t="s">
        <v>65</v>
      </c>
      <c r="B31" s="3" t="str">
        <f t="shared" si="0"/>
        <v>Cherries</v>
      </c>
      <c r="C31" s="3" t="str">
        <f t="shared" si="1"/>
        <v>Berries</v>
      </c>
      <c r="D31" s="41" t="str">
        <f t="shared" si="2"/>
        <v>No</v>
      </c>
      <c r="E31" s="471" t="str">
        <f t="shared" si="3"/>
        <v/>
      </c>
      <c r="F31" s="407" t="str">
        <f t="shared" si="4"/>
        <v/>
      </c>
      <c r="G31" s="54" t="str">
        <f t="shared" si="5"/>
        <v/>
      </c>
      <c r="H31" s="407" t="str">
        <f t="shared" si="6"/>
        <v/>
      </c>
      <c r="I31" s="54"/>
      <c r="J31" s="407" t="str">
        <f t="shared" si="7"/>
        <v/>
      </c>
      <c r="K31" s="54"/>
      <c r="L31" s="54" t="str">
        <f t="shared" si="8"/>
        <v/>
      </c>
      <c r="M31" s="54" t="str">
        <f t="shared" si="9"/>
        <v/>
      </c>
      <c r="N31" s="43"/>
    </row>
    <row r="32" spans="1:14" x14ac:dyDescent="0.3">
      <c r="A32" s="40" t="s">
        <v>66</v>
      </c>
      <c r="B32" s="3" t="str">
        <f t="shared" si="0"/>
        <v>Chestnuts, in shell</v>
      </c>
      <c r="C32" s="3" t="str">
        <f t="shared" si="1"/>
        <v>Nuts</v>
      </c>
      <c r="D32" s="41" t="str">
        <f t="shared" si="2"/>
        <v>No</v>
      </c>
      <c r="E32" s="471" t="str">
        <f t="shared" si="3"/>
        <v/>
      </c>
      <c r="F32" s="407" t="str">
        <f t="shared" si="4"/>
        <v/>
      </c>
      <c r="G32" s="54" t="str">
        <f t="shared" si="5"/>
        <v/>
      </c>
      <c r="H32" s="407" t="str">
        <f t="shared" si="6"/>
        <v/>
      </c>
      <c r="I32" s="54"/>
      <c r="J32" s="407" t="str">
        <f t="shared" si="7"/>
        <v/>
      </c>
      <c r="K32" s="54"/>
      <c r="L32" s="54" t="str">
        <f t="shared" si="8"/>
        <v/>
      </c>
      <c r="M32" s="54" t="str">
        <f t="shared" si="9"/>
        <v/>
      </c>
      <c r="N32" s="43"/>
    </row>
    <row r="33" spans="1:14" x14ac:dyDescent="0.3">
      <c r="A33" s="40" t="s">
        <v>67</v>
      </c>
      <c r="B33" s="3" t="str">
        <f t="shared" si="0"/>
        <v>Chick peas, dry</v>
      </c>
      <c r="C33" s="3" t="str">
        <f t="shared" si="1"/>
        <v>Pulses</v>
      </c>
      <c r="D33" s="41" t="str">
        <f t="shared" si="2"/>
        <v>No</v>
      </c>
      <c r="E33" s="471" t="str">
        <f t="shared" si="3"/>
        <v/>
      </c>
      <c r="F33" s="407" t="str">
        <f t="shared" si="4"/>
        <v/>
      </c>
      <c r="G33" s="54" t="str">
        <f t="shared" si="5"/>
        <v/>
      </c>
      <c r="H33" s="407" t="str">
        <f t="shared" si="6"/>
        <v/>
      </c>
      <c r="I33" s="54"/>
      <c r="J33" s="407" t="str">
        <f t="shared" si="7"/>
        <v/>
      </c>
      <c r="K33" s="54"/>
      <c r="L33" s="54" t="str">
        <f t="shared" si="8"/>
        <v/>
      </c>
      <c r="M33" s="54" t="str">
        <f t="shared" si="9"/>
        <v/>
      </c>
      <c r="N33" s="43"/>
    </row>
    <row r="34" spans="1:14" x14ac:dyDescent="0.3">
      <c r="A34" s="40" t="s">
        <v>68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1" t="str">
        <f t="shared" si="2"/>
        <v>No</v>
      </c>
      <c r="E34" s="471" t="str">
        <f t="shared" si="3"/>
        <v/>
      </c>
      <c r="F34" s="407" t="str">
        <f t="shared" si="4"/>
        <v/>
      </c>
      <c r="G34" s="54" t="str">
        <f t="shared" si="5"/>
        <v/>
      </c>
      <c r="H34" s="407" t="str">
        <f t="shared" si="6"/>
        <v/>
      </c>
      <c r="I34" s="54"/>
      <c r="J34" s="407" t="str">
        <f t="shared" si="7"/>
        <v/>
      </c>
      <c r="K34" s="54"/>
      <c r="L34" s="54" t="str">
        <f t="shared" si="8"/>
        <v/>
      </c>
      <c r="M34" s="54" t="str">
        <f t="shared" si="9"/>
        <v/>
      </c>
      <c r="N34" s="43"/>
    </row>
    <row r="35" spans="1:14" x14ac:dyDescent="0.3">
      <c r="A35" s="40" t="s">
        <v>69</v>
      </c>
      <c r="B35" s="3" t="str">
        <f t="shared" si="0"/>
        <v>Cocoa beans</v>
      </c>
      <c r="C35" s="3" t="str">
        <f t="shared" si="1"/>
        <v>Stimulants</v>
      </c>
      <c r="D35" s="41" t="str">
        <f t="shared" si="2"/>
        <v>No</v>
      </c>
      <c r="E35" s="471" t="str">
        <f t="shared" si="3"/>
        <v/>
      </c>
      <c r="F35" s="407" t="str">
        <f t="shared" si="4"/>
        <v/>
      </c>
      <c r="G35" s="54" t="str">
        <f t="shared" si="5"/>
        <v/>
      </c>
      <c r="H35" s="407" t="str">
        <f t="shared" si="6"/>
        <v/>
      </c>
      <c r="I35" s="54"/>
      <c r="J35" s="407" t="str">
        <f t="shared" si="7"/>
        <v/>
      </c>
      <c r="K35" s="54"/>
      <c r="L35" s="54" t="str">
        <f t="shared" si="8"/>
        <v/>
      </c>
      <c r="M35" s="54" t="str">
        <f t="shared" si="9"/>
        <v/>
      </c>
      <c r="N35" s="43"/>
    </row>
    <row r="36" spans="1:14" x14ac:dyDescent="0.3">
      <c r="A36" s="40" t="s">
        <v>70</v>
      </c>
      <c r="B36" s="3" t="str">
        <f t="shared" si="0"/>
        <v>Coconut, in shell</v>
      </c>
      <c r="C36" s="3" t="str">
        <f t="shared" si="1"/>
        <v>Nuts</v>
      </c>
      <c r="D36" s="41" t="str">
        <f t="shared" si="2"/>
        <v>No</v>
      </c>
      <c r="E36" s="471" t="str">
        <f t="shared" si="3"/>
        <v/>
      </c>
      <c r="F36" s="407" t="str">
        <f t="shared" si="4"/>
        <v/>
      </c>
      <c r="G36" s="54" t="str">
        <f t="shared" si="5"/>
        <v/>
      </c>
      <c r="H36" s="407" t="str">
        <f t="shared" si="6"/>
        <v/>
      </c>
      <c r="I36" s="54"/>
      <c r="J36" s="407" t="str">
        <f t="shared" si="7"/>
        <v/>
      </c>
      <c r="K36" s="54"/>
      <c r="L36" s="54" t="str">
        <f t="shared" si="8"/>
        <v/>
      </c>
      <c r="M36" s="54" t="str">
        <f t="shared" si="9"/>
        <v/>
      </c>
      <c r="N36" s="43"/>
    </row>
    <row r="37" spans="1:14" x14ac:dyDescent="0.3">
      <c r="A37" s="40" t="s">
        <v>71</v>
      </c>
      <c r="B37" s="3" t="str">
        <f t="shared" si="0"/>
        <v>Coffee, green</v>
      </c>
      <c r="C37" s="3" t="str">
        <f t="shared" si="1"/>
        <v>Stimulants</v>
      </c>
      <c r="D37" s="41" t="str">
        <f t="shared" si="2"/>
        <v>No</v>
      </c>
      <c r="E37" s="471" t="str">
        <f t="shared" si="3"/>
        <v/>
      </c>
      <c r="F37" s="407" t="str">
        <f t="shared" si="4"/>
        <v/>
      </c>
      <c r="G37" s="54" t="str">
        <f t="shared" si="5"/>
        <v/>
      </c>
      <c r="H37" s="407" t="str">
        <f t="shared" si="6"/>
        <v/>
      </c>
      <c r="I37" s="54"/>
      <c r="J37" s="407" t="str">
        <f t="shared" si="7"/>
        <v/>
      </c>
      <c r="K37" s="54"/>
      <c r="L37" s="54" t="str">
        <f t="shared" si="8"/>
        <v/>
      </c>
      <c r="M37" s="54" t="str">
        <f t="shared" si="9"/>
        <v/>
      </c>
      <c r="N37" s="43"/>
    </row>
    <row r="38" spans="1:14" x14ac:dyDescent="0.3">
      <c r="A38" s="40" t="s">
        <v>72</v>
      </c>
      <c r="B38" s="3" t="str">
        <f t="shared" ref="B38:B69" si="10">INDEX(Crop_data,MATCH(A38,Crop_data_codes,0),2)</f>
        <v>Cucumbers and gherkins, averrage</v>
      </c>
      <c r="C38" s="3" t="str">
        <f t="shared" ref="C38:C69" si="11">INDEX(Crop_data,MATCH(A38,Crop_data_codes,0),3)</f>
        <v>Vegetables</v>
      </c>
      <c r="D38" s="41" t="str">
        <f t="shared" ref="D38:D69" si="12">INDEX(Crop_data,MATCH(A38,Crop_data_codes,0),4)</f>
        <v>Yes</v>
      </c>
      <c r="E38" s="471">
        <f t="shared" ref="E38:E69" si="13">IF(D38="Yes", SUM(F38:N38),"")</f>
        <v>0.44994604847642733</v>
      </c>
      <c r="F38" s="485">
        <f t="shared" ref="F38:F69" si="14">IF(D38="YES",INDEX(Crop_data,MATCH(A38,Crop_data_codes,0),7)*(Frac_BAT*EF_min_fert_BAT_CO2+Frac_AN*EF_min_fert_AN_CO2)/INDEX(Crop_data,MATCH(A38,Crop_data_codes,0),6),"")</f>
        <v>9.9242391514281405E-3</v>
      </c>
      <c r="G38" s="54">
        <f t="shared" ref="G38:G69" si="15">IF(D38="YES",EF_capital_goods_CO2,"")</f>
        <v>2.7E-2</v>
      </c>
      <c r="H38" s="407">
        <f t="shared" ref="H38:H69" si="16">IF(D38="Yes",INDEX(Soil_carbon_data,MATCH(C38,Soil_carbon_categories,0),2),"")</f>
        <v>0</v>
      </c>
      <c r="I38" s="54"/>
      <c r="J38" s="407">
        <f t="shared" si="7"/>
        <v>4.2701602198506078E-5</v>
      </c>
      <c r="K38" s="475">
        <f>INDEX(Crop_data,MATCH("01232_gh",Crop_data_codes,0),5)/100*Energy!B21/INDEX(Crop_data,MATCH(A38,Crop_data_codes,0),6)</f>
        <v>0.40727369657771406</v>
      </c>
      <c r="L38" s="54">
        <f t="shared" ref="L38:L69" si="17">IF(D38="YES",INDEX(Crop_data,MATCH(A38,Crop_data_codes,0),12)*EF_irrigation_CO2/INDEX(Crop_data,MATCH(A38,Crop_data_codes,0),6),"")</f>
        <v>3.0011260612516005E-4</v>
      </c>
      <c r="M38" s="54">
        <f t="shared" ref="M38:M69" si="18">IF(D38="Yes",INDEX(Post_harvest_energy_data,MATCH(C38,Post_harvest_energy_categories,0),2)*EF_heating_oil_CO2+INDEX(Post_harvest_energy_data,MATCH(C38,Post_harvest_energy_categories,0),3)*EF_electricity_CO2+INDEX(Post_harvest_energy_data,MATCH(C38,Post_harvest_energy_categories,0),4)*EF_chips_CO2,"")</f>
        <v>5.4052985389614451E-3</v>
      </c>
      <c r="N38" s="43"/>
    </row>
    <row r="39" spans="1:14" x14ac:dyDescent="0.3">
      <c r="A39" s="40" t="s">
        <v>73</v>
      </c>
      <c r="B39" s="3" t="str">
        <f t="shared" si="10"/>
        <v>Cucumbers and gherkins, greenhouse</v>
      </c>
      <c r="C39" s="3" t="str">
        <f t="shared" si="11"/>
        <v>Vegetables</v>
      </c>
      <c r="D39" s="41" t="str">
        <f t="shared" si="12"/>
        <v>Yes</v>
      </c>
      <c r="E39" s="471">
        <f t="shared" si="13"/>
        <v>0.45237422497936097</v>
      </c>
      <c r="F39" s="485">
        <f t="shared" si="14"/>
        <v>9.9337850232888505E-3</v>
      </c>
      <c r="G39" s="54">
        <f t="shared" si="15"/>
        <v>2.7E-2</v>
      </c>
      <c r="H39" s="407">
        <f t="shared" si="16"/>
        <v>0</v>
      </c>
      <c r="I39" s="54"/>
      <c r="J39" s="407">
        <v>0</v>
      </c>
      <c r="K39" s="475">
        <f>Energy!B21/INDEX(Crop_data,MATCH(A39,Crop_data_codes,0),6)</f>
        <v>0.4097350288109855</v>
      </c>
      <c r="L39" s="54">
        <f t="shared" si="17"/>
        <v>3.0011260612516005E-4</v>
      </c>
      <c r="M39" s="54">
        <f t="shared" si="18"/>
        <v>5.4052985389614451E-3</v>
      </c>
      <c r="N39" s="43"/>
    </row>
    <row r="40" spans="1:14" x14ac:dyDescent="0.3">
      <c r="A40" s="40" t="s">
        <v>74</v>
      </c>
      <c r="B40" s="3" t="str">
        <f t="shared" si="10"/>
        <v>Cucumbers and gherkins, openfield</v>
      </c>
      <c r="C40" s="3" t="str">
        <f t="shared" si="11"/>
        <v>Vegetables</v>
      </c>
      <c r="D40" s="41" t="str">
        <f t="shared" si="12"/>
        <v>Yes</v>
      </c>
      <c r="E40" s="471">
        <f t="shared" si="13"/>
        <v>4.815859088541824E-2</v>
      </c>
      <c r="F40" s="407">
        <f t="shared" si="14"/>
        <v>8.344695168208207E-3</v>
      </c>
      <c r="G40" s="54">
        <f t="shared" si="15"/>
        <v>2.7E-2</v>
      </c>
      <c r="H40" s="407">
        <f t="shared" si="16"/>
        <v>0</v>
      </c>
      <c r="I40" s="54"/>
      <c r="J40" s="407">
        <f t="shared" ref="J40:J71" si="19">IF(D40="YES",INDEX(Crop_data,MATCH(A40,Crop_data_codes,0),11)*Heating_value_diesel*EF_diesel_CO2/INDEX(Crop_data,MATCH(A40,Crop_data_codes,0),6),"")</f>
        <v>7.1084845721234233E-3</v>
      </c>
      <c r="K40" s="475"/>
      <c r="L40" s="54">
        <f t="shared" si="17"/>
        <v>3.0011260612516005E-4</v>
      </c>
      <c r="M40" s="54">
        <f t="shared" si="18"/>
        <v>5.4052985389614451E-3</v>
      </c>
      <c r="N40" s="43"/>
    </row>
    <row r="41" spans="1:14" x14ac:dyDescent="0.3">
      <c r="A41" s="40" t="s">
        <v>75</v>
      </c>
      <c r="B41" s="3" t="str">
        <f t="shared" si="10"/>
        <v>Currants</v>
      </c>
      <c r="C41" s="3" t="str">
        <f t="shared" si="11"/>
        <v>Berries</v>
      </c>
      <c r="D41" s="41" t="str">
        <f t="shared" si="12"/>
        <v>Yes</v>
      </c>
      <c r="E41" s="471">
        <f t="shared" si="13"/>
        <v>0.25328302895962623</v>
      </c>
      <c r="F41" s="407">
        <f t="shared" si="14"/>
        <v>2.5097028348179104E-2</v>
      </c>
      <c r="G41" s="54">
        <f t="shared" si="15"/>
        <v>2.7E-2</v>
      </c>
      <c r="H41" s="407">
        <f t="shared" si="16"/>
        <v>0</v>
      </c>
      <c r="I41" s="54"/>
      <c r="J41" s="407">
        <f t="shared" si="19"/>
        <v>0.20042879999999999</v>
      </c>
      <c r="K41" s="54"/>
      <c r="L41" s="54">
        <f t="shared" si="17"/>
        <v>7.5720061144711557E-4</v>
      </c>
      <c r="M41" s="54">
        <f t="shared" si="18"/>
        <v>0</v>
      </c>
      <c r="N41" s="43"/>
    </row>
    <row r="42" spans="1:14" x14ac:dyDescent="0.3">
      <c r="A42" s="40" t="s">
        <v>76</v>
      </c>
      <c r="B42" s="3" t="str">
        <f t="shared" si="10"/>
        <v>Dates</v>
      </c>
      <c r="C42" s="3" t="str">
        <f t="shared" si="11"/>
        <v>Fruits</v>
      </c>
      <c r="D42" s="41" t="str">
        <f t="shared" si="12"/>
        <v>No</v>
      </c>
      <c r="E42" s="471" t="str">
        <f t="shared" si="13"/>
        <v/>
      </c>
      <c r="F42" s="407" t="str">
        <f t="shared" si="14"/>
        <v/>
      </c>
      <c r="G42" s="54" t="str">
        <f t="shared" si="15"/>
        <v/>
      </c>
      <c r="H42" s="407" t="str">
        <f t="shared" si="16"/>
        <v/>
      </c>
      <c r="I42" s="54"/>
      <c r="J42" s="407" t="str">
        <f t="shared" si="19"/>
        <v/>
      </c>
      <c r="K42" s="54"/>
      <c r="L42" s="54" t="str">
        <f t="shared" si="17"/>
        <v/>
      </c>
      <c r="M42" s="54" t="str">
        <f t="shared" si="18"/>
        <v/>
      </c>
      <c r="N42" s="43"/>
    </row>
    <row r="43" spans="1:14" x14ac:dyDescent="0.3">
      <c r="A43" s="40" t="s">
        <v>77</v>
      </c>
      <c r="B43" s="3" t="str">
        <f t="shared" si="10"/>
        <v>Edible roots and tubers with high starch or inulin content, n.e.c., fresh</v>
      </c>
      <c r="C43" s="3" t="str">
        <f t="shared" si="11"/>
        <v>Roots</v>
      </c>
      <c r="D43" s="41" t="str">
        <f t="shared" si="12"/>
        <v>No</v>
      </c>
      <c r="E43" s="471" t="str">
        <f t="shared" si="13"/>
        <v/>
      </c>
      <c r="F43" s="407" t="str">
        <f t="shared" si="14"/>
        <v/>
      </c>
      <c r="G43" s="54" t="str">
        <f t="shared" si="15"/>
        <v/>
      </c>
      <c r="H43" s="407" t="str">
        <f t="shared" si="16"/>
        <v/>
      </c>
      <c r="I43" s="54"/>
      <c r="J43" s="407" t="str">
        <f t="shared" si="19"/>
        <v/>
      </c>
      <c r="K43" s="54"/>
      <c r="L43" s="54" t="str">
        <f t="shared" si="17"/>
        <v/>
      </c>
      <c r="M43" s="54" t="str">
        <f t="shared" si="18"/>
        <v/>
      </c>
      <c r="N43" s="43"/>
    </row>
    <row r="44" spans="1:14" x14ac:dyDescent="0.3">
      <c r="A44" s="40" t="s">
        <v>78</v>
      </c>
      <c r="B44" s="3" t="str">
        <f t="shared" si="10"/>
        <v>Eggplants (aubergines)</v>
      </c>
      <c r="C44" s="3" t="str">
        <f t="shared" si="11"/>
        <v>Vegetables</v>
      </c>
      <c r="D44" s="41" t="str">
        <f t="shared" si="12"/>
        <v>No</v>
      </c>
      <c r="E44" s="471" t="str">
        <f t="shared" si="13"/>
        <v/>
      </c>
      <c r="F44" s="407" t="str">
        <f t="shared" si="14"/>
        <v/>
      </c>
      <c r="G44" s="54" t="str">
        <f t="shared" si="15"/>
        <v/>
      </c>
      <c r="H44" s="407" t="str">
        <f t="shared" si="16"/>
        <v/>
      </c>
      <c r="I44" s="54"/>
      <c r="J44" s="407" t="str">
        <f t="shared" si="19"/>
        <v/>
      </c>
      <c r="K44" s="54"/>
      <c r="L44" s="54" t="str">
        <f t="shared" si="17"/>
        <v/>
      </c>
      <c r="M44" s="54" t="str">
        <f t="shared" si="18"/>
        <v/>
      </c>
      <c r="N44" s="43"/>
    </row>
    <row r="45" spans="1:14" x14ac:dyDescent="0.3">
      <c r="A45" s="40" t="s">
        <v>79</v>
      </c>
      <c r="B45" s="3" t="str">
        <f t="shared" si="10"/>
        <v>Figs</v>
      </c>
      <c r="C45" s="3" t="str">
        <f t="shared" si="11"/>
        <v>Fruits</v>
      </c>
      <c r="D45" s="41" t="str">
        <f t="shared" si="12"/>
        <v>No</v>
      </c>
      <c r="E45" s="471" t="str">
        <f t="shared" si="13"/>
        <v/>
      </c>
      <c r="F45" s="407" t="str">
        <f t="shared" si="14"/>
        <v/>
      </c>
      <c r="G45" s="54" t="str">
        <f t="shared" si="15"/>
        <v/>
      </c>
      <c r="H45" s="407" t="str">
        <f t="shared" si="16"/>
        <v/>
      </c>
      <c r="I45" s="54"/>
      <c r="J45" s="407" t="str">
        <f t="shared" si="19"/>
        <v/>
      </c>
      <c r="K45" s="54"/>
      <c r="L45" s="54" t="str">
        <f t="shared" si="17"/>
        <v/>
      </c>
      <c r="M45" s="54" t="str">
        <f t="shared" si="18"/>
        <v/>
      </c>
      <c r="N45" s="43"/>
    </row>
    <row r="46" spans="1:14" x14ac:dyDescent="0.3">
      <c r="A46" s="40" t="s">
        <v>80</v>
      </c>
      <c r="B46" s="3" t="str">
        <f t="shared" si="10"/>
        <v>Gooseberries</v>
      </c>
      <c r="C46" s="3" t="str">
        <f t="shared" si="11"/>
        <v>Berries</v>
      </c>
      <c r="D46" s="41" t="str">
        <f t="shared" si="12"/>
        <v>No</v>
      </c>
      <c r="E46" s="471" t="str">
        <f t="shared" si="13"/>
        <v/>
      </c>
      <c r="F46" s="407" t="str">
        <f t="shared" si="14"/>
        <v/>
      </c>
      <c r="G46" s="54" t="str">
        <f t="shared" si="15"/>
        <v/>
      </c>
      <c r="H46" s="407" t="str">
        <f t="shared" si="16"/>
        <v/>
      </c>
      <c r="I46" s="54"/>
      <c r="J46" s="407" t="str">
        <f t="shared" si="19"/>
        <v/>
      </c>
      <c r="K46" s="54"/>
      <c r="L46" s="54" t="str">
        <f t="shared" si="17"/>
        <v/>
      </c>
      <c r="M46" s="54" t="str">
        <f t="shared" si="18"/>
        <v/>
      </c>
      <c r="N46" s="43"/>
    </row>
    <row r="47" spans="1:14" x14ac:dyDescent="0.3">
      <c r="A47" s="40" t="s">
        <v>81</v>
      </c>
      <c r="B47" s="3" t="str">
        <f t="shared" si="10"/>
        <v>Grapes</v>
      </c>
      <c r="C47" s="3" t="str">
        <f t="shared" si="11"/>
        <v>Fruits</v>
      </c>
      <c r="D47" s="41" t="str">
        <f t="shared" si="12"/>
        <v>Yes</v>
      </c>
      <c r="E47" s="471">
        <f t="shared" si="13"/>
        <v>0.84756438595531514</v>
      </c>
      <c r="F47" s="407">
        <f t="shared" si="14"/>
        <v>1.2977966896858319E-2</v>
      </c>
      <c r="G47" s="54">
        <f t="shared" si="15"/>
        <v>2.7E-2</v>
      </c>
      <c r="H47" s="407">
        <f t="shared" si="16"/>
        <v>0</v>
      </c>
      <c r="I47" s="54"/>
      <c r="J47" s="407">
        <f t="shared" si="19"/>
        <v>0.79587875579086709</v>
      </c>
      <c r="K47" s="54"/>
      <c r="L47" s="54">
        <f t="shared" si="17"/>
        <v>6.302364728628362E-3</v>
      </c>
      <c r="M47" s="54">
        <f t="shared" si="18"/>
        <v>5.4052985389614451E-3</v>
      </c>
      <c r="N47" s="43"/>
    </row>
    <row r="48" spans="1:14" x14ac:dyDescent="0.3">
      <c r="A48" s="40" t="s">
        <v>82</v>
      </c>
      <c r="B48" s="3" t="str">
        <f t="shared" si="10"/>
        <v>Green corn (maize)</v>
      </c>
      <c r="C48" s="3" t="str">
        <f t="shared" si="11"/>
        <v>Vegetables</v>
      </c>
      <c r="D48" s="41" t="str">
        <f t="shared" si="12"/>
        <v>No</v>
      </c>
      <c r="E48" s="471" t="str">
        <f t="shared" si="13"/>
        <v/>
      </c>
      <c r="F48" s="407" t="str">
        <f t="shared" si="14"/>
        <v/>
      </c>
      <c r="G48" s="54" t="str">
        <f t="shared" si="15"/>
        <v/>
      </c>
      <c r="H48" s="407" t="str">
        <f t="shared" si="16"/>
        <v/>
      </c>
      <c r="I48" s="54"/>
      <c r="J48" s="407" t="str">
        <f t="shared" si="19"/>
        <v/>
      </c>
      <c r="K48" s="54"/>
      <c r="L48" s="54" t="str">
        <f t="shared" si="17"/>
        <v/>
      </c>
      <c r="M48" s="54" t="str">
        <f t="shared" si="18"/>
        <v/>
      </c>
      <c r="N48" s="43"/>
    </row>
    <row r="49" spans="1:14" x14ac:dyDescent="0.3">
      <c r="A49" s="40" t="s">
        <v>83</v>
      </c>
      <c r="B49" s="3" t="str">
        <f t="shared" si="10"/>
        <v>Green garlic</v>
      </c>
      <c r="C49" s="3" t="str">
        <f t="shared" si="11"/>
        <v>Vegetables</v>
      </c>
      <c r="D49" s="41" t="str">
        <f t="shared" si="12"/>
        <v>Yes</v>
      </c>
      <c r="E49" s="471">
        <f t="shared" si="13"/>
        <v>0.14802042285789468</v>
      </c>
      <c r="F49" s="407">
        <f t="shared" si="14"/>
        <v>9.8548540634211153E-3</v>
      </c>
      <c r="G49" s="54">
        <f t="shared" si="15"/>
        <v>2.7E-2</v>
      </c>
      <c r="H49" s="407">
        <f t="shared" si="16"/>
        <v>0</v>
      </c>
      <c r="I49" s="54"/>
      <c r="J49" s="407">
        <f t="shared" si="19"/>
        <v>0.10320931310344827</v>
      </c>
      <c r="K49" s="54"/>
      <c r="L49" s="54">
        <f t="shared" si="17"/>
        <v>2.5509571520638602E-3</v>
      </c>
      <c r="M49" s="54">
        <f t="shared" si="18"/>
        <v>5.4052985389614451E-3</v>
      </c>
      <c r="N49" s="43"/>
    </row>
    <row r="50" spans="1:14" x14ac:dyDescent="0.3">
      <c r="A50" s="40" t="s">
        <v>84</v>
      </c>
      <c r="B50" s="3" t="str">
        <f t="shared" si="10"/>
        <v>Groundnuts, excluding shelled</v>
      </c>
      <c r="C50" s="3" t="str">
        <f t="shared" si="11"/>
        <v>Nuts</v>
      </c>
      <c r="D50" s="41" t="str">
        <f t="shared" si="12"/>
        <v>No</v>
      </c>
      <c r="E50" s="471" t="str">
        <f t="shared" si="13"/>
        <v/>
      </c>
      <c r="F50" s="407" t="str">
        <f t="shared" si="14"/>
        <v/>
      </c>
      <c r="G50" s="54" t="str">
        <f t="shared" si="15"/>
        <v/>
      </c>
      <c r="H50" s="407" t="str">
        <f t="shared" si="16"/>
        <v/>
      </c>
      <c r="I50" s="54"/>
      <c r="J50" s="407" t="str">
        <f t="shared" si="19"/>
        <v/>
      </c>
      <c r="K50" s="54"/>
      <c r="L50" s="54" t="str">
        <f t="shared" si="17"/>
        <v/>
      </c>
      <c r="M50" s="54" t="str">
        <f t="shared" si="18"/>
        <v/>
      </c>
      <c r="N50" s="43"/>
    </row>
    <row r="51" spans="1:14" x14ac:dyDescent="0.3">
      <c r="A51" s="40" t="s">
        <v>85</v>
      </c>
      <c r="B51" s="3" t="str">
        <f t="shared" si="10"/>
        <v>Hazelnuts, in shell</v>
      </c>
      <c r="C51" s="3" t="str">
        <f t="shared" si="11"/>
        <v>Nuts</v>
      </c>
      <c r="D51" s="41" t="str">
        <f t="shared" si="12"/>
        <v>No</v>
      </c>
      <c r="E51" s="471" t="str">
        <f t="shared" si="13"/>
        <v/>
      </c>
      <c r="F51" s="407" t="str">
        <f t="shared" si="14"/>
        <v/>
      </c>
      <c r="G51" s="54" t="str">
        <f t="shared" si="15"/>
        <v/>
      </c>
      <c r="H51" s="407" t="str">
        <f t="shared" si="16"/>
        <v/>
      </c>
      <c r="I51" s="54"/>
      <c r="J51" s="407" t="str">
        <f t="shared" si="19"/>
        <v/>
      </c>
      <c r="K51" s="54"/>
      <c r="L51" s="54" t="str">
        <f t="shared" si="17"/>
        <v/>
      </c>
      <c r="M51" s="54" t="str">
        <f t="shared" si="18"/>
        <v/>
      </c>
      <c r="N51" s="43"/>
    </row>
    <row r="52" spans="1:14" x14ac:dyDescent="0.3">
      <c r="A52" s="40" t="s">
        <v>86</v>
      </c>
      <c r="B52" s="3" t="str">
        <f t="shared" si="10"/>
        <v>Kiwi fruit</v>
      </c>
      <c r="C52" s="3" t="str">
        <f t="shared" si="11"/>
        <v>Fruits</v>
      </c>
      <c r="D52" s="41" t="str">
        <f t="shared" si="12"/>
        <v>No</v>
      </c>
      <c r="E52" s="471" t="str">
        <f t="shared" si="13"/>
        <v/>
      </c>
      <c r="F52" s="407" t="str">
        <f t="shared" si="14"/>
        <v/>
      </c>
      <c r="G52" s="54" t="str">
        <f t="shared" si="15"/>
        <v/>
      </c>
      <c r="H52" s="407" t="str">
        <f t="shared" si="16"/>
        <v/>
      </c>
      <c r="I52" s="54"/>
      <c r="J52" s="407" t="str">
        <f t="shared" si="19"/>
        <v/>
      </c>
      <c r="K52" s="54"/>
      <c r="L52" s="54" t="str">
        <f t="shared" si="17"/>
        <v/>
      </c>
      <c r="M52" s="54" t="str">
        <f t="shared" si="18"/>
        <v/>
      </c>
      <c r="N52" s="43"/>
    </row>
    <row r="53" spans="1:14" x14ac:dyDescent="0.3">
      <c r="A53" s="40" t="s">
        <v>87</v>
      </c>
      <c r="B53" s="3" t="str">
        <f t="shared" si="10"/>
        <v>Leeks and other alliaceous vegetables</v>
      </c>
      <c r="C53" s="3" t="str">
        <f t="shared" si="11"/>
        <v>Vegetables</v>
      </c>
      <c r="D53" s="41" t="str">
        <f t="shared" si="12"/>
        <v>Yes</v>
      </c>
      <c r="E53" s="471">
        <f t="shared" si="13"/>
        <v>7.1361363244483847E-2</v>
      </c>
      <c r="F53" s="407">
        <f t="shared" si="14"/>
        <v>2.3607603200784175E-2</v>
      </c>
      <c r="G53" s="54">
        <f t="shared" si="15"/>
        <v>2.7E-2</v>
      </c>
      <c r="H53" s="407">
        <f t="shared" si="16"/>
        <v>0</v>
      </c>
      <c r="I53" s="54"/>
      <c r="J53" s="407">
        <f t="shared" si="19"/>
        <v>1.2797504352674372E-2</v>
      </c>
      <c r="K53" s="54"/>
      <c r="L53" s="54">
        <f t="shared" si="17"/>
        <v>2.5509571520638606E-3</v>
      </c>
      <c r="M53" s="54">
        <f t="shared" si="18"/>
        <v>5.4052985389614451E-3</v>
      </c>
      <c r="N53" s="43"/>
    </row>
    <row r="54" spans="1:14" x14ac:dyDescent="0.3">
      <c r="A54" s="40" t="s">
        <v>88</v>
      </c>
      <c r="B54" s="3" t="str">
        <f t="shared" si="10"/>
        <v>Lemons and limes</v>
      </c>
      <c r="C54" s="3" t="str">
        <f t="shared" si="11"/>
        <v>Fruits</v>
      </c>
      <c r="D54" s="41" t="str">
        <f t="shared" si="12"/>
        <v>No</v>
      </c>
      <c r="E54" s="471" t="str">
        <f t="shared" si="13"/>
        <v/>
      </c>
      <c r="F54" s="407" t="str">
        <f t="shared" si="14"/>
        <v/>
      </c>
      <c r="G54" s="54" t="str">
        <f t="shared" si="15"/>
        <v/>
      </c>
      <c r="H54" s="407" t="str">
        <f t="shared" si="16"/>
        <v/>
      </c>
      <c r="I54" s="54"/>
      <c r="J54" s="407" t="str">
        <f t="shared" si="19"/>
        <v/>
      </c>
      <c r="K54" s="54"/>
      <c r="L54" s="54" t="str">
        <f t="shared" si="17"/>
        <v/>
      </c>
      <c r="M54" s="54" t="str">
        <f t="shared" si="18"/>
        <v/>
      </c>
      <c r="N54" s="43"/>
    </row>
    <row r="55" spans="1:14" x14ac:dyDescent="0.3">
      <c r="A55" s="40" t="s">
        <v>89</v>
      </c>
      <c r="B55" s="3" t="str">
        <f t="shared" si="10"/>
        <v>Lentils, dry</v>
      </c>
      <c r="C55" s="3" t="str">
        <f t="shared" si="11"/>
        <v>Pulses</v>
      </c>
      <c r="D55" s="41" t="str">
        <f t="shared" si="12"/>
        <v>Yes</v>
      </c>
      <c r="E55" s="471">
        <f t="shared" si="13"/>
        <v>0.29644956383498938</v>
      </c>
      <c r="F55" s="407">
        <f t="shared" si="14"/>
        <v>0</v>
      </c>
      <c r="G55" s="54">
        <f t="shared" si="15"/>
        <v>2.7E-2</v>
      </c>
      <c r="H55" s="407">
        <f t="shared" si="16"/>
        <v>0</v>
      </c>
      <c r="I55" s="54"/>
      <c r="J55" s="407">
        <f t="shared" si="19"/>
        <v>0.23457592888888892</v>
      </c>
      <c r="K55" s="54"/>
      <c r="L55" s="54">
        <f t="shared" si="17"/>
        <v>7.5028151531290012E-5</v>
      </c>
      <c r="M55" s="54">
        <f t="shared" si="18"/>
        <v>3.4798606794569205E-2</v>
      </c>
      <c r="N55" s="43"/>
    </row>
    <row r="56" spans="1:14" x14ac:dyDescent="0.3">
      <c r="A56" s="40" t="s">
        <v>90</v>
      </c>
      <c r="B56" s="3" t="str">
        <f t="shared" si="10"/>
        <v>Lettuce and chicory</v>
      </c>
      <c r="C56" s="3" t="str">
        <f t="shared" si="11"/>
        <v>Vegetables</v>
      </c>
      <c r="D56" s="41" t="str">
        <f t="shared" si="12"/>
        <v>Yes</v>
      </c>
      <c r="E56" s="471">
        <f t="shared" si="13"/>
        <v>7.9400632054893852E-2</v>
      </c>
      <c r="F56" s="407">
        <f t="shared" si="14"/>
        <v>2.0703177138544856E-2</v>
      </c>
      <c r="G56" s="54">
        <f t="shared" si="15"/>
        <v>2.7E-2</v>
      </c>
      <c r="H56" s="407">
        <f t="shared" si="16"/>
        <v>0</v>
      </c>
      <c r="I56" s="54"/>
      <c r="J56" s="407">
        <f t="shared" si="19"/>
        <v>2.3741199225323691E-2</v>
      </c>
      <c r="K56" s="54"/>
      <c r="L56" s="54">
        <f t="shared" si="17"/>
        <v>2.5509571520638602E-3</v>
      </c>
      <c r="M56" s="54">
        <f t="shared" si="18"/>
        <v>5.4052985389614451E-3</v>
      </c>
      <c r="N56" s="43"/>
    </row>
    <row r="57" spans="1:14" x14ac:dyDescent="0.3">
      <c r="A57" s="40" t="s">
        <v>91</v>
      </c>
      <c r="B57" s="3" t="str">
        <f t="shared" si="10"/>
        <v>Linseed</v>
      </c>
      <c r="C57" s="3" t="str">
        <f t="shared" si="11"/>
        <v>Seeds</v>
      </c>
      <c r="D57" s="41" t="str">
        <f t="shared" si="12"/>
        <v>Yes</v>
      </c>
      <c r="E57" s="471">
        <f t="shared" si="13"/>
        <v>0.31342791527658553</v>
      </c>
      <c r="F57" s="407">
        <f t="shared" si="14"/>
        <v>0.1195066237119967</v>
      </c>
      <c r="G57" s="54">
        <f t="shared" si="15"/>
        <v>2.7E-2</v>
      </c>
      <c r="H57" s="407">
        <f t="shared" si="16"/>
        <v>0</v>
      </c>
      <c r="I57" s="54"/>
      <c r="J57" s="407">
        <f t="shared" si="19"/>
        <v>0.11096474603819588</v>
      </c>
      <c r="K57" s="54"/>
      <c r="L57" s="54">
        <f t="shared" si="17"/>
        <v>2.115793873182378E-2</v>
      </c>
      <c r="M57" s="54">
        <f t="shared" si="18"/>
        <v>3.4798606794569205E-2</v>
      </c>
      <c r="N57" s="43"/>
    </row>
    <row r="58" spans="1:14" x14ac:dyDescent="0.3">
      <c r="A58" s="40" t="s">
        <v>92</v>
      </c>
      <c r="B58" s="3" t="str">
        <f t="shared" si="10"/>
        <v>Lupins</v>
      </c>
      <c r="C58" s="3" t="str">
        <f t="shared" si="11"/>
        <v>Pulses</v>
      </c>
      <c r="D58" s="41" t="str">
        <f t="shared" si="12"/>
        <v>No</v>
      </c>
      <c r="E58" s="471" t="str">
        <f t="shared" si="13"/>
        <v/>
      </c>
      <c r="F58" s="407" t="str">
        <f t="shared" si="14"/>
        <v/>
      </c>
      <c r="G58" s="54" t="str">
        <f t="shared" si="15"/>
        <v/>
      </c>
      <c r="H58" s="407" t="str">
        <f t="shared" si="16"/>
        <v/>
      </c>
      <c r="I58" s="54"/>
      <c r="J58" s="407" t="str">
        <f t="shared" si="19"/>
        <v/>
      </c>
      <c r="K58" s="54"/>
      <c r="L58" s="54" t="str">
        <f t="shared" si="17"/>
        <v/>
      </c>
      <c r="M58" s="54" t="str">
        <f t="shared" si="18"/>
        <v/>
      </c>
      <c r="N58" s="43"/>
    </row>
    <row r="59" spans="1:14" x14ac:dyDescent="0.3">
      <c r="A59" s="40" t="s">
        <v>93</v>
      </c>
      <c r="B59" s="3" t="str">
        <f t="shared" si="10"/>
        <v>Maize (corn)</v>
      </c>
      <c r="C59" s="3" t="str">
        <f t="shared" si="11"/>
        <v>Cereals, incl feed</v>
      </c>
      <c r="D59" s="41" t="str">
        <f t="shared" si="12"/>
        <v>Yes</v>
      </c>
      <c r="E59" s="471">
        <f t="shared" si="13"/>
        <v>0.15609459051089891</v>
      </c>
      <c r="F59" s="407">
        <f t="shared" si="14"/>
        <v>6.2647650188344214E-2</v>
      </c>
      <c r="G59" s="54">
        <f t="shared" si="15"/>
        <v>2.7E-2</v>
      </c>
      <c r="H59" s="407">
        <f t="shared" si="16"/>
        <v>0</v>
      </c>
      <c r="I59" s="54"/>
      <c r="J59" s="407">
        <f t="shared" si="19"/>
        <v>2.7896925951420983E-2</v>
      </c>
      <c r="K59" s="54"/>
      <c r="L59" s="54">
        <f t="shared" si="17"/>
        <v>3.751407576564501E-3</v>
      </c>
      <c r="M59" s="54">
        <f t="shared" si="18"/>
        <v>3.4798606794569205E-2</v>
      </c>
      <c r="N59" s="43"/>
    </row>
    <row r="60" spans="1:14" x14ac:dyDescent="0.3">
      <c r="A60" s="40" t="s">
        <v>94</v>
      </c>
      <c r="B60" s="3" t="str">
        <f t="shared" si="10"/>
        <v>Mangoes, guavas and mangosteens</v>
      </c>
      <c r="C60" s="3" t="str">
        <f t="shared" si="11"/>
        <v>Fruits</v>
      </c>
      <c r="D60" s="41" t="str">
        <f t="shared" si="12"/>
        <v>No</v>
      </c>
      <c r="E60" s="471" t="str">
        <f t="shared" si="13"/>
        <v/>
      </c>
      <c r="F60" s="407" t="str">
        <f t="shared" si="14"/>
        <v/>
      </c>
      <c r="G60" s="54" t="str">
        <f t="shared" si="15"/>
        <v/>
      </c>
      <c r="H60" s="407" t="str">
        <f t="shared" si="16"/>
        <v/>
      </c>
      <c r="I60" s="54"/>
      <c r="J60" s="407" t="str">
        <f t="shared" si="19"/>
        <v/>
      </c>
      <c r="K60" s="54"/>
      <c r="L60" s="54" t="str">
        <f t="shared" si="17"/>
        <v/>
      </c>
      <c r="M60" s="54" t="str">
        <f t="shared" si="18"/>
        <v/>
      </c>
      <c r="N60" s="43"/>
    </row>
    <row r="61" spans="1:14" x14ac:dyDescent="0.3">
      <c r="A61" s="40" t="s">
        <v>95</v>
      </c>
      <c r="B61" s="3" t="str">
        <f t="shared" si="10"/>
        <v>Millet</v>
      </c>
      <c r="C61" s="3" t="str">
        <f t="shared" si="11"/>
        <v>Cereals</v>
      </c>
      <c r="D61" s="41" t="str">
        <f t="shared" si="12"/>
        <v>No</v>
      </c>
      <c r="E61" s="471" t="str">
        <f t="shared" si="13"/>
        <v/>
      </c>
      <c r="F61" s="407" t="str">
        <f t="shared" si="14"/>
        <v/>
      </c>
      <c r="G61" s="54" t="str">
        <f t="shared" si="15"/>
        <v/>
      </c>
      <c r="H61" s="407" t="str">
        <f t="shared" si="16"/>
        <v/>
      </c>
      <c r="I61" s="54"/>
      <c r="J61" s="407" t="str">
        <f t="shared" si="19"/>
        <v/>
      </c>
      <c r="K61" s="54"/>
      <c r="L61" s="54" t="str">
        <f t="shared" si="17"/>
        <v/>
      </c>
      <c r="M61" s="54" t="str">
        <f t="shared" si="18"/>
        <v/>
      </c>
      <c r="N61" s="43"/>
    </row>
    <row r="62" spans="1:14" x14ac:dyDescent="0.3">
      <c r="A62" s="40" t="s">
        <v>96</v>
      </c>
      <c r="B62" s="3" t="str">
        <f t="shared" si="10"/>
        <v>Mixed grain</v>
      </c>
      <c r="C62" s="3" t="str">
        <f t="shared" si="11"/>
        <v>Cereals</v>
      </c>
      <c r="D62" s="41" t="str">
        <f t="shared" si="12"/>
        <v>No</v>
      </c>
      <c r="E62" s="471" t="str">
        <f t="shared" si="13"/>
        <v/>
      </c>
      <c r="F62" s="407" t="str">
        <f t="shared" si="14"/>
        <v/>
      </c>
      <c r="G62" s="54" t="str">
        <f t="shared" si="15"/>
        <v/>
      </c>
      <c r="H62" s="407" t="str">
        <f t="shared" si="16"/>
        <v/>
      </c>
      <c r="I62" s="54"/>
      <c r="J62" s="407" t="str">
        <f t="shared" si="19"/>
        <v/>
      </c>
      <c r="K62" s="54"/>
      <c r="L62" s="54" t="str">
        <f t="shared" si="17"/>
        <v/>
      </c>
      <c r="M62" s="54" t="str">
        <f t="shared" si="18"/>
        <v/>
      </c>
      <c r="N62" s="43"/>
    </row>
    <row r="63" spans="1:14" x14ac:dyDescent="0.3">
      <c r="A63" s="40" t="s">
        <v>97</v>
      </c>
      <c r="B63" s="3" t="str">
        <f t="shared" si="10"/>
        <v>Mushrooms and truffles</v>
      </c>
      <c r="C63" s="3" t="str">
        <f t="shared" si="11"/>
        <v>Mushrooms</v>
      </c>
      <c r="D63" s="41" t="str">
        <f t="shared" si="12"/>
        <v>No</v>
      </c>
      <c r="E63" s="471" t="str">
        <f t="shared" si="13"/>
        <v/>
      </c>
      <c r="F63" s="407" t="str">
        <f t="shared" si="14"/>
        <v/>
      </c>
      <c r="G63" s="54" t="str">
        <f t="shared" si="15"/>
        <v/>
      </c>
      <c r="H63" s="407" t="str">
        <f t="shared" si="16"/>
        <v/>
      </c>
      <c r="I63" s="54"/>
      <c r="J63" s="407" t="str">
        <f t="shared" si="19"/>
        <v/>
      </c>
      <c r="K63" s="54"/>
      <c r="L63" s="54" t="str">
        <f t="shared" si="17"/>
        <v/>
      </c>
      <c r="M63" s="54" t="str">
        <f t="shared" si="18"/>
        <v/>
      </c>
      <c r="N63" s="43"/>
    </row>
    <row r="64" spans="1:14" x14ac:dyDescent="0.3">
      <c r="A64" s="40" t="s">
        <v>98</v>
      </c>
      <c r="B64" s="3" t="str">
        <f t="shared" si="10"/>
        <v>Oats</v>
      </c>
      <c r="C64" s="3" t="str">
        <f t="shared" si="11"/>
        <v>Cereals, incl feed</v>
      </c>
      <c r="D64" s="41" t="str">
        <f t="shared" si="12"/>
        <v>Yes</v>
      </c>
      <c r="E64" s="471">
        <f t="shared" si="13"/>
        <v>0.16518002398865653</v>
      </c>
      <c r="F64" s="407">
        <f t="shared" si="14"/>
        <v>5.6704716545338478E-2</v>
      </c>
      <c r="G64" s="54">
        <f t="shared" si="15"/>
        <v>2.7E-2</v>
      </c>
      <c r="H64" s="407">
        <f t="shared" si="16"/>
        <v>0</v>
      </c>
      <c r="I64" s="54"/>
      <c r="J64" s="407">
        <f t="shared" si="19"/>
        <v>4.6676700648748841E-2</v>
      </c>
      <c r="K64" s="54"/>
      <c r="L64" s="54">
        <f t="shared" si="17"/>
        <v>0</v>
      </c>
      <c r="M64" s="54">
        <f t="shared" si="18"/>
        <v>3.4798606794569205E-2</v>
      </c>
      <c r="N64" s="43"/>
    </row>
    <row r="65" spans="1:14" x14ac:dyDescent="0.3">
      <c r="A65" s="40" t="s">
        <v>99</v>
      </c>
      <c r="B65" s="3" t="str">
        <f t="shared" si="10"/>
        <v>Oil palm fruit</v>
      </c>
      <c r="C65" s="3" t="str">
        <f t="shared" si="11"/>
        <v>Oil crops, tree</v>
      </c>
      <c r="D65" s="41" t="str">
        <f t="shared" si="12"/>
        <v>No</v>
      </c>
      <c r="E65" s="471" t="str">
        <f t="shared" si="13"/>
        <v/>
      </c>
      <c r="F65" s="407" t="str">
        <f t="shared" si="14"/>
        <v/>
      </c>
      <c r="G65" s="54" t="str">
        <f t="shared" si="15"/>
        <v/>
      </c>
      <c r="H65" s="407" t="str">
        <f t="shared" si="16"/>
        <v/>
      </c>
      <c r="I65" s="54"/>
      <c r="J65" s="407" t="str">
        <f t="shared" si="19"/>
        <v/>
      </c>
      <c r="K65" s="54"/>
      <c r="L65" s="54" t="str">
        <f t="shared" si="17"/>
        <v/>
      </c>
      <c r="M65" s="54" t="str">
        <f t="shared" si="18"/>
        <v/>
      </c>
      <c r="N65" s="43"/>
    </row>
    <row r="66" spans="1:14" x14ac:dyDescent="0.3">
      <c r="A66" s="40" t="s">
        <v>100</v>
      </c>
      <c r="B66" s="3" t="str">
        <f t="shared" si="10"/>
        <v>Olives</v>
      </c>
      <c r="C66" s="3" t="str">
        <f t="shared" si="11"/>
        <v>Oil crops, tree</v>
      </c>
      <c r="D66" s="41" t="str">
        <f t="shared" si="12"/>
        <v>No</v>
      </c>
      <c r="E66" s="471" t="str">
        <f t="shared" si="13"/>
        <v/>
      </c>
      <c r="F66" s="407" t="str">
        <f t="shared" si="14"/>
        <v/>
      </c>
      <c r="G66" s="54" t="str">
        <f t="shared" si="15"/>
        <v/>
      </c>
      <c r="H66" s="407" t="str">
        <f t="shared" si="16"/>
        <v/>
      </c>
      <c r="I66" s="54"/>
      <c r="J66" s="407" t="str">
        <f t="shared" si="19"/>
        <v/>
      </c>
      <c r="K66" s="54"/>
      <c r="L66" s="54" t="str">
        <f t="shared" si="17"/>
        <v/>
      </c>
      <c r="M66" s="54" t="str">
        <f t="shared" si="18"/>
        <v/>
      </c>
      <c r="N66" s="43"/>
    </row>
    <row r="67" spans="1:14" x14ac:dyDescent="0.3">
      <c r="A67" s="40" t="s">
        <v>101</v>
      </c>
      <c r="B67" s="3" t="str">
        <f t="shared" si="10"/>
        <v>Onions and shallots, dry (excluding dehydrated)</v>
      </c>
      <c r="C67" s="3" t="str">
        <f t="shared" si="11"/>
        <v>Vegetables</v>
      </c>
      <c r="D67" s="41" t="str">
        <f t="shared" si="12"/>
        <v>Yes</v>
      </c>
      <c r="E67" s="471">
        <f t="shared" si="13"/>
        <v>5.2822855583042276E-2</v>
      </c>
      <c r="F67" s="407">
        <f t="shared" si="14"/>
        <v>9.8548540634211153E-3</v>
      </c>
      <c r="G67" s="54">
        <f t="shared" si="15"/>
        <v>2.7E-2</v>
      </c>
      <c r="H67" s="407">
        <f t="shared" si="16"/>
        <v>0</v>
      </c>
      <c r="I67" s="54"/>
      <c r="J67" s="407">
        <f t="shared" si="19"/>
        <v>8.1618024590092413E-3</v>
      </c>
      <c r="K67" s="54"/>
      <c r="L67" s="54">
        <f t="shared" si="17"/>
        <v>2.4009005216504677E-3</v>
      </c>
      <c r="M67" s="54">
        <f t="shared" si="18"/>
        <v>5.4052985389614451E-3</v>
      </c>
      <c r="N67" s="43"/>
    </row>
    <row r="68" spans="1:14" x14ac:dyDescent="0.3">
      <c r="A68" s="40" t="s">
        <v>102</v>
      </c>
      <c r="B68" s="3" t="str">
        <f t="shared" si="10"/>
        <v>Oranges</v>
      </c>
      <c r="C68" s="3" t="str">
        <f t="shared" si="11"/>
        <v>Fruits</v>
      </c>
      <c r="D68" s="41" t="str">
        <f t="shared" si="12"/>
        <v>No</v>
      </c>
      <c r="E68" s="471" t="str">
        <f t="shared" si="13"/>
        <v/>
      </c>
      <c r="F68" s="407" t="str">
        <f t="shared" si="14"/>
        <v/>
      </c>
      <c r="G68" s="54" t="str">
        <f t="shared" si="15"/>
        <v/>
      </c>
      <c r="H68" s="407" t="str">
        <f t="shared" si="16"/>
        <v/>
      </c>
      <c r="I68" s="54"/>
      <c r="J68" s="407" t="str">
        <f t="shared" si="19"/>
        <v/>
      </c>
      <c r="K68" s="54"/>
      <c r="L68" s="54" t="str">
        <f t="shared" si="17"/>
        <v/>
      </c>
      <c r="M68" s="54" t="str">
        <f t="shared" si="18"/>
        <v/>
      </c>
      <c r="N68" s="43"/>
    </row>
    <row r="69" spans="1:14" x14ac:dyDescent="0.3">
      <c r="A69" s="40" t="s">
        <v>103</v>
      </c>
      <c r="B69" s="3" t="str">
        <f t="shared" si="10"/>
        <v>Other beans, green</v>
      </c>
      <c r="C69" s="3" t="str">
        <f t="shared" si="11"/>
        <v>Vegetables</v>
      </c>
      <c r="D69" s="41" t="str">
        <f t="shared" si="12"/>
        <v>Yes</v>
      </c>
      <c r="E69" s="471">
        <f t="shared" si="13"/>
        <v>9.8810902012287302E-2</v>
      </c>
      <c r="F69" s="407">
        <f t="shared" si="14"/>
        <v>2.4547171702053116E-3</v>
      </c>
      <c r="G69" s="54">
        <f t="shared" si="15"/>
        <v>2.7E-2</v>
      </c>
      <c r="H69" s="407">
        <f t="shared" si="16"/>
        <v>0</v>
      </c>
      <c r="I69" s="54"/>
      <c r="J69" s="407">
        <f t="shared" si="19"/>
        <v>6.3875858151589249E-2</v>
      </c>
      <c r="K69" s="54"/>
      <c r="L69" s="54">
        <f t="shared" si="17"/>
        <v>7.5028151531290012E-5</v>
      </c>
      <c r="M69" s="54">
        <f t="shared" si="18"/>
        <v>5.4052985389614451E-3</v>
      </c>
      <c r="N69" s="43"/>
    </row>
    <row r="70" spans="1:14" x14ac:dyDescent="0.3">
      <c r="A70" s="40" t="s">
        <v>104</v>
      </c>
      <c r="B70" s="3" t="str">
        <f t="shared" ref="B70:B101" si="20">INDEX(Crop_data,MATCH(A70,Crop_data_codes,0),2)</f>
        <v>Other fruits, n.e.c.</v>
      </c>
      <c r="C70" s="3" t="str">
        <f t="shared" ref="C70:C101" si="21">INDEX(Crop_data,MATCH(A70,Crop_data_codes,0),3)</f>
        <v>Fruits</v>
      </c>
      <c r="D70" s="41" t="str">
        <f t="shared" ref="D70:D101" si="22">INDEX(Crop_data,MATCH(A70,Crop_data_codes,0),4)</f>
        <v>No</v>
      </c>
      <c r="E70" s="471" t="str">
        <f t="shared" ref="E70:E101" si="23">IF(D70="Yes", SUM(F70:N70),"")</f>
        <v/>
      </c>
      <c r="F70" s="407" t="str">
        <f t="shared" ref="F70:F101" si="24">IF(D70="YES",INDEX(Crop_data,MATCH(A70,Crop_data_codes,0),7)*(Frac_BAT*EF_min_fert_BAT_CO2+Frac_AN*EF_min_fert_AN_CO2)/INDEX(Crop_data,MATCH(A70,Crop_data_codes,0),6),"")</f>
        <v/>
      </c>
      <c r="G70" s="54" t="str">
        <f t="shared" ref="G70:G101" si="25">IF(D70="YES",EF_capital_goods_CO2,"")</f>
        <v/>
      </c>
      <c r="H70" s="407" t="str">
        <f t="shared" ref="H70:H105" si="26">IF(D70="Yes",INDEX(Soil_carbon_data,MATCH(C70,Soil_carbon_categories,0),2),"")</f>
        <v/>
      </c>
      <c r="I70" s="54"/>
      <c r="J70" s="407" t="str">
        <f t="shared" si="19"/>
        <v/>
      </c>
      <c r="K70" s="54"/>
      <c r="L70" s="54" t="str">
        <f t="shared" ref="L70:L105" si="27">IF(D70="YES",INDEX(Crop_data,MATCH(A70,Crop_data_codes,0),12)*EF_irrigation_CO2/INDEX(Crop_data,MATCH(A70,Crop_data_codes,0),6),"")</f>
        <v/>
      </c>
      <c r="M70" s="54" t="str">
        <f t="shared" ref="M70:M101" si="28">IF(D70="Yes",INDEX(Post_harvest_energy_data,MATCH(C70,Post_harvest_energy_categories,0),2)*EF_heating_oil_CO2+INDEX(Post_harvest_energy_data,MATCH(C70,Post_harvest_energy_categories,0),3)*EF_electricity_CO2+INDEX(Post_harvest_energy_data,MATCH(C70,Post_harvest_energy_categories,0),4)*EF_chips_CO2,"")</f>
        <v/>
      </c>
      <c r="N70" s="43"/>
    </row>
    <row r="71" spans="1:14" x14ac:dyDescent="0.3">
      <c r="A71" s="40" t="s">
        <v>105</v>
      </c>
      <c r="B71" s="3" t="str">
        <f t="shared" si="20"/>
        <v>Other oil seeds, n.e.c.</v>
      </c>
      <c r="C71" s="3" t="str">
        <f t="shared" si="21"/>
        <v>Oil crops</v>
      </c>
      <c r="D71" s="41" t="str">
        <f t="shared" si="22"/>
        <v>No</v>
      </c>
      <c r="E71" s="471" t="str">
        <f t="shared" si="23"/>
        <v/>
      </c>
      <c r="F71" s="407" t="str">
        <f t="shared" si="24"/>
        <v/>
      </c>
      <c r="G71" s="54" t="str">
        <f t="shared" si="25"/>
        <v/>
      </c>
      <c r="H71" s="407" t="str">
        <f t="shared" si="26"/>
        <v/>
      </c>
      <c r="I71" s="54"/>
      <c r="J71" s="407" t="str">
        <f t="shared" si="19"/>
        <v/>
      </c>
      <c r="K71" s="54"/>
      <c r="L71" s="54" t="str">
        <f t="shared" si="27"/>
        <v/>
      </c>
      <c r="M71" s="54" t="str">
        <f t="shared" si="28"/>
        <v/>
      </c>
      <c r="N71" s="43"/>
    </row>
    <row r="72" spans="1:14" x14ac:dyDescent="0.3">
      <c r="A72" s="40" t="s">
        <v>106</v>
      </c>
      <c r="B72" s="3" t="str">
        <f t="shared" si="20"/>
        <v>Other pulses n.e.c.</v>
      </c>
      <c r="C72" s="3" t="str">
        <f t="shared" si="21"/>
        <v>Pulses</v>
      </c>
      <c r="D72" s="41" t="str">
        <f t="shared" si="22"/>
        <v>Yes</v>
      </c>
      <c r="E72" s="471">
        <f t="shared" si="23"/>
        <v>0.17899346988383616</v>
      </c>
      <c r="F72" s="407">
        <f t="shared" si="24"/>
        <v>4.1940221170085395E-3</v>
      </c>
      <c r="G72" s="54">
        <f t="shared" si="25"/>
        <v>2.7E-2</v>
      </c>
      <c r="H72" s="407">
        <f t="shared" si="26"/>
        <v>0</v>
      </c>
      <c r="I72" s="54"/>
      <c r="J72" s="407">
        <f t="shared" ref="J72:J103" si="29">IF(D72="YES",INDEX(Crop_data,MATCH(A72,Crop_data_codes,0),11)*Heating_value_diesel*EF_diesel_CO2/INDEX(Crop_data,MATCH(A72,Crop_data_codes,0),6),"")</f>
        <v>0.11292581282072714</v>
      </c>
      <c r="K72" s="54"/>
      <c r="L72" s="54">
        <f t="shared" si="27"/>
        <v>7.5028151531290012E-5</v>
      </c>
      <c r="M72" s="54">
        <f t="shared" si="28"/>
        <v>3.4798606794569205E-2</v>
      </c>
      <c r="N72" s="43"/>
    </row>
    <row r="73" spans="1:14" x14ac:dyDescent="0.3">
      <c r="A73" s="40" t="s">
        <v>107</v>
      </c>
      <c r="B73" s="3" t="str">
        <f t="shared" si="20"/>
        <v>Other stimulant, spice and aromatic crops, n.e.c.</v>
      </c>
      <c r="C73" s="3" t="str">
        <f t="shared" si="21"/>
        <v>Stimulants</v>
      </c>
      <c r="D73" s="41" t="str">
        <f t="shared" si="22"/>
        <v>No</v>
      </c>
      <c r="E73" s="471" t="str">
        <f t="shared" si="23"/>
        <v/>
      </c>
      <c r="F73" s="407" t="str">
        <f t="shared" si="24"/>
        <v/>
      </c>
      <c r="G73" s="54" t="str">
        <f t="shared" si="25"/>
        <v/>
      </c>
      <c r="H73" s="407" t="str">
        <f t="shared" si="26"/>
        <v/>
      </c>
      <c r="I73" s="54"/>
      <c r="J73" s="407" t="str">
        <f t="shared" si="29"/>
        <v/>
      </c>
      <c r="K73" s="54"/>
      <c r="L73" s="54" t="str">
        <f t="shared" si="27"/>
        <v/>
      </c>
      <c r="M73" s="54" t="str">
        <f t="shared" si="28"/>
        <v/>
      </c>
      <c r="N73" s="43"/>
    </row>
    <row r="74" spans="1:14" x14ac:dyDescent="0.3">
      <c r="A74" s="40" t="s">
        <v>108</v>
      </c>
      <c r="B74" s="3" t="str">
        <f t="shared" si="20"/>
        <v>Other vegetables, fresh n.e.c.</v>
      </c>
      <c r="C74" s="3" t="str">
        <f t="shared" si="21"/>
        <v>Vegetables</v>
      </c>
      <c r="D74" s="41" t="str">
        <f t="shared" si="22"/>
        <v>Yes</v>
      </c>
      <c r="E74" s="471">
        <f t="shared" si="23"/>
        <v>0.10685765897084415</v>
      </c>
      <c r="F74" s="407">
        <f t="shared" si="24"/>
        <v>3.9073501391296027E-2</v>
      </c>
      <c r="G74" s="54">
        <f t="shared" si="25"/>
        <v>2.7E-2</v>
      </c>
      <c r="H74" s="407">
        <f t="shared" si="26"/>
        <v>0</v>
      </c>
      <c r="I74" s="54"/>
      <c r="J74" s="407">
        <f t="shared" si="29"/>
        <v>3.5303830889055379E-2</v>
      </c>
      <c r="K74" s="54"/>
      <c r="L74" s="54">
        <f t="shared" si="27"/>
        <v>7.5028151531290012E-5</v>
      </c>
      <c r="M74" s="54">
        <f t="shared" si="28"/>
        <v>5.4052985389614451E-3</v>
      </c>
      <c r="N74" s="43"/>
    </row>
    <row r="75" spans="1:14" x14ac:dyDescent="0.3">
      <c r="A75" s="40" t="s">
        <v>109</v>
      </c>
      <c r="B75" s="3" t="str">
        <f t="shared" si="20"/>
        <v>Papayas</v>
      </c>
      <c r="C75" s="3" t="str">
        <f t="shared" si="21"/>
        <v>Fruits</v>
      </c>
      <c r="D75" s="41" t="str">
        <f t="shared" si="22"/>
        <v>No</v>
      </c>
      <c r="E75" s="471" t="str">
        <f t="shared" si="23"/>
        <v/>
      </c>
      <c r="F75" s="407" t="str">
        <f t="shared" si="24"/>
        <v/>
      </c>
      <c r="G75" s="54" t="str">
        <f t="shared" si="25"/>
        <v/>
      </c>
      <c r="H75" s="407" t="str">
        <f t="shared" si="26"/>
        <v/>
      </c>
      <c r="I75" s="54"/>
      <c r="J75" s="407" t="str">
        <f t="shared" si="29"/>
        <v/>
      </c>
      <c r="K75" s="54"/>
      <c r="L75" s="54" t="str">
        <f t="shared" si="27"/>
        <v/>
      </c>
      <c r="M75" s="54" t="str">
        <f t="shared" si="28"/>
        <v/>
      </c>
      <c r="N75" s="43"/>
    </row>
    <row r="76" spans="1:14" x14ac:dyDescent="0.3">
      <c r="A76" s="40" t="s">
        <v>110</v>
      </c>
      <c r="B76" s="3" t="str">
        <f t="shared" si="20"/>
        <v>Peaches and nectarines</v>
      </c>
      <c r="C76" s="3" t="str">
        <f t="shared" si="21"/>
        <v>Fruits</v>
      </c>
      <c r="D76" s="41" t="str">
        <f t="shared" si="22"/>
        <v>No</v>
      </c>
      <c r="E76" s="471" t="str">
        <f t="shared" si="23"/>
        <v/>
      </c>
      <c r="F76" s="407" t="str">
        <f t="shared" si="24"/>
        <v/>
      </c>
      <c r="G76" s="54" t="str">
        <f t="shared" si="25"/>
        <v/>
      </c>
      <c r="H76" s="407" t="str">
        <f t="shared" si="26"/>
        <v/>
      </c>
      <c r="I76" s="54"/>
      <c r="J76" s="407" t="str">
        <f t="shared" si="29"/>
        <v/>
      </c>
      <c r="K76" s="54"/>
      <c r="L76" s="54" t="str">
        <f t="shared" si="27"/>
        <v/>
      </c>
      <c r="M76" s="54" t="str">
        <f t="shared" si="28"/>
        <v/>
      </c>
      <c r="N76" s="43"/>
    </row>
    <row r="77" spans="1:14" x14ac:dyDescent="0.3">
      <c r="A77" s="40" t="s">
        <v>111</v>
      </c>
      <c r="B77" s="3" t="str">
        <f t="shared" si="20"/>
        <v>Pears</v>
      </c>
      <c r="C77" s="3" t="str">
        <f t="shared" si="21"/>
        <v>Fruits</v>
      </c>
      <c r="D77" s="41" t="str">
        <f t="shared" si="22"/>
        <v>Yes</v>
      </c>
      <c r="E77" s="471">
        <f t="shared" si="23"/>
        <v>0.1295101303615479</v>
      </c>
      <c r="F77" s="407">
        <f t="shared" si="24"/>
        <v>9.5371568870146715E-3</v>
      </c>
      <c r="G77" s="54">
        <f t="shared" si="25"/>
        <v>2.7E-2</v>
      </c>
      <c r="H77" s="407">
        <f t="shared" si="26"/>
        <v>0</v>
      </c>
      <c r="I77" s="54"/>
      <c r="J77" s="407">
        <f t="shared" si="29"/>
        <v>7.6163395902815706E-2</v>
      </c>
      <c r="K77" s="54"/>
      <c r="L77" s="54">
        <f t="shared" si="27"/>
        <v>1.1404279032756081E-2</v>
      </c>
      <c r="M77" s="54">
        <f t="shared" si="28"/>
        <v>5.4052985389614451E-3</v>
      </c>
      <c r="N77" s="43"/>
    </row>
    <row r="78" spans="1:14" x14ac:dyDescent="0.3">
      <c r="A78" s="40" t="s">
        <v>112</v>
      </c>
      <c r="B78" s="3" t="str">
        <f t="shared" si="20"/>
        <v>Peas, dry</v>
      </c>
      <c r="C78" s="3" t="str">
        <f t="shared" si="21"/>
        <v>Pulses, incl feed</v>
      </c>
      <c r="D78" s="41" t="str">
        <f t="shared" si="22"/>
        <v>Yes</v>
      </c>
      <c r="E78" s="471">
        <f t="shared" si="23"/>
        <v>0.11888757284654408</v>
      </c>
      <c r="F78" s="407">
        <f t="shared" si="24"/>
        <v>0</v>
      </c>
      <c r="G78" s="54">
        <f t="shared" si="25"/>
        <v>2.7E-2</v>
      </c>
      <c r="H78" s="407">
        <f t="shared" si="26"/>
        <v>0</v>
      </c>
      <c r="I78" s="54"/>
      <c r="J78" s="407">
        <f t="shared" si="29"/>
        <v>5.7013937900443575E-2</v>
      </c>
      <c r="K78" s="54"/>
      <c r="L78" s="54">
        <f t="shared" si="27"/>
        <v>7.5028151531290012E-5</v>
      </c>
      <c r="M78" s="54">
        <f t="shared" si="28"/>
        <v>3.4798606794569205E-2</v>
      </c>
      <c r="N78" s="43"/>
    </row>
    <row r="79" spans="1:14" x14ac:dyDescent="0.3">
      <c r="A79" s="40" t="s">
        <v>113</v>
      </c>
      <c r="B79" s="3" t="str">
        <f t="shared" si="20"/>
        <v>Peas, green</v>
      </c>
      <c r="C79" s="3" t="str">
        <f t="shared" si="21"/>
        <v>Vegetables</v>
      </c>
      <c r="D79" s="41" t="str">
        <f t="shared" si="22"/>
        <v>Yes</v>
      </c>
      <c r="E79" s="471">
        <f t="shared" si="23"/>
        <v>7.4528024276096991E-2</v>
      </c>
      <c r="F79" s="407">
        <f t="shared" si="24"/>
        <v>0</v>
      </c>
      <c r="G79" s="54">
        <f t="shared" si="25"/>
        <v>2.7E-2</v>
      </c>
      <c r="H79" s="407">
        <f t="shared" si="26"/>
        <v>0</v>
      </c>
      <c r="I79" s="54"/>
      <c r="J79" s="407">
        <f t="shared" si="29"/>
        <v>4.2047697585604255E-2</v>
      </c>
      <c r="K79" s="54"/>
      <c r="L79" s="54">
        <f t="shared" si="27"/>
        <v>7.5028151531290026E-5</v>
      </c>
      <c r="M79" s="54">
        <f t="shared" si="28"/>
        <v>5.4052985389614451E-3</v>
      </c>
      <c r="N79" s="43"/>
    </row>
    <row r="80" spans="1:14" x14ac:dyDescent="0.3">
      <c r="A80" s="40" t="s">
        <v>114</v>
      </c>
      <c r="B80" s="3" t="str">
        <f t="shared" si="20"/>
        <v>Pepper (Piper spp.), raw</v>
      </c>
      <c r="C80" s="3" t="str">
        <f t="shared" si="21"/>
        <v>Vegetables</v>
      </c>
      <c r="D80" s="41" t="str">
        <f t="shared" si="22"/>
        <v>No</v>
      </c>
      <c r="E80" s="471" t="str">
        <f t="shared" si="23"/>
        <v/>
      </c>
      <c r="F80" s="407" t="str">
        <f t="shared" si="24"/>
        <v/>
      </c>
      <c r="G80" s="54" t="str">
        <f t="shared" si="25"/>
        <v/>
      </c>
      <c r="H80" s="407" t="str">
        <f t="shared" si="26"/>
        <v/>
      </c>
      <c r="I80" s="54"/>
      <c r="J80" s="407" t="str">
        <f t="shared" si="29"/>
        <v/>
      </c>
      <c r="K80" s="54"/>
      <c r="L80" s="54" t="str">
        <f t="shared" si="27"/>
        <v/>
      </c>
      <c r="M80" s="54" t="str">
        <f t="shared" si="28"/>
        <v/>
      </c>
      <c r="N80" s="43"/>
    </row>
    <row r="81" spans="1:14" x14ac:dyDescent="0.3">
      <c r="A81" s="40" t="s">
        <v>115</v>
      </c>
      <c r="B81" s="3" t="str">
        <f t="shared" si="20"/>
        <v>Pineapples</v>
      </c>
      <c r="C81" s="3" t="str">
        <f t="shared" si="21"/>
        <v>Fruits</v>
      </c>
      <c r="D81" s="41" t="str">
        <f t="shared" si="22"/>
        <v>No</v>
      </c>
      <c r="E81" s="471" t="str">
        <f t="shared" si="23"/>
        <v/>
      </c>
      <c r="F81" s="407" t="str">
        <f t="shared" si="24"/>
        <v/>
      </c>
      <c r="G81" s="54" t="str">
        <f t="shared" si="25"/>
        <v/>
      </c>
      <c r="H81" s="407" t="str">
        <f t="shared" si="26"/>
        <v/>
      </c>
      <c r="I81" s="54"/>
      <c r="J81" s="407" t="str">
        <f t="shared" si="29"/>
        <v/>
      </c>
      <c r="K81" s="54"/>
      <c r="L81" s="54" t="str">
        <f t="shared" si="27"/>
        <v/>
      </c>
      <c r="M81" s="54" t="str">
        <f t="shared" si="28"/>
        <v/>
      </c>
      <c r="N81" s="43"/>
    </row>
    <row r="82" spans="1:14" x14ac:dyDescent="0.3">
      <c r="A82" s="40" t="s">
        <v>116</v>
      </c>
      <c r="B82" s="3" t="str">
        <f t="shared" si="20"/>
        <v>Plantains and cooking bananas</v>
      </c>
      <c r="C82" s="3" t="str">
        <f t="shared" si="21"/>
        <v>Fruits</v>
      </c>
      <c r="D82" s="41" t="str">
        <f t="shared" si="22"/>
        <v>No</v>
      </c>
      <c r="E82" s="471" t="str">
        <f t="shared" si="23"/>
        <v/>
      </c>
      <c r="F82" s="407" t="str">
        <f t="shared" si="24"/>
        <v/>
      </c>
      <c r="G82" s="54" t="str">
        <f t="shared" si="25"/>
        <v/>
      </c>
      <c r="H82" s="407" t="str">
        <f t="shared" si="26"/>
        <v/>
      </c>
      <c r="I82" s="54"/>
      <c r="J82" s="407" t="str">
        <f t="shared" si="29"/>
        <v/>
      </c>
      <c r="K82" s="54"/>
      <c r="L82" s="54" t="str">
        <f t="shared" si="27"/>
        <v/>
      </c>
      <c r="M82" s="54" t="str">
        <f t="shared" si="28"/>
        <v/>
      </c>
      <c r="N82" s="43"/>
    </row>
    <row r="83" spans="1:14" x14ac:dyDescent="0.3">
      <c r="A83" s="40" t="s">
        <v>117</v>
      </c>
      <c r="B83" s="3" t="str">
        <f t="shared" si="20"/>
        <v>Plums and sloes</v>
      </c>
      <c r="C83" s="3" t="str">
        <f t="shared" si="21"/>
        <v>Fruits</v>
      </c>
      <c r="D83" s="41" t="str">
        <f t="shared" si="22"/>
        <v>Yes</v>
      </c>
      <c r="E83" s="471">
        <f t="shared" si="23"/>
        <v>0.26384182059393541</v>
      </c>
      <c r="F83" s="407">
        <f t="shared" si="24"/>
        <v>2.1259879385854198E-2</v>
      </c>
      <c r="G83" s="54">
        <f t="shared" si="25"/>
        <v>2.7E-2</v>
      </c>
      <c r="H83" s="407">
        <f t="shared" si="26"/>
        <v>0</v>
      </c>
      <c r="I83" s="54"/>
      <c r="J83" s="407">
        <f t="shared" si="29"/>
        <v>0.19877236363636366</v>
      </c>
      <c r="K83" s="54"/>
      <c r="L83" s="54">
        <f t="shared" si="27"/>
        <v>1.1404279032756082E-2</v>
      </c>
      <c r="M83" s="54">
        <f t="shared" si="28"/>
        <v>5.4052985389614451E-3</v>
      </c>
      <c r="N83" s="43"/>
    </row>
    <row r="84" spans="1:14" x14ac:dyDescent="0.3">
      <c r="A84" s="40" t="s">
        <v>118</v>
      </c>
      <c r="B84" s="3" t="str">
        <f t="shared" si="20"/>
        <v>Pomelos and grapefruits</v>
      </c>
      <c r="C84" s="3" t="str">
        <f t="shared" si="21"/>
        <v>Fruits</v>
      </c>
      <c r="D84" s="41" t="str">
        <f t="shared" si="22"/>
        <v>No</v>
      </c>
      <c r="E84" s="471" t="str">
        <f t="shared" si="23"/>
        <v/>
      </c>
      <c r="F84" s="407" t="str">
        <f t="shared" si="24"/>
        <v/>
      </c>
      <c r="G84" s="54" t="str">
        <f t="shared" si="25"/>
        <v/>
      </c>
      <c r="H84" s="407" t="str">
        <f t="shared" si="26"/>
        <v/>
      </c>
      <c r="I84" s="54"/>
      <c r="J84" s="407" t="str">
        <f t="shared" si="29"/>
        <v/>
      </c>
      <c r="K84" s="54"/>
      <c r="L84" s="54" t="str">
        <f t="shared" si="27"/>
        <v/>
      </c>
      <c r="M84" s="54" t="str">
        <f t="shared" si="28"/>
        <v/>
      </c>
      <c r="N84" s="43"/>
    </row>
    <row r="85" spans="1:14" x14ac:dyDescent="0.3">
      <c r="A85" s="40" t="s">
        <v>119</v>
      </c>
      <c r="B85" s="3" t="str">
        <f t="shared" si="20"/>
        <v>Poppy seed</v>
      </c>
      <c r="C85" s="3" t="str">
        <f t="shared" si="21"/>
        <v>Seeds</v>
      </c>
      <c r="D85" s="41" t="str">
        <f t="shared" si="22"/>
        <v>No</v>
      </c>
      <c r="E85" s="471" t="str">
        <f t="shared" si="23"/>
        <v/>
      </c>
      <c r="F85" s="407" t="str">
        <f t="shared" si="24"/>
        <v/>
      </c>
      <c r="G85" s="54" t="str">
        <f t="shared" si="25"/>
        <v/>
      </c>
      <c r="H85" s="407" t="str">
        <f t="shared" si="26"/>
        <v/>
      </c>
      <c r="I85" s="54"/>
      <c r="J85" s="407" t="str">
        <f t="shared" si="29"/>
        <v/>
      </c>
      <c r="K85" s="54"/>
      <c r="L85" s="54" t="str">
        <f t="shared" si="27"/>
        <v/>
      </c>
      <c r="M85" s="54" t="str">
        <f t="shared" si="28"/>
        <v/>
      </c>
      <c r="N85" s="43"/>
    </row>
    <row r="86" spans="1:14" x14ac:dyDescent="0.3">
      <c r="A86" s="40" t="s">
        <v>120</v>
      </c>
      <c r="B86" s="3" t="str">
        <f t="shared" si="20"/>
        <v>Potatoes</v>
      </c>
      <c r="C86" s="3" t="str">
        <f t="shared" si="21"/>
        <v>Roots</v>
      </c>
      <c r="D86" s="41" t="str">
        <f t="shared" si="22"/>
        <v>Yes</v>
      </c>
      <c r="E86" s="471">
        <f t="shared" si="23"/>
        <v>5.2896461758542922E-2</v>
      </c>
      <c r="F86" s="407">
        <f t="shared" si="24"/>
        <v>9.2124960500025062E-3</v>
      </c>
      <c r="G86" s="54">
        <f t="shared" si="25"/>
        <v>2.7E-2</v>
      </c>
      <c r="H86" s="407">
        <f t="shared" si="26"/>
        <v>0</v>
      </c>
      <c r="I86" s="54"/>
      <c r="J86" s="407">
        <f t="shared" si="29"/>
        <v>1.052838565426607E-2</v>
      </c>
      <c r="K86" s="54"/>
      <c r="L86" s="54">
        <f t="shared" si="27"/>
        <v>7.5028151531290009E-4</v>
      </c>
      <c r="M86" s="54">
        <f t="shared" si="28"/>
        <v>5.4052985389614451E-3</v>
      </c>
      <c r="N86" s="43"/>
    </row>
    <row r="87" spans="1:14" x14ac:dyDescent="0.3">
      <c r="A87" s="40" t="s">
        <v>121</v>
      </c>
      <c r="B87" s="3" t="str">
        <f t="shared" si="20"/>
        <v>Pumpkins, squash and gourds</v>
      </c>
      <c r="C87" s="3" t="str">
        <f t="shared" si="21"/>
        <v>Vegetables</v>
      </c>
      <c r="D87" s="41" t="str">
        <f t="shared" si="22"/>
        <v>Yes</v>
      </c>
      <c r="E87" s="471">
        <f t="shared" si="23"/>
        <v>5.3661112629310941E-2</v>
      </c>
      <c r="F87" s="407">
        <f t="shared" si="24"/>
        <v>2.452904469110942E-3</v>
      </c>
      <c r="G87" s="54">
        <f t="shared" si="25"/>
        <v>2.7E-2</v>
      </c>
      <c r="H87" s="407">
        <f t="shared" si="26"/>
        <v>0</v>
      </c>
      <c r="I87" s="54"/>
      <c r="J87" s="407">
        <f t="shared" si="29"/>
        <v>1.6251952469174685E-2</v>
      </c>
      <c r="K87" s="54"/>
      <c r="L87" s="54">
        <f t="shared" si="27"/>
        <v>2.5509571520638602E-3</v>
      </c>
      <c r="M87" s="54">
        <f t="shared" si="28"/>
        <v>5.4052985389614451E-3</v>
      </c>
      <c r="N87" s="43"/>
    </row>
    <row r="88" spans="1:14" x14ac:dyDescent="0.3">
      <c r="A88" s="40" t="s">
        <v>122</v>
      </c>
      <c r="B88" s="3" t="str">
        <f t="shared" si="20"/>
        <v>Quinces</v>
      </c>
      <c r="C88" s="3" t="str">
        <f t="shared" si="21"/>
        <v>Other</v>
      </c>
      <c r="D88" s="41" t="str">
        <f t="shared" si="22"/>
        <v>No</v>
      </c>
      <c r="E88" s="471" t="str">
        <f t="shared" si="23"/>
        <v/>
      </c>
      <c r="F88" s="407" t="str">
        <f t="shared" si="24"/>
        <v/>
      </c>
      <c r="G88" s="54" t="str">
        <f t="shared" si="25"/>
        <v/>
      </c>
      <c r="H88" s="407" t="str">
        <f t="shared" si="26"/>
        <v/>
      </c>
      <c r="I88" s="54"/>
      <c r="J88" s="407" t="str">
        <f t="shared" si="29"/>
        <v/>
      </c>
      <c r="K88" s="54"/>
      <c r="L88" s="54" t="str">
        <f t="shared" si="27"/>
        <v/>
      </c>
      <c r="M88" s="54" t="str">
        <f t="shared" si="28"/>
        <v/>
      </c>
      <c r="N88" s="43"/>
    </row>
    <row r="89" spans="1:14" x14ac:dyDescent="0.3">
      <c r="A89" s="40" t="s">
        <v>123</v>
      </c>
      <c r="B89" s="3" t="str">
        <f t="shared" si="20"/>
        <v>Quinoa</v>
      </c>
      <c r="C89" s="3" t="str">
        <f t="shared" si="21"/>
        <v>Seeds</v>
      </c>
      <c r="D89" s="41" t="str">
        <f t="shared" si="22"/>
        <v>No</v>
      </c>
      <c r="E89" s="471" t="str">
        <f t="shared" si="23"/>
        <v/>
      </c>
      <c r="F89" s="407" t="str">
        <f t="shared" si="24"/>
        <v/>
      </c>
      <c r="G89" s="54" t="str">
        <f t="shared" si="25"/>
        <v/>
      </c>
      <c r="H89" s="407" t="str">
        <f t="shared" si="26"/>
        <v/>
      </c>
      <c r="I89" s="54"/>
      <c r="J89" s="407" t="str">
        <f t="shared" si="29"/>
        <v/>
      </c>
      <c r="K89" s="54"/>
      <c r="L89" s="54" t="str">
        <f t="shared" si="27"/>
        <v/>
      </c>
      <c r="M89" s="54" t="str">
        <f t="shared" si="28"/>
        <v/>
      </c>
      <c r="N89" s="43"/>
    </row>
    <row r="90" spans="1:14" x14ac:dyDescent="0.3">
      <c r="A90" s="40" t="s">
        <v>124</v>
      </c>
      <c r="B90" s="3" t="str">
        <f t="shared" si="20"/>
        <v>Rape or colza seed, average</v>
      </c>
      <c r="C90" s="3" t="str">
        <f t="shared" si="21"/>
        <v>Oil crops</v>
      </c>
      <c r="D90" s="41" t="str">
        <f t="shared" si="22"/>
        <v>Yes</v>
      </c>
      <c r="E90" s="471">
        <f t="shared" si="23"/>
        <v>0.32718206012453666</v>
      </c>
      <c r="F90" s="407">
        <v>0.18249392197894074</v>
      </c>
      <c r="G90" s="54">
        <v>2.7E-2</v>
      </c>
      <c r="H90" s="407">
        <v>0</v>
      </c>
      <c r="I90" s="54"/>
      <c r="J90" s="407">
        <v>4.891131826833911E-2</v>
      </c>
      <c r="K90" s="54"/>
      <c r="L90" s="54">
        <v>9.7536596990677009E-4</v>
      </c>
      <c r="M90" s="54">
        <v>6.7801453907350012E-2</v>
      </c>
      <c r="N90" s="43"/>
    </row>
    <row r="91" spans="1:14" x14ac:dyDescent="0.3">
      <c r="A91" s="40" t="s">
        <v>125</v>
      </c>
      <c r="B91" s="3" t="str">
        <f t="shared" si="20"/>
        <v>Rape or colza seed, spring</v>
      </c>
      <c r="C91" s="3" t="str">
        <f t="shared" si="21"/>
        <v>Oil crops</v>
      </c>
      <c r="D91" s="41" t="str">
        <f t="shared" si="22"/>
        <v>Yes</v>
      </c>
      <c r="E91" s="471">
        <f t="shared" si="23"/>
        <v>0.45505991773134624</v>
      </c>
      <c r="F91" s="407">
        <f t="shared" si="24"/>
        <v>0.26718302195700522</v>
      </c>
      <c r="G91" s="54">
        <f t="shared" si="25"/>
        <v>2.7E-2</v>
      </c>
      <c r="H91" s="407">
        <f t="shared" si="26"/>
        <v>0</v>
      </c>
      <c r="I91" s="54"/>
      <c r="J91" s="407">
        <f t="shared" si="29"/>
        <v>9.2898632676709156E-2</v>
      </c>
      <c r="K91" s="54"/>
      <c r="L91" s="54">
        <f t="shared" si="27"/>
        <v>1.5005630306258002E-4</v>
      </c>
      <c r="M91" s="54">
        <f t="shared" si="28"/>
        <v>6.7828206794569218E-2</v>
      </c>
      <c r="N91" s="43"/>
    </row>
    <row r="92" spans="1:14" x14ac:dyDescent="0.3">
      <c r="A92" s="40" t="s">
        <v>126</v>
      </c>
      <c r="B92" s="3" t="str">
        <f t="shared" si="20"/>
        <v>Rape or colza seed, winter</v>
      </c>
      <c r="C92" s="3" t="str">
        <f t="shared" si="21"/>
        <v>Oil crops</v>
      </c>
      <c r="D92" s="41" t="str">
        <f t="shared" si="22"/>
        <v>Yes</v>
      </c>
      <c r="E92" s="471">
        <f t="shared" si="23"/>
        <v>0.28492353690502514</v>
      </c>
      <c r="F92" s="407">
        <f t="shared" si="24"/>
        <v>0.14094067723037623</v>
      </c>
      <c r="G92" s="54">
        <f t="shared" si="25"/>
        <v>2.7E-2</v>
      </c>
      <c r="H92" s="407">
        <f t="shared" si="26"/>
        <v>0</v>
      </c>
      <c r="I92" s="54"/>
      <c r="J92" s="407">
        <f t="shared" si="29"/>
        <v>4.9004596577017112E-2</v>
      </c>
      <c r="K92" s="54"/>
      <c r="L92" s="54">
        <f t="shared" si="27"/>
        <v>1.5005630306258002E-4</v>
      </c>
      <c r="M92" s="54">
        <f t="shared" si="28"/>
        <v>6.7828206794569218E-2</v>
      </c>
      <c r="N92" s="43"/>
    </row>
    <row r="93" spans="1:14" x14ac:dyDescent="0.3">
      <c r="A93" s="40" t="s">
        <v>127</v>
      </c>
      <c r="B93" s="3" t="str">
        <f t="shared" si="20"/>
        <v>Raspberries</v>
      </c>
      <c r="C93" s="3" t="str">
        <f t="shared" si="21"/>
        <v>Berries</v>
      </c>
      <c r="D93" s="41" t="str">
        <f t="shared" si="22"/>
        <v>Yes</v>
      </c>
      <c r="E93" s="471">
        <f t="shared" si="23"/>
        <v>0.35512528941160748</v>
      </c>
      <c r="F93" s="407">
        <f t="shared" si="24"/>
        <v>8.9077419033516611E-2</v>
      </c>
      <c r="G93" s="54">
        <f t="shared" si="25"/>
        <v>2.7E-2</v>
      </c>
      <c r="H93" s="407">
        <f t="shared" si="26"/>
        <v>0</v>
      </c>
      <c r="I93" s="54"/>
      <c r="J93" s="407">
        <f t="shared" si="29"/>
        <v>0.22764359134533477</v>
      </c>
      <c r="K93" s="54"/>
      <c r="L93" s="54">
        <f t="shared" si="27"/>
        <v>1.1404279032756079E-2</v>
      </c>
      <c r="M93" s="54">
        <f t="shared" si="28"/>
        <v>0</v>
      </c>
      <c r="N93" s="43"/>
    </row>
    <row r="94" spans="1:14" x14ac:dyDescent="0.3">
      <c r="A94" s="40" t="s">
        <v>128</v>
      </c>
      <c r="B94" s="3" t="str">
        <f t="shared" si="20"/>
        <v>Rice</v>
      </c>
      <c r="C94" s="3" t="str">
        <f t="shared" si="21"/>
        <v>Cereals</v>
      </c>
      <c r="D94" s="41" t="str">
        <f t="shared" si="22"/>
        <v>No</v>
      </c>
      <c r="E94" s="471" t="str">
        <f t="shared" si="23"/>
        <v/>
      </c>
      <c r="F94" s="407" t="str">
        <f t="shared" si="24"/>
        <v/>
      </c>
      <c r="G94" s="54" t="str">
        <f t="shared" si="25"/>
        <v/>
      </c>
      <c r="H94" s="407" t="str">
        <f t="shared" si="26"/>
        <v/>
      </c>
      <c r="I94" s="54"/>
      <c r="J94" s="407" t="str">
        <f t="shared" si="29"/>
        <v/>
      </c>
      <c r="K94" s="54"/>
      <c r="L94" s="54" t="str">
        <f t="shared" si="27"/>
        <v/>
      </c>
      <c r="M94" s="54" t="str">
        <f t="shared" si="28"/>
        <v/>
      </c>
      <c r="N94" s="43"/>
    </row>
    <row r="95" spans="1:14" x14ac:dyDescent="0.3">
      <c r="A95" s="40" t="s">
        <v>129</v>
      </c>
      <c r="B95" s="3" t="str">
        <f t="shared" si="20"/>
        <v>Rye</v>
      </c>
      <c r="C95" s="3" t="str">
        <f t="shared" si="21"/>
        <v>Cereals, incl feed</v>
      </c>
      <c r="D95" s="41" t="str">
        <f t="shared" si="22"/>
        <v>Yes</v>
      </c>
      <c r="E95" s="471">
        <f t="shared" si="23"/>
        <v>0.14252482321578389</v>
      </c>
      <c r="F95" s="407">
        <f t="shared" si="24"/>
        <v>4.9954276170738658E-2</v>
      </c>
      <c r="G95" s="54">
        <f t="shared" si="25"/>
        <v>2.7E-2</v>
      </c>
      <c r="H95" s="407">
        <f t="shared" si="26"/>
        <v>0</v>
      </c>
      <c r="I95" s="54"/>
      <c r="J95" s="407">
        <f t="shared" si="29"/>
        <v>3.0771940250476016E-2</v>
      </c>
      <c r="K95" s="54"/>
      <c r="L95" s="54">
        <f t="shared" si="27"/>
        <v>0</v>
      </c>
      <c r="M95" s="54">
        <f t="shared" si="28"/>
        <v>3.4798606794569205E-2</v>
      </c>
      <c r="N95" s="43"/>
    </row>
    <row r="96" spans="1:14" x14ac:dyDescent="0.3">
      <c r="A96" s="40" t="s">
        <v>130</v>
      </c>
      <c r="B96" s="3" t="str">
        <f t="shared" si="20"/>
        <v>Sorghum</v>
      </c>
      <c r="C96" s="3" t="str">
        <f t="shared" si="21"/>
        <v>Cereals</v>
      </c>
      <c r="D96" s="41" t="str">
        <f t="shared" si="22"/>
        <v>No</v>
      </c>
      <c r="E96" s="471" t="str">
        <f t="shared" si="23"/>
        <v/>
      </c>
      <c r="F96" s="407" t="str">
        <f t="shared" si="24"/>
        <v/>
      </c>
      <c r="G96" s="54" t="str">
        <f t="shared" si="25"/>
        <v/>
      </c>
      <c r="H96" s="407" t="str">
        <f t="shared" si="26"/>
        <v/>
      </c>
      <c r="I96" s="54"/>
      <c r="J96" s="407" t="str">
        <f t="shared" si="29"/>
        <v/>
      </c>
      <c r="K96" s="54"/>
      <c r="L96" s="54" t="str">
        <f t="shared" si="27"/>
        <v/>
      </c>
      <c r="M96" s="54" t="str">
        <f t="shared" si="28"/>
        <v/>
      </c>
      <c r="N96" s="43"/>
    </row>
    <row r="97" spans="1:14" x14ac:dyDescent="0.3">
      <c r="A97" s="40" t="s">
        <v>131</v>
      </c>
      <c r="B97" s="3" t="str">
        <f t="shared" si="20"/>
        <v>Sour cherries</v>
      </c>
      <c r="C97" s="3" t="str">
        <f t="shared" si="21"/>
        <v>Fruits</v>
      </c>
      <c r="D97" s="41" t="str">
        <f t="shared" si="22"/>
        <v>Yes</v>
      </c>
      <c r="E97" s="471">
        <f t="shared" si="23"/>
        <v>0.46074608726263871</v>
      </c>
      <c r="F97" s="407">
        <f t="shared" si="24"/>
        <v>8.6255940157338132E-2</v>
      </c>
      <c r="G97" s="54">
        <f t="shared" si="25"/>
        <v>2.7E-2</v>
      </c>
      <c r="H97" s="407">
        <f t="shared" si="26"/>
        <v>0</v>
      </c>
      <c r="I97" s="54"/>
      <c r="J97" s="407">
        <f t="shared" si="29"/>
        <v>0.33068056953358305</v>
      </c>
      <c r="K97" s="54"/>
      <c r="L97" s="54">
        <f t="shared" si="27"/>
        <v>1.1404279032756081E-2</v>
      </c>
      <c r="M97" s="54">
        <f t="shared" si="28"/>
        <v>5.4052985389614451E-3</v>
      </c>
      <c r="N97" s="43"/>
    </row>
    <row r="98" spans="1:14" x14ac:dyDescent="0.3">
      <c r="A98" s="40" t="s">
        <v>132</v>
      </c>
      <c r="B98" s="3" t="str">
        <f t="shared" si="20"/>
        <v>Soya beans</v>
      </c>
      <c r="C98" s="3" t="str">
        <f t="shared" si="21"/>
        <v>Pulses</v>
      </c>
      <c r="D98" s="41" t="str">
        <f t="shared" si="22"/>
        <v>No</v>
      </c>
      <c r="E98" s="471" t="str">
        <f t="shared" si="23"/>
        <v/>
      </c>
      <c r="F98" s="407" t="str">
        <f t="shared" si="24"/>
        <v/>
      </c>
      <c r="G98" s="54" t="str">
        <f t="shared" si="25"/>
        <v/>
      </c>
      <c r="H98" s="407" t="str">
        <f t="shared" si="26"/>
        <v/>
      </c>
      <c r="I98" s="54"/>
      <c r="J98" s="407" t="str">
        <f t="shared" si="29"/>
        <v/>
      </c>
      <c r="K98" s="54"/>
      <c r="L98" s="54" t="str">
        <f t="shared" si="27"/>
        <v/>
      </c>
      <c r="M98" s="54" t="str">
        <f t="shared" si="28"/>
        <v/>
      </c>
      <c r="N98" s="43"/>
    </row>
    <row r="99" spans="1:14" x14ac:dyDescent="0.3">
      <c r="A99" s="40" t="s">
        <v>133</v>
      </c>
      <c r="B99" s="3" t="str">
        <f t="shared" si="20"/>
        <v>Spinach</v>
      </c>
      <c r="C99" s="3" t="str">
        <f t="shared" si="21"/>
        <v>Vegetables</v>
      </c>
      <c r="D99" s="41" t="str">
        <f t="shared" si="22"/>
        <v>Yes</v>
      </c>
      <c r="E99" s="471">
        <f t="shared" si="23"/>
        <v>0.1804034272305455</v>
      </c>
      <c r="F99" s="407">
        <f t="shared" si="24"/>
        <v>3.9844985734831348E-2</v>
      </c>
      <c r="G99" s="54">
        <f t="shared" si="25"/>
        <v>2.7E-2</v>
      </c>
      <c r="H99" s="407">
        <f t="shared" si="26"/>
        <v>0</v>
      </c>
      <c r="I99" s="54"/>
      <c r="J99" s="407">
        <f t="shared" si="29"/>
        <v>0.10560218580468886</v>
      </c>
      <c r="K99" s="54"/>
      <c r="L99" s="54">
        <f t="shared" si="27"/>
        <v>2.5509571520638602E-3</v>
      </c>
      <c r="M99" s="54">
        <f t="shared" si="28"/>
        <v>5.4052985389614451E-3</v>
      </c>
      <c r="N99" s="43"/>
    </row>
    <row r="100" spans="1:14" x14ac:dyDescent="0.3">
      <c r="A100" s="40" t="s">
        <v>134</v>
      </c>
      <c r="B100" s="3" t="str">
        <f t="shared" si="20"/>
        <v>Strawberries</v>
      </c>
      <c r="C100" s="3" t="str">
        <f t="shared" si="21"/>
        <v>Fruits</v>
      </c>
      <c r="D100" s="41" t="str">
        <f t="shared" si="22"/>
        <v>Yes</v>
      </c>
      <c r="E100" s="471">
        <f t="shared" si="23"/>
        <v>0.15729290749453601</v>
      </c>
      <c r="F100" s="407">
        <f t="shared" si="24"/>
        <v>1.2977966896858317E-2</v>
      </c>
      <c r="G100" s="54">
        <f t="shared" si="25"/>
        <v>2.7E-2</v>
      </c>
      <c r="H100" s="407">
        <f t="shared" si="26"/>
        <v>0</v>
      </c>
      <c r="I100" s="54"/>
      <c r="J100" s="407">
        <f t="shared" si="29"/>
        <v>0.10050536302596015</v>
      </c>
      <c r="K100" s="54"/>
      <c r="L100" s="54">
        <f t="shared" si="27"/>
        <v>1.1404279032756081E-2</v>
      </c>
      <c r="M100" s="54">
        <f t="shared" si="28"/>
        <v>5.4052985389614451E-3</v>
      </c>
      <c r="N100" s="43"/>
    </row>
    <row r="101" spans="1:14" x14ac:dyDescent="0.3">
      <c r="A101" s="40" t="s">
        <v>135</v>
      </c>
      <c r="B101" s="3" t="str">
        <f t="shared" si="20"/>
        <v>Sugar beet</v>
      </c>
      <c r="C101" s="3" t="str">
        <f t="shared" si="21"/>
        <v>Sugar crops</v>
      </c>
      <c r="D101" s="41" t="str">
        <f t="shared" si="22"/>
        <v>Yes</v>
      </c>
      <c r="E101" s="471">
        <f t="shared" si="23"/>
        <v>4.2786893708439085E-2</v>
      </c>
      <c r="F101" s="407">
        <f t="shared" si="24"/>
        <v>4.9431029903336055E-3</v>
      </c>
      <c r="G101" s="54">
        <f t="shared" si="25"/>
        <v>2.7E-2</v>
      </c>
      <c r="H101" s="407">
        <f t="shared" si="26"/>
        <v>0</v>
      </c>
      <c r="I101" s="54"/>
      <c r="J101" s="407">
        <f t="shared" si="29"/>
        <v>5.2134077695865618E-3</v>
      </c>
      <c r="K101" s="54"/>
      <c r="L101" s="54">
        <f t="shared" si="27"/>
        <v>2.2508440955746483E-4</v>
      </c>
      <c r="M101" s="54">
        <f t="shared" si="28"/>
        <v>5.4052985389614451E-3</v>
      </c>
      <c r="N101" s="43"/>
    </row>
    <row r="102" spans="1:14" x14ac:dyDescent="0.3">
      <c r="A102" s="40" t="s">
        <v>136</v>
      </c>
      <c r="B102" s="3" t="str">
        <f t="shared" ref="B102:B118" si="30">INDEX(Crop_data,MATCH(A102,Crop_data_codes,0),2)</f>
        <v>Sugar cane</v>
      </c>
      <c r="C102" s="3" t="str">
        <f t="shared" ref="C102:C118" si="31">INDEX(Crop_data,MATCH(A102,Crop_data_codes,0),3)</f>
        <v>Sugar crops</v>
      </c>
      <c r="D102" s="41" t="str">
        <f t="shared" ref="D102:D118" si="32">INDEX(Crop_data,MATCH(A102,Crop_data_codes,0),4)</f>
        <v>No</v>
      </c>
      <c r="E102" s="471" t="str">
        <f t="shared" ref="E102:E116" si="33">IF(D102="Yes", SUM(F102:N102),"")</f>
        <v/>
      </c>
      <c r="F102" s="407" t="str">
        <f t="shared" ref="F102:F118" si="34">IF(D102="YES",INDEX(Crop_data,MATCH(A102,Crop_data_codes,0),7)*(Frac_BAT*EF_min_fert_BAT_CO2+Frac_AN*EF_min_fert_AN_CO2)/INDEX(Crop_data,MATCH(A102,Crop_data_codes,0),6),"")</f>
        <v/>
      </c>
      <c r="G102" s="54" t="str">
        <f t="shared" ref="G102:G118" si="35">IF(D102="YES",EF_capital_goods_CO2,"")</f>
        <v/>
      </c>
      <c r="H102" s="407" t="str">
        <f t="shared" si="26"/>
        <v/>
      </c>
      <c r="I102" s="54"/>
      <c r="J102" s="407" t="str">
        <f t="shared" si="29"/>
        <v/>
      </c>
      <c r="K102" s="54"/>
      <c r="L102" s="54" t="str">
        <f t="shared" si="27"/>
        <v/>
      </c>
      <c r="M102" s="54" t="str">
        <f t="shared" ref="M102:M118" si="36">IF(D102="Yes",INDEX(Post_harvest_energy_data,MATCH(C102,Post_harvest_energy_categories,0),2)*EF_heating_oil_CO2+INDEX(Post_harvest_energy_data,MATCH(C102,Post_harvest_energy_categories,0),3)*EF_electricity_CO2+INDEX(Post_harvest_energy_data,MATCH(C102,Post_harvest_energy_categories,0),4)*EF_chips_CO2,"")</f>
        <v/>
      </c>
      <c r="N102" s="43"/>
    </row>
    <row r="103" spans="1:14" x14ac:dyDescent="0.3">
      <c r="A103" s="40" t="s">
        <v>137</v>
      </c>
      <c r="B103" s="3" t="str">
        <f t="shared" si="30"/>
        <v>Sunflower seed</v>
      </c>
      <c r="C103" s="3" t="str">
        <f t="shared" si="31"/>
        <v>Oil crops</v>
      </c>
      <c r="D103" s="41" t="str">
        <f t="shared" si="32"/>
        <v>No</v>
      </c>
      <c r="E103" s="471" t="str">
        <f t="shared" si="33"/>
        <v/>
      </c>
      <c r="F103" s="407" t="str">
        <f t="shared" si="34"/>
        <v/>
      </c>
      <c r="G103" s="54" t="str">
        <f t="shared" si="35"/>
        <v/>
      </c>
      <c r="H103" s="407" t="str">
        <f t="shared" si="26"/>
        <v/>
      </c>
      <c r="I103" s="54"/>
      <c r="J103" s="407" t="str">
        <f t="shared" si="29"/>
        <v/>
      </c>
      <c r="K103" s="54"/>
      <c r="L103" s="54" t="str">
        <f t="shared" si="27"/>
        <v/>
      </c>
      <c r="M103" s="54" t="str">
        <f t="shared" si="36"/>
        <v/>
      </c>
      <c r="N103" s="43"/>
    </row>
    <row r="104" spans="1:14" x14ac:dyDescent="0.3">
      <c r="A104" s="40" t="s">
        <v>138</v>
      </c>
      <c r="B104" s="3" t="str">
        <f t="shared" si="30"/>
        <v>Sweet potatoes</v>
      </c>
      <c r="C104" s="3" t="str">
        <f t="shared" si="31"/>
        <v>Roots</v>
      </c>
      <c r="D104" s="41" t="str">
        <f t="shared" si="32"/>
        <v>No</v>
      </c>
      <c r="E104" s="471" t="str">
        <f t="shared" si="33"/>
        <v/>
      </c>
      <c r="F104" s="407" t="str">
        <f t="shared" si="34"/>
        <v/>
      </c>
      <c r="G104" s="54" t="str">
        <f t="shared" si="35"/>
        <v/>
      </c>
      <c r="H104" s="407" t="str">
        <f t="shared" si="26"/>
        <v/>
      </c>
      <c r="I104" s="54"/>
      <c r="J104" s="407" t="str">
        <f t="shared" ref="J104:J118" si="37">IF(D104="YES",INDEX(Crop_data,MATCH(A104,Crop_data_codes,0),11)*Heating_value_diesel*EF_diesel_CO2/INDEX(Crop_data,MATCH(A104,Crop_data_codes,0),6),"")</f>
        <v/>
      </c>
      <c r="K104" s="54"/>
      <c r="L104" s="54" t="str">
        <f t="shared" si="27"/>
        <v/>
      </c>
      <c r="M104" s="54" t="str">
        <f t="shared" si="36"/>
        <v/>
      </c>
      <c r="N104" s="43"/>
    </row>
    <row r="105" spans="1:14" x14ac:dyDescent="0.3">
      <c r="A105" s="40" t="s">
        <v>139</v>
      </c>
      <c r="B105" s="3" t="str">
        <f t="shared" si="30"/>
        <v>Tangerines, mandarins, clementines</v>
      </c>
      <c r="C105" s="3" t="str">
        <f t="shared" si="31"/>
        <v>Fruits</v>
      </c>
      <c r="D105" s="41" t="str">
        <f t="shared" si="32"/>
        <v>No</v>
      </c>
      <c r="E105" s="471" t="str">
        <f t="shared" si="33"/>
        <v/>
      </c>
      <c r="F105" s="407" t="str">
        <f t="shared" si="34"/>
        <v/>
      </c>
      <c r="G105" s="54" t="str">
        <f t="shared" si="35"/>
        <v/>
      </c>
      <c r="H105" s="407" t="str">
        <f t="shared" si="26"/>
        <v/>
      </c>
      <c r="I105" s="54"/>
      <c r="J105" s="407" t="str">
        <f t="shared" si="37"/>
        <v/>
      </c>
      <c r="K105" s="54"/>
      <c r="L105" s="54" t="str">
        <f t="shared" si="27"/>
        <v/>
      </c>
      <c r="M105" s="54" t="str">
        <f t="shared" si="36"/>
        <v/>
      </c>
      <c r="N105" s="43"/>
    </row>
    <row r="106" spans="1:14" x14ac:dyDescent="0.3">
      <c r="A106" s="40" t="s">
        <v>140</v>
      </c>
      <c r="B106" s="3" t="str">
        <f t="shared" si="30"/>
        <v>Tomatoes, average</v>
      </c>
      <c r="C106" s="3" t="str">
        <f t="shared" si="31"/>
        <v>Vegetables</v>
      </c>
      <c r="D106" s="41" t="str">
        <f t="shared" si="32"/>
        <v>Yes</v>
      </c>
      <c r="E106" s="471">
        <f t="shared" si="33"/>
        <v>0.2445323228735598</v>
      </c>
      <c r="F106" s="407">
        <f t="shared" si="34"/>
        <v>8.454984424585154E-3</v>
      </c>
      <c r="G106" s="54">
        <f t="shared" si="35"/>
        <v>2.7E-2</v>
      </c>
      <c r="H106" s="407"/>
      <c r="I106" s="54"/>
      <c r="J106" s="407">
        <f t="shared" si="37"/>
        <v>0</v>
      </c>
      <c r="K106" s="54">
        <f>INDEX(Crop_data,MATCH("01234_gh",Crop_data_codes,0),5)/100*Energy!C21/INDEX(Crop_data,MATCH(A106,Crop_data_codes,0),6)</f>
        <v>0.20367203991001323</v>
      </c>
      <c r="L106" s="54"/>
      <c r="M106" s="54">
        <f t="shared" si="36"/>
        <v>5.4052985389614451E-3</v>
      </c>
      <c r="N106" s="43"/>
    </row>
    <row r="107" spans="1:14" x14ac:dyDescent="0.3">
      <c r="A107" s="40" t="s">
        <v>141</v>
      </c>
      <c r="B107" s="3" t="str">
        <f t="shared" si="30"/>
        <v>Tomatoes, greenhouse</v>
      </c>
      <c r="C107" s="3" t="str">
        <f t="shared" si="31"/>
        <v>Vegetables</v>
      </c>
      <c r="D107" s="41" t="str">
        <f t="shared" si="32"/>
        <v>Yes</v>
      </c>
      <c r="E107" s="471">
        <f t="shared" si="33"/>
        <v>0.2445323228735598</v>
      </c>
      <c r="F107" s="407">
        <f t="shared" si="34"/>
        <v>8.454984424585154E-3</v>
      </c>
      <c r="G107" s="54">
        <f t="shared" si="35"/>
        <v>2.7E-2</v>
      </c>
      <c r="H107" s="407"/>
      <c r="I107" s="54"/>
      <c r="J107" s="407">
        <f t="shared" si="37"/>
        <v>0</v>
      </c>
      <c r="K107" s="54">
        <f>Energy!C21/INDEX(Crop_data,MATCH(A107,Crop_data_codes,0),6)</f>
        <v>0.20367203991001323</v>
      </c>
      <c r="L107" s="54"/>
      <c r="M107" s="54">
        <f t="shared" si="36"/>
        <v>5.4052985389614451E-3</v>
      </c>
      <c r="N107" s="43"/>
    </row>
    <row r="108" spans="1:14" x14ac:dyDescent="0.3">
      <c r="A108" s="40" t="s">
        <v>142</v>
      </c>
      <c r="B108" s="3" t="str">
        <f t="shared" si="30"/>
        <v>Tomatoes, openfield</v>
      </c>
      <c r="C108" s="3" t="str">
        <f t="shared" si="31"/>
        <v>Vegetables</v>
      </c>
      <c r="D108" s="41" t="str">
        <f t="shared" si="32"/>
        <v>No</v>
      </c>
      <c r="E108" s="471" t="str">
        <f t="shared" si="33"/>
        <v/>
      </c>
      <c r="F108" s="407" t="str">
        <f t="shared" si="34"/>
        <v/>
      </c>
      <c r="G108" s="54" t="str">
        <f t="shared" si="35"/>
        <v/>
      </c>
      <c r="H108" s="407" t="str">
        <f t="shared" ref="H108:H118" si="38">IF(D108="Yes",INDEX(Soil_carbon_data,MATCH(C108,Soil_carbon_categories,0),2),"")</f>
        <v/>
      </c>
      <c r="I108" s="54"/>
      <c r="J108" s="407" t="str">
        <f t="shared" si="37"/>
        <v/>
      </c>
      <c r="K108" s="54"/>
      <c r="L108" s="54" t="str">
        <f t="shared" ref="L108:L118" si="39">IF(D108="YES",INDEX(Crop_data,MATCH(A108,Crop_data_codes,0),12)*EF_irrigation_CO2/INDEX(Crop_data,MATCH(A108,Crop_data_codes,0),6),"")</f>
        <v/>
      </c>
      <c r="M108" s="54" t="str">
        <f t="shared" si="36"/>
        <v/>
      </c>
      <c r="N108" s="43"/>
    </row>
    <row r="109" spans="1:14" x14ac:dyDescent="0.3">
      <c r="A109" s="40" t="s">
        <v>143</v>
      </c>
      <c r="B109" s="3" t="str">
        <f t="shared" si="30"/>
        <v>Triticale</v>
      </c>
      <c r="C109" s="3" t="str">
        <f t="shared" si="31"/>
        <v>Cereals</v>
      </c>
      <c r="D109" s="41" t="str">
        <f t="shared" si="32"/>
        <v>Yes</v>
      </c>
      <c r="E109" s="471">
        <f t="shared" si="33"/>
        <v>0.15563844978082086</v>
      </c>
      <c r="F109" s="407">
        <f t="shared" si="34"/>
        <v>6.0993328248967929E-2</v>
      </c>
      <c r="G109" s="54">
        <f t="shared" si="35"/>
        <v>2.7E-2</v>
      </c>
      <c r="H109" s="407">
        <f t="shared" si="38"/>
        <v>0</v>
      </c>
      <c r="I109" s="54"/>
      <c r="J109" s="407">
        <f t="shared" si="37"/>
        <v>3.269645843422115E-2</v>
      </c>
      <c r="K109" s="54"/>
      <c r="L109" s="54">
        <f t="shared" si="39"/>
        <v>1.5005630306258002E-4</v>
      </c>
      <c r="M109" s="54">
        <f t="shared" si="36"/>
        <v>3.4798606794569205E-2</v>
      </c>
      <c r="N109" s="43"/>
    </row>
    <row r="110" spans="1:14" x14ac:dyDescent="0.3">
      <c r="A110" s="40" t="s">
        <v>144</v>
      </c>
      <c r="B110" s="3" t="str">
        <f t="shared" si="30"/>
        <v>True hemp, raw or retted</v>
      </c>
      <c r="C110" s="3" t="str">
        <f t="shared" si="31"/>
        <v>Other</v>
      </c>
      <c r="D110" s="41" t="str">
        <f t="shared" si="32"/>
        <v>No</v>
      </c>
      <c r="E110" s="471" t="str">
        <f t="shared" si="33"/>
        <v/>
      </c>
      <c r="F110" s="407" t="str">
        <f t="shared" si="34"/>
        <v/>
      </c>
      <c r="G110" s="54" t="str">
        <f t="shared" si="35"/>
        <v/>
      </c>
      <c r="H110" s="407" t="str">
        <f t="shared" si="38"/>
        <v/>
      </c>
      <c r="I110" s="54"/>
      <c r="J110" s="407" t="str">
        <f t="shared" si="37"/>
        <v/>
      </c>
      <c r="K110" s="54"/>
      <c r="L110" s="54" t="str">
        <f t="shared" si="39"/>
        <v/>
      </c>
      <c r="M110" s="54" t="str">
        <f t="shared" si="36"/>
        <v/>
      </c>
      <c r="N110" s="43"/>
    </row>
    <row r="111" spans="1:14" x14ac:dyDescent="0.3">
      <c r="A111" s="40" t="s">
        <v>145</v>
      </c>
      <c r="B111" s="3" t="str">
        <f t="shared" si="30"/>
        <v>Vetches</v>
      </c>
      <c r="C111" s="3" t="str">
        <f t="shared" si="31"/>
        <v>Other</v>
      </c>
      <c r="D111" s="41" t="str">
        <f t="shared" si="32"/>
        <v>No</v>
      </c>
      <c r="E111" s="471" t="str">
        <f t="shared" si="33"/>
        <v/>
      </c>
      <c r="F111" s="407" t="str">
        <f t="shared" si="34"/>
        <v/>
      </c>
      <c r="G111" s="54" t="str">
        <f t="shared" si="35"/>
        <v/>
      </c>
      <c r="H111" s="407" t="str">
        <f t="shared" si="38"/>
        <v/>
      </c>
      <c r="I111" s="54"/>
      <c r="J111" s="407" t="str">
        <f t="shared" si="37"/>
        <v/>
      </c>
      <c r="K111" s="54"/>
      <c r="L111" s="54" t="str">
        <f t="shared" si="39"/>
        <v/>
      </c>
      <c r="M111" s="54" t="str">
        <f t="shared" si="36"/>
        <v/>
      </c>
      <c r="N111" s="43"/>
    </row>
    <row r="112" spans="1:14" x14ac:dyDescent="0.3">
      <c r="A112" s="40" t="s">
        <v>146</v>
      </c>
      <c r="B112" s="3" t="str">
        <f t="shared" si="30"/>
        <v>Walnuts, in shell</v>
      </c>
      <c r="C112" s="3" t="str">
        <f t="shared" si="31"/>
        <v>Nuts</v>
      </c>
      <c r="D112" s="41" t="str">
        <f t="shared" si="32"/>
        <v>No</v>
      </c>
      <c r="E112" s="471" t="str">
        <f t="shared" si="33"/>
        <v/>
      </c>
      <c r="F112" s="407" t="str">
        <f t="shared" si="34"/>
        <v/>
      </c>
      <c r="G112" s="54" t="str">
        <f t="shared" si="35"/>
        <v/>
      </c>
      <c r="H112" s="407" t="str">
        <f t="shared" si="38"/>
        <v/>
      </c>
      <c r="I112" s="54"/>
      <c r="J112" s="407" t="str">
        <f t="shared" si="37"/>
        <v/>
      </c>
      <c r="K112" s="54"/>
      <c r="L112" s="54" t="str">
        <f t="shared" si="39"/>
        <v/>
      </c>
      <c r="M112" s="54" t="str">
        <f t="shared" si="36"/>
        <v/>
      </c>
      <c r="N112" s="43"/>
    </row>
    <row r="113" spans="1:14" x14ac:dyDescent="0.3">
      <c r="A113" s="40" t="s">
        <v>147</v>
      </c>
      <c r="B113" s="3" t="str">
        <f t="shared" si="30"/>
        <v>Watermelons</v>
      </c>
      <c r="C113" s="3" t="str">
        <f t="shared" si="31"/>
        <v>Fruits</v>
      </c>
      <c r="D113" s="41" t="str">
        <f t="shared" si="32"/>
        <v>No</v>
      </c>
      <c r="E113" s="471" t="str">
        <f t="shared" si="33"/>
        <v/>
      </c>
      <c r="F113" s="407" t="str">
        <f t="shared" si="34"/>
        <v/>
      </c>
      <c r="G113" s="54" t="str">
        <f t="shared" si="35"/>
        <v/>
      </c>
      <c r="H113" s="407" t="str">
        <f t="shared" si="38"/>
        <v/>
      </c>
      <c r="I113" s="54"/>
      <c r="J113" s="407" t="str">
        <f t="shared" si="37"/>
        <v/>
      </c>
      <c r="K113" s="54"/>
      <c r="L113" s="54" t="str">
        <f t="shared" si="39"/>
        <v/>
      </c>
      <c r="M113" s="54" t="str">
        <f t="shared" si="36"/>
        <v/>
      </c>
      <c r="N113" s="43"/>
    </row>
    <row r="114" spans="1:14" x14ac:dyDescent="0.3">
      <c r="A114" s="40" t="s">
        <v>148</v>
      </c>
      <c r="B114" s="3" t="str">
        <f t="shared" si="30"/>
        <v>Watermelons, greenhouse</v>
      </c>
      <c r="C114" s="3" t="str">
        <f t="shared" si="31"/>
        <v>Fruits</v>
      </c>
      <c r="D114" s="41" t="str">
        <f t="shared" si="32"/>
        <v>No</v>
      </c>
      <c r="E114" s="471" t="str">
        <f t="shared" si="33"/>
        <v/>
      </c>
      <c r="F114" s="407" t="str">
        <f t="shared" si="34"/>
        <v/>
      </c>
      <c r="G114" s="54" t="str">
        <f t="shared" si="35"/>
        <v/>
      </c>
      <c r="H114" s="407" t="str">
        <f t="shared" si="38"/>
        <v/>
      </c>
      <c r="I114" s="54"/>
      <c r="J114" s="407" t="str">
        <f t="shared" si="37"/>
        <v/>
      </c>
      <c r="K114" s="54"/>
      <c r="L114" s="54" t="str">
        <f t="shared" si="39"/>
        <v/>
      </c>
      <c r="M114" s="54" t="str">
        <f t="shared" si="36"/>
        <v/>
      </c>
      <c r="N114" s="43"/>
    </row>
    <row r="115" spans="1:14" x14ac:dyDescent="0.3">
      <c r="A115" s="40" t="s">
        <v>149</v>
      </c>
      <c r="B115" s="3" t="str">
        <f t="shared" si="30"/>
        <v>Watermelons, openfield</v>
      </c>
      <c r="C115" s="3" t="str">
        <f t="shared" si="31"/>
        <v>Fruits</v>
      </c>
      <c r="D115" s="41" t="str">
        <f t="shared" si="32"/>
        <v>No</v>
      </c>
      <c r="E115" s="471" t="str">
        <f t="shared" si="33"/>
        <v/>
      </c>
      <c r="F115" s="407" t="str">
        <f t="shared" si="34"/>
        <v/>
      </c>
      <c r="G115" s="54" t="str">
        <f t="shared" si="35"/>
        <v/>
      </c>
      <c r="H115" s="407" t="str">
        <f t="shared" si="38"/>
        <v/>
      </c>
      <c r="I115" s="54"/>
      <c r="J115" s="407" t="str">
        <f t="shared" si="37"/>
        <v/>
      </c>
      <c r="K115" s="54"/>
      <c r="L115" s="54" t="str">
        <f t="shared" si="39"/>
        <v/>
      </c>
      <c r="M115" s="54" t="str">
        <f t="shared" si="36"/>
        <v/>
      </c>
      <c r="N115" s="43"/>
    </row>
    <row r="116" spans="1:14" x14ac:dyDescent="0.3">
      <c r="A116" s="40" t="s">
        <v>150</v>
      </c>
      <c r="B116" s="3" t="str">
        <f t="shared" si="30"/>
        <v>Wheat, average</v>
      </c>
      <c r="C116" s="3" t="str">
        <f t="shared" si="31"/>
        <v>Cereals, incl feed</v>
      </c>
      <c r="D116" s="41" t="str">
        <f t="shared" si="32"/>
        <v>Yes</v>
      </c>
      <c r="E116" s="471">
        <f t="shared" si="33"/>
        <v>0.16484003368588274</v>
      </c>
      <c r="F116" s="407">
        <f t="shared" si="34"/>
        <v>7.3741076533864705E-2</v>
      </c>
      <c r="G116" s="54">
        <f t="shared" si="35"/>
        <v>2.7E-2</v>
      </c>
      <c r="H116" s="407">
        <f t="shared" si="38"/>
        <v>0</v>
      </c>
      <c r="I116" s="54"/>
      <c r="J116" s="407">
        <f t="shared" si="37"/>
        <v>2.9150294054386239E-2</v>
      </c>
      <c r="K116" s="54"/>
      <c r="L116" s="54">
        <f t="shared" si="39"/>
        <v>1.5005630306258005E-4</v>
      </c>
      <c r="M116" s="54">
        <f t="shared" si="36"/>
        <v>3.4798606794569205E-2</v>
      </c>
      <c r="N116" s="43"/>
    </row>
    <row r="117" spans="1:14" x14ac:dyDescent="0.3">
      <c r="A117" s="40" t="s">
        <v>151</v>
      </c>
      <c r="B117" s="3" t="str">
        <f t="shared" si="30"/>
        <v>Wheat, spring</v>
      </c>
      <c r="C117" s="3" t="str">
        <f t="shared" si="31"/>
        <v>Cereals</v>
      </c>
      <c r="D117" s="41" t="str">
        <f t="shared" si="32"/>
        <v>Yes</v>
      </c>
      <c r="E117" s="471">
        <f t="shared" ref="E117:E118" si="40">IF(D117="Yes", SUM(F117:N117),"")</f>
        <v>0.18700342314955129</v>
      </c>
      <c r="F117" s="407">
        <f t="shared" si="34"/>
        <v>7.725764323599911E-2</v>
      </c>
      <c r="G117" s="54">
        <f t="shared" si="35"/>
        <v>2.7E-2</v>
      </c>
      <c r="H117" s="407">
        <f t="shared" si="38"/>
        <v>0</v>
      </c>
      <c r="I117" s="54"/>
      <c r="J117" s="407">
        <f t="shared" si="37"/>
        <v>4.7797116815920408E-2</v>
      </c>
      <c r="K117" s="54"/>
      <c r="L117" s="54">
        <f t="shared" si="39"/>
        <v>1.5005630306258002E-4</v>
      </c>
      <c r="M117" s="54">
        <f t="shared" si="36"/>
        <v>3.4798606794569205E-2</v>
      </c>
      <c r="N117" s="43"/>
    </row>
    <row r="118" spans="1:14" x14ac:dyDescent="0.3">
      <c r="A118" s="42" t="s">
        <v>152</v>
      </c>
      <c r="B118" s="46" t="str">
        <f t="shared" si="30"/>
        <v>Wheat, winter</v>
      </c>
      <c r="C118" s="46" t="str">
        <f t="shared" si="31"/>
        <v>Cereals</v>
      </c>
      <c r="D118" s="33" t="str">
        <f t="shared" si="32"/>
        <v>Yes</v>
      </c>
      <c r="E118" s="473">
        <f t="shared" si="40"/>
        <v>0.16353198429127452</v>
      </c>
      <c r="F118" s="418">
        <f t="shared" si="34"/>
        <v>7.3504780197474168E-2</v>
      </c>
      <c r="G118" s="426">
        <f t="shared" si="35"/>
        <v>2.7E-2</v>
      </c>
      <c r="H118" s="418">
        <f t="shared" si="38"/>
        <v>0</v>
      </c>
      <c r="I118" s="426"/>
      <c r="J118" s="418">
        <f t="shared" si="37"/>
        <v>2.8078540996168584E-2</v>
      </c>
      <c r="K118" s="426"/>
      <c r="L118" s="426">
        <f t="shared" si="39"/>
        <v>1.5005630306258002E-4</v>
      </c>
      <c r="M118" s="426">
        <f t="shared" si="36"/>
        <v>3.4798606794569205E-2</v>
      </c>
      <c r="N118" s="44"/>
    </row>
    <row r="119" spans="1:14" x14ac:dyDescent="0.3">
      <c r="B119" s="3"/>
      <c r="C119" s="3"/>
      <c r="D119" s="51"/>
      <c r="E119" s="471"/>
      <c r="F119" s="54"/>
      <c r="G119" s="54"/>
      <c r="H119" s="54"/>
      <c r="I119" s="54"/>
      <c r="J119" s="54"/>
      <c r="K119" s="54"/>
      <c r="L119" s="54"/>
      <c r="M119" s="54"/>
    </row>
    <row r="120" spans="1:14" x14ac:dyDescent="0.3">
      <c r="E120" s="54"/>
      <c r="F120" s="54"/>
      <c r="G120" s="54"/>
      <c r="H120" s="54"/>
      <c r="I120" s="54"/>
      <c r="J120" s="54"/>
      <c r="K120" s="54"/>
      <c r="L120" s="54"/>
      <c r="M120" s="54"/>
    </row>
  </sheetData>
  <autoFilter ref="A5:N118" xr:uid="{00000000-0009-0000-0000-000004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9" tint="0.79998168889431442"/>
  </sheetPr>
  <dimension ref="A2:N118"/>
  <sheetViews>
    <sheetView topLeftCell="A3" zoomScale="70" zoomScaleNormal="70" workbookViewId="0">
      <selection activeCell="K107" sqref="K107"/>
    </sheetView>
  </sheetViews>
  <sheetFormatPr defaultColWidth="8.6640625" defaultRowHeight="14.4" x14ac:dyDescent="0.3"/>
  <cols>
    <col min="1" max="1" width="9.6640625" customWidth="1"/>
    <col min="2" max="2" width="29.44140625" customWidth="1"/>
    <col min="3" max="3" width="18.33203125" customWidth="1"/>
    <col min="4" max="4" width="10.33203125" customWidth="1"/>
    <col min="5" max="5" width="13.109375" customWidth="1"/>
    <col min="6" max="6" width="12.6640625" customWidth="1"/>
    <col min="7" max="7" width="14.44140625" customWidth="1"/>
    <col min="8" max="9" width="12.6640625" customWidth="1"/>
    <col min="10" max="10" width="10.44140625" customWidth="1"/>
    <col min="11" max="11" width="12.44140625" customWidth="1"/>
    <col min="12" max="12" width="12.33203125" customWidth="1"/>
    <col min="13" max="13" width="12.44140625" customWidth="1"/>
    <col min="14" max="14" width="16.44140625" customWidth="1"/>
  </cols>
  <sheetData>
    <row r="2" spans="1:14" ht="21" x14ac:dyDescent="0.4">
      <c r="A2" s="39" t="s">
        <v>406</v>
      </c>
    </row>
    <row r="4" spans="1:14" x14ac:dyDescent="0.3">
      <c r="A4" s="244" t="s">
        <v>11</v>
      </c>
      <c r="B4" s="245"/>
      <c r="C4" s="245"/>
      <c r="D4" s="251"/>
      <c r="E4" s="246" t="s">
        <v>387</v>
      </c>
      <c r="F4" s="252" t="s">
        <v>388</v>
      </c>
      <c r="G4" s="248"/>
      <c r="H4" s="247" t="s">
        <v>389</v>
      </c>
      <c r="I4" s="249"/>
      <c r="J4" s="253" t="s">
        <v>390</v>
      </c>
      <c r="K4" s="250"/>
      <c r="L4" s="250"/>
      <c r="M4" s="250"/>
      <c r="N4" s="254" t="s">
        <v>391</v>
      </c>
    </row>
    <row r="5" spans="1:14" ht="43.2" x14ac:dyDescent="0.3">
      <c r="A5" s="239" t="s">
        <v>392</v>
      </c>
      <c r="B5" s="240" t="s">
        <v>11</v>
      </c>
      <c r="C5" s="240" t="s">
        <v>393</v>
      </c>
      <c r="D5" s="255" t="s">
        <v>394</v>
      </c>
      <c r="E5" s="241"/>
      <c r="F5" s="256" t="s">
        <v>395</v>
      </c>
      <c r="G5" s="243" t="s">
        <v>396</v>
      </c>
      <c r="H5" s="242" t="s">
        <v>397</v>
      </c>
      <c r="I5" s="243" t="s">
        <v>398</v>
      </c>
      <c r="J5" s="256" t="s">
        <v>399</v>
      </c>
      <c r="K5" s="242" t="s">
        <v>400</v>
      </c>
      <c r="L5" s="242" t="s">
        <v>401</v>
      </c>
      <c r="M5" s="242" t="s">
        <v>402</v>
      </c>
      <c r="N5" s="257" t="s">
        <v>403</v>
      </c>
    </row>
    <row r="6" spans="1:14" x14ac:dyDescent="0.3">
      <c r="A6" s="40" t="s">
        <v>40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1" t="str">
        <f t="shared" ref="D6:D37" si="2">INDEX(Crop_data,MATCH(A6,Crop_data_codes,0),4)</f>
        <v>No</v>
      </c>
      <c r="E6" s="127" t="str">
        <f t="shared" ref="E6:E37" si="3">IF(D6="Yes", SUM(F6:N6),"")</f>
        <v/>
      </c>
      <c r="F6" s="119" t="str">
        <f t="shared" ref="F6:F37" si="4">IF(D6="YES",INDEX(Crop_data,MATCH(A6,Crop_data_codes,0),7)*(Frac_BAT*EF_min_fert_BAT_CH4+Frac_AN*EF_min_fert_AN_CH4)/INDEX(Crop_data,MATCH(A6,Crop_data_codes,0),6),"")</f>
        <v/>
      </c>
      <c r="G6" s="123" t="str">
        <f t="shared" ref="G6:G37" si="5">IF(D6="YES",EF_capital_goods_CH4,"")</f>
        <v/>
      </c>
      <c r="I6" s="6"/>
      <c r="J6" s="117" t="str">
        <f t="shared" ref="J6:J33" si="6">IF(D6="YES",INDEX(Crop_data,MATCH(A6,Crop_data_codes,0),11)*Heating_value_diesel*EF_diesel_CH4/INDEX(Crop_data,MATCH(A6,Crop_data_codes,0),6),"")</f>
        <v/>
      </c>
      <c r="K6" s="125"/>
      <c r="L6" s="125" t="str">
        <f t="shared" ref="L6:L38" si="7">IF(D6="YES",INDEX(Crop_data,MATCH(A6,Crop_data_codes,0),12)*EF_irrigation_CH4/INDEX(Crop_data,MATCH(A6,Crop_data_codes,0),6),"")</f>
        <v/>
      </c>
      <c r="M6" s="125"/>
      <c r="N6" s="43"/>
    </row>
    <row r="7" spans="1:14" x14ac:dyDescent="0.3">
      <c r="A7" s="40" t="s">
        <v>41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1" t="str">
        <f t="shared" si="2"/>
        <v>No</v>
      </c>
      <c r="E7" s="127" t="str">
        <f t="shared" si="3"/>
        <v/>
      </c>
      <c r="F7" s="119" t="str">
        <f t="shared" si="4"/>
        <v/>
      </c>
      <c r="G7" s="123" t="str">
        <f t="shared" si="5"/>
        <v/>
      </c>
      <c r="I7" s="6"/>
      <c r="J7" s="117" t="str">
        <f t="shared" si="6"/>
        <v/>
      </c>
      <c r="K7" s="125"/>
      <c r="L7" s="125" t="str">
        <f t="shared" si="7"/>
        <v/>
      </c>
      <c r="M7" s="125"/>
      <c r="N7" s="43"/>
    </row>
    <row r="8" spans="1:14" x14ac:dyDescent="0.3">
      <c r="A8" s="40" t="s">
        <v>42</v>
      </c>
      <c r="B8" s="3" t="str">
        <f t="shared" si="0"/>
        <v>Apples</v>
      </c>
      <c r="C8" s="3" t="str">
        <f t="shared" si="1"/>
        <v>Fruits</v>
      </c>
      <c r="D8" s="41" t="str">
        <f t="shared" si="2"/>
        <v>Yes</v>
      </c>
      <c r="E8" s="127">
        <f t="shared" si="3"/>
        <v>1.4499388454153282E-4</v>
      </c>
      <c r="F8" s="119">
        <f t="shared" si="4"/>
        <v>8.5533972471294029E-6</v>
      </c>
      <c r="G8" s="123">
        <f t="shared" si="5"/>
        <v>9.5000000000000005E-5</v>
      </c>
      <c r="H8" s="79"/>
      <c r="I8" s="6"/>
      <c r="J8" s="117">
        <f t="shared" si="6"/>
        <v>2.8157640738199624E-5</v>
      </c>
      <c r="K8" s="125"/>
      <c r="L8" s="125">
        <f t="shared" si="7"/>
        <v>7.2769352494519124E-6</v>
      </c>
      <c r="M8" s="125">
        <f t="shared" ref="M8:M39" si="8">IF(D8="Yes",INDEX(Post_harvest_energy_data,MATCH(C8,Post_harvest_energy_categories,0),2)*EF_heating_oil_CH4+INDEX(Post_harvest_energy_data,MATCH(C8,Post_harvest_energy_categories,0),3)*EF_electricity_CH4+INDEX(Post_harvest_energy_data,MATCH(C8,Post_harvest_energy_categories,0),4)*EF_chips_CH4,"")</f>
        <v>6.0059113067518888E-6</v>
      </c>
      <c r="N8" s="43"/>
    </row>
    <row r="9" spans="1:14" x14ac:dyDescent="0.3">
      <c r="A9" s="40" t="s">
        <v>43</v>
      </c>
      <c r="B9" s="3" t="str">
        <f t="shared" si="0"/>
        <v>Apricots</v>
      </c>
      <c r="C9" s="3" t="str">
        <f t="shared" si="1"/>
        <v>Fruits</v>
      </c>
      <c r="D9" s="41" t="str">
        <f t="shared" si="2"/>
        <v>No</v>
      </c>
      <c r="E9" s="127" t="str">
        <f t="shared" si="3"/>
        <v/>
      </c>
      <c r="F9" s="119" t="str">
        <f t="shared" si="4"/>
        <v/>
      </c>
      <c r="G9" s="123" t="str">
        <f t="shared" si="5"/>
        <v/>
      </c>
      <c r="H9" s="79"/>
      <c r="I9" s="6"/>
      <c r="J9" s="117" t="str">
        <f t="shared" si="6"/>
        <v/>
      </c>
      <c r="K9" s="125"/>
      <c r="L9" s="125" t="str">
        <f t="shared" si="7"/>
        <v/>
      </c>
      <c r="M9" s="125" t="str">
        <f t="shared" si="8"/>
        <v/>
      </c>
      <c r="N9" s="43"/>
    </row>
    <row r="10" spans="1:14" x14ac:dyDescent="0.3">
      <c r="A10" s="40" t="s">
        <v>44</v>
      </c>
      <c r="B10" s="3" t="str">
        <f t="shared" si="0"/>
        <v>Artichokes</v>
      </c>
      <c r="C10" s="3" t="str">
        <f t="shared" si="1"/>
        <v>Vegetables</v>
      </c>
      <c r="D10" s="41" t="str">
        <f t="shared" si="2"/>
        <v>No</v>
      </c>
      <c r="E10" s="127" t="str">
        <f t="shared" si="3"/>
        <v/>
      </c>
      <c r="F10" s="119" t="str">
        <f t="shared" si="4"/>
        <v/>
      </c>
      <c r="G10" s="123" t="str">
        <f t="shared" si="5"/>
        <v/>
      </c>
      <c r="H10" s="79"/>
      <c r="I10" s="6"/>
      <c r="J10" s="117" t="str">
        <f t="shared" si="6"/>
        <v/>
      </c>
      <c r="K10" s="125"/>
      <c r="L10" s="125" t="str">
        <f t="shared" si="7"/>
        <v/>
      </c>
      <c r="M10" s="125" t="str">
        <f t="shared" si="8"/>
        <v/>
      </c>
      <c r="N10" s="43"/>
    </row>
    <row r="11" spans="1:14" x14ac:dyDescent="0.3">
      <c r="A11" s="40" t="s">
        <v>45</v>
      </c>
      <c r="B11" s="3" t="str">
        <f t="shared" si="0"/>
        <v>Asparagus</v>
      </c>
      <c r="C11" s="3" t="str">
        <f t="shared" si="1"/>
        <v>Vegetables</v>
      </c>
      <c r="D11" s="41" t="str">
        <f t="shared" si="2"/>
        <v>Yes</v>
      </c>
      <c r="E11" s="127">
        <f t="shared" si="3"/>
        <v>2.5729579489025366E-4</v>
      </c>
      <c r="F11" s="119">
        <f t="shared" si="4"/>
        <v>4.7670045584437208E-5</v>
      </c>
      <c r="G11" s="123">
        <f t="shared" si="5"/>
        <v>9.5000000000000005E-5</v>
      </c>
      <c r="H11" s="79"/>
      <c r="I11" s="6"/>
      <c r="J11" s="117">
        <f t="shared" si="6"/>
        <v>1.0008825811906451E-4</v>
      </c>
      <c r="K11" s="125"/>
      <c r="L11" s="125">
        <f t="shared" si="7"/>
        <v>8.5315798800000005E-6</v>
      </c>
      <c r="M11" s="125">
        <f t="shared" si="8"/>
        <v>6.0059113067518888E-6</v>
      </c>
      <c r="N11" s="43"/>
    </row>
    <row r="12" spans="1:14" x14ac:dyDescent="0.3">
      <c r="A12" s="40" t="s">
        <v>46</v>
      </c>
      <c r="B12" s="3" t="str">
        <f t="shared" si="0"/>
        <v>Avocados</v>
      </c>
      <c r="C12" s="3" t="str">
        <f t="shared" si="1"/>
        <v>Vegetables</v>
      </c>
      <c r="D12" s="41" t="str">
        <f t="shared" si="2"/>
        <v>No</v>
      </c>
      <c r="E12" s="127" t="str">
        <f t="shared" si="3"/>
        <v/>
      </c>
      <c r="F12" s="119" t="str">
        <f t="shared" si="4"/>
        <v/>
      </c>
      <c r="G12" s="123" t="str">
        <f t="shared" si="5"/>
        <v/>
      </c>
      <c r="H12" s="79"/>
      <c r="I12" s="6"/>
      <c r="J12" s="117" t="str">
        <f t="shared" si="6"/>
        <v/>
      </c>
      <c r="K12" s="125"/>
      <c r="L12" s="125" t="str">
        <f t="shared" si="7"/>
        <v/>
      </c>
      <c r="M12" s="125" t="str">
        <f t="shared" si="8"/>
        <v/>
      </c>
      <c r="N12" s="43"/>
    </row>
    <row r="13" spans="1:14" x14ac:dyDescent="0.3">
      <c r="A13" s="40" t="s">
        <v>47</v>
      </c>
      <c r="B13" s="3" t="str">
        <f t="shared" si="0"/>
        <v>Bananas</v>
      </c>
      <c r="C13" s="3" t="str">
        <f t="shared" si="1"/>
        <v>Fruits</v>
      </c>
      <c r="D13" s="41" t="str">
        <f t="shared" si="2"/>
        <v>No</v>
      </c>
      <c r="E13" s="127" t="str">
        <f t="shared" si="3"/>
        <v/>
      </c>
      <c r="F13" s="119" t="str">
        <f t="shared" si="4"/>
        <v/>
      </c>
      <c r="G13" s="123" t="str">
        <f t="shared" si="5"/>
        <v/>
      </c>
      <c r="H13" s="79"/>
      <c r="I13" s="6"/>
      <c r="J13" s="117" t="str">
        <f t="shared" si="6"/>
        <v/>
      </c>
      <c r="K13" s="125"/>
      <c r="L13" s="125" t="str">
        <f t="shared" si="7"/>
        <v/>
      </c>
      <c r="M13" s="125" t="str">
        <f t="shared" si="8"/>
        <v/>
      </c>
      <c r="N13" s="43"/>
    </row>
    <row r="14" spans="1:14" x14ac:dyDescent="0.3">
      <c r="A14" s="40" t="s">
        <v>48</v>
      </c>
      <c r="B14" s="3" t="str">
        <f t="shared" si="0"/>
        <v>Barley, average</v>
      </c>
      <c r="C14" s="3" t="str">
        <f t="shared" si="1"/>
        <v>Cereals, incl feed</v>
      </c>
      <c r="D14" s="41" t="str">
        <f t="shared" si="2"/>
        <v>Yes</v>
      </c>
      <c r="E14" s="127">
        <f t="shared" si="3"/>
        <v>2.0851912118697099E-4</v>
      </c>
      <c r="F14" s="119">
        <f t="shared" si="4"/>
        <v>8.0930691575108743E-5</v>
      </c>
      <c r="G14" s="123">
        <f t="shared" si="5"/>
        <v>9.5000000000000005E-5</v>
      </c>
      <c r="H14" s="79"/>
      <c r="I14" s="6"/>
      <c r="J14" s="117">
        <f t="shared" si="6"/>
        <v>1.8076858638743458E-5</v>
      </c>
      <c r="K14" s="125"/>
      <c r="L14" s="125">
        <f t="shared" si="7"/>
        <v>0</v>
      </c>
      <c r="M14" s="125">
        <f t="shared" si="8"/>
        <v>1.4511570973118804E-5</v>
      </c>
      <c r="N14" s="43"/>
    </row>
    <row r="15" spans="1:14" x14ac:dyDescent="0.3">
      <c r="A15" s="40" t="s">
        <v>49</v>
      </c>
      <c r="B15" s="3" t="str">
        <f t="shared" si="0"/>
        <v>Barley, spring</v>
      </c>
      <c r="C15" s="3" t="str">
        <f t="shared" si="1"/>
        <v>Cereals</v>
      </c>
      <c r="D15" s="41" t="str">
        <f t="shared" si="2"/>
        <v>Yes</v>
      </c>
      <c r="E15" s="127">
        <f t="shared" si="3"/>
        <v>2.0804147640144277E-4</v>
      </c>
      <c r="F15" s="119">
        <f t="shared" si="4"/>
        <v>7.989195671037524E-5</v>
      </c>
      <c r="G15" s="123">
        <f t="shared" si="5"/>
        <v>9.5000000000000005E-5</v>
      </c>
      <c r="H15" s="79"/>
      <c r="I15" s="6"/>
      <c r="J15" s="117">
        <f t="shared" si="6"/>
        <v>1.8637948717948719E-5</v>
      </c>
      <c r="K15" s="125"/>
      <c r="L15" s="125">
        <f t="shared" si="7"/>
        <v>0</v>
      </c>
      <c r="M15" s="125">
        <f t="shared" si="8"/>
        <v>1.4511570973118804E-5</v>
      </c>
      <c r="N15" s="43"/>
    </row>
    <row r="16" spans="1:14" x14ac:dyDescent="0.3">
      <c r="A16" s="40" t="s">
        <v>50</v>
      </c>
      <c r="B16" s="3" t="str">
        <f t="shared" si="0"/>
        <v>Barley, winter</v>
      </c>
      <c r="C16" s="3" t="str">
        <f t="shared" si="1"/>
        <v>Cereals</v>
      </c>
      <c r="D16" s="41" t="str">
        <f t="shared" si="2"/>
        <v>Yes</v>
      </c>
      <c r="E16" s="127">
        <f t="shared" si="3"/>
        <v>2.0841945881178335E-4</v>
      </c>
      <c r="F16" s="119">
        <f t="shared" si="4"/>
        <v>8.5355217189848895E-5</v>
      </c>
      <c r="G16" s="123">
        <f t="shared" si="5"/>
        <v>9.5000000000000005E-5</v>
      </c>
      <c r="H16" s="79"/>
      <c r="I16" s="6"/>
      <c r="J16" s="117">
        <f t="shared" si="6"/>
        <v>1.3552670648815655E-5</v>
      </c>
      <c r="K16" s="125"/>
      <c r="L16" s="125">
        <f t="shared" si="7"/>
        <v>0</v>
      </c>
      <c r="M16" s="125">
        <f t="shared" si="8"/>
        <v>1.4511570973118804E-5</v>
      </c>
      <c r="N16" s="43"/>
    </row>
    <row r="17" spans="1:14" x14ac:dyDescent="0.3">
      <c r="A17" s="40" t="s">
        <v>51</v>
      </c>
      <c r="B17" s="3" t="str">
        <f t="shared" si="0"/>
        <v>Beans, dry</v>
      </c>
      <c r="C17" s="3" t="str">
        <f t="shared" si="1"/>
        <v>Pulses</v>
      </c>
      <c r="D17" s="41" t="str">
        <f t="shared" si="2"/>
        <v>Yes</v>
      </c>
      <c r="E17" s="127">
        <f t="shared" si="3"/>
        <v>2.182876774846611E-4</v>
      </c>
      <c r="F17" s="119">
        <f t="shared" si="4"/>
        <v>6.5777711024875618E-5</v>
      </c>
      <c r="G17" s="123">
        <f t="shared" si="5"/>
        <v>9.5000000000000005E-5</v>
      </c>
      <c r="I17" s="6"/>
      <c r="J17" s="117">
        <f t="shared" si="6"/>
        <v>4.274746666666667E-5</v>
      </c>
      <c r="K17" s="125"/>
      <c r="L17" s="125">
        <f t="shared" si="7"/>
        <v>2.5092881999999999E-7</v>
      </c>
      <c r="M17" s="125">
        <f t="shared" si="8"/>
        <v>1.4511570973118804E-5</v>
      </c>
      <c r="N17" s="43"/>
    </row>
    <row r="18" spans="1:14" x14ac:dyDescent="0.3">
      <c r="A18" s="40" t="s">
        <v>52</v>
      </c>
      <c r="B18" s="3" t="str">
        <f t="shared" si="0"/>
        <v>Blueberries</v>
      </c>
      <c r="C18" s="3" t="str">
        <f t="shared" si="1"/>
        <v>Berries</v>
      </c>
      <c r="D18" s="41" t="str">
        <f t="shared" si="2"/>
        <v>No</v>
      </c>
      <c r="E18" s="127" t="str">
        <f t="shared" si="3"/>
        <v/>
      </c>
      <c r="F18" s="119" t="str">
        <f t="shared" si="4"/>
        <v/>
      </c>
      <c r="G18" s="123" t="str">
        <f t="shared" si="5"/>
        <v/>
      </c>
      <c r="H18" s="79"/>
      <c r="I18" s="6"/>
      <c r="J18" s="117" t="str">
        <f t="shared" si="6"/>
        <v/>
      </c>
      <c r="K18" s="125"/>
      <c r="L18" s="125" t="str">
        <f t="shared" si="7"/>
        <v/>
      </c>
      <c r="M18" s="125" t="str">
        <f t="shared" si="8"/>
        <v/>
      </c>
      <c r="N18" s="43"/>
    </row>
    <row r="19" spans="1:14" x14ac:dyDescent="0.3">
      <c r="A19" s="40" t="s">
        <v>53</v>
      </c>
      <c r="B19" s="3" t="str">
        <f t="shared" si="0"/>
        <v>Brazil nuts, in shell</v>
      </c>
      <c r="C19" s="3" t="str">
        <f t="shared" si="1"/>
        <v>Nuts</v>
      </c>
      <c r="D19" s="41" t="str">
        <f t="shared" si="2"/>
        <v>No</v>
      </c>
      <c r="E19" s="127" t="str">
        <f t="shared" si="3"/>
        <v/>
      </c>
      <c r="F19" s="119" t="str">
        <f t="shared" si="4"/>
        <v/>
      </c>
      <c r="G19" s="123" t="str">
        <f t="shared" si="5"/>
        <v/>
      </c>
      <c r="H19" s="79"/>
      <c r="I19" s="6"/>
      <c r="J19" s="117" t="str">
        <f t="shared" si="6"/>
        <v/>
      </c>
      <c r="K19" s="125"/>
      <c r="L19" s="125" t="str">
        <f t="shared" si="7"/>
        <v/>
      </c>
      <c r="M19" s="125" t="str">
        <f t="shared" si="8"/>
        <v/>
      </c>
      <c r="N19" s="43"/>
    </row>
    <row r="20" spans="1:14" x14ac:dyDescent="0.3">
      <c r="A20" s="40" t="s">
        <v>54</v>
      </c>
      <c r="B20" s="3" t="str">
        <f t="shared" si="0"/>
        <v>Broad beans and horse beans, dry</v>
      </c>
      <c r="C20" s="3" t="str">
        <f t="shared" si="1"/>
        <v>Pulses, incl feed</v>
      </c>
      <c r="D20" s="41" t="str">
        <f t="shared" si="2"/>
        <v>Yes</v>
      </c>
      <c r="E20" s="127">
        <f t="shared" si="3"/>
        <v>1.5153420106735373E-4</v>
      </c>
      <c r="F20" s="119">
        <f t="shared" si="4"/>
        <v>3.9865279409015522E-6</v>
      </c>
      <c r="G20" s="123">
        <f t="shared" si="5"/>
        <v>9.5000000000000005E-5</v>
      </c>
      <c r="H20" s="79"/>
      <c r="I20" s="6"/>
      <c r="J20" s="117">
        <f t="shared" si="6"/>
        <v>3.7785173333333341E-5</v>
      </c>
      <c r="K20" s="125"/>
      <c r="L20" s="125">
        <f t="shared" si="7"/>
        <v>2.5092882000000005E-7</v>
      </c>
      <c r="M20" s="125">
        <f t="shared" si="8"/>
        <v>1.4511570973118804E-5</v>
      </c>
      <c r="N20" s="43"/>
    </row>
    <row r="21" spans="1:14" x14ac:dyDescent="0.3">
      <c r="A21" s="40" t="s">
        <v>55</v>
      </c>
      <c r="B21" s="3" t="str">
        <f t="shared" si="0"/>
        <v>Broad beans and horse beans, green</v>
      </c>
      <c r="C21" s="3" t="str">
        <f t="shared" si="1"/>
        <v>Vegetables</v>
      </c>
      <c r="D21" s="41" t="str">
        <f t="shared" si="2"/>
        <v>No</v>
      </c>
      <c r="E21" s="127" t="str">
        <f t="shared" si="3"/>
        <v/>
      </c>
      <c r="F21" s="119" t="str">
        <f t="shared" si="4"/>
        <v/>
      </c>
      <c r="G21" s="123" t="str">
        <f t="shared" si="5"/>
        <v/>
      </c>
      <c r="H21" s="79"/>
      <c r="I21" s="6"/>
      <c r="J21" s="117" t="str">
        <f t="shared" si="6"/>
        <v/>
      </c>
      <c r="K21" s="125"/>
      <c r="L21" s="125" t="str">
        <f t="shared" si="7"/>
        <v/>
      </c>
      <c r="M21" s="125" t="str">
        <f t="shared" si="8"/>
        <v/>
      </c>
      <c r="N21" s="43"/>
    </row>
    <row r="22" spans="1:14" x14ac:dyDescent="0.3">
      <c r="A22" s="40" t="s">
        <v>56</v>
      </c>
      <c r="B22" s="3" t="str">
        <f t="shared" si="0"/>
        <v>Broccoli</v>
      </c>
      <c r="C22" s="3" t="str">
        <f t="shared" si="1"/>
        <v>Vegetables</v>
      </c>
      <c r="D22" s="41" t="str">
        <f t="shared" si="2"/>
        <v>Yes</v>
      </c>
      <c r="E22" s="127">
        <f t="shared" si="3"/>
        <v>2.1954446552239075E-4</v>
      </c>
      <c r="F22" s="119">
        <f t="shared" si="4"/>
        <v>8.5946486530760822E-5</v>
      </c>
      <c r="G22" s="123">
        <f t="shared" si="5"/>
        <v>9.5000000000000005E-5</v>
      </c>
      <c r="H22" s="79"/>
      <c r="I22" s="6"/>
      <c r="J22" s="117">
        <f t="shared" si="6"/>
        <v>2.4060487804878051E-5</v>
      </c>
      <c r="K22" s="125"/>
      <c r="L22" s="125">
        <f t="shared" si="7"/>
        <v>8.5315798800000005E-6</v>
      </c>
      <c r="M22" s="125">
        <f t="shared" si="8"/>
        <v>6.0059113067518888E-6</v>
      </c>
      <c r="N22" s="43"/>
    </row>
    <row r="23" spans="1:14" x14ac:dyDescent="0.3">
      <c r="A23" s="40" t="s">
        <v>57</v>
      </c>
      <c r="B23" s="3" t="str">
        <f t="shared" si="0"/>
        <v>Buckwheat</v>
      </c>
      <c r="C23" s="3" t="str">
        <f t="shared" si="1"/>
        <v>Seeds</v>
      </c>
      <c r="D23" s="41" t="str">
        <f t="shared" si="2"/>
        <v>No</v>
      </c>
      <c r="E23" s="127" t="str">
        <f t="shared" si="3"/>
        <v/>
      </c>
      <c r="F23" s="119" t="str">
        <f t="shared" si="4"/>
        <v/>
      </c>
      <c r="G23" s="123" t="str">
        <f t="shared" si="5"/>
        <v/>
      </c>
      <c r="H23" s="79"/>
      <c r="I23" s="6"/>
      <c r="J23" s="117" t="str">
        <f t="shared" si="6"/>
        <v/>
      </c>
      <c r="K23" s="125"/>
      <c r="L23" s="125" t="str">
        <f t="shared" si="7"/>
        <v/>
      </c>
      <c r="M23" s="125" t="str">
        <f t="shared" si="8"/>
        <v/>
      </c>
      <c r="N23" s="43"/>
    </row>
    <row r="24" spans="1:14" x14ac:dyDescent="0.3">
      <c r="A24" s="40" t="s">
        <v>58</v>
      </c>
      <c r="B24" s="3" t="str">
        <f t="shared" si="0"/>
        <v>Cabbages</v>
      </c>
      <c r="C24" s="3" t="str">
        <f t="shared" si="1"/>
        <v>Vegetables</v>
      </c>
      <c r="D24" s="41" t="str">
        <f t="shared" si="2"/>
        <v>Yes</v>
      </c>
      <c r="E24" s="127">
        <f t="shared" si="3"/>
        <v>1.3803061077981486E-4</v>
      </c>
      <c r="F24" s="119">
        <f t="shared" si="4"/>
        <v>2.3548809102255659E-5</v>
      </c>
      <c r="G24" s="123">
        <f t="shared" si="5"/>
        <v>9.5000000000000005E-5</v>
      </c>
      <c r="H24" s="79"/>
      <c r="I24" s="6"/>
      <c r="J24" s="117">
        <f t="shared" si="6"/>
        <v>4.9443104908073206E-6</v>
      </c>
      <c r="K24" s="125"/>
      <c r="L24" s="125">
        <f t="shared" si="7"/>
        <v>8.5315798800000005E-6</v>
      </c>
      <c r="M24" s="125">
        <f t="shared" si="8"/>
        <v>6.0059113067518888E-6</v>
      </c>
      <c r="N24" s="43"/>
    </row>
    <row r="25" spans="1:14" x14ac:dyDescent="0.3">
      <c r="A25" s="40" t="s">
        <v>59</v>
      </c>
      <c r="B25" s="3" t="str">
        <f t="shared" si="0"/>
        <v>Cantaloupes and other melons</v>
      </c>
      <c r="C25" s="3" t="str">
        <f t="shared" si="1"/>
        <v>Fruits</v>
      </c>
      <c r="D25" s="41" t="str">
        <f t="shared" si="2"/>
        <v>No</v>
      </c>
      <c r="E25" s="127" t="str">
        <f t="shared" si="3"/>
        <v/>
      </c>
      <c r="F25" s="119" t="str">
        <f t="shared" si="4"/>
        <v/>
      </c>
      <c r="G25" s="123" t="str">
        <f t="shared" si="5"/>
        <v/>
      </c>
      <c r="H25" s="79"/>
      <c r="I25" s="6"/>
      <c r="J25" s="117" t="str">
        <f t="shared" si="6"/>
        <v/>
      </c>
      <c r="K25" s="125"/>
      <c r="L25" s="125" t="str">
        <f t="shared" si="7"/>
        <v/>
      </c>
      <c r="M25" s="125" t="str">
        <f t="shared" si="8"/>
        <v/>
      </c>
      <c r="N25" s="43"/>
    </row>
    <row r="26" spans="1:14" x14ac:dyDescent="0.3">
      <c r="A26" s="40" t="s">
        <v>60</v>
      </c>
      <c r="B26" s="3" t="str">
        <f t="shared" si="0"/>
        <v>Carrots and turnips</v>
      </c>
      <c r="C26" s="3" t="str">
        <f t="shared" si="1"/>
        <v>Vegetables</v>
      </c>
      <c r="D26" s="41" t="str">
        <f t="shared" si="2"/>
        <v>Yes</v>
      </c>
      <c r="E26" s="127">
        <f t="shared" si="3"/>
        <v>1.1743398141267882E-4</v>
      </c>
      <c r="F26" s="119">
        <f t="shared" si="4"/>
        <v>5.2436010453471306E-6</v>
      </c>
      <c r="G26" s="123">
        <f t="shared" si="5"/>
        <v>9.5000000000000005E-5</v>
      </c>
      <c r="H26" s="79"/>
      <c r="I26" s="6"/>
      <c r="J26" s="117">
        <f t="shared" si="6"/>
        <v>2.6528891805797892E-6</v>
      </c>
      <c r="K26" s="125"/>
      <c r="L26" s="125">
        <f t="shared" si="7"/>
        <v>8.5315798800000005E-6</v>
      </c>
      <c r="M26" s="125">
        <f t="shared" si="8"/>
        <v>6.0059113067518888E-6</v>
      </c>
      <c r="N26" s="43"/>
    </row>
    <row r="27" spans="1:14" x14ac:dyDescent="0.3">
      <c r="A27" s="40" t="s">
        <v>61</v>
      </c>
      <c r="B27" s="3" t="str">
        <f t="shared" si="0"/>
        <v>Cashew nuts, in shell</v>
      </c>
      <c r="C27" s="3" t="str">
        <f t="shared" si="1"/>
        <v>Nuts</v>
      </c>
      <c r="D27" s="41" t="str">
        <f t="shared" si="2"/>
        <v>No</v>
      </c>
      <c r="E27" s="127" t="str">
        <f t="shared" si="3"/>
        <v/>
      </c>
      <c r="F27" s="119" t="str">
        <f t="shared" si="4"/>
        <v/>
      </c>
      <c r="G27" s="123" t="str">
        <f t="shared" si="5"/>
        <v/>
      </c>
      <c r="H27" s="79"/>
      <c r="I27" s="6"/>
      <c r="J27" s="117" t="str">
        <f t="shared" si="6"/>
        <v/>
      </c>
      <c r="K27" s="125"/>
      <c r="L27" s="125" t="str">
        <f t="shared" si="7"/>
        <v/>
      </c>
      <c r="M27" s="125" t="str">
        <f t="shared" si="8"/>
        <v/>
      </c>
      <c r="N27" s="43"/>
    </row>
    <row r="28" spans="1:14" x14ac:dyDescent="0.3">
      <c r="A28" s="40" t="s">
        <v>62</v>
      </c>
      <c r="B28" s="3" t="str">
        <f t="shared" si="0"/>
        <v>Cauliflowers</v>
      </c>
      <c r="C28" s="3" t="str">
        <f t="shared" si="1"/>
        <v>Vegetables</v>
      </c>
      <c r="D28" s="41" t="str">
        <f t="shared" si="2"/>
        <v>Yes</v>
      </c>
      <c r="E28" s="127">
        <f t="shared" si="3"/>
        <v>1.7751871574482933E-4</v>
      </c>
      <c r="F28" s="119">
        <f t="shared" si="4"/>
        <v>5.7085192999892055E-5</v>
      </c>
      <c r="G28" s="123">
        <f t="shared" si="5"/>
        <v>9.5000000000000005E-5</v>
      </c>
      <c r="H28" s="79"/>
      <c r="I28" s="6"/>
      <c r="J28" s="117">
        <f t="shared" si="6"/>
        <v>1.0896031558185405E-5</v>
      </c>
      <c r="K28" s="125"/>
      <c r="L28" s="125">
        <f t="shared" si="7"/>
        <v>8.5315798800000005E-6</v>
      </c>
      <c r="M28" s="125">
        <f t="shared" si="8"/>
        <v>6.0059113067518888E-6</v>
      </c>
      <c r="N28" s="43"/>
    </row>
    <row r="29" spans="1:14" x14ac:dyDescent="0.3">
      <c r="A29" s="40" t="s">
        <v>63</v>
      </c>
      <c r="B29" s="3" t="str">
        <f t="shared" si="0"/>
        <v>Cauliflowers and broccoli, average</v>
      </c>
      <c r="C29" s="3" t="str">
        <f t="shared" si="1"/>
        <v>Vegetables</v>
      </c>
      <c r="D29" s="41" t="str">
        <f t="shared" si="2"/>
        <v>Yes</v>
      </c>
      <c r="E29" s="127">
        <f t="shared" si="3"/>
        <v>1.8726561769180763E-4</v>
      </c>
      <c r="F29" s="119">
        <f t="shared" si="4"/>
        <v>6.3779078445128133E-5</v>
      </c>
      <c r="G29" s="123">
        <f t="shared" si="5"/>
        <v>9.5000000000000005E-5</v>
      </c>
      <c r="H29" s="79"/>
      <c r="I29" s="6"/>
      <c r="J29" s="117">
        <f t="shared" si="6"/>
        <v>1.3949048059927616E-5</v>
      </c>
      <c r="K29" s="125"/>
      <c r="L29" s="125">
        <f t="shared" si="7"/>
        <v>8.5315798800000005E-6</v>
      </c>
      <c r="M29" s="125">
        <f t="shared" si="8"/>
        <v>6.0059113067518888E-6</v>
      </c>
      <c r="N29" s="43"/>
    </row>
    <row r="30" spans="1:14" x14ac:dyDescent="0.3">
      <c r="A30" s="40" t="s">
        <v>64</v>
      </c>
      <c r="B30" s="3" t="str">
        <f t="shared" si="0"/>
        <v>Cereals n.e.c.</v>
      </c>
      <c r="C30" s="3" t="str">
        <f t="shared" si="1"/>
        <v>Cereals</v>
      </c>
      <c r="D30" s="41" t="str">
        <f t="shared" si="2"/>
        <v>No</v>
      </c>
      <c r="E30" s="127" t="str">
        <f t="shared" si="3"/>
        <v/>
      </c>
      <c r="F30" s="119" t="str">
        <f t="shared" si="4"/>
        <v/>
      </c>
      <c r="G30" s="123" t="str">
        <f t="shared" si="5"/>
        <v/>
      </c>
      <c r="I30" s="6"/>
      <c r="J30" s="117" t="str">
        <f t="shared" si="6"/>
        <v/>
      </c>
      <c r="K30" s="125"/>
      <c r="L30" s="125" t="str">
        <f t="shared" si="7"/>
        <v/>
      </c>
      <c r="M30" s="125" t="str">
        <f t="shared" si="8"/>
        <v/>
      </c>
      <c r="N30" s="43"/>
    </row>
    <row r="31" spans="1:14" x14ac:dyDescent="0.3">
      <c r="A31" s="40" t="s">
        <v>65</v>
      </c>
      <c r="B31" s="3" t="str">
        <f t="shared" si="0"/>
        <v>Cherries</v>
      </c>
      <c r="C31" s="3" t="str">
        <f t="shared" si="1"/>
        <v>Berries</v>
      </c>
      <c r="D31" s="41" t="str">
        <f t="shared" si="2"/>
        <v>No</v>
      </c>
      <c r="E31" s="127" t="str">
        <f t="shared" si="3"/>
        <v/>
      </c>
      <c r="F31" s="119" t="str">
        <f t="shared" si="4"/>
        <v/>
      </c>
      <c r="G31" s="123" t="str">
        <f t="shared" si="5"/>
        <v/>
      </c>
      <c r="I31" s="6"/>
      <c r="J31" s="117" t="str">
        <f t="shared" si="6"/>
        <v/>
      </c>
      <c r="K31" s="125"/>
      <c r="L31" s="125" t="str">
        <f t="shared" si="7"/>
        <v/>
      </c>
      <c r="M31" s="125" t="str">
        <f t="shared" si="8"/>
        <v/>
      </c>
      <c r="N31" s="43"/>
    </row>
    <row r="32" spans="1:14" x14ac:dyDescent="0.3">
      <c r="A32" s="40" t="s">
        <v>66</v>
      </c>
      <c r="B32" s="3" t="str">
        <f t="shared" si="0"/>
        <v>Chestnuts, in shell</v>
      </c>
      <c r="C32" s="3" t="str">
        <f t="shared" si="1"/>
        <v>Nuts</v>
      </c>
      <c r="D32" s="41" t="str">
        <f t="shared" si="2"/>
        <v>No</v>
      </c>
      <c r="E32" s="127" t="str">
        <f t="shared" si="3"/>
        <v/>
      </c>
      <c r="F32" s="119" t="str">
        <f t="shared" si="4"/>
        <v/>
      </c>
      <c r="G32" s="123" t="str">
        <f t="shared" si="5"/>
        <v/>
      </c>
      <c r="I32" s="6"/>
      <c r="J32" s="117" t="str">
        <f t="shared" si="6"/>
        <v/>
      </c>
      <c r="K32" s="125"/>
      <c r="L32" s="125" t="str">
        <f t="shared" si="7"/>
        <v/>
      </c>
      <c r="M32" s="125" t="str">
        <f t="shared" si="8"/>
        <v/>
      </c>
      <c r="N32" s="43"/>
    </row>
    <row r="33" spans="1:14" x14ac:dyDescent="0.3">
      <c r="A33" s="40" t="s">
        <v>67</v>
      </c>
      <c r="B33" s="3" t="str">
        <f t="shared" si="0"/>
        <v>Chick peas, dry</v>
      </c>
      <c r="C33" s="3" t="str">
        <f t="shared" si="1"/>
        <v>Pulses</v>
      </c>
      <c r="D33" s="41" t="str">
        <f t="shared" si="2"/>
        <v>No</v>
      </c>
      <c r="E33" s="127" t="str">
        <f t="shared" si="3"/>
        <v/>
      </c>
      <c r="F33" s="119" t="str">
        <f t="shared" si="4"/>
        <v/>
      </c>
      <c r="G33" s="123" t="str">
        <f t="shared" si="5"/>
        <v/>
      </c>
      <c r="I33" s="6"/>
      <c r="J33" s="117" t="str">
        <f t="shared" si="6"/>
        <v/>
      </c>
      <c r="K33" s="125"/>
      <c r="L33" s="125" t="str">
        <f t="shared" si="7"/>
        <v/>
      </c>
      <c r="M33" s="125" t="str">
        <f t="shared" si="8"/>
        <v/>
      </c>
      <c r="N33" s="43"/>
    </row>
    <row r="34" spans="1:14" x14ac:dyDescent="0.3">
      <c r="A34" s="40" t="s">
        <v>68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1" t="str">
        <f t="shared" si="2"/>
        <v>No</v>
      </c>
      <c r="E34" s="127" t="str">
        <f t="shared" si="3"/>
        <v/>
      </c>
      <c r="F34" s="119" t="str">
        <f t="shared" si="4"/>
        <v/>
      </c>
      <c r="G34" s="123" t="str">
        <f t="shared" si="5"/>
        <v/>
      </c>
      <c r="I34" s="6"/>
      <c r="J34" s="117"/>
      <c r="K34" s="125"/>
      <c r="L34" s="125" t="str">
        <f t="shared" si="7"/>
        <v/>
      </c>
      <c r="M34" s="125" t="str">
        <f t="shared" si="8"/>
        <v/>
      </c>
      <c r="N34" s="43"/>
    </row>
    <row r="35" spans="1:14" x14ac:dyDescent="0.3">
      <c r="A35" s="40" t="s">
        <v>69</v>
      </c>
      <c r="B35" s="3" t="str">
        <f t="shared" si="0"/>
        <v>Cocoa beans</v>
      </c>
      <c r="C35" s="3" t="str">
        <f t="shared" si="1"/>
        <v>Stimulants</v>
      </c>
      <c r="D35" s="41" t="str">
        <f t="shared" si="2"/>
        <v>No</v>
      </c>
      <c r="E35" s="127" t="str">
        <f t="shared" si="3"/>
        <v/>
      </c>
      <c r="F35" s="119" t="str">
        <f t="shared" si="4"/>
        <v/>
      </c>
      <c r="G35" s="123" t="str">
        <f t="shared" si="5"/>
        <v/>
      </c>
      <c r="I35" s="6"/>
      <c r="J35" s="117" t="str">
        <f t="shared" ref="J35:J66" si="9">IF(D35="YES",INDEX(Crop_data,MATCH(A35,Crop_data_codes,0),11)*Heating_value_diesel*EF_diesel_CH4/INDEX(Crop_data,MATCH(A35,Crop_data_codes,0),6),"")</f>
        <v/>
      </c>
      <c r="K35" s="125"/>
      <c r="L35" s="125" t="str">
        <f t="shared" si="7"/>
        <v/>
      </c>
      <c r="M35" s="125" t="str">
        <f t="shared" si="8"/>
        <v/>
      </c>
      <c r="N35" s="43"/>
    </row>
    <row r="36" spans="1:14" x14ac:dyDescent="0.3">
      <c r="A36" s="40" t="s">
        <v>70</v>
      </c>
      <c r="B36" s="3" t="str">
        <f t="shared" si="0"/>
        <v>Coconut, in shell</v>
      </c>
      <c r="C36" s="3" t="str">
        <f t="shared" si="1"/>
        <v>Nuts</v>
      </c>
      <c r="D36" s="41" t="str">
        <f t="shared" si="2"/>
        <v>No</v>
      </c>
      <c r="E36" s="127" t="str">
        <f t="shared" si="3"/>
        <v/>
      </c>
      <c r="F36" s="119" t="str">
        <f t="shared" si="4"/>
        <v/>
      </c>
      <c r="G36" s="123" t="str">
        <f t="shared" si="5"/>
        <v/>
      </c>
      <c r="I36" s="6"/>
      <c r="J36" s="117" t="str">
        <f t="shared" si="9"/>
        <v/>
      </c>
      <c r="K36" s="125"/>
      <c r="L36" s="125" t="str">
        <f t="shared" si="7"/>
        <v/>
      </c>
      <c r="M36" s="125" t="str">
        <f t="shared" si="8"/>
        <v/>
      </c>
      <c r="N36" s="43"/>
    </row>
    <row r="37" spans="1:14" x14ac:dyDescent="0.3">
      <c r="A37" s="40" t="s">
        <v>71</v>
      </c>
      <c r="B37" s="3" t="str">
        <f t="shared" si="0"/>
        <v>Coffee, green</v>
      </c>
      <c r="C37" s="3" t="str">
        <f t="shared" si="1"/>
        <v>Stimulants</v>
      </c>
      <c r="D37" s="41" t="str">
        <f t="shared" si="2"/>
        <v>No</v>
      </c>
      <c r="E37" s="127" t="str">
        <f t="shared" si="3"/>
        <v/>
      </c>
      <c r="F37" s="119" t="str">
        <f t="shared" si="4"/>
        <v/>
      </c>
      <c r="G37" s="123" t="str">
        <f t="shared" si="5"/>
        <v/>
      </c>
      <c r="I37" s="6"/>
      <c r="J37" s="117" t="str">
        <f t="shared" si="9"/>
        <v/>
      </c>
      <c r="K37" s="125"/>
      <c r="L37" s="125" t="str">
        <f t="shared" si="7"/>
        <v/>
      </c>
      <c r="M37" s="125" t="str">
        <f t="shared" si="8"/>
        <v/>
      </c>
      <c r="N37" s="43"/>
    </row>
    <row r="38" spans="1:14" x14ac:dyDescent="0.3">
      <c r="A38" s="40" t="s">
        <v>72</v>
      </c>
      <c r="B38" s="3" t="str">
        <f t="shared" ref="B38:B69" si="10">INDEX(Crop_data,MATCH(A38,Crop_data_codes,0),2)</f>
        <v>Cucumbers and gherkins, averrage</v>
      </c>
      <c r="C38" s="3" t="str">
        <f t="shared" ref="C38:C69" si="11">INDEX(Crop_data,MATCH(A38,Crop_data_codes,0),3)</f>
        <v>Vegetables</v>
      </c>
      <c r="D38" s="41" t="str">
        <f t="shared" ref="D38:D69" si="12">INDEX(Crop_data,MATCH(A38,Crop_data_codes,0),4)</f>
        <v>Yes</v>
      </c>
      <c r="E38" s="127">
        <f t="shared" ref="E38:E69" si="13">IF(D38="Yes", SUM(F38:N38),"")</f>
        <v>1.4171750758135075E-3</v>
      </c>
      <c r="F38" s="119">
        <f t="shared" ref="F38:F69" si="14">IF(D38="YES",INDEX(Crop_data,MATCH(A38,Crop_data_codes,0),7)*(Frac_BAT*EF_min_fert_BAT_CH4+Frac_AN*EF_min_fert_AN_CH4)/INDEX(Crop_data,MATCH(A38,Crop_data_codes,0),6),"")</f>
        <v>1.2485183045348266E-5</v>
      </c>
      <c r="G38" s="123">
        <f t="shared" ref="G38:G69" si="15">IF(D38="YES",EF_capital_goods_CH4,"")</f>
        <v>9.5000000000000005E-5</v>
      </c>
      <c r="H38" s="85"/>
      <c r="I38" s="6"/>
      <c r="J38" s="117">
        <f t="shared" si="9"/>
        <v>1.8915369888511058E-8</v>
      </c>
      <c r="K38" s="125">
        <f>INDEX(Crop_data,MATCH("01232_gh",Crop_data_codes,0),5)/100*Energy!B22/INDEX(Crop_data,MATCH(A38,Crop_data_codes,0),6)</f>
        <v>1.3026613508115188E-3</v>
      </c>
      <c r="L38" s="125">
        <f t="shared" si="7"/>
        <v>1.00371528E-6</v>
      </c>
      <c r="M38" s="125">
        <f t="shared" si="8"/>
        <v>6.0059113067518888E-6</v>
      </c>
      <c r="N38" s="43"/>
    </row>
    <row r="39" spans="1:14" x14ac:dyDescent="0.3">
      <c r="A39" s="40" t="s">
        <v>73</v>
      </c>
      <c r="B39" s="3" t="str">
        <f t="shared" si="10"/>
        <v>Cucumbers and gherkins, greenhouse</v>
      </c>
      <c r="C39" s="3" t="str">
        <f t="shared" si="11"/>
        <v>Vegetables</v>
      </c>
      <c r="D39" s="41" t="str">
        <f t="shared" si="12"/>
        <v>Yes</v>
      </c>
      <c r="E39" s="127">
        <f t="shared" si="13"/>
        <v>1.4240370039289249E-3</v>
      </c>
      <c r="F39" s="119">
        <f t="shared" si="14"/>
        <v>1.2497192223653008E-5</v>
      </c>
      <c r="G39" s="123">
        <f t="shared" si="15"/>
        <v>9.5000000000000005E-5</v>
      </c>
      <c r="H39" s="85"/>
      <c r="I39" s="6"/>
      <c r="J39" s="117">
        <f t="shared" si="9"/>
        <v>0</v>
      </c>
      <c r="K39" s="125">
        <f>Energy!B22/INDEX(Crop_data,MATCH(A39,Crop_data_codes,0),6)</f>
        <v>1.3105339003985199E-3</v>
      </c>
      <c r="L39" s="125"/>
      <c r="M39" s="125">
        <f t="shared" si="8"/>
        <v>6.0059113067518888E-6</v>
      </c>
      <c r="N39" s="43"/>
    </row>
    <row r="40" spans="1:14" x14ac:dyDescent="0.3">
      <c r="A40" s="40" t="s">
        <v>74</v>
      </c>
      <c r="B40" s="3" t="str">
        <f t="shared" si="10"/>
        <v>Cucumbers and gherkins, openfield</v>
      </c>
      <c r="C40" s="3" t="str">
        <f t="shared" si="11"/>
        <v>Vegetables</v>
      </c>
      <c r="D40" s="41" t="str">
        <f t="shared" si="12"/>
        <v>Yes</v>
      </c>
      <c r="E40" s="127">
        <f t="shared" si="13"/>
        <v>1.1565648425146073E-4</v>
      </c>
      <c r="F40" s="119">
        <f t="shared" si="14"/>
        <v>1.0498038695260587E-5</v>
      </c>
      <c r="G40" s="123">
        <f t="shared" si="15"/>
        <v>9.5000000000000005E-5</v>
      </c>
      <c r="H40" s="85"/>
      <c r="I40" s="6"/>
      <c r="J40" s="117">
        <f t="shared" si="9"/>
        <v>3.1488189694482447E-6</v>
      </c>
      <c r="K40" s="125"/>
      <c r="L40" s="125">
        <f t="shared" ref="L40:L71" si="16">IF(D40="YES",INDEX(Crop_data,MATCH(A40,Crop_data_codes,0),12)*EF_irrigation_CH4/INDEX(Crop_data,MATCH(A40,Crop_data_codes,0),6),"")</f>
        <v>1.0037152800000002E-6</v>
      </c>
      <c r="M40" s="125">
        <f t="shared" ref="M40:M71" si="17">IF(D40="Yes",INDEX(Post_harvest_energy_data,MATCH(C40,Post_harvest_energy_categories,0),2)*EF_heating_oil_CH4+INDEX(Post_harvest_energy_data,MATCH(C40,Post_harvest_energy_categories,0),3)*EF_electricity_CH4+INDEX(Post_harvest_energy_data,MATCH(C40,Post_harvest_energy_categories,0),4)*EF_chips_CH4,"")</f>
        <v>6.0059113067518888E-6</v>
      </c>
      <c r="N40" s="43"/>
    </row>
    <row r="41" spans="1:14" x14ac:dyDescent="0.3">
      <c r="A41" s="40" t="s">
        <v>75</v>
      </c>
      <c r="B41" s="3" t="str">
        <f t="shared" si="10"/>
        <v>Currants</v>
      </c>
      <c r="C41" s="3" t="str">
        <f t="shared" si="11"/>
        <v>Berries</v>
      </c>
      <c r="D41" s="41" t="str">
        <f t="shared" si="12"/>
        <v>Yes</v>
      </c>
      <c r="E41" s="127">
        <f t="shared" si="13"/>
        <v>2.1788893014772068E-4</v>
      </c>
      <c r="F41" s="119">
        <f t="shared" si="14"/>
        <v>3.1573301291940294E-5</v>
      </c>
      <c r="G41" s="123">
        <f t="shared" si="15"/>
        <v>9.5000000000000005E-5</v>
      </c>
      <c r="H41" s="79"/>
      <c r="I41" s="6"/>
      <c r="J41" s="117">
        <f t="shared" si="9"/>
        <v>8.8783200000000007E-5</v>
      </c>
      <c r="K41" s="125"/>
      <c r="L41" s="125">
        <f t="shared" si="16"/>
        <v>2.5324288557803997E-6</v>
      </c>
      <c r="M41" s="125">
        <f t="shared" si="17"/>
        <v>0</v>
      </c>
      <c r="N41" s="43"/>
    </row>
    <row r="42" spans="1:14" x14ac:dyDescent="0.3">
      <c r="A42" s="40" t="s">
        <v>76</v>
      </c>
      <c r="B42" s="3" t="str">
        <f t="shared" si="10"/>
        <v>Dates</v>
      </c>
      <c r="C42" s="3" t="str">
        <f t="shared" si="11"/>
        <v>Fruits</v>
      </c>
      <c r="D42" s="41" t="str">
        <f t="shared" si="12"/>
        <v>No</v>
      </c>
      <c r="E42" s="127" t="str">
        <f t="shared" si="13"/>
        <v/>
      </c>
      <c r="F42" s="119" t="str">
        <f t="shared" si="14"/>
        <v/>
      </c>
      <c r="G42" s="123" t="str">
        <f t="shared" si="15"/>
        <v/>
      </c>
      <c r="I42" s="6"/>
      <c r="J42" s="117" t="str">
        <f t="shared" si="9"/>
        <v/>
      </c>
      <c r="K42" s="125"/>
      <c r="L42" s="125" t="str">
        <f t="shared" si="16"/>
        <v/>
      </c>
      <c r="M42" s="125" t="str">
        <f t="shared" si="17"/>
        <v/>
      </c>
      <c r="N42" s="43"/>
    </row>
    <row r="43" spans="1:14" x14ac:dyDescent="0.3">
      <c r="A43" s="40" t="s">
        <v>77</v>
      </c>
      <c r="B43" s="3" t="str">
        <f t="shared" si="10"/>
        <v>Edible roots and tubers with high starch or inulin content, n.e.c., fresh</v>
      </c>
      <c r="C43" s="3" t="str">
        <f t="shared" si="11"/>
        <v>Roots</v>
      </c>
      <c r="D43" s="41" t="str">
        <f t="shared" si="12"/>
        <v>No</v>
      </c>
      <c r="E43" s="127" t="str">
        <f t="shared" si="13"/>
        <v/>
      </c>
      <c r="F43" s="119" t="str">
        <f t="shared" si="14"/>
        <v/>
      </c>
      <c r="G43" s="123" t="str">
        <f t="shared" si="15"/>
        <v/>
      </c>
      <c r="I43" s="6"/>
      <c r="J43" s="117" t="str">
        <f t="shared" si="9"/>
        <v/>
      </c>
      <c r="K43" s="125"/>
      <c r="L43" s="125" t="str">
        <f t="shared" si="16"/>
        <v/>
      </c>
      <c r="M43" s="125" t="str">
        <f t="shared" si="17"/>
        <v/>
      </c>
      <c r="N43" s="43"/>
    </row>
    <row r="44" spans="1:14" x14ac:dyDescent="0.3">
      <c r="A44" s="40" t="s">
        <v>78</v>
      </c>
      <c r="B44" s="3" t="str">
        <f t="shared" si="10"/>
        <v>Eggplants (aubergines)</v>
      </c>
      <c r="C44" s="3" t="str">
        <f t="shared" si="11"/>
        <v>Vegetables</v>
      </c>
      <c r="D44" s="41" t="str">
        <f t="shared" si="12"/>
        <v>No</v>
      </c>
      <c r="E44" s="127" t="str">
        <f t="shared" si="13"/>
        <v/>
      </c>
      <c r="F44" s="119" t="str">
        <f t="shared" si="14"/>
        <v/>
      </c>
      <c r="G44" s="123" t="str">
        <f t="shared" si="15"/>
        <v/>
      </c>
      <c r="I44" s="6"/>
      <c r="J44" s="117" t="str">
        <f t="shared" si="9"/>
        <v/>
      </c>
      <c r="K44" s="125"/>
      <c r="L44" s="125" t="str">
        <f t="shared" si="16"/>
        <v/>
      </c>
      <c r="M44" s="125" t="str">
        <f t="shared" si="17"/>
        <v/>
      </c>
      <c r="N44" s="43"/>
    </row>
    <row r="45" spans="1:14" x14ac:dyDescent="0.3">
      <c r="A45" s="40" t="s">
        <v>79</v>
      </c>
      <c r="B45" s="3" t="str">
        <f t="shared" si="10"/>
        <v>Figs</v>
      </c>
      <c r="C45" s="3" t="str">
        <f t="shared" si="11"/>
        <v>Fruits</v>
      </c>
      <c r="D45" s="41" t="str">
        <f t="shared" si="12"/>
        <v>No</v>
      </c>
      <c r="E45" s="127" t="str">
        <f t="shared" si="13"/>
        <v/>
      </c>
      <c r="F45" s="119" t="str">
        <f t="shared" si="14"/>
        <v/>
      </c>
      <c r="G45" s="123" t="str">
        <f t="shared" si="15"/>
        <v/>
      </c>
      <c r="I45" s="6"/>
      <c r="J45" s="117" t="str">
        <f t="shared" si="9"/>
        <v/>
      </c>
      <c r="K45" s="125"/>
      <c r="L45" s="125" t="str">
        <f t="shared" si="16"/>
        <v/>
      </c>
      <c r="M45" s="125" t="str">
        <f t="shared" si="17"/>
        <v/>
      </c>
      <c r="N45" s="43"/>
    </row>
    <row r="46" spans="1:14" x14ac:dyDescent="0.3">
      <c r="A46" s="40" t="s">
        <v>80</v>
      </c>
      <c r="B46" s="3" t="str">
        <f t="shared" si="10"/>
        <v>Gooseberries</v>
      </c>
      <c r="C46" s="3" t="str">
        <f t="shared" si="11"/>
        <v>Berries</v>
      </c>
      <c r="D46" s="41" t="str">
        <f t="shared" si="12"/>
        <v>No</v>
      </c>
      <c r="E46" s="127" t="str">
        <f t="shared" si="13"/>
        <v/>
      </c>
      <c r="F46" s="119" t="str">
        <f t="shared" si="14"/>
        <v/>
      </c>
      <c r="G46" s="123" t="str">
        <f t="shared" si="15"/>
        <v/>
      </c>
      <c r="H46" s="79"/>
      <c r="I46" s="6"/>
      <c r="J46" s="117" t="str">
        <f t="shared" si="9"/>
        <v/>
      </c>
      <c r="K46" s="125"/>
      <c r="L46" s="125" t="str">
        <f t="shared" si="16"/>
        <v/>
      </c>
      <c r="M46" s="125" t="str">
        <f t="shared" si="17"/>
        <v/>
      </c>
      <c r="N46" s="43"/>
    </row>
    <row r="47" spans="1:14" x14ac:dyDescent="0.3">
      <c r="A47" s="40" t="s">
        <v>81</v>
      </c>
      <c r="B47" s="3" t="str">
        <f t="shared" si="10"/>
        <v>Grapes</v>
      </c>
      <c r="C47" s="3" t="str">
        <f t="shared" si="11"/>
        <v>Fruits</v>
      </c>
      <c r="D47" s="41" t="str">
        <f t="shared" si="12"/>
        <v>Yes</v>
      </c>
      <c r="E47" s="127">
        <f t="shared" si="13"/>
        <v>4.9095830758866667E-4</v>
      </c>
      <c r="F47" s="119">
        <f t="shared" si="14"/>
        <v>1.6326923383383945E-5</v>
      </c>
      <c r="G47" s="123">
        <f t="shared" si="15"/>
        <v>9.5000000000000005E-5</v>
      </c>
      <c r="I47" s="6"/>
      <c r="J47" s="117">
        <f t="shared" si="9"/>
        <v>3.5254745201853083E-4</v>
      </c>
      <c r="K47" s="125"/>
      <c r="L47" s="125">
        <f t="shared" si="16"/>
        <v>2.107802088E-5</v>
      </c>
      <c r="M47" s="125">
        <f t="shared" si="17"/>
        <v>6.0059113067518888E-6</v>
      </c>
      <c r="N47" s="43"/>
    </row>
    <row r="48" spans="1:14" x14ac:dyDescent="0.3">
      <c r="A48" s="40" t="s">
        <v>82</v>
      </c>
      <c r="B48" s="3" t="str">
        <f t="shared" si="10"/>
        <v>Green corn (maize)</v>
      </c>
      <c r="C48" s="3" t="str">
        <f t="shared" si="11"/>
        <v>Vegetables</v>
      </c>
      <c r="D48" s="41" t="str">
        <f t="shared" si="12"/>
        <v>No</v>
      </c>
      <c r="E48" s="127" t="str">
        <f t="shared" si="13"/>
        <v/>
      </c>
      <c r="F48" s="119" t="str">
        <f t="shared" si="14"/>
        <v/>
      </c>
      <c r="G48" s="123" t="str">
        <f t="shared" si="15"/>
        <v/>
      </c>
      <c r="H48" s="79"/>
      <c r="I48" s="6"/>
      <c r="J48" s="117" t="str">
        <f t="shared" si="9"/>
        <v/>
      </c>
      <c r="K48" s="125"/>
      <c r="L48" s="125" t="str">
        <f t="shared" si="16"/>
        <v/>
      </c>
      <c r="M48" s="125" t="str">
        <f t="shared" si="17"/>
        <v/>
      </c>
      <c r="N48" s="43"/>
    </row>
    <row r="49" spans="1:14" x14ac:dyDescent="0.3">
      <c r="A49" s="40" t="s">
        <v>83</v>
      </c>
      <c r="B49" s="3" t="str">
        <f t="shared" si="10"/>
        <v>Green garlic</v>
      </c>
      <c r="C49" s="3" t="str">
        <f t="shared" si="11"/>
        <v>Vegetables</v>
      </c>
      <c r="D49" s="41" t="str">
        <f t="shared" si="12"/>
        <v>Yes</v>
      </c>
      <c r="E49" s="127">
        <f t="shared" si="13"/>
        <v>1.6765362988145673E-4</v>
      </c>
      <c r="F49" s="119">
        <f t="shared" si="14"/>
        <v>1.2397893177463468E-5</v>
      </c>
      <c r="G49" s="123">
        <f t="shared" si="15"/>
        <v>9.5000000000000005E-5</v>
      </c>
      <c r="I49" s="6"/>
      <c r="J49" s="117">
        <f t="shared" si="9"/>
        <v>4.5718245517241383E-5</v>
      </c>
      <c r="K49" s="125"/>
      <c r="L49" s="125">
        <f t="shared" si="16"/>
        <v>8.5315798800000005E-6</v>
      </c>
      <c r="M49" s="125">
        <f t="shared" si="17"/>
        <v>6.0059113067518888E-6</v>
      </c>
      <c r="N49" s="43"/>
    </row>
    <row r="50" spans="1:14" x14ac:dyDescent="0.3">
      <c r="A50" s="40" t="s">
        <v>84</v>
      </c>
      <c r="B50" s="3" t="str">
        <f t="shared" si="10"/>
        <v>Groundnuts, excluding shelled</v>
      </c>
      <c r="C50" s="3" t="str">
        <f t="shared" si="11"/>
        <v>Nuts</v>
      </c>
      <c r="D50" s="41" t="str">
        <f t="shared" si="12"/>
        <v>No</v>
      </c>
      <c r="E50" s="127" t="str">
        <f t="shared" si="13"/>
        <v/>
      </c>
      <c r="F50" s="119" t="str">
        <f t="shared" si="14"/>
        <v/>
      </c>
      <c r="G50" s="123" t="str">
        <f t="shared" si="15"/>
        <v/>
      </c>
      <c r="I50" s="6"/>
      <c r="J50" s="117" t="str">
        <f t="shared" si="9"/>
        <v/>
      </c>
      <c r="K50" s="125"/>
      <c r="L50" s="125" t="str">
        <f t="shared" si="16"/>
        <v/>
      </c>
      <c r="M50" s="125" t="str">
        <f t="shared" si="17"/>
        <v/>
      </c>
      <c r="N50" s="43"/>
    </row>
    <row r="51" spans="1:14" x14ac:dyDescent="0.3">
      <c r="A51" s="40" t="s">
        <v>85</v>
      </c>
      <c r="B51" s="3" t="str">
        <f t="shared" si="10"/>
        <v>Hazelnuts, in shell</v>
      </c>
      <c r="C51" s="3" t="str">
        <f t="shared" si="11"/>
        <v>Nuts</v>
      </c>
      <c r="D51" s="41" t="str">
        <f t="shared" si="12"/>
        <v>No</v>
      </c>
      <c r="E51" s="127" t="str">
        <f t="shared" si="13"/>
        <v/>
      </c>
      <c r="F51" s="119" t="str">
        <f t="shared" si="14"/>
        <v/>
      </c>
      <c r="G51" s="123" t="str">
        <f t="shared" si="15"/>
        <v/>
      </c>
      <c r="I51" s="6"/>
      <c r="J51" s="117" t="str">
        <f t="shared" si="9"/>
        <v/>
      </c>
      <c r="K51" s="125"/>
      <c r="L51" s="125" t="str">
        <f t="shared" si="16"/>
        <v/>
      </c>
      <c r="M51" s="125" t="str">
        <f t="shared" si="17"/>
        <v/>
      </c>
      <c r="N51" s="43"/>
    </row>
    <row r="52" spans="1:14" x14ac:dyDescent="0.3">
      <c r="A52" s="40" t="s">
        <v>86</v>
      </c>
      <c r="B52" s="3" t="str">
        <f t="shared" si="10"/>
        <v>Kiwi fruit</v>
      </c>
      <c r="C52" s="3" t="str">
        <f t="shared" si="11"/>
        <v>Fruits</v>
      </c>
      <c r="D52" s="41" t="str">
        <f t="shared" si="12"/>
        <v>No</v>
      </c>
      <c r="E52" s="127" t="str">
        <f t="shared" si="13"/>
        <v/>
      </c>
      <c r="F52" s="119" t="str">
        <f t="shared" si="14"/>
        <v/>
      </c>
      <c r="G52" s="123" t="str">
        <f t="shared" si="15"/>
        <v/>
      </c>
      <c r="H52" s="79"/>
      <c r="I52" s="6"/>
      <c r="J52" s="117" t="str">
        <f t="shared" si="9"/>
        <v/>
      </c>
      <c r="K52" s="125"/>
      <c r="L52" s="125" t="str">
        <f t="shared" si="16"/>
        <v/>
      </c>
      <c r="M52" s="125" t="str">
        <f t="shared" si="17"/>
        <v/>
      </c>
      <c r="N52" s="43"/>
    </row>
    <row r="53" spans="1:14" x14ac:dyDescent="0.3">
      <c r="A53" s="40" t="s">
        <v>87</v>
      </c>
      <c r="B53" s="3" t="str">
        <f t="shared" si="10"/>
        <v>Leeks and other alliaceous vegetables</v>
      </c>
      <c r="C53" s="3" t="str">
        <f t="shared" si="11"/>
        <v>Vegetables</v>
      </c>
      <c r="D53" s="41" t="str">
        <f t="shared" si="12"/>
        <v>Yes</v>
      </c>
      <c r="E53" s="127">
        <f t="shared" si="13"/>
        <v>1.4490588497552043E-4</v>
      </c>
      <c r="F53" s="119">
        <f t="shared" si="14"/>
        <v>2.9699530888604689E-5</v>
      </c>
      <c r="G53" s="123">
        <f t="shared" si="15"/>
        <v>9.5000000000000005E-5</v>
      </c>
      <c r="I53" s="6"/>
      <c r="J53" s="117">
        <f t="shared" si="9"/>
        <v>5.6688629001638455E-6</v>
      </c>
      <c r="K53" s="125"/>
      <c r="L53" s="125">
        <f t="shared" si="16"/>
        <v>8.5315798800000005E-6</v>
      </c>
      <c r="M53" s="125">
        <f t="shared" si="17"/>
        <v>6.0059113067518888E-6</v>
      </c>
      <c r="N53" s="43"/>
    </row>
    <row r="54" spans="1:14" x14ac:dyDescent="0.3">
      <c r="A54" s="40" t="s">
        <v>88</v>
      </c>
      <c r="B54" s="3" t="str">
        <f t="shared" si="10"/>
        <v>Lemons and limes</v>
      </c>
      <c r="C54" s="3" t="str">
        <f t="shared" si="11"/>
        <v>Fruits</v>
      </c>
      <c r="D54" s="41" t="str">
        <f t="shared" si="12"/>
        <v>No</v>
      </c>
      <c r="E54" s="127" t="str">
        <f t="shared" si="13"/>
        <v/>
      </c>
      <c r="F54" s="119" t="str">
        <f t="shared" si="14"/>
        <v/>
      </c>
      <c r="G54" s="123" t="str">
        <f t="shared" si="15"/>
        <v/>
      </c>
      <c r="I54" s="6"/>
      <c r="J54" s="117" t="str">
        <f t="shared" si="9"/>
        <v/>
      </c>
      <c r="K54" s="125"/>
      <c r="L54" s="125" t="str">
        <f t="shared" si="16"/>
        <v/>
      </c>
      <c r="M54" s="125" t="str">
        <f t="shared" si="17"/>
        <v/>
      </c>
      <c r="N54" s="43"/>
    </row>
    <row r="55" spans="1:14" x14ac:dyDescent="0.3">
      <c r="A55" s="40" t="s">
        <v>89</v>
      </c>
      <c r="B55" s="3" t="str">
        <f t="shared" si="10"/>
        <v>Lentils, dry</v>
      </c>
      <c r="C55" s="3" t="str">
        <f t="shared" si="11"/>
        <v>Pulses</v>
      </c>
      <c r="D55" s="41" t="str">
        <f t="shared" si="12"/>
        <v>Yes</v>
      </c>
      <c r="E55" s="127">
        <f t="shared" si="13"/>
        <v>2.136717264597855E-4</v>
      </c>
      <c r="F55" s="119">
        <f t="shared" si="14"/>
        <v>0</v>
      </c>
      <c r="G55" s="123">
        <f t="shared" si="15"/>
        <v>9.5000000000000005E-5</v>
      </c>
      <c r="H55" s="79"/>
      <c r="I55" s="6"/>
      <c r="J55" s="117">
        <f t="shared" si="9"/>
        <v>1.0390922666666668E-4</v>
      </c>
      <c r="K55" s="125"/>
      <c r="L55" s="125">
        <f t="shared" si="16"/>
        <v>2.5092881999999999E-7</v>
      </c>
      <c r="M55" s="125">
        <f t="shared" si="17"/>
        <v>1.4511570973118804E-5</v>
      </c>
      <c r="N55" s="43"/>
    </row>
    <row r="56" spans="1:14" x14ac:dyDescent="0.3">
      <c r="A56" s="40" t="s">
        <v>90</v>
      </c>
      <c r="B56" s="3" t="str">
        <f t="shared" si="10"/>
        <v>Lettuce and chicory</v>
      </c>
      <c r="C56" s="3" t="str">
        <f t="shared" si="11"/>
        <v>Vegetables</v>
      </c>
      <c r="D56" s="41" t="str">
        <f t="shared" si="12"/>
        <v>Yes</v>
      </c>
      <c r="E56" s="127">
        <f t="shared" si="13"/>
        <v>1.4609966133989215E-4</v>
      </c>
      <c r="F56" s="119">
        <f t="shared" si="14"/>
        <v>2.6045619442554978E-5</v>
      </c>
      <c r="G56" s="123">
        <f t="shared" si="15"/>
        <v>9.5000000000000005E-5</v>
      </c>
      <c r="H56" s="79"/>
      <c r="I56" s="6"/>
      <c r="J56" s="117">
        <f t="shared" si="9"/>
        <v>1.0516550710585298E-5</v>
      </c>
      <c r="K56" s="125"/>
      <c r="L56" s="125">
        <f t="shared" si="16"/>
        <v>8.5315798800000005E-6</v>
      </c>
      <c r="M56" s="125">
        <f t="shared" si="17"/>
        <v>6.0059113067518888E-6</v>
      </c>
      <c r="N56" s="43"/>
    </row>
    <row r="57" spans="1:14" x14ac:dyDescent="0.3">
      <c r="A57" s="40" t="s">
        <v>91</v>
      </c>
      <c r="B57" s="3" t="str">
        <f t="shared" si="10"/>
        <v>Linseed</v>
      </c>
      <c r="C57" s="3" t="str">
        <f t="shared" si="11"/>
        <v>Seeds</v>
      </c>
      <c r="D57" s="41" t="str">
        <f t="shared" si="12"/>
        <v>Yes</v>
      </c>
      <c r="E57" s="127">
        <f t="shared" si="13"/>
        <v>3.7977237448899261E-4</v>
      </c>
      <c r="F57" s="119">
        <f t="shared" si="14"/>
        <v>1.5034523547944955E-4</v>
      </c>
      <c r="G57" s="123">
        <f t="shared" si="15"/>
        <v>9.5000000000000005E-5</v>
      </c>
      <c r="I57" s="6"/>
      <c r="J57" s="117">
        <f t="shared" si="9"/>
        <v>4.9153640796424232E-5</v>
      </c>
      <c r="K57" s="125"/>
      <c r="L57" s="125">
        <f t="shared" si="16"/>
        <v>7.0761927240000001E-5</v>
      </c>
      <c r="M57" s="125">
        <f t="shared" si="17"/>
        <v>1.4511570973118804E-5</v>
      </c>
      <c r="N57" s="43"/>
    </row>
    <row r="58" spans="1:14" x14ac:dyDescent="0.3">
      <c r="A58" s="40" t="s">
        <v>92</v>
      </c>
      <c r="B58" s="3" t="str">
        <f t="shared" si="10"/>
        <v>Lupins</v>
      </c>
      <c r="C58" s="3" t="str">
        <f t="shared" si="11"/>
        <v>Pulses</v>
      </c>
      <c r="D58" s="41" t="str">
        <f t="shared" si="12"/>
        <v>No</v>
      </c>
      <c r="E58" s="127" t="str">
        <f t="shared" si="13"/>
        <v/>
      </c>
      <c r="F58" s="119" t="str">
        <f t="shared" si="14"/>
        <v/>
      </c>
      <c r="G58" s="123" t="str">
        <f t="shared" si="15"/>
        <v/>
      </c>
      <c r="H58" s="79"/>
      <c r="I58" s="6"/>
      <c r="J58" s="117" t="str">
        <f t="shared" si="9"/>
        <v/>
      </c>
      <c r="K58" s="125"/>
      <c r="L58" s="125" t="str">
        <f t="shared" si="16"/>
        <v/>
      </c>
      <c r="M58" s="125" t="str">
        <f t="shared" si="17"/>
        <v/>
      </c>
      <c r="N58" s="43"/>
    </row>
    <row r="59" spans="1:14" x14ac:dyDescent="0.3">
      <c r="A59" s="40" t="s">
        <v>93</v>
      </c>
      <c r="B59" s="3" t="str">
        <f t="shared" si="10"/>
        <v>Maize (corn)</v>
      </c>
      <c r="C59" s="3" t="str">
        <f t="shared" si="11"/>
        <v>Cereals, incl feed</v>
      </c>
      <c r="D59" s="41" t="str">
        <f t="shared" si="12"/>
        <v>Yes</v>
      </c>
      <c r="E59" s="127">
        <f t="shared" si="13"/>
        <v>2.1322924781678643E-4</v>
      </c>
      <c r="F59" s="119">
        <f t="shared" si="14"/>
        <v>7.8813838323300297E-5</v>
      </c>
      <c r="G59" s="123">
        <f t="shared" si="15"/>
        <v>9.5000000000000005E-5</v>
      </c>
      <c r="H59" s="79"/>
      <c r="I59" s="6"/>
      <c r="J59" s="117">
        <f t="shared" si="9"/>
        <v>1.2357397520367332E-5</v>
      </c>
      <c r="K59" s="125"/>
      <c r="L59" s="125">
        <f t="shared" si="16"/>
        <v>1.2546440999999999E-5</v>
      </c>
      <c r="M59" s="125">
        <f t="shared" si="17"/>
        <v>1.4511570973118804E-5</v>
      </c>
      <c r="N59" s="43"/>
    </row>
    <row r="60" spans="1:14" x14ac:dyDescent="0.3">
      <c r="A60" s="40" t="s">
        <v>94</v>
      </c>
      <c r="B60" s="3" t="str">
        <f t="shared" si="10"/>
        <v>Mangoes, guavas and mangosteens</v>
      </c>
      <c r="C60" s="3" t="str">
        <f t="shared" si="11"/>
        <v>Fruits</v>
      </c>
      <c r="D60" s="41" t="str">
        <f t="shared" si="12"/>
        <v>No</v>
      </c>
      <c r="E60" s="127" t="str">
        <f t="shared" si="13"/>
        <v/>
      </c>
      <c r="F60" s="119" t="str">
        <f t="shared" si="14"/>
        <v/>
      </c>
      <c r="G60" s="123" t="str">
        <f t="shared" si="15"/>
        <v/>
      </c>
      <c r="I60" s="6"/>
      <c r="J60" s="117" t="str">
        <f t="shared" si="9"/>
        <v/>
      </c>
      <c r="K60" s="125"/>
      <c r="L60" s="125" t="str">
        <f t="shared" si="16"/>
        <v/>
      </c>
      <c r="M60" s="125" t="str">
        <f t="shared" si="17"/>
        <v/>
      </c>
      <c r="N60" s="43"/>
    </row>
    <row r="61" spans="1:14" x14ac:dyDescent="0.3">
      <c r="A61" s="40" t="s">
        <v>95</v>
      </c>
      <c r="B61" s="3" t="str">
        <f t="shared" si="10"/>
        <v>Millet</v>
      </c>
      <c r="C61" s="3" t="str">
        <f t="shared" si="11"/>
        <v>Cereals</v>
      </c>
      <c r="D61" s="41" t="str">
        <f t="shared" si="12"/>
        <v>No</v>
      </c>
      <c r="E61" s="127" t="str">
        <f t="shared" si="13"/>
        <v/>
      </c>
      <c r="F61" s="119" t="str">
        <f t="shared" si="14"/>
        <v/>
      </c>
      <c r="G61" s="123" t="str">
        <f t="shared" si="15"/>
        <v/>
      </c>
      <c r="I61" s="6"/>
      <c r="J61" s="117" t="str">
        <f t="shared" si="9"/>
        <v/>
      </c>
      <c r="K61" s="125"/>
      <c r="L61" s="125" t="str">
        <f t="shared" si="16"/>
        <v/>
      </c>
      <c r="M61" s="125" t="str">
        <f t="shared" si="17"/>
        <v/>
      </c>
      <c r="N61" s="43"/>
    </row>
    <row r="62" spans="1:14" x14ac:dyDescent="0.3">
      <c r="A62" s="40" t="s">
        <v>96</v>
      </c>
      <c r="B62" s="3" t="str">
        <f t="shared" si="10"/>
        <v>Mixed grain</v>
      </c>
      <c r="C62" s="3" t="str">
        <f t="shared" si="11"/>
        <v>Cereals</v>
      </c>
      <c r="D62" s="41" t="str">
        <f t="shared" si="12"/>
        <v>No</v>
      </c>
      <c r="E62" s="127" t="str">
        <f t="shared" si="13"/>
        <v/>
      </c>
      <c r="F62" s="119" t="str">
        <f t="shared" si="14"/>
        <v/>
      </c>
      <c r="G62" s="123" t="str">
        <f t="shared" si="15"/>
        <v/>
      </c>
      <c r="I62" s="6"/>
      <c r="J62" s="117" t="str">
        <f t="shared" si="9"/>
        <v/>
      </c>
      <c r="K62" s="125"/>
      <c r="L62" s="125" t="str">
        <f t="shared" si="16"/>
        <v/>
      </c>
      <c r="M62" s="125" t="str">
        <f t="shared" si="17"/>
        <v/>
      </c>
      <c r="N62" s="43"/>
    </row>
    <row r="63" spans="1:14" x14ac:dyDescent="0.3">
      <c r="A63" s="40" t="s">
        <v>97</v>
      </c>
      <c r="B63" s="3" t="str">
        <f t="shared" si="10"/>
        <v>Mushrooms and truffles</v>
      </c>
      <c r="C63" s="3" t="str">
        <f t="shared" si="11"/>
        <v>Mushrooms</v>
      </c>
      <c r="D63" s="41" t="str">
        <f t="shared" si="12"/>
        <v>No</v>
      </c>
      <c r="E63" s="127" t="str">
        <f t="shared" si="13"/>
        <v/>
      </c>
      <c r="F63" s="119" t="str">
        <f t="shared" si="14"/>
        <v/>
      </c>
      <c r="G63" s="123" t="str">
        <f t="shared" si="15"/>
        <v/>
      </c>
      <c r="H63" s="79"/>
      <c r="I63" s="6"/>
      <c r="J63" s="117" t="str">
        <f t="shared" si="9"/>
        <v/>
      </c>
      <c r="K63" s="125"/>
      <c r="L63" s="125" t="str">
        <f t="shared" si="16"/>
        <v/>
      </c>
      <c r="M63" s="125" t="str">
        <f t="shared" si="17"/>
        <v/>
      </c>
      <c r="N63" s="43"/>
    </row>
    <row r="64" spans="1:14" x14ac:dyDescent="0.3">
      <c r="A64" s="40" t="s">
        <v>98</v>
      </c>
      <c r="B64" s="3" t="str">
        <f t="shared" si="10"/>
        <v>Oats</v>
      </c>
      <c r="C64" s="3" t="str">
        <f t="shared" si="11"/>
        <v>Cereals, incl feed</v>
      </c>
      <c r="D64" s="41" t="str">
        <f t="shared" si="12"/>
        <v>Yes</v>
      </c>
      <c r="E64" s="127">
        <f t="shared" si="13"/>
        <v>2.0152510969407954E-4</v>
      </c>
      <c r="F64" s="119">
        <f t="shared" si="14"/>
        <v>7.1337334258139015E-5</v>
      </c>
      <c r="G64" s="123">
        <f t="shared" si="15"/>
        <v>9.5000000000000005E-5</v>
      </c>
      <c r="H64" s="79"/>
      <c r="I64" s="6"/>
      <c r="J64" s="117">
        <f t="shared" si="9"/>
        <v>2.0676204462821701E-5</v>
      </c>
      <c r="K64" s="125"/>
      <c r="L64" s="125">
        <f t="shared" si="16"/>
        <v>0</v>
      </c>
      <c r="M64" s="125">
        <f t="shared" si="17"/>
        <v>1.4511570973118804E-5</v>
      </c>
      <c r="N64" s="43"/>
    </row>
    <row r="65" spans="1:14" x14ac:dyDescent="0.3">
      <c r="A65" s="40" t="s">
        <v>99</v>
      </c>
      <c r="B65" s="3" t="str">
        <f t="shared" si="10"/>
        <v>Oil palm fruit</v>
      </c>
      <c r="C65" s="3" t="str">
        <f t="shared" si="11"/>
        <v>Oil crops, tree</v>
      </c>
      <c r="D65" s="41" t="str">
        <f t="shared" si="12"/>
        <v>No</v>
      </c>
      <c r="E65" s="127" t="str">
        <f t="shared" si="13"/>
        <v/>
      </c>
      <c r="F65" s="119" t="str">
        <f t="shared" si="14"/>
        <v/>
      </c>
      <c r="G65" s="123" t="str">
        <f t="shared" si="15"/>
        <v/>
      </c>
      <c r="I65" s="6"/>
      <c r="J65" s="117" t="str">
        <f t="shared" si="9"/>
        <v/>
      </c>
      <c r="K65" s="125"/>
      <c r="L65" s="125" t="str">
        <f t="shared" si="16"/>
        <v/>
      </c>
      <c r="M65" s="125" t="str">
        <f t="shared" si="17"/>
        <v/>
      </c>
      <c r="N65" s="43"/>
    </row>
    <row r="66" spans="1:14" x14ac:dyDescent="0.3">
      <c r="A66" s="40" t="s">
        <v>100</v>
      </c>
      <c r="B66" s="3" t="str">
        <f t="shared" si="10"/>
        <v>Olives</v>
      </c>
      <c r="C66" s="3" t="str">
        <f t="shared" si="11"/>
        <v>Oil crops, tree</v>
      </c>
      <c r="D66" s="41" t="str">
        <f t="shared" si="12"/>
        <v>No</v>
      </c>
      <c r="E66" s="127" t="str">
        <f t="shared" si="13"/>
        <v/>
      </c>
      <c r="F66" s="119" t="str">
        <f t="shared" si="14"/>
        <v/>
      </c>
      <c r="G66" s="123" t="str">
        <f t="shared" si="15"/>
        <v/>
      </c>
      <c r="H66" s="79"/>
      <c r="I66" s="6"/>
      <c r="J66" s="117" t="str">
        <f t="shared" si="9"/>
        <v/>
      </c>
      <c r="K66" s="125"/>
      <c r="L66" s="125" t="str">
        <f t="shared" si="16"/>
        <v/>
      </c>
      <c r="M66" s="125" t="str">
        <f t="shared" si="17"/>
        <v/>
      </c>
      <c r="N66" s="43"/>
    </row>
    <row r="67" spans="1:14" x14ac:dyDescent="0.3">
      <c r="A67" s="40" t="s">
        <v>101</v>
      </c>
      <c r="B67" s="3" t="str">
        <f t="shared" si="10"/>
        <v>Onions and shallots, dry (excluding dehydrated)</v>
      </c>
      <c r="C67" s="3" t="str">
        <f t="shared" si="11"/>
        <v>Vegetables</v>
      </c>
      <c r="D67" s="41" t="str">
        <f t="shared" si="12"/>
        <v>Yes</v>
      </c>
      <c r="E67" s="127">
        <f t="shared" si="13"/>
        <v>1.2504892890517321E-4</v>
      </c>
      <c r="F67" s="119">
        <f t="shared" si="14"/>
        <v>1.2397893177463468E-5</v>
      </c>
      <c r="G67" s="123">
        <f t="shared" si="15"/>
        <v>9.5000000000000005E-5</v>
      </c>
      <c r="I67" s="6"/>
      <c r="J67" s="117">
        <f t="shared" ref="J67:J98" si="18">IF(D67="YES",INDEX(Crop_data,MATCH(A67,Crop_data_codes,0),11)*Heating_value_diesel*EF_diesel_CH4/INDEX(Crop_data,MATCH(A67,Crop_data_codes,0),6),"")</f>
        <v>3.615403275770295E-6</v>
      </c>
      <c r="K67" s="125"/>
      <c r="L67" s="125">
        <f t="shared" si="16"/>
        <v>8.0297211451875673E-6</v>
      </c>
      <c r="M67" s="125">
        <f t="shared" si="17"/>
        <v>6.0059113067518888E-6</v>
      </c>
      <c r="N67" s="43"/>
    </row>
    <row r="68" spans="1:14" x14ac:dyDescent="0.3">
      <c r="A68" s="40" t="s">
        <v>102</v>
      </c>
      <c r="B68" s="3" t="str">
        <f t="shared" si="10"/>
        <v>Oranges</v>
      </c>
      <c r="C68" s="3" t="str">
        <f t="shared" si="11"/>
        <v>Fruits</v>
      </c>
      <c r="D68" s="41" t="str">
        <f t="shared" si="12"/>
        <v>No</v>
      </c>
      <c r="E68" s="127" t="str">
        <f t="shared" si="13"/>
        <v/>
      </c>
      <c r="F68" s="119" t="str">
        <f t="shared" si="14"/>
        <v/>
      </c>
      <c r="G68" s="123" t="str">
        <f t="shared" si="15"/>
        <v/>
      </c>
      <c r="H68" s="79"/>
      <c r="I68" s="6"/>
      <c r="J68" s="117" t="str">
        <f t="shared" si="18"/>
        <v/>
      </c>
      <c r="K68" s="125"/>
      <c r="L68" s="125" t="str">
        <f t="shared" si="16"/>
        <v/>
      </c>
      <c r="M68" s="125" t="str">
        <f t="shared" si="17"/>
        <v/>
      </c>
      <c r="N68" s="43"/>
    </row>
    <row r="69" spans="1:14" x14ac:dyDescent="0.3">
      <c r="A69" s="40" t="s">
        <v>103</v>
      </c>
      <c r="B69" s="3" t="str">
        <f t="shared" si="10"/>
        <v>Other beans, green</v>
      </c>
      <c r="C69" s="3" t="str">
        <f t="shared" si="11"/>
        <v>Vegetables</v>
      </c>
      <c r="D69" s="41" t="str">
        <f t="shared" si="12"/>
        <v>Yes</v>
      </c>
      <c r="E69" s="127">
        <f t="shared" si="13"/>
        <v>1.3263984685999274E-4</v>
      </c>
      <c r="F69" s="119">
        <f t="shared" si="14"/>
        <v>3.0881554471772588E-6</v>
      </c>
      <c r="G69" s="123">
        <f t="shared" si="15"/>
        <v>9.5000000000000005E-5</v>
      </c>
      <c r="I69" s="6"/>
      <c r="J69" s="117">
        <f t="shared" si="18"/>
        <v>2.8294851286063574E-5</v>
      </c>
      <c r="K69" s="125"/>
      <c r="L69" s="125">
        <f t="shared" si="16"/>
        <v>2.5092881999999999E-7</v>
      </c>
      <c r="M69" s="125">
        <f t="shared" si="17"/>
        <v>6.0059113067518888E-6</v>
      </c>
      <c r="N69" s="43"/>
    </row>
    <row r="70" spans="1:14" x14ac:dyDescent="0.3">
      <c r="A70" s="40" t="s">
        <v>104</v>
      </c>
      <c r="B70" s="3" t="str">
        <f t="shared" ref="B70:B101" si="19">INDEX(Crop_data,MATCH(A70,Crop_data_codes,0),2)</f>
        <v>Other fruits, n.e.c.</v>
      </c>
      <c r="C70" s="3" t="str">
        <f t="shared" ref="C70:C101" si="20">INDEX(Crop_data,MATCH(A70,Crop_data_codes,0),3)</f>
        <v>Fruits</v>
      </c>
      <c r="D70" s="41" t="str">
        <f t="shared" ref="D70:D101" si="21">INDEX(Crop_data,MATCH(A70,Crop_data_codes,0),4)</f>
        <v>No</v>
      </c>
      <c r="E70" s="127" t="str">
        <f t="shared" ref="E70:E101" si="22">IF(D70="Yes", SUM(F70:N70),"")</f>
        <v/>
      </c>
      <c r="F70" s="119" t="str">
        <f t="shared" ref="F70:F101" si="23">IF(D70="YES",INDEX(Crop_data,MATCH(A70,Crop_data_codes,0),7)*(Frac_BAT*EF_min_fert_BAT_CH4+Frac_AN*EF_min_fert_AN_CH4)/INDEX(Crop_data,MATCH(A70,Crop_data_codes,0),6),"")</f>
        <v/>
      </c>
      <c r="G70" s="123" t="str">
        <f t="shared" ref="G70:G101" si="24">IF(D70="YES",EF_capital_goods_CH4,"")</f>
        <v/>
      </c>
      <c r="I70" s="6"/>
      <c r="J70" s="117" t="str">
        <f t="shared" si="18"/>
        <v/>
      </c>
      <c r="K70" s="125"/>
      <c r="L70" s="125" t="str">
        <f t="shared" si="16"/>
        <v/>
      </c>
      <c r="M70" s="125" t="str">
        <f t="shared" si="17"/>
        <v/>
      </c>
      <c r="N70" s="43"/>
    </row>
    <row r="71" spans="1:14" x14ac:dyDescent="0.3">
      <c r="A71" s="40" t="s">
        <v>105</v>
      </c>
      <c r="B71" s="3" t="str">
        <f t="shared" si="19"/>
        <v>Other oil seeds, n.e.c.</v>
      </c>
      <c r="C71" s="3" t="str">
        <f t="shared" si="20"/>
        <v>Oil crops</v>
      </c>
      <c r="D71" s="41" t="str">
        <f t="shared" si="21"/>
        <v>No</v>
      </c>
      <c r="E71" s="127" t="str">
        <f t="shared" si="22"/>
        <v/>
      </c>
      <c r="F71" s="119" t="str">
        <f t="shared" si="23"/>
        <v/>
      </c>
      <c r="G71" s="123" t="str">
        <f t="shared" si="24"/>
        <v/>
      </c>
      <c r="H71" s="79"/>
      <c r="I71" s="6"/>
      <c r="J71" s="117" t="str">
        <f t="shared" si="18"/>
        <v/>
      </c>
      <c r="K71" s="125"/>
      <c r="L71" s="125" t="str">
        <f t="shared" si="16"/>
        <v/>
      </c>
      <c r="M71" s="125" t="str">
        <f t="shared" si="17"/>
        <v/>
      </c>
      <c r="N71" s="43"/>
    </row>
    <row r="72" spans="1:14" x14ac:dyDescent="0.3">
      <c r="A72" s="40" t="s">
        <v>106</v>
      </c>
      <c r="B72" s="3" t="str">
        <f t="shared" si="19"/>
        <v>Other pulses n.e.c.</v>
      </c>
      <c r="C72" s="3" t="str">
        <f t="shared" si="20"/>
        <v>Pulses</v>
      </c>
      <c r="D72" s="41" t="str">
        <f t="shared" si="21"/>
        <v>Yes</v>
      </c>
      <c r="E72" s="127">
        <f t="shared" si="22"/>
        <v>1.6506111402821611E-4</v>
      </c>
      <c r="F72" s="119">
        <f t="shared" si="23"/>
        <v>5.2762869806049954E-6</v>
      </c>
      <c r="G72" s="123">
        <f t="shared" si="24"/>
        <v>9.5000000000000005E-5</v>
      </c>
      <c r="I72" s="6"/>
      <c r="J72" s="117">
        <f t="shared" si="18"/>
        <v>5.002232725449228E-5</v>
      </c>
      <c r="K72" s="125"/>
      <c r="L72" s="125">
        <f t="shared" ref="L72:L105" si="25">IF(D72="YES",INDEX(Crop_data,MATCH(A72,Crop_data_codes,0),12)*EF_irrigation_CH4/INDEX(Crop_data,MATCH(A72,Crop_data_codes,0),6),"")</f>
        <v>2.5092881999999999E-7</v>
      </c>
      <c r="M72" s="125">
        <f t="shared" ref="M72:M103" si="26">IF(D72="Yes",INDEX(Post_harvest_energy_data,MATCH(C72,Post_harvest_energy_categories,0),2)*EF_heating_oil_CH4+INDEX(Post_harvest_energy_data,MATCH(C72,Post_harvest_energy_categories,0),3)*EF_electricity_CH4+INDEX(Post_harvest_energy_data,MATCH(C72,Post_harvest_energy_categories,0),4)*EF_chips_CH4,"")</f>
        <v>1.4511570973118804E-5</v>
      </c>
      <c r="N72" s="43"/>
    </row>
    <row r="73" spans="1:14" x14ac:dyDescent="0.3">
      <c r="A73" s="40" t="s">
        <v>107</v>
      </c>
      <c r="B73" s="3" t="str">
        <f t="shared" si="19"/>
        <v>Other stimulant, spice and aromatic crops, n.e.c.</v>
      </c>
      <c r="C73" s="3" t="str">
        <f t="shared" si="20"/>
        <v>Stimulants</v>
      </c>
      <c r="D73" s="41" t="str">
        <f t="shared" si="21"/>
        <v>No</v>
      </c>
      <c r="E73" s="127" t="str">
        <f t="shared" si="22"/>
        <v/>
      </c>
      <c r="F73" s="119" t="str">
        <f t="shared" si="23"/>
        <v/>
      </c>
      <c r="G73" s="123" t="str">
        <f t="shared" si="24"/>
        <v/>
      </c>
      <c r="H73" s="79"/>
      <c r="I73" s="6"/>
      <c r="J73" s="117" t="str">
        <f t="shared" si="18"/>
        <v/>
      </c>
      <c r="K73" s="125"/>
      <c r="L73" s="125" t="str">
        <f t="shared" si="25"/>
        <v/>
      </c>
      <c r="M73" s="125" t="str">
        <f t="shared" si="26"/>
        <v/>
      </c>
      <c r="N73" s="43"/>
    </row>
    <row r="74" spans="1:14" x14ac:dyDescent="0.3">
      <c r="A74" s="40" t="s">
        <v>108</v>
      </c>
      <c r="B74" s="3" t="str">
        <f t="shared" si="19"/>
        <v>Other vegetables, fresh n.e.c.</v>
      </c>
      <c r="C74" s="3" t="str">
        <f t="shared" si="20"/>
        <v>Vegetables</v>
      </c>
      <c r="D74" s="41" t="str">
        <f t="shared" si="21"/>
        <v>Yes</v>
      </c>
      <c r="E74" s="127">
        <f t="shared" si="22"/>
        <v>1.6605164150286752E-4</v>
      </c>
      <c r="F74" s="119">
        <f t="shared" si="23"/>
        <v>4.9156394727025373E-5</v>
      </c>
      <c r="G74" s="123">
        <f t="shared" si="24"/>
        <v>9.5000000000000005E-5</v>
      </c>
      <c r="I74" s="6"/>
      <c r="J74" s="117">
        <f t="shared" si="18"/>
        <v>1.5638406649090261E-5</v>
      </c>
      <c r="K74" s="125"/>
      <c r="L74" s="125">
        <f t="shared" si="25"/>
        <v>2.5092881999999999E-7</v>
      </c>
      <c r="M74" s="125">
        <f t="shared" si="26"/>
        <v>6.0059113067518888E-6</v>
      </c>
      <c r="N74" s="43"/>
    </row>
    <row r="75" spans="1:14" x14ac:dyDescent="0.3">
      <c r="A75" s="40" t="s">
        <v>109</v>
      </c>
      <c r="B75" s="3" t="str">
        <f t="shared" si="19"/>
        <v>Papayas</v>
      </c>
      <c r="C75" s="3" t="str">
        <f t="shared" si="20"/>
        <v>Fruits</v>
      </c>
      <c r="D75" s="41" t="str">
        <f t="shared" si="21"/>
        <v>No</v>
      </c>
      <c r="E75" s="127" t="str">
        <f t="shared" si="22"/>
        <v/>
      </c>
      <c r="F75" s="119" t="str">
        <f t="shared" si="23"/>
        <v/>
      </c>
      <c r="G75" s="123" t="str">
        <f t="shared" si="24"/>
        <v/>
      </c>
      <c r="I75" s="6"/>
      <c r="J75" s="117" t="str">
        <f t="shared" si="18"/>
        <v/>
      </c>
      <c r="K75" s="125"/>
      <c r="L75" s="125" t="str">
        <f t="shared" si="25"/>
        <v/>
      </c>
      <c r="M75" s="125" t="str">
        <f t="shared" si="26"/>
        <v/>
      </c>
      <c r="N75" s="43"/>
    </row>
    <row r="76" spans="1:14" x14ac:dyDescent="0.3">
      <c r="A76" s="40" t="s">
        <v>110</v>
      </c>
      <c r="B76" s="3" t="str">
        <f t="shared" si="19"/>
        <v>Peaches and nectarines</v>
      </c>
      <c r="C76" s="3" t="str">
        <f t="shared" si="20"/>
        <v>Fruits</v>
      </c>
      <c r="D76" s="41" t="str">
        <f t="shared" si="21"/>
        <v>No</v>
      </c>
      <c r="E76" s="127" t="str">
        <f t="shared" si="22"/>
        <v/>
      </c>
      <c r="F76" s="119" t="str">
        <f t="shared" si="23"/>
        <v/>
      </c>
      <c r="G76" s="123" t="str">
        <f t="shared" si="24"/>
        <v/>
      </c>
      <c r="H76" s="79"/>
      <c r="I76" s="6"/>
      <c r="J76" s="117" t="str">
        <f t="shared" si="18"/>
        <v/>
      </c>
      <c r="K76" s="125"/>
      <c r="L76" s="125" t="str">
        <f t="shared" si="25"/>
        <v/>
      </c>
      <c r="M76" s="125" t="str">
        <f t="shared" si="26"/>
        <v/>
      </c>
      <c r="N76" s="43"/>
    </row>
    <row r="77" spans="1:14" x14ac:dyDescent="0.3">
      <c r="A77" s="40" t="s">
        <v>111</v>
      </c>
      <c r="B77" s="3" t="str">
        <f t="shared" si="19"/>
        <v>Pears</v>
      </c>
      <c r="C77" s="3" t="str">
        <f t="shared" si="20"/>
        <v>Fruits</v>
      </c>
      <c r="D77" s="41" t="str">
        <f t="shared" si="21"/>
        <v>Yes</v>
      </c>
      <c r="E77" s="127">
        <f t="shared" si="22"/>
        <v>1.8488312256183167E-4</v>
      </c>
      <c r="F77" s="119">
        <f t="shared" si="23"/>
        <v>1.1998214437370434E-5</v>
      </c>
      <c r="G77" s="123">
        <f t="shared" si="24"/>
        <v>9.5000000000000005E-5</v>
      </c>
      <c r="H77" s="79"/>
      <c r="I77" s="6"/>
      <c r="J77" s="117">
        <f t="shared" si="18"/>
        <v>3.3737816177709326E-5</v>
      </c>
      <c r="K77" s="125"/>
      <c r="L77" s="125">
        <f t="shared" si="25"/>
        <v>3.8141180640000001E-5</v>
      </c>
      <c r="M77" s="125">
        <f t="shared" si="26"/>
        <v>6.0059113067518888E-6</v>
      </c>
      <c r="N77" s="43"/>
    </row>
    <row r="78" spans="1:14" x14ac:dyDescent="0.3">
      <c r="A78" s="40" t="s">
        <v>112</v>
      </c>
      <c r="B78" s="3" t="str">
        <f t="shared" si="19"/>
        <v>Peas, dry</v>
      </c>
      <c r="C78" s="3" t="str">
        <f t="shared" si="20"/>
        <v>Pulses, incl feed</v>
      </c>
      <c r="D78" s="41" t="str">
        <f t="shared" si="21"/>
        <v>Yes</v>
      </c>
      <c r="E78" s="127">
        <f t="shared" si="22"/>
        <v>1.3501775178985113E-4</v>
      </c>
      <c r="F78" s="119">
        <f t="shared" si="23"/>
        <v>0</v>
      </c>
      <c r="G78" s="123">
        <f t="shared" si="24"/>
        <v>9.5000000000000005E-5</v>
      </c>
      <c r="H78" s="79"/>
      <c r="I78" s="6"/>
      <c r="J78" s="117">
        <f t="shared" si="18"/>
        <v>2.5255251996732317E-5</v>
      </c>
      <c r="K78" s="125"/>
      <c r="L78" s="125">
        <f t="shared" si="25"/>
        <v>2.5092881999999999E-7</v>
      </c>
      <c r="M78" s="125">
        <f t="shared" si="26"/>
        <v>1.4511570973118804E-5</v>
      </c>
      <c r="N78" s="43"/>
    </row>
    <row r="79" spans="1:14" x14ac:dyDescent="0.3">
      <c r="A79" s="40" t="s">
        <v>113</v>
      </c>
      <c r="B79" s="3" t="str">
        <f t="shared" si="19"/>
        <v>Peas, green</v>
      </c>
      <c r="C79" s="3" t="str">
        <f t="shared" si="20"/>
        <v>Vegetables</v>
      </c>
      <c r="D79" s="41" t="str">
        <f t="shared" si="21"/>
        <v>Yes</v>
      </c>
      <c r="E79" s="127">
        <f t="shared" si="22"/>
        <v>1.1988255232121806E-4</v>
      </c>
      <c r="F79" s="119">
        <f t="shared" si="23"/>
        <v>0</v>
      </c>
      <c r="G79" s="123">
        <f t="shared" si="24"/>
        <v>9.5000000000000005E-5</v>
      </c>
      <c r="I79" s="6"/>
      <c r="J79" s="117">
        <f t="shared" si="18"/>
        <v>1.8625712194466164E-5</v>
      </c>
      <c r="K79" s="125"/>
      <c r="L79" s="125">
        <f t="shared" si="25"/>
        <v>2.5092882000000005E-7</v>
      </c>
      <c r="M79" s="125">
        <f t="shared" si="26"/>
        <v>6.0059113067518888E-6</v>
      </c>
      <c r="N79" s="43"/>
    </row>
    <row r="80" spans="1:14" x14ac:dyDescent="0.3">
      <c r="A80" s="40" t="s">
        <v>114</v>
      </c>
      <c r="B80" s="3" t="str">
        <f t="shared" si="19"/>
        <v>Pepper (Piper spp.), raw</v>
      </c>
      <c r="C80" s="3" t="str">
        <f t="shared" si="20"/>
        <v>Vegetables</v>
      </c>
      <c r="D80" s="41" t="str">
        <f t="shared" si="21"/>
        <v>No</v>
      </c>
      <c r="E80" s="127" t="str">
        <f t="shared" si="22"/>
        <v/>
      </c>
      <c r="F80" s="119" t="str">
        <f t="shared" si="23"/>
        <v/>
      </c>
      <c r="G80" s="123" t="str">
        <f t="shared" si="24"/>
        <v/>
      </c>
      <c r="I80" s="6"/>
      <c r="J80" s="117" t="str">
        <f t="shared" si="18"/>
        <v/>
      </c>
      <c r="K80" s="125"/>
      <c r="L80" s="125" t="str">
        <f t="shared" si="25"/>
        <v/>
      </c>
      <c r="M80" s="125" t="str">
        <f t="shared" si="26"/>
        <v/>
      </c>
      <c r="N80" s="43"/>
    </row>
    <row r="81" spans="1:14" x14ac:dyDescent="0.3">
      <c r="A81" s="40" t="s">
        <v>115</v>
      </c>
      <c r="B81" s="3" t="str">
        <f t="shared" si="19"/>
        <v>Pineapples</v>
      </c>
      <c r="C81" s="3" t="str">
        <f t="shared" si="20"/>
        <v>Fruits</v>
      </c>
      <c r="D81" s="41" t="str">
        <f t="shared" si="21"/>
        <v>No</v>
      </c>
      <c r="E81" s="127" t="str">
        <f t="shared" si="22"/>
        <v/>
      </c>
      <c r="F81" s="119" t="str">
        <f t="shared" si="23"/>
        <v/>
      </c>
      <c r="G81" s="123" t="str">
        <f t="shared" si="24"/>
        <v/>
      </c>
      <c r="I81" s="6"/>
      <c r="J81" s="117" t="str">
        <f t="shared" si="18"/>
        <v/>
      </c>
      <c r="K81" s="125"/>
      <c r="L81" s="125" t="str">
        <f t="shared" si="25"/>
        <v/>
      </c>
      <c r="M81" s="125" t="str">
        <f t="shared" si="26"/>
        <v/>
      </c>
      <c r="N81" s="43"/>
    </row>
    <row r="82" spans="1:14" x14ac:dyDescent="0.3">
      <c r="A82" s="40" t="s">
        <v>116</v>
      </c>
      <c r="B82" s="3" t="str">
        <f t="shared" si="19"/>
        <v>Plantains and cooking bananas</v>
      </c>
      <c r="C82" s="3" t="str">
        <f t="shared" si="20"/>
        <v>Fruits</v>
      </c>
      <c r="D82" s="41" t="str">
        <f t="shared" si="21"/>
        <v>No</v>
      </c>
      <c r="E82" s="127" t="str">
        <f t="shared" si="22"/>
        <v/>
      </c>
      <c r="F82" s="119" t="str">
        <f t="shared" si="23"/>
        <v/>
      </c>
      <c r="G82" s="123" t="str">
        <f t="shared" si="24"/>
        <v/>
      </c>
      <c r="H82" s="79"/>
      <c r="I82" s="6"/>
      <c r="J82" s="117" t="str">
        <f t="shared" si="18"/>
        <v/>
      </c>
      <c r="K82" s="125"/>
      <c r="L82" s="125" t="str">
        <f t="shared" si="25"/>
        <v/>
      </c>
      <c r="M82" s="125" t="str">
        <f t="shared" si="26"/>
        <v/>
      </c>
      <c r="N82" s="43"/>
    </row>
    <row r="83" spans="1:14" x14ac:dyDescent="0.3">
      <c r="A83" s="40" t="s">
        <v>117</v>
      </c>
      <c r="B83" s="3" t="str">
        <f t="shared" si="19"/>
        <v>Plums and sloes</v>
      </c>
      <c r="C83" s="3" t="str">
        <f t="shared" si="20"/>
        <v>Fruits</v>
      </c>
      <c r="D83" s="41" t="str">
        <f t="shared" si="21"/>
        <v>Yes</v>
      </c>
      <c r="E83" s="127">
        <f t="shared" si="22"/>
        <v>2.5394252485934598E-4</v>
      </c>
      <c r="F83" s="119">
        <f t="shared" si="23"/>
        <v>2.6745978367139507E-5</v>
      </c>
      <c r="G83" s="123">
        <f t="shared" si="24"/>
        <v>9.5000000000000005E-5</v>
      </c>
      <c r="I83" s="6"/>
      <c r="J83" s="117">
        <f t="shared" si="18"/>
        <v>8.8049454545454549E-5</v>
      </c>
      <c r="K83" s="125"/>
      <c r="L83" s="125">
        <f t="shared" si="25"/>
        <v>3.8141180640000001E-5</v>
      </c>
      <c r="M83" s="125">
        <f t="shared" si="26"/>
        <v>6.0059113067518888E-6</v>
      </c>
      <c r="N83" s="43"/>
    </row>
    <row r="84" spans="1:14" x14ac:dyDescent="0.3">
      <c r="A84" s="40" t="s">
        <v>118</v>
      </c>
      <c r="B84" s="3" t="str">
        <f t="shared" si="19"/>
        <v>Pomelos and grapefruits</v>
      </c>
      <c r="C84" s="3" t="str">
        <f t="shared" si="20"/>
        <v>Fruits</v>
      </c>
      <c r="D84" s="41" t="str">
        <f t="shared" si="21"/>
        <v>No</v>
      </c>
      <c r="E84" s="127" t="str">
        <f t="shared" si="22"/>
        <v/>
      </c>
      <c r="F84" s="119" t="str">
        <f t="shared" si="23"/>
        <v/>
      </c>
      <c r="G84" s="123" t="str">
        <f t="shared" si="24"/>
        <v/>
      </c>
      <c r="I84" s="6"/>
      <c r="J84" s="117" t="str">
        <f t="shared" si="18"/>
        <v/>
      </c>
      <c r="K84" s="125"/>
      <c r="L84" s="125" t="str">
        <f t="shared" si="25"/>
        <v/>
      </c>
      <c r="M84" s="125" t="str">
        <f t="shared" si="26"/>
        <v/>
      </c>
      <c r="N84" s="43"/>
    </row>
    <row r="85" spans="1:14" x14ac:dyDescent="0.3">
      <c r="A85" s="40" t="s">
        <v>119</v>
      </c>
      <c r="B85" s="3" t="str">
        <f t="shared" si="19"/>
        <v>Poppy seed</v>
      </c>
      <c r="C85" s="3" t="str">
        <f t="shared" si="20"/>
        <v>Seeds</v>
      </c>
      <c r="D85" s="41" t="str">
        <f t="shared" si="21"/>
        <v>No</v>
      </c>
      <c r="E85" s="127" t="str">
        <f t="shared" si="22"/>
        <v/>
      </c>
      <c r="F85" s="119" t="str">
        <f t="shared" si="23"/>
        <v/>
      </c>
      <c r="G85" s="123" t="str">
        <f t="shared" si="24"/>
        <v/>
      </c>
      <c r="H85" s="79"/>
      <c r="I85" s="6"/>
      <c r="J85" s="117" t="str">
        <f t="shared" si="18"/>
        <v/>
      </c>
      <c r="K85" s="125"/>
      <c r="L85" s="125" t="str">
        <f t="shared" si="25"/>
        <v/>
      </c>
      <c r="M85" s="125" t="str">
        <f t="shared" si="26"/>
        <v/>
      </c>
      <c r="N85" s="43"/>
    </row>
    <row r="86" spans="1:14" x14ac:dyDescent="0.3">
      <c r="A86" s="40" t="s">
        <v>120</v>
      </c>
      <c r="B86" s="3" t="str">
        <f t="shared" si="19"/>
        <v>Potatoes</v>
      </c>
      <c r="C86" s="3" t="str">
        <f t="shared" si="20"/>
        <v>Roots</v>
      </c>
      <c r="D86" s="41" t="str">
        <f t="shared" si="21"/>
        <v>Yes</v>
      </c>
      <c r="E86" s="127">
        <f t="shared" si="22"/>
        <v>1.1976869440580975E-4</v>
      </c>
      <c r="F86" s="119">
        <f t="shared" si="23"/>
        <v>1.1589775068275872E-5</v>
      </c>
      <c r="G86" s="123">
        <f t="shared" si="24"/>
        <v>9.5000000000000005E-5</v>
      </c>
      <c r="H86" s="79"/>
      <c r="I86" s="6"/>
      <c r="J86" s="117">
        <f t="shared" si="18"/>
        <v>4.6637198307819792E-6</v>
      </c>
      <c r="K86" s="125"/>
      <c r="L86" s="125">
        <f t="shared" si="25"/>
        <v>2.5092881999999998E-6</v>
      </c>
      <c r="M86" s="125">
        <f t="shared" si="26"/>
        <v>6.0059113067518888E-6</v>
      </c>
      <c r="N86" s="43"/>
    </row>
    <row r="87" spans="1:14" x14ac:dyDescent="0.3">
      <c r="A87" s="40" t="s">
        <v>121</v>
      </c>
      <c r="B87" s="3" t="str">
        <f t="shared" si="19"/>
        <v>Pumpkins, squash and gourds</v>
      </c>
      <c r="C87" s="3" t="str">
        <f t="shared" si="20"/>
        <v>Vegetables</v>
      </c>
      <c r="D87" s="41" t="str">
        <f t="shared" si="21"/>
        <v>Yes</v>
      </c>
      <c r="E87" s="127">
        <f t="shared" si="22"/>
        <v>1.1982243309921901E-4</v>
      </c>
      <c r="F87" s="119">
        <f t="shared" si="23"/>
        <v>3.0858749796649001E-6</v>
      </c>
      <c r="G87" s="123">
        <f t="shared" si="24"/>
        <v>9.5000000000000005E-5</v>
      </c>
      <c r="I87" s="6"/>
      <c r="J87" s="117">
        <f t="shared" si="18"/>
        <v>7.1990669328022217E-6</v>
      </c>
      <c r="K87" s="125"/>
      <c r="L87" s="125">
        <f t="shared" si="25"/>
        <v>8.5315798800000005E-6</v>
      </c>
      <c r="M87" s="125">
        <f t="shared" si="26"/>
        <v>6.0059113067518888E-6</v>
      </c>
      <c r="N87" s="43"/>
    </row>
    <row r="88" spans="1:14" x14ac:dyDescent="0.3">
      <c r="A88" s="40" t="s">
        <v>122</v>
      </c>
      <c r="B88" s="3" t="str">
        <f t="shared" si="19"/>
        <v>Quinces</v>
      </c>
      <c r="C88" s="3" t="str">
        <f t="shared" si="20"/>
        <v>Other</v>
      </c>
      <c r="D88" s="41" t="str">
        <f t="shared" si="21"/>
        <v>No</v>
      </c>
      <c r="E88" s="127" t="str">
        <f t="shared" si="22"/>
        <v/>
      </c>
      <c r="F88" s="119" t="str">
        <f t="shared" si="23"/>
        <v/>
      </c>
      <c r="G88" s="123" t="str">
        <f t="shared" si="24"/>
        <v/>
      </c>
      <c r="I88" s="6"/>
      <c r="J88" s="117" t="str">
        <f t="shared" si="18"/>
        <v/>
      </c>
      <c r="K88" s="125"/>
      <c r="L88" s="125" t="str">
        <f t="shared" si="25"/>
        <v/>
      </c>
      <c r="M88" s="125" t="str">
        <f t="shared" si="26"/>
        <v/>
      </c>
      <c r="N88" s="43"/>
    </row>
    <row r="89" spans="1:14" x14ac:dyDescent="0.3">
      <c r="A89" s="40" t="s">
        <v>123</v>
      </c>
      <c r="B89" s="3" t="str">
        <f t="shared" si="19"/>
        <v>Quinoa</v>
      </c>
      <c r="C89" s="3" t="str">
        <f t="shared" si="20"/>
        <v>Seeds</v>
      </c>
      <c r="D89" s="41" t="str">
        <f t="shared" si="21"/>
        <v>No</v>
      </c>
      <c r="E89" s="127" t="str">
        <f t="shared" si="22"/>
        <v/>
      </c>
      <c r="F89" s="119" t="str">
        <f t="shared" si="23"/>
        <v/>
      </c>
      <c r="G89" s="123" t="str">
        <f t="shared" si="24"/>
        <v/>
      </c>
      <c r="I89" s="6"/>
      <c r="J89" s="117" t="str">
        <f t="shared" si="18"/>
        <v/>
      </c>
      <c r="K89" s="125"/>
      <c r="L89" s="125" t="str">
        <f t="shared" si="25"/>
        <v/>
      </c>
      <c r="M89" s="125" t="str">
        <f t="shared" si="26"/>
        <v/>
      </c>
      <c r="N89" s="43"/>
    </row>
    <row r="90" spans="1:14" x14ac:dyDescent="0.3">
      <c r="A90" s="40" t="s">
        <v>124</v>
      </c>
      <c r="B90" s="3" t="str">
        <f t="shared" si="19"/>
        <v>Rape or colza seed, average</v>
      </c>
      <c r="C90" s="3" t="str">
        <f t="shared" si="20"/>
        <v>Oil crops</v>
      </c>
      <c r="D90" s="41" t="str">
        <f t="shared" si="21"/>
        <v>Yes</v>
      </c>
      <c r="E90" s="127">
        <f t="shared" si="22"/>
        <v>3.3144695387115535E-4</v>
      </c>
      <c r="F90" s="119">
        <f t="shared" si="23"/>
        <v>1.8610361558972315E-4</v>
      </c>
      <c r="G90" s="123">
        <f t="shared" si="24"/>
        <v>9.5000000000000005E-5</v>
      </c>
      <c r="H90" s="79"/>
      <c r="I90" s="6"/>
      <c r="J90" s="117">
        <f t="shared" si="18"/>
        <v>2.2783909668313337E-5</v>
      </c>
      <c r="K90" s="125"/>
      <c r="L90" s="125">
        <f t="shared" si="25"/>
        <v>5.0185763999999998E-7</v>
      </c>
      <c r="M90" s="125">
        <f t="shared" si="26"/>
        <v>2.7057570973118807E-5</v>
      </c>
      <c r="N90" s="43"/>
    </row>
    <row r="91" spans="1:14" x14ac:dyDescent="0.3">
      <c r="A91" s="40" t="s">
        <v>125</v>
      </c>
      <c r="B91" s="3" t="str">
        <f t="shared" si="19"/>
        <v>Rape or colza seed, spring</v>
      </c>
      <c r="C91" s="3" t="str">
        <f t="shared" si="20"/>
        <v>Oil crops</v>
      </c>
      <c r="D91" s="41" t="str">
        <f t="shared" si="21"/>
        <v>Yes</v>
      </c>
      <c r="E91" s="127">
        <f t="shared" si="22"/>
        <v>4.9983982909944727E-4</v>
      </c>
      <c r="F91" s="119">
        <f t="shared" si="23"/>
        <v>3.361294387250307E-4</v>
      </c>
      <c r="G91" s="123">
        <f t="shared" si="24"/>
        <v>9.5000000000000005E-5</v>
      </c>
      <c r="H91" s="79"/>
      <c r="I91" s="6"/>
      <c r="J91" s="117">
        <f t="shared" si="18"/>
        <v>4.1150961761297797E-5</v>
      </c>
      <c r="K91" s="125"/>
      <c r="L91" s="125">
        <f t="shared" si="25"/>
        <v>5.0185763999999998E-7</v>
      </c>
      <c r="M91" s="125">
        <f t="shared" si="26"/>
        <v>2.7057570973118807E-5</v>
      </c>
      <c r="N91" s="43"/>
    </row>
    <row r="92" spans="1:14" x14ac:dyDescent="0.3">
      <c r="A92" s="40" t="s">
        <v>126</v>
      </c>
      <c r="B92" s="3" t="str">
        <f t="shared" si="19"/>
        <v>Rape or colza seed, winter</v>
      </c>
      <c r="C92" s="3" t="str">
        <f t="shared" si="20"/>
        <v>Oil crops</v>
      </c>
      <c r="D92" s="41" t="str">
        <f t="shared" si="21"/>
        <v>Yes</v>
      </c>
      <c r="E92" s="127">
        <f t="shared" si="22"/>
        <v>3.215771459845745E-4</v>
      </c>
      <c r="F92" s="119">
        <f t="shared" si="23"/>
        <v>1.7731033350837499E-4</v>
      </c>
      <c r="G92" s="123">
        <f t="shared" si="24"/>
        <v>9.5000000000000005E-5</v>
      </c>
      <c r="H92" s="79"/>
      <c r="I92" s="6"/>
      <c r="J92" s="117">
        <f t="shared" si="18"/>
        <v>2.1707383863080686E-5</v>
      </c>
      <c r="K92" s="125"/>
      <c r="L92" s="125">
        <f t="shared" si="25"/>
        <v>5.0185763999999998E-7</v>
      </c>
      <c r="M92" s="125">
        <f t="shared" si="26"/>
        <v>2.7057570973118807E-5</v>
      </c>
      <c r="N92" s="43"/>
    </row>
    <row r="93" spans="1:14" x14ac:dyDescent="0.3">
      <c r="A93" s="40" t="s">
        <v>127</v>
      </c>
      <c r="B93" s="3" t="str">
        <f t="shared" si="19"/>
        <v>Raspberries</v>
      </c>
      <c r="C93" s="3" t="str">
        <f t="shared" si="20"/>
        <v>Berries</v>
      </c>
      <c r="D93" s="41" t="str">
        <f t="shared" si="21"/>
        <v>Yes</v>
      </c>
      <c r="E93" s="127">
        <f t="shared" si="22"/>
        <v>3.4604340852041729E-4</v>
      </c>
      <c r="F93" s="119">
        <f t="shared" si="23"/>
        <v>1.1206379298916851E-4</v>
      </c>
      <c r="G93" s="123">
        <f t="shared" si="24"/>
        <v>9.5000000000000005E-5</v>
      </c>
      <c r="I93" s="6"/>
      <c r="J93" s="117">
        <f t="shared" si="18"/>
        <v>1.008384348912488E-4</v>
      </c>
      <c r="K93" s="125"/>
      <c r="L93" s="125">
        <f t="shared" si="25"/>
        <v>3.8141180639999994E-5</v>
      </c>
      <c r="M93" s="125">
        <f t="shared" si="26"/>
        <v>0</v>
      </c>
      <c r="N93" s="43"/>
    </row>
    <row r="94" spans="1:14" x14ac:dyDescent="0.3">
      <c r="A94" s="40" t="s">
        <v>128</v>
      </c>
      <c r="B94" s="3" t="str">
        <f t="shared" si="19"/>
        <v>Rice</v>
      </c>
      <c r="C94" s="3" t="str">
        <f t="shared" si="20"/>
        <v>Cereals</v>
      </c>
      <c r="D94" s="41" t="str">
        <f t="shared" si="21"/>
        <v>No</v>
      </c>
      <c r="E94" s="127" t="str">
        <f t="shared" si="22"/>
        <v/>
      </c>
      <c r="F94" s="119" t="str">
        <f t="shared" si="23"/>
        <v/>
      </c>
      <c r="G94" s="123" t="str">
        <f t="shared" si="24"/>
        <v/>
      </c>
      <c r="H94" s="79"/>
      <c r="I94" s="6"/>
      <c r="J94" s="117" t="str">
        <f t="shared" si="18"/>
        <v/>
      </c>
      <c r="K94" s="125"/>
      <c r="L94" s="125" t="str">
        <f t="shared" si="25"/>
        <v/>
      </c>
      <c r="M94" s="125" t="str">
        <f t="shared" si="26"/>
        <v/>
      </c>
      <c r="N94" s="43"/>
    </row>
    <row r="95" spans="1:14" x14ac:dyDescent="0.3">
      <c r="A95" s="40" t="s">
        <v>129</v>
      </c>
      <c r="B95" s="3" t="str">
        <f t="shared" si="19"/>
        <v>Rye</v>
      </c>
      <c r="C95" s="3" t="str">
        <f t="shared" si="20"/>
        <v>Cereals, incl feed</v>
      </c>
      <c r="D95" s="41" t="str">
        <f t="shared" si="21"/>
        <v>Yes</v>
      </c>
      <c r="E95" s="127">
        <f t="shared" si="22"/>
        <v>1.8598744972238678E-4</v>
      </c>
      <c r="F95" s="119">
        <f t="shared" si="23"/>
        <v>6.2844946839053136E-5</v>
      </c>
      <c r="G95" s="123">
        <f t="shared" si="24"/>
        <v>9.5000000000000005E-5</v>
      </c>
      <c r="I95" s="6"/>
      <c r="J95" s="117">
        <f t="shared" si="18"/>
        <v>1.3630931910214812E-5</v>
      </c>
      <c r="K95" s="125"/>
      <c r="L95" s="125">
        <f t="shared" si="25"/>
        <v>0</v>
      </c>
      <c r="M95" s="125">
        <f t="shared" si="26"/>
        <v>1.4511570973118804E-5</v>
      </c>
      <c r="N95" s="43"/>
    </row>
    <row r="96" spans="1:14" x14ac:dyDescent="0.3">
      <c r="A96" s="40" t="s">
        <v>130</v>
      </c>
      <c r="B96" s="3" t="str">
        <f t="shared" si="19"/>
        <v>Sorghum</v>
      </c>
      <c r="C96" s="3" t="str">
        <f t="shared" si="20"/>
        <v>Cereals</v>
      </c>
      <c r="D96" s="41" t="str">
        <f t="shared" si="21"/>
        <v>No</v>
      </c>
      <c r="E96" s="127" t="str">
        <f t="shared" si="22"/>
        <v/>
      </c>
      <c r="F96" s="119" t="str">
        <f t="shared" si="23"/>
        <v/>
      </c>
      <c r="G96" s="123" t="str">
        <f t="shared" si="24"/>
        <v/>
      </c>
      <c r="H96" s="79"/>
      <c r="I96" s="6"/>
      <c r="J96" s="117" t="str">
        <f t="shared" si="18"/>
        <v/>
      </c>
      <c r="K96" s="125"/>
      <c r="L96" s="125" t="str">
        <f t="shared" si="25"/>
        <v/>
      </c>
      <c r="M96" s="125" t="str">
        <f t="shared" si="26"/>
        <v/>
      </c>
      <c r="N96" s="43"/>
    </row>
    <row r="97" spans="1:14" x14ac:dyDescent="0.3">
      <c r="A97" s="40" t="s">
        <v>131</v>
      </c>
      <c r="B97" s="3" t="str">
        <f t="shared" si="19"/>
        <v>Sour cherries</v>
      </c>
      <c r="C97" s="3" t="str">
        <f t="shared" si="20"/>
        <v>Fruits</v>
      </c>
      <c r="D97" s="41" t="str">
        <f t="shared" si="21"/>
        <v>Yes</v>
      </c>
      <c r="E97" s="127">
        <f t="shared" si="22"/>
        <v>3.9414166699912572E-4</v>
      </c>
      <c r="F97" s="119">
        <f t="shared" si="23"/>
        <v>1.0851423320023473E-4</v>
      </c>
      <c r="G97" s="123">
        <f t="shared" si="24"/>
        <v>9.5000000000000005E-5</v>
      </c>
      <c r="I97" s="6"/>
      <c r="J97" s="117">
        <f t="shared" si="18"/>
        <v>1.4648034185213906E-4</v>
      </c>
      <c r="K97" s="125"/>
      <c r="L97" s="125">
        <f t="shared" si="25"/>
        <v>3.8141180639999994E-5</v>
      </c>
      <c r="M97" s="125">
        <f t="shared" si="26"/>
        <v>6.0059113067518888E-6</v>
      </c>
      <c r="N97" s="43"/>
    </row>
    <row r="98" spans="1:14" x14ac:dyDescent="0.3">
      <c r="A98" s="40" t="s">
        <v>132</v>
      </c>
      <c r="B98" s="3" t="str">
        <f t="shared" si="19"/>
        <v>Soya beans</v>
      </c>
      <c r="C98" s="3" t="str">
        <f t="shared" si="20"/>
        <v>Pulses</v>
      </c>
      <c r="D98" s="41" t="str">
        <f t="shared" si="21"/>
        <v>No</v>
      </c>
      <c r="E98" s="127" t="str">
        <f t="shared" si="22"/>
        <v/>
      </c>
      <c r="F98" s="119" t="str">
        <f t="shared" si="23"/>
        <v/>
      </c>
      <c r="G98" s="123" t="str">
        <f t="shared" si="24"/>
        <v/>
      </c>
      <c r="H98" s="79"/>
      <c r="I98" s="6"/>
      <c r="J98" s="117" t="str">
        <f t="shared" si="18"/>
        <v/>
      </c>
      <c r="K98" s="125"/>
      <c r="L98" s="125" t="str">
        <f t="shared" si="25"/>
        <v/>
      </c>
      <c r="M98" s="125" t="str">
        <f t="shared" si="26"/>
        <v/>
      </c>
      <c r="N98" s="43"/>
    </row>
    <row r="99" spans="1:14" x14ac:dyDescent="0.3">
      <c r="A99" s="40" t="s">
        <v>133</v>
      </c>
      <c r="B99" s="3" t="str">
        <f t="shared" si="19"/>
        <v>Spinach</v>
      </c>
      <c r="C99" s="3" t="str">
        <f t="shared" si="20"/>
        <v>Vegetables</v>
      </c>
      <c r="D99" s="41" t="str">
        <f t="shared" si="21"/>
        <v>Yes</v>
      </c>
      <c r="E99" s="127">
        <f t="shared" si="22"/>
        <v>2.0644265876118182E-4</v>
      </c>
      <c r="F99" s="119">
        <f t="shared" si="23"/>
        <v>5.0126960137500465E-5</v>
      </c>
      <c r="G99" s="123">
        <f t="shared" si="24"/>
        <v>9.5000000000000005E-5</v>
      </c>
      <c r="H99" s="79"/>
      <c r="I99" s="6"/>
      <c r="J99" s="117">
        <f t="shared" ref="J99:J118" si="27">IF(D99="YES",INDEX(Crop_data,MATCH(A99,Crop_data_codes,0),11)*Heating_value_diesel*EF_diesel_CH4/INDEX(Crop_data,MATCH(A99,Crop_data_codes,0),6),"")</f>
        <v>4.6778207436929489E-5</v>
      </c>
      <c r="K99" s="125"/>
      <c r="L99" s="125">
        <f t="shared" si="25"/>
        <v>8.5315798799999988E-6</v>
      </c>
      <c r="M99" s="125">
        <f t="shared" si="26"/>
        <v>6.0059113067518888E-6</v>
      </c>
      <c r="N99" s="43"/>
    </row>
    <row r="100" spans="1:14" x14ac:dyDescent="0.3">
      <c r="A100" s="40" t="s">
        <v>134</v>
      </c>
      <c r="B100" s="3" t="str">
        <f t="shared" si="19"/>
        <v>Strawberries</v>
      </c>
      <c r="C100" s="3" t="str">
        <f t="shared" si="20"/>
        <v>Fruits</v>
      </c>
      <c r="D100" s="41" t="str">
        <f t="shared" si="21"/>
        <v>Yes</v>
      </c>
      <c r="E100" s="127">
        <f t="shared" si="22"/>
        <v>1.9999450213944878E-4</v>
      </c>
      <c r="F100" s="119">
        <f t="shared" si="23"/>
        <v>1.6326923383383942E-5</v>
      </c>
      <c r="G100" s="123">
        <f t="shared" si="24"/>
        <v>9.5000000000000005E-5</v>
      </c>
      <c r="H100" s="79"/>
      <c r="I100" s="6"/>
      <c r="J100" s="117">
        <f t="shared" si="27"/>
        <v>4.4520486809312961E-5</v>
      </c>
      <c r="K100" s="125"/>
      <c r="L100" s="125">
        <f t="shared" si="25"/>
        <v>3.8141180640000001E-5</v>
      </c>
      <c r="M100" s="125">
        <f t="shared" si="26"/>
        <v>6.0059113067518888E-6</v>
      </c>
      <c r="N100" s="43"/>
    </row>
    <row r="101" spans="1:14" x14ac:dyDescent="0.3">
      <c r="A101" s="40" t="s">
        <v>135</v>
      </c>
      <c r="B101" s="3" t="str">
        <f t="shared" si="19"/>
        <v>Sugar beet</v>
      </c>
      <c r="C101" s="3" t="str">
        <f t="shared" si="20"/>
        <v>Sugar crops</v>
      </c>
      <c r="D101" s="41" t="str">
        <f t="shared" si="21"/>
        <v>Yes</v>
      </c>
      <c r="E101" s="127">
        <f t="shared" si="22"/>
        <v>1.1028672918245429E-4</v>
      </c>
      <c r="F101" s="119">
        <f t="shared" si="23"/>
        <v>6.218667718969903E-6</v>
      </c>
      <c r="G101" s="123">
        <f t="shared" si="24"/>
        <v>9.5000000000000005E-5</v>
      </c>
      <c r="I101" s="6"/>
      <c r="J101" s="117">
        <f t="shared" si="27"/>
        <v>2.309363847355059E-6</v>
      </c>
      <c r="K101" s="125"/>
      <c r="L101" s="125">
        <f t="shared" si="25"/>
        <v>7.5278630937744319E-7</v>
      </c>
      <c r="M101" s="125">
        <f t="shared" si="26"/>
        <v>6.0059113067518888E-6</v>
      </c>
      <c r="N101" s="43"/>
    </row>
    <row r="102" spans="1:14" x14ac:dyDescent="0.3">
      <c r="A102" s="40" t="s">
        <v>136</v>
      </c>
      <c r="B102" s="3" t="str">
        <f t="shared" ref="B102:B118" si="28">INDEX(Crop_data,MATCH(A102,Crop_data_codes,0),2)</f>
        <v>Sugar cane</v>
      </c>
      <c r="C102" s="3" t="str">
        <f t="shared" ref="C102:C118" si="29">INDEX(Crop_data,MATCH(A102,Crop_data_codes,0),3)</f>
        <v>Sugar crops</v>
      </c>
      <c r="D102" s="41" t="str">
        <f t="shared" ref="D102:D118" si="30">INDEX(Crop_data,MATCH(A102,Crop_data_codes,0),4)</f>
        <v>No</v>
      </c>
      <c r="E102" s="127" t="str">
        <f t="shared" ref="E102:E118" si="31">IF(D102="Yes", SUM(F102:N102),"")</f>
        <v/>
      </c>
      <c r="F102" s="119" t="str">
        <f t="shared" ref="F102:F118" si="32">IF(D102="YES",INDEX(Crop_data,MATCH(A102,Crop_data_codes,0),7)*(Frac_BAT*EF_min_fert_BAT_CH4+Frac_AN*EF_min_fert_AN_CH4)/INDEX(Crop_data,MATCH(A102,Crop_data_codes,0),6),"")</f>
        <v/>
      </c>
      <c r="G102" s="123" t="str">
        <f t="shared" ref="G102:G118" si="33">IF(D102="YES",EF_capital_goods_CH4,"")</f>
        <v/>
      </c>
      <c r="I102" s="6"/>
      <c r="J102" s="117" t="str">
        <f t="shared" si="27"/>
        <v/>
      </c>
      <c r="K102" s="125"/>
      <c r="L102" s="125" t="str">
        <f t="shared" si="25"/>
        <v/>
      </c>
      <c r="M102" s="125" t="str">
        <f t="shared" si="26"/>
        <v/>
      </c>
      <c r="N102" s="43"/>
    </row>
    <row r="103" spans="1:14" x14ac:dyDescent="0.3">
      <c r="A103" s="40" t="s">
        <v>137</v>
      </c>
      <c r="B103" s="3" t="str">
        <f t="shared" si="28"/>
        <v>Sunflower seed</v>
      </c>
      <c r="C103" s="3" t="str">
        <f t="shared" si="29"/>
        <v>Oil crops</v>
      </c>
      <c r="D103" s="41" t="str">
        <f t="shared" si="30"/>
        <v>No</v>
      </c>
      <c r="E103" s="127" t="str">
        <f t="shared" si="31"/>
        <v/>
      </c>
      <c r="F103" s="119" t="str">
        <f t="shared" si="32"/>
        <v/>
      </c>
      <c r="G103" s="123" t="str">
        <f t="shared" si="33"/>
        <v/>
      </c>
      <c r="I103" s="6"/>
      <c r="J103" s="117" t="str">
        <f t="shared" si="27"/>
        <v/>
      </c>
      <c r="K103" s="125"/>
      <c r="L103" s="125" t="str">
        <f t="shared" si="25"/>
        <v/>
      </c>
      <c r="M103" s="125" t="str">
        <f t="shared" si="26"/>
        <v/>
      </c>
      <c r="N103" s="43"/>
    </row>
    <row r="104" spans="1:14" x14ac:dyDescent="0.3">
      <c r="A104" s="40" t="s">
        <v>138</v>
      </c>
      <c r="B104" s="3" t="str">
        <f t="shared" si="28"/>
        <v>Sweet potatoes</v>
      </c>
      <c r="C104" s="3" t="str">
        <f t="shared" si="29"/>
        <v>Roots</v>
      </c>
      <c r="D104" s="41" t="str">
        <f t="shared" si="30"/>
        <v>No</v>
      </c>
      <c r="E104" s="127" t="str">
        <f t="shared" si="31"/>
        <v/>
      </c>
      <c r="F104" s="119" t="str">
        <f t="shared" si="32"/>
        <v/>
      </c>
      <c r="G104" s="123" t="str">
        <f t="shared" si="33"/>
        <v/>
      </c>
      <c r="I104" s="6"/>
      <c r="J104" s="117" t="str">
        <f t="shared" si="27"/>
        <v/>
      </c>
      <c r="K104" s="125"/>
      <c r="L104" s="125" t="str">
        <f t="shared" si="25"/>
        <v/>
      </c>
      <c r="M104" s="125" t="str">
        <f t="shared" ref="M104:M118" si="34">IF(D104="Yes",INDEX(Post_harvest_energy_data,MATCH(C104,Post_harvest_energy_categories,0),2)*EF_heating_oil_CH4+INDEX(Post_harvest_energy_data,MATCH(C104,Post_harvest_energy_categories,0),3)*EF_electricity_CH4+INDEX(Post_harvest_energy_data,MATCH(C104,Post_harvest_energy_categories,0),4)*EF_chips_CH4,"")</f>
        <v/>
      </c>
      <c r="N104" s="43"/>
    </row>
    <row r="105" spans="1:14" x14ac:dyDescent="0.3">
      <c r="A105" s="40" t="s">
        <v>139</v>
      </c>
      <c r="B105" s="3" t="str">
        <f t="shared" si="28"/>
        <v>Tangerines, mandarins, clementines</v>
      </c>
      <c r="C105" s="3" t="str">
        <f t="shared" si="29"/>
        <v>Fruits</v>
      </c>
      <c r="D105" s="41" t="str">
        <f t="shared" si="30"/>
        <v>No</v>
      </c>
      <c r="E105" s="127" t="str">
        <f t="shared" si="31"/>
        <v/>
      </c>
      <c r="F105" s="119" t="str">
        <f t="shared" si="32"/>
        <v/>
      </c>
      <c r="G105" s="123" t="str">
        <f t="shared" si="33"/>
        <v/>
      </c>
      <c r="I105" s="6"/>
      <c r="J105" s="117" t="str">
        <f t="shared" si="27"/>
        <v/>
      </c>
      <c r="K105" s="125"/>
      <c r="L105" s="125" t="str">
        <f t="shared" si="25"/>
        <v/>
      </c>
      <c r="M105" s="125" t="str">
        <f t="shared" si="34"/>
        <v/>
      </c>
      <c r="N105" s="43"/>
    </row>
    <row r="106" spans="1:14" x14ac:dyDescent="0.3">
      <c r="A106" s="40" t="s">
        <v>140</v>
      </c>
      <c r="B106" s="3" t="str">
        <f t="shared" si="28"/>
        <v>Tomatoes, average</v>
      </c>
      <c r="C106" s="3" t="str">
        <f t="shared" si="29"/>
        <v>Vegetables</v>
      </c>
      <c r="D106" s="41" t="str">
        <f t="shared" si="30"/>
        <v>Yes</v>
      </c>
      <c r="E106" s="127">
        <f t="shared" si="31"/>
        <v>2.599480224040842E-4</v>
      </c>
      <c r="F106" s="119">
        <f t="shared" si="32"/>
        <v>1.063678802735456E-5</v>
      </c>
      <c r="G106" s="123">
        <f t="shared" si="33"/>
        <v>9.5000000000000005E-5</v>
      </c>
      <c r="H106" s="79"/>
      <c r="I106" s="6"/>
      <c r="J106" s="117">
        <f t="shared" si="27"/>
        <v>0</v>
      </c>
      <c r="K106" s="125">
        <f>INDEX(Crop_data,MATCH("01234_gh",Crop_data_codes,0),5)/100*Energy!C22/INDEX(Crop_data,MATCH(A106,Crop_data_codes,0),6)</f>
        <v>1.4830532306997772E-4</v>
      </c>
      <c r="L106" s="125"/>
      <c r="M106" s="125">
        <f t="shared" si="34"/>
        <v>6.0059113067518888E-6</v>
      </c>
      <c r="N106" s="43"/>
    </row>
    <row r="107" spans="1:14" x14ac:dyDescent="0.3">
      <c r="A107" s="40" t="s">
        <v>141</v>
      </c>
      <c r="B107" s="3" t="str">
        <f t="shared" si="28"/>
        <v>Tomatoes, greenhouse</v>
      </c>
      <c r="C107" s="3" t="str">
        <f t="shared" si="29"/>
        <v>Vegetables</v>
      </c>
      <c r="D107" s="41" t="str">
        <f t="shared" si="30"/>
        <v>Yes</v>
      </c>
      <c r="E107" s="127">
        <f t="shared" si="31"/>
        <v>2.599480224040842E-4</v>
      </c>
      <c r="F107" s="119">
        <f t="shared" si="32"/>
        <v>1.063678802735456E-5</v>
      </c>
      <c r="G107" s="123">
        <f t="shared" si="33"/>
        <v>9.5000000000000005E-5</v>
      </c>
      <c r="I107" s="6"/>
      <c r="J107" s="117">
        <f t="shared" si="27"/>
        <v>0</v>
      </c>
      <c r="K107" s="125">
        <f>Energy!C22/INDEX(Crop_data,MATCH(A107,Crop_data_codes,0),6)</f>
        <v>1.4830532306997772E-4</v>
      </c>
      <c r="L107" s="125"/>
      <c r="M107" s="125">
        <f t="shared" si="34"/>
        <v>6.0059113067518888E-6</v>
      </c>
      <c r="N107" s="43"/>
    </row>
    <row r="108" spans="1:14" x14ac:dyDescent="0.3">
      <c r="A108" s="40" t="s">
        <v>142</v>
      </c>
      <c r="B108" s="3" t="str">
        <f t="shared" si="28"/>
        <v>Tomatoes, openfield</v>
      </c>
      <c r="C108" s="3" t="str">
        <f t="shared" si="29"/>
        <v>Vegetables</v>
      </c>
      <c r="D108" s="41" t="str">
        <f t="shared" si="30"/>
        <v>No</v>
      </c>
      <c r="E108" s="127" t="str">
        <f t="shared" si="31"/>
        <v/>
      </c>
      <c r="F108" s="119" t="str">
        <f t="shared" si="32"/>
        <v/>
      </c>
      <c r="G108" s="123" t="str">
        <f t="shared" si="33"/>
        <v/>
      </c>
      <c r="H108" s="79"/>
      <c r="I108" s="6"/>
      <c r="J108" s="117" t="str">
        <f t="shared" si="27"/>
        <v/>
      </c>
      <c r="K108" s="125"/>
      <c r="L108" s="125" t="str">
        <f t="shared" ref="L108:L118" si="35">IF(D108="YES",INDEX(Crop_data,MATCH(A108,Crop_data_codes,0),12)*EF_irrigation_CH4/INDEX(Crop_data,MATCH(A108,Crop_data_codes,0),6),"")</f>
        <v/>
      </c>
      <c r="M108" s="125" t="str">
        <f t="shared" si="34"/>
        <v/>
      </c>
      <c r="N108" s="43"/>
    </row>
    <row r="109" spans="1:14" x14ac:dyDescent="0.3">
      <c r="A109" s="40" t="s">
        <v>143</v>
      </c>
      <c r="B109" s="3" t="str">
        <f t="shared" si="28"/>
        <v>Triticale</v>
      </c>
      <c r="C109" s="3" t="str">
        <f t="shared" si="29"/>
        <v>Cereals</v>
      </c>
      <c r="D109" s="41" t="str">
        <f t="shared" si="30"/>
        <v>Yes</v>
      </c>
      <c r="E109" s="127">
        <f t="shared" si="31"/>
        <v>2.0122947679537077E-4</v>
      </c>
      <c r="F109" s="119">
        <f t="shared" si="32"/>
        <v>7.6732619610823366E-5</v>
      </c>
      <c r="G109" s="123">
        <f t="shared" si="33"/>
        <v>9.5000000000000005E-5</v>
      </c>
      <c r="I109" s="6"/>
      <c r="J109" s="117">
        <f t="shared" si="27"/>
        <v>1.4483428571428571E-5</v>
      </c>
      <c r="K109" s="125"/>
      <c r="L109" s="125">
        <f t="shared" si="35"/>
        <v>5.0185763999999998E-7</v>
      </c>
      <c r="M109" s="125">
        <f t="shared" si="34"/>
        <v>1.4511570973118804E-5</v>
      </c>
      <c r="N109" s="43"/>
    </row>
    <row r="110" spans="1:14" x14ac:dyDescent="0.3">
      <c r="A110" s="40" t="s">
        <v>144</v>
      </c>
      <c r="B110" s="3" t="str">
        <f t="shared" si="28"/>
        <v>True hemp, raw or retted</v>
      </c>
      <c r="C110" s="3" t="str">
        <f t="shared" si="29"/>
        <v>Other</v>
      </c>
      <c r="D110" s="41" t="str">
        <f t="shared" si="30"/>
        <v>No</v>
      </c>
      <c r="E110" s="127" t="str">
        <f t="shared" si="31"/>
        <v/>
      </c>
      <c r="F110" s="119" t="str">
        <f t="shared" si="32"/>
        <v/>
      </c>
      <c r="G110" s="123" t="str">
        <f t="shared" si="33"/>
        <v/>
      </c>
      <c r="I110" s="6"/>
      <c r="J110" s="117" t="str">
        <f t="shared" si="27"/>
        <v/>
      </c>
      <c r="K110" s="125"/>
      <c r="L110" s="125" t="str">
        <f t="shared" si="35"/>
        <v/>
      </c>
      <c r="M110" s="125" t="str">
        <f t="shared" si="34"/>
        <v/>
      </c>
      <c r="N110" s="43"/>
    </row>
    <row r="111" spans="1:14" x14ac:dyDescent="0.3">
      <c r="A111" s="40" t="s">
        <v>145</v>
      </c>
      <c r="B111" s="3" t="str">
        <f t="shared" si="28"/>
        <v>Vetches</v>
      </c>
      <c r="C111" s="3" t="str">
        <f t="shared" si="29"/>
        <v>Other</v>
      </c>
      <c r="D111" s="41" t="str">
        <f t="shared" si="30"/>
        <v>No</v>
      </c>
      <c r="E111" s="127" t="str">
        <f t="shared" si="31"/>
        <v/>
      </c>
      <c r="F111" s="119" t="str">
        <f t="shared" si="32"/>
        <v/>
      </c>
      <c r="G111" s="123" t="str">
        <f t="shared" si="33"/>
        <v/>
      </c>
      <c r="I111" s="6"/>
      <c r="J111" s="117" t="str">
        <f t="shared" si="27"/>
        <v/>
      </c>
      <c r="K111" s="125"/>
      <c r="L111" s="125" t="str">
        <f t="shared" si="35"/>
        <v/>
      </c>
      <c r="M111" s="125" t="str">
        <f t="shared" si="34"/>
        <v/>
      </c>
      <c r="N111" s="43"/>
    </row>
    <row r="112" spans="1:14" x14ac:dyDescent="0.3">
      <c r="A112" s="40" t="s">
        <v>146</v>
      </c>
      <c r="B112" s="3" t="str">
        <f t="shared" si="28"/>
        <v>Walnuts, in shell</v>
      </c>
      <c r="C112" s="3" t="str">
        <f t="shared" si="29"/>
        <v>Nuts</v>
      </c>
      <c r="D112" s="41" t="str">
        <f t="shared" si="30"/>
        <v>No</v>
      </c>
      <c r="E112" s="127" t="str">
        <f t="shared" si="31"/>
        <v/>
      </c>
      <c r="F112" s="119" t="str">
        <f t="shared" si="32"/>
        <v/>
      </c>
      <c r="G112" s="123" t="str">
        <f t="shared" si="33"/>
        <v/>
      </c>
      <c r="I112" s="6"/>
      <c r="J112" s="117" t="str">
        <f t="shared" si="27"/>
        <v/>
      </c>
      <c r="K112" s="125"/>
      <c r="L112" s="125" t="str">
        <f t="shared" si="35"/>
        <v/>
      </c>
      <c r="M112" s="125" t="str">
        <f t="shared" si="34"/>
        <v/>
      </c>
      <c r="N112" s="43"/>
    </row>
    <row r="113" spans="1:14" x14ac:dyDescent="0.3">
      <c r="A113" s="40" t="s">
        <v>147</v>
      </c>
      <c r="B113" s="3" t="str">
        <f t="shared" si="28"/>
        <v>Watermelons</v>
      </c>
      <c r="C113" s="3" t="str">
        <f t="shared" si="29"/>
        <v>Fruits</v>
      </c>
      <c r="D113" s="41" t="str">
        <f t="shared" si="30"/>
        <v>No</v>
      </c>
      <c r="E113" s="127" t="str">
        <f t="shared" si="31"/>
        <v/>
      </c>
      <c r="F113" s="119" t="str">
        <f t="shared" si="32"/>
        <v/>
      </c>
      <c r="G113" s="123" t="str">
        <f t="shared" si="33"/>
        <v/>
      </c>
      <c r="I113" s="6"/>
      <c r="J113" s="117" t="str">
        <f t="shared" si="27"/>
        <v/>
      </c>
      <c r="K113" s="125"/>
      <c r="L113" s="125" t="str">
        <f t="shared" si="35"/>
        <v/>
      </c>
      <c r="M113" s="125" t="str">
        <f t="shared" si="34"/>
        <v/>
      </c>
      <c r="N113" s="43"/>
    </row>
    <row r="114" spans="1:14" x14ac:dyDescent="0.3">
      <c r="A114" s="40" t="s">
        <v>148</v>
      </c>
      <c r="B114" s="3" t="str">
        <f t="shared" si="28"/>
        <v>Watermelons, greenhouse</v>
      </c>
      <c r="C114" s="3" t="str">
        <f t="shared" si="29"/>
        <v>Fruits</v>
      </c>
      <c r="D114" s="41" t="str">
        <f t="shared" si="30"/>
        <v>No</v>
      </c>
      <c r="E114" s="127" t="str">
        <f t="shared" ref="E114:E115" si="36">IF(D114="Yes", SUM(F114:N114),"")</f>
        <v/>
      </c>
      <c r="F114" s="119" t="str">
        <f t="shared" si="32"/>
        <v/>
      </c>
      <c r="G114" s="123" t="str">
        <f t="shared" ref="G114:G115" si="37">IF(D114="YES",EF_capital_goods_CH4,"")</f>
        <v/>
      </c>
      <c r="I114" s="6"/>
      <c r="J114" s="117" t="str">
        <f t="shared" si="27"/>
        <v/>
      </c>
      <c r="K114" s="125"/>
      <c r="L114" s="125" t="str">
        <f t="shared" si="35"/>
        <v/>
      </c>
      <c r="M114" s="125" t="str">
        <f t="shared" ref="M114:M115" si="38">IF(D114="Yes",INDEX(Post_harvest_energy_data,MATCH(C114,Post_harvest_energy_categories,0),2)*EF_heating_oil_CH4+INDEX(Post_harvest_energy_data,MATCH(C114,Post_harvest_energy_categories,0),3)*EF_electricity_CH4+INDEX(Post_harvest_energy_data,MATCH(C114,Post_harvest_energy_categories,0),4)*EF_chips_CH4,"")</f>
        <v/>
      </c>
      <c r="N114" s="43"/>
    </row>
    <row r="115" spans="1:14" x14ac:dyDescent="0.3">
      <c r="A115" s="40" t="s">
        <v>149</v>
      </c>
      <c r="B115" s="3" t="str">
        <f t="shared" si="28"/>
        <v>Watermelons, openfield</v>
      </c>
      <c r="C115" s="3" t="str">
        <f t="shared" si="29"/>
        <v>Fruits</v>
      </c>
      <c r="D115" s="41" t="str">
        <f t="shared" si="30"/>
        <v>No</v>
      </c>
      <c r="E115" s="127" t="str">
        <f t="shared" si="36"/>
        <v/>
      </c>
      <c r="F115" s="119" t="str">
        <f t="shared" si="32"/>
        <v/>
      </c>
      <c r="G115" s="123" t="str">
        <f t="shared" si="37"/>
        <v/>
      </c>
      <c r="I115" s="6"/>
      <c r="J115" s="117" t="str">
        <f t="shared" si="27"/>
        <v/>
      </c>
      <c r="K115" s="125"/>
      <c r="L115" s="125" t="str">
        <f t="shared" si="35"/>
        <v/>
      </c>
      <c r="M115" s="125" t="str">
        <f t="shared" si="38"/>
        <v/>
      </c>
      <c r="N115" s="43"/>
    </row>
    <row r="116" spans="1:14" x14ac:dyDescent="0.3">
      <c r="A116" s="40" t="s">
        <v>150</v>
      </c>
      <c r="B116" s="3" t="str">
        <f t="shared" si="28"/>
        <v>Wheat, average</v>
      </c>
      <c r="C116" s="3" t="str">
        <f t="shared" si="29"/>
        <v>Cereals, incl feed</v>
      </c>
      <c r="D116" s="41" t="str">
        <f t="shared" si="30"/>
        <v>Yes</v>
      </c>
      <c r="E116" s="127">
        <f t="shared" si="31"/>
        <v>2.1569594254895508E-4</v>
      </c>
      <c r="F116" s="119">
        <f t="shared" si="32"/>
        <v>9.2769916609057948E-5</v>
      </c>
      <c r="G116" s="123">
        <f t="shared" si="33"/>
        <v>9.5000000000000005E-5</v>
      </c>
      <c r="I116" s="6"/>
      <c r="J116" s="117">
        <f t="shared" si="27"/>
        <v>1.291259732677831E-5</v>
      </c>
      <c r="K116" s="125"/>
      <c r="L116" s="125">
        <f t="shared" si="35"/>
        <v>5.0185764000000009E-7</v>
      </c>
      <c r="M116" s="125">
        <f t="shared" si="34"/>
        <v>1.4511570973118804E-5</v>
      </c>
      <c r="N116" s="43"/>
    </row>
    <row r="117" spans="1:14" x14ac:dyDescent="0.3">
      <c r="A117" s="40" t="s">
        <v>151</v>
      </c>
      <c r="B117" s="3" t="str">
        <f t="shared" si="28"/>
        <v>Wheat, spring</v>
      </c>
      <c r="C117" s="3" t="str">
        <f t="shared" si="29"/>
        <v>Cereals</v>
      </c>
      <c r="D117" s="41" t="str">
        <f t="shared" si="30"/>
        <v>Yes</v>
      </c>
      <c r="E117" s="127">
        <f t="shared" si="31"/>
        <v>2.2837987087375594E-4</v>
      </c>
      <c r="F117" s="119">
        <f t="shared" si="32"/>
        <v>9.7193931215860989E-5</v>
      </c>
      <c r="G117" s="123">
        <f t="shared" si="33"/>
        <v>9.5000000000000005E-5</v>
      </c>
      <c r="H117" s="110"/>
      <c r="I117" s="6"/>
      <c r="J117" s="117">
        <f t="shared" si="27"/>
        <v>2.1172511044776124E-5</v>
      </c>
      <c r="K117" s="125"/>
      <c r="L117" s="125">
        <f t="shared" si="35"/>
        <v>5.0185763999999998E-7</v>
      </c>
      <c r="M117" s="121">
        <f t="shared" si="34"/>
        <v>1.4511570973118804E-5</v>
      </c>
      <c r="N117" s="43"/>
    </row>
    <row r="118" spans="1:14" x14ac:dyDescent="0.3">
      <c r="A118" s="42" t="s">
        <v>152</v>
      </c>
      <c r="B118" s="46" t="str">
        <f t="shared" si="28"/>
        <v>Wheat, winter</v>
      </c>
      <c r="C118" s="46" t="str">
        <f t="shared" si="29"/>
        <v>Cereals</v>
      </c>
      <c r="D118" s="33" t="str">
        <f t="shared" si="30"/>
        <v>Yes</v>
      </c>
      <c r="E118" s="128">
        <f t="shared" si="31"/>
        <v>2.1492391962068047E-4</v>
      </c>
      <c r="F118" s="120">
        <f t="shared" si="32"/>
        <v>9.2472644146376868E-5</v>
      </c>
      <c r="G118" s="124">
        <f t="shared" si="33"/>
        <v>9.5000000000000005E-5</v>
      </c>
      <c r="H118" s="111"/>
      <c r="I118" s="7"/>
      <c r="J118" s="118">
        <f t="shared" si="27"/>
        <v>1.2437846861184793E-5</v>
      </c>
      <c r="K118" s="126"/>
      <c r="L118" s="126">
        <f t="shared" si="35"/>
        <v>5.0185763999999998E-7</v>
      </c>
      <c r="M118" s="122">
        <f t="shared" si="34"/>
        <v>1.4511570973118804E-5</v>
      </c>
      <c r="N118" s="44"/>
    </row>
  </sheetData>
  <autoFilter ref="A5:N118" xr:uid="{00000000-0009-0000-0000-000005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2:N118"/>
  <sheetViews>
    <sheetView zoomScale="70" zoomScaleNormal="70" workbookViewId="0">
      <selection activeCell="H22" sqref="H22"/>
    </sheetView>
  </sheetViews>
  <sheetFormatPr defaultColWidth="8.6640625" defaultRowHeight="14.4" x14ac:dyDescent="0.3"/>
  <cols>
    <col min="1" max="1" width="9.6640625" customWidth="1"/>
    <col min="2" max="2" width="29.44140625" customWidth="1"/>
    <col min="3" max="3" width="18.33203125" customWidth="1"/>
    <col min="4" max="4" width="10.33203125" customWidth="1"/>
    <col min="5" max="5" width="9.44140625" customWidth="1"/>
    <col min="6" max="6" width="12.6640625" customWidth="1"/>
    <col min="7" max="7" width="14.44140625" customWidth="1"/>
    <col min="8" max="9" width="12.6640625" customWidth="1"/>
    <col min="10" max="10" width="10.44140625" customWidth="1"/>
    <col min="11" max="11" width="12.44140625" customWidth="1"/>
    <col min="12" max="12" width="12.33203125" customWidth="1"/>
    <col min="13" max="13" width="12.44140625" customWidth="1"/>
    <col min="14" max="14" width="16.44140625" customWidth="1"/>
  </cols>
  <sheetData>
    <row r="2" spans="1:14" ht="21" x14ac:dyDescent="0.4">
      <c r="A2" s="39" t="s">
        <v>407</v>
      </c>
    </row>
    <row r="4" spans="1:14" x14ac:dyDescent="0.3">
      <c r="A4" s="244" t="s">
        <v>11</v>
      </c>
      <c r="B4" s="245"/>
      <c r="C4" s="245"/>
      <c r="D4" s="251"/>
      <c r="E4" s="246" t="s">
        <v>387</v>
      </c>
      <c r="F4" s="252" t="s">
        <v>388</v>
      </c>
      <c r="G4" s="248"/>
      <c r="H4" s="247" t="s">
        <v>389</v>
      </c>
      <c r="I4" s="249"/>
      <c r="J4" s="253" t="s">
        <v>390</v>
      </c>
      <c r="K4" s="250"/>
      <c r="L4" s="250"/>
      <c r="M4" s="250"/>
      <c r="N4" s="254" t="s">
        <v>391</v>
      </c>
    </row>
    <row r="5" spans="1:14" ht="43.2" x14ac:dyDescent="0.3">
      <c r="A5" s="239" t="s">
        <v>392</v>
      </c>
      <c r="B5" s="240" t="s">
        <v>11</v>
      </c>
      <c r="C5" s="240" t="s">
        <v>393</v>
      </c>
      <c r="D5" s="255" t="s">
        <v>394</v>
      </c>
      <c r="E5" s="241"/>
      <c r="F5" s="256" t="s">
        <v>395</v>
      </c>
      <c r="G5" s="243" t="s">
        <v>396</v>
      </c>
      <c r="H5" s="242" t="s">
        <v>397</v>
      </c>
      <c r="I5" s="243" t="s">
        <v>398</v>
      </c>
      <c r="J5" s="256" t="s">
        <v>399</v>
      </c>
      <c r="K5" s="242" t="s">
        <v>400</v>
      </c>
      <c r="L5" s="242" t="s">
        <v>401</v>
      </c>
      <c r="M5" s="242" t="s">
        <v>402</v>
      </c>
      <c r="N5" s="257" t="s">
        <v>403</v>
      </c>
    </row>
    <row r="6" spans="1:14" x14ac:dyDescent="0.3">
      <c r="A6" s="40" t="s">
        <v>40</v>
      </c>
      <c r="B6" s="3" t="str">
        <f t="shared" ref="B6:B69" si="0">INDEX(Crop_data,MATCH(A6,Crop_data_codes,0),2)</f>
        <v>Almonds, in shell</v>
      </c>
      <c r="C6" s="3" t="str">
        <f t="shared" ref="C6:C69" si="1">INDEX(Crop_data,MATCH(A6,Crop_data_codes,0),3)</f>
        <v>Nuts</v>
      </c>
      <c r="D6" s="41" t="str">
        <f t="shared" ref="D6:D69" si="2">INDEX(Crop_data,MATCH(A6,Crop_data_codes,0),4)</f>
        <v>No</v>
      </c>
      <c r="E6" s="127"/>
      <c r="F6" s="119"/>
      <c r="G6" s="123"/>
      <c r="I6" s="6"/>
      <c r="J6" s="117"/>
      <c r="K6" s="125"/>
      <c r="L6" s="125"/>
      <c r="M6" s="125"/>
      <c r="N6" s="43"/>
    </row>
    <row r="7" spans="1:14" x14ac:dyDescent="0.3">
      <c r="A7" s="40" t="s">
        <v>41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1" t="str">
        <f t="shared" si="2"/>
        <v>No</v>
      </c>
      <c r="E7" s="127"/>
      <c r="F7" s="119"/>
      <c r="G7" s="123"/>
      <c r="I7" s="6"/>
      <c r="J7" s="117"/>
      <c r="K7" s="125"/>
      <c r="L7" s="125"/>
      <c r="M7" s="125"/>
      <c r="N7" s="43"/>
    </row>
    <row r="8" spans="1:14" x14ac:dyDescent="0.3">
      <c r="A8" s="40" t="s">
        <v>42</v>
      </c>
      <c r="B8" s="3" t="str">
        <f t="shared" si="0"/>
        <v>Apples</v>
      </c>
      <c r="C8" s="3" t="str">
        <f t="shared" si="1"/>
        <v>Fruits</v>
      </c>
      <c r="D8" s="41" t="str">
        <f t="shared" si="2"/>
        <v>Yes</v>
      </c>
      <c r="E8" s="127"/>
      <c r="F8" s="119"/>
      <c r="G8" s="123"/>
      <c r="H8" s="79"/>
      <c r="I8" s="6"/>
      <c r="J8" s="117"/>
      <c r="K8" s="125"/>
      <c r="L8" s="125"/>
      <c r="M8" s="125"/>
      <c r="N8" s="43"/>
    </row>
    <row r="9" spans="1:14" x14ac:dyDescent="0.3">
      <c r="A9" s="40" t="s">
        <v>43</v>
      </c>
      <c r="B9" s="3" t="str">
        <f t="shared" si="0"/>
        <v>Apricots</v>
      </c>
      <c r="C9" s="3" t="str">
        <f t="shared" si="1"/>
        <v>Fruits</v>
      </c>
      <c r="D9" s="41" t="str">
        <f t="shared" si="2"/>
        <v>No</v>
      </c>
      <c r="E9" s="127"/>
      <c r="F9" s="119"/>
      <c r="G9" s="123"/>
      <c r="H9" s="79"/>
      <c r="I9" s="6"/>
      <c r="J9" s="117"/>
      <c r="K9" s="125"/>
      <c r="L9" s="125"/>
      <c r="M9" s="125"/>
      <c r="N9" s="43"/>
    </row>
    <row r="10" spans="1:14" x14ac:dyDescent="0.3">
      <c r="A10" s="40" t="s">
        <v>44</v>
      </c>
      <c r="B10" s="3" t="str">
        <f t="shared" si="0"/>
        <v>Artichokes</v>
      </c>
      <c r="C10" s="3" t="str">
        <f t="shared" si="1"/>
        <v>Vegetables</v>
      </c>
      <c r="D10" s="41" t="str">
        <f t="shared" si="2"/>
        <v>No</v>
      </c>
      <c r="E10" s="127"/>
      <c r="F10" s="119"/>
      <c r="G10" s="123"/>
      <c r="H10" s="79"/>
      <c r="I10" s="6"/>
      <c r="J10" s="117"/>
      <c r="K10" s="125"/>
      <c r="L10" s="125"/>
      <c r="M10" s="125"/>
      <c r="N10" s="43"/>
    </row>
    <row r="11" spans="1:14" x14ac:dyDescent="0.3">
      <c r="A11" s="40" t="s">
        <v>45</v>
      </c>
      <c r="B11" s="3" t="str">
        <f t="shared" si="0"/>
        <v>Asparagus</v>
      </c>
      <c r="C11" s="3" t="str">
        <f t="shared" si="1"/>
        <v>Vegetables</v>
      </c>
      <c r="D11" s="41" t="str">
        <f t="shared" si="2"/>
        <v>Yes</v>
      </c>
      <c r="E11" s="127"/>
      <c r="F11" s="119"/>
      <c r="G11" s="123"/>
      <c r="H11" s="79"/>
      <c r="I11" s="6"/>
      <c r="J11" s="117"/>
      <c r="K11" s="125"/>
      <c r="L11" s="125"/>
      <c r="M11" s="125"/>
      <c r="N11" s="43"/>
    </row>
    <row r="12" spans="1:14" x14ac:dyDescent="0.3">
      <c r="A12" s="40" t="s">
        <v>46</v>
      </c>
      <c r="B12" s="3" t="str">
        <f t="shared" si="0"/>
        <v>Avocados</v>
      </c>
      <c r="C12" s="3" t="str">
        <f t="shared" si="1"/>
        <v>Vegetables</v>
      </c>
      <c r="D12" s="41" t="str">
        <f t="shared" si="2"/>
        <v>No</v>
      </c>
      <c r="E12" s="127"/>
      <c r="F12" s="119"/>
      <c r="G12" s="123"/>
      <c r="H12" s="79"/>
      <c r="I12" s="6"/>
      <c r="J12" s="117"/>
      <c r="K12" s="125"/>
      <c r="L12" s="125"/>
      <c r="M12" s="125"/>
      <c r="N12" s="43"/>
    </row>
    <row r="13" spans="1:14" x14ac:dyDescent="0.3">
      <c r="A13" s="40" t="s">
        <v>47</v>
      </c>
      <c r="B13" s="3" t="str">
        <f t="shared" si="0"/>
        <v>Bananas</v>
      </c>
      <c r="C13" s="3" t="str">
        <f t="shared" si="1"/>
        <v>Fruits</v>
      </c>
      <c r="D13" s="41" t="str">
        <f t="shared" si="2"/>
        <v>No</v>
      </c>
      <c r="E13" s="127"/>
      <c r="F13" s="119"/>
      <c r="G13" s="123"/>
      <c r="H13" s="79"/>
      <c r="I13" s="6"/>
      <c r="J13" s="117"/>
      <c r="K13" s="125"/>
      <c r="L13" s="125"/>
      <c r="M13" s="125"/>
      <c r="N13" s="43"/>
    </row>
    <row r="14" spans="1:14" x14ac:dyDescent="0.3">
      <c r="A14" s="40" t="s">
        <v>48</v>
      </c>
      <c r="B14" s="3" t="str">
        <f t="shared" si="0"/>
        <v>Barley, average</v>
      </c>
      <c r="C14" s="3" t="str">
        <f t="shared" si="1"/>
        <v>Cereals, incl feed</v>
      </c>
      <c r="D14" s="41" t="str">
        <f t="shared" si="2"/>
        <v>Yes</v>
      </c>
      <c r="E14" s="127"/>
      <c r="F14" s="119"/>
      <c r="G14" s="123"/>
      <c r="H14" s="79"/>
      <c r="I14" s="6"/>
      <c r="J14" s="117"/>
      <c r="K14" s="125"/>
      <c r="L14" s="125"/>
      <c r="M14" s="125"/>
      <c r="N14" s="43"/>
    </row>
    <row r="15" spans="1:14" x14ac:dyDescent="0.3">
      <c r="A15" s="40" t="s">
        <v>49</v>
      </c>
      <c r="B15" s="3" t="str">
        <f t="shared" si="0"/>
        <v>Barley, spring</v>
      </c>
      <c r="C15" s="3" t="str">
        <f t="shared" si="1"/>
        <v>Cereals</v>
      </c>
      <c r="D15" s="41" t="str">
        <f t="shared" si="2"/>
        <v>Yes</v>
      </c>
      <c r="E15" s="127"/>
      <c r="F15" s="119"/>
      <c r="G15" s="123"/>
      <c r="H15" s="79"/>
      <c r="I15" s="6"/>
      <c r="J15" s="117"/>
      <c r="K15" s="125"/>
      <c r="L15" s="125"/>
      <c r="M15" s="125"/>
      <c r="N15" s="43"/>
    </row>
    <row r="16" spans="1:14" x14ac:dyDescent="0.3">
      <c r="A16" s="40" t="s">
        <v>50</v>
      </c>
      <c r="B16" s="3" t="str">
        <f t="shared" si="0"/>
        <v>Barley, winter</v>
      </c>
      <c r="C16" s="3" t="str">
        <f t="shared" si="1"/>
        <v>Cereals</v>
      </c>
      <c r="D16" s="41" t="str">
        <f t="shared" si="2"/>
        <v>Yes</v>
      </c>
      <c r="E16" s="127"/>
      <c r="F16" s="119"/>
      <c r="G16" s="123"/>
      <c r="H16" s="79"/>
      <c r="I16" s="6"/>
      <c r="J16" s="117"/>
      <c r="K16" s="125"/>
      <c r="L16" s="125"/>
      <c r="M16" s="125"/>
      <c r="N16" s="43"/>
    </row>
    <row r="17" spans="1:14" x14ac:dyDescent="0.3">
      <c r="A17" s="40" t="s">
        <v>51</v>
      </c>
      <c r="B17" s="3" t="str">
        <f t="shared" si="0"/>
        <v>Beans, dry</v>
      </c>
      <c r="C17" s="3" t="str">
        <f t="shared" si="1"/>
        <v>Pulses</v>
      </c>
      <c r="D17" s="41" t="str">
        <f t="shared" si="2"/>
        <v>Yes</v>
      </c>
      <c r="E17" s="127"/>
      <c r="F17" s="119"/>
      <c r="G17" s="123"/>
      <c r="I17" s="6"/>
      <c r="J17" s="117"/>
      <c r="K17" s="125"/>
      <c r="L17" s="125"/>
      <c r="M17" s="125"/>
      <c r="N17" s="43"/>
    </row>
    <row r="18" spans="1:14" x14ac:dyDescent="0.3">
      <c r="A18" s="40" t="s">
        <v>52</v>
      </c>
      <c r="B18" s="3" t="str">
        <f t="shared" si="0"/>
        <v>Blueberries</v>
      </c>
      <c r="C18" s="3" t="str">
        <f t="shared" si="1"/>
        <v>Berries</v>
      </c>
      <c r="D18" s="41" t="str">
        <f t="shared" si="2"/>
        <v>No</v>
      </c>
      <c r="E18" s="127"/>
      <c r="F18" s="119"/>
      <c r="G18" s="123"/>
      <c r="H18" s="79"/>
      <c r="I18" s="6"/>
      <c r="J18" s="117"/>
      <c r="K18" s="125"/>
      <c r="L18" s="125"/>
      <c r="M18" s="125"/>
      <c r="N18" s="43"/>
    </row>
    <row r="19" spans="1:14" x14ac:dyDescent="0.3">
      <c r="A19" s="40" t="s">
        <v>53</v>
      </c>
      <c r="B19" s="3" t="str">
        <f t="shared" si="0"/>
        <v>Brazil nuts, in shell</v>
      </c>
      <c r="C19" s="3" t="str">
        <f t="shared" si="1"/>
        <v>Nuts</v>
      </c>
      <c r="D19" s="41" t="str">
        <f t="shared" si="2"/>
        <v>No</v>
      </c>
      <c r="E19" s="127"/>
      <c r="F19" s="119"/>
      <c r="G19" s="123"/>
      <c r="H19" s="79"/>
      <c r="I19" s="6"/>
      <c r="J19" s="117"/>
      <c r="K19" s="125"/>
      <c r="L19" s="125"/>
      <c r="M19" s="125"/>
      <c r="N19" s="43"/>
    </row>
    <row r="20" spans="1:14" x14ac:dyDescent="0.3">
      <c r="A20" s="40" t="s">
        <v>54</v>
      </c>
      <c r="B20" s="3" t="str">
        <f t="shared" si="0"/>
        <v>Broad beans and horse beans, dry</v>
      </c>
      <c r="C20" s="3" t="str">
        <f t="shared" si="1"/>
        <v>Pulses, incl feed</v>
      </c>
      <c r="D20" s="41" t="str">
        <f t="shared" si="2"/>
        <v>Yes</v>
      </c>
      <c r="E20" s="127"/>
      <c r="F20" s="119"/>
      <c r="G20" s="123"/>
      <c r="H20" s="79"/>
      <c r="I20" s="6"/>
      <c r="J20" s="117"/>
      <c r="K20" s="125"/>
      <c r="L20" s="125"/>
      <c r="M20" s="125"/>
      <c r="N20" s="43"/>
    </row>
    <row r="21" spans="1:14" x14ac:dyDescent="0.3">
      <c r="A21" s="40" t="s">
        <v>55</v>
      </c>
      <c r="B21" s="3" t="str">
        <f t="shared" si="0"/>
        <v>Broad beans and horse beans, green</v>
      </c>
      <c r="C21" s="3" t="str">
        <f t="shared" si="1"/>
        <v>Vegetables</v>
      </c>
      <c r="D21" s="41" t="str">
        <f t="shared" si="2"/>
        <v>No</v>
      </c>
      <c r="E21" s="127"/>
      <c r="F21" s="119"/>
      <c r="G21" s="123"/>
      <c r="H21" s="79"/>
      <c r="I21" s="6"/>
      <c r="J21" s="117"/>
      <c r="K21" s="125"/>
      <c r="L21" s="125"/>
      <c r="M21" s="125"/>
      <c r="N21" s="43"/>
    </row>
    <row r="22" spans="1:14" x14ac:dyDescent="0.3">
      <c r="A22" s="40" t="s">
        <v>56</v>
      </c>
      <c r="B22" s="3" t="str">
        <f t="shared" si="0"/>
        <v>Broccoli</v>
      </c>
      <c r="C22" s="3" t="str">
        <f t="shared" si="1"/>
        <v>Vegetables</v>
      </c>
      <c r="D22" s="41" t="str">
        <f t="shared" si="2"/>
        <v>Yes</v>
      </c>
      <c r="E22" s="127"/>
      <c r="F22" s="119"/>
      <c r="G22" s="123"/>
      <c r="H22" s="79"/>
      <c r="I22" s="6"/>
      <c r="J22" s="117"/>
      <c r="K22" s="125"/>
      <c r="L22" s="125"/>
      <c r="M22" s="125"/>
      <c r="N22" s="43"/>
    </row>
    <row r="23" spans="1:14" x14ac:dyDescent="0.3">
      <c r="A23" s="40" t="s">
        <v>57</v>
      </c>
      <c r="B23" s="3" t="str">
        <f t="shared" si="0"/>
        <v>Buckwheat</v>
      </c>
      <c r="C23" s="3" t="str">
        <f t="shared" si="1"/>
        <v>Seeds</v>
      </c>
      <c r="D23" s="41" t="str">
        <f t="shared" si="2"/>
        <v>No</v>
      </c>
      <c r="E23" s="127"/>
      <c r="F23" s="119"/>
      <c r="G23" s="123"/>
      <c r="H23" s="79"/>
      <c r="I23" s="6"/>
      <c r="J23" s="117"/>
      <c r="K23" s="125"/>
      <c r="L23" s="125"/>
      <c r="M23" s="125"/>
      <c r="N23" s="43"/>
    </row>
    <row r="24" spans="1:14" x14ac:dyDescent="0.3">
      <c r="A24" s="40" t="s">
        <v>58</v>
      </c>
      <c r="B24" s="3" t="str">
        <f t="shared" si="0"/>
        <v>Cabbages</v>
      </c>
      <c r="C24" s="3" t="str">
        <f t="shared" si="1"/>
        <v>Vegetables</v>
      </c>
      <c r="D24" s="41" t="str">
        <f t="shared" si="2"/>
        <v>Yes</v>
      </c>
      <c r="E24" s="127"/>
      <c r="F24" s="119"/>
      <c r="G24" s="123"/>
      <c r="H24" s="79"/>
      <c r="I24" s="6"/>
      <c r="J24" s="117"/>
      <c r="K24" s="125"/>
      <c r="L24" s="125"/>
      <c r="M24" s="125"/>
      <c r="N24" s="43"/>
    </row>
    <row r="25" spans="1:14" x14ac:dyDescent="0.3">
      <c r="A25" s="40" t="s">
        <v>59</v>
      </c>
      <c r="B25" s="3" t="str">
        <f t="shared" si="0"/>
        <v>Cantaloupes and other melons</v>
      </c>
      <c r="C25" s="3" t="str">
        <f t="shared" si="1"/>
        <v>Fruits</v>
      </c>
      <c r="D25" s="41" t="str">
        <f t="shared" si="2"/>
        <v>No</v>
      </c>
      <c r="E25" s="127"/>
      <c r="F25" s="119"/>
      <c r="G25" s="123"/>
      <c r="H25" s="79"/>
      <c r="I25" s="6"/>
      <c r="J25" s="117"/>
      <c r="K25" s="125"/>
      <c r="L25" s="125"/>
      <c r="M25" s="125"/>
      <c r="N25" s="43"/>
    </row>
    <row r="26" spans="1:14" x14ac:dyDescent="0.3">
      <c r="A26" s="40" t="s">
        <v>60</v>
      </c>
      <c r="B26" s="3" t="str">
        <f t="shared" si="0"/>
        <v>Carrots and turnips</v>
      </c>
      <c r="C26" s="3" t="str">
        <f t="shared" si="1"/>
        <v>Vegetables</v>
      </c>
      <c r="D26" s="41" t="str">
        <f t="shared" si="2"/>
        <v>Yes</v>
      </c>
      <c r="E26" s="127"/>
      <c r="F26" s="119"/>
      <c r="G26" s="123"/>
      <c r="H26" s="79"/>
      <c r="I26" s="6"/>
      <c r="J26" s="117"/>
      <c r="K26" s="125"/>
      <c r="L26" s="125"/>
      <c r="M26" s="125"/>
      <c r="N26" s="43"/>
    </row>
    <row r="27" spans="1:14" x14ac:dyDescent="0.3">
      <c r="A27" s="40" t="s">
        <v>61</v>
      </c>
      <c r="B27" s="3" t="str">
        <f t="shared" si="0"/>
        <v>Cashew nuts, in shell</v>
      </c>
      <c r="C27" s="3" t="str">
        <f t="shared" si="1"/>
        <v>Nuts</v>
      </c>
      <c r="D27" s="41" t="str">
        <f t="shared" si="2"/>
        <v>No</v>
      </c>
      <c r="E27" s="127"/>
      <c r="F27" s="119"/>
      <c r="G27" s="123"/>
      <c r="H27" s="79"/>
      <c r="I27" s="6"/>
      <c r="J27" s="117"/>
      <c r="K27" s="125"/>
      <c r="L27" s="125"/>
      <c r="M27" s="125"/>
      <c r="N27" s="43"/>
    </row>
    <row r="28" spans="1:14" x14ac:dyDescent="0.3">
      <c r="A28" s="40" t="s">
        <v>62</v>
      </c>
      <c r="B28" s="3" t="str">
        <f t="shared" si="0"/>
        <v>Cauliflowers</v>
      </c>
      <c r="C28" s="3" t="str">
        <f t="shared" si="1"/>
        <v>Vegetables</v>
      </c>
      <c r="D28" s="41" t="str">
        <f t="shared" si="2"/>
        <v>Yes</v>
      </c>
      <c r="E28" s="127"/>
      <c r="F28" s="119"/>
      <c r="G28" s="123"/>
      <c r="H28" s="79"/>
      <c r="I28" s="6"/>
      <c r="J28" s="117"/>
      <c r="K28" s="125"/>
      <c r="L28" s="125"/>
      <c r="M28" s="125"/>
      <c r="N28" s="43"/>
    </row>
    <row r="29" spans="1:14" x14ac:dyDescent="0.3">
      <c r="A29" s="40" t="s">
        <v>63</v>
      </c>
      <c r="B29" s="3" t="str">
        <f t="shared" si="0"/>
        <v>Cauliflowers and broccoli, average</v>
      </c>
      <c r="C29" s="3" t="str">
        <f t="shared" si="1"/>
        <v>Vegetables</v>
      </c>
      <c r="D29" s="41" t="str">
        <f t="shared" si="2"/>
        <v>Yes</v>
      </c>
      <c r="E29" s="127"/>
      <c r="F29" s="119"/>
      <c r="G29" s="123"/>
      <c r="H29" s="79"/>
      <c r="I29" s="6"/>
      <c r="J29" s="117"/>
      <c r="K29" s="125"/>
      <c r="L29" s="125"/>
      <c r="M29" s="125"/>
      <c r="N29" s="43"/>
    </row>
    <row r="30" spans="1:14" x14ac:dyDescent="0.3">
      <c r="A30" s="40" t="s">
        <v>64</v>
      </c>
      <c r="B30" s="3" t="str">
        <f t="shared" si="0"/>
        <v>Cereals n.e.c.</v>
      </c>
      <c r="C30" s="3" t="str">
        <f t="shared" si="1"/>
        <v>Cereals</v>
      </c>
      <c r="D30" s="41" t="str">
        <f t="shared" si="2"/>
        <v>No</v>
      </c>
      <c r="E30" s="127"/>
      <c r="F30" s="119"/>
      <c r="G30" s="123"/>
      <c r="I30" s="6"/>
      <c r="J30" s="117"/>
      <c r="K30" s="125"/>
      <c r="L30" s="125"/>
      <c r="M30" s="125"/>
      <c r="N30" s="43"/>
    </row>
    <row r="31" spans="1:14" x14ac:dyDescent="0.3">
      <c r="A31" s="40" t="s">
        <v>65</v>
      </c>
      <c r="B31" s="3" t="str">
        <f t="shared" si="0"/>
        <v>Cherries</v>
      </c>
      <c r="C31" s="3" t="str">
        <f t="shared" si="1"/>
        <v>Berries</v>
      </c>
      <c r="D31" s="41" t="str">
        <f t="shared" si="2"/>
        <v>No</v>
      </c>
      <c r="E31" s="127"/>
      <c r="F31" s="119"/>
      <c r="G31" s="123"/>
      <c r="I31" s="6"/>
      <c r="J31" s="117"/>
      <c r="K31" s="125"/>
      <c r="L31" s="125"/>
      <c r="M31" s="125"/>
      <c r="N31" s="43"/>
    </row>
    <row r="32" spans="1:14" x14ac:dyDescent="0.3">
      <c r="A32" s="40" t="s">
        <v>66</v>
      </c>
      <c r="B32" s="3" t="str">
        <f t="shared" si="0"/>
        <v>Chestnuts, in shell</v>
      </c>
      <c r="C32" s="3" t="str">
        <f t="shared" si="1"/>
        <v>Nuts</v>
      </c>
      <c r="D32" s="41" t="str">
        <f t="shared" si="2"/>
        <v>No</v>
      </c>
      <c r="E32" s="127"/>
      <c r="F32" s="119"/>
      <c r="G32" s="123"/>
      <c r="I32" s="6"/>
      <c r="J32" s="117"/>
      <c r="K32" s="125"/>
      <c r="L32" s="125"/>
      <c r="M32" s="125"/>
      <c r="N32" s="43"/>
    </row>
    <row r="33" spans="1:14" x14ac:dyDescent="0.3">
      <c r="A33" s="40" t="s">
        <v>67</v>
      </c>
      <c r="B33" s="3" t="str">
        <f t="shared" si="0"/>
        <v>Chick peas, dry</v>
      </c>
      <c r="C33" s="3" t="str">
        <f t="shared" si="1"/>
        <v>Pulses</v>
      </c>
      <c r="D33" s="41" t="str">
        <f t="shared" si="2"/>
        <v>No</v>
      </c>
      <c r="E33" s="127"/>
      <c r="F33" s="119"/>
      <c r="G33" s="123"/>
      <c r="I33" s="6"/>
      <c r="J33" s="117"/>
      <c r="K33" s="125"/>
      <c r="L33" s="125"/>
      <c r="M33" s="125"/>
      <c r="N33" s="43"/>
    </row>
    <row r="34" spans="1:14" x14ac:dyDescent="0.3">
      <c r="A34" s="40" t="s">
        <v>68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1" t="str">
        <f t="shared" si="2"/>
        <v>No</v>
      </c>
      <c r="E34" s="127"/>
      <c r="F34" s="119"/>
      <c r="G34" s="123"/>
      <c r="I34" s="6"/>
      <c r="J34" s="117"/>
      <c r="K34" s="125"/>
      <c r="L34" s="125"/>
      <c r="M34" s="125"/>
      <c r="N34" s="43"/>
    </row>
    <row r="35" spans="1:14" x14ac:dyDescent="0.3">
      <c r="A35" s="40" t="s">
        <v>69</v>
      </c>
      <c r="B35" s="3" t="str">
        <f t="shared" si="0"/>
        <v>Cocoa beans</v>
      </c>
      <c r="C35" s="3" t="str">
        <f t="shared" si="1"/>
        <v>Stimulants</v>
      </c>
      <c r="D35" s="41" t="str">
        <f t="shared" si="2"/>
        <v>No</v>
      </c>
      <c r="E35" s="127"/>
      <c r="F35" s="119"/>
      <c r="G35" s="123"/>
      <c r="I35" s="6"/>
      <c r="J35" s="117"/>
      <c r="K35" s="125"/>
      <c r="L35" s="125"/>
      <c r="M35" s="125"/>
      <c r="N35" s="43"/>
    </row>
    <row r="36" spans="1:14" x14ac:dyDescent="0.3">
      <c r="A36" s="40" t="s">
        <v>70</v>
      </c>
      <c r="B36" s="3" t="str">
        <f t="shared" si="0"/>
        <v>Coconut, in shell</v>
      </c>
      <c r="C36" s="3" t="str">
        <f t="shared" si="1"/>
        <v>Nuts</v>
      </c>
      <c r="D36" s="41" t="str">
        <f t="shared" si="2"/>
        <v>No</v>
      </c>
      <c r="E36" s="127"/>
      <c r="F36" s="119"/>
      <c r="G36" s="123"/>
      <c r="I36" s="6"/>
      <c r="J36" s="117"/>
      <c r="K36" s="125"/>
      <c r="L36" s="125"/>
      <c r="M36" s="125"/>
      <c r="N36" s="43"/>
    </row>
    <row r="37" spans="1:14" x14ac:dyDescent="0.3">
      <c r="A37" s="40" t="s">
        <v>71</v>
      </c>
      <c r="B37" s="3" t="str">
        <f t="shared" si="0"/>
        <v>Coffee, green</v>
      </c>
      <c r="C37" s="3" t="str">
        <f t="shared" si="1"/>
        <v>Stimulants</v>
      </c>
      <c r="D37" s="41" t="str">
        <f t="shared" si="2"/>
        <v>No</v>
      </c>
      <c r="E37" s="127"/>
      <c r="F37" s="119"/>
      <c r="G37" s="123"/>
      <c r="I37" s="6"/>
      <c r="J37" s="117"/>
      <c r="K37" s="125"/>
      <c r="L37" s="125"/>
      <c r="M37" s="125"/>
      <c r="N37" s="43"/>
    </row>
    <row r="38" spans="1:14" x14ac:dyDescent="0.3">
      <c r="A38" s="40" t="s">
        <v>72</v>
      </c>
      <c r="B38" s="3" t="str">
        <f t="shared" si="0"/>
        <v>Cucumbers and gherkins, averrage</v>
      </c>
      <c r="C38" s="3" t="str">
        <f t="shared" si="1"/>
        <v>Vegetables</v>
      </c>
      <c r="D38" s="41" t="str">
        <f t="shared" si="2"/>
        <v>Yes</v>
      </c>
      <c r="E38" s="127"/>
      <c r="F38" s="119"/>
      <c r="G38" s="123"/>
      <c r="H38" s="85"/>
      <c r="I38" s="6"/>
      <c r="J38" s="117"/>
      <c r="K38" s="125"/>
      <c r="L38" s="125"/>
      <c r="M38" s="125"/>
      <c r="N38" s="43"/>
    </row>
    <row r="39" spans="1:14" x14ac:dyDescent="0.3">
      <c r="A39" s="40" t="s">
        <v>73</v>
      </c>
      <c r="B39" s="3" t="str">
        <f t="shared" si="0"/>
        <v>Cucumbers and gherkins, greenhouse</v>
      </c>
      <c r="C39" s="3" t="str">
        <f t="shared" si="1"/>
        <v>Vegetables</v>
      </c>
      <c r="D39" s="41" t="str">
        <f t="shared" si="2"/>
        <v>Yes</v>
      </c>
      <c r="E39" s="127"/>
      <c r="F39" s="119"/>
      <c r="G39" s="123"/>
      <c r="H39" s="85"/>
      <c r="I39" s="6"/>
      <c r="J39" s="117"/>
      <c r="K39" s="125"/>
      <c r="L39" s="125"/>
      <c r="M39" s="125"/>
      <c r="N39" s="43"/>
    </row>
    <row r="40" spans="1:14" x14ac:dyDescent="0.3">
      <c r="A40" s="40" t="s">
        <v>74</v>
      </c>
      <c r="B40" s="3" t="str">
        <f t="shared" si="0"/>
        <v>Cucumbers and gherkins, openfield</v>
      </c>
      <c r="C40" s="3" t="str">
        <f t="shared" si="1"/>
        <v>Vegetables</v>
      </c>
      <c r="D40" s="41" t="str">
        <f t="shared" si="2"/>
        <v>Yes</v>
      </c>
      <c r="E40" s="127"/>
      <c r="F40" s="119"/>
      <c r="G40" s="123"/>
      <c r="H40" s="85"/>
      <c r="I40" s="6"/>
      <c r="J40" s="117"/>
      <c r="K40" s="125"/>
      <c r="L40" s="125"/>
      <c r="M40" s="125"/>
      <c r="N40" s="43"/>
    </row>
    <row r="41" spans="1:14" x14ac:dyDescent="0.3">
      <c r="A41" s="40" t="s">
        <v>75</v>
      </c>
      <c r="B41" s="3" t="str">
        <f t="shared" si="0"/>
        <v>Currants</v>
      </c>
      <c r="C41" s="3" t="str">
        <f t="shared" si="1"/>
        <v>Berries</v>
      </c>
      <c r="D41" s="41" t="str">
        <f t="shared" si="2"/>
        <v>Yes</v>
      </c>
      <c r="E41" s="127"/>
      <c r="F41" s="119"/>
      <c r="G41" s="123"/>
      <c r="H41" s="79"/>
      <c r="I41" s="6"/>
      <c r="J41" s="117"/>
      <c r="K41" s="125"/>
      <c r="L41" s="125"/>
      <c r="M41" s="125"/>
      <c r="N41" s="43"/>
    </row>
    <row r="42" spans="1:14" x14ac:dyDescent="0.3">
      <c r="A42" s="40" t="s">
        <v>76</v>
      </c>
      <c r="B42" s="3" t="str">
        <f t="shared" si="0"/>
        <v>Dates</v>
      </c>
      <c r="C42" s="3" t="str">
        <f t="shared" si="1"/>
        <v>Fruits</v>
      </c>
      <c r="D42" s="41" t="str">
        <f t="shared" si="2"/>
        <v>No</v>
      </c>
      <c r="E42" s="127"/>
      <c r="F42" s="119"/>
      <c r="G42" s="123"/>
      <c r="I42" s="6"/>
      <c r="J42" s="117"/>
      <c r="K42" s="125"/>
      <c r="L42" s="125"/>
      <c r="M42" s="125"/>
      <c r="N42" s="43"/>
    </row>
    <row r="43" spans="1:14" x14ac:dyDescent="0.3">
      <c r="A43" s="40" t="s">
        <v>77</v>
      </c>
      <c r="B43" s="3" t="str">
        <f t="shared" si="0"/>
        <v>Edible roots and tubers with high starch or inulin content, n.e.c., fresh</v>
      </c>
      <c r="C43" s="3" t="str">
        <f t="shared" si="1"/>
        <v>Roots</v>
      </c>
      <c r="D43" s="41" t="str">
        <f t="shared" si="2"/>
        <v>No</v>
      </c>
      <c r="E43" s="127"/>
      <c r="F43" s="119"/>
      <c r="G43" s="123"/>
      <c r="I43" s="6"/>
      <c r="J43" s="117"/>
      <c r="K43" s="125"/>
      <c r="L43" s="125"/>
      <c r="M43" s="125"/>
      <c r="N43" s="43"/>
    </row>
    <row r="44" spans="1:14" x14ac:dyDescent="0.3">
      <c r="A44" s="40" t="s">
        <v>78</v>
      </c>
      <c r="B44" s="3" t="str">
        <f t="shared" si="0"/>
        <v>Eggplants (aubergines)</v>
      </c>
      <c r="C44" s="3" t="str">
        <f t="shared" si="1"/>
        <v>Vegetables</v>
      </c>
      <c r="D44" s="41" t="str">
        <f t="shared" si="2"/>
        <v>No</v>
      </c>
      <c r="E44" s="127"/>
      <c r="F44" s="119"/>
      <c r="G44" s="123"/>
      <c r="I44" s="6"/>
      <c r="J44" s="117"/>
      <c r="K44" s="125"/>
      <c r="L44" s="125"/>
      <c r="M44" s="125"/>
      <c r="N44" s="43"/>
    </row>
    <row r="45" spans="1:14" x14ac:dyDescent="0.3">
      <c r="A45" s="40" t="s">
        <v>79</v>
      </c>
      <c r="B45" s="3" t="str">
        <f t="shared" si="0"/>
        <v>Figs</v>
      </c>
      <c r="C45" s="3" t="str">
        <f t="shared" si="1"/>
        <v>Fruits</v>
      </c>
      <c r="D45" s="41" t="str">
        <f t="shared" si="2"/>
        <v>No</v>
      </c>
      <c r="E45" s="127"/>
      <c r="F45" s="119"/>
      <c r="G45" s="123"/>
      <c r="I45" s="6"/>
      <c r="J45" s="117"/>
      <c r="K45" s="125"/>
      <c r="L45" s="125"/>
      <c r="M45" s="125"/>
      <c r="N45" s="43"/>
    </row>
    <row r="46" spans="1:14" x14ac:dyDescent="0.3">
      <c r="A46" s="40" t="s">
        <v>80</v>
      </c>
      <c r="B46" s="3" t="str">
        <f t="shared" si="0"/>
        <v>Gooseberries</v>
      </c>
      <c r="C46" s="3" t="str">
        <f t="shared" si="1"/>
        <v>Berries</v>
      </c>
      <c r="D46" s="41" t="str">
        <f t="shared" si="2"/>
        <v>No</v>
      </c>
      <c r="E46" s="127"/>
      <c r="F46" s="119"/>
      <c r="G46" s="123"/>
      <c r="H46" s="79"/>
      <c r="I46" s="6"/>
      <c r="J46" s="117"/>
      <c r="K46" s="125"/>
      <c r="L46" s="125"/>
      <c r="M46" s="125"/>
      <c r="N46" s="43"/>
    </row>
    <row r="47" spans="1:14" x14ac:dyDescent="0.3">
      <c r="A47" s="40" t="s">
        <v>81</v>
      </c>
      <c r="B47" s="3" t="str">
        <f t="shared" si="0"/>
        <v>Grapes</v>
      </c>
      <c r="C47" s="3" t="str">
        <f t="shared" si="1"/>
        <v>Fruits</v>
      </c>
      <c r="D47" s="41" t="str">
        <f t="shared" si="2"/>
        <v>Yes</v>
      </c>
      <c r="E47" s="127"/>
      <c r="F47" s="119"/>
      <c r="G47" s="123"/>
      <c r="I47" s="6"/>
      <c r="J47" s="117"/>
      <c r="K47" s="125"/>
      <c r="L47" s="125"/>
      <c r="M47" s="125"/>
      <c r="N47" s="43"/>
    </row>
    <row r="48" spans="1:14" x14ac:dyDescent="0.3">
      <c r="A48" s="40" t="s">
        <v>82</v>
      </c>
      <c r="B48" s="3" t="str">
        <f t="shared" si="0"/>
        <v>Green corn (maize)</v>
      </c>
      <c r="C48" s="3" t="str">
        <f t="shared" si="1"/>
        <v>Vegetables</v>
      </c>
      <c r="D48" s="41" t="str">
        <f t="shared" si="2"/>
        <v>No</v>
      </c>
      <c r="E48" s="127"/>
      <c r="F48" s="119"/>
      <c r="G48" s="123"/>
      <c r="H48" s="79"/>
      <c r="I48" s="6"/>
      <c r="J48" s="117"/>
      <c r="K48" s="125"/>
      <c r="L48" s="125"/>
      <c r="M48" s="125"/>
      <c r="N48" s="43"/>
    </row>
    <row r="49" spans="1:14" x14ac:dyDescent="0.3">
      <c r="A49" s="40" t="s">
        <v>83</v>
      </c>
      <c r="B49" s="3" t="str">
        <f t="shared" si="0"/>
        <v>Green garlic</v>
      </c>
      <c r="C49" s="3" t="str">
        <f t="shared" si="1"/>
        <v>Vegetables</v>
      </c>
      <c r="D49" s="41" t="str">
        <f t="shared" si="2"/>
        <v>Yes</v>
      </c>
      <c r="E49" s="127"/>
      <c r="F49" s="119"/>
      <c r="G49" s="123"/>
      <c r="I49" s="6"/>
      <c r="J49" s="117"/>
      <c r="K49" s="125"/>
      <c r="L49" s="125"/>
      <c r="M49" s="125"/>
      <c r="N49" s="43"/>
    </row>
    <row r="50" spans="1:14" x14ac:dyDescent="0.3">
      <c r="A50" s="40" t="s">
        <v>84</v>
      </c>
      <c r="B50" s="3" t="str">
        <f t="shared" si="0"/>
        <v>Groundnuts, excluding shelled</v>
      </c>
      <c r="C50" s="3" t="str">
        <f t="shared" si="1"/>
        <v>Nuts</v>
      </c>
      <c r="D50" s="41" t="str">
        <f t="shared" si="2"/>
        <v>No</v>
      </c>
      <c r="E50" s="127"/>
      <c r="F50" s="119"/>
      <c r="G50" s="123"/>
      <c r="I50" s="6"/>
      <c r="J50" s="117"/>
      <c r="K50" s="125"/>
      <c r="L50" s="125"/>
      <c r="M50" s="125"/>
      <c r="N50" s="43"/>
    </row>
    <row r="51" spans="1:14" x14ac:dyDescent="0.3">
      <c r="A51" s="40" t="s">
        <v>85</v>
      </c>
      <c r="B51" s="3" t="str">
        <f t="shared" si="0"/>
        <v>Hazelnuts, in shell</v>
      </c>
      <c r="C51" s="3" t="str">
        <f t="shared" si="1"/>
        <v>Nuts</v>
      </c>
      <c r="D51" s="41" t="str">
        <f t="shared" si="2"/>
        <v>No</v>
      </c>
      <c r="E51" s="127"/>
      <c r="F51" s="119"/>
      <c r="G51" s="123"/>
      <c r="I51" s="6"/>
      <c r="J51" s="117"/>
      <c r="K51" s="125"/>
      <c r="L51" s="125"/>
      <c r="M51" s="125"/>
      <c r="N51" s="43"/>
    </row>
    <row r="52" spans="1:14" x14ac:dyDescent="0.3">
      <c r="A52" s="40" t="s">
        <v>86</v>
      </c>
      <c r="B52" s="3" t="str">
        <f t="shared" si="0"/>
        <v>Kiwi fruit</v>
      </c>
      <c r="C52" s="3" t="str">
        <f t="shared" si="1"/>
        <v>Fruits</v>
      </c>
      <c r="D52" s="41" t="str">
        <f t="shared" si="2"/>
        <v>No</v>
      </c>
      <c r="E52" s="127"/>
      <c r="F52" s="119"/>
      <c r="G52" s="123"/>
      <c r="H52" s="79"/>
      <c r="I52" s="6"/>
      <c r="J52" s="117"/>
      <c r="K52" s="125"/>
      <c r="L52" s="125"/>
      <c r="M52" s="125"/>
      <c r="N52" s="43"/>
    </row>
    <row r="53" spans="1:14" x14ac:dyDescent="0.3">
      <c r="A53" s="40" t="s">
        <v>87</v>
      </c>
      <c r="B53" s="3" t="str">
        <f t="shared" si="0"/>
        <v>Leeks and other alliaceous vegetables</v>
      </c>
      <c r="C53" s="3" t="str">
        <f t="shared" si="1"/>
        <v>Vegetables</v>
      </c>
      <c r="D53" s="41" t="str">
        <f t="shared" si="2"/>
        <v>Yes</v>
      </c>
      <c r="E53" s="127"/>
      <c r="F53" s="119"/>
      <c r="G53" s="123"/>
      <c r="I53" s="6"/>
      <c r="J53" s="117"/>
      <c r="K53" s="125"/>
      <c r="L53" s="125"/>
      <c r="M53" s="125"/>
      <c r="N53" s="43"/>
    </row>
    <row r="54" spans="1:14" x14ac:dyDescent="0.3">
      <c r="A54" s="40" t="s">
        <v>88</v>
      </c>
      <c r="B54" s="3" t="str">
        <f t="shared" si="0"/>
        <v>Lemons and limes</v>
      </c>
      <c r="C54" s="3" t="str">
        <f t="shared" si="1"/>
        <v>Fruits</v>
      </c>
      <c r="D54" s="41" t="str">
        <f t="shared" si="2"/>
        <v>No</v>
      </c>
      <c r="E54" s="127"/>
      <c r="F54" s="119"/>
      <c r="G54" s="123"/>
      <c r="I54" s="6"/>
      <c r="J54" s="117"/>
      <c r="K54" s="125"/>
      <c r="L54" s="125"/>
      <c r="M54" s="125"/>
      <c r="N54" s="43"/>
    </row>
    <row r="55" spans="1:14" x14ac:dyDescent="0.3">
      <c r="A55" s="40" t="s">
        <v>89</v>
      </c>
      <c r="B55" s="3" t="str">
        <f t="shared" si="0"/>
        <v>Lentils, dry</v>
      </c>
      <c r="C55" s="3" t="str">
        <f t="shared" si="1"/>
        <v>Pulses</v>
      </c>
      <c r="D55" s="41" t="str">
        <f t="shared" si="2"/>
        <v>Yes</v>
      </c>
      <c r="E55" s="127"/>
      <c r="F55" s="119"/>
      <c r="G55" s="123"/>
      <c r="H55" s="79"/>
      <c r="I55" s="6"/>
      <c r="J55" s="117"/>
      <c r="K55" s="125"/>
      <c r="L55" s="125"/>
      <c r="M55" s="125"/>
      <c r="N55" s="43"/>
    </row>
    <row r="56" spans="1:14" x14ac:dyDescent="0.3">
      <c r="A56" s="40" t="s">
        <v>90</v>
      </c>
      <c r="B56" s="3" t="str">
        <f t="shared" si="0"/>
        <v>Lettuce and chicory</v>
      </c>
      <c r="C56" s="3" t="str">
        <f t="shared" si="1"/>
        <v>Vegetables</v>
      </c>
      <c r="D56" s="41" t="str">
        <f t="shared" si="2"/>
        <v>Yes</v>
      </c>
      <c r="E56" s="127"/>
      <c r="F56" s="119"/>
      <c r="G56" s="123"/>
      <c r="H56" s="79"/>
      <c r="I56" s="6"/>
      <c r="J56" s="117"/>
      <c r="K56" s="125"/>
      <c r="L56" s="125"/>
      <c r="M56" s="125"/>
      <c r="N56" s="43"/>
    </row>
    <row r="57" spans="1:14" x14ac:dyDescent="0.3">
      <c r="A57" s="40" t="s">
        <v>91</v>
      </c>
      <c r="B57" s="3" t="str">
        <f t="shared" si="0"/>
        <v>Linseed</v>
      </c>
      <c r="C57" s="3" t="str">
        <f t="shared" si="1"/>
        <v>Seeds</v>
      </c>
      <c r="D57" s="41" t="str">
        <f t="shared" si="2"/>
        <v>Yes</v>
      </c>
      <c r="E57" s="127"/>
      <c r="F57" s="119"/>
      <c r="G57" s="123"/>
      <c r="I57" s="6"/>
      <c r="J57" s="117"/>
      <c r="K57" s="125"/>
      <c r="L57" s="125"/>
      <c r="M57" s="125"/>
      <c r="N57" s="43"/>
    </row>
    <row r="58" spans="1:14" x14ac:dyDescent="0.3">
      <c r="A58" s="40" t="s">
        <v>92</v>
      </c>
      <c r="B58" s="3" t="str">
        <f t="shared" si="0"/>
        <v>Lupins</v>
      </c>
      <c r="C58" s="3" t="str">
        <f t="shared" si="1"/>
        <v>Pulses</v>
      </c>
      <c r="D58" s="41" t="str">
        <f t="shared" si="2"/>
        <v>No</v>
      </c>
      <c r="E58" s="127"/>
      <c r="F58" s="119"/>
      <c r="G58" s="123"/>
      <c r="H58" s="79"/>
      <c r="I58" s="6"/>
      <c r="J58" s="117"/>
      <c r="K58" s="125"/>
      <c r="L58" s="125"/>
      <c r="M58" s="125"/>
      <c r="N58" s="43"/>
    </row>
    <row r="59" spans="1:14" x14ac:dyDescent="0.3">
      <c r="A59" s="40" t="s">
        <v>93</v>
      </c>
      <c r="B59" s="3" t="str">
        <f t="shared" si="0"/>
        <v>Maize (corn)</v>
      </c>
      <c r="C59" s="3" t="str">
        <f t="shared" si="1"/>
        <v>Cereals, incl feed</v>
      </c>
      <c r="D59" s="41" t="str">
        <f t="shared" si="2"/>
        <v>Yes</v>
      </c>
      <c r="E59" s="127"/>
      <c r="F59" s="119"/>
      <c r="G59" s="123"/>
      <c r="H59" s="79"/>
      <c r="I59" s="6"/>
      <c r="J59" s="117"/>
      <c r="K59" s="125"/>
      <c r="L59" s="125"/>
      <c r="M59" s="125"/>
      <c r="N59" s="43"/>
    </row>
    <row r="60" spans="1:14" x14ac:dyDescent="0.3">
      <c r="A60" s="40" t="s">
        <v>94</v>
      </c>
      <c r="B60" s="3" t="str">
        <f t="shared" si="0"/>
        <v>Mangoes, guavas and mangosteens</v>
      </c>
      <c r="C60" s="3" t="str">
        <f t="shared" si="1"/>
        <v>Fruits</v>
      </c>
      <c r="D60" s="41" t="str">
        <f t="shared" si="2"/>
        <v>No</v>
      </c>
      <c r="E60" s="127"/>
      <c r="F60" s="119"/>
      <c r="G60" s="123"/>
      <c r="I60" s="6"/>
      <c r="J60" s="117"/>
      <c r="K60" s="125"/>
      <c r="L60" s="125"/>
      <c r="M60" s="125"/>
      <c r="N60" s="43"/>
    </row>
    <row r="61" spans="1:14" x14ac:dyDescent="0.3">
      <c r="A61" s="40" t="s">
        <v>95</v>
      </c>
      <c r="B61" s="3" t="str">
        <f t="shared" si="0"/>
        <v>Millet</v>
      </c>
      <c r="C61" s="3" t="str">
        <f t="shared" si="1"/>
        <v>Cereals</v>
      </c>
      <c r="D61" s="41" t="str">
        <f t="shared" si="2"/>
        <v>No</v>
      </c>
      <c r="E61" s="127"/>
      <c r="F61" s="119"/>
      <c r="G61" s="123"/>
      <c r="I61" s="6"/>
      <c r="J61" s="117"/>
      <c r="K61" s="125"/>
      <c r="L61" s="125"/>
      <c r="M61" s="125"/>
      <c r="N61" s="43"/>
    </row>
    <row r="62" spans="1:14" x14ac:dyDescent="0.3">
      <c r="A62" s="40" t="s">
        <v>96</v>
      </c>
      <c r="B62" s="3" t="str">
        <f t="shared" si="0"/>
        <v>Mixed grain</v>
      </c>
      <c r="C62" s="3" t="str">
        <f t="shared" si="1"/>
        <v>Cereals</v>
      </c>
      <c r="D62" s="41" t="str">
        <f t="shared" si="2"/>
        <v>No</v>
      </c>
      <c r="E62" s="127"/>
      <c r="F62" s="119"/>
      <c r="G62" s="123"/>
      <c r="I62" s="6"/>
      <c r="J62" s="117"/>
      <c r="K62" s="125"/>
      <c r="L62" s="125"/>
      <c r="M62" s="125"/>
      <c r="N62" s="43"/>
    </row>
    <row r="63" spans="1:14" x14ac:dyDescent="0.3">
      <c r="A63" s="40" t="s">
        <v>97</v>
      </c>
      <c r="B63" s="3" t="str">
        <f t="shared" si="0"/>
        <v>Mushrooms and truffles</v>
      </c>
      <c r="C63" s="3" t="str">
        <f t="shared" si="1"/>
        <v>Mushrooms</v>
      </c>
      <c r="D63" s="41" t="str">
        <f t="shared" si="2"/>
        <v>No</v>
      </c>
      <c r="E63" s="127"/>
      <c r="F63" s="119"/>
      <c r="G63" s="123"/>
      <c r="H63" s="79"/>
      <c r="I63" s="6"/>
      <c r="J63" s="117"/>
      <c r="K63" s="125"/>
      <c r="L63" s="125"/>
      <c r="M63" s="125"/>
      <c r="N63" s="43"/>
    </row>
    <row r="64" spans="1:14" x14ac:dyDescent="0.3">
      <c r="A64" s="40" t="s">
        <v>98</v>
      </c>
      <c r="B64" s="3" t="str">
        <f t="shared" si="0"/>
        <v>Oats</v>
      </c>
      <c r="C64" s="3" t="str">
        <f t="shared" si="1"/>
        <v>Cereals, incl feed</v>
      </c>
      <c r="D64" s="41" t="str">
        <f t="shared" si="2"/>
        <v>Yes</v>
      </c>
      <c r="E64" s="127"/>
      <c r="F64" s="119"/>
      <c r="G64" s="123"/>
      <c r="H64" s="79"/>
      <c r="I64" s="6"/>
      <c r="J64" s="117"/>
      <c r="K64" s="125"/>
      <c r="L64" s="125"/>
      <c r="M64" s="125"/>
      <c r="N64" s="43"/>
    </row>
    <row r="65" spans="1:14" x14ac:dyDescent="0.3">
      <c r="A65" s="40" t="s">
        <v>99</v>
      </c>
      <c r="B65" s="3" t="str">
        <f t="shared" si="0"/>
        <v>Oil palm fruit</v>
      </c>
      <c r="C65" s="3" t="str">
        <f t="shared" si="1"/>
        <v>Oil crops, tree</v>
      </c>
      <c r="D65" s="41" t="str">
        <f t="shared" si="2"/>
        <v>No</v>
      </c>
      <c r="E65" s="127"/>
      <c r="F65" s="119"/>
      <c r="G65" s="123"/>
      <c r="I65" s="6"/>
      <c r="J65" s="117"/>
      <c r="K65" s="125"/>
      <c r="L65" s="125"/>
      <c r="M65" s="125"/>
      <c r="N65" s="43"/>
    </row>
    <row r="66" spans="1:14" x14ac:dyDescent="0.3">
      <c r="A66" s="40" t="s">
        <v>100</v>
      </c>
      <c r="B66" s="3" t="str">
        <f t="shared" si="0"/>
        <v>Olives</v>
      </c>
      <c r="C66" s="3" t="str">
        <f t="shared" si="1"/>
        <v>Oil crops, tree</v>
      </c>
      <c r="D66" s="41" t="str">
        <f t="shared" si="2"/>
        <v>No</v>
      </c>
      <c r="E66" s="127"/>
      <c r="F66" s="119"/>
      <c r="G66" s="123"/>
      <c r="H66" s="79"/>
      <c r="I66" s="6"/>
      <c r="J66" s="117"/>
      <c r="K66" s="125"/>
      <c r="L66" s="125"/>
      <c r="M66" s="125"/>
      <c r="N66" s="43"/>
    </row>
    <row r="67" spans="1:14" x14ac:dyDescent="0.3">
      <c r="A67" s="40" t="s">
        <v>101</v>
      </c>
      <c r="B67" s="3" t="str">
        <f t="shared" si="0"/>
        <v>Onions and shallots, dry (excluding dehydrated)</v>
      </c>
      <c r="C67" s="3" t="str">
        <f t="shared" si="1"/>
        <v>Vegetables</v>
      </c>
      <c r="D67" s="41" t="str">
        <f t="shared" si="2"/>
        <v>Yes</v>
      </c>
      <c r="E67" s="127"/>
      <c r="F67" s="119"/>
      <c r="G67" s="123"/>
      <c r="I67" s="6"/>
      <c r="J67" s="117"/>
      <c r="K67" s="125"/>
      <c r="L67" s="125"/>
      <c r="M67" s="125"/>
      <c r="N67" s="43"/>
    </row>
    <row r="68" spans="1:14" x14ac:dyDescent="0.3">
      <c r="A68" s="40" t="s">
        <v>102</v>
      </c>
      <c r="B68" s="3" t="str">
        <f t="shared" si="0"/>
        <v>Oranges</v>
      </c>
      <c r="C68" s="3" t="str">
        <f t="shared" si="1"/>
        <v>Fruits</v>
      </c>
      <c r="D68" s="41" t="str">
        <f t="shared" si="2"/>
        <v>No</v>
      </c>
      <c r="E68" s="127"/>
      <c r="F68" s="119"/>
      <c r="G68" s="123"/>
      <c r="H68" s="79"/>
      <c r="I68" s="6"/>
      <c r="J68" s="117"/>
      <c r="K68" s="125"/>
      <c r="L68" s="125"/>
      <c r="M68" s="125"/>
      <c r="N68" s="43"/>
    </row>
    <row r="69" spans="1:14" x14ac:dyDescent="0.3">
      <c r="A69" s="40" t="s">
        <v>103</v>
      </c>
      <c r="B69" s="3" t="str">
        <f t="shared" si="0"/>
        <v>Other beans, green</v>
      </c>
      <c r="C69" s="3" t="str">
        <f t="shared" si="1"/>
        <v>Vegetables</v>
      </c>
      <c r="D69" s="41" t="str">
        <f t="shared" si="2"/>
        <v>Yes</v>
      </c>
      <c r="E69" s="127"/>
      <c r="F69" s="119"/>
      <c r="G69" s="123"/>
      <c r="I69" s="6"/>
      <c r="J69" s="117"/>
      <c r="K69" s="125"/>
      <c r="L69" s="125"/>
      <c r="M69" s="125"/>
      <c r="N69" s="43"/>
    </row>
    <row r="70" spans="1:14" x14ac:dyDescent="0.3">
      <c r="A70" s="40" t="s">
        <v>104</v>
      </c>
      <c r="B70" s="3" t="str">
        <f t="shared" ref="B70:B118" si="3">INDEX(Crop_data,MATCH(A70,Crop_data_codes,0),2)</f>
        <v>Other fruits, n.e.c.</v>
      </c>
      <c r="C70" s="3" t="str">
        <f t="shared" ref="C70:C118" si="4">INDEX(Crop_data,MATCH(A70,Crop_data_codes,0),3)</f>
        <v>Fruits</v>
      </c>
      <c r="D70" s="41" t="str">
        <f t="shared" ref="D70:D118" si="5">INDEX(Crop_data,MATCH(A70,Crop_data_codes,0),4)</f>
        <v>No</v>
      </c>
      <c r="E70" s="127"/>
      <c r="F70" s="119"/>
      <c r="G70" s="123"/>
      <c r="I70" s="6"/>
      <c r="J70" s="117"/>
      <c r="K70" s="125"/>
      <c r="L70" s="125"/>
      <c r="M70" s="125"/>
      <c r="N70" s="43"/>
    </row>
    <row r="71" spans="1:14" x14ac:dyDescent="0.3">
      <c r="A71" s="40" t="s">
        <v>105</v>
      </c>
      <c r="B71" s="3" t="str">
        <f t="shared" si="3"/>
        <v>Other oil seeds, n.e.c.</v>
      </c>
      <c r="C71" s="3" t="str">
        <f t="shared" si="4"/>
        <v>Oil crops</v>
      </c>
      <c r="D71" s="41" t="str">
        <f t="shared" si="5"/>
        <v>No</v>
      </c>
      <c r="E71" s="127"/>
      <c r="F71" s="119"/>
      <c r="G71" s="123"/>
      <c r="H71" s="79"/>
      <c r="I71" s="6"/>
      <c r="J71" s="117"/>
      <c r="K71" s="125"/>
      <c r="L71" s="125"/>
      <c r="M71" s="125"/>
      <c r="N71" s="43"/>
    </row>
    <row r="72" spans="1:14" x14ac:dyDescent="0.3">
      <c r="A72" s="40" t="s">
        <v>106</v>
      </c>
      <c r="B72" s="3" t="str">
        <f t="shared" si="3"/>
        <v>Other pulses n.e.c.</v>
      </c>
      <c r="C72" s="3" t="str">
        <f t="shared" si="4"/>
        <v>Pulses</v>
      </c>
      <c r="D72" s="41" t="str">
        <f t="shared" si="5"/>
        <v>Yes</v>
      </c>
      <c r="E72" s="127"/>
      <c r="F72" s="119"/>
      <c r="G72" s="123"/>
      <c r="I72" s="6"/>
      <c r="J72" s="117"/>
      <c r="K72" s="125"/>
      <c r="L72" s="125"/>
      <c r="M72" s="125"/>
      <c r="N72" s="43"/>
    </row>
    <row r="73" spans="1:14" x14ac:dyDescent="0.3">
      <c r="A73" s="40" t="s">
        <v>107</v>
      </c>
      <c r="B73" s="3" t="str">
        <f t="shared" si="3"/>
        <v>Other stimulant, spice and aromatic crops, n.e.c.</v>
      </c>
      <c r="C73" s="3" t="str">
        <f t="shared" si="4"/>
        <v>Stimulants</v>
      </c>
      <c r="D73" s="41" t="str">
        <f t="shared" si="5"/>
        <v>No</v>
      </c>
      <c r="E73" s="127"/>
      <c r="F73" s="119"/>
      <c r="G73" s="123"/>
      <c r="H73" s="79"/>
      <c r="I73" s="6"/>
      <c r="J73" s="117"/>
      <c r="K73" s="125"/>
      <c r="L73" s="125"/>
      <c r="M73" s="125"/>
      <c r="N73" s="43"/>
    </row>
    <row r="74" spans="1:14" x14ac:dyDescent="0.3">
      <c r="A74" s="40" t="s">
        <v>108</v>
      </c>
      <c r="B74" s="3" t="str">
        <f t="shared" si="3"/>
        <v>Other vegetables, fresh n.e.c.</v>
      </c>
      <c r="C74" s="3" t="str">
        <f t="shared" si="4"/>
        <v>Vegetables</v>
      </c>
      <c r="D74" s="41" t="str">
        <f t="shared" si="5"/>
        <v>Yes</v>
      </c>
      <c r="E74" s="127"/>
      <c r="F74" s="119"/>
      <c r="G74" s="123"/>
      <c r="I74" s="6"/>
      <c r="J74" s="117"/>
      <c r="K74" s="125"/>
      <c r="L74" s="125"/>
      <c r="M74" s="125"/>
      <c r="N74" s="43"/>
    </row>
    <row r="75" spans="1:14" x14ac:dyDescent="0.3">
      <c r="A75" s="40" t="s">
        <v>109</v>
      </c>
      <c r="B75" s="3" t="str">
        <f t="shared" si="3"/>
        <v>Papayas</v>
      </c>
      <c r="C75" s="3" t="str">
        <f t="shared" si="4"/>
        <v>Fruits</v>
      </c>
      <c r="D75" s="41" t="str">
        <f t="shared" si="5"/>
        <v>No</v>
      </c>
      <c r="E75" s="127"/>
      <c r="F75" s="119"/>
      <c r="G75" s="123"/>
      <c r="I75" s="6"/>
      <c r="J75" s="117"/>
      <c r="K75" s="125"/>
      <c r="L75" s="125"/>
      <c r="M75" s="125"/>
      <c r="N75" s="43"/>
    </row>
    <row r="76" spans="1:14" x14ac:dyDescent="0.3">
      <c r="A76" s="40" t="s">
        <v>110</v>
      </c>
      <c r="B76" s="3" t="str">
        <f t="shared" si="3"/>
        <v>Peaches and nectarines</v>
      </c>
      <c r="C76" s="3" t="str">
        <f t="shared" si="4"/>
        <v>Fruits</v>
      </c>
      <c r="D76" s="41" t="str">
        <f t="shared" si="5"/>
        <v>No</v>
      </c>
      <c r="E76" s="127"/>
      <c r="F76" s="119"/>
      <c r="G76" s="123"/>
      <c r="H76" s="79"/>
      <c r="I76" s="6"/>
      <c r="J76" s="117"/>
      <c r="K76" s="125"/>
      <c r="L76" s="125"/>
      <c r="M76" s="125"/>
      <c r="N76" s="43"/>
    </row>
    <row r="77" spans="1:14" x14ac:dyDescent="0.3">
      <c r="A77" s="40" t="s">
        <v>111</v>
      </c>
      <c r="B77" s="3" t="str">
        <f t="shared" si="3"/>
        <v>Pears</v>
      </c>
      <c r="C77" s="3" t="str">
        <f t="shared" si="4"/>
        <v>Fruits</v>
      </c>
      <c r="D77" s="41" t="str">
        <f t="shared" si="5"/>
        <v>Yes</v>
      </c>
      <c r="E77" s="127"/>
      <c r="F77" s="119"/>
      <c r="G77" s="123"/>
      <c r="H77" s="79"/>
      <c r="I77" s="6"/>
      <c r="J77" s="117"/>
      <c r="K77" s="125"/>
      <c r="L77" s="125"/>
      <c r="M77" s="125"/>
      <c r="N77" s="43"/>
    </row>
    <row r="78" spans="1:14" x14ac:dyDescent="0.3">
      <c r="A78" s="40" t="s">
        <v>112</v>
      </c>
      <c r="B78" s="3" t="str">
        <f t="shared" si="3"/>
        <v>Peas, dry</v>
      </c>
      <c r="C78" s="3" t="str">
        <f t="shared" si="4"/>
        <v>Pulses, incl feed</v>
      </c>
      <c r="D78" s="41" t="str">
        <f t="shared" si="5"/>
        <v>Yes</v>
      </c>
      <c r="E78" s="127"/>
      <c r="F78" s="119"/>
      <c r="G78" s="123"/>
      <c r="H78" s="79"/>
      <c r="I78" s="6"/>
      <c r="J78" s="117"/>
      <c r="K78" s="125"/>
      <c r="L78" s="125"/>
      <c r="M78" s="125"/>
      <c r="N78" s="43"/>
    </row>
    <row r="79" spans="1:14" x14ac:dyDescent="0.3">
      <c r="A79" s="40" t="s">
        <v>113</v>
      </c>
      <c r="B79" s="3" t="str">
        <f t="shared" si="3"/>
        <v>Peas, green</v>
      </c>
      <c r="C79" s="3" t="str">
        <f t="shared" si="4"/>
        <v>Vegetables</v>
      </c>
      <c r="D79" s="41" t="str">
        <f t="shared" si="5"/>
        <v>Yes</v>
      </c>
      <c r="E79" s="127"/>
      <c r="F79" s="119"/>
      <c r="G79" s="123"/>
      <c r="I79" s="6"/>
      <c r="J79" s="117"/>
      <c r="K79" s="125"/>
      <c r="L79" s="125"/>
      <c r="M79" s="125"/>
      <c r="N79" s="43"/>
    </row>
    <row r="80" spans="1:14" x14ac:dyDescent="0.3">
      <c r="A80" s="40" t="s">
        <v>114</v>
      </c>
      <c r="B80" s="3" t="str">
        <f t="shared" si="3"/>
        <v>Pepper (Piper spp.), raw</v>
      </c>
      <c r="C80" s="3" t="str">
        <f t="shared" si="4"/>
        <v>Vegetables</v>
      </c>
      <c r="D80" s="41" t="str">
        <f t="shared" si="5"/>
        <v>No</v>
      </c>
      <c r="E80" s="127"/>
      <c r="F80" s="119"/>
      <c r="G80" s="123"/>
      <c r="I80" s="6"/>
      <c r="J80" s="117"/>
      <c r="K80" s="125"/>
      <c r="L80" s="125"/>
      <c r="M80" s="125"/>
      <c r="N80" s="43"/>
    </row>
    <row r="81" spans="1:14" x14ac:dyDescent="0.3">
      <c r="A81" s="40" t="s">
        <v>115</v>
      </c>
      <c r="B81" s="3" t="str">
        <f t="shared" si="3"/>
        <v>Pineapples</v>
      </c>
      <c r="C81" s="3" t="str">
        <f t="shared" si="4"/>
        <v>Fruits</v>
      </c>
      <c r="D81" s="41" t="str">
        <f t="shared" si="5"/>
        <v>No</v>
      </c>
      <c r="E81" s="127"/>
      <c r="F81" s="119"/>
      <c r="G81" s="123"/>
      <c r="I81" s="6"/>
      <c r="J81" s="117"/>
      <c r="K81" s="125"/>
      <c r="L81" s="125"/>
      <c r="M81" s="125"/>
      <c r="N81" s="43"/>
    </row>
    <row r="82" spans="1:14" x14ac:dyDescent="0.3">
      <c r="A82" s="40" t="s">
        <v>116</v>
      </c>
      <c r="B82" s="3" t="str">
        <f t="shared" si="3"/>
        <v>Plantains and cooking bananas</v>
      </c>
      <c r="C82" s="3" t="str">
        <f t="shared" si="4"/>
        <v>Fruits</v>
      </c>
      <c r="D82" s="41" t="str">
        <f t="shared" si="5"/>
        <v>No</v>
      </c>
      <c r="E82" s="127"/>
      <c r="F82" s="119"/>
      <c r="G82" s="123"/>
      <c r="H82" s="79"/>
      <c r="I82" s="6"/>
      <c r="J82" s="117"/>
      <c r="K82" s="125"/>
      <c r="L82" s="125"/>
      <c r="M82" s="125"/>
      <c r="N82" s="43"/>
    </row>
    <row r="83" spans="1:14" x14ac:dyDescent="0.3">
      <c r="A83" s="40" t="s">
        <v>117</v>
      </c>
      <c r="B83" s="3" t="str">
        <f t="shared" si="3"/>
        <v>Plums and sloes</v>
      </c>
      <c r="C83" s="3" t="str">
        <f t="shared" si="4"/>
        <v>Fruits</v>
      </c>
      <c r="D83" s="41" t="str">
        <f t="shared" si="5"/>
        <v>Yes</v>
      </c>
      <c r="E83" s="127"/>
      <c r="F83" s="119"/>
      <c r="G83" s="123"/>
      <c r="I83" s="6"/>
      <c r="J83" s="117"/>
      <c r="K83" s="125"/>
      <c r="L83" s="125"/>
      <c r="M83" s="125"/>
      <c r="N83" s="43"/>
    </row>
    <row r="84" spans="1:14" x14ac:dyDescent="0.3">
      <c r="A84" s="40" t="s">
        <v>118</v>
      </c>
      <c r="B84" s="3" t="str">
        <f t="shared" si="3"/>
        <v>Pomelos and grapefruits</v>
      </c>
      <c r="C84" s="3" t="str">
        <f t="shared" si="4"/>
        <v>Fruits</v>
      </c>
      <c r="D84" s="41" t="str">
        <f t="shared" si="5"/>
        <v>No</v>
      </c>
      <c r="E84" s="127"/>
      <c r="F84" s="119"/>
      <c r="G84" s="123"/>
      <c r="I84" s="6"/>
      <c r="J84" s="117"/>
      <c r="K84" s="125"/>
      <c r="L84" s="125"/>
      <c r="M84" s="125"/>
      <c r="N84" s="43"/>
    </row>
    <row r="85" spans="1:14" x14ac:dyDescent="0.3">
      <c r="A85" s="40" t="s">
        <v>119</v>
      </c>
      <c r="B85" s="3" t="str">
        <f t="shared" si="3"/>
        <v>Poppy seed</v>
      </c>
      <c r="C85" s="3" t="str">
        <f t="shared" si="4"/>
        <v>Seeds</v>
      </c>
      <c r="D85" s="41" t="str">
        <f t="shared" si="5"/>
        <v>No</v>
      </c>
      <c r="E85" s="127"/>
      <c r="F85" s="119"/>
      <c r="G85" s="123"/>
      <c r="H85" s="79"/>
      <c r="I85" s="6"/>
      <c r="J85" s="117"/>
      <c r="K85" s="125"/>
      <c r="L85" s="125"/>
      <c r="M85" s="125"/>
      <c r="N85" s="43"/>
    </row>
    <row r="86" spans="1:14" x14ac:dyDescent="0.3">
      <c r="A86" s="40" t="s">
        <v>120</v>
      </c>
      <c r="B86" s="3" t="str">
        <f t="shared" si="3"/>
        <v>Potatoes</v>
      </c>
      <c r="C86" s="3" t="str">
        <f t="shared" si="4"/>
        <v>Roots</v>
      </c>
      <c r="D86" s="41" t="str">
        <f t="shared" si="5"/>
        <v>Yes</v>
      </c>
      <c r="E86" s="127"/>
      <c r="F86" s="119"/>
      <c r="G86" s="123"/>
      <c r="H86" s="79"/>
      <c r="I86" s="6"/>
      <c r="J86" s="117"/>
      <c r="K86" s="125"/>
      <c r="L86" s="125"/>
      <c r="M86" s="125"/>
      <c r="N86" s="43"/>
    </row>
    <row r="87" spans="1:14" x14ac:dyDescent="0.3">
      <c r="A87" s="40" t="s">
        <v>121</v>
      </c>
      <c r="B87" s="3" t="str">
        <f t="shared" si="3"/>
        <v>Pumpkins, squash and gourds</v>
      </c>
      <c r="C87" s="3" t="str">
        <f t="shared" si="4"/>
        <v>Vegetables</v>
      </c>
      <c r="D87" s="41" t="str">
        <f t="shared" si="5"/>
        <v>Yes</v>
      </c>
      <c r="E87" s="127"/>
      <c r="F87" s="119"/>
      <c r="G87" s="123"/>
      <c r="I87" s="6"/>
      <c r="J87" s="117"/>
      <c r="K87" s="125"/>
      <c r="L87" s="125"/>
      <c r="M87" s="125"/>
      <c r="N87" s="43"/>
    </row>
    <row r="88" spans="1:14" x14ac:dyDescent="0.3">
      <c r="A88" s="40" t="s">
        <v>122</v>
      </c>
      <c r="B88" s="3" t="str">
        <f t="shared" si="3"/>
        <v>Quinces</v>
      </c>
      <c r="C88" s="3" t="str">
        <f t="shared" si="4"/>
        <v>Other</v>
      </c>
      <c r="D88" s="41" t="str">
        <f t="shared" si="5"/>
        <v>No</v>
      </c>
      <c r="E88" s="127"/>
      <c r="F88" s="119"/>
      <c r="G88" s="123"/>
      <c r="I88" s="6"/>
      <c r="J88" s="117"/>
      <c r="K88" s="125"/>
      <c r="L88" s="125"/>
      <c r="M88" s="125"/>
      <c r="N88" s="43"/>
    </row>
    <row r="89" spans="1:14" x14ac:dyDescent="0.3">
      <c r="A89" s="40" t="s">
        <v>123</v>
      </c>
      <c r="B89" s="3" t="str">
        <f t="shared" si="3"/>
        <v>Quinoa</v>
      </c>
      <c r="C89" s="3" t="str">
        <f t="shared" si="4"/>
        <v>Seeds</v>
      </c>
      <c r="D89" s="41" t="str">
        <f t="shared" si="5"/>
        <v>No</v>
      </c>
      <c r="E89" s="127"/>
      <c r="F89" s="119"/>
      <c r="G89" s="123"/>
      <c r="I89" s="6"/>
      <c r="J89" s="117"/>
      <c r="K89" s="125"/>
      <c r="L89" s="125"/>
      <c r="M89" s="125"/>
      <c r="N89" s="43"/>
    </row>
    <row r="90" spans="1:14" x14ac:dyDescent="0.3">
      <c r="A90" s="40" t="s">
        <v>124</v>
      </c>
      <c r="B90" s="3" t="str">
        <f t="shared" si="3"/>
        <v>Rape or colza seed, average</v>
      </c>
      <c r="C90" s="3" t="str">
        <f t="shared" si="4"/>
        <v>Oil crops</v>
      </c>
      <c r="D90" s="41" t="str">
        <f t="shared" si="5"/>
        <v>Yes</v>
      </c>
      <c r="E90" s="127"/>
      <c r="F90" s="119"/>
      <c r="G90" s="123"/>
      <c r="H90" s="79"/>
      <c r="I90" s="6"/>
      <c r="J90" s="117"/>
      <c r="K90" s="125"/>
      <c r="L90" s="125"/>
      <c r="M90" s="125"/>
      <c r="N90" s="43"/>
    </row>
    <row r="91" spans="1:14" x14ac:dyDescent="0.3">
      <c r="A91" s="40" t="s">
        <v>125</v>
      </c>
      <c r="B91" s="3" t="str">
        <f t="shared" si="3"/>
        <v>Rape or colza seed, spring</v>
      </c>
      <c r="C91" s="3" t="str">
        <f t="shared" si="4"/>
        <v>Oil crops</v>
      </c>
      <c r="D91" s="41" t="str">
        <f t="shared" si="5"/>
        <v>Yes</v>
      </c>
      <c r="E91" s="127"/>
      <c r="F91" s="119"/>
      <c r="G91" s="123"/>
      <c r="H91" s="79"/>
      <c r="I91" s="6"/>
      <c r="J91" s="117"/>
      <c r="K91" s="125"/>
      <c r="L91" s="125"/>
      <c r="M91" s="125"/>
      <c r="N91" s="43"/>
    </row>
    <row r="92" spans="1:14" x14ac:dyDescent="0.3">
      <c r="A92" s="40" t="s">
        <v>126</v>
      </c>
      <c r="B92" s="3" t="str">
        <f t="shared" si="3"/>
        <v>Rape or colza seed, winter</v>
      </c>
      <c r="C92" s="3" t="str">
        <f t="shared" si="4"/>
        <v>Oil crops</v>
      </c>
      <c r="D92" s="41" t="str">
        <f t="shared" si="5"/>
        <v>Yes</v>
      </c>
      <c r="E92" s="127"/>
      <c r="F92" s="119"/>
      <c r="G92" s="123"/>
      <c r="H92" s="79"/>
      <c r="I92" s="6"/>
      <c r="J92" s="117"/>
      <c r="K92" s="125"/>
      <c r="L92" s="125"/>
      <c r="M92" s="125"/>
      <c r="N92" s="43"/>
    </row>
    <row r="93" spans="1:14" x14ac:dyDescent="0.3">
      <c r="A93" s="40" t="s">
        <v>127</v>
      </c>
      <c r="B93" s="3" t="str">
        <f t="shared" si="3"/>
        <v>Raspberries</v>
      </c>
      <c r="C93" s="3" t="str">
        <f t="shared" si="4"/>
        <v>Berries</v>
      </c>
      <c r="D93" s="41" t="str">
        <f t="shared" si="5"/>
        <v>Yes</v>
      </c>
      <c r="E93" s="127"/>
      <c r="F93" s="119"/>
      <c r="G93" s="123"/>
      <c r="I93" s="6"/>
      <c r="J93" s="117"/>
      <c r="K93" s="125"/>
      <c r="L93" s="125"/>
      <c r="M93" s="125"/>
      <c r="N93" s="43"/>
    </row>
    <row r="94" spans="1:14" x14ac:dyDescent="0.3">
      <c r="A94" s="40" t="s">
        <v>128</v>
      </c>
      <c r="B94" s="3" t="str">
        <f t="shared" si="3"/>
        <v>Rice</v>
      </c>
      <c r="C94" s="3" t="str">
        <f t="shared" si="4"/>
        <v>Cereals</v>
      </c>
      <c r="D94" s="41" t="str">
        <f t="shared" si="5"/>
        <v>No</v>
      </c>
      <c r="E94" s="127"/>
      <c r="F94" s="119"/>
      <c r="G94" s="123"/>
      <c r="H94" s="79"/>
      <c r="I94" s="6"/>
      <c r="J94" s="117"/>
      <c r="K94" s="125"/>
      <c r="L94" s="125"/>
      <c r="M94" s="125"/>
      <c r="N94" s="43"/>
    </row>
    <row r="95" spans="1:14" x14ac:dyDescent="0.3">
      <c r="A95" s="40" t="s">
        <v>129</v>
      </c>
      <c r="B95" s="3" t="str">
        <f t="shared" si="3"/>
        <v>Rye</v>
      </c>
      <c r="C95" s="3" t="str">
        <f t="shared" si="4"/>
        <v>Cereals, incl feed</v>
      </c>
      <c r="D95" s="41" t="str">
        <f t="shared" si="5"/>
        <v>Yes</v>
      </c>
      <c r="E95" s="127"/>
      <c r="F95" s="119"/>
      <c r="G95" s="123"/>
      <c r="I95" s="6"/>
      <c r="J95" s="117"/>
      <c r="K95" s="125"/>
      <c r="L95" s="125"/>
      <c r="M95" s="125"/>
      <c r="N95" s="43"/>
    </row>
    <row r="96" spans="1:14" x14ac:dyDescent="0.3">
      <c r="A96" s="40" t="s">
        <v>130</v>
      </c>
      <c r="B96" s="3" t="str">
        <f t="shared" si="3"/>
        <v>Sorghum</v>
      </c>
      <c r="C96" s="3" t="str">
        <f t="shared" si="4"/>
        <v>Cereals</v>
      </c>
      <c r="D96" s="41" t="str">
        <f t="shared" si="5"/>
        <v>No</v>
      </c>
      <c r="E96" s="127"/>
      <c r="F96" s="119"/>
      <c r="G96" s="123"/>
      <c r="H96" s="79"/>
      <c r="I96" s="6"/>
      <c r="J96" s="117"/>
      <c r="K96" s="125"/>
      <c r="L96" s="125"/>
      <c r="M96" s="125"/>
      <c r="N96" s="43"/>
    </row>
    <row r="97" spans="1:14" x14ac:dyDescent="0.3">
      <c r="A97" s="40" t="s">
        <v>131</v>
      </c>
      <c r="B97" s="3" t="str">
        <f t="shared" si="3"/>
        <v>Sour cherries</v>
      </c>
      <c r="C97" s="3" t="str">
        <f t="shared" si="4"/>
        <v>Fruits</v>
      </c>
      <c r="D97" s="41" t="str">
        <f t="shared" si="5"/>
        <v>Yes</v>
      </c>
      <c r="E97" s="127"/>
      <c r="F97" s="119"/>
      <c r="G97" s="123"/>
      <c r="I97" s="6"/>
      <c r="J97" s="117"/>
      <c r="K97" s="125"/>
      <c r="L97" s="125"/>
      <c r="M97" s="125"/>
      <c r="N97" s="43"/>
    </row>
    <row r="98" spans="1:14" x14ac:dyDescent="0.3">
      <c r="A98" s="40" t="s">
        <v>132</v>
      </c>
      <c r="B98" s="3" t="str">
        <f t="shared" si="3"/>
        <v>Soya beans</v>
      </c>
      <c r="C98" s="3" t="str">
        <f t="shared" si="4"/>
        <v>Pulses</v>
      </c>
      <c r="D98" s="41" t="str">
        <f t="shared" si="5"/>
        <v>No</v>
      </c>
      <c r="E98" s="127"/>
      <c r="F98" s="119"/>
      <c r="G98" s="123"/>
      <c r="H98" s="79"/>
      <c r="I98" s="6"/>
      <c r="J98" s="117"/>
      <c r="K98" s="125"/>
      <c r="L98" s="125"/>
      <c r="M98" s="125"/>
      <c r="N98" s="43"/>
    </row>
    <row r="99" spans="1:14" x14ac:dyDescent="0.3">
      <c r="A99" s="40" t="s">
        <v>133</v>
      </c>
      <c r="B99" s="3" t="str">
        <f t="shared" si="3"/>
        <v>Spinach</v>
      </c>
      <c r="C99" s="3" t="str">
        <f t="shared" si="4"/>
        <v>Vegetables</v>
      </c>
      <c r="D99" s="41" t="str">
        <f t="shared" si="5"/>
        <v>Yes</v>
      </c>
      <c r="E99" s="127"/>
      <c r="F99" s="119"/>
      <c r="G99" s="123"/>
      <c r="H99" s="79"/>
      <c r="I99" s="6"/>
      <c r="J99" s="117"/>
      <c r="K99" s="125"/>
      <c r="L99" s="125"/>
      <c r="M99" s="125"/>
      <c r="N99" s="43"/>
    </row>
    <row r="100" spans="1:14" x14ac:dyDescent="0.3">
      <c r="A100" s="40" t="s">
        <v>134</v>
      </c>
      <c r="B100" s="3" t="str">
        <f t="shared" si="3"/>
        <v>Strawberries</v>
      </c>
      <c r="C100" s="3" t="str">
        <f t="shared" si="4"/>
        <v>Fruits</v>
      </c>
      <c r="D100" s="41" t="str">
        <f t="shared" si="5"/>
        <v>Yes</v>
      </c>
      <c r="E100" s="127"/>
      <c r="F100" s="119"/>
      <c r="G100" s="123"/>
      <c r="H100" s="79"/>
      <c r="I100" s="6"/>
      <c r="J100" s="117"/>
      <c r="K100" s="125"/>
      <c r="L100" s="125"/>
      <c r="M100" s="125"/>
      <c r="N100" s="43"/>
    </row>
    <row r="101" spans="1:14" x14ac:dyDescent="0.3">
      <c r="A101" s="40" t="s">
        <v>135</v>
      </c>
      <c r="B101" s="3" t="str">
        <f t="shared" si="3"/>
        <v>Sugar beet</v>
      </c>
      <c r="C101" s="3" t="str">
        <f t="shared" si="4"/>
        <v>Sugar crops</v>
      </c>
      <c r="D101" s="41" t="str">
        <f t="shared" si="5"/>
        <v>Yes</v>
      </c>
      <c r="E101" s="127"/>
      <c r="F101" s="119"/>
      <c r="G101" s="123"/>
      <c r="I101" s="6"/>
      <c r="J101" s="117"/>
      <c r="K101" s="125"/>
      <c r="L101" s="125"/>
      <c r="M101" s="125"/>
      <c r="N101" s="43"/>
    </row>
    <row r="102" spans="1:14" x14ac:dyDescent="0.3">
      <c r="A102" s="40" t="s">
        <v>136</v>
      </c>
      <c r="B102" s="3" t="str">
        <f t="shared" si="3"/>
        <v>Sugar cane</v>
      </c>
      <c r="C102" s="3" t="str">
        <f t="shared" si="4"/>
        <v>Sugar crops</v>
      </c>
      <c r="D102" s="41" t="str">
        <f t="shared" si="5"/>
        <v>No</v>
      </c>
      <c r="E102" s="127"/>
      <c r="F102" s="119"/>
      <c r="G102" s="123"/>
      <c r="I102" s="6"/>
      <c r="J102" s="117"/>
      <c r="K102" s="125"/>
      <c r="L102" s="125"/>
      <c r="M102" s="125"/>
      <c r="N102" s="43"/>
    </row>
    <row r="103" spans="1:14" x14ac:dyDescent="0.3">
      <c r="A103" s="40" t="s">
        <v>137</v>
      </c>
      <c r="B103" s="3" t="str">
        <f t="shared" si="3"/>
        <v>Sunflower seed</v>
      </c>
      <c r="C103" s="3" t="str">
        <f t="shared" si="4"/>
        <v>Oil crops</v>
      </c>
      <c r="D103" s="41" t="str">
        <f t="shared" si="5"/>
        <v>No</v>
      </c>
      <c r="E103" s="127"/>
      <c r="F103" s="119"/>
      <c r="G103" s="123"/>
      <c r="I103" s="6"/>
      <c r="J103" s="117"/>
      <c r="K103" s="125"/>
      <c r="L103" s="125"/>
      <c r="M103" s="125"/>
      <c r="N103" s="43"/>
    </row>
    <row r="104" spans="1:14" x14ac:dyDescent="0.3">
      <c r="A104" s="40" t="s">
        <v>138</v>
      </c>
      <c r="B104" s="3" t="str">
        <f t="shared" si="3"/>
        <v>Sweet potatoes</v>
      </c>
      <c r="C104" s="3" t="str">
        <f t="shared" si="4"/>
        <v>Roots</v>
      </c>
      <c r="D104" s="41" t="str">
        <f t="shared" si="5"/>
        <v>No</v>
      </c>
      <c r="E104" s="127"/>
      <c r="F104" s="119"/>
      <c r="G104" s="123"/>
      <c r="I104" s="6"/>
      <c r="J104" s="117"/>
      <c r="K104" s="125"/>
      <c r="L104" s="125"/>
      <c r="M104" s="125"/>
      <c r="N104" s="43"/>
    </row>
    <row r="105" spans="1:14" x14ac:dyDescent="0.3">
      <c r="A105" s="40" t="s">
        <v>139</v>
      </c>
      <c r="B105" s="3" t="str">
        <f t="shared" si="3"/>
        <v>Tangerines, mandarins, clementines</v>
      </c>
      <c r="C105" s="3" t="str">
        <f t="shared" si="4"/>
        <v>Fruits</v>
      </c>
      <c r="D105" s="41" t="str">
        <f t="shared" si="5"/>
        <v>No</v>
      </c>
      <c r="E105" s="127"/>
      <c r="F105" s="119"/>
      <c r="G105" s="123"/>
      <c r="I105" s="6"/>
      <c r="J105" s="117"/>
      <c r="K105" s="125"/>
      <c r="L105" s="125"/>
      <c r="M105" s="125"/>
      <c r="N105" s="43"/>
    </row>
    <row r="106" spans="1:14" x14ac:dyDescent="0.3">
      <c r="A106" s="40" t="s">
        <v>140</v>
      </c>
      <c r="B106" s="3" t="str">
        <f t="shared" si="3"/>
        <v>Tomatoes, average</v>
      </c>
      <c r="C106" s="3" t="str">
        <f t="shared" si="4"/>
        <v>Vegetables</v>
      </c>
      <c r="D106" s="41" t="str">
        <f t="shared" si="5"/>
        <v>Yes</v>
      </c>
      <c r="E106" s="127"/>
      <c r="F106" s="119"/>
      <c r="G106" s="123"/>
      <c r="H106" s="79"/>
      <c r="I106" s="6"/>
      <c r="J106" s="117"/>
      <c r="K106" s="125"/>
      <c r="L106" s="125"/>
      <c r="M106" s="125"/>
      <c r="N106" s="43"/>
    </row>
    <row r="107" spans="1:14" x14ac:dyDescent="0.3">
      <c r="A107" s="40" t="s">
        <v>141</v>
      </c>
      <c r="B107" s="3" t="str">
        <f t="shared" si="3"/>
        <v>Tomatoes, greenhouse</v>
      </c>
      <c r="C107" s="3" t="str">
        <f t="shared" si="4"/>
        <v>Vegetables</v>
      </c>
      <c r="D107" s="41" t="str">
        <f t="shared" si="5"/>
        <v>Yes</v>
      </c>
      <c r="E107" s="127"/>
      <c r="F107" s="119"/>
      <c r="G107" s="123"/>
      <c r="I107" s="6"/>
      <c r="J107" s="117"/>
      <c r="K107" s="125"/>
      <c r="L107" s="125"/>
      <c r="M107" s="125"/>
      <c r="N107" s="43"/>
    </row>
    <row r="108" spans="1:14" x14ac:dyDescent="0.3">
      <c r="A108" s="40" t="s">
        <v>142</v>
      </c>
      <c r="B108" s="3" t="str">
        <f t="shared" si="3"/>
        <v>Tomatoes, openfield</v>
      </c>
      <c r="C108" s="3" t="str">
        <f t="shared" si="4"/>
        <v>Vegetables</v>
      </c>
      <c r="D108" s="41" t="str">
        <f t="shared" si="5"/>
        <v>No</v>
      </c>
      <c r="E108" s="127"/>
      <c r="F108" s="119"/>
      <c r="G108" s="123"/>
      <c r="H108" s="79"/>
      <c r="I108" s="6"/>
      <c r="J108" s="117"/>
      <c r="K108" s="125"/>
      <c r="L108" s="125"/>
      <c r="M108" s="125"/>
      <c r="N108" s="43"/>
    </row>
    <row r="109" spans="1:14" x14ac:dyDescent="0.3">
      <c r="A109" s="40" t="s">
        <v>143</v>
      </c>
      <c r="B109" s="3" t="str">
        <f t="shared" si="3"/>
        <v>Triticale</v>
      </c>
      <c r="C109" s="3" t="str">
        <f t="shared" si="4"/>
        <v>Cereals</v>
      </c>
      <c r="D109" s="41" t="str">
        <f t="shared" si="5"/>
        <v>Yes</v>
      </c>
      <c r="E109" s="127"/>
      <c r="F109" s="119"/>
      <c r="G109" s="123"/>
      <c r="I109" s="6"/>
      <c r="J109" s="117"/>
      <c r="K109" s="125"/>
      <c r="L109" s="125"/>
      <c r="M109" s="125"/>
      <c r="N109" s="43"/>
    </row>
    <row r="110" spans="1:14" x14ac:dyDescent="0.3">
      <c r="A110" s="40" t="s">
        <v>144</v>
      </c>
      <c r="B110" s="3" t="str">
        <f t="shared" si="3"/>
        <v>True hemp, raw or retted</v>
      </c>
      <c r="C110" s="3" t="str">
        <f t="shared" si="4"/>
        <v>Other</v>
      </c>
      <c r="D110" s="41" t="str">
        <f t="shared" si="5"/>
        <v>No</v>
      </c>
      <c r="E110" s="127"/>
      <c r="F110" s="119"/>
      <c r="G110" s="123"/>
      <c r="I110" s="6"/>
      <c r="J110" s="117"/>
      <c r="K110" s="125"/>
      <c r="L110" s="125"/>
      <c r="M110" s="125"/>
      <c r="N110" s="43"/>
    </row>
    <row r="111" spans="1:14" x14ac:dyDescent="0.3">
      <c r="A111" s="40" t="s">
        <v>145</v>
      </c>
      <c r="B111" s="3" t="str">
        <f t="shared" si="3"/>
        <v>Vetches</v>
      </c>
      <c r="C111" s="3" t="str">
        <f t="shared" si="4"/>
        <v>Other</v>
      </c>
      <c r="D111" s="41" t="str">
        <f t="shared" si="5"/>
        <v>No</v>
      </c>
      <c r="E111" s="127"/>
      <c r="F111" s="119"/>
      <c r="G111" s="123"/>
      <c r="I111" s="6"/>
      <c r="J111" s="117"/>
      <c r="K111" s="125"/>
      <c r="L111" s="125"/>
      <c r="M111" s="125"/>
      <c r="N111" s="43"/>
    </row>
    <row r="112" spans="1:14" x14ac:dyDescent="0.3">
      <c r="A112" s="40" t="s">
        <v>146</v>
      </c>
      <c r="B112" s="3" t="str">
        <f t="shared" si="3"/>
        <v>Walnuts, in shell</v>
      </c>
      <c r="C112" s="3" t="str">
        <f t="shared" si="4"/>
        <v>Nuts</v>
      </c>
      <c r="D112" s="41" t="str">
        <f t="shared" si="5"/>
        <v>No</v>
      </c>
      <c r="E112" s="127"/>
      <c r="F112" s="119"/>
      <c r="G112" s="123"/>
      <c r="I112" s="6"/>
      <c r="J112" s="117"/>
      <c r="K112" s="125"/>
      <c r="L112" s="125"/>
      <c r="M112" s="125"/>
      <c r="N112" s="43"/>
    </row>
    <row r="113" spans="1:14" x14ac:dyDescent="0.3">
      <c r="A113" s="40" t="s">
        <v>147</v>
      </c>
      <c r="B113" s="3" t="str">
        <f t="shared" si="3"/>
        <v>Watermelons</v>
      </c>
      <c r="C113" s="3" t="str">
        <f t="shared" si="4"/>
        <v>Fruits</v>
      </c>
      <c r="D113" s="41" t="str">
        <f t="shared" si="5"/>
        <v>No</v>
      </c>
      <c r="E113" s="127"/>
      <c r="F113" s="119"/>
      <c r="G113" s="123"/>
      <c r="I113" s="6"/>
      <c r="J113" s="117"/>
      <c r="K113" s="125"/>
      <c r="L113" s="125"/>
      <c r="M113" s="125"/>
      <c r="N113" s="43"/>
    </row>
    <row r="114" spans="1:14" x14ac:dyDescent="0.3">
      <c r="A114" s="40" t="s">
        <v>148</v>
      </c>
      <c r="B114" s="3" t="str">
        <f t="shared" si="3"/>
        <v>Watermelons, greenhouse</v>
      </c>
      <c r="C114" s="3" t="str">
        <f t="shared" si="4"/>
        <v>Fruits</v>
      </c>
      <c r="D114" s="41" t="str">
        <f t="shared" si="5"/>
        <v>No</v>
      </c>
      <c r="E114" s="127"/>
      <c r="F114" s="119"/>
      <c r="G114" s="123"/>
      <c r="I114" s="6"/>
      <c r="J114" s="117"/>
      <c r="K114" s="125"/>
      <c r="L114" s="125"/>
      <c r="M114" s="125"/>
      <c r="N114" s="43"/>
    </row>
    <row r="115" spans="1:14" x14ac:dyDescent="0.3">
      <c r="A115" s="40" t="s">
        <v>149</v>
      </c>
      <c r="B115" s="3" t="str">
        <f t="shared" si="3"/>
        <v>Watermelons, openfield</v>
      </c>
      <c r="C115" s="3" t="str">
        <f t="shared" si="4"/>
        <v>Fruits</v>
      </c>
      <c r="D115" s="41" t="str">
        <f t="shared" si="5"/>
        <v>No</v>
      </c>
      <c r="E115" s="127"/>
      <c r="F115" s="119"/>
      <c r="G115" s="123"/>
      <c r="I115" s="6"/>
      <c r="J115" s="117"/>
      <c r="K115" s="125"/>
      <c r="L115" s="125"/>
      <c r="M115" s="125"/>
      <c r="N115" s="43"/>
    </row>
    <row r="116" spans="1:14" x14ac:dyDescent="0.3">
      <c r="A116" s="40" t="s">
        <v>150</v>
      </c>
      <c r="B116" s="3" t="str">
        <f t="shared" si="3"/>
        <v>Wheat, average</v>
      </c>
      <c r="C116" s="3" t="str">
        <f t="shared" si="4"/>
        <v>Cereals, incl feed</v>
      </c>
      <c r="D116" s="41" t="str">
        <f t="shared" si="5"/>
        <v>Yes</v>
      </c>
      <c r="E116" s="127"/>
      <c r="F116" s="119"/>
      <c r="G116" s="123"/>
      <c r="I116" s="6"/>
      <c r="J116" s="117"/>
      <c r="K116" s="125"/>
      <c r="L116" s="125"/>
      <c r="M116" s="125"/>
      <c r="N116" s="43"/>
    </row>
    <row r="117" spans="1:14" x14ac:dyDescent="0.3">
      <c r="A117" s="40" t="s">
        <v>151</v>
      </c>
      <c r="B117" s="3" t="str">
        <f t="shared" si="3"/>
        <v>Wheat, spring</v>
      </c>
      <c r="C117" s="3" t="str">
        <f t="shared" si="4"/>
        <v>Cereals</v>
      </c>
      <c r="D117" s="41" t="str">
        <f t="shared" si="5"/>
        <v>Yes</v>
      </c>
      <c r="E117" s="127"/>
      <c r="F117" s="119"/>
      <c r="G117" s="123"/>
      <c r="H117" s="110"/>
      <c r="I117" s="6"/>
      <c r="J117" s="117"/>
      <c r="K117" s="125"/>
      <c r="L117" s="125"/>
      <c r="M117" s="121"/>
      <c r="N117" s="43"/>
    </row>
    <row r="118" spans="1:14" x14ac:dyDescent="0.3">
      <c r="A118" s="42" t="s">
        <v>152</v>
      </c>
      <c r="B118" s="46" t="str">
        <f t="shared" si="3"/>
        <v>Wheat, winter</v>
      </c>
      <c r="C118" s="46" t="str">
        <f t="shared" si="4"/>
        <v>Cereals</v>
      </c>
      <c r="D118" s="33" t="str">
        <f t="shared" si="5"/>
        <v>Yes</v>
      </c>
      <c r="E118" s="128"/>
      <c r="F118" s="120"/>
      <c r="G118" s="124"/>
      <c r="H118" s="111"/>
      <c r="I118" s="7"/>
      <c r="J118" s="118"/>
      <c r="K118" s="126"/>
      <c r="L118" s="126"/>
      <c r="M118" s="122"/>
      <c r="N118" s="44"/>
    </row>
  </sheetData>
  <autoFilter ref="A5:N5" xr:uid="{00000000-0009-0000-0000-000006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79998168889431442"/>
  </sheetPr>
  <dimension ref="A2:N120"/>
  <sheetViews>
    <sheetView topLeftCell="A103" zoomScaleNormal="100" workbookViewId="0">
      <selection activeCell="I115" sqref="I115"/>
    </sheetView>
  </sheetViews>
  <sheetFormatPr defaultColWidth="8.6640625" defaultRowHeight="14.4" x14ac:dyDescent="0.3"/>
  <cols>
    <col min="1" max="1" width="9.6640625" customWidth="1"/>
    <col min="2" max="2" width="29.44140625" customWidth="1"/>
    <col min="3" max="3" width="18.33203125" customWidth="1"/>
    <col min="4" max="4" width="10.33203125" customWidth="1"/>
    <col min="5" max="5" width="9.44140625" customWidth="1"/>
    <col min="6" max="6" width="12.6640625" customWidth="1"/>
    <col min="7" max="7" width="14.44140625" customWidth="1"/>
    <col min="8" max="9" width="12.6640625" customWidth="1"/>
    <col min="10" max="10" width="10.44140625" customWidth="1"/>
    <col min="11" max="11" width="12.44140625" customWidth="1"/>
    <col min="12" max="12" width="12.33203125" customWidth="1"/>
    <col min="13" max="13" width="12.44140625" customWidth="1"/>
    <col min="14" max="14" width="16.44140625" customWidth="1"/>
    <col min="15" max="15" width="13" bestFit="1" customWidth="1"/>
  </cols>
  <sheetData>
    <row r="2" spans="1:14" ht="21" x14ac:dyDescent="0.4">
      <c r="A2" s="39" t="s">
        <v>408</v>
      </c>
    </row>
    <row r="4" spans="1:14" x14ac:dyDescent="0.3">
      <c r="A4" s="244" t="s">
        <v>11</v>
      </c>
      <c r="B4" s="245"/>
      <c r="C4" s="245"/>
      <c r="D4" s="251"/>
      <c r="E4" s="246" t="s">
        <v>387</v>
      </c>
      <c r="F4" s="252" t="s">
        <v>388</v>
      </c>
      <c r="G4" s="248"/>
      <c r="H4" s="247" t="s">
        <v>389</v>
      </c>
      <c r="I4" s="249"/>
      <c r="J4" s="253" t="s">
        <v>390</v>
      </c>
      <c r="K4" s="250"/>
      <c r="L4" s="250"/>
      <c r="M4" s="250"/>
      <c r="N4" s="254" t="s">
        <v>391</v>
      </c>
    </row>
    <row r="5" spans="1:14" ht="43.2" x14ac:dyDescent="0.3">
      <c r="A5" s="239" t="s">
        <v>392</v>
      </c>
      <c r="B5" s="240" t="s">
        <v>11</v>
      </c>
      <c r="C5" s="240" t="s">
        <v>393</v>
      </c>
      <c r="D5" s="255" t="s">
        <v>394</v>
      </c>
      <c r="E5" s="241"/>
      <c r="F5" s="256" t="s">
        <v>395</v>
      </c>
      <c r="G5" s="243" t="s">
        <v>396</v>
      </c>
      <c r="H5" s="242" t="s">
        <v>397</v>
      </c>
      <c r="I5" s="243" t="s">
        <v>398</v>
      </c>
      <c r="J5" s="256" t="s">
        <v>399</v>
      </c>
      <c r="K5" s="242" t="s">
        <v>400</v>
      </c>
      <c r="L5" s="242" t="s">
        <v>401</v>
      </c>
      <c r="M5" s="242" t="s">
        <v>402</v>
      </c>
      <c r="N5" s="257" t="s">
        <v>403</v>
      </c>
    </row>
    <row r="6" spans="1:14" x14ac:dyDescent="0.3">
      <c r="A6" s="40" t="s">
        <v>40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1" t="str">
        <f t="shared" ref="D6:D37" si="2">INDEX(Crop_data,MATCH(A6,Crop_data_codes,0),4)</f>
        <v>No</v>
      </c>
      <c r="E6" s="127" t="str">
        <f t="shared" ref="E6:E37" si="3">IF(D6="Yes", SUM(F6:N6),"")</f>
        <v/>
      </c>
      <c r="F6" s="119" t="str">
        <f t="shared" ref="F6:F37" si="4">IF(D6="YES",INDEX(Crop_data,MATCH(A6,Crop_data_codes,0),7)*(Frac_BAT*EF_min_fert_BAT_N2O+Frac_AN*EF_min_fert_AN_N2O)/INDEX(Crop_data,MATCH(A6,Crop_data_codes,0),6),"")</f>
        <v/>
      </c>
      <c r="G6" s="123" t="str">
        <f t="shared" ref="G6:G37" si="5">IF(D6="YES",EF_capital_goods_N2O,"")</f>
        <v/>
      </c>
      <c r="H6" s="125" t="str">
        <f t="shared" ref="H6:H37" si="6">IF(D6="YES",(INDEX(Crop_data,MATCH(A6,Crop_data_codes,0),7)*EF_N2O_soils_min_fert+INDEX(Crop_data,MATCH(A6,Crop_data_codes,0),9)*EF_N2O_soils_crop_res)*44/28/INDEX(Crop_data,MATCH(A6,Crop_data_codes,0),6),"")</f>
        <v/>
      </c>
      <c r="I6" s="121" t="str">
        <f t="shared" ref="I6:I37" si="7">IF(D6="Yes",H6*EF_N2O_soils_indirect,"")</f>
        <v/>
      </c>
      <c r="J6" s="117" t="str">
        <f t="shared" ref="J6:J33" si="8">IF(D6="YES",INDEX(Crop_data,MATCH(A6,Crop_data_codes,0),11)*Heating_value_diesel*EF_diesel_N2O/INDEX(Crop_data,MATCH(A6,Crop_data_codes,0),6),"")</f>
        <v/>
      </c>
      <c r="K6" s="125"/>
      <c r="L6" s="125" t="str">
        <f t="shared" ref="L6:L38" si="9">IF(D6="YES",INDEX(Crop_data,MATCH(A6,Crop_data_codes,0),12)*EF_irrigation_N2O/INDEX(Crop_data,MATCH(A6,Crop_data_codes,0),6),"")</f>
        <v/>
      </c>
      <c r="M6" s="125"/>
      <c r="N6" s="43"/>
    </row>
    <row r="7" spans="1:14" x14ac:dyDescent="0.3">
      <c r="A7" s="40" t="s">
        <v>41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1" t="str">
        <f t="shared" si="2"/>
        <v>No</v>
      </c>
      <c r="E7" s="127" t="str">
        <f t="shared" si="3"/>
        <v/>
      </c>
      <c r="F7" s="119" t="str">
        <f t="shared" si="4"/>
        <v/>
      </c>
      <c r="G7" s="123" t="str">
        <f t="shared" si="5"/>
        <v/>
      </c>
      <c r="H7" s="125" t="str">
        <f t="shared" si="6"/>
        <v/>
      </c>
      <c r="I7" s="121" t="str">
        <f t="shared" si="7"/>
        <v/>
      </c>
      <c r="J7" s="117" t="str">
        <f t="shared" si="8"/>
        <v/>
      </c>
      <c r="K7" s="125"/>
      <c r="L7" s="125" t="str">
        <f t="shared" si="9"/>
        <v/>
      </c>
      <c r="M7" s="125"/>
      <c r="N7" s="43"/>
    </row>
    <row r="8" spans="1:14" x14ac:dyDescent="0.3">
      <c r="A8" s="40" t="s">
        <v>42</v>
      </c>
      <c r="B8" s="3" t="str">
        <f t="shared" si="0"/>
        <v>Apples</v>
      </c>
      <c r="C8" s="3" t="str">
        <f t="shared" si="1"/>
        <v>Fruits</v>
      </c>
      <c r="D8" s="41" t="str">
        <f t="shared" si="2"/>
        <v>Yes</v>
      </c>
      <c r="E8" s="127">
        <f t="shared" si="3"/>
        <v>1.7298428761868391E-4</v>
      </c>
      <c r="F8" s="119">
        <f t="shared" si="4"/>
        <v>1.4296604016034575E-5</v>
      </c>
      <c r="G8" s="123">
        <f t="shared" si="5"/>
        <v>1.1000000000000001E-6</v>
      </c>
      <c r="H8" s="125">
        <f t="shared" si="6"/>
        <v>1.4117332424750428E-4</v>
      </c>
      <c r="I8" s="121">
        <f t="shared" si="7"/>
        <v>1.4117332424750428E-5</v>
      </c>
      <c r="J8" s="117">
        <f t="shared" si="8"/>
        <v>1.7080460037444912E-6</v>
      </c>
      <c r="K8" s="125"/>
      <c r="L8" s="125">
        <f t="shared" si="9"/>
        <v>8.9556432094603724E-8</v>
      </c>
      <c r="M8" s="125">
        <f t="shared" ref="M8:M39" si="10">IF(D8="Yes",INDEX(Post_harvest_energy_data,MATCH(C8,Post_harvest_energy_categories,0),2)*EF_heating_oil_N2O+INDEX(Post_harvest_energy_data,MATCH(C8,Post_harvest_energy_categories,0),3)*EF_electricity_N2O+INDEX(Post_harvest_energy_data,MATCH(C8,Post_harvest_energy_categories,0),4)*EF_chips_N2O,"")</f>
        <v>4.9942449455555563E-7</v>
      </c>
      <c r="N8" s="43"/>
    </row>
    <row r="9" spans="1:14" x14ac:dyDescent="0.3">
      <c r="A9" s="40" t="s">
        <v>43</v>
      </c>
      <c r="B9" s="3" t="str">
        <f t="shared" si="0"/>
        <v>Apricots</v>
      </c>
      <c r="C9" s="3" t="str">
        <f t="shared" si="1"/>
        <v>Fruits</v>
      </c>
      <c r="D9" s="41" t="str">
        <f t="shared" si="2"/>
        <v>No</v>
      </c>
      <c r="E9" s="127" t="str">
        <f t="shared" si="3"/>
        <v/>
      </c>
      <c r="F9" s="119" t="str">
        <f t="shared" si="4"/>
        <v/>
      </c>
      <c r="G9" s="123" t="str">
        <f t="shared" si="5"/>
        <v/>
      </c>
      <c r="H9" s="125" t="str">
        <f t="shared" si="6"/>
        <v/>
      </c>
      <c r="I9" s="121" t="str">
        <f t="shared" si="7"/>
        <v/>
      </c>
      <c r="J9" s="117" t="str">
        <f t="shared" si="8"/>
        <v/>
      </c>
      <c r="K9" s="125"/>
      <c r="L9" s="125" t="str">
        <f t="shared" si="9"/>
        <v/>
      </c>
      <c r="M9" s="125" t="str">
        <f t="shared" si="10"/>
        <v/>
      </c>
      <c r="N9" s="43"/>
    </row>
    <row r="10" spans="1:14" x14ac:dyDescent="0.3">
      <c r="A10" s="40" t="s">
        <v>44</v>
      </c>
      <c r="B10" s="3" t="str">
        <f t="shared" si="0"/>
        <v>Artichokes</v>
      </c>
      <c r="C10" s="3" t="str">
        <f t="shared" si="1"/>
        <v>Vegetables</v>
      </c>
      <c r="D10" s="41" t="str">
        <f t="shared" si="2"/>
        <v>No</v>
      </c>
      <c r="E10" s="127" t="str">
        <f t="shared" si="3"/>
        <v/>
      </c>
      <c r="F10" s="119" t="str">
        <f t="shared" si="4"/>
        <v/>
      </c>
      <c r="G10" s="123" t="str">
        <f t="shared" si="5"/>
        <v/>
      </c>
      <c r="H10" s="125" t="str">
        <f t="shared" si="6"/>
        <v/>
      </c>
      <c r="I10" s="121" t="str">
        <f t="shared" si="7"/>
        <v/>
      </c>
      <c r="J10" s="117" t="str">
        <f t="shared" si="8"/>
        <v/>
      </c>
      <c r="K10" s="125"/>
      <c r="L10" s="125" t="str">
        <f t="shared" si="9"/>
        <v/>
      </c>
      <c r="M10" s="125" t="str">
        <f t="shared" si="10"/>
        <v/>
      </c>
      <c r="N10" s="43"/>
    </row>
    <row r="11" spans="1:14" x14ac:dyDescent="0.3">
      <c r="A11" s="40" t="s">
        <v>45</v>
      </c>
      <c r="B11" s="3" t="str">
        <f t="shared" si="0"/>
        <v>Asparagus</v>
      </c>
      <c r="C11" s="3" t="str">
        <f t="shared" si="1"/>
        <v>Vegetables</v>
      </c>
      <c r="D11" s="41" t="str">
        <f t="shared" si="2"/>
        <v>Yes</v>
      </c>
      <c r="E11" s="127">
        <f t="shared" si="3"/>
        <v>5.1686357499883164E-4</v>
      </c>
      <c r="F11" s="119">
        <f t="shared" si="4"/>
        <v>7.9678254786510769E-5</v>
      </c>
      <c r="G11" s="123">
        <f t="shared" si="5"/>
        <v>1.1000000000000001E-6</v>
      </c>
      <c r="H11" s="125">
        <f t="shared" si="6"/>
        <v>3.9037230206953377E-4</v>
      </c>
      <c r="I11" s="121">
        <f t="shared" si="7"/>
        <v>3.903723020695338E-5</v>
      </c>
      <c r="J11" s="117">
        <f t="shared" si="8"/>
        <v>6.0713662373741186E-6</v>
      </c>
      <c r="K11" s="125"/>
      <c r="L11" s="125">
        <f t="shared" si="9"/>
        <v>1.0499720390399998E-7</v>
      </c>
      <c r="M11" s="125">
        <f t="shared" si="10"/>
        <v>4.9942449455555563E-7</v>
      </c>
      <c r="N11" s="43"/>
    </row>
    <row r="12" spans="1:14" x14ac:dyDescent="0.3">
      <c r="A12" s="40" t="s">
        <v>46</v>
      </c>
      <c r="B12" s="3" t="str">
        <f t="shared" si="0"/>
        <v>Avocados</v>
      </c>
      <c r="C12" s="3" t="str">
        <f t="shared" si="1"/>
        <v>Vegetables</v>
      </c>
      <c r="D12" s="41" t="str">
        <f t="shared" si="2"/>
        <v>No</v>
      </c>
      <c r="E12" s="127" t="str">
        <f t="shared" si="3"/>
        <v/>
      </c>
      <c r="F12" s="119" t="str">
        <f t="shared" si="4"/>
        <v/>
      </c>
      <c r="G12" s="123" t="str">
        <f t="shared" si="5"/>
        <v/>
      </c>
      <c r="H12" s="125" t="str">
        <f t="shared" si="6"/>
        <v/>
      </c>
      <c r="I12" s="121" t="str">
        <f t="shared" si="7"/>
        <v/>
      </c>
      <c r="J12" s="117" t="str">
        <f t="shared" si="8"/>
        <v/>
      </c>
      <c r="K12" s="125"/>
      <c r="L12" s="125" t="str">
        <f t="shared" si="9"/>
        <v/>
      </c>
      <c r="M12" s="125" t="str">
        <f t="shared" si="10"/>
        <v/>
      </c>
      <c r="N12" s="43"/>
    </row>
    <row r="13" spans="1:14" x14ac:dyDescent="0.3">
      <c r="A13" s="40" t="s">
        <v>47</v>
      </c>
      <c r="B13" s="3" t="str">
        <f t="shared" si="0"/>
        <v>Bananas</v>
      </c>
      <c r="C13" s="3" t="str">
        <f t="shared" si="1"/>
        <v>Fruits</v>
      </c>
      <c r="D13" s="41" t="str">
        <f t="shared" si="2"/>
        <v>No</v>
      </c>
      <c r="E13" s="127" t="str">
        <f t="shared" si="3"/>
        <v/>
      </c>
      <c r="F13" s="119" t="str">
        <f t="shared" si="4"/>
        <v/>
      </c>
      <c r="G13" s="123" t="str">
        <f t="shared" si="5"/>
        <v/>
      </c>
      <c r="H13" s="125" t="str">
        <f t="shared" si="6"/>
        <v/>
      </c>
      <c r="I13" s="121" t="str">
        <f t="shared" si="7"/>
        <v/>
      </c>
      <c r="J13" s="117" t="str">
        <f t="shared" si="8"/>
        <v/>
      </c>
      <c r="K13" s="125"/>
      <c r="L13" s="125" t="str">
        <f t="shared" si="9"/>
        <v/>
      </c>
      <c r="M13" s="125" t="str">
        <f t="shared" si="10"/>
        <v/>
      </c>
      <c r="N13" s="43"/>
    </row>
    <row r="14" spans="1:14" x14ac:dyDescent="0.3">
      <c r="A14" s="40" t="s">
        <v>48</v>
      </c>
      <c r="B14" s="3" t="str">
        <f t="shared" si="0"/>
        <v>Barley, average</v>
      </c>
      <c r="C14" s="3" t="str">
        <f t="shared" si="1"/>
        <v>Cereals, incl feed</v>
      </c>
      <c r="D14" s="41" t="str">
        <f t="shared" si="2"/>
        <v>Yes</v>
      </c>
      <c r="E14" s="127">
        <f t="shared" si="3"/>
        <v>8.3716842043090581E-4</v>
      </c>
      <c r="F14" s="119">
        <f t="shared" si="4"/>
        <v>1.3527187113652022E-4</v>
      </c>
      <c r="G14" s="123">
        <f t="shared" si="5"/>
        <v>1.1000000000000001E-6</v>
      </c>
      <c r="H14" s="125">
        <f t="shared" si="6"/>
        <v>6.348790825230616E-4</v>
      </c>
      <c r="I14" s="121">
        <f t="shared" si="7"/>
        <v>6.3487908252306166E-5</v>
      </c>
      <c r="J14" s="117">
        <f t="shared" si="8"/>
        <v>1.0965445026178011E-6</v>
      </c>
      <c r="K14" s="125"/>
      <c r="L14" s="125">
        <f t="shared" si="9"/>
        <v>0</v>
      </c>
      <c r="M14" s="125">
        <f t="shared" si="10"/>
        <v>1.3330140164000001E-6</v>
      </c>
      <c r="N14" s="43"/>
    </row>
    <row r="15" spans="1:14" x14ac:dyDescent="0.3">
      <c r="A15" s="40" t="s">
        <v>49</v>
      </c>
      <c r="B15" s="3" t="str">
        <f t="shared" si="0"/>
        <v>Barley, spring</v>
      </c>
      <c r="C15" s="3" t="str">
        <f t="shared" si="1"/>
        <v>Cereals</v>
      </c>
      <c r="D15" s="41" t="str">
        <f t="shared" si="2"/>
        <v>Yes</v>
      </c>
      <c r="E15" s="127">
        <f t="shared" si="3"/>
        <v>8.2928993207719405E-4</v>
      </c>
      <c r="F15" s="119">
        <f t="shared" si="4"/>
        <v>1.3353567432375932E-4</v>
      </c>
      <c r="G15" s="123">
        <f t="shared" si="5"/>
        <v>1.1000000000000001E-6</v>
      </c>
      <c r="H15" s="125">
        <f t="shared" si="6"/>
        <v>6.2926423949103522E-4</v>
      </c>
      <c r="I15" s="121">
        <f t="shared" si="7"/>
        <v>6.2926423949103525E-5</v>
      </c>
      <c r="J15" s="117">
        <f t="shared" si="8"/>
        <v>1.1305802968960864E-6</v>
      </c>
      <c r="K15" s="125"/>
      <c r="L15" s="125">
        <f t="shared" si="9"/>
        <v>0</v>
      </c>
      <c r="M15" s="125">
        <f t="shared" si="10"/>
        <v>1.3330140164000001E-6</v>
      </c>
      <c r="N15" s="43"/>
    </row>
    <row r="16" spans="1:14" x14ac:dyDescent="0.3">
      <c r="A16" s="40" t="s">
        <v>50</v>
      </c>
      <c r="B16" s="3" t="str">
        <f t="shared" si="0"/>
        <v>Barley, winter</v>
      </c>
      <c r="C16" s="3" t="str">
        <f t="shared" si="1"/>
        <v>Cereals</v>
      </c>
      <c r="D16" s="41" t="str">
        <f t="shared" si="2"/>
        <v>Yes</v>
      </c>
      <c r="E16" s="127">
        <f t="shared" si="3"/>
        <v>8.6709367675529589E-4</v>
      </c>
      <c r="F16" s="119">
        <f t="shared" si="4"/>
        <v>1.4266725905609463E-4</v>
      </c>
      <c r="G16" s="123">
        <f t="shared" si="5"/>
        <v>1.1000000000000001E-6</v>
      </c>
      <c r="H16" s="125">
        <f t="shared" si="6"/>
        <v>6.5561026998970132E-4</v>
      </c>
      <c r="I16" s="121">
        <f t="shared" si="7"/>
        <v>6.5561026998970135E-5</v>
      </c>
      <c r="J16" s="117">
        <f t="shared" si="8"/>
        <v>8.2210669412976319E-7</v>
      </c>
      <c r="K16" s="125"/>
      <c r="L16" s="125">
        <f t="shared" si="9"/>
        <v>0</v>
      </c>
      <c r="M16" s="125">
        <f t="shared" si="10"/>
        <v>1.3330140164000001E-6</v>
      </c>
      <c r="N16" s="43"/>
    </row>
    <row r="17" spans="1:14" x14ac:dyDescent="0.3">
      <c r="A17" s="40" t="s">
        <v>51</v>
      </c>
      <c r="B17" s="3" t="str">
        <f t="shared" si="0"/>
        <v>Beans, dry</v>
      </c>
      <c r="C17" s="3" t="str">
        <f t="shared" si="1"/>
        <v>Pulses</v>
      </c>
      <c r="D17" s="41" t="str">
        <f t="shared" si="2"/>
        <v>Yes</v>
      </c>
      <c r="E17" s="127">
        <f t="shared" si="3"/>
        <v>7.7546789284839868E-4</v>
      </c>
      <c r="F17" s="119">
        <f t="shared" si="4"/>
        <v>1.0994437185989516E-4</v>
      </c>
      <c r="G17" s="123">
        <f t="shared" si="5"/>
        <v>1.1000000000000001E-6</v>
      </c>
      <c r="H17" s="125">
        <f t="shared" si="6"/>
        <v>6.0044941104761898E-4</v>
      </c>
      <c r="I17" s="121">
        <f t="shared" si="7"/>
        <v>6.0044941104761899E-5</v>
      </c>
      <c r="J17" s="117">
        <f t="shared" si="8"/>
        <v>2.5930666666666664E-6</v>
      </c>
      <c r="K17" s="125"/>
      <c r="L17" s="125">
        <f t="shared" si="9"/>
        <v>3.0881530559999997E-9</v>
      </c>
      <c r="M17" s="125">
        <f t="shared" si="10"/>
        <v>1.3330140164000001E-6</v>
      </c>
      <c r="N17" s="43"/>
    </row>
    <row r="18" spans="1:14" x14ac:dyDescent="0.3">
      <c r="A18" s="40" t="s">
        <v>52</v>
      </c>
      <c r="B18" s="3" t="str">
        <f t="shared" si="0"/>
        <v>Blueberries</v>
      </c>
      <c r="C18" s="3" t="str">
        <f t="shared" si="1"/>
        <v>Berries</v>
      </c>
      <c r="D18" s="41" t="str">
        <f t="shared" si="2"/>
        <v>No</v>
      </c>
      <c r="E18" s="127" t="str">
        <f t="shared" si="3"/>
        <v/>
      </c>
      <c r="F18" s="119" t="str">
        <f t="shared" si="4"/>
        <v/>
      </c>
      <c r="G18" s="123" t="str">
        <f t="shared" si="5"/>
        <v/>
      </c>
      <c r="H18" s="125" t="str">
        <f t="shared" si="6"/>
        <v/>
      </c>
      <c r="I18" s="121" t="str">
        <f t="shared" si="7"/>
        <v/>
      </c>
      <c r="J18" s="117" t="str">
        <f t="shared" si="8"/>
        <v/>
      </c>
      <c r="K18" s="125"/>
      <c r="L18" s="125" t="str">
        <f t="shared" si="9"/>
        <v/>
      </c>
      <c r="M18" s="125" t="str">
        <f t="shared" si="10"/>
        <v/>
      </c>
      <c r="N18" s="43"/>
    </row>
    <row r="19" spans="1:14" x14ac:dyDescent="0.3">
      <c r="A19" s="40" t="s">
        <v>53</v>
      </c>
      <c r="B19" s="3" t="str">
        <f t="shared" si="0"/>
        <v>Brazil nuts, in shell</v>
      </c>
      <c r="C19" s="3" t="str">
        <f t="shared" si="1"/>
        <v>Nuts</v>
      </c>
      <c r="D19" s="41" t="str">
        <f t="shared" si="2"/>
        <v>No</v>
      </c>
      <c r="E19" s="127" t="str">
        <f t="shared" si="3"/>
        <v/>
      </c>
      <c r="F19" s="119" t="str">
        <f t="shared" si="4"/>
        <v/>
      </c>
      <c r="G19" s="123" t="str">
        <f t="shared" si="5"/>
        <v/>
      </c>
      <c r="H19" s="125" t="str">
        <f t="shared" si="6"/>
        <v/>
      </c>
      <c r="I19" s="121" t="str">
        <f t="shared" si="7"/>
        <v/>
      </c>
      <c r="J19" s="117" t="str">
        <f t="shared" si="8"/>
        <v/>
      </c>
      <c r="K19" s="125"/>
      <c r="L19" s="125" t="str">
        <f t="shared" si="9"/>
        <v/>
      </c>
      <c r="M19" s="125" t="str">
        <f t="shared" si="10"/>
        <v/>
      </c>
      <c r="N19" s="43"/>
    </row>
    <row r="20" spans="1:14" x14ac:dyDescent="0.3">
      <c r="A20" s="40" t="s">
        <v>54</v>
      </c>
      <c r="B20" s="3" t="str">
        <f t="shared" si="0"/>
        <v>Broad beans and horse beans, dry</v>
      </c>
      <c r="C20" s="3" t="str">
        <f t="shared" si="1"/>
        <v>Pulses, incl feed</v>
      </c>
      <c r="D20" s="41" t="str">
        <f t="shared" si="2"/>
        <v>Yes</v>
      </c>
      <c r="E20" s="127">
        <f t="shared" si="3"/>
        <v>2.3886992990353336E-4</v>
      </c>
      <c r="F20" s="119">
        <f t="shared" si="4"/>
        <v>6.6632952642360706E-6</v>
      </c>
      <c r="G20" s="123">
        <f t="shared" si="5"/>
        <v>1.1000000000000001E-6</v>
      </c>
      <c r="H20" s="125">
        <f t="shared" si="6"/>
        <v>2.067986173968254E-4</v>
      </c>
      <c r="I20" s="121">
        <f t="shared" si="7"/>
        <v>2.0679861739682541E-5</v>
      </c>
      <c r="J20" s="117">
        <f t="shared" si="8"/>
        <v>2.2920533333333338E-6</v>
      </c>
      <c r="K20" s="125"/>
      <c r="L20" s="125">
        <f t="shared" si="9"/>
        <v>3.0881530559999997E-9</v>
      </c>
      <c r="M20" s="125">
        <f t="shared" si="10"/>
        <v>1.3330140164000001E-6</v>
      </c>
      <c r="N20" s="43"/>
    </row>
    <row r="21" spans="1:14" x14ac:dyDescent="0.3">
      <c r="A21" s="40" t="s">
        <v>55</v>
      </c>
      <c r="B21" s="3" t="str">
        <f t="shared" si="0"/>
        <v>Broad beans and horse beans, green</v>
      </c>
      <c r="C21" s="3" t="str">
        <f t="shared" si="1"/>
        <v>Vegetables</v>
      </c>
      <c r="D21" s="41" t="str">
        <f t="shared" si="2"/>
        <v>No</v>
      </c>
      <c r="E21" s="127" t="str">
        <f t="shared" si="3"/>
        <v/>
      </c>
      <c r="F21" s="119" t="str">
        <f t="shared" si="4"/>
        <v/>
      </c>
      <c r="G21" s="123" t="str">
        <f t="shared" si="5"/>
        <v/>
      </c>
      <c r="H21" s="125" t="str">
        <f t="shared" si="6"/>
        <v/>
      </c>
      <c r="I21" s="121" t="str">
        <f t="shared" si="7"/>
        <v/>
      </c>
      <c r="J21" s="117" t="str">
        <f t="shared" si="8"/>
        <v/>
      </c>
      <c r="K21" s="125"/>
      <c r="L21" s="125" t="str">
        <f t="shared" si="9"/>
        <v/>
      </c>
      <c r="M21" s="125" t="str">
        <f t="shared" si="10"/>
        <v/>
      </c>
      <c r="N21" s="43"/>
    </row>
    <row r="22" spans="1:14" x14ac:dyDescent="0.3">
      <c r="A22" s="40" t="s">
        <v>56</v>
      </c>
      <c r="B22" s="3" t="str">
        <f t="shared" si="0"/>
        <v>Broccoli</v>
      </c>
      <c r="C22" s="3" t="str">
        <f t="shared" si="1"/>
        <v>Vegetables</v>
      </c>
      <c r="D22" s="41" t="str">
        <f t="shared" si="2"/>
        <v>Yes</v>
      </c>
      <c r="E22" s="127">
        <f t="shared" si="3"/>
        <v>8.4445993411868094E-4</v>
      </c>
      <c r="F22" s="119">
        <f t="shared" si="4"/>
        <v>1.4365553814446233E-4</v>
      </c>
      <c r="G22" s="123">
        <f t="shared" si="5"/>
        <v>1.1000000000000001E-6</v>
      </c>
      <c r="H22" s="125">
        <f t="shared" si="6"/>
        <v>6.3421860189148834E-4</v>
      </c>
      <c r="I22" s="121">
        <f t="shared" si="7"/>
        <v>6.3421860189148834E-5</v>
      </c>
      <c r="J22" s="117">
        <f t="shared" si="8"/>
        <v>1.4595121951219512E-6</v>
      </c>
      <c r="K22" s="125"/>
      <c r="L22" s="125">
        <f t="shared" si="9"/>
        <v>1.0499720390399999E-7</v>
      </c>
      <c r="M22" s="125">
        <f t="shared" si="10"/>
        <v>4.9942449455555563E-7</v>
      </c>
      <c r="N22" s="43"/>
    </row>
    <row r="23" spans="1:14" x14ac:dyDescent="0.3">
      <c r="A23" s="40" t="s">
        <v>57</v>
      </c>
      <c r="B23" s="3" t="str">
        <f t="shared" si="0"/>
        <v>Buckwheat</v>
      </c>
      <c r="C23" s="3" t="str">
        <f t="shared" si="1"/>
        <v>Seeds</v>
      </c>
      <c r="D23" s="41" t="str">
        <f t="shared" si="2"/>
        <v>No</v>
      </c>
      <c r="E23" s="127" t="str">
        <f t="shared" si="3"/>
        <v/>
      </c>
      <c r="F23" s="119" t="str">
        <f t="shared" si="4"/>
        <v/>
      </c>
      <c r="G23" s="123" t="str">
        <f t="shared" si="5"/>
        <v/>
      </c>
      <c r="H23" s="125" t="str">
        <f t="shared" si="6"/>
        <v/>
      </c>
      <c r="I23" s="121" t="str">
        <f t="shared" si="7"/>
        <v/>
      </c>
      <c r="J23" s="117" t="str">
        <f t="shared" si="8"/>
        <v/>
      </c>
      <c r="K23" s="125"/>
      <c r="L23" s="125" t="str">
        <f t="shared" si="9"/>
        <v/>
      </c>
      <c r="M23" s="125" t="str">
        <f t="shared" si="10"/>
        <v/>
      </c>
      <c r="N23" s="43"/>
    </row>
    <row r="24" spans="1:14" x14ac:dyDescent="0.3">
      <c r="A24" s="40" t="s">
        <v>58</v>
      </c>
      <c r="B24" s="3" t="str">
        <f t="shared" si="0"/>
        <v>Cabbages</v>
      </c>
      <c r="C24" s="3" t="str">
        <f t="shared" si="1"/>
        <v>Vegetables</v>
      </c>
      <c r="D24" s="41" t="str">
        <f t="shared" si="2"/>
        <v>Yes</v>
      </c>
      <c r="E24" s="127">
        <f t="shared" si="3"/>
        <v>3.0173951975416248E-4</v>
      </c>
      <c r="F24" s="119">
        <f t="shared" si="4"/>
        <v>3.9360734577963008E-5</v>
      </c>
      <c r="G24" s="123">
        <f t="shared" si="5"/>
        <v>1.1000000000000001E-6</v>
      </c>
      <c r="H24" s="125">
        <f t="shared" si="6"/>
        <v>2.3670403725989099E-4</v>
      </c>
      <c r="I24" s="121">
        <f t="shared" si="7"/>
        <v>2.3670403725989101E-5</v>
      </c>
      <c r="J24" s="117">
        <f t="shared" si="8"/>
        <v>2.9992249185985532E-7</v>
      </c>
      <c r="K24" s="125"/>
      <c r="L24" s="125">
        <f t="shared" si="9"/>
        <v>1.0499720390399999E-7</v>
      </c>
      <c r="M24" s="125">
        <f t="shared" si="10"/>
        <v>4.9942449455555563E-7</v>
      </c>
      <c r="N24" s="43"/>
    </row>
    <row r="25" spans="1:14" x14ac:dyDescent="0.3">
      <c r="A25" s="40" t="s">
        <v>59</v>
      </c>
      <c r="B25" s="3" t="str">
        <f t="shared" si="0"/>
        <v>Cantaloupes and other melons</v>
      </c>
      <c r="C25" s="3" t="str">
        <f t="shared" si="1"/>
        <v>Fruits</v>
      </c>
      <c r="D25" s="41" t="str">
        <f t="shared" si="2"/>
        <v>No</v>
      </c>
      <c r="E25" s="127" t="str">
        <f t="shared" si="3"/>
        <v/>
      </c>
      <c r="F25" s="119" t="str">
        <f t="shared" si="4"/>
        <v/>
      </c>
      <c r="G25" s="123" t="str">
        <f t="shared" si="5"/>
        <v/>
      </c>
      <c r="H25" s="125" t="str">
        <f t="shared" si="6"/>
        <v/>
      </c>
      <c r="I25" s="121" t="str">
        <f t="shared" si="7"/>
        <v/>
      </c>
      <c r="J25" s="117" t="str">
        <f t="shared" si="8"/>
        <v/>
      </c>
      <c r="K25" s="125"/>
      <c r="L25" s="125" t="str">
        <f t="shared" si="9"/>
        <v/>
      </c>
      <c r="M25" s="125" t="str">
        <f t="shared" si="10"/>
        <v/>
      </c>
      <c r="N25" s="43"/>
    </row>
    <row r="26" spans="1:14" x14ac:dyDescent="0.3">
      <c r="A26" s="40" t="s">
        <v>60</v>
      </c>
      <c r="B26" s="3" t="str">
        <f t="shared" si="0"/>
        <v>Carrots and turnips</v>
      </c>
      <c r="C26" s="3" t="str">
        <f t="shared" si="1"/>
        <v>Vegetables</v>
      </c>
      <c r="D26" s="41" t="str">
        <f t="shared" si="2"/>
        <v>Yes</v>
      </c>
      <c r="E26" s="127">
        <f t="shared" si="3"/>
        <v>7.3487454556137396E-5</v>
      </c>
      <c r="F26" s="119">
        <f t="shared" si="4"/>
        <v>8.7644342472871879E-6</v>
      </c>
      <c r="G26" s="123">
        <f t="shared" si="5"/>
        <v>1.1000000000000001E-6</v>
      </c>
      <c r="H26" s="125">
        <f t="shared" si="6"/>
        <v>5.7143340019437592E-5</v>
      </c>
      <c r="I26" s="121">
        <f t="shared" si="7"/>
        <v>5.7143340019437595E-6</v>
      </c>
      <c r="J26" s="117">
        <f t="shared" si="8"/>
        <v>1.6092458900930033E-7</v>
      </c>
      <c r="K26" s="125"/>
      <c r="L26" s="125">
        <f t="shared" si="9"/>
        <v>1.0499720390399999E-7</v>
      </c>
      <c r="M26" s="125">
        <f t="shared" si="10"/>
        <v>4.9942449455555563E-7</v>
      </c>
      <c r="N26" s="43"/>
    </row>
    <row r="27" spans="1:14" x14ac:dyDescent="0.3">
      <c r="A27" s="40" t="s">
        <v>61</v>
      </c>
      <c r="B27" s="3" t="str">
        <f t="shared" si="0"/>
        <v>Cashew nuts, in shell</v>
      </c>
      <c r="C27" s="3" t="str">
        <f t="shared" si="1"/>
        <v>Nuts</v>
      </c>
      <c r="D27" s="41" t="str">
        <f t="shared" si="2"/>
        <v>No</v>
      </c>
      <c r="E27" s="127" t="str">
        <f t="shared" si="3"/>
        <v/>
      </c>
      <c r="F27" s="119" t="str">
        <f t="shared" si="4"/>
        <v/>
      </c>
      <c r="G27" s="123" t="str">
        <f t="shared" si="5"/>
        <v/>
      </c>
      <c r="H27" s="125" t="str">
        <f t="shared" si="6"/>
        <v/>
      </c>
      <c r="I27" s="121" t="str">
        <f t="shared" si="7"/>
        <v/>
      </c>
      <c r="J27" s="117" t="str">
        <f t="shared" si="8"/>
        <v/>
      </c>
      <c r="K27" s="125"/>
      <c r="L27" s="125" t="str">
        <f t="shared" si="9"/>
        <v/>
      </c>
      <c r="M27" s="125" t="str">
        <f t="shared" si="10"/>
        <v/>
      </c>
      <c r="N27" s="43"/>
    </row>
    <row r="28" spans="1:14" x14ac:dyDescent="0.3">
      <c r="A28" s="40" t="s">
        <v>62</v>
      </c>
      <c r="B28" s="3" t="str">
        <f t="shared" si="0"/>
        <v>Cauliflowers</v>
      </c>
      <c r="C28" s="3" t="str">
        <f t="shared" si="1"/>
        <v>Vegetables</v>
      </c>
      <c r="D28" s="41" t="str">
        <f t="shared" si="2"/>
        <v>Yes</v>
      </c>
      <c r="E28" s="127">
        <f t="shared" si="3"/>
        <v>5.931689452774424E-4</v>
      </c>
      <c r="F28" s="119">
        <f t="shared" si="4"/>
        <v>9.5415233961250242E-5</v>
      </c>
      <c r="G28" s="123">
        <f t="shared" si="5"/>
        <v>1.1000000000000001E-6</v>
      </c>
      <c r="H28" s="125">
        <f t="shared" si="6"/>
        <v>4.5035303180238567E-4</v>
      </c>
      <c r="I28" s="121">
        <f t="shared" si="7"/>
        <v>4.5035303180238569E-5</v>
      </c>
      <c r="J28" s="117">
        <f t="shared" si="8"/>
        <v>6.6095463510848129E-7</v>
      </c>
      <c r="K28" s="125"/>
      <c r="L28" s="125">
        <f t="shared" si="9"/>
        <v>1.0499720390399998E-7</v>
      </c>
      <c r="M28" s="125">
        <f t="shared" si="10"/>
        <v>4.9942449455555563E-7</v>
      </c>
      <c r="N28" s="43"/>
    </row>
    <row r="29" spans="1:14" x14ac:dyDescent="0.3">
      <c r="A29" s="40" t="s">
        <v>63</v>
      </c>
      <c r="B29" s="3" t="str">
        <f t="shared" si="0"/>
        <v>Cauliflowers and broccoli, average</v>
      </c>
      <c r="C29" s="3" t="str">
        <f t="shared" si="1"/>
        <v>Vegetables</v>
      </c>
      <c r="D29" s="41" t="str">
        <f t="shared" si="2"/>
        <v>Yes</v>
      </c>
      <c r="E29" s="127">
        <f t="shared" si="3"/>
        <v>6.5125154960714868E-4</v>
      </c>
      <c r="F29" s="119">
        <f t="shared" si="4"/>
        <v>1.0660375084807613E-4</v>
      </c>
      <c r="G29" s="123">
        <f t="shared" si="5"/>
        <v>1.1000000000000001E-6</v>
      </c>
      <c r="H29" s="125">
        <f t="shared" si="6"/>
        <v>4.9281566005747479E-4</v>
      </c>
      <c r="I29" s="121">
        <f t="shared" si="7"/>
        <v>4.9281566005747484E-5</v>
      </c>
      <c r="J29" s="117">
        <f t="shared" si="8"/>
        <v>8.4615099739079205E-7</v>
      </c>
      <c r="K29" s="125"/>
      <c r="L29" s="125">
        <f t="shared" si="9"/>
        <v>1.0499720390399998E-7</v>
      </c>
      <c r="M29" s="125">
        <f t="shared" si="10"/>
        <v>4.9942449455555563E-7</v>
      </c>
      <c r="N29" s="43"/>
    </row>
    <row r="30" spans="1:14" x14ac:dyDescent="0.3">
      <c r="A30" s="40" t="s">
        <v>64</v>
      </c>
      <c r="B30" s="3" t="str">
        <f t="shared" si="0"/>
        <v>Cereals n.e.c.</v>
      </c>
      <c r="C30" s="3" t="str">
        <f t="shared" si="1"/>
        <v>Cereals</v>
      </c>
      <c r="D30" s="41" t="str">
        <f t="shared" si="2"/>
        <v>No</v>
      </c>
      <c r="E30" s="127" t="str">
        <f t="shared" si="3"/>
        <v/>
      </c>
      <c r="F30" s="119" t="str">
        <f t="shared" si="4"/>
        <v/>
      </c>
      <c r="G30" s="123" t="str">
        <f t="shared" si="5"/>
        <v/>
      </c>
      <c r="H30" s="125" t="str">
        <f t="shared" si="6"/>
        <v/>
      </c>
      <c r="I30" s="121" t="str">
        <f t="shared" si="7"/>
        <v/>
      </c>
      <c r="J30" s="117" t="str">
        <f t="shared" si="8"/>
        <v/>
      </c>
      <c r="K30" s="125"/>
      <c r="L30" s="125" t="str">
        <f t="shared" si="9"/>
        <v/>
      </c>
      <c r="M30" s="125" t="str">
        <f t="shared" si="10"/>
        <v/>
      </c>
      <c r="N30" s="43"/>
    </row>
    <row r="31" spans="1:14" x14ac:dyDescent="0.3">
      <c r="A31" s="40" t="s">
        <v>65</v>
      </c>
      <c r="B31" s="3" t="str">
        <f t="shared" si="0"/>
        <v>Cherries</v>
      </c>
      <c r="C31" s="3" t="str">
        <f t="shared" si="1"/>
        <v>Berries</v>
      </c>
      <c r="D31" s="41" t="str">
        <f t="shared" si="2"/>
        <v>No</v>
      </c>
      <c r="E31" s="127" t="str">
        <f t="shared" si="3"/>
        <v/>
      </c>
      <c r="F31" s="119" t="str">
        <f t="shared" si="4"/>
        <v/>
      </c>
      <c r="G31" s="123" t="str">
        <f t="shared" si="5"/>
        <v/>
      </c>
      <c r="H31" s="125" t="str">
        <f t="shared" si="6"/>
        <v/>
      </c>
      <c r="I31" s="121" t="str">
        <f t="shared" si="7"/>
        <v/>
      </c>
      <c r="J31" s="117" t="str">
        <f t="shared" si="8"/>
        <v/>
      </c>
      <c r="K31" s="125"/>
      <c r="L31" s="125" t="str">
        <f t="shared" si="9"/>
        <v/>
      </c>
      <c r="M31" s="125" t="str">
        <f t="shared" si="10"/>
        <v/>
      </c>
      <c r="N31" s="43"/>
    </row>
    <row r="32" spans="1:14" x14ac:dyDescent="0.3">
      <c r="A32" s="40" t="s">
        <v>66</v>
      </c>
      <c r="B32" s="3" t="str">
        <f t="shared" si="0"/>
        <v>Chestnuts, in shell</v>
      </c>
      <c r="C32" s="3" t="str">
        <f t="shared" si="1"/>
        <v>Nuts</v>
      </c>
      <c r="D32" s="41" t="str">
        <f t="shared" si="2"/>
        <v>No</v>
      </c>
      <c r="E32" s="127" t="str">
        <f t="shared" si="3"/>
        <v/>
      </c>
      <c r="F32" s="119" t="str">
        <f t="shared" si="4"/>
        <v/>
      </c>
      <c r="G32" s="123" t="str">
        <f t="shared" si="5"/>
        <v/>
      </c>
      <c r="H32" s="125" t="str">
        <f t="shared" si="6"/>
        <v/>
      </c>
      <c r="I32" s="121" t="str">
        <f t="shared" si="7"/>
        <v/>
      </c>
      <c r="J32" s="117" t="str">
        <f t="shared" si="8"/>
        <v/>
      </c>
      <c r="K32" s="125"/>
      <c r="L32" s="125" t="str">
        <f t="shared" si="9"/>
        <v/>
      </c>
      <c r="M32" s="125" t="str">
        <f t="shared" si="10"/>
        <v/>
      </c>
      <c r="N32" s="43"/>
    </row>
    <row r="33" spans="1:14" x14ac:dyDescent="0.3">
      <c r="A33" s="40" t="s">
        <v>67</v>
      </c>
      <c r="B33" s="3" t="str">
        <f t="shared" si="0"/>
        <v>Chick peas, dry</v>
      </c>
      <c r="C33" s="3" t="str">
        <f t="shared" si="1"/>
        <v>Pulses</v>
      </c>
      <c r="D33" s="41" t="str">
        <f t="shared" si="2"/>
        <v>No</v>
      </c>
      <c r="E33" s="127" t="str">
        <f t="shared" si="3"/>
        <v/>
      </c>
      <c r="F33" s="119" t="str">
        <f t="shared" si="4"/>
        <v/>
      </c>
      <c r="G33" s="123" t="str">
        <f t="shared" si="5"/>
        <v/>
      </c>
      <c r="H33" s="125" t="str">
        <f t="shared" si="6"/>
        <v/>
      </c>
      <c r="I33" s="121" t="str">
        <f t="shared" si="7"/>
        <v/>
      </c>
      <c r="J33" s="117" t="str">
        <f t="shared" si="8"/>
        <v/>
      </c>
      <c r="K33" s="125"/>
      <c r="L33" s="125" t="str">
        <f t="shared" si="9"/>
        <v/>
      </c>
      <c r="M33" s="125" t="str">
        <f t="shared" si="10"/>
        <v/>
      </c>
      <c r="N33" s="43"/>
    </row>
    <row r="34" spans="1:14" x14ac:dyDescent="0.3">
      <c r="A34" s="40" t="s">
        <v>68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1" t="str">
        <f t="shared" si="2"/>
        <v>No</v>
      </c>
      <c r="E34" s="127" t="str">
        <f t="shared" si="3"/>
        <v/>
      </c>
      <c r="F34" s="119" t="str">
        <f t="shared" si="4"/>
        <v/>
      </c>
      <c r="G34" s="123" t="str">
        <f t="shared" si="5"/>
        <v/>
      </c>
      <c r="H34" s="125" t="str">
        <f t="shared" si="6"/>
        <v/>
      </c>
      <c r="I34" s="121" t="str">
        <f t="shared" si="7"/>
        <v/>
      </c>
      <c r="J34" s="117"/>
      <c r="K34" s="125"/>
      <c r="L34" s="125" t="str">
        <f t="shared" si="9"/>
        <v/>
      </c>
      <c r="M34" s="125" t="str">
        <f t="shared" si="10"/>
        <v/>
      </c>
      <c r="N34" s="43"/>
    </row>
    <row r="35" spans="1:14" x14ac:dyDescent="0.3">
      <c r="A35" s="40" t="s">
        <v>69</v>
      </c>
      <c r="B35" s="3" t="str">
        <f t="shared" si="0"/>
        <v>Cocoa beans</v>
      </c>
      <c r="C35" s="3" t="str">
        <f t="shared" si="1"/>
        <v>Stimulants</v>
      </c>
      <c r="D35" s="41" t="str">
        <f t="shared" si="2"/>
        <v>No</v>
      </c>
      <c r="E35" s="127" t="str">
        <f t="shared" si="3"/>
        <v/>
      </c>
      <c r="F35" s="119" t="str">
        <f t="shared" si="4"/>
        <v/>
      </c>
      <c r="G35" s="123" t="str">
        <f t="shared" si="5"/>
        <v/>
      </c>
      <c r="H35" s="125" t="str">
        <f t="shared" si="6"/>
        <v/>
      </c>
      <c r="I35" s="121" t="str">
        <f t="shared" si="7"/>
        <v/>
      </c>
      <c r="J35" s="117" t="str">
        <f t="shared" ref="J35:J66" si="11">IF(D35="YES",INDEX(Crop_data,MATCH(A35,Crop_data_codes,0),11)*Heating_value_diesel*EF_diesel_N2O/INDEX(Crop_data,MATCH(A35,Crop_data_codes,0),6),"")</f>
        <v/>
      </c>
      <c r="K35" s="125"/>
      <c r="L35" s="125" t="str">
        <f t="shared" si="9"/>
        <v/>
      </c>
      <c r="M35" s="125" t="str">
        <f t="shared" si="10"/>
        <v/>
      </c>
      <c r="N35" s="43"/>
    </row>
    <row r="36" spans="1:14" x14ac:dyDescent="0.3">
      <c r="A36" s="40" t="s">
        <v>70</v>
      </c>
      <c r="B36" s="3" t="str">
        <f t="shared" si="0"/>
        <v>Coconut, in shell</v>
      </c>
      <c r="C36" s="3" t="str">
        <f t="shared" si="1"/>
        <v>Nuts</v>
      </c>
      <c r="D36" s="41" t="str">
        <f t="shared" si="2"/>
        <v>No</v>
      </c>
      <c r="E36" s="127" t="str">
        <f t="shared" si="3"/>
        <v/>
      </c>
      <c r="F36" s="119" t="str">
        <f t="shared" si="4"/>
        <v/>
      </c>
      <c r="G36" s="123" t="str">
        <f t="shared" si="5"/>
        <v/>
      </c>
      <c r="H36" s="125" t="str">
        <f t="shared" si="6"/>
        <v/>
      </c>
      <c r="I36" s="121" t="str">
        <f t="shared" si="7"/>
        <v/>
      </c>
      <c r="J36" s="117" t="str">
        <f t="shared" si="11"/>
        <v/>
      </c>
      <c r="K36" s="125"/>
      <c r="L36" s="125" t="str">
        <f t="shared" si="9"/>
        <v/>
      </c>
      <c r="M36" s="125" t="str">
        <f t="shared" si="10"/>
        <v/>
      </c>
      <c r="N36" s="43"/>
    </row>
    <row r="37" spans="1:14" x14ac:dyDescent="0.3">
      <c r="A37" s="40" t="s">
        <v>71</v>
      </c>
      <c r="B37" s="3" t="str">
        <f t="shared" si="0"/>
        <v>Coffee, green</v>
      </c>
      <c r="C37" s="3" t="str">
        <f t="shared" si="1"/>
        <v>Stimulants</v>
      </c>
      <c r="D37" s="41" t="str">
        <f t="shared" si="2"/>
        <v>No</v>
      </c>
      <c r="E37" s="127" t="str">
        <f t="shared" si="3"/>
        <v/>
      </c>
      <c r="F37" s="119" t="str">
        <f t="shared" si="4"/>
        <v/>
      </c>
      <c r="G37" s="123" t="str">
        <f t="shared" si="5"/>
        <v/>
      </c>
      <c r="H37" s="125" t="str">
        <f t="shared" si="6"/>
        <v/>
      </c>
      <c r="I37" s="121" t="str">
        <f t="shared" si="7"/>
        <v/>
      </c>
      <c r="J37" s="117" t="str">
        <f t="shared" si="11"/>
        <v/>
      </c>
      <c r="K37" s="125"/>
      <c r="L37" s="125" t="str">
        <f t="shared" si="9"/>
        <v/>
      </c>
      <c r="M37" s="125" t="str">
        <f t="shared" si="10"/>
        <v/>
      </c>
      <c r="N37" s="43"/>
    </row>
    <row r="38" spans="1:14" x14ac:dyDescent="0.3">
      <c r="A38" s="40" t="s">
        <v>72</v>
      </c>
      <c r="B38" s="3" t="str">
        <f t="shared" ref="B38:B69" si="12">INDEX(Crop_data,MATCH(A38,Crop_data_codes,0),2)</f>
        <v>Cucumbers and gherkins, averrage</v>
      </c>
      <c r="C38" s="3" t="str">
        <f t="shared" ref="C38:C69" si="13">INDEX(Crop_data,MATCH(A38,Crop_data_codes,0),3)</f>
        <v>Vegetables</v>
      </c>
      <c r="D38" s="41" t="str">
        <f t="shared" ref="D38:D69" si="14">INDEX(Crop_data,MATCH(A38,Crop_data_codes,0),4)</f>
        <v>Yes</v>
      </c>
      <c r="E38" s="127">
        <f t="shared" ref="E38:E69" si="15">IF(D38="Yes", SUM(F38:N38),"")</f>
        <v>1.3918240361679451E-4</v>
      </c>
      <c r="F38" s="119">
        <f t="shared" ref="F38:F69" si="16">IF(D38="YES",INDEX(Crop_data,MATCH(A38,Crop_data_codes,0),7)*(Frac_BAT*EF_min_fert_BAT_N2O+Frac_AN*EF_min_fert_AN_N2O)/INDEX(Crop_data,MATCH(A38,Crop_data_codes,0),6),"")</f>
        <v>2.0868400345483501E-5</v>
      </c>
      <c r="G38" s="123">
        <f t="shared" ref="G38:G69" si="17">IF(D38="YES",EF_capital_goods_N2O,"")</f>
        <v>1.1000000000000001E-6</v>
      </c>
      <c r="H38" s="125">
        <f t="shared" ref="H38:H69" si="18">IF(D38="YES",(INDEX(Crop_data,MATCH(A38,Crop_data_codes,0),7)*EF_N2O_soils_min_fert+INDEX(Crop_data,MATCH(A38,Crop_data_codes,0),9)*EF_N2O_soils_crop_res)*44/28/INDEX(Crop_data,MATCH(A38,Crop_data_codes,0),6),"")</f>
        <v>8.228826206062954E-5</v>
      </c>
      <c r="I38" s="121">
        <f t="shared" ref="I38:I69" si="19">IF(D38="Yes",H38*EF_N2O_soils_indirect,"")</f>
        <v>8.2288262060629543E-6</v>
      </c>
      <c r="J38" s="117">
        <f t="shared" si="11"/>
        <v>1.1474086997491096E-9</v>
      </c>
      <c r="K38" s="125">
        <f>INDEX(Crop_data,MATCH("01232_gh",Crop_data_codes,0),5)/100*Energy!B23/INDEX(Crop_data,MATCH(A38,Crop_data_codes,0),6)</f>
        <v>2.6183990489139218E-5</v>
      </c>
      <c r="L38" s="125">
        <f t="shared" si="9"/>
        <v>1.2352612223999997E-8</v>
      </c>
      <c r="M38" s="125">
        <f t="shared" si="10"/>
        <v>4.9942449455555563E-7</v>
      </c>
      <c r="N38" s="43"/>
    </row>
    <row r="39" spans="1:14" x14ac:dyDescent="0.3">
      <c r="A39" s="40" t="s">
        <v>73</v>
      </c>
      <c r="B39" s="3" t="str">
        <f t="shared" si="12"/>
        <v>Cucumbers and gherkins, greenhouse</v>
      </c>
      <c r="C39" s="3" t="str">
        <f t="shared" si="13"/>
        <v>Vegetables</v>
      </c>
      <c r="D39" s="41" t="str">
        <f t="shared" si="14"/>
        <v>Yes</v>
      </c>
      <c r="E39" s="127">
        <f t="shared" si="15"/>
        <v>1.3887340572085188E-4</v>
      </c>
      <c r="F39" s="119">
        <f t="shared" si="16"/>
        <v>2.0888473126136648E-5</v>
      </c>
      <c r="G39" s="123">
        <f t="shared" si="17"/>
        <v>1.1000000000000001E-6</v>
      </c>
      <c r="H39" s="125">
        <f t="shared" si="18"/>
        <v>8.1857523962447959E-5</v>
      </c>
      <c r="I39" s="121">
        <f t="shared" si="19"/>
        <v>8.1857523962447969E-6</v>
      </c>
      <c r="J39" s="117">
        <f t="shared" si="11"/>
        <v>0</v>
      </c>
      <c r="K39" s="125">
        <f>Energy!B23/INDEX(Crop_data,MATCH(A39,Crop_data_codes,0),6)</f>
        <v>2.6342231741466924E-5</v>
      </c>
      <c r="L39" s="125"/>
      <c r="M39" s="125">
        <f t="shared" si="10"/>
        <v>4.9942449455555563E-7</v>
      </c>
      <c r="N39" s="43"/>
    </row>
    <row r="40" spans="1:14" x14ac:dyDescent="0.3">
      <c r="A40" s="40" t="s">
        <v>74</v>
      </c>
      <c r="B40" s="3" t="str">
        <f t="shared" si="12"/>
        <v>Cucumbers and gherkins, openfield</v>
      </c>
      <c r="C40" s="3" t="str">
        <f t="shared" si="13"/>
        <v>Vegetables</v>
      </c>
      <c r="D40" s="41" t="str">
        <f t="shared" si="14"/>
        <v>Yes</v>
      </c>
      <c r="E40" s="127">
        <f t="shared" si="15"/>
        <v>1.8826794340669984E-4</v>
      </c>
      <c r="F40" s="119">
        <f t="shared" si="16"/>
        <v>1.7546981372988283E-5</v>
      </c>
      <c r="G40" s="123">
        <f t="shared" si="17"/>
        <v>1.1000000000000001E-6</v>
      </c>
      <c r="H40" s="125">
        <f t="shared" si="18"/>
        <v>1.5356197924999457E-4</v>
      </c>
      <c r="I40" s="121">
        <f t="shared" si="19"/>
        <v>1.5356197924999459E-5</v>
      </c>
      <c r="J40" s="117">
        <f t="shared" si="11"/>
        <v>1.910077519379845E-7</v>
      </c>
      <c r="K40" s="125"/>
      <c r="L40" s="125">
        <f t="shared" ref="L40:L71" si="20">IF(D40="YES",INDEX(Crop_data,MATCH(A40,Crop_data_codes,0),12)*EF_irrigation_N2O/INDEX(Crop_data,MATCH(A40,Crop_data_codes,0),6),"")</f>
        <v>1.2352612224000001E-8</v>
      </c>
      <c r="M40" s="125">
        <f t="shared" ref="M40:M71" si="21">IF(D40="Yes",INDEX(Post_harvest_energy_data,MATCH(C40,Post_harvest_energy_categories,0),2)*EF_heating_oil_N2O+INDEX(Post_harvest_energy_data,MATCH(C40,Post_harvest_energy_categories,0),3)*EF_electricity_N2O+INDEX(Post_harvest_energy_data,MATCH(C40,Post_harvest_energy_categories,0),4)*EF_chips_N2O,"")</f>
        <v>4.9942449455555563E-7</v>
      </c>
      <c r="N40" s="43"/>
    </row>
    <row r="41" spans="1:14" x14ac:dyDescent="0.3">
      <c r="A41" s="40" t="s">
        <v>75</v>
      </c>
      <c r="B41" s="3" t="str">
        <f t="shared" si="12"/>
        <v>Currants</v>
      </c>
      <c r="C41" s="3" t="str">
        <f t="shared" si="13"/>
        <v>Berries</v>
      </c>
      <c r="D41" s="41" t="str">
        <f t="shared" si="14"/>
        <v>Yes</v>
      </c>
      <c r="E41" s="127">
        <f t="shared" si="15"/>
        <v>3.7589797338421306E-4</v>
      </c>
      <c r="F41" s="119">
        <f t="shared" si="16"/>
        <v>5.277329849274968E-5</v>
      </c>
      <c r="G41" s="123">
        <f t="shared" si="17"/>
        <v>1.1000000000000001E-6</v>
      </c>
      <c r="H41" s="125">
        <f t="shared" si="18"/>
        <v>2.878253714285714E-4</v>
      </c>
      <c r="I41" s="121">
        <f t="shared" si="19"/>
        <v>2.878253714285714E-5</v>
      </c>
      <c r="J41" s="117">
        <f t="shared" si="11"/>
        <v>5.3855999999999997E-6</v>
      </c>
      <c r="K41" s="125"/>
      <c r="L41" s="125">
        <f t="shared" si="20"/>
        <v>3.1166320034824309E-8</v>
      </c>
      <c r="M41" s="125">
        <f t="shared" si="21"/>
        <v>0</v>
      </c>
      <c r="N41" s="43"/>
    </row>
    <row r="42" spans="1:14" x14ac:dyDescent="0.3">
      <c r="A42" s="40" t="s">
        <v>76</v>
      </c>
      <c r="B42" s="3" t="str">
        <f t="shared" si="12"/>
        <v>Dates</v>
      </c>
      <c r="C42" s="3" t="str">
        <f t="shared" si="13"/>
        <v>Fruits</v>
      </c>
      <c r="D42" s="41" t="str">
        <f t="shared" si="14"/>
        <v>No</v>
      </c>
      <c r="E42" s="127" t="str">
        <f t="shared" si="15"/>
        <v/>
      </c>
      <c r="F42" s="119" t="str">
        <f t="shared" si="16"/>
        <v/>
      </c>
      <c r="G42" s="123" t="str">
        <f t="shared" si="17"/>
        <v/>
      </c>
      <c r="H42" s="125" t="str">
        <f t="shared" si="18"/>
        <v/>
      </c>
      <c r="I42" s="121" t="str">
        <f t="shared" si="19"/>
        <v/>
      </c>
      <c r="J42" s="117" t="str">
        <f t="shared" si="11"/>
        <v/>
      </c>
      <c r="K42" s="125"/>
      <c r="L42" s="125" t="str">
        <f t="shared" si="20"/>
        <v/>
      </c>
      <c r="M42" s="125" t="str">
        <f t="shared" si="21"/>
        <v/>
      </c>
      <c r="N42" s="43"/>
    </row>
    <row r="43" spans="1:14" x14ac:dyDescent="0.3">
      <c r="A43" s="40" t="s">
        <v>77</v>
      </c>
      <c r="B43" s="3" t="str">
        <f t="shared" si="12"/>
        <v>Edible roots and tubers with high starch or inulin content, n.e.c., fresh</v>
      </c>
      <c r="C43" s="3" t="str">
        <f t="shared" si="13"/>
        <v>Roots</v>
      </c>
      <c r="D43" s="41" t="str">
        <f t="shared" si="14"/>
        <v>No</v>
      </c>
      <c r="E43" s="127" t="str">
        <f t="shared" si="15"/>
        <v/>
      </c>
      <c r="F43" s="119" t="str">
        <f t="shared" si="16"/>
        <v/>
      </c>
      <c r="G43" s="123" t="str">
        <f t="shared" si="17"/>
        <v/>
      </c>
      <c r="H43" s="125" t="str">
        <f t="shared" si="18"/>
        <v/>
      </c>
      <c r="I43" s="121" t="str">
        <f t="shared" si="19"/>
        <v/>
      </c>
      <c r="J43" s="117" t="str">
        <f t="shared" si="11"/>
        <v/>
      </c>
      <c r="K43" s="125"/>
      <c r="L43" s="125" t="str">
        <f t="shared" si="20"/>
        <v/>
      </c>
      <c r="M43" s="125" t="str">
        <f t="shared" si="21"/>
        <v/>
      </c>
      <c r="N43" s="43"/>
    </row>
    <row r="44" spans="1:14" x14ac:dyDescent="0.3">
      <c r="A44" s="40" t="s">
        <v>78</v>
      </c>
      <c r="B44" s="3" t="str">
        <f t="shared" si="12"/>
        <v>Eggplants (aubergines)</v>
      </c>
      <c r="C44" s="3" t="str">
        <f t="shared" si="13"/>
        <v>Vegetables</v>
      </c>
      <c r="D44" s="41" t="str">
        <f t="shared" si="14"/>
        <v>No</v>
      </c>
      <c r="E44" s="127" t="str">
        <f t="shared" si="15"/>
        <v/>
      </c>
      <c r="F44" s="119" t="str">
        <f t="shared" si="16"/>
        <v/>
      </c>
      <c r="G44" s="123" t="str">
        <f t="shared" si="17"/>
        <v/>
      </c>
      <c r="H44" s="125" t="str">
        <f t="shared" si="18"/>
        <v/>
      </c>
      <c r="I44" s="121" t="str">
        <f t="shared" si="19"/>
        <v/>
      </c>
      <c r="J44" s="117" t="str">
        <f t="shared" si="11"/>
        <v/>
      </c>
      <c r="K44" s="125"/>
      <c r="L44" s="125" t="str">
        <f t="shared" si="20"/>
        <v/>
      </c>
      <c r="M44" s="125" t="str">
        <f t="shared" si="21"/>
        <v/>
      </c>
      <c r="N44" s="43"/>
    </row>
    <row r="45" spans="1:14" x14ac:dyDescent="0.3">
      <c r="A45" s="40" t="s">
        <v>79</v>
      </c>
      <c r="B45" s="3" t="str">
        <f t="shared" si="12"/>
        <v>Figs</v>
      </c>
      <c r="C45" s="3" t="str">
        <f t="shared" si="13"/>
        <v>Fruits</v>
      </c>
      <c r="D45" s="41" t="str">
        <f t="shared" si="14"/>
        <v>No</v>
      </c>
      <c r="E45" s="127" t="str">
        <f t="shared" si="15"/>
        <v/>
      </c>
      <c r="F45" s="119" t="str">
        <f t="shared" si="16"/>
        <v/>
      </c>
      <c r="G45" s="123" t="str">
        <f t="shared" si="17"/>
        <v/>
      </c>
      <c r="H45" s="125" t="str">
        <f t="shared" si="18"/>
        <v/>
      </c>
      <c r="I45" s="121" t="str">
        <f t="shared" si="19"/>
        <v/>
      </c>
      <c r="J45" s="117" t="str">
        <f t="shared" si="11"/>
        <v/>
      </c>
      <c r="K45" s="125"/>
      <c r="L45" s="125" t="str">
        <f t="shared" si="20"/>
        <v/>
      </c>
      <c r="M45" s="125" t="str">
        <f t="shared" si="21"/>
        <v/>
      </c>
      <c r="N45" s="43"/>
    </row>
    <row r="46" spans="1:14" x14ac:dyDescent="0.3">
      <c r="A46" s="40" t="s">
        <v>80</v>
      </c>
      <c r="B46" s="3" t="str">
        <f t="shared" si="12"/>
        <v>Gooseberries</v>
      </c>
      <c r="C46" s="3" t="str">
        <f t="shared" si="13"/>
        <v>Berries</v>
      </c>
      <c r="D46" s="41" t="str">
        <f t="shared" si="14"/>
        <v>No</v>
      </c>
      <c r="E46" s="127" t="str">
        <f t="shared" si="15"/>
        <v/>
      </c>
      <c r="F46" s="119" t="str">
        <f t="shared" si="16"/>
        <v/>
      </c>
      <c r="G46" s="123" t="str">
        <f t="shared" si="17"/>
        <v/>
      </c>
      <c r="H46" s="125" t="str">
        <f t="shared" si="18"/>
        <v/>
      </c>
      <c r="I46" s="121" t="str">
        <f t="shared" si="19"/>
        <v/>
      </c>
      <c r="J46" s="117" t="str">
        <f t="shared" si="11"/>
        <v/>
      </c>
      <c r="K46" s="125"/>
      <c r="L46" s="125" t="str">
        <f t="shared" si="20"/>
        <v/>
      </c>
      <c r="M46" s="125" t="str">
        <f t="shared" si="21"/>
        <v/>
      </c>
      <c r="N46" s="43"/>
    </row>
    <row r="47" spans="1:14" x14ac:dyDescent="0.3">
      <c r="A47" s="40" t="s">
        <v>81</v>
      </c>
      <c r="B47" s="3" t="str">
        <f t="shared" si="12"/>
        <v>Grapes</v>
      </c>
      <c r="C47" s="3" t="str">
        <f t="shared" si="13"/>
        <v>Fruits</v>
      </c>
      <c r="D47" s="41" t="str">
        <f t="shared" si="14"/>
        <v>Yes</v>
      </c>
      <c r="E47" s="127">
        <f t="shared" si="15"/>
        <v>2.6029951385080796E-4</v>
      </c>
      <c r="F47" s="119">
        <f t="shared" si="16"/>
        <v>2.7289689893768634E-5</v>
      </c>
      <c r="G47" s="123">
        <f t="shared" si="17"/>
        <v>1.1000000000000001E-6</v>
      </c>
      <c r="H47" s="125">
        <f t="shared" si="18"/>
        <v>1.9069583830655991E-4</v>
      </c>
      <c r="I47" s="121">
        <f t="shared" si="19"/>
        <v>1.9069583830655993E-5</v>
      </c>
      <c r="J47" s="117">
        <f t="shared" si="11"/>
        <v>2.1385572468563868E-5</v>
      </c>
      <c r="K47" s="125"/>
      <c r="L47" s="125">
        <f t="shared" si="20"/>
        <v>2.5940485670399994E-7</v>
      </c>
      <c r="M47" s="125">
        <f t="shared" si="21"/>
        <v>4.9942449455555563E-7</v>
      </c>
      <c r="N47" s="43"/>
    </row>
    <row r="48" spans="1:14" x14ac:dyDescent="0.3">
      <c r="A48" s="40" t="s">
        <v>82</v>
      </c>
      <c r="B48" s="3" t="str">
        <f t="shared" si="12"/>
        <v>Green corn (maize)</v>
      </c>
      <c r="C48" s="3" t="str">
        <f t="shared" si="13"/>
        <v>Vegetables</v>
      </c>
      <c r="D48" s="41" t="str">
        <f t="shared" si="14"/>
        <v>No</v>
      </c>
      <c r="E48" s="127" t="str">
        <f t="shared" si="15"/>
        <v/>
      </c>
      <c r="F48" s="119" t="str">
        <f t="shared" si="16"/>
        <v/>
      </c>
      <c r="G48" s="123" t="str">
        <f t="shared" si="17"/>
        <v/>
      </c>
      <c r="H48" s="125" t="str">
        <f t="shared" si="18"/>
        <v/>
      </c>
      <c r="I48" s="121" t="str">
        <f t="shared" si="19"/>
        <v/>
      </c>
      <c r="J48" s="117" t="str">
        <f t="shared" si="11"/>
        <v/>
      </c>
      <c r="K48" s="125"/>
      <c r="L48" s="125" t="str">
        <f t="shared" si="20"/>
        <v/>
      </c>
      <c r="M48" s="125" t="str">
        <f t="shared" si="21"/>
        <v/>
      </c>
      <c r="N48" s="43"/>
    </row>
    <row r="49" spans="1:14" x14ac:dyDescent="0.3">
      <c r="A49" s="40" t="s">
        <v>83</v>
      </c>
      <c r="B49" s="3" t="str">
        <f t="shared" si="12"/>
        <v>Green garlic</v>
      </c>
      <c r="C49" s="3" t="str">
        <f t="shared" si="13"/>
        <v>Vegetables</v>
      </c>
      <c r="D49" s="41" t="str">
        <f t="shared" si="14"/>
        <v>Yes</v>
      </c>
      <c r="E49" s="127">
        <f t="shared" si="15"/>
        <v>1.3819321091322533E-4</v>
      </c>
      <c r="F49" s="119">
        <f t="shared" si="16"/>
        <v>2.072249940814778E-5</v>
      </c>
      <c r="G49" s="123">
        <f t="shared" si="17"/>
        <v>1.1000000000000001E-6</v>
      </c>
      <c r="H49" s="125">
        <f t="shared" si="18"/>
        <v>1.0272092302169035E-4</v>
      </c>
      <c r="I49" s="121">
        <f t="shared" si="19"/>
        <v>1.0272092302169035E-5</v>
      </c>
      <c r="J49" s="117">
        <f t="shared" si="11"/>
        <v>2.7732744827586207E-6</v>
      </c>
      <c r="K49" s="125"/>
      <c r="L49" s="125">
        <f t="shared" si="20"/>
        <v>1.0499720390399998E-7</v>
      </c>
      <c r="M49" s="125">
        <f t="shared" si="21"/>
        <v>4.9942449455555563E-7</v>
      </c>
      <c r="N49" s="43"/>
    </row>
    <row r="50" spans="1:14" x14ac:dyDescent="0.3">
      <c r="A50" s="40" t="s">
        <v>84</v>
      </c>
      <c r="B50" s="3" t="str">
        <f t="shared" si="12"/>
        <v>Groundnuts, excluding shelled</v>
      </c>
      <c r="C50" s="3" t="str">
        <f t="shared" si="13"/>
        <v>Nuts</v>
      </c>
      <c r="D50" s="41" t="str">
        <f t="shared" si="14"/>
        <v>No</v>
      </c>
      <c r="E50" s="127" t="str">
        <f t="shared" si="15"/>
        <v/>
      </c>
      <c r="F50" s="119" t="str">
        <f t="shared" si="16"/>
        <v/>
      </c>
      <c r="G50" s="123" t="str">
        <f t="shared" si="17"/>
        <v/>
      </c>
      <c r="H50" s="125" t="str">
        <f t="shared" si="18"/>
        <v/>
      </c>
      <c r="I50" s="121" t="str">
        <f t="shared" si="19"/>
        <v/>
      </c>
      <c r="J50" s="117" t="str">
        <f t="shared" si="11"/>
        <v/>
      </c>
      <c r="K50" s="125"/>
      <c r="L50" s="125" t="str">
        <f t="shared" si="20"/>
        <v/>
      </c>
      <c r="M50" s="125" t="str">
        <f t="shared" si="21"/>
        <v/>
      </c>
      <c r="N50" s="43"/>
    </row>
    <row r="51" spans="1:14" x14ac:dyDescent="0.3">
      <c r="A51" s="40" t="s">
        <v>85</v>
      </c>
      <c r="B51" s="3" t="str">
        <f t="shared" si="12"/>
        <v>Hazelnuts, in shell</v>
      </c>
      <c r="C51" s="3" t="str">
        <f t="shared" si="13"/>
        <v>Nuts</v>
      </c>
      <c r="D51" s="41" t="str">
        <f t="shared" si="14"/>
        <v>No</v>
      </c>
      <c r="E51" s="127" t="str">
        <f t="shared" si="15"/>
        <v/>
      </c>
      <c r="F51" s="119" t="str">
        <f t="shared" si="16"/>
        <v/>
      </c>
      <c r="G51" s="123" t="str">
        <f t="shared" si="17"/>
        <v/>
      </c>
      <c r="H51" s="125" t="str">
        <f t="shared" si="18"/>
        <v/>
      </c>
      <c r="I51" s="121" t="str">
        <f t="shared" si="19"/>
        <v/>
      </c>
      <c r="J51" s="117" t="str">
        <f t="shared" si="11"/>
        <v/>
      </c>
      <c r="K51" s="125"/>
      <c r="L51" s="125" t="str">
        <f t="shared" si="20"/>
        <v/>
      </c>
      <c r="M51" s="125" t="str">
        <f t="shared" si="21"/>
        <v/>
      </c>
      <c r="N51" s="43"/>
    </row>
    <row r="52" spans="1:14" x14ac:dyDescent="0.3">
      <c r="A52" s="40" t="s">
        <v>86</v>
      </c>
      <c r="B52" s="3" t="str">
        <f t="shared" si="12"/>
        <v>Kiwi fruit</v>
      </c>
      <c r="C52" s="3" t="str">
        <f t="shared" si="13"/>
        <v>Fruits</v>
      </c>
      <c r="D52" s="41" t="str">
        <f t="shared" si="14"/>
        <v>No</v>
      </c>
      <c r="E52" s="127" t="str">
        <f t="shared" si="15"/>
        <v/>
      </c>
      <c r="F52" s="119" t="str">
        <f t="shared" si="16"/>
        <v/>
      </c>
      <c r="G52" s="123" t="str">
        <f t="shared" si="17"/>
        <v/>
      </c>
      <c r="H52" s="125" t="str">
        <f t="shared" si="18"/>
        <v/>
      </c>
      <c r="I52" s="121" t="str">
        <f t="shared" si="19"/>
        <v/>
      </c>
      <c r="J52" s="117" t="str">
        <f t="shared" si="11"/>
        <v/>
      </c>
      <c r="K52" s="125"/>
      <c r="L52" s="125" t="str">
        <f t="shared" si="20"/>
        <v/>
      </c>
      <c r="M52" s="125" t="str">
        <f t="shared" si="21"/>
        <v/>
      </c>
      <c r="N52" s="43"/>
    </row>
    <row r="53" spans="1:14" x14ac:dyDescent="0.3">
      <c r="A53" s="40" t="s">
        <v>87</v>
      </c>
      <c r="B53" s="3" t="str">
        <f t="shared" si="12"/>
        <v>Leeks and other alliaceous vegetables</v>
      </c>
      <c r="C53" s="3" t="str">
        <f t="shared" si="13"/>
        <v>Vegetables</v>
      </c>
      <c r="D53" s="41" t="str">
        <f t="shared" si="14"/>
        <v>Yes</v>
      </c>
      <c r="E53" s="127">
        <f t="shared" si="15"/>
        <v>2.8592788013158063E-4</v>
      </c>
      <c r="F53" s="119">
        <f t="shared" si="16"/>
        <v>4.9641378777171745E-5</v>
      </c>
      <c r="G53" s="123">
        <f t="shared" si="17"/>
        <v>1.1000000000000001E-6</v>
      </c>
      <c r="H53" s="125">
        <f t="shared" si="18"/>
        <v>2.1294382338586334E-4</v>
      </c>
      <c r="I53" s="121">
        <f t="shared" si="19"/>
        <v>2.1294382338586335E-5</v>
      </c>
      <c r="J53" s="117">
        <f t="shared" si="11"/>
        <v>3.4387393149968018E-7</v>
      </c>
      <c r="K53" s="125"/>
      <c r="L53" s="125">
        <f t="shared" si="20"/>
        <v>1.0499720390399998E-7</v>
      </c>
      <c r="M53" s="125">
        <f t="shared" si="21"/>
        <v>4.9942449455555563E-7</v>
      </c>
      <c r="N53" s="43"/>
    </row>
    <row r="54" spans="1:14" x14ac:dyDescent="0.3">
      <c r="A54" s="40" t="s">
        <v>88</v>
      </c>
      <c r="B54" s="3" t="str">
        <f t="shared" si="12"/>
        <v>Lemons and limes</v>
      </c>
      <c r="C54" s="3" t="str">
        <f t="shared" si="13"/>
        <v>Fruits</v>
      </c>
      <c r="D54" s="41" t="str">
        <f t="shared" si="14"/>
        <v>No</v>
      </c>
      <c r="E54" s="127" t="str">
        <f t="shared" si="15"/>
        <v/>
      </c>
      <c r="F54" s="119" t="str">
        <f t="shared" si="16"/>
        <v/>
      </c>
      <c r="G54" s="123" t="str">
        <f t="shared" si="17"/>
        <v/>
      </c>
      <c r="H54" s="125" t="str">
        <f t="shared" si="18"/>
        <v/>
      </c>
      <c r="I54" s="121" t="str">
        <f t="shared" si="19"/>
        <v/>
      </c>
      <c r="J54" s="117" t="str">
        <f t="shared" si="11"/>
        <v/>
      </c>
      <c r="K54" s="125"/>
      <c r="L54" s="125" t="str">
        <f t="shared" si="20"/>
        <v/>
      </c>
      <c r="M54" s="125" t="str">
        <f t="shared" si="21"/>
        <v/>
      </c>
      <c r="N54" s="43"/>
    </row>
    <row r="55" spans="1:14" x14ac:dyDescent="0.3">
      <c r="A55" s="40" t="s">
        <v>89</v>
      </c>
      <c r="B55" s="3" t="str">
        <f t="shared" si="12"/>
        <v>Lentils, dry</v>
      </c>
      <c r="C55" s="3" t="str">
        <f t="shared" si="13"/>
        <v>Pulses</v>
      </c>
      <c r="D55" s="41" t="str">
        <f t="shared" si="14"/>
        <v>Yes</v>
      </c>
      <c r="E55" s="127">
        <f t="shared" si="15"/>
        <v>2.0828122003612264E-4</v>
      </c>
      <c r="F55" s="119">
        <f t="shared" si="16"/>
        <v>0</v>
      </c>
      <c r="G55" s="123">
        <f t="shared" si="17"/>
        <v>1.1000000000000001E-6</v>
      </c>
      <c r="H55" s="125">
        <f t="shared" si="18"/>
        <v>1.8140179199999999E-4</v>
      </c>
      <c r="I55" s="121">
        <f t="shared" si="19"/>
        <v>1.8140179199999999E-5</v>
      </c>
      <c r="J55" s="117">
        <f t="shared" si="11"/>
        <v>6.3031466666666669E-6</v>
      </c>
      <c r="K55" s="125"/>
      <c r="L55" s="125">
        <f t="shared" si="20"/>
        <v>3.0881530559999997E-9</v>
      </c>
      <c r="M55" s="125">
        <f t="shared" si="21"/>
        <v>1.3330140164000001E-6</v>
      </c>
      <c r="N55" s="43"/>
    </row>
    <row r="56" spans="1:14" x14ac:dyDescent="0.3">
      <c r="A56" s="40" t="s">
        <v>90</v>
      </c>
      <c r="B56" s="3" t="str">
        <f t="shared" si="12"/>
        <v>Lettuce and chicory</v>
      </c>
      <c r="C56" s="3" t="str">
        <f t="shared" si="13"/>
        <v>Vegetables</v>
      </c>
      <c r="D56" s="41" t="str">
        <f t="shared" si="14"/>
        <v>Yes</v>
      </c>
      <c r="E56" s="127">
        <f t="shared" si="15"/>
        <v>3.2374780494039601E-4</v>
      </c>
      <c r="F56" s="119">
        <f t="shared" si="16"/>
        <v>4.3534036449377872E-5</v>
      </c>
      <c r="G56" s="123">
        <f t="shared" si="17"/>
        <v>1.1000000000000001E-6</v>
      </c>
      <c r="H56" s="125">
        <f t="shared" si="18"/>
        <v>2.5261037410278028E-4</v>
      </c>
      <c r="I56" s="121">
        <f t="shared" si="19"/>
        <v>2.5261037410278028E-5</v>
      </c>
      <c r="J56" s="117">
        <f t="shared" si="11"/>
        <v>6.3793527950026786E-7</v>
      </c>
      <c r="K56" s="125"/>
      <c r="L56" s="125">
        <f t="shared" si="20"/>
        <v>1.0499720390399998E-7</v>
      </c>
      <c r="M56" s="125">
        <f t="shared" si="21"/>
        <v>4.9942449455555563E-7</v>
      </c>
      <c r="N56" s="43"/>
    </row>
    <row r="57" spans="1:14" x14ac:dyDescent="0.3">
      <c r="A57" s="40" t="s">
        <v>91</v>
      </c>
      <c r="B57" s="3" t="str">
        <f t="shared" si="12"/>
        <v>Linseed</v>
      </c>
      <c r="C57" s="3" t="str">
        <f t="shared" si="13"/>
        <v>Seeds</v>
      </c>
      <c r="D57" s="41" t="str">
        <f t="shared" si="14"/>
        <v>Yes</v>
      </c>
      <c r="E57" s="127">
        <f t="shared" si="15"/>
        <v>1.4065100288026986E-3</v>
      </c>
      <c r="F57" s="119">
        <f t="shared" si="16"/>
        <v>2.5129503929780997E-4</v>
      </c>
      <c r="G57" s="123">
        <f t="shared" si="17"/>
        <v>1.1000000000000001E-6</v>
      </c>
      <c r="H57" s="125">
        <f t="shared" si="18"/>
        <v>1.0444813184884193E-3</v>
      </c>
      <c r="I57" s="121">
        <f t="shared" si="19"/>
        <v>1.0444813184884194E-4</v>
      </c>
      <c r="J57" s="117">
        <f t="shared" si="11"/>
        <v>2.9816659894351898E-6</v>
      </c>
      <c r="K57" s="125"/>
      <c r="L57" s="125">
        <f t="shared" si="20"/>
        <v>8.7085916179199982E-7</v>
      </c>
      <c r="M57" s="125">
        <f t="shared" si="21"/>
        <v>1.3330140164000001E-6</v>
      </c>
      <c r="N57" s="43"/>
    </row>
    <row r="58" spans="1:14" x14ac:dyDescent="0.3">
      <c r="A58" s="40" t="s">
        <v>92</v>
      </c>
      <c r="B58" s="3" t="str">
        <f t="shared" si="12"/>
        <v>Lupins</v>
      </c>
      <c r="C58" s="3" t="str">
        <f t="shared" si="13"/>
        <v>Pulses</v>
      </c>
      <c r="D58" s="41" t="str">
        <f t="shared" si="14"/>
        <v>No</v>
      </c>
      <c r="E58" s="127" t="str">
        <f t="shared" si="15"/>
        <v/>
      </c>
      <c r="F58" s="119" t="str">
        <f t="shared" si="16"/>
        <v/>
      </c>
      <c r="G58" s="123" t="str">
        <f t="shared" si="17"/>
        <v/>
      </c>
      <c r="H58" s="125" t="str">
        <f t="shared" si="18"/>
        <v/>
      </c>
      <c r="I58" s="121" t="str">
        <f t="shared" si="19"/>
        <v/>
      </c>
      <c r="J58" s="117" t="str">
        <f t="shared" si="11"/>
        <v/>
      </c>
      <c r="K58" s="125"/>
      <c r="L58" s="125" t="str">
        <f t="shared" si="20"/>
        <v/>
      </c>
      <c r="M58" s="125" t="str">
        <f t="shared" si="21"/>
        <v/>
      </c>
      <c r="N58" s="43"/>
    </row>
    <row r="59" spans="1:14" x14ac:dyDescent="0.3">
      <c r="A59" s="40" t="s">
        <v>93</v>
      </c>
      <c r="B59" s="3" t="str">
        <f t="shared" si="12"/>
        <v>Maize (corn)</v>
      </c>
      <c r="C59" s="3" t="str">
        <f t="shared" si="13"/>
        <v>Cereals, incl feed</v>
      </c>
      <c r="D59" s="41" t="str">
        <f t="shared" si="14"/>
        <v>Yes</v>
      </c>
      <c r="E59" s="127">
        <f t="shared" si="15"/>
        <v>7.7094511056381709E-4</v>
      </c>
      <c r="F59" s="119">
        <f t="shared" si="16"/>
        <v>1.317336497927942E-4</v>
      </c>
      <c r="G59" s="123">
        <f t="shared" si="17"/>
        <v>1.1000000000000001E-6</v>
      </c>
      <c r="H59" s="125">
        <f t="shared" si="18"/>
        <v>5.7806767074994607E-4</v>
      </c>
      <c r="I59" s="121">
        <f t="shared" si="19"/>
        <v>5.780676707499461E-5</v>
      </c>
      <c r="J59" s="117">
        <f t="shared" si="11"/>
        <v>7.4960127688222882E-7</v>
      </c>
      <c r="K59" s="125"/>
      <c r="L59" s="125">
        <f t="shared" si="20"/>
        <v>1.5440765279999998E-7</v>
      </c>
      <c r="M59" s="125">
        <f t="shared" si="21"/>
        <v>1.3330140164000001E-6</v>
      </c>
      <c r="N59" s="43"/>
    </row>
    <row r="60" spans="1:14" x14ac:dyDescent="0.3">
      <c r="A60" s="40" t="s">
        <v>94</v>
      </c>
      <c r="B60" s="3" t="str">
        <f t="shared" si="12"/>
        <v>Mangoes, guavas and mangosteens</v>
      </c>
      <c r="C60" s="3" t="str">
        <f t="shared" si="13"/>
        <v>Fruits</v>
      </c>
      <c r="D60" s="41" t="str">
        <f t="shared" si="14"/>
        <v>No</v>
      </c>
      <c r="E60" s="127" t="str">
        <f t="shared" si="15"/>
        <v/>
      </c>
      <c r="F60" s="119" t="str">
        <f t="shared" si="16"/>
        <v/>
      </c>
      <c r="G60" s="123" t="str">
        <f t="shared" si="17"/>
        <v/>
      </c>
      <c r="H60" s="125" t="str">
        <f t="shared" si="18"/>
        <v/>
      </c>
      <c r="I60" s="121" t="str">
        <f t="shared" si="19"/>
        <v/>
      </c>
      <c r="J60" s="117" t="str">
        <f t="shared" si="11"/>
        <v/>
      </c>
      <c r="K60" s="125"/>
      <c r="L60" s="125" t="str">
        <f t="shared" si="20"/>
        <v/>
      </c>
      <c r="M60" s="125" t="str">
        <f t="shared" si="21"/>
        <v/>
      </c>
      <c r="N60" s="43"/>
    </row>
    <row r="61" spans="1:14" x14ac:dyDescent="0.3">
      <c r="A61" s="40" t="s">
        <v>95</v>
      </c>
      <c r="B61" s="3" t="str">
        <f t="shared" si="12"/>
        <v>Millet</v>
      </c>
      <c r="C61" s="3" t="str">
        <f t="shared" si="13"/>
        <v>Cereals</v>
      </c>
      <c r="D61" s="41" t="str">
        <f t="shared" si="14"/>
        <v>No</v>
      </c>
      <c r="E61" s="127" t="str">
        <f t="shared" si="15"/>
        <v/>
      </c>
      <c r="F61" s="119" t="str">
        <f t="shared" si="16"/>
        <v/>
      </c>
      <c r="G61" s="123" t="str">
        <f t="shared" si="17"/>
        <v/>
      </c>
      <c r="H61" s="125" t="str">
        <f t="shared" si="18"/>
        <v/>
      </c>
      <c r="I61" s="121" t="str">
        <f t="shared" si="19"/>
        <v/>
      </c>
      <c r="J61" s="117" t="str">
        <f t="shared" si="11"/>
        <v/>
      </c>
      <c r="K61" s="125"/>
      <c r="L61" s="125" t="str">
        <f t="shared" si="20"/>
        <v/>
      </c>
      <c r="M61" s="125" t="str">
        <f t="shared" si="21"/>
        <v/>
      </c>
      <c r="N61" s="43"/>
    </row>
    <row r="62" spans="1:14" x14ac:dyDescent="0.3">
      <c r="A62" s="40" t="s">
        <v>96</v>
      </c>
      <c r="B62" s="3" t="str">
        <f t="shared" si="12"/>
        <v>Mixed grain</v>
      </c>
      <c r="C62" s="3" t="str">
        <f t="shared" si="13"/>
        <v>Cereals</v>
      </c>
      <c r="D62" s="41" t="str">
        <f t="shared" si="14"/>
        <v>No</v>
      </c>
      <c r="E62" s="127" t="str">
        <f t="shared" si="15"/>
        <v/>
      </c>
      <c r="F62" s="119" t="str">
        <f t="shared" si="16"/>
        <v/>
      </c>
      <c r="G62" s="123" t="str">
        <f t="shared" si="17"/>
        <v/>
      </c>
      <c r="H62" s="125" t="str">
        <f t="shared" si="18"/>
        <v/>
      </c>
      <c r="I62" s="121" t="str">
        <f t="shared" si="19"/>
        <v/>
      </c>
      <c r="J62" s="117" t="str">
        <f t="shared" si="11"/>
        <v/>
      </c>
      <c r="K62" s="125"/>
      <c r="L62" s="125" t="str">
        <f t="shared" si="20"/>
        <v/>
      </c>
      <c r="M62" s="125" t="str">
        <f t="shared" si="21"/>
        <v/>
      </c>
      <c r="N62" s="43"/>
    </row>
    <row r="63" spans="1:14" x14ac:dyDescent="0.3">
      <c r="A63" s="40" t="s">
        <v>97</v>
      </c>
      <c r="B63" s="3" t="str">
        <f t="shared" si="12"/>
        <v>Mushrooms and truffles</v>
      </c>
      <c r="C63" s="3" t="str">
        <f t="shared" si="13"/>
        <v>Mushrooms</v>
      </c>
      <c r="D63" s="41" t="str">
        <f t="shared" si="14"/>
        <v>No</v>
      </c>
      <c r="E63" s="127" t="str">
        <f t="shared" si="15"/>
        <v/>
      </c>
      <c r="F63" s="119" t="str">
        <f t="shared" si="16"/>
        <v/>
      </c>
      <c r="G63" s="123" t="str">
        <f t="shared" si="17"/>
        <v/>
      </c>
      <c r="H63" s="125" t="str">
        <f t="shared" si="18"/>
        <v/>
      </c>
      <c r="I63" s="121" t="str">
        <f t="shared" si="19"/>
        <v/>
      </c>
      <c r="J63" s="117" t="str">
        <f t="shared" si="11"/>
        <v/>
      </c>
      <c r="K63" s="125"/>
      <c r="L63" s="125" t="str">
        <f t="shared" si="20"/>
        <v/>
      </c>
      <c r="M63" s="125" t="str">
        <f t="shared" si="21"/>
        <v/>
      </c>
      <c r="N63" s="43"/>
    </row>
    <row r="64" spans="1:14" x14ac:dyDescent="0.3">
      <c r="A64" s="40" t="s">
        <v>98</v>
      </c>
      <c r="B64" s="3" t="str">
        <f t="shared" si="12"/>
        <v>Oats</v>
      </c>
      <c r="C64" s="3" t="str">
        <f t="shared" si="13"/>
        <v>Cereals, incl feed</v>
      </c>
      <c r="D64" s="41" t="str">
        <f t="shared" si="14"/>
        <v>Yes</v>
      </c>
      <c r="E64" s="127">
        <f t="shared" si="15"/>
        <v>7.4089598074404022E-4</v>
      </c>
      <c r="F64" s="119">
        <f t="shared" si="16"/>
        <v>1.1923702243461134E-4</v>
      </c>
      <c r="G64" s="123">
        <f t="shared" si="17"/>
        <v>1.1000000000000001E-6</v>
      </c>
      <c r="H64" s="125">
        <f t="shared" si="18"/>
        <v>5.6179247558917652E-4</v>
      </c>
      <c r="I64" s="121">
        <f t="shared" si="19"/>
        <v>5.6179247558917652E-5</v>
      </c>
      <c r="J64" s="117">
        <f t="shared" si="11"/>
        <v>1.2542211449347684E-6</v>
      </c>
      <c r="K64" s="125"/>
      <c r="L64" s="125">
        <f t="shared" si="20"/>
        <v>0</v>
      </c>
      <c r="M64" s="125">
        <f t="shared" si="21"/>
        <v>1.3330140164000001E-6</v>
      </c>
      <c r="N64" s="43"/>
    </row>
    <row r="65" spans="1:14" x14ac:dyDescent="0.3">
      <c r="A65" s="40" t="s">
        <v>99</v>
      </c>
      <c r="B65" s="3" t="str">
        <f t="shared" si="12"/>
        <v>Oil palm fruit</v>
      </c>
      <c r="C65" s="3" t="str">
        <f t="shared" si="13"/>
        <v>Oil crops, tree</v>
      </c>
      <c r="D65" s="41" t="str">
        <f t="shared" si="14"/>
        <v>No</v>
      </c>
      <c r="E65" s="127" t="str">
        <f t="shared" si="15"/>
        <v/>
      </c>
      <c r="F65" s="119" t="str">
        <f t="shared" si="16"/>
        <v/>
      </c>
      <c r="G65" s="123" t="str">
        <f t="shared" si="17"/>
        <v/>
      </c>
      <c r="H65" s="125" t="str">
        <f t="shared" si="18"/>
        <v/>
      </c>
      <c r="I65" s="121" t="str">
        <f t="shared" si="19"/>
        <v/>
      </c>
      <c r="J65" s="117" t="str">
        <f t="shared" si="11"/>
        <v/>
      </c>
      <c r="K65" s="125"/>
      <c r="L65" s="125" t="str">
        <f t="shared" si="20"/>
        <v/>
      </c>
      <c r="M65" s="125" t="str">
        <f t="shared" si="21"/>
        <v/>
      </c>
      <c r="N65" s="43"/>
    </row>
    <row r="66" spans="1:14" x14ac:dyDescent="0.3">
      <c r="A66" s="40" t="s">
        <v>100</v>
      </c>
      <c r="B66" s="3" t="str">
        <f t="shared" si="12"/>
        <v>Olives</v>
      </c>
      <c r="C66" s="3" t="str">
        <f t="shared" si="13"/>
        <v>Oil crops, tree</v>
      </c>
      <c r="D66" s="41" t="str">
        <f t="shared" si="14"/>
        <v>No</v>
      </c>
      <c r="E66" s="127" t="str">
        <f t="shared" si="15"/>
        <v/>
      </c>
      <c r="F66" s="119" t="str">
        <f t="shared" si="16"/>
        <v/>
      </c>
      <c r="G66" s="123" t="str">
        <f t="shared" si="17"/>
        <v/>
      </c>
      <c r="H66" s="125" t="str">
        <f t="shared" si="18"/>
        <v/>
      </c>
      <c r="I66" s="121" t="str">
        <f t="shared" si="19"/>
        <v/>
      </c>
      <c r="J66" s="117" t="str">
        <f t="shared" si="11"/>
        <v/>
      </c>
      <c r="K66" s="125"/>
      <c r="L66" s="125" t="str">
        <f t="shared" si="20"/>
        <v/>
      </c>
      <c r="M66" s="125" t="str">
        <f t="shared" si="21"/>
        <v/>
      </c>
      <c r="N66" s="43"/>
    </row>
    <row r="67" spans="1:14" x14ac:dyDescent="0.3">
      <c r="A67" s="40" t="s">
        <v>101</v>
      </c>
      <c r="B67" s="3" t="str">
        <f t="shared" si="12"/>
        <v>Onions and shallots, dry (excluding dehydrated)</v>
      </c>
      <c r="C67" s="3" t="str">
        <f t="shared" si="13"/>
        <v>Vegetables</v>
      </c>
      <c r="D67" s="41" t="str">
        <f t="shared" si="14"/>
        <v>Yes</v>
      </c>
      <c r="E67" s="127">
        <f t="shared" si="15"/>
        <v>1.3563307092511145E-4</v>
      </c>
      <c r="F67" s="119">
        <f t="shared" si="16"/>
        <v>2.072249940814778E-5</v>
      </c>
      <c r="G67" s="123">
        <f t="shared" si="17"/>
        <v>1.1000000000000001E-6</v>
      </c>
      <c r="H67" s="125">
        <f t="shared" si="18"/>
        <v>1.0272092302169038E-4</v>
      </c>
      <c r="I67" s="121">
        <f t="shared" si="19"/>
        <v>1.0272092302169039E-5</v>
      </c>
      <c r="J67" s="117">
        <f t="shared" ref="J67:J98" si="22">IF(D67="YES",INDEX(Crop_data,MATCH(A67,Crop_data_codes,0),11)*Heating_value_diesel*EF_diesel_N2O/INDEX(Crop_data,MATCH(A67,Crop_data_codes,0),6),"")</f>
        <v>2.1931081423049067E-7</v>
      </c>
      <c r="K67" s="125"/>
      <c r="L67" s="125">
        <f t="shared" si="20"/>
        <v>9.882088431826523E-8</v>
      </c>
      <c r="M67" s="125">
        <f t="shared" si="21"/>
        <v>4.9942449455555563E-7</v>
      </c>
      <c r="N67" s="43"/>
    </row>
    <row r="68" spans="1:14" x14ac:dyDescent="0.3">
      <c r="A68" s="40" t="s">
        <v>102</v>
      </c>
      <c r="B68" s="3" t="str">
        <f t="shared" si="12"/>
        <v>Oranges</v>
      </c>
      <c r="C68" s="3" t="str">
        <f t="shared" si="13"/>
        <v>Fruits</v>
      </c>
      <c r="D68" s="41" t="str">
        <f t="shared" si="14"/>
        <v>No</v>
      </c>
      <c r="E68" s="127" t="str">
        <f t="shared" si="15"/>
        <v/>
      </c>
      <c r="F68" s="119" t="str">
        <f t="shared" si="16"/>
        <v/>
      </c>
      <c r="G68" s="123" t="str">
        <f t="shared" si="17"/>
        <v/>
      </c>
      <c r="H68" s="125" t="str">
        <f t="shared" si="18"/>
        <v/>
      </c>
      <c r="I68" s="121" t="str">
        <f t="shared" si="19"/>
        <v/>
      </c>
      <c r="J68" s="117" t="str">
        <f t="shared" si="22"/>
        <v/>
      </c>
      <c r="K68" s="125"/>
      <c r="L68" s="125" t="str">
        <f t="shared" si="20"/>
        <v/>
      </c>
      <c r="M68" s="125" t="str">
        <f t="shared" si="21"/>
        <v/>
      </c>
      <c r="N68" s="43"/>
    </row>
    <row r="69" spans="1:14" x14ac:dyDescent="0.3">
      <c r="A69" s="40" t="s">
        <v>103</v>
      </c>
      <c r="B69" s="3" t="str">
        <f t="shared" si="12"/>
        <v>Other beans, green</v>
      </c>
      <c r="C69" s="3" t="str">
        <f t="shared" si="13"/>
        <v>Vegetables</v>
      </c>
      <c r="D69" s="41" t="str">
        <f t="shared" si="14"/>
        <v>Yes</v>
      </c>
      <c r="E69" s="127">
        <f t="shared" si="15"/>
        <v>2.2966351751160612E-4</v>
      </c>
      <c r="F69" s="119">
        <f t="shared" si="16"/>
        <v>5.1617075990561111E-6</v>
      </c>
      <c r="G69" s="123">
        <f t="shared" si="17"/>
        <v>1.1000000000000001E-6</v>
      </c>
      <c r="H69" s="125">
        <f t="shared" si="18"/>
        <v>2.010753891383859E-4</v>
      </c>
      <c r="I69" s="121">
        <f t="shared" si="19"/>
        <v>2.0107538913838592E-5</v>
      </c>
      <c r="J69" s="117">
        <f t="shared" si="22"/>
        <v>1.7163692127139367E-6</v>
      </c>
      <c r="K69" s="125"/>
      <c r="L69" s="125">
        <f t="shared" si="20"/>
        <v>3.0881530559999993E-9</v>
      </c>
      <c r="M69" s="125">
        <f t="shared" si="21"/>
        <v>4.9942449455555563E-7</v>
      </c>
      <c r="N69" s="43"/>
    </row>
    <row r="70" spans="1:14" x14ac:dyDescent="0.3">
      <c r="A70" s="40" t="s">
        <v>104</v>
      </c>
      <c r="B70" s="3" t="str">
        <f t="shared" ref="B70:B101" si="23">INDEX(Crop_data,MATCH(A70,Crop_data_codes,0),2)</f>
        <v>Other fruits, n.e.c.</v>
      </c>
      <c r="C70" s="3" t="str">
        <f t="shared" ref="C70:C101" si="24">INDEX(Crop_data,MATCH(A70,Crop_data_codes,0),3)</f>
        <v>Fruits</v>
      </c>
      <c r="D70" s="41" t="str">
        <f t="shared" ref="D70:D101" si="25">INDEX(Crop_data,MATCH(A70,Crop_data_codes,0),4)</f>
        <v>No</v>
      </c>
      <c r="E70" s="127" t="str">
        <f t="shared" ref="E70:E101" si="26">IF(D70="Yes", SUM(F70:N70),"")</f>
        <v/>
      </c>
      <c r="F70" s="119" t="str">
        <f t="shared" ref="F70:F101" si="27">IF(D70="YES",INDEX(Crop_data,MATCH(A70,Crop_data_codes,0),7)*(Frac_BAT*EF_min_fert_BAT_N2O+Frac_AN*EF_min_fert_AN_N2O)/INDEX(Crop_data,MATCH(A70,Crop_data_codes,0),6),"")</f>
        <v/>
      </c>
      <c r="G70" s="123" t="str">
        <f t="shared" ref="G70:G101" si="28">IF(D70="YES",EF_capital_goods_N2O,"")</f>
        <v/>
      </c>
      <c r="H70" s="125" t="str">
        <f t="shared" ref="H70:H101" si="29">IF(D70="YES",(INDEX(Crop_data,MATCH(A70,Crop_data_codes,0),7)*EF_N2O_soils_min_fert+INDEX(Crop_data,MATCH(A70,Crop_data_codes,0),9)*EF_N2O_soils_crop_res)*44/28/INDEX(Crop_data,MATCH(A70,Crop_data_codes,0),6),"")</f>
        <v/>
      </c>
      <c r="I70" s="121" t="str">
        <f t="shared" ref="I70:I101" si="30">IF(D70="Yes",H70*EF_N2O_soils_indirect,"")</f>
        <v/>
      </c>
      <c r="J70" s="117" t="str">
        <f t="shared" si="22"/>
        <v/>
      </c>
      <c r="K70" s="125"/>
      <c r="L70" s="125" t="str">
        <f t="shared" si="20"/>
        <v/>
      </c>
      <c r="M70" s="125" t="str">
        <f t="shared" si="21"/>
        <v/>
      </c>
      <c r="N70" s="43"/>
    </row>
    <row r="71" spans="1:14" x14ac:dyDescent="0.3">
      <c r="A71" s="40" t="s">
        <v>105</v>
      </c>
      <c r="B71" s="3" t="str">
        <f t="shared" si="23"/>
        <v>Other oil seeds, n.e.c.</v>
      </c>
      <c r="C71" s="3" t="str">
        <f t="shared" si="24"/>
        <v>Oil crops</v>
      </c>
      <c r="D71" s="41" t="str">
        <f t="shared" si="25"/>
        <v>No</v>
      </c>
      <c r="E71" s="127" t="str">
        <f t="shared" si="26"/>
        <v/>
      </c>
      <c r="F71" s="119" t="str">
        <f t="shared" si="27"/>
        <v/>
      </c>
      <c r="G71" s="123" t="str">
        <f t="shared" si="28"/>
        <v/>
      </c>
      <c r="H71" s="125" t="str">
        <f t="shared" si="29"/>
        <v/>
      </c>
      <c r="I71" s="121" t="str">
        <f t="shared" si="30"/>
        <v/>
      </c>
      <c r="J71" s="117" t="str">
        <f t="shared" si="22"/>
        <v/>
      </c>
      <c r="K71" s="125"/>
      <c r="L71" s="125" t="str">
        <f t="shared" si="20"/>
        <v/>
      </c>
      <c r="M71" s="125" t="str">
        <f t="shared" si="21"/>
        <v/>
      </c>
      <c r="N71" s="43"/>
    </row>
    <row r="72" spans="1:14" x14ac:dyDescent="0.3">
      <c r="A72" s="40" t="s">
        <v>106</v>
      </c>
      <c r="B72" s="3" t="str">
        <f t="shared" si="23"/>
        <v>Other pulses n.e.c.</v>
      </c>
      <c r="C72" s="3" t="str">
        <f t="shared" si="24"/>
        <v>Pulses</v>
      </c>
      <c r="D72" s="41" t="str">
        <f t="shared" si="25"/>
        <v>Yes</v>
      </c>
      <c r="E72" s="127">
        <f t="shared" si="26"/>
        <v>2.508062911653818E-4</v>
      </c>
      <c r="F72" s="119">
        <f t="shared" si="27"/>
        <v>8.8190672614889164E-6</v>
      </c>
      <c r="G72" s="123">
        <f t="shared" si="28"/>
        <v>1.1000000000000001E-6</v>
      </c>
      <c r="H72" s="125">
        <f t="shared" si="29"/>
        <v>2.150152373781513E-4</v>
      </c>
      <c r="I72" s="121">
        <f t="shared" si="30"/>
        <v>2.150152373781513E-5</v>
      </c>
      <c r="J72" s="117">
        <f t="shared" si="22"/>
        <v>3.0343606184705397E-6</v>
      </c>
      <c r="K72" s="125"/>
      <c r="L72" s="125">
        <f t="shared" ref="L72:L105" si="31">IF(D72="YES",INDEX(Crop_data,MATCH(A72,Crop_data_codes,0),12)*EF_irrigation_N2O/INDEX(Crop_data,MATCH(A72,Crop_data_codes,0),6),"")</f>
        <v>3.0881530559999997E-9</v>
      </c>
      <c r="M72" s="125">
        <f t="shared" ref="M72:M103" si="32">IF(D72="Yes",INDEX(Post_harvest_energy_data,MATCH(C72,Post_harvest_energy_categories,0),2)*EF_heating_oil_N2O+INDEX(Post_harvest_energy_data,MATCH(C72,Post_harvest_energy_categories,0),3)*EF_electricity_N2O+INDEX(Post_harvest_energy_data,MATCH(C72,Post_harvest_energy_categories,0),4)*EF_chips_N2O,"")</f>
        <v>1.3330140164000001E-6</v>
      </c>
      <c r="N72" s="43"/>
    </row>
    <row r="73" spans="1:14" x14ac:dyDescent="0.3">
      <c r="A73" s="40" t="s">
        <v>107</v>
      </c>
      <c r="B73" s="3" t="str">
        <f t="shared" si="23"/>
        <v>Other stimulant, spice and aromatic crops, n.e.c.</v>
      </c>
      <c r="C73" s="3" t="str">
        <f t="shared" si="24"/>
        <v>Stimulants</v>
      </c>
      <c r="D73" s="41" t="str">
        <f t="shared" si="25"/>
        <v>No</v>
      </c>
      <c r="E73" s="127" t="str">
        <f t="shared" si="26"/>
        <v/>
      </c>
      <c r="F73" s="119" t="str">
        <f t="shared" si="27"/>
        <v/>
      </c>
      <c r="G73" s="123" t="str">
        <f t="shared" si="28"/>
        <v/>
      </c>
      <c r="H73" s="125" t="str">
        <f t="shared" si="29"/>
        <v/>
      </c>
      <c r="I73" s="121" t="str">
        <f t="shared" si="30"/>
        <v/>
      </c>
      <c r="J73" s="117" t="str">
        <f t="shared" si="22"/>
        <v/>
      </c>
      <c r="K73" s="125"/>
      <c r="L73" s="125" t="str">
        <f t="shared" si="31"/>
        <v/>
      </c>
      <c r="M73" s="125" t="str">
        <f t="shared" si="32"/>
        <v/>
      </c>
      <c r="N73" s="43"/>
    </row>
    <row r="74" spans="1:14" x14ac:dyDescent="0.3">
      <c r="A74" s="40" t="s">
        <v>108</v>
      </c>
      <c r="B74" s="3" t="str">
        <f t="shared" si="23"/>
        <v>Other vegetables, fresh n.e.c.</v>
      </c>
      <c r="C74" s="3" t="str">
        <f t="shared" si="24"/>
        <v>Vegetables</v>
      </c>
      <c r="D74" s="41" t="str">
        <f t="shared" si="25"/>
        <v>Yes</v>
      </c>
      <c r="E74" s="127">
        <f t="shared" si="26"/>
        <v>5.2451571418016187E-4</v>
      </c>
      <c r="F74" s="119">
        <f t="shared" si="27"/>
        <v>8.2162617959083756E-5</v>
      </c>
      <c r="G74" s="123">
        <f t="shared" si="28"/>
        <v>1.1000000000000001E-6</v>
      </c>
      <c r="H74" s="125">
        <f t="shared" si="29"/>
        <v>3.9981995988461433E-4</v>
      </c>
      <c r="I74" s="121">
        <f t="shared" si="30"/>
        <v>3.9981995988461433E-5</v>
      </c>
      <c r="J74" s="117">
        <f t="shared" si="22"/>
        <v>9.4862770039084537E-7</v>
      </c>
      <c r="K74" s="125"/>
      <c r="L74" s="125">
        <f t="shared" si="31"/>
        <v>3.0881530559999993E-9</v>
      </c>
      <c r="M74" s="125">
        <f t="shared" si="32"/>
        <v>4.9942449455555563E-7</v>
      </c>
      <c r="N74" s="43"/>
    </row>
    <row r="75" spans="1:14" x14ac:dyDescent="0.3">
      <c r="A75" s="40" t="s">
        <v>109</v>
      </c>
      <c r="B75" s="3" t="str">
        <f t="shared" si="23"/>
        <v>Papayas</v>
      </c>
      <c r="C75" s="3" t="str">
        <f t="shared" si="24"/>
        <v>Fruits</v>
      </c>
      <c r="D75" s="41" t="str">
        <f t="shared" si="25"/>
        <v>No</v>
      </c>
      <c r="E75" s="127" t="str">
        <f t="shared" si="26"/>
        <v/>
      </c>
      <c r="F75" s="119" t="str">
        <f t="shared" si="27"/>
        <v/>
      </c>
      <c r="G75" s="123" t="str">
        <f t="shared" si="28"/>
        <v/>
      </c>
      <c r="H75" s="125" t="str">
        <f t="shared" si="29"/>
        <v/>
      </c>
      <c r="I75" s="121" t="str">
        <f t="shared" si="30"/>
        <v/>
      </c>
      <c r="J75" s="117" t="str">
        <f t="shared" si="22"/>
        <v/>
      </c>
      <c r="K75" s="125"/>
      <c r="L75" s="125" t="str">
        <f t="shared" si="31"/>
        <v/>
      </c>
      <c r="M75" s="125" t="str">
        <f t="shared" si="32"/>
        <v/>
      </c>
      <c r="N75" s="43"/>
    </row>
    <row r="76" spans="1:14" x14ac:dyDescent="0.3">
      <c r="A76" s="40" t="s">
        <v>110</v>
      </c>
      <c r="B76" s="3" t="str">
        <f t="shared" si="23"/>
        <v>Peaches and nectarines</v>
      </c>
      <c r="C76" s="3" t="str">
        <f t="shared" si="24"/>
        <v>Fruits</v>
      </c>
      <c r="D76" s="41" t="str">
        <f t="shared" si="25"/>
        <v>No</v>
      </c>
      <c r="E76" s="127" t="str">
        <f t="shared" si="26"/>
        <v/>
      </c>
      <c r="F76" s="119" t="str">
        <f t="shared" si="27"/>
        <v/>
      </c>
      <c r="G76" s="123" t="str">
        <f t="shared" si="28"/>
        <v/>
      </c>
      <c r="H76" s="125" t="str">
        <f t="shared" si="29"/>
        <v/>
      </c>
      <c r="I76" s="121" t="str">
        <f t="shared" si="30"/>
        <v/>
      </c>
      <c r="J76" s="117" t="str">
        <f t="shared" si="22"/>
        <v/>
      </c>
      <c r="K76" s="125"/>
      <c r="L76" s="125" t="str">
        <f t="shared" si="31"/>
        <v/>
      </c>
      <c r="M76" s="125" t="str">
        <f t="shared" si="32"/>
        <v/>
      </c>
      <c r="N76" s="43"/>
    </row>
    <row r="77" spans="1:14" x14ac:dyDescent="0.3">
      <c r="A77" s="40" t="s">
        <v>111</v>
      </c>
      <c r="B77" s="3" t="str">
        <f t="shared" si="23"/>
        <v>Pears</v>
      </c>
      <c r="C77" s="3" t="str">
        <f t="shared" si="24"/>
        <v>Fruits</v>
      </c>
      <c r="D77" s="41" t="str">
        <f t="shared" si="25"/>
        <v>Yes</v>
      </c>
      <c r="E77" s="127">
        <f t="shared" si="26"/>
        <v>2.0360082136986989E-4</v>
      </c>
      <c r="F77" s="119">
        <f t="shared" si="27"/>
        <v>2.0054455060896708E-5</v>
      </c>
      <c r="G77" s="123">
        <f t="shared" si="28"/>
        <v>1.1000000000000001E-6</v>
      </c>
      <c r="H77" s="125">
        <f t="shared" si="29"/>
        <v>1.6311909309736435E-4</v>
      </c>
      <c r="I77" s="121">
        <f t="shared" si="30"/>
        <v>1.6311909309736435E-5</v>
      </c>
      <c r="J77" s="117">
        <f t="shared" si="22"/>
        <v>2.0465401428048477E-6</v>
      </c>
      <c r="K77" s="125"/>
      <c r="L77" s="125">
        <f t="shared" si="31"/>
        <v>4.6939926451199985E-7</v>
      </c>
      <c r="M77" s="125">
        <f t="shared" si="32"/>
        <v>4.9942449455555563E-7</v>
      </c>
      <c r="N77" s="43"/>
    </row>
    <row r="78" spans="1:14" x14ac:dyDescent="0.3">
      <c r="A78" s="40" t="s">
        <v>112</v>
      </c>
      <c r="B78" s="3" t="str">
        <f t="shared" si="23"/>
        <v>Peas, dry</v>
      </c>
      <c r="C78" s="3" t="str">
        <f t="shared" si="24"/>
        <v>Pulses, incl feed</v>
      </c>
      <c r="D78" s="41" t="str">
        <f t="shared" si="25"/>
        <v>Yes</v>
      </c>
      <c r="E78" s="127">
        <f t="shared" si="26"/>
        <v>2.0699834490966814E-4</v>
      </c>
      <c r="F78" s="119">
        <f t="shared" si="27"/>
        <v>0</v>
      </c>
      <c r="G78" s="123">
        <f t="shared" si="28"/>
        <v>1.1000000000000001E-6</v>
      </c>
      <c r="H78" s="125">
        <f t="shared" si="29"/>
        <v>1.8457296000000002E-4</v>
      </c>
      <c r="I78" s="121">
        <f t="shared" si="30"/>
        <v>1.8457296000000003E-5</v>
      </c>
      <c r="J78" s="117">
        <f t="shared" si="22"/>
        <v>1.5319867402121297E-6</v>
      </c>
      <c r="K78" s="125"/>
      <c r="L78" s="125">
        <f t="shared" si="31"/>
        <v>3.0881530559999997E-9</v>
      </c>
      <c r="M78" s="125">
        <f t="shared" si="32"/>
        <v>1.3330140164000001E-6</v>
      </c>
      <c r="N78" s="43"/>
    </row>
    <row r="79" spans="1:14" x14ac:dyDescent="0.3">
      <c r="A79" s="40" t="s">
        <v>113</v>
      </c>
      <c r="B79" s="3" t="str">
        <f t="shared" si="23"/>
        <v>Peas, green</v>
      </c>
      <c r="C79" s="3" t="str">
        <f t="shared" si="24"/>
        <v>Vegetables</v>
      </c>
      <c r="D79" s="41" t="str">
        <f t="shared" si="25"/>
        <v>Yes</v>
      </c>
      <c r="E79" s="127">
        <f t="shared" si="26"/>
        <v>2.05762606675465E-4</v>
      </c>
      <c r="F79" s="119">
        <f t="shared" si="27"/>
        <v>0</v>
      </c>
      <c r="G79" s="123">
        <f t="shared" si="28"/>
        <v>1.1000000000000001E-6</v>
      </c>
      <c r="H79" s="125">
        <f t="shared" si="29"/>
        <v>1.8457296000000002E-4</v>
      </c>
      <c r="I79" s="121">
        <f t="shared" si="30"/>
        <v>1.8457296000000003E-5</v>
      </c>
      <c r="J79" s="117">
        <f t="shared" si="22"/>
        <v>1.1298380278534337E-6</v>
      </c>
      <c r="K79" s="125"/>
      <c r="L79" s="125">
        <f t="shared" si="31"/>
        <v>3.0881530560000001E-9</v>
      </c>
      <c r="M79" s="125">
        <f t="shared" si="32"/>
        <v>4.9942449455555563E-7</v>
      </c>
      <c r="N79" s="43"/>
    </row>
    <row r="80" spans="1:14" x14ac:dyDescent="0.3">
      <c r="A80" s="40" t="s">
        <v>114</v>
      </c>
      <c r="B80" s="3" t="str">
        <f t="shared" si="23"/>
        <v>Pepper (Piper spp.), raw</v>
      </c>
      <c r="C80" s="3" t="str">
        <f t="shared" si="24"/>
        <v>Vegetables</v>
      </c>
      <c r="D80" s="41" t="str">
        <f t="shared" si="25"/>
        <v>No</v>
      </c>
      <c r="E80" s="127" t="str">
        <f t="shared" si="26"/>
        <v/>
      </c>
      <c r="F80" s="119" t="str">
        <f t="shared" si="27"/>
        <v/>
      </c>
      <c r="G80" s="123" t="str">
        <f t="shared" si="28"/>
        <v/>
      </c>
      <c r="H80" s="125" t="str">
        <f t="shared" si="29"/>
        <v/>
      </c>
      <c r="I80" s="121" t="str">
        <f t="shared" si="30"/>
        <v/>
      </c>
      <c r="J80" s="117" t="str">
        <f t="shared" si="22"/>
        <v/>
      </c>
      <c r="K80" s="125"/>
      <c r="L80" s="125" t="str">
        <f t="shared" si="31"/>
        <v/>
      </c>
      <c r="M80" s="125" t="str">
        <f t="shared" si="32"/>
        <v/>
      </c>
      <c r="N80" s="43"/>
    </row>
    <row r="81" spans="1:14" x14ac:dyDescent="0.3">
      <c r="A81" s="40" t="s">
        <v>115</v>
      </c>
      <c r="B81" s="3" t="str">
        <f t="shared" si="23"/>
        <v>Pineapples</v>
      </c>
      <c r="C81" s="3" t="str">
        <f t="shared" si="24"/>
        <v>Fruits</v>
      </c>
      <c r="D81" s="41" t="str">
        <f t="shared" si="25"/>
        <v>No</v>
      </c>
      <c r="E81" s="127" t="str">
        <f t="shared" si="26"/>
        <v/>
      </c>
      <c r="F81" s="119" t="str">
        <f t="shared" si="27"/>
        <v/>
      </c>
      <c r="G81" s="123" t="str">
        <f t="shared" si="28"/>
        <v/>
      </c>
      <c r="H81" s="125" t="str">
        <f t="shared" si="29"/>
        <v/>
      </c>
      <c r="I81" s="121" t="str">
        <f t="shared" si="30"/>
        <v/>
      </c>
      <c r="J81" s="117" t="str">
        <f t="shared" si="22"/>
        <v/>
      </c>
      <c r="K81" s="125"/>
      <c r="L81" s="125" t="str">
        <f t="shared" si="31"/>
        <v/>
      </c>
      <c r="M81" s="125" t="str">
        <f t="shared" si="32"/>
        <v/>
      </c>
      <c r="N81" s="43"/>
    </row>
    <row r="82" spans="1:14" x14ac:dyDescent="0.3">
      <c r="A82" s="40" t="s">
        <v>116</v>
      </c>
      <c r="B82" s="3" t="str">
        <f t="shared" si="23"/>
        <v>Plantains and cooking bananas</v>
      </c>
      <c r="C82" s="3" t="str">
        <f t="shared" si="24"/>
        <v>Fruits</v>
      </c>
      <c r="D82" s="41" t="str">
        <f t="shared" si="25"/>
        <v>No</v>
      </c>
      <c r="E82" s="127" t="str">
        <f t="shared" si="26"/>
        <v/>
      </c>
      <c r="F82" s="119" t="str">
        <f t="shared" si="27"/>
        <v/>
      </c>
      <c r="G82" s="123" t="str">
        <f t="shared" si="28"/>
        <v/>
      </c>
      <c r="H82" s="125" t="str">
        <f t="shared" si="29"/>
        <v/>
      </c>
      <c r="I82" s="121" t="str">
        <f t="shared" si="30"/>
        <v/>
      </c>
      <c r="J82" s="117" t="str">
        <f t="shared" si="22"/>
        <v/>
      </c>
      <c r="K82" s="125"/>
      <c r="L82" s="125" t="str">
        <f t="shared" si="31"/>
        <v/>
      </c>
      <c r="M82" s="125" t="str">
        <f t="shared" si="32"/>
        <v/>
      </c>
      <c r="N82" s="43"/>
    </row>
    <row r="83" spans="1:14" x14ac:dyDescent="0.3">
      <c r="A83" s="40" t="s">
        <v>117</v>
      </c>
      <c r="B83" s="3" t="str">
        <f t="shared" si="23"/>
        <v>Plums and sloes</v>
      </c>
      <c r="C83" s="3" t="str">
        <f t="shared" si="24"/>
        <v>Fruits</v>
      </c>
      <c r="D83" s="41" t="str">
        <f t="shared" si="25"/>
        <v>Yes</v>
      </c>
      <c r="E83" s="127">
        <f t="shared" si="26"/>
        <v>3.3489390549289037E-4</v>
      </c>
      <c r="F83" s="119">
        <f t="shared" si="27"/>
        <v>4.4704653681874727E-5</v>
      </c>
      <c r="G83" s="123">
        <f t="shared" si="28"/>
        <v>1.1000000000000001E-6</v>
      </c>
      <c r="H83" s="125">
        <f t="shared" si="29"/>
        <v>2.5707212467532471E-4</v>
      </c>
      <c r="I83" s="121">
        <f t="shared" si="30"/>
        <v>2.5707212467532473E-5</v>
      </c>
      <c r="J83" s="117">
        <f t="shared" si="22"/>
        <v>5.3410909090909099E-6</v>
      </c>
      <c r="K83" s="125"/>
      <c r="L83" s="125">
        <f t="shared" si="31"/>
        <v>4.6939926451199996E-7</v>
      </c>
      <c r="M83" s="125">
        <f t="shared" si="32"/>
        <v>4.9942449455555563E-7</v>
      </c>
      <c r="N83" s="43"/>
    </row>
    <row r="84" spans="1:14" x14ac:dyDescent="0.3">
      <c r="A84" s="40" t="s">
        <v>118</v>
      </c>
      <c r="B84" s="3" t="str">
        <f t="shared" si="23"/>
        <v>Pomelos and grapefruits</v>
      </c>
      <c r="C84" s="3" t="str">
        <f t="shared" si="24"/>
        <v>Fruits</v>
      </c>
      <c r="D84" s="41" t="str">
        <f t="shared" si="25"/>
        <v>No</v>
      </c>
      <c r="E84" s="127" t="str">
        <f t="shared" si="26"/>
        <v/>
      </c>
      <c r="F84" s="119" t="str">
        <f t="shared" si="27"/>
        <v/>
      </c>
      <c r="G84" s="123" t="str">
        <f t="shared" si="28"/>
        <v/>
      </c>
      <c r="H84" s="125" t="str">
        <f t="shared" si="29"/>
        <v/>
      </c>
      <c r="I84" s="121" t="str">
        <f t="shared" si="30"/>
        <v/>
      </c>
      <c r="J84" s="117" t="str">
        <f t="shared" si="22"/>
        <v/>
      </c>
      <c r="K84" s="125"/>
      <c r="L84" s="125" t="str">
        <f t="shared" si="31"/>
        <v/>
      </c>
      <c r="M84" s="125" t="str">
        <f t="shared" si="32"/>
        <v/>
      </c>
      <c r="N84" s="43"/>
    </row>
    <row r="85" spans="1:14" x14ac:dyDescent="0.3">
      <c r="A85" s="40" t="s">
        <v>119</v>
      </c>
      <c r="B85" s="3" t="str">
        <f t="shared" si="23"/>
        <v>Poppy seed</v>
      </c>
      <c r="C85" s="3" t="str">
        <f t="shared" si="24"/>
        <v>Seeds</v>
      </c>
      <c r="D85" s="41" t="str">
        <f t="shared" si="25"/>
        <v>No</v>
      </c>
      <c r="E85" s="127" t="str">
        <f t="shared" si="26"/>
        <v/>
      </c>
      <c r="F85" s="119" t="str">
        <f t="shared" si="27"/>
        <v/>
      </c>
      <c r="G85" s="123" t="str">
        <f t="shared" si="28"/>
        <v/>
      </c>
      <c r="H85" s="125" t="str">
        <f t="shared" si="29"/>
        <v/>
      </c>
      <c r="I85" s="121" t="str">
        <f t="shared" si="30"/>
        <v/>
      </c>
      <c r="J85" s="117" t="str">
        <f t="shared" si="22"/>
        <v/>
      </c>
      <c r="K85" s="125"/>
      <c r="L85" s="125" t="str">
        <f t="shared" si="31"/>
        <v/>
      </c>
      <c r="M85" s="125" t="str">
        <f t="shared" si="32"/>
        <v/>
      </c>
      <c r="N85" s="43"/>
    </row>
    <row r="86" spans="1:14" x14ac:dyDescent="0.3">
      <c r="A86" s="40" t="s">
        <v>120</v>
      </c>
      <c r="B86" s="3" t="str">
        <f t="shared" si="23"/>
        <v>Potatoes</v>
      </c>
      <c r="C86" s="3" t="str">
        <f t="shared" si="24"/>
        <v>Roots</v>
      </c>
      <c r="D86" s="41" t="str">
        <f t="shared" si="25"/>
        <v>Yes</v>
      </c>
      <c r="E86" s="127">
        <f t="shared" si="26"/>
        <v>1.2856289501645386E-4</v>
      </c>
      <c r="F86" s="119">
        <f t="shared" si="27"/>
        <v>1.9371767731430785E-5</v>
      </c>
      <c r="G86" s="123">
        <f t="shared" si="28"/>
        <v>1.1000000000000001E-6</v>
      </c>
      <c r="H86" s="125">
        <f t="shared" si="29"/>
        <v>9.7525381302297569E-5</v>
      </c>
      <c r="I86" s="121">
        <f t="shared" si="30"/>
        <v>9.7525381302297579E-6</v>
      </c>
      <c r="J86" s="117">
        <f t="shared" si="22"/>
        <v>2.8290182738017362E-7</v>
      </c>
      <c r="K86" s="125"/>
      <c r="L86" s="125">
        <f t="shared" si="31"/>
        <v>3.0881530559999998E-8</v>
      </c>
      <c r="M86" s="125">
        <f t="shared" si="32"/>
        <v>4.9942449455555563E-7</v>
      </c>
      <c r="N86" s="43"/>
    </row>
    <row r="87" spans="1:14" x14ac:dyDescent="0.3">
      <c r="A87" s="40" t="s">
        <v>121</v>
      </c>
      <c r="B87" s="3" t="str">
        <f t="shared" si="23"/>
        <v>Pumpkins, squash and gourds</v>
      </c>
      <c r="C87" s="3" t="str">
        <f t="shared" si="24"/>
        <v>Vegetables</v>
      </c>
      <c r="D87" s="41" t="str">
        <f t="shared" si="25"/>
        <v>Yes</v>
      </c>
      <c r="E87" s="127">
        <f t="shared" si="26"/>
        <v>1.2427475556971946E-4</v>
      </c>
      <c r="F87" s="119">
        <f t="shared" si="27"/>
        <v>5.1578959041174053E-6</v>
      </c>
      <c r="G87" s="123">
        <f t="shared" si="28"/>
        <v>1.1000000000000001E-6</v>
      </c>
      <c r="H87" s="125">
        <f t="shared" si="29"/>
        <v>1.0634158333447102E-4</v>
      </c>
      <c r="I87" s="121">
        <f t="shared" si="30"/>
        <v>1.0634158333447102E-5</v>
      </c>
      <c r="J87" s="117">
        <f t="shared" si="22"/>
        <v>4.3669629922439878E-7</v>
      </c>
      <c r="K87" s="125"/>
      <c r="L87" s="125">
        <f t="shared" si="31"/>
        <v>1.0499720390399997E-7</v>
      </c>
      <c r="M87" s="125">
        <f t="shared" si="32"/>
        <v>4.9942449455555563E-7</v>
      </c>
      <c r="N87" s="43"/>
    </row>
    <row r="88" spans="1:14" x14ac:dyDescent="0.3">
      <c r="A88" s="40" t="s">
        <v>122</v>
      </c>
      <c r="B88" s="3" t="str">
        <f t="shared" si="23"/>
        <v>Quinces</v>
      </c>
      <c r="C88" s="3" t="str">
        <f t="shared" si="24"/>
        <v>Other</v>
      </c>
      <c r="D88" s="41" t="str">
        <f t="shared" si="25"/>
        <v>No</v>
      </c>
      <c r="E88" s="127" t="str">
        <f t="shared" si="26"/>
        <v/>
      </c>
      <c r="F88" s="119" t="str">
        <f t="shared" si="27"/>
        <v/>
      </c>
      <c r="G88" s="123" t="str">
        <f t="shared" si="28"/>
        <v/>
      </c>
      <c r="H88" s="125" t="str">
        <f t="shared" si="29"/>
        <v/>
      </c>
      <c r="I88" s="121" t="str">
        <f t="shared" si="30"/>
        <v/>
      </c>
      <c r="J88" s="117" t="str">
        <f t="shared" si="22"/>
        <v/>
      </c>
      <c r="K88" s="125"/>
      <c r="L88" s="125" t="str">
        <f t="shared" si="31"/>
        <v/>
      </c>
      <c r="M88" s="125" t="str">
        <f t="shared" si="32"/>
        <v/>
      </c>
      <c r="N88" s="43"/>
    </row>
    <row r="89" spans="1:14" x14ac:dyDescent="0.3">
      <c r="A89" s="40" t="s">
        <v>123</v>
      </c>
      <c r="B89" s="3" t="str">
        <f t="shared" si="23"/>
        <v>Quinoa</v>
      </c>
      <c r="C89" s="3" t="str">
        <f t="shared" si="24"/>
        <v>Seeds</v>
      </c>
      <c r="D89" s="41" t="str">
        <f t="shared" si="25"/>
        <v>No</v>
      </c>
      <c r="E89" s="127" t="str">
        <f t="shared" si="26"/>
        <v/>
      </c>
      <c r="F89" s="119" t="str">
        <f t="shared" si="27"/>
        <v/>
      </c>
      <c r="G89" s="123" t="str">
        <f t="shared" si="28"/>
        <v/>
      </c>
      <c r="H89" s="125" t="str">
        <f t="shared" si="29"/>
        <v/>
      </c>
      <c r="I89" s="121" t="str">
        <f t="shared" si="30"/>
        <v/>
      </c>
      <c r="J89" s="117" t="str">
        <f t="shared" si="22"/>
        <v/>
      </c>
      <c r="K89" s="125"/>
      <c r="L89" s="125" t="str">
        <f t="shared" si="31"/>
        <v/>
      </c>
      <c r="M89" s="125" t="str">
        <f t="shared" si="32"/>
        <v/>
      </c>
      <c r="N89" s="43"/>
    </row>
    <row r="90" spans="1:14" x14ac:dyDescent="0.3">
      <c r="A90" s="40" t="s">
        <v>124</v>
      </c>
      <c r="B90" s="3" t="str">
        <f t="shared" si="23"/>
        <v>Rape or colza seed, average</v>
      </c>
      <c r="C90" s="3" t="str">
        <f t="shared" si="24"/>
        <v>Oil crops</v>
      </c>
      <c r="D90" s="41" t="str">
        <f t="shared" si="25"/>
        <v>Yes</v>
      </c>
      <c r="E90" s="127">
        <f t="shared" si="26"/>
        <v>1.7217750874551374E-3</v>
      </c>
      <c r="F90" s="119">
        <f t="shared" si="27"/>
        <v>3.110635015731941E-4</v>
      </c>
      <c r="G90" s="123">
        <f t="shared" si="28"/>
        <v>1.1000000000000001E-6</v>
      </c>
      <c r="H90" s="125">
        <f t="shared" si="29"/>
        <v>1.2779279588668211E-3</v>
      </c>
      <c r="I90" s="121">
        <f t="shared" si="30"/>
        <v>1.2779279588668211E-4</v>
      </c>
      <c r="J90" s="117">
        <f t="shared" si="22"/>
        <v>1.382074805928017E-6</v>
      </c>
      <c r="K90" s="125"/>
      <c r="L90" s="125">
        <f t="shared" si="31"/>
        <v>6.1763061119999978E-9</v>
      </c>
      <c r="M90" s="125">
        <f t="shared" si="32"/>
        <v>2.5025800164000002E-6</v>
      </c>
      <c r="N90" s="43"/>
    </row>
    <row r="91" spans="1:14" x14ac:dyDescent="0.3">
      <c r="A91" s="40" t="s">
        <v>125</v>
      </c>
      <c r="B91" s="3" t="str">
        <f t="shared" si="23"/>
        <v>Rape or colza seed, spring</v>
      </c>
      <c r="C91" s="3" t="str">
        <f t="shared" si="24"/>
        <v>Oil crops</v>
      </c>
      <c r="D91" s="41" t="str">
        <f t="shared" si="25"/>
        <v>Yes</v>
      </c>
      <c r="E91" s="127">
        <f t="shared" si="26"/>
        <v>3.0249907210493721E-3</v>
      </c>
      <c r="F91" s="119">
        <f t="shared" si="27"/>
        <v>5.618246580557794E-4</v>
      </c>
      <c r="G91" s="123">
        <f t="shared" si="28"/>
        <v>1.1000000000000001E-6</v>
      </c>
      <c r="H91" s="125">
        <f t="shared" si="29"/>
        <v>2.2336918947194169E-3</v>
      </c>
      <c r="I91" s="121">
        <f t="shared" si="30"/>
        <v>2.233691894719417E-4</v>
      </c>
      <c r="J91" s="117">
        <f t="shared" si="22"/>
        <v>2.4962224797219002E-6</v>
      </c>
      <c r="K91" s="125"/>
      <c r="L91" s="125">
        <f t="shared" si="31"/>
        <v>6.1763061119999986E-9</v>
      </c>
      <c r="M91" s="125">
        <f t="shared" si="32"/>
        <v>2.5025800164000002E-6</v>
      </c>
      <c r="N91" s="43"/>
    </row>
    <row r="92" spans="1:14" x14ac:dyDescent="0.3">
      <c r="A92" s="40" t="s">
        <v>126</v>
      </c>
      <c r="B92" s="3" t="str">
        <f t="shared" si="23"/>
        <v>Rape or colza seed, winter</v>
      </c>
      <c r="C92" s="3" t="str">
        <f t="shared" si="24"/>
        <v>Oil crops</v>
      </c>
      <c r="D92" s="41" t="str">
        <f t="shared" si="25"/>
        <v>Yes</v>
      </c>
      <c r="E92" s="127">
        <f t="shared" si="26"/>
        <v>1.6453912860566165E-3</v>
      </c>
      <c r="F92" s="119">
        <f t="shared" si="27"/>
        <v>2.9636594126047536E-4</v>
      </c>
      <c r="G92" s="123">
        <f t="shared" si="28"/>
        <v>1.1000000000000001E-6</v>
      </c>
      <c r="H92" s="125">
        <f t="shared" si="29"/>
        <v>1.221908923506811E-3</v>
      </c>
      <c r="I92" s="121">
        <f t="shared" si="30"/>
        <v>1.2219089235068111E-4</v>
      </c>
      <c r="J92" s="117">
        <f t="shared" si="22"/>
        <v>1.3167726161369193E-6</v>
      </c>
      <c r="K92" s="125"/>
      <c r="L92" s="125">
        <f t="shared" si="31"/>
        <v>6.1763061119999986E-9</v>
      </c>
      <c r="M92" s="125">
        <f t="shared" si="32"/>
        <v>2.5025800164000002E-6</v>
      </c>
      <c r="N92" s="43"/>
    </row>
    <row r="93" spans="1:14" x14ac:dyDescent="0.3">
      <c r="A93" s="40" t="s">
        <v>127</v>
      </c>
      <c r="B93" s="3" t="str">
        <f t="shared" si="23"/>
        <v>Raspberries</v>
      </c>
      <c r="C93" s="3" t="str">
        <f t="shared" si="24"/>
        <v>Berries</v>
      </c>
      <c r="D93" s="41" t="str">
        <f t="shared" si="25"/>
        <v>Yes</v>
      </c>
      <c r="E93" s="127">
        <f t="shared" si="26"/>
        <v>1.0756591384791831E-3</v>
      </c>
      <c r="F93" s="119">
        <f t="shared" si="27"/>
        <v>1.8730939609272842E-4</v>
      </c>
      <c r="G93" s="123">
        <f t="shared" si="28"/>
        <v>1.1000000000000001E-6</v>
      </c>
      <c r="H93" s="125">
        <f t="shared" si="29"/>
        <v>8.0060315551625395E-4</v>
      </c>
      <c r="I93" s="121">
        <f t="shared" si="30"/>
        <v>8.00603155516254E-5</v>
      </c>
      <c r="J93" s="117">
        <f t="shared" si="22"/>
        <v>6.1168720540632627E-6</v>
      </c>
      <c r="K93" s="125"/>
      <c r="L93" s="125">
        <f t="shared" si="31"/>
        <v>4.6939926451199985E-7</v>
      </c>
      <c r="M93" s="125">
        <f t="shared" si="32"/>
        <v>0</v>
      </c>
      <c r="N93" s="43"/>
    </row>
    <row r="94" spans="1:14" x14ac:dyDescent="0.3">
      <c r="A94" s="40" t="s">
        <v>128</v>
      </c>
      <c r="B94" s="3" t="str">
        <f t="shared" si="23"/>
        <v>Rice</v>
      </c>
      <c r="C94" s="3" t="str">
        <f t="shared" si="24"/>
        <v>Cereals</v>
      </c>
      <c r="D94" s="41" t="str">
        <f t="shared" si="25"/>
        <v>No</v>
      </c>
      <c r="E94" s="127" t="str">
        <f t="shared" si="26"/>
        <v/>
      </c>
      <c r="F94" s="119" t="str">
        <f t="shared" si="27"/>
        <v/>
      </c>
      <c r="G94" s="123" t="str">
        <f t="shared" si="28"/>
        <v/>
      </c>
      <c r="H94" s="125" t="str">
        <f t="shared" si="29"/>
        <v/>
      </c>
      <c r="I94" s="121" t="str">
        <f t="shared" si="30"/>
        <v/>
      </c>
      <c r="J94" s="117" t="str">
        <f t="shared" si="22"/>
        <v/>
      </c>
      <c r="K94" s="125"/>
      <c r="L94" s="125" t="str">
        <f t="shared" si="31"/>
        <v/>
      </c>
      <c r="M94" s="125" t="str">
        <f t="shared" si="32"/>
        <v/>
      </c>
      <c r="N94" s="43"/>
    </row>
    <row r="95" spans="1:14" x14ac:dyDescent="0.3">
      <c r="A95" s="40" t="s">
        <v>129</v>
      </c>
      <c r="B95" s="3" t="str">
        <f t="shared" si="23"/>
        <v>Rye</v>
      </c>
      <c r="C95" s="3" t="str">
        <f t="shared" si="24"/>
        <v>Cereals, incl feed</v>
      </c>
      <c r="D95" s="41" t="str">
        <f t="shared" si="25"/>
        <v>Yes</v>
      </c>
      <c r="E95" s="127">
        <f t="shared" si="26"/>
        <v>6.6308039922666391E-4</v>
      </c>
      <c r="F95" s="119">
        <f t="shared" si="27"/>
        <v>1.0504239349671511E-4</v>
      </c>
      <c r="G95" s="123">
        <f t="shared" si="28"/>
        <v>1.1000000000000001E-6</v>
      </c>
      <c r="H95" s="125">
        <f t="shared" si="29"/>
        <v>5.0434376152866248E-4</v>
      </c>
      <c r="I95" s="121">
        <f t="shared" si="30"/>
        <v>5.0434376152866252E-5</v>
      </c>
      <c r="J95" s="117">
        <f t="shared" si="22"/>
        <v>8.2685403202016689E-7</v>
      </c>
      <c r="K95" s="125"/>
      <c r="L95" s="125">
        <f t="shared" si="31"/>
        <v>0</v>
      </c>
      <c r="M95" s="125">
        <f t="shared" si="32"/>
        <v>1.3330140164000001E-6</v>
      </c>
      <c r="N95" s="43"/>
    </row>
    <row r="96" spans="1:14" x14ac:dyDescent="0.3">
      <c r="A96" s="40" t="s">
        <v>130</v>
      </c>
      <c r="B96" s="3" t="str">
        <f t="shared" si="23"/>
        <v>Sorghum</v>
      </c>
      <c r="C96" s="3" t="str">
        <f t="shared" si="24"/>
        <v>Cereals</v>
      </c>
      <c r="D96" s="41" t="str">
        <f t="shared" si="25"/>
        <v>No</v>
      </c>
      <c r="E96" s="127" t="str">
        <f t="shared" si="26"/>
        <v/>
      </c>
      <c r="F96" s="119" t="str">
        <f t="shared" si="27"/>
        <v/>
      </c>
      <c r="G96" s="123" t="str">
        <f t="shared" si="28"/>
        <v/>
      </c>
      <c r="H96" s="125" t="str">
        <f t="shared" si="29"/>
        <v/>
      </c>
      <c r="I96" s="121" t="str">
        <f t="shared" si="30"/>
        <v/>
      </c>
      <c r="J96" s="117" t="str">
        <f t="shared" si="22"/>
        <v/>
      </c>
      <c r="K96" s="125"/>
      <c r="L96" s="125" t="str">
        <f t="shared" si="31"/>
        <v/>
      </c>
      <c r="M96" s="125" t="str">
        <f t="shared" si="32"/>
        <v/>
      </c>
      <c r="N96" s="43"/>
    </row>
    <row r="97" spans="1:14" x14ac:dyDescent="0.3">
      <c r="A97" s="40" t="s">
        <v>131</v>
      </c>
      <c r="B97" s="3" t="str">
        <f t="shared" si="23"/>
        <v>Sour cherries</v>
      </c>
      <c r="C97" s="3" t="str">
        <f t="shared" si="24"/>
        <v>Fruits</v>
      </c>
      <c r="D97" s="41" t="str">
        <f t="shared" si="25"/>
        <v>Yes</v>
      </c>
      <c r="E97" s="127">
        <f t="shared" si="26"/>
        <v>1.0481199298497731E-3</v>
      </c>
      <c r="F97" s="119">
        <f t="shared" si="27"/>
        <v>1.8137647268610694E-4</v>
      </c>
      <c r="G97" s="123">
        <f t="shared" si="28"/>
        <v>1.1000000000000001E-6</v>
      </c>
      <c r="H97" s="125">
        <f t="shared" si="29"/>
        <v>7.7799010688558068E-4</v>
      </c>
      <c r="I97" s="121">
        <f t="shared" si="30"/>
        <v>7.7799010688558076E-5</v>
      </c>
      <c r="J97" s="117">
        <f t="shared" si="22"/>
        <v>8.8855158304598185E-6</v>
      </c>
      <c r="K97" s="125"/>
      <c r="L97" s="125">
        <f t="shared" si="31"/>
        <v>4.693992645119999E-7</v>
      </c>
      <c r="M97" s="125">
        <f t="shared" si="32"/>
        <v>4.9942449455555563E-7</v>
      </c>
      <c r="N97" s="43"/>
    </row>
    <row r="98" spans="1:14" x14ac:dyDescent="0.3">
      <c r="A98" s="40" t="s">
        <v>132</v>
      </c>
      <c r="B98" s="3" t="str">
        <f t="shared" si="23"/>
        <v>Soya beans</v>
      </c>
      <c r="C98" s="3" t="str">
        <f t="shared" si="24"/>
        <v>Pulses</v>
      </c>
      <c r="D98" s="41" t="str">
        <f t="shared" si="25"/>
        <v>No</v>
      </c>
      <c r="E98" s="127" t="str">
        <f t="shared" si="26"/>
        <v/>
      </c>
      <c r="F98" s="119" t="str">
        <f t="shared" si="27"/>
        <v/>
      </c>
      <c r="G98" s="123" t="str">
        <f t="shared" si="28"/>
        <v/>
      </c>
      <c r="H98" s="125" t="str">
        <f t="shared" si="29"/>
        <v/>
      </c>
      <c r="I98" s="121" t="str">
        <f t="shared" si="30"/>
        <v/>
      </c>
      <c r="J98" s="117" t="str">
        <f t="shared" si="22"/>
        <v/>
      </c>
      <c r="K98" s="125"/>
      <c r="L98" s="125" t="str">
        <f t="shared" si="31"/>
        <v/>
      </c>
      <c r="M98" s="125" t="str">
        <f t="shared" si="32"/>
        <v/>
      </c>
      <c r="N98" s="43"/>
    </row>
    <row r="99" spans="1:14" x14ac:dyDescent="0.3">
      <c r="A99" s="40" t="s">
        <v>133</v>
      </c>
      <c r="B99" s="3" t="str">
        <f t="shared" si="23"/>
        <v>Spinach</v>
      </c>
      <c r="C99" s="3" t="str">
        <f t="shared" si="24"/>
        <v>Vegetables</v>
      </c>
      <c r="D99" s="41" t="str">
        <f t="shared" si="25"/>
        <v>Yes</v>
      </c>
      <c r="E99" s="127">
        <f t="shared" si="26"/>
        <v>5.3495379025023104E-4</v>
      </c>
      <c r="F99" s="119">
        <f t="shared" si="27"/>
        <v>8.3784872712875229E-5</v>
      </c>
      <c r="G99" s="123">
        <f t="shared" si="28"/>
        <v>1.1000000000000001E-6</v>
      </c>
      <c r="H99" s="125">
        <f t="shared" si="29"/>
        <v>4.0602447630337489E-4</v>
      </c>
      <c r="I99" s="121">
        <f t="shared" si="30"/>
        <v>4.0602447630337489E-5</v>
      </c>
      <c r="J99" s="117">
        <f t="shared" ref="J99:J118" si="33">IF(D99="YES",INDEX(Crop_data,MATCH(A99,Crop_data_codes,0),11)*Heating_value_diesel*EF_diesel_N2O/INDEX(Crop_data,MATCH(A99,Crop_data_codes,0),6),"")</f>
        <v>2.8375719051839474E-6</v>
      </c>
      <c r="K99" s="125"/>
      <c r="L99" s="125">
        <f t="shared" si="31"/>
        <v>1.0499720390399998E-7</v>
      </c>
      <c r="M99" s="125">
        <f t="shared" si="32"/>
        <v>4.9942449455555563E-7</v>
      </c>
      <c r="N99" s="43"/>
    </row>
    <row r="100" spans="1:14" x14ac:dyDescent="0.3">
      <c r="A100" s="40" t="s">
        <v>134</v>
      </c>
      <c r="B100" s="3" t="str">
        <f t="shared" si="23"/>
        <v>Strawberries</v>
      </c>
      <c r="C100" s="3" t="str">
        <f t="shared" si="24"/>
        <v>Fruits</v>
      </c>
      <c r="D100" s="41" t="str">
        <f t="shared" si="25"/>
        <v>Yes</v>
      </c>
      <c r="E100" s="127">
        <f t="shared" si="26"/>
        <v>2.4182455408000157E-4</v>
      </c>
      <c r="F100" s="119">
        <f t="shared" si="27"/>
        <v>2.7289689893768631E-5</v>
      </c>
      <c r="G100" s="123">
        <f t="shared" si="28"/>
        <v>1.1000000000000001E-6</v>
      </c>
      <c r="H100" s="125">
        <f t="shared" si="29"/>
        <v>1.9069583830655997E-4</v>
      </c>
      <c r="I100" s="121">
        <f t="shared" si="30"/>
        <v>1.9069583830655997E-5</v>
      </c>
      <c r="J100" s="117">
        <f t="shared" si="33"/>
        <v>2.7006182899494034E-6</v>
      </c>
      <c r="K100" s="125"/>
      <c r="L100" s="125">
        <f t="shared" si="31"/>
        <v>4.6939926451199985E-7</v>
      </c>
      <c r="M100" s="125">
        <f t="shared" si="32"/>
        <v>4.9942449455555563E-7</v>
      </c>
      <c r="N100" s="43"/>
    </row>
    <row r="101" spans="1:14" x14ac:dyDescent="0.3">
      <c r="A101" s="40" t="s">
        <v>135</v>
      </c>
      <c r="B101" s="3" t="str">
        <f t="shared" si="23"/>
        <v>Sugar beet</v>
      </c>
      <c r="C101" s="3" t="str">
        <f t="shared" si="24"/>
        <v>Sugar crops</v>
      </c>
      <c r="D101" s="41" t="str">
        <f t="shared" si="25"/>
        <v>Yes</v>
      </c>
      <c r="E101" s="127">
        <f t="shared" si="26"/>
        <v>8.1885688132601336E-5</v>
      </c>
      <c r="F101" s="119">
        <f t="shared" si="27"/>
        <v>1.0394212652200539E-5</v>
      </c>
      <c r="G101" s="123">
        <f t="shared" si="28"/>
        <v>1.1000000000000001E-6</v>
      </c>
      <c r="H101" s="125">
        <f t="shared" si="29"/>
        <v>6.3402454753761273E-5</v>
      </c>
      <c r="I101" s="121">
        <f t="shared" si="30"/>
        <v>6.3402454753761273E-6</v>
      </c>
      <c r="J101" s="117">
        <f t="shared" si="33"/>
        <v>1.4008629939352722E-7</v>
      </c>
      <c r="K101" s="125"/>
      <c r="L101" s="125">
        <f t="shared" si="31"/>
        <v>9.2644573143049584E-9</v>
      </c>
      <c r="M101" s="125">
        <f t="shared" si="32"/>
        <v>4.9942449455555563E-7</v>
      </c>
      <c r="N101" s="43"/>
    </row>
    <row r="102" spans="1:14" x14ac:dyDescent="0.3">
      <c r="A102" s="40" t="s">
        <v>136</v>
      </c>
      <c r="B102" s="3" t="str">
        <f t="shared" ref="B102:B118" si="34">INDEX(Crop_data,MATCH(A102,Crop_data_codes,0),2)</f>
        <v>Sugar cane</v>
      </c>
      <c r="C102" s="3" t="str">
        <f t="shared" ref="C102:C118" si="35">INDEX(Crop_data,MATCH(A102,Crop_data_codes,0),3)</f>
        <v>Sugar crops</v>
      </c>
      <c r="D102" s="41" t="str">
        <f t="shared" ref="D102:D118" si="36">INDEX(Crop_data,MATCH(A102,Crop_data_codes,0),4)</f>
        <v>No</v>
      </c>
      <c r="E102" s="127" t="str">
        <f t="shared" ref="E102:E118" si="37">IF(D102="Yes", SUM(F102:N102),"")</f>
        <v/>
      </c>
      <c r="F102" s="119" t="str">
        <f t="shared" ref="F102:F118" si="38">IF(D102="YES",INDEX(Crop_data,MATCH(A102,Crop_data_codes,0),7)*(Frac_BAT*EF_min_fert_BAT_N2O+Frac_AN*EF_min_fert_AN_N2O)/INDEX(Crop_data,MATCH(A102,Crop_data_codes,0),6),"")</f>
        <v/>
      </c>
      <c r="G102" s="123" t="str">
        <f t="shared" ref="G102:G118" si="39">IF(D102="YES",EF_capital_goods_N2O,"")</f>
        <v/>
      </c>
      <c r="H102" s="125" t="str">
        <f t="shared" ref="H102:H118" si="40">IF(D102="YES",(INDEX(Crop_data,MATCH(A102,Crop_data_codes,0),7)*EF_N2O_soils_min_fert+INDEX(Crop_data,MATCH(A102,Crop_data_codes,0),9)*EF_N2O_soils_crop_res)*44/28/INDEX(Crop_data,MATCH(A102,Crop_data_codes,0),6),"")</f>
        <v/>
      </c>
      <c r="I102" s="121" t="str">
        <f t="shared" ref="I102:I118" si="41">IF(D102="Yes",H102*EF_N2O_soils_indirect,"")</f>
        <v/>
      </c>
      <c r="J102" s="117" t="str">
        <f t="shared" si="33"/>
        <v/>
      </c>
      <c r="K102" s="125"/>
      <c r="L102" s="125" t="str">
        <f t="shared" si="31"/>
        <v/>
      </c>
      <c r="M102" s="125" t="str">
        <f t="shared" si="32"/>
        <v/>
      </c>
      <c r="N102" s="43"/>
    </row>
    <row r="103" spans="1:14" x14ac:dyDescent="0.3">
      <c r="A103" s="40" t="s">
        <v>137</v>
      </c>
      <c r="B103" s="3" t="str">
        <f t="shared" si="34"/>
        <v>Sunflower seed</v>
      </c>
      <c r="C103" s="3" t="str">
        <f t="shared" si="35"/>
        <v>Oil crops</v>
      </c>
      <c r="D103" s="41" t="str">
        <f t="shared" si="36"/>
        <v>No</v>
      </c>
      <c r="E103" s="127" t="str">
        <f t="shared" si="37"/>
        <v/>
      </c>
      <c r="F103" s="119" t="str">
        <f t="shared" si="38"/>
        <v/>
      </c>
      <c r="G103" s="123" t="str">
        <f t="shared" si="39"/>
        <v/>
      </c>
      <c r="H103" s="125" t="str">
        <f t="shared" si="40"/>
        <v/>
      </c>
      <c r="I103" s="121" t="str">
        <f t="shared" si="41"/>
        <v/>
      </c>
      <c r="J103" s="117" t="str">
        <f t="shared" si="33"/>
        <v/>
      </c>
      <c r="K103" s="125"/>
      <c r="L103" s="125" t="str">
        <f t="shared" si="31"/>
        <v/>
      </c>
      <c r="M103" s="125" t="str">
        <f t="shared" si="32"/>
        <v/>
      </c>
      <c r="N103" s="43"/>
    </row>
    <row r="104" spans="1:14" x14ac:dyDescent="0.3">
      <c r="A104" s="40" t="s">
        <v>138</v>
      </c>
      <c r="B104" s="3" t="str">
        <f t="shared" si="34"/>
        <v>Sweet potatoes</v>
      </c>
      <c r="C104" s="3" t="str">
        <f t="shared" si="35"/>
        <v>Roots</v>
      </c>
      <c r="D104" s="41" t="str">
        <f t="shared" si="36"/>
        <v>No</v>
      </c>
      <c r="E104" s="127" t="str">
        <f t="shared" si="37"/>
        <v/>
      </c>
      <c r="F104" s="119" t="str">
        <f t="shared" si="38"/>
        <v/>
      </c>
      <c r="G104" s="123" t="str">
        <f t="shared" si="39"/>
        <v/>
      </c>
      <c r="H104" s="125" t="str">
        <f t="shared" si="40"/>
        <v/>
      </c>
      <c r="I104" s="121" t="str">
        <f t="shared" si="41"/>
        <v/>
      </c>
      <c r="J104" s="117" t="str">
        <f t="shared" si="33"/>
        <v/>
      </c>
      <c r="K104" s="125"/>
      <c r="L104" s="125" t="str">
        <f t="shared" si="31"/>
        <v/>
      </c>
      <c r="M104" s="125" t="str">
        <f t="shared" ref="M104:M118" si="42">IF(D104="Yes",INDEX(Post_harvest_energy_data,MATCH(C104,Post_harvest_energy_categories,0),2)*EF_heating_oil_N2O+INDEX(Post_harvest_energy_data,MATCH(C104,Post_harvest_energy_categories,0),3)*EF_electricity_N2O+INDEX(Post_harvest_energy_data,MATCH(C104,Post_harvest_energy_categories,0),4)*EF_chips_N2O,"")</f>
        <v/>
      </c>
      <c r="N104" s="43"/>
    </row>
    <row r="105" spans="1:14" x14ac:dyDescent="0.3">
      <c r="A105" s="40" t="s">
        <v>139</v>
      </c>
      <c r="B105" s="3" t="str">
        <f t="shared" si="34"/>
        <v>Tangerines, mandarins, clementines</v>
      </c>
      <c r="C105" s="3" t="str">
        <f t="shared" si="35"/>
        <v>Fruits</v>
      </c>
      <c r="D105" s="41" t="str">
        <f t="shared" si="36"/>
        <v>No</v>
      </c>
      <c r="E105" s="127" t="str">
        <f t="shared" si="37"/>
        <v/>
      </c>
      <c r="F105" s="119" t="str">
        <f t="shared" si="38"/>
        <v/>
      </c>
      <c r="G105" s="123" t="str">
        <f t="shared" si="39"/>
        <v/>
      </c>
      <c r="H105" s="125" t="str">
        <f t="shared" si="40"/>
        <v/>
      </c>
      <c r="I105" s="121" t="str">
        <f t="shared" si="41"/>
        <v/>
      </c>
      <c r="J105" s="117" t="str">
        <f t="shared" si="33"/>
        <v/>
      </c>
      <c r="K105" s="125"/>
      <c r="L105" s="125" t="str">
        <f t="shared" si="31"/>
        <v/>
      </c>
      <c r="M105" s="125" t="str">
        <f t="shared" si="42"/>
        <v/>
      </c>
      <c r="N105" s="43"/>
    </row>
    <row r="106" spans="1:14" x14ac:dyDescent="0.3">
      <c r="A106" s="40" t="s">
        <v>140</v>
      </c>
      <c r="B106" s="3" t="str">
        <f t="shared" si="34"/>
        <v>Tomatoes, average</v>
      </c>
      <c r="C106" s="3" t="str">
        <f t="shared" si="35"/>
        <v>Vegetables</v>
      </c>
      <c r="D106" s="41" t="str">
        <f t="shared" si="36"/>
        <v>Yes</v>
      </c>
      <c r="E106" s="127">
        <f t="shared" si="37"/>
        <v>1.1966895895892092E-4</v>
      </c>
      <c r="F106" s="119">
        <f t="shared" si="38"/>
        <v>1.7778894401358682E-5</v>
      </c>
      <c r="G106" s="123">
        <f t="shared" si="39"/>
        <v>1.1000000000000001E-6</v>
      </c>
      <c r="H106" s="125">
        <f t="shared" si="40"/>
        <v>6.7763390177738068E-5</v>
      </c>
      <c r="I106" s="121">
        <f t="shared" si="41"/>
        <v>6.7763390177738072E-6</v>
      </c>
      <c r="J106" s="117">
        <f t="shared" si="33"/>
        <v>0</v>
      </c>
      <c r="K106" s="125">
        <f>INDEX(Crop_data,MATCH("01234_gh",Crop_data_codes,0),5)/100*Energy!C23/INDEX(Crop_data,MATCH(A106,Crop_data_codes,0),6)</f>
        <v>2.5750910867494815E-5</v>
      </c>
      <c r="L106" s="125"/>
      <c r="M106" s="125">
        <f t="shared" si="42"/>
        <v>4.9942449455555563E-7</v>
      </c>
      <c r="N106" s="43"/>
    </row>
    <row r="107" spans="1:14" x14ac:dyDescent="0.3">
      <c r="A107" s="40" t="s">
        <v>141</v>
      </c>
      <c r="B107" s="3" t="str">
        <f t="shared" si="34"/>
        <v>Tomatoes, greenhouse</v>
      </c>
      <c r="C107" s="3" t="str">
        <f t="shared" si="35"/>
        <v>Vegetables</v>
      </c>
      <c r="D107" s="41" t="str">
        <f t="shared" si="36"/>
        <v>Yes</v>
      </c>
      <c r="E107" s="127">
        <f t="shared" si="37"/>
        <v>1.1966895895892092E-4</v>
      </c>
      <c r="F107" s="119">
        <f t="shared" si="38"/>
        <v>1.7778894401358682E-5</v>
      </c>
      <c r="G107" s="123">
        <f t="shared" si="39"/>
        <v>1.1000000000000001E-6</v>
      </c>
      <c r="H107" s="125">
        <f t="shared" si="40"/>
        <v>6.7763390177738068E-5</v>
      </c>
      <c r="I107" s="121">
        <f t="shared" si="41"/>
        <v>6.7763390177738072E-6</v>
      </c>
      <c r="J107" s="117">
        <f t="shared" si="33"/>
        <v>0</v>
      </c>
      <c r="K107" s="125">
        <f>Energy!C23/INDEX(Crop_data,MATCH(A107,Crop_data_codes,0),6)</f>
        <v>2.5750910867494815E-5</v>
      </c>
      <c r="L107" s="125"/>
      <c r="M107" s="125">
        <f t="shared" si="42"/>
        <v>4.9942449455555563E-7</v>
      </c>
      <c r="N107" s="43"/>
    </row>
    <row r="108" spans="1:14" x14ac:dyDescent="0.3">
      <c r="A108" s="40" t="s">
        <v>142</v>
      </c>
      <c r="B108" s="3" t="str">
        <f t="shared" si="34"/>
        <v>Tomatoes, openfield</v>
      </c>
      <c r="C108" s="3" t="str">
        <f t="shared" si="35"/>
        <v>Vegetables</v>
      </c>
      <c r="D108" s="41" t="str">
        <f t="shared" si="36"/>
        <v>No</v>
      </c>
      <c r="E108" s="127" t="str">
        <f t="shared" si="37"/>
        <v/>
      </c>
      <c r="F108" s="119" t="str">
        <f t="shared" si="38"/>
        <v/>
      </c>
      <c r="G108" s="123" t="str">
        <f t="shared" si="39"/>
        <v/>
      </c>
      <c r="H108" s="125" t="str">
        <f t="shared" si="40"/>
        <v/>
      </c>
      <c r="I108" s="121" t="str">
        <f t="shared" si="41"/>
        <v/>
      </c>
      <c r="J108" s="117" t="str">
        <f t="shared" si="33"/>
        <v/>
      </c>
      <c r="K108" s="125"/>
      <c r="L108" s="125" t="str">
        <f t="shared" ref="L108:L118" si="43">IF(D108="YES",INDEX(Crop_data,MATCH(A108,Crop_data_codes,0),12)*EF_irrigation_N2O/INDEX(Crop_data,MATCH(A108,Crop_data_codes,0),6),"")</f>
        <v/>
      </c>
      <c r="M108" s="125" t="str">
        <f t="shared" si="42"/>
        <v/>
      </c>
      <c r="N108" s="43"/>
    </row>
    <row r="109" spans="1:14" x14ac:dyDescent="0.3">
      <c r="A109" s="40" t="s">
        <v>143</v>
      </c>
      <c r="B109" s="3" t="str">
        <f t="shared" si="34"/>
        <v>Triticale</v>
      </c>
      <c r="C109" s="3" t="str">
        <f t="shared" si="35"/>
        <v>Cereals</v>
      </c>
      <c r="D109" s="41" t="str">
        <f t="shared" si="36"/>
        <v>Yes</v>
      </c>
      <c r="E109" s="127">
        <f t="shared" si="37"/>
        <v>7.6464492538982594E-4</v>
      </c>
      <c r="F109" s="119">
        <f t="shared" si="38"/>
        <v>1.2825498991726582E-4</v>
      </c>
      <c r="G109" s="123">
        <f t="shared" si="39"/>
        <v>1.1000000000000001E-6</v>
      </c>
      <c r="H109" s="125">
        <f t="shared" si="40"/>
        <v>5.7552016233099255E-4</v>
      </c>
      <c r="I109" s="121">
        <f t="shared" si="41"/>
        <v>5.7552016233099257E-5</v>
      </c>
      <c r="J109" s="117">
        <f t="shared" si="33"/>
        <v>8.7856658595641641E-7</v>
      </c>
      <c r="K109" s="125"/>
      <c r="L109" s="125">
        <f t="shared" si="43"/>
        <v>6.1763061119999995E-9</v>
      </c>
      <c r="M109" s="125">
        <f t="shared" si="42"/>
        <v>1.3330140164000001E-6</v>
      </c>
      <c r="N109" s="43"/>
    </row>
    <row r="110" spans="1:14" x14ac:dyDescent="0.3">
      <c r="A110" s="40" t="s">
        <v>144</v>
      </c>
      <c r="B110" s="3" t="str">
        <f t="shared" si="34"/>
        <v>True hemp, raw or retted</v>
      </c>
      <c r="C110" s="3" t="str">
        <f t="shared" si="35"/>
        <v>Other</v>
      </c>
      <c r="D110" s="41" t="str">
        <f t="shared" si="36"/>
        <v>No</v>
      </c>
      <c r="E110" s="127" t="str">
        <f t="shared" si="37"/>
        <v/>
      </c>
      <c r="F110" s="119" t="str">
        <f t="shared" si="38"/>
        <v/>
      </c>
      <c r="G110" s="123" t="str">
        <f t="shared" si="39"/>
        <v/>
      </c>
      <c r="H110" s="125" t="str">
        <f t="shared" si="40"/>
        <v/>
      </c>
      <c r="I110" s="121" t="str">
        <f t="shared" si="41"/>
        <v/>
      </c>
      <c r="J110" s="117" t="str">
        <f t="shared" si="33"/>
        <v/>
      </c>
      <c r="K110" s="125"/>
      <c r="L110" s="125" t="str">
        <f t="shared" si="43"/>
        <v/>
      </c>
      <c r="M110" s="125" t="str">
        <f t="shared" si="42"/>
        <v/>
      </c>
      <c r="N110" s="43"/>
    </row>
    <row r="111" spans="1:14" x14ac:dyDescent="0.3">
      <c r="A111" s="40" t="s">
        <v>145</v>
      </c>
      <c r="B111" s="3" t="str">
        <f t="shared" si="34"/>
        <v>Vetches</v>
      </c>
      <c r="C111" s="3" t="str">
        <f t="shared" si="35"/>
        <v>Other</v>
      </c>
      <c r="D111" s="41" t="str">
        <f t="shared" si="36"/>
        <v>No</v>
      </c>
      <c r="E111" s="127" t="str">
        <f t="shared" si="37"/>
        <v/>
      </c>
      <c r="F111" s="119" t="str">
        <f t="shared" si="38"/>
        <v/>
      </c>
      <c r="G111" s="123" t="str">
        <f t="shared" si="39"/>
        <v/>
      </c>
      <c r="H111" s="125" t="str">
        <f t="shared" si="40"/>
        <v/>
      </c>
      <c r="I111" s="121" t="str">
        <f t="shared" si="41"/>
        <v/>
      </c>
      <c r="J111" s="117" t="str">
        <f t="shared" si="33"/>
        <v/>
      </c>
      <c r="K111" s="125"/>
      <c r="L111" s="125" t="str">
        <f t="shared" si="43"/>
        <v/>
      </c>
      <c r="M111" s="125" t="str">
        <f t="shared" si="42"/>
        <v/>
      </c>
      <c r="N111" s="43"/>
    </row>
    <row r="112" spans="1:14" x14ac:dyDescent="0.3">
      <c r="A112" s="40" t="s">
        <v>146</v>
      </c>
      <c r="B112" s="3" t="str">
        <f t="shared" si="34"/>
        <v>Walnuts, in shell</v>
      </c>
      <c r="C112" s="3" t="str">
        <f t="shared" si="35"/>
        <v>Nuts</v>
      </c>
      <c r="D112" s="41" t="str">
        <f t="shared" si="36"/>
        <v>No</v>
      </c>
      <c r="E112" s="127" t="str">
        <f t="shared" si="37"/>
        <v/>
      </c>
      <c r="F112" s="119" t="str">
        <f t="shared" si="38"/>
        <v/>
      </c>
      <c r="G112" s="123" t="str">
        <f t="shared" si="39"/>
        <v/>
      </c>
      <c r="H112" s="125" t="str">
        <f t="shared" si="40"/>
        <v/>
      </c>
      <c r="I112" s="121" t="str">
        <f t="shared" si="41"/>
        <v/>
      </c>
      <c r="J112" s="117" t="str">
        <f t="shared" si="33"/>
        <v/>
      </c>
      <c r="K112" s="125"/>
      <c r="L112" s="125" t="str">
        <f t="shared" si="43"/>
        <v/>
      </c>
      <c r="M112" s="125" t="str">
        <f t="shared" si="42"/>
        <v/>
      </c>
      <c r="N112" s="43"/>
    </row>
    <row r="113" spans="1:14" x14ac:dyDescent="0.3">
      <c r="A113" s="40" t="s">
        <v>147</v>
      </c>
      <c r="B113" s="3" t="str">
        <f t="shared" si="34"/>
        <v>Watermelons</v>
      </c>
      <c r="C113" s="3" t="str">
        <f t="shared" si="35"/>
        <v>Fruits</v>
      </c>
      <c r="D113" s="41" t="str">
        <f t="shared" si="36"/>
        <v>No</v>
      </c>
      <c r="E113" s="127" t="str">
        <f t="shared" si="37"/>
        <v/>
      </c>
      <c r="F113" s="119" t="str">
        <f t="shared" si="38"/>
        <v/>
      </c>
      <c r="G113" s="123" t="str">
        <f t="shared" si="39"/>
        <v/>
      </c>
      <c r="H113" s="125" t="str">
        <f t="shared" si="40"/>
        <v/>
      </c>
      <c r="I113" s="121" t="str">
        <f t="shared" si="41"/>
        <v/>
      </c>
      <c r="J113" s="117" t="str">
        <f t="shared" si="33"/>
        <v/>
      </c>
      <c r="K113" s="125"/>
      <c r="L113" s="125" t="str">
        <f t="shared" si="43"/>
        <v/>
      </c>
      <c r="M113" s="125" t="str">
        <f t="shared" si="42"/>
        <v/>
      </c>
      <c r="N113" s="43"/>
    </row>
    <row r="114" spans="1:14" x14ac:dyDescent="0.3">
      <c r="A114" s="40" t="s">
        <v>148</v>
      </c>
      <c r="B114" s="3" t="str">
        <f t="shared" si="34"/>
        <v>Watermelons, greenhouse</v>
      </c>
      <c r="C114" s="3" t="str">
        <f t="shared" si="35"/>
        <v>Fruits</v>
      </c>
      <c r="D114" s="41" t="str">
        <f t="shared" si="36"/>
        <v>No</v>
      </c>
      <c r="E114" s="127" t="str">
        <f t="shared" ref="E114:E115" si="44">IF(D114="Yes", SUM(F114:N114),"")</f>
        <v/>
      </c>
      <c r="F114" s="119" t="str">
        <f t="shared" si="38"/>
        <v/>
      </c>
      <c r="G114" s="123" t="str">
        <f t="shared" ref="G114:G115" si="45">IF(D114="YES",EF_capital_goods_N2O,"")</f>
        <v/>
      </c>
      <c r="H114" s="125" t="str">
        <f t="shared" si="40"/>
        <v/>
      </c>
      <c r="I114" s="121" t="str">
        <f t="shared" ref="I114:I115" si="46">IF(D114="Yes",H114*EF_N2O_soils_indirect,"")</f>
        <v/>
      </c>
      <c r="J114" s="117" t="str">
        <f t="shared" si="33"/>
        <v/>
      </c>
      <c r="K114" s="125"/>
      <c r="L114" s="125" t="str">
        <f t="shared" si="43"/>
        <v/>
      </c>
      <c r="M114" s="125" t="str">
        <f t="shared" ref="M114:M115" si="47">IF(D114="Yes",INDEX(Post_harvest_energy_data,MATCH(C114,Post_harvest_energy_categories,0),2)*EF_heating_oil_N2O+INDEX(Post_harvest_energy_data,MATCH(C114,Post_harvest_energy_categories,0),3)*EF_electricity_N2O+INDEX(Post_harvest_energy_data,MATCH(C114,Post_harvest_energy_categories,0),4)*EF_chips_N2O,"")</f>
        <v/>
      </c>
      <c r="N114" s="43"/>
    </row>
    <row r="115" spans="1:14" x14ac:dyDescent="0.3">
      <c r="A115" s="40" t="s">
        <v>149</v>
      </c>
      <c r="B115" s="3" t="str">
        <f t="shared" si="34"/>
        <v>Watermelons, openfield</v>
      </c>
      <c r="C115" s="3" t="str">
        <f t="shared" si="35"/>
        <v>Fruits</v>
      </c>
      <c r="D115" s="41" t="str">
        <f t="shared" si="36"/>
        <v>No</v>
      </c>
      <c r="E115" s="127" t="str">
        <f t="shared" si="44"/>
        <v/>
      </c>
      <c r="F115" s="119" t="str">
        <f t="shared" si="38"/>
        <v/>
      </c>
      <c r="G115" s="123" t="str">
        <f t="shared" si="45"/>
        <v/>
      </c>
      <c r="H115" s="125" t="str">
        <f t="shared" si="40"/>
        <v/>
      </c>
      <c r="I115" s="121" t="str">
        <f t="shared" si="46"/>
        <v/>
      </c>
      <c r="J115" s="117" t="str">
        <f t="shared" si="33"/>
        <v/>
      </c>
      <c r="K115" s="125"/>
      <c r="L115" s="125" t="str">
        <f t="shared" si="43"/>
        <v/>
      </c>
      <c r="M115" s="125" t="str">
        <f t="shared" si="47"/>
        <v/>
      </c>
      <c r="N115" s="43"/>
    </row>
    <row r="116" spans="1:14" x14ac:dyDescent="0.3">
      <c r="A116" s="40" t="s">
        <v>150</v>
      </c>
      <c r="B116" s="3" t="str">
        <f t="shared" si="34"/>
        <v>Wheat, average</v>
      </c>
      <c r="C116" s="3" t="str">
        <f t="shared" si="35"/>
        <v>Cereals, incl feed</v>
      </c>
      <c r="D116" s="41" t="str">
        <f t="shared" si="36"/>
        <v>Yes</v>
      </c>
      <c r="E116" s="127">
        <f t="shared" si="37"/>
        <v>9.1674057328054498E-4</v>
      </c>
      <c r="F116" s="119">
        <f t="shared" si="38"/>
        <v>1.5506058283512638E-4</v>
      </c>
      <c r="G116" s="123">
        <f t="shared" si="39"/>
        <v>1.1000000000000001E-6</v>
      </c>
      <c r="H116" s="125">
        <f t="shared" si="40"/>
        <v>6.8950683668766316E-4</v>
      </c>
      <c r="I116" s="121">
        <f t="shared" si="41"/>
        <v>6.8950683668766316E-5</v>
      </c>
      <c r="J116" s="117">
        <f t="shared" si="33"/>
        <v>7.832797664771855E-7</v>
      </c>
      <c r="K116" s="125"/>
      <c r="L116" s="125">
        <f t="shared" si="43"/>
        <v>6.1763061119999995E-9</v>
      </c>
      <c r="M116" s="125">
        <f t="shared" si="42"/>
        <v>1.3330140164000001E-6</v>
      </c>
      <c r="N116" s="43"/>
    </row>
    <row r="117" spans="1:14" x14ac:dyDescent="0.3">
      <c r="A117" s="40" t="s">
        <v>151</v>
      </c>
      <c r="B117" s="3" t="str">
        <f t="shared" si="34"/>
        <v>Wheat, spring</v>
      </c>
      <c r="C117" s="3" t="str">
        <f t="shared" si="35"/>
        <v>Cereals</v>
      </c>
      <c r="D117" s="41" t="str">
        <f t="shared" si="36"/>
        <v>Yes</v>
      </c>
      <c r="E117" s="127">
        <f t="shared" si="37"/>
        <v>9.6558637954832717E-4</v>
      </c>
      <c r="F117" s="119">
        <f t="shared" si="38"/>
        <v>1.624551166288003E-4</v>
      </c>
      <c r="G117" s="123">
        <f t="shared" si="39"/>
        <v>1.1000000000000001E-6</v>
      </c>
      <c r="H117" s="125">
        <f t="shared" si="40"/>
        <v>7.2673431402985077E-4</v>
      </c>
      <c r="I117" s="121">
        <f t="shared" si="41"/>
        <v>7.2673431402985085E-5</v>
      </c>
      <c r="J117" s="117">
        <f t="shared" si="33"/>
        <v>1.2843271641791047E-6</v>
      </c>
      <c r="K117" s="125"/>
      <c r="L117" s="125">
        <f t="shared" si="43"/>
        <v>6.1763061119999986E-9</v>
      </c>
      <c r="M117" s="121">
        <f t="shared" si="42"/>
        <v>1.3330140164000001E-6</v>
      </c>
      <c r="N117" s="43"/>
    </row>
    <row r="118" spans="1:14" x14ac:dyDescent="0.3">
      <c r="A118" s="42" t="s">
        <v>152</v>
      </c>
      <c r="B118" s="46" t="str">
        <f t="shared" si="34"/>
        <v>Wheat, winter</v>
      </c>
      <c r="C118" s="46" t="str">
        <f t="shared" si="35"/>
        <v>Cereals</v>
      </c>
      <c r="D118" s="33" t="str">
        <f t="shared" si="36"/>
        <v>Yes</v>
      </c>
      <c r="E118" s="128">
        <f t="shared" si="37"/>
        <v>9.1308601144801823E-4</v>
      </c>
      <c r="F118" s="120">
        <f t="shared" si="38"/>
        <v>1.5456370579773062E-4</v>
      </c>
      <c r="G118" s="124">
        <f t="shared" si="39"/>
        <v>1.1000000000000001E-6</v>
      </c>
      <c r="H118" s="118">
        <f t="shared" si="40"/>
        <v>6.8666239453075669E-4</v>
      </c>
      <c r="I118" s="122">
        <f t="shared" si="41"/>
        <v>6.8666239453075677E-5</v>
      </c>
      <c r="J118" s="118">
        <f t="shared" si="33"/>
        <v>7.5448134394341293E-7</v>
      </c>
      <c r="K118" s="126"/>
      <c r="L118" s="126">
        <f t="shared" si="43"/>
        <v>6.1763061119999986E-9</v>
      </c>
      <c r="M118" s="122">
        <f t="shared" si="42"/>
        <v>1.3330140164000001E-6</v>
      </c>
      <c r="N118" s="44"/>
    </row>
    <row r="120" spans="1:14" x14ac:dyDescent="0.3">
      <c r="E120" s="79"/>
    </row>
  </sheetData>
  <autoFilter ref="A5:N118" xr:uid="{00000000-0009-0000-0000-000007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theme="4" tint="0.79998168889431442"/>
  </sheetPr>
  <dimension ref="A2:BO44"/>
  <sheetViews>
    <sheetView topLeftCell="A22" zoomScale="80" zoomScaleNormal="80" workbookViewId="0">
      <selection activeCell="H43" sqref="H43"/>
    </sheetView>
  </sheetViews>
  <sheetFormatPr defaultColWidth="8.6640625" defaultRowHeight="14.4" x14ac:dyDescent="0.3"/>
  <cols>
    <col min="1" max="1" width="38.44140625" style="10" customWidth="1"/>
    <col min="2" max="2" width="11.6640625" style="10" customWidth="1"/>
    <col min="3" max="3" width="12.33203125" style="21" customWidth="1"/>
    <col min="4" max="4" width="11.44140625" style="21" customWidth="1"/>
    <col min="5" max="5" width="19.33203125" style="26" customWidth="1"/>
    <col min="6" max="6" width="12.6640625" style="26" customWidth="1"/>
    <col min="7" max="7" width="11.33203125" style="26" customWidth="1"/>
    <col min="8" max="8" width="24.33203125" style="26" bestFit="1" customWidth="1"/>
    <col min="9" max="9" width="13.6640625" style="26" bestFit="1" customWidth="1"/>
    <col min="10" max="10" width="12.6640625" style="26" bestFit="1" customWidth="1"/>
    <col min="11" max="11" width="38.44140625" style="26" bestFit="1" customWidth="1"/>
    <col min="12" max="12" width="18" style="21" bestFit="1" customWidth="1"/>
    <col min="13" max="14" width="12.6640625" style="23" bestFit="1" customWidth="1"/>
    <col min="15" max="15" width="11.44140625" style="23" customWidth="1"/>
    <col min="16" max="16" width="20.6640625" style="23" customWidth="1"/>
    <col min="17" max="17" width="22.44140625" style="23" customWidth="1"/>
    <col min="18" max="18" width="19.44140625" style="21" customWidth="1"/>
    <col min="19" max="19" width="17.6640625" style="21" customWidth="1"/>
    <col min="20" max="20" width="16.33203125" style="21" customWidth="1"/>
    <col min="21" max="21" width="20" style="21" customWidth="1"/>
    <col min="22" max="22" width="21.6640625" style="27" customWidth="1"/>
    <col min="23" max="23" width="15.44140625" style="4" customWidth="1"/>
    <col min="24" max="24" width="26.6640625" style="4" customWidth="1"/>
    <col min="25" max="25" width="23.33203125" style="4" customWidth="1"/>
    <col min="26" max="26" width="21.6640625" style="4" customWidth="1"/>
    <col min="27" max="27" width="24.44140625" style="4" customWidth="1"/>
    <col min="28" max="28" width="23.33203125" style="4" customWidth="1"/>
    <col min="29" max="32" width="15.6640625" style="4" customWidth="1"/>
    <col min="33" max="38" width="14.33203125" style="21" bestFit="1" customWidth="1"/>
    <col min="39" max="40" width="8.6640625" style="4"/>
    <col min="41" max="46" width="14.33203125" style="23" bestFit="1" customWidth="1"/>
    <col min="47" max="47" width="8.6640625" style="4"/>
    <col min="48" max="48" width="14.6640625" style="23" bestFit="1" customWidth="1"/>
    <col min="49" max="53" width="14.33203125" style="23" bestFit="1" customWidth="1"/>
    <col min="54" max="54" width="12.6640625" style="23" customWidth="1"/>
    <col min="55" max="55" width="14.6640625" style="23" bestFit="1" customWidth="1"/>
    <col min="56" max="56" width="14.33203125" style="23" bestFit="1" customWidth="1"/>
    <col min="57" max="60" width="14.6640625" style="23" bestFit="1" customWidth="1"/>
    <col min="61" max="61" width="14.44140625" style="23" customWidth="1"/>
    <col min="62" max="64" width="14.6640625" style="23" bestFit="1" customWidth="1"/>
    <col min="65" max="65" width="14" style="23" bestFit="1" customWidth="1"/>
    <col min="66" max="67" width="14.6640625" style="23" bestFit="1" customWidth="1"/>
    <col min="68" max="69" width="8.6640625" style="4"/>
    <col min="70" max="70" width="19.6640625" style="4" customWidth="1"/>
    <col min="71" max="74" width="8.6640625" style="4"/>
    <col min="75" max="75" width="15.44140625" style="4" customWidth="1"/>
    <col min="76" max="76" width="8.6640625" style="4"/>
    <col min="77" max="77" width="14.6640625" style="4" customWidth="1"/>
    <col min="78" max="78" width="13.33203125" style="4" customWidth="1"/>
    <col min="79" max="79" width="11.33203125" style="4" customWidth="1"/>
    <col min="80" max="80" width="11.44140625" style="4" customWidth="1"/>
    <col min="81" max="81" width="12.6640625" style="4" customWidth="1"/>
    <col min="82" max="82" width="12.44140625" style="4" customWidth="1"/>
    <col min="83" max="83" width="8.6640625" style="4"/>
    <col min="84" max="87" width="9.44140625" style="4" bestFit="1" customWidth="1"/>
    <col min="88" max="88" width="10.33203125" style="4" bestFit="1" customWidth="1"/>
    <col min="89" max="90" width="9.44140625" style="4" bestFit="1" customWidth="1"/>
    <col min="91" max="91" width="10.33203125" style="4" bestFit="1" customWidth="1"/>
    <col min="92" max="93" width="9.44140625" style="4" bestFit="1" customWidth="1"/>
    <col min="94" max="94" width="22.33203125" style="4" customWidth="1"/>
    <col min="95" max="95" width="10.44140625" style="4" bestFit="1" customWidth="1"/>
    <col min="96" max="16384" width="8.6640625" style="4"/>
  </cols>
  <sheetData>
    <row r="2" spans="1:20" s="45" customFormat="1" ht="21" x14ac:dyDescent="0.3">
      <c r="A2" s="45" t="s">
        <v>390</v>
      </c>
      <c r="E2" s="26"/>
    </row>
    <row r="3" spans="1:20" x14ac:dyDescent="0.3">
      <c r="N3" s="28"/>
      <c r="Q3" s="20"/>
      <c r="R3" s="29"/>
      <c r="S3" s="29"/>
      <c r="T3" s="29"/>
    </row>
    <row r="4" spans="1:20" ht="15.6" x14ac:dyDescent="0.3">
      <c r="A4" s="198" t="s">
        <v>409</v>
      </c>
      <c r="N4" s="28"/>
      <c r="Q4" s="20"/>
      <c r="R4" s="29"/>
      <c r="S4" s="29"/>
      <c r="T4" s="29"/>
    </row>
    <row r="5" spans="1:20" x14ac:dyDescent="0.3">
      <c r="A5" s="4"/>
      <c r="B5" s="4"/>
      <c r="C5" s="4"/>
      <c r="D5" s="4"/>
      <c r="E5" s="4"/>
      <c r="F5" s="4"/>
      <c r="G5" s="4"/>
      <c r="H5" s="4"/>
      <c r="I5" s="4"/>
    </row>
    <row r="6" spans="1:20" x14ac:dyDescent="0.3">
      <c r="A6" s="68"/>
      <c r="B6" s="112" t="s">
        <v>410</v>
      </c>
      <c r="C6" s="113" t="s">
        <v>411</v>
      </c>
      <c r="D6" s="301" t="s">
        <v>412</v>
      </c>
      <c r="E6" s="207" t="s">
        <v>413</v>
      </c>
    </row>
    <row r="7" spans="1:20" x14ac:dyDescent="0.3">
      <c r="A7" s="31" t="s">
        <v>392</v>
      </c>
      <c r="B7" s="114" t="s">
        <v>73</v>
      </c>
      <c r="C7" s="115" t="s">
        <v>141</v>
      </c>
    </row>
    <row r="8" spans="1:20" x14ac:dyDescent="0.3">
      <c r="A8" s="69" t="s">
        <v>414</v>
      </c>
      <c r="B8" s="141">
        <f>7.572*1000*1000</f>
        <v>7572000</v>
      </c>
      <c r="C8" s="142">
        <v>10437754</v>
      </c>
    </row>
    <row r="9" spans="1:20" x14ac:dyDescent="0.3">
      <c r="A9" s="31"/>
      <c r="B9" s="21"/>
      <c r="C9" s="47"/>
    </row>
    <row r="10" spans="1:20" x14ac:dyDescent="0.3">
      <c r="A10" s="70" t="s">
        <v>415</v>
      </c>
      <c r="B10" s="21"/>
      <c r="C10" s="47"/>
    </row>
    <row r="11" spans="1:20" x14ac:dyDescent="0.3">
      <c r="A11" s="69" t="s">
        <v>416</v>
      </c>
      <c r="B11" s="139">
        <v>0.52548278919072422</v>
      </c>
      <c r="C11" s="140">
        <v>0.68520000000000003</v>
      </c>
    </row>
    <row r="12" spans="1:20" x14ac:dyDescent="0.3">
      <c r="A12" s="71" t="s">
        <v>417</v>
      </c>
      <c r="B12" s="139">
        <v>4.4189490651683851E-2</v>
      </c>
      <c r="C12" s="140">
        <v>4.3900000000000002E-2</v>
      </c>
    </row>
    <row r="13" spans="1:20" x14ac:dyDescent="0.3">
      <c r="A13" s="71" t="s">
        <v>418</v>
      </c>
      <c r="B13" s="139">
        <v>2.0477411486866579E-2</v>
      </c>
      <c r="C13" s="140">
        <v>2.0999999999999999E-3</v>
      </c>
    </row>
    <row r="14" spans="1:20" x14ac:dyDescent="0.3">
      <c r="A14" s="71" t="s">
        <v>419</v>
      </c>
      <c r="B14" s="139">
        <v>3.1283190381301125E-2</v>
      </c>
      <c r="C14" s="140">
        <v>0.15290000000000001</v>
      </c>
    </row>
    <row r="15" spans="1:20" x14ac:dyDescent="0.3">
      <c r="A15" s="71" t="s">
        <v>420</v>
      </c>
      <c r="B15" s="139">
        <v>4.8215099805738494E-2</v>
      </c>
      <c r="C15" s="140">
        <v>0.1045</v>
      </c>
    </row>
    <row r="16" spans="1:20" x14ac:dyDescent="0.3">
      <c r="A16" s="71" t="s">
        <v>421</v>
      </c>
      <c r="B16" s="139">
        <v>0.25298014744197606</v>
      </c>
      <c r="C16" s="140">
        <v>0</v>
      </c>
    </row>
    <row r="17" spans="1:22" x14ac:dyDescent="0.3">
      <c r="A17" s="71" t="s">
        <v>422</v>
      </c>
      <c r="B17" s="139">
        <v>5.8675736764531895E-2</v>
      </c>
      <c r="C17" s="140">
        <v>9.1000000000000004E-3</v>
      </c>
    </row>
    <row r="18" spans="1:22" x14ac:dyDescent="0.3">
      <c r="A18" s="71" t="s">
        <v>423</v>
      </c>
      <c r="B18" s="141">
        <v>1.8696134277177697E-2</v>
      </c>
      <c r="C18" s="142">
        <v>2.2000000000000001E-3</v>
      </c>
    </row>
    <row r="19" spans="1:22" x14ac:dyDescent="0.3">
      <c r="A19" s="31"/>
      <c r="B19" s="21"/>
      <c r="C19" s="47"/>
    </row>
    <row r="20" spans="1:22" x14ac:dyDescent="0.3">
      <c r="A20" s="73" t="s">
        <v>424</v>
      </c>
      <c r="B20" s="48"/>
      <c r="C20" s="49"/>
    </row>
    <row r="21" spans="1:22" x14ac:dyDescent="0.3">
      <c r="A21" s="72" t="s">
        <v>425</v>
      </c>
      <c r="B21" s="48">
        <f>B8*(B11*EF_chips_CO2+B12*EF_pellets_CO2+B13*EF_other_renew_CO2+B14*EF_district_heating_CO2+B15*EF_electricity_CO2+B16*EF_natural_gas_CO2+B17*EF_heating_oil_CO2+B18*EF_other_fossil_CO2)</f>
        <v>187808.60621597618</v>
      </c>
      <c r="C21" s="49">
        <f>C8*(C11*EF_chips_CO2+C12*EF_pellets_CO2+C13*EF_other_renew_CO2+C14*EF_district_heating_CO2+C15*EF_electricity_CO2+C16*EF_natural_gas_CO2+C17*EF_heating_oil_CO2+C18*EF_other_fossil_CO2)</f>
        <v>89248.476872448067</v>
      </c>
    </row>
    <row r="22" spans="1:22" x14ac:dyDescent="0.3">
      <c r="A22" s="72" t="s">
        <v>426</v>
      </c>
      <c r="B22" s="48">
        <f>B8*(B11*EF_chips_CH4+B12*EF_pellets_CH4+B13*EF_other_renew_CH4+B14*EF_district_heating_CH4+B15*EF_electricity_CH4+B16*EF_natural_gas_CH4+B17*EF_heating_oil_CH4+B18*EF_other_fossil_CH4)</f>
        <v>600.70418179006799</v>
      </c>
      <c r="C22" s="49">
        <f>C8*(C11*EF_chips_CH4+C12*EF_pellets_CH4+C13*EF_other_renew_CH4+C14*EF_district_heating_CH4+C15*EF_electricity_CH4+C16*EF_natural_gas_CH4+C17*EF_heating_oil_CH4+C18*EF_other_fossil_CH4)</f>
        <v>64.986947653295033</v>
      </c>
    </row>
    <row r="23" spans="1:22" x14ac:dyDescent="0.3">
      <c r="A23" s="74" t="s">
        <v>427</v>
      </c>
      <c r="B23" s="75">
        <f>B8*(B11*EF_chips_N2O+B12*EF_pellets_N2O+B13*EF_other_renew_N2O+B14*EF_district_heating_N2O+B15*EF_electricity_N2O+B16*EF_natural_gas_N2O+B17*EF_heating_oil_N2O+B18*EF_other_fossil_N2O)</f>
        <v>12.074383394409228</v>
      </c>
      <c r="C23" s="76">
        <f>C8*(C11*EF_chips_N2O+C12*EF_pellets_N2O+C13*EF_other_renew_N2O+C14*EF_district_heating_N2O+C15*EF_electricity_N2O+C16*EF_natural_gas_N2O+C17*EF_heating_oil_N2O+C18*EF_other_fossil_N2O)</f>
        <v>11.283971889403626</v>
      </c>
    </row>
    <row r="24" spans="1:22" x14ac:dyDescent="0.3">
      <c r="A24" s="78"/>
      <c r="I24" s="50"/>
    </row>
    <row r="25" spans="1:22" ht="15.6" x14ac:dyDescent="0.3">
      <c r="A25" s="97" t="s">
        <v>428</v>
      </c>
    </row>
    <row r="26" spans="1:22" x14ac:dyDescent="0.3">
      <c r="B26" s="92"/>
      <c r="C26" s="92"/>
      <c r="D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R26" s="92"/>
      <c r="S26" s="92"/>
      <c r="T26" s="92"/>
      <c r="U26" s="92"/>
      <c r="V26" s="93"/>
    </row>
    <row r="27" spans="1:22" ht="43.2" x14ac:dyDescent="0.3">
      <c r="A27" s="99"/>
      <c r="B27" s="100" t="s">
        <v>429</v>
      </c>
      <c r="C27" s="100" t="s">
        <v>430</v>
      </c>
      <c r="D27" s="100" t="s">
        <v>431</v>
      </c>
      <c r="E27" s="101" t="s">
        <v>432</v>
      </c>
      <c r="F27" s="300" t="s">
        <v>412</v>
      </c>
      <c r="G27" s="94"/>
      <c r="H27" s="94"/>
      <c r="I27" s="96"/>
      <c r="J27" s="94"/>
      <c r="K27" s="94"/>
      <c r="L27" s="94"/>
      <c r="M27" s="94"/>
      <c r="N27" s="94"/>
      <c r="O27" s="94"/>
      <c r="P27" s="94"/>
      <c r="R27" s="95"/>
      <c r="S27" s="95"/>
      <c r="T27" s="95"/>
      <c r="U27" s="95"/>
      <c r="V27" s="94"/>
    </row>
    <row r="28" spans="1:22" x14ac:dyDescent="0.3">
      <c r="A28" s="129" t="s">
        <v>226</v>
      </c>
      <c r="B28" s="295"/>
      <c r="C28" s="136"/>
      <c r="E28" s="130"/>
      <c r="I28" s="18"/>
    </row>
    <row r="29" spans="1:22" x14ac:dyDescent="0.3">
      <c r="A29" s="129" t="s">
        <v>213</v>
      </c>
      <c r="B29" s="266">
        <f>0.01*Heating_value_oil</f>
        <v>0.41000000000000003</v>
      </c>
      <c r="C29" s="267">
        <f>0.02*3.6</f>
        <v>7.2000000000000008E-2</v>
      </c>
      <c r="D29" s="94"/>
      <c r="E29" s="302" t="s">
        <v>433</v>
      </c>
      <c r="F29" s="98" t="s">
        <v>434</v>
      </c>
      <c r="I29" s="18"/>
    </row>
    <row r="30" spans="1:22" x14ac:dyDescent="0.3">
      <c r="A30" s="129" t="s">
        <v>211</v>
      </c>
      <c r="B30" s="266">
        <f>0.01*Heating_value_oil</f>
        <v>0.41000000000000003</v>
      </c>
      <c r="C30" s="267">
        <f>0.02*3.6</f>
        <v>7.2000000000000008E-2</v>
      </c>
      <c r="D30" s="94"/>
      <c r="E30" s="302" t="s">
        <v>433</v>
      </c>
      <c r="F30" s="98" t="s">
        <v>434</v>
      </c>
      <c r="I30" s="18"/>
    </row>
    <row r="31" spans="1:22" x14ac:dyDescent="0.3">
      <c r="A31" s="129" t="s">
        <v>190</v>
      </c>
      <c r="B31" s="266"/>
      <c r="C31" s="264">
        <v>0.22</v>
      </c>
      <c r="E31" s="303" t="s">
        <v>435</v>
      </c>
      <c r="F31" s="98" t="s">
        <v>436</v>
      </c>
      <c r="I31" s="18"/>
    </row>
    <row r="32" spans="1:22" x14ac:dyDescent="0.3">
      <c r="A32" s="129" t="s">
        <v>303</v>
      </c>
      <c r="B32" s="266"/>
      <c r="C32" s="264"/>
      <c r="E32" s="302"/>
      <c r="I32" s="8"/>
    </row>
    <row r="33" spans="1:9" x14ac:dyDescent="0.3">
      <c r="A33" s="129" t="s">
        <v>186</v>
      </c>
      <c r="B33" s="266">
        <f>0.02*Heating_value_oil</f>
        <v>0.82000000000000006</v>
      </c>
      <c r="C33" s="267">
        <f>0.02*3.6</f>
        <v>7.2000000000000008E-2</v>
      </c>
      <c r="D33" s="94"/>
      <c r="E33" s="303" t="s">
        <v>433</v>
      </c>
      <c r="I33" s="8"/>
    </row>
    <row r="34" spans="1:9" x14ac:dyDescent="0.3">
      <c r="A34" s="129" t="s">
        <v>317</v>
      </c>
      <c r="B34" s="266">
        <f>0.02*Heating_value_oil</f>
        <v>0.82000000000000006</v>
      </c>
      <c r="C34" s="267">
        <f>0.02*3.6</f>
        <v>7.2000000000000008E-2</v>
      </c>
      <c r="D34" s="94"/>
      <c r="E34" s="303" t="s">
        <v>433</v>
      </c>
      <c r="F34" s="98" t="s">
        <v>434</v>
      </c>
      <c r="I34" s="8"/>
    </row>
    <row r="35" spans="1:9" x14ac:dyDescent="0.3">
      <c r="A35" s="129" t="s">
        <v>306</v>
      </c>
      <c r="B35" s="266">
        <f>0.02*Heating_value_oil</f>
        <v>0.82000000000000006</v>
      </c>
      <c r="C35" s="267">
        <f>0.02*3.6</f>
        <v>7.2000000000000008E-2</v>
      </c>
      <c r="D35" s="4"/>
      <c r="E35" s="303" t="s">
        <v>433</v>
      </c>
      <c r="F35" s="4"/>
      <c r="I35" s="8"/>
    </row>
    <row r="36" spans="1:9" x14ac:dyDescent="0.3">
      <c r="A36" s="129" t="s">
        <v>343</v>
      </c>
      <c r="B36" s="266"/>
      <c r="C36" s="264"/>
      <c r="E36" s="303"/>
      <c r="I36" s="8"/>
    </row>
    <row r="37" spans="1:9" x14ac:dyDescent="0.3">
      <c r="A37" s="129" t="s">
        <v>221</v>
      </c>
      <c r="B37" s="266">
        <f>0.01*Heating_value_oil</f>
        <v>0.41000000000000003</v>
      </c>
      <c r="C37" s="267">
        <f>0.02*3.6</f>
        <v>7.2000000000000008E-2</v>
      </c>
      <c r="D37" s="94"/>
      <c r="E37" s="303" t="s">
        <v>433</v>
      </c>
      <c r="F37" s="98" t="s">
        <v>434</v>
      </c>
      <c r="I37" s="8"/>
    </row>
    <row r="38" spans="1:9" x14ac:dyDescent="0.3">
      <c r="A38" s="129" t="s">
        <v>229</v>
      </c>
      <c r="B38" s="266">
        <f>0.01*Heating_value_oil</f>
        <v>0.41000000000000003</v>
      </c>
      <c r="C38" s="267">
        <f>0.02*3.6</f>
        <v>7.2000000000000008E-2</v>
      </c>
      <c r="D38" s="94"/>
      <c r="E38" s="303" t="s">
        <v>433</v>
      </c>
      <c r="F38" s="98" t="s">
        <v>434</v>
      </c>
      <c r="I38" s="8"/>
    </row>
    <row r="39" spans="1:9" x14ac:dyDescent="0.3">
      <c r="A39" s="129" t="s">
        <v>271</v>
      </c>
      <c r="B39" s="266"/>
      <c r="C39" s="264">
        <v>0.22</v>
      </c>
      <c r="E39" s="303" t="s">
        <v>435</v>
      </c>
      <c r="F39" s="98" t="s">
        <v>436</v>
      </c>
    </row>
    <row r="40" spans="1:9" x14ac:dyDescent="0.3">
      <c r="A40" s="129" t="s">
        <v>237</v>
      </c>
      <c r="B40" s="266">
        <f>0.01*Heating_value_oil</f>
        <v>0.41000000000000003</v>
      </c>
      <c r="C40" s="267">
        <f>0.02*3.6</f>
        <v>7.2000000000000008E-2</v>
      </c>
      <c r="E40" s="303" t="s">
        <v>433</v>
      </c>
    </row>
    <row r="41" spans="1:9" x14ac:dyDescent="0.3">
      <c r="A41" s="129" t="s">
        <v>252</v>
      </c>
      <c r="B41" s="266">
        <f>0.01*Heating_value_oil</f>
        <v>0.41000000000000003</v>
      </c>
      <c r="C41" s="267">
        <f>0.02*3.6</f>
        <v>7.2000000000000008E-2</v>
      </c>
      <c r="E41" s="303" t="s">
        <v>433</v>
      </c>
    </row>
    <row r="42" spans="1:9" x14ac:dyDescent="0.3">
      <c r="A42" s="129" t="s">
        <v>254</v>
      </c>
      <c r="B42" s="266"/>
      <c r="C42" s="264"/>
      <c r="E42" s="303"/>
    </row>
    <row r="43" spans="1:9" x14ac:dyDescent="0.3">
      <c r="A43" s="129" t="s">
        <v>364</v>
      </c>
      <c r="B43" s="266"/>
      <c r="C43" s="264">
        <v>0.22</v>
      </c>
      <c r="E43" s="303" t="s">
        <v>435</v>
      </c>
      <c r="F43" s="98" t="s">
        <v>436</v>
      </c>
    </row>
    <row r="44" spans="1:9" x14ac:dyDescent="0.3">
      <c r="A44" s="131" t="s">
        <v>188</v>
      </c>
      <c r="B44" s="298"/>
      <c r="C44" s="299">
        <v>0.22</v>
      </c>
      <c r="D44" s="132"/>
      <c r="E44" s="304" t="s">
        <v>435</v>
      </c>
      <c r="F44" s="98" t="s">
        <v>436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theme="0" tint="-4.9989318521683403E-2"/>
  </sheetPr>
  <dimension ref="A1:J75"/>
  <sheetViews>
    <sheetView topLeftCell="A11" zoomScale="80" zoomScaleNormal="80" workbookViewId="0">
      <selection activeCell="E50" sqref="E50"/>
    </sheetView>
  </sheetViews>
  <sheetFormatPr defaultColWidth="8.6640625" defaultRowHeight="13.8" x14ac:dyDescent="0.3"/>
  <cols>
    <col min="1" max="1" width="50.6640625" style="8" customWidth="1"/>
    <col min="2" max="2" width="18.6640625" style="8" customWidth="1"/>
    <col min="3" max="3" width="17.44140625" style="8" customWidth="1"/>
    <col min="4" max="4" width="18.44140625" style="8" customWidth="1"/>
    <col min="5" max="5" width="17.33203125" style="8" customWidth="1"/>
    <col min="6" max="6" width="19.44140625" style="8" customWidth="1"/>
    <col min="7" max="7" width="52.6640625" style="8" bestFit="1" customWidth="1"/>
    <col min="8" max="8" width="60.44140625" style="8" bestFit="1" customWidth="1"/>
    <col min="9" max="9" width="21.44140625" style="8" bestFit="1" customWidth="1"/>
    <col min="10" max="10" width="10.44140625" style="8" bestFit="1" customWidth="1"/>
    <col min="11" max="11" width="14.6640625" style="8" customWidth="1"/>
    <col min="12" max="12" width="8.6640625" style="8"/>
    <col min="13" max="13" width="14.33203125" style="8" customWidth="1"/>
    <col min="14" max="15" width="8.6640625" style="8"/>
    <col min="16" max="16" width="18.33203125" style="8" customWidth="1"/>
    <col min="17" max="16384" width="8.6640625" style="8"/>
  </cols>
  <sheetData>
    <row r="1" spans="1:7" ht="21" x14ac:dyDescent="0.3">
      <c r="A1" s="45" t="s">
        <v>437</v>
      </c>
    </row>
    <row r="2" spans="1:7" ht="15.6" customHeight="1" x14ac:dyDescent="0.3">
      <c r="A2" s="12"/>
    </row>
    <row r="3" spans="1:7" ht="15.6" x14ac:dyDescent="0.3">
      <c r="A3" s="197" t="s">
        <v>438</v>
      </c>
      <c r="B3" s="11"/>
      <c r="C3" s="11"/>
      <c r="F3" s="18"/>
    </row>
    <row r="5" spans="1:7" ht="14.4" x14ac:dyDescent="0.3">
      <c r="A5" s="55"/>
      <c r="B5" s="56" t="s">
        <v>439</v>
      </c>
      <c r="C5" s="56" t="s">
        <v>440</v>
      </c>
      <c r="D5" s="56" t="s">
        <v>441</v>
      </c>
      <c r="E5" s="61" t="s">
        <v>442</v>
      </c>
      <c r="G5" s="237"/>
    </row>
    <row r="6" spans="1:7" ht="14.4" x14ac:dyDescent="0.3">
      <c r="A6" s="58" t="s">
        <v>443</v>
      </c>
      <c r="B6" s="272">
        <f>0.08845033972846/3.6</f>
        <v>2.4569538813461113E-2</v>
      </c>
      <c r="C6" s="273">
        <f>0.00009827854865594/3.6</f>
        <v>2.7299596848872223E-5</v>
      </c>
      <c r="D6" s="273">
        <f>0.00000817240082/3.6</f>
        <v>2.270111338888889E-6</v>
      </c>
      <c r="E6" s="63"/>
      <c r="G6" s="237"/>
    </row>
    <row r="7" spans="1:7" ht="14.4" x14ac:dyDescent="0.3">
      <c r="A7" s="58" t="s">
        <v>444</v>
      </c>
      <c r="B7" s="64">
        <v>8.0560000000000007E-2</v>
      </c>
      <c r="C7" s="65">
        <v>3.0600000000000005E-5</v>
      </c>
      <c r="D7" s="67">
        <v>2.8526E-6</v>
      </c>
      <c r="E7" s="62">
        <v>41</v>
      </c>
      <c r="G7" s="237"/>
    </row>
    <row r="8" spans="1:7" x14ac:dyDescent="0.3">
      <c r="A8" s="58" t="s">
        <v>421</v>
      </c>
      <c r="B8" s="64">
        <v>6.2E-2</v>
      </c>
      <c r="C8" s="65">
        <v>2.8000000000000003E-4</v>
      </c>
      <c r="D8" s="67">
        <v>1.9999999999999999E-6</v>
      </c>
      <c r="E8" s="24"/>
    </row>
    <row r="9" spans="1:7" x14ac:dyDescent="0.3">
      <c r="A9" s="58" t="s">
        <v>445</v>
      </c>
      <c r="B9" s="64">
        <v>7.0999999999999994E-2</v>
      </c>
      <c r="C9" s="65">
        <v>1.55E-4</v>
      </c>
      <c r="D9" s="67">
        <v>1.325E-6</v>
      </c>
      <c r="E9" s="24"/>
      <c r="F9" s="60" t="s">
        <v>446</v>
      </c>
    </row>
    <row r="10" spans="1:7" x14ac:dyDescent="0.3">
      <c r="A10" s="58" t="s">
        <v>447</v>
      </c>
      <c r="B10" s="64">
        <v>1.6999999999999999E-3</v>
      </c>
      <c r="C10" s="65">
        <v>2.8666666666666696E-6</v>
      </c>
      <c r="D10" s="67">
        <v>6.7666666666666703E-7</v>
      </c>
      <c r="E10" s="24"/>
    </row>
    <row r="11" spans="1:7" x14ac:dyDescent="0.3">
      <c r="A11" s="58" t="s">
        <v>448</v>
      </c>
      <c r="B11" s="64">
        <v>3.65E-3</v>
      </c>
      <c r="C11" s="65">
        <v>1.7500000000000002E-5</v>
      </c>
      <c r="D11" s="67">
        <v>7.7999999999999999E-6</v>
      </c>
      <c r="E11" s="24"/>
    </row>
    <row r="12" spans="1:7" x14ac:dyDescent="0.3">
      <c r="A12" s="58" t="s">
        <v>449</v>
      </c>
      <c r="B12" s="64">
        <v>2.6749999999999999E-3</v>
      </c>
      <c r="C12" s="65">
        <v>1.0183333333333299E-5</v>
      </c>
      <c r="D12" s="67">
        <v>4.2383333333333297E-6</v>
      </c>
      <c r="E12" s="24"/>
      <c r="F12" s="60" t="s">
        <v>450</v>
      </c>
    </row>
    <row r="13" spans="1:7" x14ac:dyDescent="0.3">
      <c r="A13" s="58" t="s">
        <v>451</v>
      </c>
      <c r="B13" s="64">
        <v>7.5920000000000001E-2</v>
      </c>
      <c r="C13" s="65">
        <v>3.3630000000000002E-5</v>
      </c>
      <c r="D13" s="67">
        <v>2.04E-6</v>
      </c>
      <c r="E13" s="24">
        <v>35.200000000000003</v>
      </c>
    </row>
    <row r="14" spans="1:7" x14ac:dyDescent="0.3">
      <c r="A14" s="59" t="s">
        <v>452</v>
      </c>
      <c r="B14" s="238">
        <v>2.4611111111111111E-2</v>
      </c>
      <c r="C14" s="66">
        <v>0</v>
      </c>
      <c r="D14" s="66">
        <v>0</v>
      </c>
      <c r="E14" s="25"/>
      <c r="F14" s="60" t="s">
        <v>453</v>
      </c>
    </row>
    <row r="15" spans="1:7" x14ac:dyDescent="0.3">
      <c r="B15" s="11"/>
      <c r="C15" s="11"/>
      <c r="D15" s="11"/>
    </row>
    <row r="16" spans="1:7" x14ac:dyDescent="0.3">
      <c r="B16" s="11"/>
      <c r="C16" s="11"/>
      <c r="D16" s="11"/>
    </row>
    <row r="17" spans="1:10" ht="15.6" x14ac:dyDescent="0.3">
      <c r="A17" s="198" t="s">
        <v>454</v>
      </c>
      <c r="D17" s="16"/>
    </row>
    <row r="18" spans="1:10" x14ac:dyDescent="0.3">
      <c r="G18" s="90"/>
    </row>
    <row r="19" spans="1:10" ht="15" customHeight="1" x14ac:dyDescent="0.3">
      <c r="A19" s="102"/>
      <c r="B19" s="109" t="s">
        <v>455</v>
      </c>
      <c r="C19" s="109" t="s">
        <v>456</v>
      </c>
      <c r="D19" s="109" t="s">
        <v>457</v>
      </c>
      <c r="E19" s="82" t="s">
        <v>458</v>
      </c>
      <c r="F19" s="309" t="s">
        <v>412</v>
      </c>
      <c r="G19" s="108"/>
      <c r="H19" s="91"/>
      <c r="I19"/>
      <c r="J19"/>
    </row>
    <row r="20" spans="1:10" ht="13.35" customHeight="1" x14ac:dyDescent="0.3">
      <c r="A20" s="105" t="s">
        <v>459</v>
      </c>
      <c r="B20" s="77">
        <v>2.2999999999999998</v>
      </c>
      <c r="C20" s="81">
        <v>0</v>
      </c>
      <c r="D20" s="81">
        <v>4.3624161073825508E-3</v>
      </c>
      <c r="E20" s="476">
        <v>0.6</v>
      </c>
      <c r="F20" s="78" t="s">
        <v>460</v>
      </c>
      <c r="G20" s="103"/>
      <c r="H20" s="91"/>
      <c r="I20" s="91"/>
      <c r="J20" s="91"/>
    </row>
    <row r="21" spans="1:10" ht="14.4" x14ac:dyDescent="0.3">
      <c r="A21" s="106" t="s">
        <v>461</v>
      </c>
      <c r="B21" s="15">
        <v>4.3928213588059704</v>
      </c>
      <c r="C21" s="107">
        <v>9.8666566537313431E-3</v>
      </c>
      <c r="D21" s="107">
        <v>9.948031617910448E-3</v>
      </c>
      <c r="E21" s="145">
        <v>0.4</v>
      </c>
      <c r="F21" s="80" t="s">
        <v>462</v>
      </c>
      <c r="G21" s="103"/>
      <c r="H21" s="91"/>
      <c r="I21" s="91"/>
      <c r="J21" s="91"/>
    </row>
    <row r="22" spans="1:10" ht="14.4" x14ac:dyDescent="0.25">
      <c r="A22" s="104" t="s">
        <v>463</v>
      </c>
      <c r="F22" s="80"/>
      <c r="G22" s="103"/>
      <c r="H22" s="91"/>
      <c r="I22" s="91"/>
      <c r="J22" s="91"/>
    </row>
    <row r="23" spans="1:10" ht="14.4" x14ac:dyDescent="0.3">
      <c r="A23" s="78" t="s">
        <v>464</v>
      </c>
      <c r="G23" s="103"/>
      <c r="H23" s="91"/>
      <c r="I23"/>
      <c r="J23"/>
    </row>
    <row r="24" spans="1:10" x14ac:dyDescent="0.3">
      <c r="F24" s="116"/>
    </row>
    <row r="25" spans="1:10" ht="15.6" x14ac:dyDescent="0.3">
      <c r="A25" s="197" t="s">
        <v>465</v>
      </c>
      <c r="B25" s="11"/>
      <c r="C25" s="11"/>
    </row>
    <row r="27" spans="1:10" x14ac:dyDescent="0.3">
      <c r="A27" s="55"/>
      <c r="B27" s="56" t="s">
        <v>466</v>
      </c>
      <c r="C27" s="56" t="s">
        <v>467</v>
      </c>
      <c r="D27" s="57" t="s">
        <v>468</v>
      </c>
    </row>
    <row r="28" spans="1:10" x14ac:dyDescent="0.3">
      <c r="A28" s="86" t="s">
        <v>469</v>
      </c>
      <c r="B28" s="87">
        <v>7.5028151531290013E-2</v>
      </c>
      <c r="C28" s="88">
        <v>2.5092882000000001E-4</v>
      </c>
      <c r="D28" s="89">
        <v>3.0881530559999995E-6</v>
      </c>
    </row>
    <row r="29" spans="1:10" x14ac:dyDescent="0.3">
      <c r="A29" s="80" t="s">
        <v>470</v>
      </c>
    </row>
    <row r="32" spans="1:10" ht="15.6" x14ac:dyDescent="0.3">
      <c r="A32" s="198" t="s">
        <v>471</v>
      </c>
    </row>
    <row r="33" spans="1:7" x14ac:dyDescent="0.3">
      <c r="G33" s="18"/>
    </row>
    <row r="34" spans="1:7" x14ac:dyDescent="0.3">
      <c r="A34" s="17"/>
      <c r="B34" s="109" t="s">
        <v>472</v>
      </c>
      <c r="C34" s="109" t="s">
        <v>473</v>
      </c>
      <c r="D34" s="19" t="s">
        <v>474</v>
      </c>
      <c r="E34" s="18"/>
      <c r="G34" s="18"/>
    </row>
    <row r="35" spans="1:7" x14ac:dyDescent="0.3">
      <c r="A35" s="14" t="s">
        <v>11</v>
      </c>
      <c r="B35" s="2">
        <v>2.7E-2</v>
      </c>
      <c r="C35" s="310">
        <v>9.5000000000000005E-5</v>
      </c>
      <c r="D35" s="311">
        <v>1.1000000000000001E-6</v>
      </c>
      <c r="E35" s="18"/>
      <c r="G35" s="18"/>
    </row>
    <row r="36" spans="1:7" x14ac:dyDescent="0.3">
      <c r="A36" s="80"/>
      <c r="G36" s="18"/>
    </row>
    <row r="37" spans="1:7" x14ac:dyDescent="0.3">
      <c r="G37" s="18"/>
    </row>
    <row r="38" spans="1:7" ht="15.6" x14ac:dyDescent="0.3">
      <c r="A38" s="197" t="s">
        <v>475</v>
      </c>
      <c r="G38" s="18"/>
    </row>
    <row r="40" spans="1:7" x14ac:dyDescent="0.3">
      <c r="A40" s="17"/>
      <c r="B40" s="82" t="s">
        <v>472</v>
      </c>
    </row>
    <row r="41" spans="1:7" x14ac:dyDescent="0.3">
      <c r="A41" s="13" t="s">
        <v>226</v>
      </c>
      <c r="B41" s="83"/>
    </row>
    <row r="42" spans="1:7" x14ac:dyDescent="0.3">
      <c r="A42" s="13" t="s">
        <v>213</v>
      </c>
      <c r="B42" s="83"/>
    </row>
    <row r="43" spans="1:7" x14ac:dyDescent="0.3">
      <c r="A43" s="13" t="s">
        <v>211</v>
      </c>
      <c r="B43" s="83"/>
    </row>
    <row r="44" spans="1:7" x14ac:dyDescent="0.3">
      <c r="A44" s="13" t="s">
        <v>190</v>
      </c>
      <c r="B44" s="83"/>
    </row>
    <row r="45" spans="1:7" x14ac:dyDescent="0.3">
      <c r="A45" s="13" t="s">
        <v>303</v>
      </c>
      <c r="B45" s="477"/>
    </row>
    <row r="46" spans="1:7" x14ac:dyDescent="0.3">
      <c r="A46" s="13" t="s">
        <v>186</v>
      </c>
      <c r="B46" s="83"/>
    </row>
    <row r="47" spans="1:7" x14ac:dyDescent="0.3">
      <c r="A47" s="13" t="s">
        <v>317</v>
      </c>
      <c r="B47" s="83"/>
    </row>
    <row r="48" spans="1:7" x14ac:dyDescent="0.3">
      <c r="A48" s="13" t="s">
        <v>306</v>
      </c>
      <c r="B48" s="83"/>
    </row>
    <row r="49" spans="1:7" x14ac:dyDescent="0.3">
      <c r="A49" s="13" t="s">
        <v>343</v>
      </c>
      <c r="B49" s="477"/>
    </row>
    <row r="50" spans="1:7" x14ac:dyDescent="0.3">
      <c r="A50" s="13" t="s">
        <v>221</v>
      </c>
      <c r="B50" s="83"/>
    </row>
    <row r="51" spans="1:7" x14ac:dyDescent="0.3">
      <c r="A51" s="13" t="s">
        <v>229</v>
      </c>
      <c r="B51" s="83"/>
    </row>
    <row r="52" spans="1:7" x14ac:dyDescent="0.3">
      <c r="A52" s="13" t="s">
        <v>271</v>
      </c>
      <c r="B52" s="83"/>
    </row>
    <row r="53" spans="1:7" x14ac:dyDescent="0.3">
      <c r="A53" s="13" t="s">
        <v>237</v>
      </c>
      <c r="B53" s="83"/>
    </row>
    <row r="54" spans="1:7" x14ac:dyDescent="0.3">
      <c r="A54" s="13" t="s">
        <v>252</v>
      </c>
      <c r="B54" s="83"/>
    </row>
    <row r="55" spans="1:7" x14ac:dyDescent="0.3">
      <c r="A55" s="13" t="s">
        <v>254</v>
      </c>
      <c r="B55" s="83"/>
    </row>
    <row r="56" spans="1:7" x14ac:dyDescent="0.3">
      <c r="A56" s="13" t="s">
        <v>364</v>
      </c>
      <c r="B56" s="83"/>
    </row>
    <row r="57" spans="1:7" x14ac:dyDescent="0.3">
      <c r="A57" s="14" t="s">
        <v>188</v>
      </c>
      <c r="B57" s="84"/>
    </row>
    <row r="58" spans="1:7" x14ac:dyDescent="0.3">
      <c r="A58" s="80" t="s">
        <v>476</v>
      </c>
    </row>
    <row r="59" spans="1:7" x14ac:dyDescent="0.3">
      <c r="C59" s="9"/>
    </row>
    <row r="60" spans="1:7" ht="15.6" x14ac:dyDescent="0.3">
      <c r="A60" s="198" t="s">
        <v>477</v>
      </c>
    </row>
    <row r="61" spans="1:7" x14ac:dyDescent="0.3">
      <c r="A61" s="9"/>
    </row>
    <row r="62" spans="1:7" x14ac:dyDescent="0.3">
      <c r="A62" s="17" t="s">
        <v>478</v>
      </c>
      <c r="B62" s="137">
        <v>1.6E-2</v>
      </c>
      <c r="C62" s="166" t="s">
        <v>479</v>
      </c>
      <c r="G62" s="5"/>
    </row>
    <row r="63" spans="1:7" x14ac:dyDescent="0.3">
      <c r="A63" s="13" t="s">
        <v>480</v>
      </c>
      <c r="B63" s="138">
        <v>6.0000000000000001E-3</v>
      </c>
      <c r="G63" s="5"/>
    </row>
    <row r="64" spans="1:7" x14ac:dyDescent="0.3">
      <c r="A64" s="14" t="s">
        <v>481</v>
      </c>
      <c r="B64" s="22">
        <v>0.1</v>
      </c>
    </row>
    <row r="65" spans="1:3" x14ac:dyDescent="0.3">
      <c r="A65" s="80" t="s">
        <v>482</v>
      </c>
    </row>
    <row r="67" spans="1:3" ht="15.6" x14ac:dyDescent="0.3">
      <c r="A67" s="198" t="s">
        <v>483</v>
      </c>
      <c r="C67" s="9"/>
    </row>
    <row r="68" spans="1:3" x14ac:dyDescent="0.3">
      <c r="A68" s="9"/>
    </row>
    <row r="69" spans="1:3" x14ac:dyDescent="0.3">
      <c r="A69" s="167" t="s">
        <v>484</v>
      </c>
      <c r="B69" s="168">
        <v>352323</v>
      </c>
    </row>
    <row r="71" spans="1:3" ht="15.6" x14ac:dyDescent="0.3">
      <c r="A71" s="198" t="s">
        <v>485</v>
      </c>
    </row>
    <row r="72" spans="1:3" x14ac:dyDescent="0.3">
      <c r="A72" s="9"/>
    </row>
    <row r="73" spans="1:3" x14ac:dyDescent="0.3">
      <c r="A73" s="17" t="s">
        <v>486</v>
      </c>
      <c r="B73" s="307">
        <v>0.05</v>
      </c>
    </row>
    <row r="74" spans="1:3" x14ac:dyDescent="0.3">
      <c r="A74" s="14" t="s">
        <v>487</v>
      </c>
      <c r="B74" s="22">
        <f>(3*1.008+14.007)/14.007</f>
        <v>1.2158920539730134</v>
      </c>
    </row>
    <row r="75" spans="1:3" x14ac:dyDescent="0.3">
      <c r="A75" s="8" t="s">
        <v>488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theme="4" tint="0.79998168889431442"/>
  </sheetPr>
  <dimension ref="A2:K6"/>
  <sheetViews>
    <sheetView workbookViewId="0">
      <selection activeCell="G3" sqref="G3"/>
    </sheetView>
  </sheetViews>
  <sheetFormatPr defaultColWidth="8.6640625" defaultRowHeight="13.8" x14ac:dyDescent="0.3"/>
  <cols>
    <col min="1" max="1" width="20.44140625" style="8" customWidth="1"/>
    <col min="2" max="2" width="13.6640625" style="8" customWidth="1"/>
    <col min="3" max="3" width="16.33203125" style="8" customWidth="1"/>
    <col min="4" max="4" width="15.33203125" style="8" customWidth="1"/>
    <col min="5" max="5" width="16.33203125" style="8" customWidth="1"/>
    <col min="6" max="6" width="19.44140625" style="8" customWidth="1"/>
    <col min="7" max="7" width="20.6640625" style="8" customWidth="1"/>
    <col min="8" max="8" width="60.44140625" style="8" bestFit="1" customWidth="1"/>
    <col min="9" max="9" width="21.44140625" style="8" bestFit="1" customWidth="1"/>
    <col min="10" max="10" width="10.44140625" style="8" bestFit="1" customWidth="1"/>
    <col min="11" max="11" width="14.6640625" style="8" customWidth="1"/>
    <col min="12" max="12" width="8.6640625" style="8"/>
    <col min="13" max="13" width="14.33203125" style="8" customWidth="1"/>
    <col min="14" max="15" width="8.6640625" style="8"/>
    <col min="16" max="16" width="18.33203125" style="8" customWidth="1"/>
    <col min="17" max="16384" width="8.6640625" style="8"/>
  </cols>
  <sheetData>
    <row r="2" spans="1:11" ht="21" x14ac:dyDescent="0.3">
      <c r="A2" s="45" t="s">
        <v>489</v>
      </c>
    </row>
    <row r="3" spans="1:11" ht="15" customHeight="1" x14ac:dyDescent="0.3">
      <c r="A3" s="12"/>
    </row>
    <row r="4" spans="1:11" ht="27.6" x14ac:dyDescent="0.3">
      <c r="A4" s="199"/>
      <c r="B4" s="133" t="s">
        <v>490</v>
      </c>
      <c r="C4" s="133" t="s">
        <v>491</v>
      </c>
      <c r="D4" s="134" t="s">
        <v>492</v>
      </c>
      <c r="E4" s="133" t="s">
        <v>493</v>
      </c>
      <c r="F4" s="135" t="s">
        <v>494</v>
      </c>
      <c r="G4" s="8" t="s">
        <v>412</v>
      </c>
      <c r="I4"/>
      <c r="J4"/>
      <c r="K4"/>
    </row>
    <row r="5" spans="1:11" ht="15.6" x14ac:dyDescent="0.3">
      <c r="A5" s="200"/>
      <c r="B5" s="144">
        <v>1</v>
      </c>
      <c r="C5" s="144">
        <v>27</v>
      </c>
      <c r="D5" s="144">
        <v>29.8</v>
      </c>
      <c r="E5" s="144">
        <v>273</v>
      </c>
      <c r="F5" s="145">
        <v>1960</v>
      </c>
      <c r="G5" s="5" t="s">
        <v>495</v>
      </c>
      <c r="I5"/>
      <c r="J5"/>
      <c r="K5"/>
    </row>
    <row r="6" spans="1:11" ht="14.4" x14ac:dyDescent="0.3">
      <c r="I6"/>
      <c r="J6"/>
      <c r="K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2"/>
  <sheetViews>
    <sheetView tabSelected="1" topLeftCell="A23" zoomScale="80" zoomScaleNormal="80" workbookViewId="0">
      <selection activeCell="A37" sqref="A37"/>
    </sheetView>
  </sheetViews>
  <sheetFormatPr defaultColWidth="8.6640625" defaultRowHeight="14.4" x14ac:dyDescent="0.3"/>
  <cols>
    <col min="1" max="1" width="10.33203125" style="169" customWidth="1"/>
    <col min="2" max="4" width="8.6640625" style="169"/>
    <col min="5" max="5" width="12.33203125" style="169" customWidth="1"/>
    <col min="6" max="6" width="8.6640625" style="169"/>
    <col min="7" max="7" width="8.6640625" style="169" customWidth="1"/>
    <col min="8" max="16384" width="8.6640625" style="169"/>
  </cols>
  <sheetData>
    <row r="2" spans="1:22" ht="21" x14ac:dyDescent="0.4">
      <c r="A2" s="195" t="s">
        <v>496</v>
      </c>
    </row>
    <row r="3" spans="1:22" ht="14.25" customHeight="1" x14ac:dyDescent="0.4">
      <c r="A3" s="195"/>
    </row>
    <row r="4" spans="1:22" x14ac:dyDescent="0.3">
      <c r="A4" s="170" t="s">
        <v>497</v>
      </c>
    </row>
    <row r="5" spans="1:22" x14ac:dyDescent="0.3">
      <c r="A5" s="170" t="s">
        <v>498</v>
      </c>
    </row>
    <row r="6" spans="1:22" x14ac:dyDescent="0.3">
      <c r="A6" s="193" t="s">
        <v>499</v>
      </c>
    </row>
    <row r="7" spans="1:22" x14ac:dyDescent="0.3">
      <c r="A7" s="194" t="s">
        <v>500</v>
      </c>
    </row>
    <row r="8" spans="1:22" x14ac:dyDescent="0.3">
      <c r="A8" s="170" t="s">
        <v>501</v>
      </c>
    </row>
    <row r="9" spans="1:22" x14ac:dyDescent="0.3">
      <c r="A9" s="170" t="s">
        <v>502</v>
      </c>
      <c r="R9" s="194" t="s">
        <v>503</v>
      </c>
    </row>
    <row r="10" spans="1:22" x14ac:dyDescent="0.3">
      <c r="A10" s="193" t="s">
        <v>504</v>
      </c>
      <c r="V10" s="170"/>
    </row>
    <row r="11" spans="1:22" x14ac:dyDescent="0.3">
      <c r="A11" s="170" t="s">
        <v>505</v>
      </c>
    </row>
    <row r="12" spans="1:22" x14ac:dyDescent="0.3">
      <c r="A12" s="170" t="s">
        <v>506</v>
      </c>
      <c r="S12" s="192"/>
    </row>
    <row r="13" spans="1:22" x14ac:dyDescent="0.3">
      <c r="A13" s="172" t="s">
        <v>507</v>
      </c>
      <c r="S13" s="192"/>
    </row>
    <row r="14" spans="1:22" x14ac:dyDescent="0.3">
      <c r="A14" s="308" t="s">
        <v>508</v>
      </c>
      <c r="S14" s="192"/>
    </row>
    <row r="15" spans="1:22" x14ac:dyDescent="0.3">
      <c r="A15" s="170" t="s">
        <v>509</v>
      </c>
      <c r="S15" s="192"/>
    </row>
    <row r="16" spans="1:22" x14ac:dyDescent="0.3">
      <c r="A16" s="171" t="s">
        <v>510</v>
      </c>
    </row>
    <row r="17" spans="1:22" x14ac:dyDescent="0.3">
      <c r="A17" s="3" t="s">
        <v>511</v>
      </c>
    </row>
    <row r="18" spans="1:22" x14ac:dyDescent="0.3">
      <c r="A18" s="3" t="s">
        <v>512</v>
      </c>
    </row>
    <row r="19" spans="1:22" x14ac:dyDescent="0.3">
      <c r="A19" s="193" t="s">
        <v>513</v>
      </c>
      <c r="S19" s="192"/>
    </row>
    <row r="20" spans="1:22" x14ac:dyDescent="0.3">
      <c r="A20" s="191" t="s">
        <v>514</v>
      </c>
      <c r="R20" s="170" t="s">
        <v>515</v>
      </c>
    </row>
    <row r="21" spans="1:22" x14ac:dyDescent="0.3">
      <c r="A21" s="193" t="s">
        <v>516</v>
      </c>
    </row>
    <row r="22" spans="1:22" x14ac:dyDescent="0.3">
      <c r="A22" s="194" t="s">
        <v>517</v>
      </c>
      <c r="R22" s="170" t="s">
        <v>518</v>
      </c>
    </row>
    <row r="23" spans="1:22" x14ac:dyDescent="0.3">
      <c r="A23" s="194" t="s">
        <v>519</v>
      </c>
    </row>
    <row r="24" spans="1:22" x14ac:dyDescent="0.3">
      <c r="A24" s="170" t="s">
        <v>520</v>
      </c>
      <c r="V24" s="294"/>
    </row>
    <row r="25" spans="1:22" x14ac:dyDescent="0.3">
      <c r="A25" s="196" t="s">
        <v>521</v>
      </c>
    </row>
    <row r="26" spans="1:22" x14ac:dyDescent="0.3">
      <c r="A26" s="194" t="s">
        <v>522</v>
      </c>
    </row>
    <row r="27" spans="1:22" x14ac:dyDescent="0.3">
      <c r="A27" s="170" t="s">
        <v>523</v>
      </c>
      <c r="V27" s="170"/>
    </row>
    <row r="28" spans="1:22" x14ac:dyDescent="0.3">
      <c r="A28" s="170" t="s">
        <v>524</v>
      </c>
    </row>
    <row r="29" spans="1:22" x14ac:dyDescent="0.3">
      <c r="A29" s="193" t="s">
        <v>525</v>
      </c>
    </row>
    <row r="30" spans="1:22" x14ac:dyDescent="0.3">
      <c r="A30" s="193" t="s">
        <v>526</v>
      </c>
    </row>
    <row r="31" spans="1:22" x14ac:dyDescent="0.3">
      <c r="A31" s="193" t="s">
        <v>527</v>
      </c>
    </row>
    <row r="32" spans="1:22" x14ac:dyDescent="0.3">
      <c r="A32" s="193" t="s">
        <v>528</v>
      </c>
    </row>
    <row r="33" spans="1:1" x14ac:dyDescent="0.3">
      <c r="A33" s="193" t="s">
        <v>529</v>
      </c>
    </row>
    <row r="34" spans="1:1" x14ac:dyDescent="0.3">
      <c r="A34" s="193" t="s">
        <v>530</v>
      </c>
    </row>
    <row r="35" spans="1:1" x14ac:dyDescent="0.3">
      <c r="A35" s="296" t="s">
        <v>531</v>
      </c>
    </row>
    <row r="36" spans="1:1" x14ac:dyDescent="0.3">
      <c r="A36" s="170" t="s">
        <v>532</v>
      </c>
    </row>
    <row r="37" spans="1:1" x14ac:dyDescent="0.3">
      <c r="A37" s="258" t="s">
        <v>533</v>
      </c>
    </row>
    <row r="38" spans="1:1" x14ac:dyDescent="0.3">
      <c r="A38" s="170" t="s">
        <v>534</v>
      </c>
    </row>
    <row r="40" spans="1:1" x14ac:dyDescent="0.3">
      <c r="A40" s="193" t="s">
        <v>535</v>
      </c>
    </row>
    <row r="42" spans="1:1" x14ac:dyDescent="0.3">
      <c r="A42" s="297" t="s">
        <v>536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80</vt:i4>
      </vt:variant>
    </vt:vector>
  </HeadingPairs>
  <TitlesOfParts>
    <vt:vector size="92" baseType="lpstr">
      <vt:lpstr>README</vt:lpstr>
      <vt:lpstr>Footprints, results per kg</vt:lpstr>
      <vt:lpstr>Crops, input data per ha</vt:lpstr>
      <vt:lpstr>Crops CO2e</vt:lpstr>
      <vt:lpstr>Crops CO2</vt:lpstr>
      <vt:lpstr>Crops CH4, fossil</vt:lpstr>
      <vt:lpstr>Crops CH4, bio</vt:lpstr>
      <vt:lpstr>Crops N2O</vt:lpstr>
      <vt:lpstr>Energy</vt:lpstr>
      <vt:lpstr>Emission factors</vt:lpstr>
      <vt:lpstr>CF climate</vt:lpstr>
      <vt:lpstr>Reference list</vt:lpstr>
      <vt:lpstr>CF_biog_CH4</vt:lpstr>
      <vt:lpstr>CF_fossil_CH4</vt:lpstr>
      <vt:lpstr>CF_HCFC</vt:lpstr>
      <vt:lpstr>CF_N2O</vt:lpstr>
      <vt:lpstr>CH4_bio_codes</vt:lpstr>
      <vt:lpstr>CH4_bio_data</vt:lpstr>
      <vt:lpstr>'Crops CH4, bio'!CH4_codes</vt:lpstr>
      <vt:lpstr>CH4_codes</vt:lpstr>
      <vt:lpstr>'Crops CH4, bio'!CH4_data</vt:lpstr>
      <vt:lpstr>CH4_data</vt:lpstr>
      <vt:lpstr>CO2_codes</vt:lpstr>
      <vt:lpstr>CO2_data</vt:lpstr>
      <vt:lpstr>CO2e_codes</vt:lpstr>
      <vt:lpstr>CO2e_data</vt:lpstr>
      <vt:lpstr>'Footprints, results per kg'!Crop_codes</vt:lpstr>
      <vt:lpstr>Crop_codes</vt:lpstr>
      <vt:lpstr>Crop_data</vt:lpstr>
      <vt:lpstr>Crop_data_codes</vt:lpstr>
      <vt:lpstr>'Crops CH4, bio'!Crops</vt:lpstr>
      <vt:lpstr>'Crops CH4, fossil'!Crops</vt:lpstr>
      <vt:lpstr>'Crops CO2e'!Crops</vt:lpstr>
      <vt:lpstr>'Crops N2O'!Crops</vt:lpstr>
      <vt:lpstr>Crops</vt:lpstr>
      <vt:lpstr>EF_capital_goods_CH4</vt:lpstr>
      <vt:lpstr>EF_capital_goods_CO2</vt:lpstr>
      <vt:lpstr>EF_capital_goods_N2O</vt:lpstr>
      <vt:lpstr>EF_chips_CH4</vt:lpstr>
      <vt:lpstr>EF_chips_CO2</vt:lpstr>
      <vt:lpstr>EF_chips_N2O</vt:lpstr>
      <vt:lpstr>EF_diesel_CH4</vt:lpstr>
      <vt:lpstr>EF_diesel_CO2</vt:lpstr>
      <vt:lpstr>EF_diesel_N2O</vt:lpstr>
      <vt:lpstr>EF_district_heating_CH4</vt:lpstr>
      <vt:lpstr>EF_district_heating_CO2</vt:lpstr>
      <vt:lpstr>EF_district_heating_N2O</vt:lpstr>
      <vt:lpstr>EF_electricity_CH4</vt:lpstr>
      <vt:lpstr>EF_electricity_CO2</vt:lpstr>
      <vt:lpstr>EF_electricity_N2O</vt:lpstr>
      <vt:lpstr>EF_heating_oil_CH4</vt:lpstr>
      <vt:lpstr>EF_heating_oil_CO2</vt:lpstr>
      <vt:lpstr>EF_heating_oil_N2O</vt:lpstr>
      <vt:lpstr>EF_irrigation_CH4</vt:lpstr>
      <vt:lpstr>EF_irrigation_CO2</vt:lpstr>
      <vt:lpstr>EF_irrigation_N2O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EF_min_fert_CH4</vt:lpstr>
      <vt:lpstr>EF_min_fert_CO2</vt:lpstr>
      <vt:lpstr>EF_N2O_soils_crop_res</vt:lpstr>
      <vt:lpstr>EF_N2O_soils_indirect</vt:lpstr>
      <vt:lpstr>EF_N2O_soils_min_fert</vt:lpstr>
      <vt:lpstr>EF_natural_gas_CH4</vt:lpstr>
      <vt:lpstr>EF_natural_gas_CO2</vt:lpstr>
      <vt:lpstr>EF_natural_gas_N2O</vt:lpstr>
      <vt:lpstr>EF_NH3</vt:lpstr>
      <vt:lpstr>EF_other_fossil_CH4</vt:lpstr>
      <vt:lpstr>EF_other_fossil_CO2</vt:lpstr>
      <vt:lpstr>EF_other_fossil_N2O</vt:lpstr>
      <vt:lpstr>EF_other_renew_CH4</vt:lpstr>
      <vt:lpstr>EF_other_renew_CO2</vt:lpstr>
      <vt:lpstr>EF_other_renew_N2O</vt:lpstr>
      <vt:lpstr>EF_pellets_CH4</vt:lpstr>
      <vt:lpstr>EF_pellets_CO2</vt:lpstr>
      <vt:lpstr>EF_pellets_N2O</vt:lpstr>
      <vt:lpstr>Frac_AN</vt:lpstr>
      <vt:lpstr>Frac_BAT</vt:lpstr>
      <vt:lpstr>Heating_value_diesel</vt:lpstr>
      <vt:lpstr>Heating_value_oil</vt:lpstr>
      <vt:lpstr>N_to_NH3</vt:lpstr>
      <vt:lpstr>N2O_codes</vt:lpstr>
      <vt:lpstr>N2O_data</vt:lpstr>
      <vt:lpstr>No_species</vt:lpstr>
      <vt:lpstr>Post_harvest_energy_categories</vt:lpstr>
      <vt:lpstr>Post_harvest_energy_data</vt:lpstr>
      <vt:lpstr>Soil_carbon_categories</vt:lpstr>
      <vt:lpstr>Soil_carbon_data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2024-07-17T05:24:30Z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