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filterPrivacy="1" updateLinks="never" codeName="ThisWorkbook"/>
  <xr:revisionPtr revIDLastSave="0" documentId="13_ncr:1_{E866E093-790F-E246-999B-962C985C5523}" xr6:coauthVersionLast="47" xr6:coauthVersionMax="47" xr10:uidLastSave="{00000000-0000-0000-0000-000000000000}"/>
  <bookViews>
    <workbookView xWindow="-19140" yWindow="-28200" windowWidth="34400" windowHeight="28200" xr2:uid="{00000000-000D-0000-FFFF-FFFF00000000}"/>
  </bookViews>
  <sheets>
    <sheet name="N fert" sheetId="135" r:id="rId1"/>
    <sheet name="N inst" sheetId="137" r:id="rId2"/>
    <sheet name="N fert sources" sheetId="136" r:id="rId3"/>
    <sheet name="README" sheetId="117" r:id="rId4"/>
    <sheet name="Diesel" sheetId="129" r:id="rId5"/>
    <sheet name="Att göra" sheetId="134" r:id="rId6"/>
    <sheet name="Share of GH system" sheetId="130" r:id="rId7"/>
    <sheet name="EF " sheetId="131" r:id="rId8"/>
    <sheet name="Crop residues" sheetId="132" r:id="rId9"/>
    <sheet name="Argentina" sheetId="126" r:id="rId10"/>
    <sheet name="Blad4" sheetId="133" r:id="rId11"/>
    <sheet name="Pesticides" sheetId="127" r:id="rId12"/>
    <sheet name="Pesticides sources" sheetId="128" r:id="rId13"/>
    <sheet name="Sweden" sheetId="125" r:id="rId14"/>
    <sheet name="Defaults" sheetId="124" r:id="rId15"/>
    <sheet name="Reference list" sheetId="122" r:id="rId16"/>
  </sheets>
  <definedNames>
    <definedName name="_xlnm._FilterDatabase" localSheetId="9" hidden="1">Argentina!$A$5:$O$118</definedName>
    <definedName name="_xlnm._FilterDatabase" localSheetId="14" hidden="1">Defaults!$A$5:$J$118</definedName>
    <definedName name="_xlnm._FilterDatabase" localSheetId="13" hidden="1">Sweden!$A$5:$O$118</definedName>
    <definedName name="Crop_data">'N fert'!$A$6:$AA$118</definedName>
    <definedName name="Crop_data_codes">'N fert'!$A$6:$A$118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3" i="135" l="1"/>
  <c r="C118" i="136" l="1"/>
  <c r="B118" i="136"/>
  <c r="A118" i="136"/>
  <c r="C117" i="136"/>
  <c r="B117" i="136"/>
  <c r="A117" i="136"/>
  <c r="C116" i="136"/>
  <c r="B116" i="136"/>
  <c r="A116" i="136"/>
  <c r="C115" i="136"/>
  <c r="B115" i="136"/>
  <c r="A115" i="136"/>
  <c r="C114" i="136"/>
  <c r="B114" i="136"/>
  <c r="A114" i="136"/>
  <c r="C113" i="136"/>
  <c r="B113" i="136"/>
  <c r="A113" i="136"/>
  <c r="C112" i="136"/>
  <c r="B112" i="136"/>
  <c r="A112" i="136"/>
  <c r="C111" i="136"/>
  <c r="B111" i="136"/>
  <c r="A111" i="136"/>
  <c r="C110" i="136"/>
  <c r="B110" i="136"/>
  <c r="A110" i="136"/>
  <c r="C109" i="136"/>
  <c r="B109" i="136"/>
  <c r="A109" i="136"/>
  <c r="C108" i="136"/>
  <c r="B108" i="136"/>
  <c r="A108" i="136"/>
  <c r="C107" i="136"/>
  <c r="B107" i="136"/>
  <c r="A107" i="136"/>
  <c r="C106" i="136"/>
  <c r="B106" i="136"/>
  <c r="A106" i="136"/>
  <c r="C105" i="136"/>
  <c r="B105" i="136"/>
  <c r="A105" i="136"/>
  <c r="C104" i="136"/>
  <c r="B104" i="136"/>
  <c r="A104" i="136"/>
  <c r="C103" i="136"/>
  <c r="B103" i="136"/>
  <c r="A103" i="136"/>
  <c r="C102" i="136"/>
  <c r="B102" i="136"/>
  <c r="A102" i="136"/>
  <c r="C101" i="136"/>
  <c r="B101" i="136"/>
  <c r="A101" i="136"/>
  <c r="C100" i="136"/>
  <c r="B100" i="136"/>
  <c r="A100" i="136"/>
  <c r="C99" i="136"/>
  <c r="B99" i="136"/>
  <c r="A99" i="136"/>
  <c r="C98" i="136"/>
  <c r="B98" i="136"/>
  <c r="A98" i="136"/>
  <c r="C97" i="136"/>
  <c r="B97" i="136"/>
  <c r="A97" i="136"/>
  <c r="C96" i="136"/>
  <c r="B96" i="136"/>
  <c r="A96" i="136"/>
  <c r="C95" i="136"/>
  <c r="B95" i="136"/>
  <c r="A95" i="136"/>
  <c r="C94" i="136"/>
  <c r="B94" i="136"/>
  <c r="A94" i="136"/>
  <c r="C93" i="136"/>
  <c r="B93" i="136"/>
  <c r="A93" i="136"/>
  <c r="C92" i="136"/>
  <c r="B92" i="136"/>
  <c r="A92" i="136"/>
  <c r="C91" i="136"/>
  <c r="B91" i="136"/>
  <c r="A91" i="136"/>
  <c r="C90" i="136"/>
  <c r="B90" i="136"/>
  <c r="A90" i="136"/>
  <c r="C89" i="136"/>
  <c r="B89" i="136"/>
  <c r="A89" i="136"/>
  <c r="C88" i="136"/>
  <c r="B88" i="136"/>
  <c r="A88" i="136"/>
  <c r="C87" i="136"/>
  <c r="B87" i="136"/>
  <c r="A87" i="136"/>
  <c r="C86" i="136"/>
  <c r="B86" i="136"/>
  <c r="A86" i="136"/>
  <c r="C85" i="136"/>
  <c r="B85" i="136"/>
  <c r="A85" i="136"/>
  <c r="C84" i="136"/>
  <c r="B84" i="136"/>
  <c r="A84" i="136"/>
  <c r="C83" i="136"/>
  <c r="B83" i="136"/>
  <c r="A83" i="136"/>
  <c r="C82" i="136"/>
  <c r="B82" i="136"/>
  <c r="A82" i="136"/>
  <c r="C81" i="136"/>
  <c r="B81" i="136"/>
  <c r="A81" i="136"/>
  <c r="C80" i="136"/>
  <c r="B80" i="136"/>
  <c r="A80" i="136"/>
  <c r="C79" i="136"/>
  <c r="B79" i="136"/>
  <c r="A79" i="136"/>
  <c r="C78" i="136"/>
  <c r="B78" i="136"/>
  <c r="A78" i="136"/>
  <c r="C77" i="136"/>
  <c r="B77" i="136"/>
  <c r="A77" i="136"/>
  <c r="C76" i="136"/>
  <c r="B76" i="136"/>
  <c r="A76" i="136"/>
  <c r="C75" i="136"/>
  <c r="B75" i="136"/>
  <c r="A75" i="136"/>
  <c r="C74" i="136"/>
  <c r="B74" i="136"/>
  <c r="A74" i="136"/>
  <c r="C73" i="136"/>
  <c r="B73" i="136"/>
  <c r="A73" i="136"/>
  <c r="C72" i="136"/>
  <c r="B72" i="136"/>
  <c r="A72" i="136"/>
  <c r="C71" i="136"/>
  <c r="B71" i="136"/>
  <c r="A71" i="136"/>
  <c r="C70" i="136"/>
  <c r="B70" i="136"/>
  <c r="A70" i="136"/>
  <c r="C69" i="136"/>
  <c r="B69" i="136"/>
  <c r="A69" i="136"/>
  <c r="C68" i="136"/>
  <c r="B68" i="136"/>
  <c r="A68" i="136"/>
  <c r="C67" i="136"/>
  <c r="B67" i="136"/>
  <c r="A67" i="136"/>
  <c r="C66" i="136"/>
  <c r="B66" i="136"/>
  <c r="A66" i="136"/>
  <c r="C65" i="136"/>
  <c r="B65" i="136"/>
  <c r="A65" i="136"/>
  <c r="C64" i="136"/>
  <c r="B64" i="136"/>
  <c r="A64" i="136"/>
  <c r="C63" i="136"/>
  <c r="B63" i="136"/>
  <c r="A63" i="136"/>
  <c r="C62" i="136"/>
  <c r="B62" i="136"/>
  <c r="A62" i="136"/>
  <c r="C61" i="136"/>
  <c r="B61" i="136"/>
  <c r="A61" i="136"/>
  <c r="C60" i="136"/>
  <c r="B60" i="136"/>
  <c r="A60" i="136"/>
  <c r="C59" i="136"/>
  <c r="B59" i="136"/>
  <c r="A59" i="136"/>
  <c r="C58" i="136"/>
  <c r="B58" i="136"/>
  <c r="A58" i="136"/>
  <c r="C57" i="136"/>
  <c r="B57" i="136"/>
  <c r="A57" i="136"/>
  <c r="C56" i="136"/>
  <c r="B56" i="136"/>
  <c r="A56" i="136"/>
  <c r="C55" i="136"/>
  <c r="B55" i="136"/>
  <c r="A55" i="136"/>
  <c r="C54" i="136"/>
  <c r="B54" i="136"/>
  <c r="A54" i="136"/>
  <c r="C53" i="136"/>
  <c r="B53" i="136"/>
  <c r="A53" i="136"/>
  <c r="C52" i="136"/>
  <c r="B52" i="136"/>
  <c r="A52" i="136"/>
  <c r="C51" i="136"/>
  <c r="B51" i="136"/>
  <c r="A51" i="136"/>
  <c r="C50" i="136"/>
  <c r="B50" i="136"/>
  <c r="A50" i="136"/>
  <c r="C49" i="136"/>
  <c r="B49" i="136"/>
  <c r="A49" i="136"/>
  <c r="C48" i="136"/>
  <c r="B48" i="136"/>
  <c r="A48" i="136"/>
  <c r="C47" i="136"/>
  <c r="B47" i="136"/>
  <c r="A47" i="136"/>
  <c r="C46" i="136"/>
  <c r="B46" i="136"/>
  <c r="A46" i="136"/>
  <c r="C45" i="136"/>
  <c r="B45" i="136"/>
  <c r="A45" i="136"/>
  <c r="C44" i="136"/>
  <c r="B44" i="136"/>
  <c r="A44" i="136"/>
  <c r="C43" i="136"/>
  <c r="B43" i="136"/>
  <c r="A43" i="136"/>
  <c r="C42" i="136"/>
  <c r="B42" i="136"/>
  <c r="A42" i="136"/>
  <c r="C41" i="136"/>
  <c r="B41" i="136"/>
  <c r="A41" i="136"/>
  <c r="C40" i="136"/>
  <c r="B40" i="136"/>
  <c r="A40" i="136"/>
  <c r="C39" i="136"/>
  <c r="B39" i="136"/>
  <c r="A39" i="136"/>
  <c r="C38" i="136"/>
  <c r="B38" i="136"/>
  <c r="A38" i="136"/>
  <c r="C37" i="136"/>
  <c r="B37" i="136"/>
  <c r="A37" i="136"/>
  <c r="C36" i="136"/>
  <c r="B36" i="136"/>
  <c r="A36" i="136"/>
  <c r="C35" i="136"/>
  <c r="B35" i="136"/>
  <c r="A35" i="136"/>
  <c r="C34" i="136"/>
  <c r="B34" i="136"/>
  <c r="A34" i="136"/>
  <c r="C33" i="136"/>
  <c r="B33" i="136"/>
  <c r="A33" i="136"/>
  <c r="C32" i="136"/>
  <c r="B32" i="136"/>
  <c r="A32" i="136"/>
  <c r="C31" i="136"/>
  <c r="B31" i="136"/>
  <c r="A31" i="136"/>
  <c r="C30" i="136"/>
  <c r="B30" i="136"/>
  <c r="A30" i="136"/>
  <c r="C29" i="136"/>
  <c r="B29" i="136"/>
  <c r="A29" i="136"/>
  <c r="C28" i="136"/>
  <c r="B28" i="136"/>
  <c r="A28" i="136"/>
  <c r="C27" i="136"/>
  <c r="B27" i="136"/>
  <c r="A27" i="136"/>
  <c r="C26" i="136"/>
  <c r="B26" i="136"/>
  <c r="A26" i="136"/>
  <c r="C25" i="136"/>
  <c r="B25" i="136"/>
  <c r="A25" i="136"/>
  <c r="C24" i="136"/>
  <c r="B24" i="136"/>
  <c r="A24" i="136"/>
  <c r="C23" i="136"/>
  <c r="B23" i="136"/>
  <c r="A23" i="136"/>
  <c r="C22" i="136"/>
  <c r="B22" i="136"/>
  <c r="A22" i="136"/>
  <c r="C21" i="136"/>
  <c r="B21" i="136"/>
  <c r="A21" i="136"/>
  <c r="C20" i="136"/>
  <c r="B20" i="136"/>
  <c r="A20" i="136"/>
  <c r="C19" i="136"/>
  <c r="B19" i="136"/>
  <c r="A19" i="136"/>
  <c r="C18" i="136"/>
  <c r="B18" i="136"/>
  <c r="A18" i="136"/>
  <c r="C17" i="136"/>
  <c r="B17" i="136"/>
  <c r="A17" i="136"/>
  <c r="C16" i="136"/>
  <c r="B16" i="136"/>
  <c r="A16" i="136"/>
  <c r="C15" i="136"/>
  <c r="B15" i="136"/>
  <c r="A15" i="136"/>
  <c r="C14" i="136"/>
  <c r="B14" i="136"/>
  <c r="A14" i="136"/>
  <c r="C13" i="136"/>
  <c r="B13" i="136"/>
  <c r="A13" i="136"/>
  <c r="C12" i="136"/>
  <c r="B12" i="136"/>
  <c r="A12" i="136"/>
  <c r="C11" i="136"/>
  <c r="B11" i="136"/>
  <c r="A11" i="136"/>
  <c r="C10" i="136"/>
  <c r="B10" i="136"/>
  <c r="A10" i="136"/>
  <c r="C9" i="136"/>
  <c r="B9" i="136"/>
  <c r="A9" i="136"/>
  <c r="C8" i="136"/>
  <c r="B8" i="136"/>
  <c r="A8" i="136"/>
  <c r="C7" i="136"/>
  <c r="B7" i="136"/>
  <c r="A7" i="136"/>
  <c r="C6" i="136"/>
  <c r="B6" i="136"/>
  <c r="A6" i="136"/>
  <c r="C118" i="135" l="1"/>
  <c r="B118" i="135"/>
  <c r="A118" i="135"/>
  <c r="C117" i="135"/>
  <c r="B117" i="135"/>
  <c r="A117" i="135"/>
  <c r="C116" i="135"/>
  <c r="B116" i="135"/>
  <c r="A116" i="135"/>
  <c r="C115" i="135"/>
  <c r="B115" i="135"/>
  <c r="A115" i="135"/>
  <c r="C114" i="135"/>
  <c r="B114" i="135"/>
  <c r="A114" i="135"/>
  <c r="C113" i="135"/>
  <c r="B113" i="135"/>
  <c r="A113" i="135"/>
  <c r="C112" i="135"/>
  <c r="B112" i="135"/>
  <c r="A112" i="135"/>
  <c r="C111" i="135"/>
  <c r="B111" i="135"/>
  <c r="A111" i="135"/>
  <c r="C110" i="135"/>
  <c r="B110" i="135"/>
  <c r="A110" i="135"/>
  <c r="C109" i="135"/>
  <c r="B109" i="135"/>
  <c r="A109" i="135"/>
  <c r="C108" i="135"/>
  <c r="B108" i="135"/>
  <c r="A108" i="135"/>
  <c r="C107" i="135"/>
  <c r="B107" i="135"/>
  <c r="A107" i="135"/>
  <c r="C106" i="135"/>
  <c r="B106" i="135"/>
  <c r="A106" i="135"/>
  <c r="C105" i="135"/>
  <c r="B105" i="135"/>
  <c r="A105" i="135"/>
  <c r="C104" i="135"/>
  <c r="B104" i="135"/>
  <c r="A104" i="135"/>
  <c r="C103" i="135"/>
  <c r="B103" i="135"/>
  <c r="A103" i="135"/>
  <c r="C102" i="135"/>
  <c r="B102" i="135"/>
  <c r="A102" i="135"/>
  <c r="C101" i="135"/>
  <c r="B101" i="135"/>
  <c r="A101" i="135"/>
  <c r="C100" i="135"/>
  <c r="B100" i="135"/>
  <c r="A100" i="135"/>
  <c r="C99" i="135"/>
  <c r="B99" i="135"/>
  <c r="A99" i="135"/>
  <c r="C98" i="135"/>
  <c r="B98" i="135"/>
  <c r="A98" i="135"/>
  <c r="C97" i="135"/>
  <c r="B97" i="135"/>
  <c r="A97" i="135"/>
  <c r="C96" i="135"/>
  <c r="B96" i="135"/>
  <c r="A96" i="135"/>
  <c r="C95" i="135"/>
  <c r="B95" i="135"/>
  <c r="A95" i="135"/>
  <c r="C94" i="135"/>
  <c r="B94" i="135"/>
  <c r="A94" i="135"/>
  <c r="C93" i="135"/>
  <c r="B93" i="135"/>
  <c r="C92" i="135"/>
  <c r="B92" i="135"/>
  <c r="A92" i="135"/>
  <c r="C91" i="135"/>
  <c r="B91" i="135"/>
  <c r="A91" i="135"/>
  <c r="C90" i="135"/>
  <c r="B90" i="135"/>
  <c r="A90" i="135"/>
  <c r="C89" i="135"/>
  <c r="B89" i="135"/>
  <c r="A89" i="135"/>
  <c r="C88" i="135"/>
  <c r="B88" i="135"/>
  <c r="A88" i="135"/>
  <c r="C87" i="135"/>
  <c r="B87" i="135"/>
  <c r="A87" i="135"/>
  <c r="C86" i="135"/>
  <c r="B86" i="135"/>
  <c r="A86" i="135"/>
  <c r="C85" i="135"/>
  <c r="B85" i="135"/>
  <c r="A85" i="135"/>
  <c r="C84" i="135"/>
  <c r="B84" i="135"/>
  <c r="A84" i="135"/>
  <c r="C83" i="135"/>
  <c r="B83" i="135"/>
  <c r="A83" i="135"/>
  <c r="C82" i="135"/>
  <c r="B82" i="135"/>
  <c r="A82" i="135"/>
  <c r="C81" i="135"/>
  <c r="B81" i="135"/>
  <c r="A81" i="135"/>
  <c r="C80" i="135"/>
  <c r="B80" i="135"/>
  <c r="A80" i="135"/>
  <c r="C79" i="135"/>
  <c r="B79" i="135"/>
  <c r="A79" i="135"/>
  <c r="C78" i="135"/>
  <c r="B78" i="135"/>
  <c r="A78" i="135"/>
  <c r="C77" i="135"/>
  <c r="B77" i="135"/>
  <c r="A77" i="135"/>
  <c r="C76" i="135"/>
  <c r="B76" i="135"/>
  <c r="A76" i="135"/>
  <c r="C75" i="135"/>
  <c r="B75" i="135"/>
  <c r="A75" i="135"/>
  <c r="C74" i="135"/>
  <c r="B74" i="135"/>
  <c r="A74" i="135"/>
  <c r="C73" i="135"/>
  <c r="B73" i="135"/>
  <c r="A73" i="135"/>
  <c r="C72" i="135"/>
  <c r="B72" i="135"/>
  <c r="A72" i="135"/>
  <c r="C71" i="135"/>
  <c r="B71" i="135"/>
  <c r="A71" i="135"/>
  <c r="C70" i="135"/>
  <c r="B70" i="135"/>
  <c r="A70" i="135"/>
  <c r="C69" i="135"/>
  <c r="B69" i="135"/>
  <c r="A69" i="135"/>
  <c r="C68" i="135"/>
  <c r="B68" i="135"/>
  <c r="A68" i="135"/>
  <c r="C67" i="135"/>
  <c r="B67" i="135"/>
  <c r="A67" i="135"/>
  <c r="C66" i="135"/>
  <c r="B66" i="135"/>
  <c r="A66" i="135"/>
  <c r="C65" i="135"/>
  <c r="B65" i="135"/>
  <c r="A65" i="135"/>
  <c r="C64" i="135"/>
  <c r="B64" i="135"/>
  <c r="A64" i="135"/>
  <c r="C63" i="135"/>
  <c r="B63" i="135"/>
  <c r="A63" i="135"/>
  <c r="C62" i="135"/>
  <c r="B62" i="135"/>
  <c r="A62" i="135"/>
  <c r="C61" i="135"/>
  <c r="B61" i="135"/>
  <c r="A61" i="135"/>
  <c r="C60" i="135"/>
  <c r="B60" i="135"/>
  <c r="A60" i="135"/>
  <c r="C59" i="135"/>
  <c r="B59" i="135"/>
  <c r="A59" i="135"/>
  <c r="C58" i="135"/>
  <c r="B58" i="135"/>
  <c r="A58" i="135"/>
  <c r="C57" i="135"/>
  <c r="B57" i="135"/>
  <c r="A57" i="135"/>
  <c r="C56" i="135"/>
  <c r="B56" i="135"/>
  <c r="A56" i="135"/>
  <c r="C55" i="135"/>
  <c r="B55" i="135"/>
  <c r="A55" i="135"/>
  <c r="C54" i="135"/>
  <c r="B54" i="135"/>
  <c r="A54" i="135"/>
  <c r="C53" i="135"/>
  <c r="B53" i="135"/>
  <c r="A53" i="135"/>
  <c r="C52" i="135"/>
  <c r="B52" i="135"/>
  <c r="A52" i="135"/>
  <c r="C51" i="135"/>
  <c r="B51" i="135"/>
  <c r="A51" i="135"/>
  <c r="C50" i="135"/>
  <c r="B50" i="135"/>
  <c r="A50" i="135"/>
  <c r="C49" i="135"/>
  <c r="B49" i="135"/>
  <c r="A49" i="135"/>
  <c r="C48" i="135"/>
  <c r="B48" i="135"/>
  <c r="A48" i="135"/>
  <c r="C47" i="135"/>
  <c r="B47" i="135"/>
  <c r="A47" i="135"/>
  <c r="C46" i="135"/>
  <c r="B46" i="135"/>
  <c r="A46" i="135"/>
  <c r="C45" i="135"/>
  <c r="B45" i="135"/>
  <c r="A45" i="135"/>
  <c r="C44" i="135"/>
  <c r="B44" i="135"/>
  <c r="A44" i="135"/>
  <c r="C43" i="135"/>
  <c r="B43" i="135"/>
  <c r="A43" i="135"/>
  <c r="C42" i="135"/>
  <c r="B42" i="135"/>
  <c r="A42" i="135"/>
  <c r="C41" i="135"/>
  <c r="B41" i="135"/>
  <c r="A41" i="135"/>
  <c r="C40" i="135"/>
  <c r="B40" i="135"/>
  <c r="A40" i="135"/>
  <c r="C39" i="135"/>
  <c r="B39" i="135"/>
  <c r="A39" i="135"/>
  <c r="C38" i="135"/>
  <c r="B38" i="135"/>
  <c r="A38" i="135"/>
  <c r="C37" i="135"/>
  <c r="B37" i="135"/>
  <c r="A37" i="135"/>
  <c r="C36" i="135"/>
  <c r="B36" i="135"/>
  <c r="A36" i="135"/>
  <c r="C35" i="135"/>
  <c r="B35" i="135"/>
  <c r="A35" i="135"/>
  <c r="C34" i="135"/>
  <c r="B34" i="135"/>
  <c r="A34" i="135"/>
  <c r="C33" i="135"/>
  <c r="B33" i="135"/>
  <c r="A33" i="135"/>
  <c r="C32" i="135"/>
  <c r="B32" i="135"/>
  <c r="A32" i="135"/>
  <c r="C31" i="135"/>
  <c r="B31" i="135"/>
  <c r="A31" i="135"/>
  <c r="C30" i="135"/>
  <c r="B30" i="135"/>
  <c r="A30" i="135"/>
  <c r="C29" i="135"/>
  <c r="B29" i="135"/>
  <c r="A29" i="135"/>
  <c r="C28" i="135"/>
  <c r="B28" i="135"/>
  <c r="A28" i="135"/>
  <c r="C27" i="135"/>
  <c r="B27" i="135"/>
  <c r="A27" i="135"/>
  <c r="C26" i="135"/>
  <c r="B26" i="135"/>
  <c r="A26" i="135"/>
  <c r="C25" i="135"/>
  <c r="B25" i="135"/>
  <c r="A25" i="135"/>
  <c r="C24" i="135"/>
  <c r="B24" i="135"/>
  <c r="A24" i="135"/>
  <c r="C23" i="135"/>
  <c r="B23" i="135"/>
  <c r="A23" i="135"/>
  <c r="C22" i="135"/>
  <c r="B22" i="135"/>
  <c r="A22" i="135"/>
  <c r="C21" i="135"/>
  <c r="B21" i="135"/>
  <c r="A21" i="135"/>
  <c r="C20" i="135"/>
  <c r="B20" i="135"/>
  <c r="A20" i="135"/>
  <c r="C19" i="135"/>
  <c r="B19" i="135"/>
  <c r="A19" i="135"/>
  <c r="C18" i="135"/>
  <c r="B18" i="135"/>
  <c r="A18" i="135"/>
  <c r="C17" i="135"/>
  <c r="B17" i="135"/>
  <c r="A17" i="135"/>
  <c r="C16" i="135"/>
  <c r="B16" i="135"/>
  <c r="A16" i="135"/>
  <c r="C15" i="135"/>
  <c r="B15" i="135"/>
  <c r="A15" i="135"/>
  <c r="C14" i="135"/>
  <c r="B14" i="135"/>
  <c r="A14" i="135"/>
  <c r="C13" i="135"/>
  <c r="B13" i="135"/>
  <c r="A13" i="135"/>
  <c r="C12" i="135"/>
  <c r="B12" i="135"/>
  <c r="A12" i="135"/>
  <c r="C11" i="135"/>
  <c r="B11" i="135"/>
  <c r="A11" i="135"/>
  <c r="C10" i="135"/>
  <c r="B10" i="135"/>
  <c r="A10" i="135"/>
  <c r="C9" i="135"/>
  <c r="B9" i="135"/>
  <c r="A9" i="135"/>
  <c r="C8" i="135"/>
  <c r="B8" i="135"/>
  <c r="A8" i="135"/>
  <c r="C7" i="135"/>
  <c r="B7" i="135"/>
  <c r="A7" i="135"/>
  <c r="C6" i="135"/>
  <c r="B6" i="135"/>
  <c r="A6" i="135"/>
  <c r="C118" i="129"/>
  <c r="B118" i="129"/>
  <c r="A118" i="129"/>
  <c r="C117" i="129"/>
  <c r="B117" i="129"/>
  <c r="A117" i="129"/>
  <c r="C116" i="129"/>
  <c r="B116" i="129"/>
  <c r="A116" i="129"/>
  <c r="C115" i="129"/>
  <c r="B115" i="129"/>
  <c r="A115" i="129"/>
  <c r="C114" i="129"/>
  <c r="B114" i="129"/>
  <c r="A114" i="129"/>
  <c r="C113" i="129"/>
  <c r="B113" i="129"/>
  <c r="A113" i="129"/>
  <c r="C112" i="129"/>
  <c r="B112" i="129"/>
  <c r="A112" i="129"/>
  <c r="C111" i="129"/>
  <c r="B111" i="129"/>
  <c r="A111" i="129"/>
  <c r="C110" i="129"/>
  <c r="B110" i="129"/>
  <c r="A110" i="129"/>
  <c r="C109" i="129"/>
  <c r="B109" i="129"/>
  <c r="A109" i="129"/>
  <c r="C108" i="129"/>
  <c r="B108" i="129"/>
  <c r="A108" i="129"/>
  <c r="C107" i="129"/>
  <c r="B107" i="129"/>
  <c r="A107" i="129"/>
  <c r="C106" i="129"/>
  <c r="B106" i="129"/>
  <c r="A106" i="129"/>
  <c r="C105" i="129"/>
  <c r="B105" i="129"/>
  <c r="A105" i="129"/>
  <c r="C104" i="129"/>
  <c r="B104" i="129"/>
  <c r="A104" i="129"/>
  <c r="C103" i="129"/>
  <c r="B103" i="129"/>
  <c r="A103" i="129"/>
  <c r="C102" i="129"/>
  <c r="B102" i="129"/>
  <c r="A102" i="129"/>
  <c r="C101" i="129"/>
  <c r="B101" i="129"/>
  <c r="A101" i="129"/>
  <c r="C100" i="129"/>
  <c r="B100" i="129"/>
  <c r="A100" i="129"/>
  <c r="C99" i="129"/>
  <c r="B99" i="129"/>
  <c r="A99" i="129"/>
  <c r="C98" i="129"/>
  <c r="B98" i="129"/>
  <c r="A98" i="129"/>
  <c r="C97" i="129"/>
  <c r="B97" i="129"/>
  <c r="A97" i="129"/>
  <c r="C96" i="129"/>
  <c r="B96" i="129"/>
  <c r="A96" i="129"/>
  <c r="C95" i="129"/>
  <c r="B95" i="129"/>
  <c r="A95" i="129"/>
  <c r="C94" i="129"/>
  <c r="B94" i="129"/>
  <c r="A94" i="129"/>
  <c r="C93" i="129"/>
  <c r="B93" i="129"/>
  <c r="A93" i="129"/>
  <c r="C92" i="129"/>
  <c r="B92" i="129"/>
  <c r="A92" i="129"/>
  <c r="C91" i="129"/>
  <c r="B91" i="129"/>
  <c r="A91" i="129"/>
  <c r="C90" i="129"/>
  <c r="B90" i="129"/>
  <c r="A90" i="129"/>
  <c r="C89" i="129"/>
  <c r="B89" i="129"/>
  <c r="A89" i="129"/>
  <c r="C88" i="129"/>
  <c r="B88" i="129"/>
  <c r="A88" i="129"/>
  <c r="C87" i="129"/>
  <c r="B87" i="129"/>
  <c r="A87" i="129"/>
  <c r="C86" i="129"/>
  <c r="B86" i="129"/>
  <c r="A86" i="129"/>
  <c r="C85" i="129"/>
  <c r="B85" i="129"/>
  <c r="A85" i="129"/>
  <c r="C84" i="129"/>
  <c r="B84" i="129"/>
  <c r="A84" i="129"/>
  <c r="C83" i="129"/>
  <c r="B83" i="129"/>
  <c r="A83" i="129"/>
  <c r="C82" i="129"/>
  <c r="B82" i="129"/>
  <c r="A82" i="129"/>
  <c r="C81" i="129"/>
  <c r="B81" i="129"/>
  <c r="A81" i="129"/>
  <c r="C80" i="129"/>
  <c r="B80" i="129"/>
  <c r="A80" i="129"/>
  <c r="C79" i="129"/>
  <c r="B79" i="129"/>
  <c r="A79" i="129"/>
  <c r="C78" i="129"/>
  <c r="B78" i="129"/>
  <c r="A78" i="129"/>
  <c r="C77" i="129"/>
  <c r="B77" i="129"/>
  <c r="A77" i="129"/>
  <c r="C76" i="129"/>
  <c r="B76" i="129"/>
  <c r="A76" i="129"/>
  <c r="C75" i="129"/>
  <c r="B75" i="129"/>
  <c r="A75" i="129"/>
  <c r="C74" i="129"/>
  <c r="B74" i="129"/>
  <c r="A74" i="129"/>
  <c r="C73" i="129"/>
  <c r="B73" i="129"/>
  <c r="A73" i="129"/>
  <c r="C72" i="129"/>
  <c r="B72" i="129"/>
  <c r="A72" i="129"/>
  <c r="C71" i="129"/>
  <c r="B71" i="129"/>
  <c r="A71" i="129"/>
  <c r="C70" i="129"/>
  <c r="B70" i="129"/>
  <c r="A70" i="129"/>
  <c r="C69" i="129"/>
  <c r="B69" i="129"/>
  <c r="A69" i="129"/>
  <c r="C68" i="129"/>
  <c r="B68" i="129"/>
  <c r="A68" i="129"/>
  <c r="C67" i="129"/>
  <c r="B67" i="129"/>
  <c r="A67" i="129"/>
  <c r="C66" i="129"/>
  <c r="B66" i="129"/>
  <c r="A66" i="129"/>
  <c r="C65" i="129"/>
  <c r="B65" i="129"/>
  <c r="A65" i="129"/>
  <c r="C64" i="129"/>
  <c r="B64" i="129"/>
  <c r="A64" i="129"/>
  <c r="C63" i="129"/>
  <c r="B63" i="129"/>
  <c r="A63" i="129"/>
  <c r="C62" i="129"/>
  <c r="B62" i="129"/>
  <c r="A62" i="129"/>
  <c r="C61" i="129"/>
  <c r="B61" i="129"/>
  <c r="A61" i="129"/>
  <c r="C60" i="129"/>
  <c r="B60" i="129"/>
  <c r="A60" i="129"/>
  <c r="C59" i="129"/>
  <c r="B59" i="129"/>
  <c r="A59" i="129"/>
  <c r="C58" i="129"/>
  <c r="B58" i="129"/>
  <c r="A58" i="129"/>
  <c r="C57" i="129"/>
  <c r="B57" i="129"/>
  <c r="A57" i="129"/>
  <c r="C56" i="129"/>
  <c r="B56" i="129"/>
  <c r="A56" i="129"/>
  <c r="C55" i="129"/>
  <c r="B55" i="129"/>
  <c r="A55" i="129"/>
  <c r="C54" i="129"/>
  <c r="B54" i="129"/>
  <c r="A54" i="129"/>
  <c r="C53" i="129"/>
  <c r="B53" i="129"/>
  <c r="A53" i="129"/>
  <c r="C52" i="129"/>
  <c r="B52" i="129"/>
  <c r="A52" i="129"/>
  <c r="C51" i="129"/>
  <c r="B51" i="129"/>
  <c r="A51" i="129"/>
  <c r="C50" i="129"/>
  <c r="B50" i="129"/>
  <c r="A50" i="129"/>
  <c r="C49" i="129"/>
  <c r="B49" i="129"/>
  <c r="A49" i="129"/>
  <c r="C48" i="129"/>
  <c r="B48" i="129"/>
  <c r="A48" i="129"/>
  <c r="C47" i="129"/>
  <c r="B47" i="129"/>
  <c r="A47" i="129"/>
  <c r="C46" i="129"/>
  <c r="B46" i="129"/>
  <c r="A46" i="129"/>
  <c r="C45" i="129"/>
  <c r="B45" i="129"/>
  <c r="A45" i="129"/>
  <c r="C44" i="129"/>
  <c r="B44" i="129"/>
  <c r="A44" i="129"/>
  <c r="C43" i="129"/>
  <c r="B43" i="129"/>
  <c r="A43" i="129"/>
  <c r="C42" i="129"/>
  <c r="B42" i="129"/>
  <c r="A42" i="129"/>
  <c r="C41" i="129"/>
  <c r="B41" i="129"/>
  <c r="A41" i="129"/>
  <c r="C40" i="129"/>
  <c r="B40" i="129"/>
  <c r="A40" i="129"/>
  <c r="C39" i="129"/>
  <c r="B39" i="129"/>
  <c r="A39" i="129"/>
  <c r="C38" i="129"/>
  <c r="B38" i="129"/>
  <c r="A38" i="129"/>
  <c r="C37" i="129"/>
  <c r="B37" i="129"/>
  <c r="A37" i="129"/>
  <c r="C36" i="129"/>
  <c r="B36" i="129"/>
  <c r="A36" i="129"/>
  <c r="C35" i="129"/>
  <c r="B35" i="129"/>
  <c r="A35" i="129"/>
  <c r="C34" i="129"/>
  <c r="B34" i="129"/>
  <c r="A34" i="129"/>
  <c r="C33" i="129"/>
  <c r="B33" i="129"/>
  <c r="A33" i="129"/>
  <c r="C32" i="129"/>
  <c r="B32" i="129"/>
  <c r="A32" i="129"/>
  <c r="C31" i="129"/>
  <c r="B31" i="129"/>
  <c r="A31" i="129"/>
  <c r="C30" i="129"/>
  <c r="B30" i="129"/>
  <c r="A30" i="129"/>
  <c r="C29" i="129"/>
  <c r="B29" i="129"/>
  <c r="A29" i="129"/>
  <c r="C28" i="129"/>
  <c r="B28" i="129"/>
  <c r="A28" i="129"/>
  <c r="C27" i="129"/>
  <c r="B27" i="129"/>
  <c r="A27" i="129"/>
  <c r="C26" i="129"/>
  <c r="B26" i="129"/>
  <c r="A26" i="129"/>
  <c r="C25" i="129"/>
  <c r="B25" i="129"/>
  <c r="A25" i="129"/>
  <c r="C24" i="129"/>
  <c r="B24" i="129"/>
  <c r="A24" i="129"/>
  <c r="C23" i="129"/>
  <c r="B23" i="129"/>
  <c r="A23" i="129"/>
  <c r="C22" i="129"/>
  <c r="B22" i="129"/>
  <c r="A22" i="129"/>
  <c r="C21" i="129"/>
  <c r="B21" i="129"/>
  <c r="A21" i="129"/>
  <c r="C20" i="129"/>
  <c r="B20" i="129"/>
  <c r="A20" i="129"/>
  <c r="C19" i="129"/>
  <c r="B19" i="129"/>
  <c r="A19" i="129"/>
  <c r="C18" i="129"/>
  <c r="B18" i="129"/>
  <c r="A18" i="129"/>
  <c r="C17" i="129"/>
  <c r="B17" i="129"/>
  <c r="A17" i="129"/>
  <c r="C16" i="129"/>
  <c r="B16" i="129"/>
  <c r="A16" i="129"/>
  <c r="C15" i="129"/>
  <c r="B15" i="129"/>
  <c r="A15" i="129"/>
  <c r="C14" i="129"/>
  <c r="B14" i="129"/>
  <c r="A14" i="129"/>
  <c r="C13" i="129"/>
  <c r="B13" i="129"/>
  <c r="A13" i="129"/>
  <c r="C12" i="129"/>
  <c r="B12" i="129"/>
  <c r="A12" i="129"/>
  <c r="C11" i="129"/>
  <c r="B11" i="129"/>
  <c r="A11" i="129"/>
  <c r="C10" i="129"/>
  <c r="B10" i="129"/>
  <c r="A10" i="129"/>
  <c r="C9" i="129"/>
  <c r="B9" i="129"/>
  <c r="A9" i="129"/>
  <c r="C8" i="129"/>
  <c r="B8" i="129"/>
  <c r="A8" i="129"/>
  <c r="C7" i="129"/>
  <c r="B7" i="129"/>
  <c r="A7" i="129"/>
  <c r="C6" i="129"/>
  <c r="B6" i="129"/>
  <c r="A6" i="129"/>
  <c r="C118" i="128" l="1"/>
  <c r="B118" i="128"/>
  <c r="A118" i="128"/>
  <c r="C117" i="128"/>
  <c r="B117" i="128"/>
  <c r="A117" i="128"/>
  <c r="C116" i="128"/>
  <c r="B116" i="128"/>
  <c r="A116" i="128"/>
  <c r="C115" i="128"/>
  <c r="B115" i="128"/>
  <c r="A115" i="128"/>
  <c r="C114" i="128"/>
  <c r="B114" i="128"/>
  <c r="A114" i="128"/>
  <c r="C113" i="128"/>
  <c r="B113" i="128"/>
  <c r="A113" i="128"/>
  <c r="C112" i="128"/>
  <c r="B112" i="128"/>
  <c r="A112" i="128"/>
  <c r="C111" i="128"/>
  <c r="B111" i="128"/>
  <c r="A111" i="128"/>
  <c r="C110" i="128"/>
  <c r="B110" i="128"/>
  <c r="A110" i="128"/>
  <c r="C109" i="128"/>
  <c r="B109" i="128"/>
  <c r="A109" i="128"/>
  <c r="C108" i="128"/>
  <c r="B108" i="128"/>
  <c r="A108" i="128"/>
  <c r="C107" i="128"/>
  <c r="B107" i="128"/>
  <c r="A107" i="128"/>
  <c r="C106" i="128"/>
  <c r="B106" i="128"/>
  <c r="A106" i="128"/>
  <c r="C105" i="128"/>
  <c r="B105" i="128"/>
  <c r="A105" i="128"/>
  <c r="C104" i="128"/>
  <c r="B104" i="128"/>
  <c r="A104" i="128"/>
  <c r="C103" i="128"/>
  <c r="B103" i="128"/>
  <c r="A103" i="128"/>
  <c r="C102" i="128"/>
  <c r="B102" i="128"/>
  <c r="A102" i="128"/>
  <c r="C101" i="128"/>
  <c r="B101" i="128"/>
  <c r="A101" i="128"/>
  <c r="C100" i="128"/>
  <c r="B100" i="128"/>
  <c r="A100" i="128"/>
  <c r="C99" i="128"/>
  <c r="B99" i="128"/>
  <c r="A99" i="128"/>
  <c r="C98" i="128"/>
  <c r="B98" i="128"/>
  <c r="A98" i="128"/>
  <c r="C97" i="128"/>
  <c r="B97" i="128"/>
  <c r="A97" i="128"/>
  <c r="C96" i="128"/>
  <c r="B96" i="128"/>
  <c r="A96" i="128"/>
  <c r="C95" i="128"/>
  <c r="B95" i="128"/>
  <c r="A95" i="128"/>
  <c r="C94" i="128"/>
  <c r="B94" i="128"/>
  <c r="A94" i="128"/>
  <c r="C93" i="128"/>
  <c r="B93" i="128"/>
  <c r="A93" i="128"/>
  <c r="C92" i="128"/>
  <c r="B92" i="128"/>
  <c r="A92" i="128"/>
  <c r="C91" i="128"/>
  <c r="B91" i="128"/>
  <c r="A91" i="128"/>
  <c r="C90" i="128"/>
  <c r="B90" i="128"/>
  <c r="A90" i="128"/>
  <c r="C89" i="128"/>
  <c r="B89" i="128"/>
  <c r="A89" i="128"/>
  <c r="C88" i="128"/>
  <c r="B88" i="128"/>
  <c r="A88" i="128"/>
  <c r="C87" i="128"/>
  <c r="B87" i="128"/>
  <c r="A87" i="128"/>
  <c r="C86" i="128"/>
  <c r="B86" i="128"/>
  <c r="A86" i="128"/>
  <c r="C85" i="128"/>
  <c r="B85" i="128"/>
  <c r="A85" i="128"/>
  <c r="C84" i="128"/>
  <c r="B84" i="128"/>
  <c r="A84" i="128"/>
  <c r="C83" i="128"/>
  <c r="B83" i="128"/>
  <c r="A83" i="128"/>
  <c r="C82" i="128"/>
  <c r="B82" i="128"/>
  <c r="A82" i="128"/>
  <c r="C81" i="128"/>
  <c r="B81" i="128"/>
  <c r="A81" i="128"/>
  <c r="C80" i="128"/>
  <c r="B80" i="128"/>
  <c r="A80" i="128"/>
  <c r="C79" i="128"/>
  <c r="B79" i="128"/>
  <c r="A79" i="128"/>
  <c r="C78" i="128"/>
  <c r="B78" i="128"/>
  <c r="A78" i="128"/>
  <c r="C77" i="128"/>
  <c r="B77" i="128"/>
  <c r="A77" i="128"/>
  <c r="C76" i="128"/>
  <c r="B76" i="128"/>
  <c r="A76" i="128"/>
  <c r="C75" i="128"/>
  <c r="B75" i="128"/>
  <c r="A75" i="128"/>
  <c r="C74" i="128"/>
  <c r="B74" i="128"/>
  <c r="A74" i="128"/>
  <c r="C73" i="128"/>
  <c r="B73" i="128"/>
  <c r="A73" i="128"/>
  <c r="C72" i="128"/>
  <c r="B72" i="128"/>
  <c r="A72" i="128"/>
  <c r="C71" i="128"/>
  <c r="B71" i="128"/>
  <c r="A71" i="128"/>
  <c r="C70" i="128"/>
  <c r="B70" i="128"/>
  <c r="A70" i="128"/>
  <c r="C69" i="128"/>
  <c r="B69" i="128"/>
  <c r="A69" i="128"/>
  <c r="C68" i="128"/>
  <c r="B68" i="128"/>
  <c r="A68" i="128"/>
  <c r="C67" i="128"/>
  <c r="B67" i="128"/>
  <c r="A67" i="128"/>
  <c r="C66" i="128"/>
  <c r="B66" i="128"/>
  <c r="A66" i="128"/>
  <c r="C65" i="128"/>
  <c r="B65" i="128"/>
  <c r="A65" i="128"/>
  <c r="C64" i="128"/>
  <c r="B64" i="128"/>
  <c r="A64" i="128"/>
  <c r="C63" i="128"/>
  <c r="B63" i="128"/>
  <c r="A63" i="128"/>
  <c r="C62" i="128"/>
  <c r="B62" i="128"/>
  <c r="A62" i="128"/>
  <c r="C61" i="128"/>
  <c r="B61" i="128"/>
  <c r="A61" i="128"/>
  <c r="C60" i="128"/>
  <c r="B60" i="128"/>
  <c r="A60" i="128"/>
  <c r="C59" i="128"/>
  <c r="B59" i="128"/>
  <c r="A59" i="128"/>
  <c r="C58" i="128"/>
  <c r="B58" i="128"/>
  <c r="A58" i="128"/>
  <c r="C57" i="128"/>
  <c r="B57" i="128"/>
  <c r="A57" i="128"/>
  <c r="C56" i="128"/>
  <c r="B56" i="128"/>
  <c r="A56" i="128"/>
  <c r="C55" i="128"/>
  <c r="B55" i="128"/>
  <c r="A55" i="128"/>
  <c r="C54" i="128"/>
  <c r="B54" i="128"/>
  <c r="A54" i="128"/>
  <c r="C53" i="128"/>
  <c r="B53" i="128"/>
  <c r="A53" i="128"/>
  <c r="C52" i="128"/>
  <c r="B52" i="128"/>
  <c r="A52" i="128"/>
  <c r="C51" i="128"/>
  <c r="B51" i="128"/>
  <c r="A51" i="128"/>
  <c r="C50" i="128"/>
  <c r="B50" i="128"/>
  <c r="A50" i="128"/>
  <c r="C49" i="128"/>
  <c r="B49" i="128"/>
  <c r="A49" i="128"/>
  <c r="C48" i="128"/>
  <c r="B48" i="128"/>
  <c r="A48" i="128"/>
  <c r="C47" i="128"/>
  <c r="B47" i="128"/>
  <c r="A47" i="128"/>
  <c r="C46" i="128"/>
  <c r="B46" i="128"/>
  <c r="A46" i="128"/>
  <c r="C45" i="128"/>
  <c r="B45" i="128"/>
  <c r="A45" i="128"/>
  <c r="C44" i="128"/>
  <c r="B44" i="128"/>
  <c r="A44" i="128"/>
  <c r="C43" i="128"/>
  <c r="B43" i="128"/>
  <c r="A43" i="128"/>
  <c r="C42" i="128"/>
  <c r="B42" i="128"/>
  <c r="A42" i="128"/>
  <c r="C41" i="128"/>
  <c r="B41" i="128"/>
  <c r="A41" i="128"/>
  <c r="C40" i="128"/>
  <c r="B40" i="128"/>
  <c r="A40" i="128"/>
  <c r="C39" i="128"/>
  <c r="B39" i="128"/>
  <c r="A39" i="128"/>
  <c r="C38" i="128"/>
  <c r="B38" i="128"/>
  <c r="A38" i="128"/>
  <c r="C37" i="128"/>
  <c r="B37" i="128"/>
  <c r="A37" i="128"/>
  <c r="C36" i="128"/>
  <c r="B36" i="128"/>
  <c r="A36" i="128"/>
  <c r="C35" i="128"/>
  <c r="B35" i="128"/>
  <c r="A35" i="128"/>
  <c r="C34" i="128"/>
  <c r="B34" i="128"/>
  <c r="A34" i="128"/>
  <c r="C33" i="128"/>
  <c r="B33" i="128"/>
  <c r="A33" i="128"/>
  <c r="C32" i="128"/>
  <c r="B32" i="128"/>
  <c r="A32" i="128"/>
  <c r="C31" i="128"/>
  <c r="B31" i="128"/>
  <c r="A31" i="128"/>
  <c r="C30" i="128"/>
  <c r="B30" i="128"/>
  <c r="A30" i="128"/>
  <c r="C29" i="128"/>
  <c r="B29" i="128"/>
  <c r="A29" i="128"/>
  <c r="C28" i="128"/>
  <c r="B28" i="128"/>
  <c r="A28" i="128"/>
  <c r="C27" i="128"/>
  <c r="B27" i="128"/>
  <c r="A27" i="128"/>
  <c r="C26" i="128"/>
  <c r="B26" i="128"/>
  <c r="A26" i="128"/>
  <c r="C25" i="128"/>
  <c r="B25" i="128"/>
  <c r="A25" i="128"/>
  <c r="C24" i="128"/>
  <c r="B24" i="128"/>
  <c r="A24" i="128"/>
  <c r="C23" i="128"/>
  <c r="B23" i="128"/>
  <c r="A23" i="128"/>
  <c r="C22" i="128"/>
  <c r="B22" i="128"/>
  <c r="A22" i="128"/>
  <c r="C21" i="128"/>
  <c r="B21" i="128"/>
  <c r="A21" i="128"/>
  <c r="C20" i="128"/>
  <c r="B20" i="128"/>
  <c r="A20" i="128"/>
  <c r="C19" i="128"/>
  <c r="B19" i="128"/>
  <c r="A19" i="128"/>
  <c r="C18" i="128"/>
  <c r="B18" i="128"/>
  <c r="A18" i="128"/>
  <c r="C17" i="128"/>
  <c r="B17" i="128"/>
  <c r="A17" i="128"/>
  <c r="C16" i="128"/>
  <c r="B16" i="128"/>
  <c r="A16" i="128"/>
  <c r="C15" i="128"/>
  <c r="B15" i="128"/>
  <c r="A15" i="128"/>
  <c r="C14" i="128"/>
  <c r="B14" i="128"/>
  <c r="A14" i="128"/>
  <c r="C13" i="128"/>
  <c r="B13" i="128"/>
  <c r="A13" i="128"/>
  <c r="C12" i="128"/>
  <c r="B12" i="128"/>
  <c r="A12" i="128"/>
  <c r="C11" i="128"/>
  <c r="B11" i="128"/>
  <c r="A11" i="128"/>
  <c r="C10" i="128"/>
  <c r="B10" i="128"/>
  <c r="A10" i="128"/>
  <c r="C9" i="128"/>
  <c r="B9" i="128"/>
  <c r="A9" i="128"/>
  <c r="C8" i="128"/>
  <c r="B8" i="128"/>
  <c r="A8" i="128"/>
  <c r="C7" i="128"/>
  <c r="B7" i="128"/>
  <c r="A7" i="128"/>
  <c r="C6" i="128"/>
  <c r="B6" i="128"/>
  <c r="A6" i="128"/>
  <c r="A118" i="127"/>
  <c r="B118" i="127"/>
  <c r="C118" i="127"/>
  <c r="A105" i="127"/>
  <c r="B105" i="127"/>
  <c r="C105" i="127"/>
  <c r="A106" i="127"/>
  <c r="B106" i="127"/>
  <c r="C106" i="127"/>
  <c r="A107" i="127"/>
  <c r="B107" i="127"/>
  <c r="C107" i="127"/>
  <c r="A108" i="127"/>
  <c r="B108" i="127"/>
  <c r="C108" i="127"/>
  <c r="A109" i="127"/>
  <c r="B109" i="127"/>
  <c r="C109" i="127"/>
  <c r="A110" i="127"/>
  <c r="B110" i="127"/>
  <c r="C110" i="127"/>
  <c r="A111" i="127"/>
  <c r="B111" i="127"/>
  <c r="C111" i="127"/>
  <c r="A112" i="127"/>
  <c r="B112" i="127"/>
  <c r="C112" i="127"/>
  <c r="A113" i="127"/>
  <c r="B113" i="127"/>
  <c r="C113" i="127"/>
  <c r="A114" i="127"/>
  <c r="B114" i="127"/>
  <c r="C114" i="127"/>
  <c r="A115" i="127"/>
  <c r="B115" i="127"/>
  <c r="C115" i="127"/>
  <c r="A116" i="127"/>
  <c r="B116" i="127"/>
  <c r="C116" i="127"/>
  <c r="A117" i="127"/>
  <c r="B117" i="127"/>
  <c r="C117" i="127"/>
  <c r="A91" i="127"/>
  <c r="B91" i="127"/>
  <c r="C91" i="127"/>
  <c r="A92" i="127"/>
  <c r="B92" i="127"/>
  <c r="C92" i="127"/>
  <c r="A93" i="127"/>
  <c r="B93" i="127"/>
  <c r="C93" i="127"/>
  <c r="A94" i="127"/>
  <c r="B94" i="127"/>
  <c r="C94" i="127"/>
  <c r="A95" i="127"/>
  <c r="B95" i="127"/>
  <c r="C95" i="127"/>
  <c r="A96" i="127"/>
  <c r="B96" i="127"/>
  <c r="C96" i="127"/>
  <c r="A97" i="127"/>
  <c r="B97" i="127"/>
  <c r="C97" i="127"/>
  <c r="A98" i="127"/>
  <c r="B98" i="127"/>
  <c r="C98" i="127"/>
  <c r="A99" i="127"/>
  <c r="B99" i="127"/>
  <c r="C99" i="127"/>
  <c r="A100" i="127"/>
  <c r="B100" i="127"/>
  <c r="C100" i="127"/>
  <c r="A101" i="127"/>
  <c r="B101" i="127"/>
  <c r="C101" i="127"/>
  <c r="A102" i="127"/>
  <c r="B102" i="127"/>
  <c r="C102" i="127"/>
  <c r="A103" i="127"/>
  <c r="B103" i="127"/>
  <c r="C103" i="127"/>
  <c r="A104" i="127"/>
  <c r="B104" i="127"/>
  <c r="C104" i="127"/>
  <c r="A82" i="127"/>
  <c r="B82" i="127"/>
  <c r="C82" i="127"/>
  <c r="A83" i="127"/>
  <c r="B83" i="127"/>
  <c r="C83" i="127"/>
  <c r="A84" i="127"/>
  <c r="B84" i="127"/>
  <c r="C84" i="127"/>
  <c r="A85" i="127"/>
  <c r="B85" i="127"/>
  <c r="C85" i="127"/>
  <c r="A86" i="127"/>
  <c r="B86" i="127"/>
  <c r="C86" i="127"/>
  <c r="A87" i="127"/>
  <c r="B87" i="127"/>
  <c r="C87" i="127"/>
  <c r="A88" i="127"/>
  <c r="B88" i="127"/>
  <c r="C88" i="127"/>
  <c r="A89" i="127"/>
  <c r="B89" i="127"/>
  <c r="C89" i="127"/>
  <c r="A90" i="127"/>
  <c r="B90" i="127"/>
  <c r="C90" i="127"/>
  <c r="A66" i="127"/>
  <c r="B66" i="127"/>
  <c r="C66" i="127"/>
  <c r="A67" i="127"/>
  <c r="B67" i="127"/>
  <c r="C67" i="127"/>
  <c r="A68" i="127"/>
  <c r="B68" i="127"/>
  <c r="C68" i="127"/>
  <c r="A69" i="127"/>
  <c r="B69" i="127"/>
  <c r="C69" i="127"/>
  <c r="A70" i="127"/>
  <c r="B70" i="127"/>
  <c r="C70" i="127"/>
  <c r="A71" i="127"/>
  <c r="B71" i="127"/>
  <c r="C71" i="127"/>
  <c r="A72" i="127"/>
  <c r="B72" i="127"/>
  <c r="C72" i="127"/>
  <c r="A73" i="127"/>
  <c r="B73" i="127"/>
  <c r="C73" i="127"/>
  <c r="A74" i="127"/>
  <c r="B74" i="127"/>
  <c r="C74" i="127"/>
  <c r="A75" i="127"/>
  <c r="B75" i="127"/>
  <c r="C75" i="127"/>
  <c r="A76" i="127"/>
  <c r="B76" i="127"/>
  <c r="C76" i="127"/>
  <c r="A77" i="127"/>
  <c r="B77" i="127"/>
  <c r="C77" i="127"/>
  <c r="A78" i="127"/>
  <c r="B78" i="127"/>
  <c r="C78" i="127"/>
  <c r="A79" i="127"/>
  <c r="B79" i="127"/>
  <c r="C79" i="127"/>
  <c r="A80" i="127"/>
  <c r="B80" i="127"/>
  <c r="C80" i="127"/>
  <c r="A81" i="127"/>
  <c r="B81" i="127"/>
  <c r="C81" i="127"/>
  <c r="A55" i="127"/>
  <c r="B55" i="127"/>
  <c r="C55" i="127"/>
  <c r="A56" i="127"/>
  <c r="B56" i="127"/>
  <c r="C56" i="127"/>
  <c r="A57" i="127"/>
  <c r="B57" i="127"/>
  <c r="C57" i="127"/>
  <c r="A58" i="127"/>
  <c r="B58" i="127"/>
  <c r="C58" i="127"/>
  <c r="A59" i="127"/>
  <c r="B59" i="127"/>
  <c r="C59" i="127"/>
  <c r="A60" i="127"/>
  <c r="B60" i="127"/>
  <c r="C60" i="127"/>
  <c r="A61" i="127"/>
  <c r="B61" i="127"/>
  <c r="C61" i="127"/>
  <c r="A62" i="127"/>
  <c r="B62" i="127"/>
  <c r="C62" i="127"/>
  <c r="A63" i="127"/>
  <c r="B63" i="127"/>
  <c r="C63" i="127"/>
  <c r="A64" i="127"/>
  <c r="B64" i="127"/>
  <c r="C64" i="127"/>
  <c r="A65" i="127"/>
  <c r="B65" i="127"/>
  <c r="C65" i="127"/>
  <c r="A7" i="127"/>
  <c r="B7" i="127"/>
  <c r="C7" i="127"/>
  <c r="A8" i="127"/>
  <c r="B8" i="127"/>
  <c r="C8" i="127"/>
  <c r="A9" i="127"/>
  <c r="B9" i="127"/>
  <c r="C9" i="127"/>
  <c r="A10" i="127"/>
  <c r="B10" i="127"/>
  <c r="C10" i="127"/>
  <c r="A11" i="127"/>
  <c r="B11" i="127"/>
  <c r="C11" i="127"/>
  <c r="A12" i="127"/>
  <c r="B12" i="127"/>
  <c r="C12" i="127"/>
  <c r="A13" i="127"/>
  <c r="B13" i="127"/>
  <c r="C13" i="127"/>
  <c r="A14" i="127"/>
  <c r="B14" i="127"/>
  <c r="C14" i="127"/>
  <c r="A15" i="127"/>
  <c r="B15" i="127"/>
  <c r="C15" i="127"/>
  <c r="A16" i="127"/>
  <c r="B16" i="127"/>
  <c r="C16" i="127"/>
  <c r="A17" i="127"/>
  <c r="B17" i="127"/>
  <c r="C17" i="127"/>
  <c r="A18" i="127"/>
  <c r="B18" i="127"/>
  <c r="C18" i="127"/>
  <c r="A19" i="127"/>
  <c r="B19" i="127"/>
  <c r="C19" i="127"/>
  <c r="A20" i="127"/>
  <c r="B20" i="127"/>
  <c r="C20" i="127"/>
  <c r="A21" i="127"/>
  <c r="B21" i="127"/>
  <c r="C21" i="127"/>
  <c r="A22" i="127"/>
  <c r="B22" i="127"/>
  <c r="C22" i="127"/>
  <c r="A23" i="127"/>
  <c r="B23" i="127"/>
  <c r="C23" i="127"/>
  <c r="A24" i="127"/>
  <c r="B24" i="127"/>
  <c r="C24" i="127"/>
  <c r="A25" i="127"/>
  <c r="B25" i="127"/>
  <c r="C25" i="127"/>
  <c r="A26" i="127"/>
  <c r="B26" i="127"/>
  <c r="C26" i="127"/>
  <c r="A27" i="127"/>
  <c r="B27" i="127"/>
  <c r="C27" i="127"/>
  <c r="A28" i="127"/>
  <c r="B28" i="127"/>
  <c r="C28" i="127"/>
  <c r="A29" i="127"/>
  <c r="B29" i="127"/>
  <c r="C29" i="127"/>
  <c r="A30" i="127"/>
  <c r="B30" i="127"/>
  <c r="C30" i="127"/>
  <c r="A31" i="127"/>
  <c r="B31" i="127"/>
  <c r="C31" i="127"/>
  <c r="A32" i="127"/>
  <c r="B32" i="127"/>
  <c r="C32" i="127"/>
  <c r="A33" i="127"/>
  <c r="B33" i="127"/>
  <c r="C33" i="127"/>
  <c r="A34" i="127"/>
  <c r="B34" i="127"/>
  <c r="C34" i="127"/>
  <c r="A35" i="127"/>
  <c r="B35" i="127"/>
  <c r="C35" i="127"/>
  <c r="A36" i="127"/>
  <c r="B36" i="127"/>
  <c r="C36" i="127"/>
  <c r="A37" i="127"/>
  <c r="B37" i="127"/>
  <c r="C37" i="127"/>
  <c r="A38" i="127"/>
  <c r="B38" i="127"/>
  <c r="C38" i="127"/>
  <c r="A39" i="127"/>
  <c r="B39" i="127"/>
  <c r="C39" i="127"/>
  <c r="A40" i="127"/>
  <c r="B40" i="127"/>
  <c r="C40" i="127"/>
  <c r="A41" i="127"/>
  <c r="B41" i="127"/>
  <c r="C41" i="127"/>
  <c r="A42" i="127"/>
  <c r="B42" i="127"/>
  <c r="C42" i="127"/>
  <c r="A43" i="127"/>
  <c r="B43" i="127"/>
  <c r="C43" i="127"/>
  <c r="A44" i="127"/>
  <c r="B44" i="127"/>
  <c r="C44" i="127"/>
  <c r="A45" i="127"/>
  <c r="B45" i="127"/>
  <c r="C45" i="127"/>
  <c r="A46" i="127"/>
  <c r="B46" i="127"/>
  <c r="C46" i="127"/>
  <c r="A47" i="127"/>
  <c r="B47" i="127"/>
  <c r="C47" i="127"/>
  <c r="A48" i="127"/>
  <c r="B48" i="127"/>
  <c r="C48" i="127"/>
  <c r="A49" i="127"/>
  <c r="B49" i="127"/>
  <c r="C49" i="127"/>
  <c r="A50" i="127"/>
  <c r="B50" i="127"/>
  <c r="C50" i="127"/>
  <c r="A51" i="127"/>
  <c r="B51" i="127"/>
  <c r="C51" i="127"/>
  <c r="A52" i="127"/>
  <c r="B52" i="127"/>
  <c r="C52" i="127"/>
  <c r="A53" i="127"/>
  <c r="B53" i="127"/>
  <c r="C53" i="127"/>
  <c r="A54" i="127"/>
  <c r="B54" i="127"/>
  <c r="C54" i="127"/>
  <c r="B6" i="127"/>
  <c r="C6" i="127"/>
  <c r="A6" i="127"/>
  <c r="J118" i="126" l="1"/>
  <c r="I118" i="126"/>
  <c r="C118" i="126"/>
  <c r="B118" i="126"/>
  <c r="A118" i="126"/>
  <c r="J117" i="126"/>
  <c r="I117" i="126"/>
  <c r="C117" i="126"/>
  <c r="B117" i="126"/>
  <c r="A117" i="126"/>
  <c r="J116" i="126"/>
  <c r="I116" i="126"/>
  <c r="C116" i="126"/>
  <c r="B116" i="126"/>
  <c r="A116" i="126"/>
  <c r="C115" i="126"/>
  <c r="B115" i="126"/>
  <c r="A115" i="126"/>
  <c r="C114" i="126"/>
  <c r="B114" i="126"/>
  <c r="A114" i="126"/>
  <c r="C113" i="126"/>
  <c r="B113" i="126"/>
  <c r="A113" i="126"/>
  <c r="C112" i="126"/>
  <c r="B112" i="126"/>
  <c r="A112" i="126"/>
  <c r="C111" i="126"/>
  <c r="B111" i="126"/>
  <c r="A111" i="126"/>
  <c r="C110" i="126"/>
  <c r="B110" i="126"/>
  <c r="A110" i="126"/>
  <c r="J109" i="126"/>
  <c r="I109" i="126"/>
  <c r="C109" i="126"/>
  <c r="B109" i="126"/>
  <c r="A109" i="126"/>
  <c r="C108" i="126"/>
  <c r="B108" i="126"/>
  <c r="A108" i="126"/>
  <c r="J107" i="126"/>
  <c r="I107" i="126"/>
  <c r="C107" i="126"/>
  <c r="B107" i="126"/>
  <c r="A107" i="126"/>
  <c r="J106" i="126"/>
  <c r="I106" i="126"/>
  <c r="C106" i="126"/>
  <c r="B106" i="126"/>
  <c r="A106" i="126"/>
  <c r="C105" i="126"/>
  <c r="B105" i="126"/>
  <c r="A105" i="126"/>
  <c r="C104" i="126"/>
  <c r="B104" i="126"/>
  <c r="A104" i="126"/>
  <c r="C103" i="126"/>
  <c r="B103" i="126"/>
  <c r="A103" i="126"/>
  <c r="C102" i="126"/>
  <c r="B102" i="126"/>
  <c r="A102" i="126"/>
  <c r="J101" i="126"/>
  <c r="I101" i="126"/>
  <c r="C101" i="126"/>
  <c r="B101" i="126"/>
  <c r="A101" i="126"/>
  <c r="J100" i="126"/>
  <c r="I100" i="126"/>
  <c r="C100" i="126"/>
  <c r="B100" i="126"/>
  <c r="A100" i="126"/>
  <c r="J99" i="126"/>
  <c r="I99" i="126"/>
  <c r="C99" i="126"/>
  <c r="B99" i="126"/>
  <c r="A99" i="126"/>
  <c r="C98" i="126"/>
  <c r="B98" i="126"/>
  <c r="A98" i="126"/>
  <c r="J97" i="126"/>
  <c r="I97" i="126"/>
  <c r="C97" i="126"/>
  <c r="B97" i="126"/>
  <c r="A97" i="126"/>
  <c r="C96" i="126"/>
  <c r="B96" i="126"/>
  <c r="A96" i="126"/>
  <c r="J95" i="126"/>
  <c r="I95" i="126"/>
  <c r="C95" i="126"/>
  <c r="B95" i="126"/>
  <c r="A95" i="126"/>
  <c r="C94" i="126"/>
  <c r="B94" i="126"/>
  <c r="A94" i="126"/>
  <c r="J93" i="126"/>
  <c r="I93" i="126"/>
  <c r="C93" i="126"/>
  <c r="B93" i="126"/>
  <c r="A93" i="126"/>
  <c r="J92" i="126"/>
  <c r="I92" i="126"/>
  <c r="C92" i="126"/>
  <c r="B92" i="126"/>
  <c r="A92" i="126"/>
  <c r="J91" i="126"/>
  <c r="I91" i="126"/>
  <c r="C91" i="126"/>
  <c r="B91" i="126"/>
  <c r="A91" i="126"/>
  <c r="J90" i="126"/>
  <c r="I90" i="126"/>
  <c r="C90" i="126"/>
  <c r="B90" i="126"/>
  <c r="A90" i="126"/>
  <c r="C89" i="126"/>
  <c r="B89" i="126"/>
  <c r="A89" i="126"/>
  <c r="C88" i="126"/>
  <c r="B88" i="126"/>
  <c r="A88" i="126"/>
  <c r="J87" i="126"/>
  <c r="I87" i="126"/>
  <c r="C87" i="126"/>
  <c r="B87" i="126"/>
  <c r="A87" i="126"/>
  <c r="J86" i="126"/>
  <c r="I86" i="126"/>
  <c r="C86" i="126"/>
  <c r="B86" i="126"/>
  <c r="A86" i="126"/>
  <c r="C85" i="126"/>
  <c r="B85" i="126"/>
  <c r="A85" i="126"/>
  <c r="C84" i="126"/>
  <c r="B84" i="126"/>
  <c r="A84" i="126"/>
  <c r="J83" i="126"/>
  <c r="I83" i="126"/>
  <c r="C83" i="126"/>
  <c r="B83" i="126"/>
  <c r="A83" i="126"/>
  <c r="C82" i="126"/>
  <c r="B82" i="126"/>
  <c r="A82" i="126"/>
  <c r="C81" i="126"/>
  <c r="B81" i="126"/>
  <c r="A81" i="126"/>
  <c r="C80" i="126"/>
  <c r="B80" i="126"/>
  <c r="A80" i="126"/>
  <c r="I79" i="126"/>
  <c r="C79" i="126"/>
  <c r="B79" i="126"/>
  <c r="A79" i="126"/>
  <c r="J78" i="126"/>
  <c r="I78" i="126"/>
  <c r="C78" i="126"/>
  <c r="B78" i="126"/>
  <c r="A78" i="126"/>
  <c r="J77" i="126"/>
  <c r="I77" i="126"/>
  <c r="C77" i="126"/>
  <c r="B77" i="126"/>
  <c r="A77" i="126"/>
  <c r="C76" i="126"/>
  <c r="B76" i="126"/>
  <c r="A76" i="126"/>
  <c r="C75" i="126"/>
  <c r="B75" i="126"/>
  <c r="A75" i="126"/>
  <c r="J74" i="126"/>
  <c r="I74" i="126"/>
  <c r="C74" i="126"/>
  <c r="B74" i="126"/>
  <c r="A74" i="126"/>
  <c r="C73" i="126"/>
  <c r="B73" i="126"/>
  <c r="A73" i="126"/>
  <c r="J72" i="126"/>
  <c r="I72" i="126"/>
  <c r="C72" i="126"/>
  <c r="B72" i="126"/>
  <c r="A72" i="126"/>
  <c r="C71" i="126"/>
  <c r="B71" i="126"/>
  <c r="A71" i="126"/>
  <c r="C70" i="126"/>
  <c r="B70" i="126"/>
  <c r="A70" i="126"/>
  <c r="J69" i="126"/>
  <c r="I69" i="126"/>
  <c r="C69" i="126"/>
  <c r="B69" i="126"/>
  <c r="A69" i="126"/>
  <c r="C68" i="126"/>
  <c r="B68" i="126"/>
  <c r="A68" i="126"/>
  <c r="J67" i="126"/>
  <c r="I67" i="126"/>
  <c r="C67" i="126"/>
  <c r="B67" i="126"/>
  <c r="A67" i="126"/>
  <c r="C66" i="126"/>
  <c r="B66" i="126"/>
  <c r="A66" i="126"/>
  <c r="C65" i="126"/>
  <c r="B65" i="126"/>
  <c r="A65" i="126"/>
  <c r="J64" i="126"/>
  <c r="I64" i="126"/>
  <c r="C64" i="126"/>
  <c r="B64" i="126"/>
  <c r="A64" i="126"/>
  <c r="C63" i="126"/>
  <c r="B63" i="126"/>
  <c r="A63" i="126"/>
  <c r="C62" i="126"/>
  <c r="B62" i="126"/>
  <c r="A62" i="126"/>
  <c r="C61" i="126"/>
  <c r="B61" i="126"/>
  <c r="A61" i="126"/>
  <c r="C60" i="126"/>
  <c r="B60" i="126"/>
  <c r="A60" i="126"/>
  <c r="J59" i="126"/>
  <c r="I59" i="126"/>
  <c r="C59" i="126"/>
  <c r="B59" i="126"/>
  <c r="A59" i="126"/>
  <c r="C58" i="126"/>
  <c r="B58" i="126"/>
  <c r="A58" i="126"/>
  <c r="J57" i="126"/>
  <c r="I57" i="126"/>
  <c r="C57" i="126"/>
  <c r="B57" i="126"/>
  <c r="A57" i="126"/>
  <c r="J56" i="126"/>
  <c r="I56" i="126"/>
  <c r="C56" i="126"/>
  <c r="B56" i="126"/>
  <c r="A56" i="126"/>
  <c r="J55" i="126"/>
  <c r="C55" i="126"/>
  <c r="B55" i="126"/>
  <c r="A55" i="126"/>
  <c r="C54" i="126"/>
  <c r="B54" i="126"/>
  <c r="A54" i="126"/>
  <c r="J53" i="126"/>
  <c r="C53" i="126"/>
  <c r="B53" i="126"/>
  <c r="A53" i="126"/>
  <c r="C52" i="126"/>
  <c r="B52" i="126"/>
  <c r="A52" i="126"/>
  <c r="C51" i="126"/>
  <c r="B51" i="126"/>
  <c r="A51" i="126"/>
  <c r="C50" i="126"/>
  <c r="B50" i="126"/>
  <c r="A50" i="126"/>
  <c r="J49" i="126"/>
  <c r="I49" i="126"/>
  <c r="C49" i="126"/>
  <c r="B49" i="126"/>
  <c r="A49" i="126"/>
  <c r="C48" i="126"/>
  <c r="B48" i="126"/>
  <c r="A48" i="126"/>
  <c r="J47" i="126"/>
  <c r="I47" i="126"/>
  <c r="C47" i="126"/>
  <c r="B47" i="126"/>
  <c r="A47" i="126"/>
  <c r="C46" i="126"/>
  <c r="B46" i="126"/>
  <c r="A46" i="126"/>
  <c r="C45" i="126"/>
  <c r="B45" i="126"/>
  <c r="A45" i="126"/>
  <c r="C44" i="126"/>
  <c r="B44" i="126"/>
  <c r="A44" i="126"/>
  <c r="C43" i="126"/>
  <c r="B43" i="126"/>
  <c r="A43" i="126"/>
  <c r="C42" i="126"/>
  <c r="B42" i="126"/>
  <c r="A42" i="126"/>
  <c r="J41" i="126"/>
  <c r="I41" i="126"/>
  <c r="C41" i="126"/>
  <c r="B41" i="126"/>
  <c r="A41" i="126"/>
  <c r="J40" i="126"/>
  <c r="I40" i="126"/>
  <c r="C40" i="126"/>
  <c r="B40" i="126"/>
  <c r="A40" i="126"/>
  <c r="J39" i="126"/>
  <c r="I39" i="126"/>
  <c r="C39" i="126"/>
  <c r="B39" i="126"/>
  <c r="A39" i="126"/>
  <c r="J38" i="126"/>
  <c r="I38" i="126"/>
  <c r="C38" i="126"/>
  <c r="B38" i="126"/>
  <c r="A38" i="126"/>
  <c r="C37" i="126"/>
  <c r="B37" i="126"/>
  <c r="A37" i="126"/>
  <c r="C36" i="126"/>
  <c r="B36" i="126"/>
  <c r="A36" i="126"/>
  <c r="C35" i="126"/>
  <c r="B35" i="126"/>
  <c r="A35" i="126"/>
  <c r="C34" i="126"/>
  <c r="B34" i="126"/>
  <c r="A34" i="126"/>
  <c r="C33" i="126"/>
  <c r="B33" i="126"/>
  <c r="A33" i="126"/>
  <c r="C32" i="126"/>
  <c r="B32" i="126"/>
  <c r="A32" i="126"/>
  <c r="C31" i="126"/>
  <c r="B31" i="126"/>
  <c r="A31" i="126"/>
  <c r="C30" i="126"/>
  <c r="B30" i="126"/>
  <c r="A30" i="126"/>
  <c r="J29" i="126"/>
  <c r="I29" i="126"/>
  <c r="C29" i="126"/>
  <c r="B29" i="126"/>
  <c r="A29" i="126"/>
  <c r="J28" i="126"/>
  <c r="I28" i="126"/>
  <c r="C28" i="126"/>
  <c r="B28" i="126"/>
  <c r="A28" i="126"/>
  <c r="C27" i="126"/>
  <c r="B27" i="126"/>
  <c r="A27" i="126"/>
  <c r="J26" i="126"/>
  <c r="I26" i="126"/>
  <c r="C26" i="126"/>
  <c r="B26" i="126"/>
  <c r="A26" i="126"/>
  <c r="C25" i="126"/>
  <c r="B25" i="126"/>
  <c r="A25" i="126"/>
  <c r="J24" i="126"/>
  <c r="I24" i="126"/>
  <c r="C24" i="126"/>
  <c r="B24" i="126"/>
  <c r="A24" i="126"/>
  <c r="C23" i="126"/>
  <c r="B23" i="126"/>
  <c r="A23" i="126"/>
  <c r="J22" i="126"/>
  <c r="I22" i="126"/>
  <c r="C22" i="126"/>
  <c r="B22" i="126"/>
  <c r="A22" i="126"/>
  <c r="C21" i="126"/>
  <c r="B21" i="126"/>
  <c r="A21" i="126"/>
  <c r="J20" i="126"/>
  <c r="I20" i="126"/>
  <c r="C20" i="126"/>
  <c r="B20" i="126"/>
  <c r="A20" i="126"/>
  <c r="C19" i="126"/>
  <c r="B19" i="126"/>
  <c r="A19" i="126"/>
  <c r="C18" i="126"/>
  <c r="B18" i="126"/>
  <c r="A18" i="126"/>
  <c r="J17" i="126"/>
  <c r="I17" i="126"/>
  <c r="C17" i="126"/>
  <c r="B17" i="126"/>
  <c r="A17" i="126"/>
  <c r="C16" i="126"/>
  <c r="B16" i="126"/>
  <c r="A16" i="126"/>
  <c r="C15" i="126"/>
  <c r="B15" i="126"/>
  <c r="A15" i="126"/>
  <c r="C14" i="126"/>
  <c r="B14" i="126"/>
  <c r="A14" i="126"/>
  <c r="C13" i="126"/>
  <c r="B13" i="126"/>
  <c r="A13" i="126"/>
  <c r="C12" i="126"/>
  <c r="B12" i="126"/>
  <c r="A12" i="126"/>
  <c r="C11" i="126"/>
  <c r="B11" i="126"/>
  <c r="A11" i="126"/>
  <c r="C10" i="126"/>
  <c r="B10" i="126"/>
  <c r="A10" i="126"/>
  <c r="C9" i="126"/>
  <c r="B9" i="126"/>
  <c r="A9" i="126"/>
  <c r="I8" i="126"/>
  <c r="C8" i="126"/>
  <c r="B8" i="126"/>
  <c r="A8" i="126"/>
  <c r="C7" i="126"/>
  <c r="B7" i="126"/>
  <c r="A7" i="126"/>
  <c r="C6" i="126"/>
  <c r="B6" i="126"/>
  <c r="A6" i="126"/>
  <c r="D7" i="125"/>
  <c r="D8" i="125"/>
  <c r="D9" i="125"/>
  <c r="D10" i="125"/>
  <c r="D11" i="125"/>
  <c r="D12" i="125"/>
  <c r="D13" i="125"/>
  <c r="D14" i="125"/>
  <c r="D15" i="125"/>
  <c r="D16" i="125"/>
  <c r="D17" i="125"/>
  <c r="D18" i="125"/>
  <c r="D19" i="125"/>
  <c r="D20" i="125"/>
  <c r="D21" i="125"/>
  <c r="D22" i="125"/>
  <c r="D23" i="125"/>
  <c r="D24" i="125"/>
  <c r="D25" i="125"/>
  <c r="D26" i="125"/>
  <c r="D27" i="125"/>
  <c r="D28" i="125"/>
  <c r="D29" i="125"/>
  <c r="D30" i="125"/>
  <c r="D31" i="125"/>
  <c r="D32" i="125"/>
  <c r="D33" i="125"/>
  <c r="D34" i="125"/>
  <c r="D35" i="125"/>
  <c r="D36" i="125"/>
  <c r="D37" i="125"/>
  <c r="D38" i="125"/>
  <c r="D39" i="125"/>
  <c r="D40" i="125"/>
  <c r="D41" i="125"/>
  <c r="D42" i="125"/>
  <c r="D43" i="125"/>
  <c r="D44" i="125"/>
  <c r="D45" i="125"/>
  <c r="D46" i="125"/>
  <c r="D47" i="125"/>
  <c r="D48" i="125"/>
  <c r="D49" i="125"/>
  <c r="D50" i="125"/>
  <c r="D51" i="125"/>
  <c r="D52" i="125"/>
  <c r="D53" i="125"/>
  <c r="D54" i="125"/>
  <c r="D55" i="125"/>
  <c r="D56" i="125"/>
  <c r="D57" i="125"/>
  <c r="D58" i="125"/>
  <c r="D59" i="125"/>
  <c r="D60" i="125"/>
  <c r="D61" i="125"/>
  <c r="D62" i="125"/>
  <c r="D63" i="125"/>
  <c r="D64" i="125"/>
  <c r="D65" i="125"/>
  <c r="D66" i="125"/>
  <c r="D67" i="125"/>
  <c r="D68" i="125"/>
  <c r="D69" i="125"/>
  <c r="D70" i="125"/>
  <c r="D71" i="125"/>
  <c r="D72" i="125"/>
  <c r="D73" i="125"/>
  <c r="D74" i="125"/>
  <c r="D75" i="125"/>
  <c r="D76" i="125"/>
  <c r="D77" i="125"/>
  <c r="D78" i="125"/>
  <c r="D79" i="125"/>
  <c r="D80" i="125"/>
  <c r="D81" i="125"/>
  <c r="D82" i="125"/>
  <c r="D83" i="125"/>
  <c r="D84" i="125"/>
  <c r="D85" i="125"/>
  <c r="D86" i="125"/>
  <c r="D87" i="125"/>
  <c r="D88" i="125"/>
  <c r="D89" i="125"/>
  <c r="D90" i="125"/>
  <c r="D91" i="125"/>
  <c r="D92" i="125"/>
  <c r="D93" i="125"/>
  <c r="D94" i="125"/>
  <c r="D95" i="125"/>
  <c r="D96" i="125"/>
  <c r="D97" i="125"/>
  <c r="D98" i="125"/>
  <c r="D99" i="125"/>
  <c r="D100" i="125"/>
  <c r="D101" i="125"/>
  <c r="D102" i="125"/>
  <c r="D103" i="125"/>
  <c r="D104" i="125"/>
  <c r="D105" i="125"/>
  <c r="D106" i="125"/>
  <c r="D107" i="125"/>
  <c r="D108" i="125"/>
  <c r="D109" i="125"/>
  <c r="D110" i="125"/>
  <c r="D111" i="125"/>
  <c r="D112" i="125"/>
  <c r="D113" i="125"/>
  <c r="D114" i="125"/>
  <c r="D115" i="125"/>
  <c r="D116" i="125"/>
  <c r="D117" i="125"/>
  <c r="D118" i="125"/>
  <c r="D6" i="125"/>
  <c r="J118" i="125"/>
  <c r="J117" i="125"/>
  <c r="J116" i="125"/>
  <c r="J109" i="125"/>
  <c r="J107" i="125"/>
  <c r="J106" i="125"/>
  <c r="J101" i="125"/>
  <c r="J100" i="125"/>
  <c r="J99" i="125"/>
  <c r="J97" i="125"/>
  <c r="J95" i="125"/>
  <c r="J93" i="125"/>
  <c r="J92" i="125"/>
  <c r="J91" i="125"/>
  <c r="J90" i="125"/>
  <c r="J87" i="125"/>
  <c r="J86" i="125"/>
  <c r="J83" i="125"/>
  <c r="J78" i="125"/>
  <c r="J77" i="125"/>
  <c r="J74" i="125"/>
  <c r="J72" i="125"/>
  <c r="J69" i="125"/>
  <c r="J67" i="125"/>
  <c r="J64" i="125"/>
  <c r="J59" i="125"/>
  <c r="J57" i="125"/>
  <c r="J56" i="125"/>
  <c r="J55" i="125"/>
  <c r="J53" i="125"/>
  <c r="J49" i="125"/>
  <c r="J47" i="125"/>
  <c r="J41" i="125"/>
  <c r="J40" i="125"/>
  <c r="J39" i="125"/>
  <c r="J38" i="125"/>
  <c r="J29" i="125"/>
  <c r="J28" i="125"/>
  <c r="J26" i="125"/>
  <c r="J24" i="125"/>
  <c r="J22" i="125"/>
  <c r="J20" i="125"/>
  <c r="J17" i="125"/>
  <c r="J15" i="125"/>
  <c r="J14" i="125"/>
  <c r="J11" i="125"/>
  <c r="J8" i="125"/>
  <c r="I38" i="125"/>
  <c r="I8" i="125"/>
  <c r="I11" i="125"/>
  <c r="I14" i="125"/>
  <c r="I15" i="125"/>
  <c r="I16" i="125"/>
  <c r="I17" i="125"/>
  <c r="I20" i="125"/>
  <c r="I22" i="125"/>
  <c r="I24" i="125"/>
  <c r="I26" i="125"/>
  <c r="I28" i="125"/>
  <c r="I29" i="125"/>
  <c r="I39" i="125"/>
  <c r="I40" i="125"/>
  <c r="I41" i="125"/>
  <c r="I47" i="125"/>
  <c r="I49" i="125"/>
  <c r="I56" i="125"/>
  <c r="I57" i="125"/>
  <c r="I59" i="125"/>
  <c r="I64" i="125"/>
  <c r="I67" i="125"/>
  <c r="I69" i="125"/>
  <c r="I72" i="125"/>
  <c r="I74" i="125"/>
  <c r="I77" i="125"/>
  <c r="I78" i="125"/>
  <c r="I79" i="125"/>
  <c r="I83" i="125"/>
  <c r="I86" i="125"/>
  <c r="I87" i="125"/>
  <c r="I90" i="125"/>
  <c r="I91" i="125"/>
  <c r="I92" i="125"/>
  <c r="I93" i="125"/>
  <c r="I95" i="125"/>
  <c r="I97" i="125"/>
  <c r="I99" i="125"/>
  <c r="I100" i="125"/>
  <c r="I101" i="125"/>
  <c r="I106" i="125"/>
  <c r="I107" i="125"/>
  <c r="I118" i="125"/>
  <c r="I117" i="125"/>
  <c r="I116" i="125"/>
  <c r="I109" i="125"/>
  <c r="G79" i="125"/>
  <c r="G72" i="125"/>
  <c r="G69" i="125"/>
  <c r="G55" i="125"/>
  <c r="G20" i="125"/>
  <c r="G17" i="125"/>
  <c r="A7" i="125" l="1"/>
  <c r="B7" i="125"/>
  <c r="C7" i="125"/>
  <c r="A8" i="125"/>
  <c r="B8" i="125"/>
  <c r="C8" i="125"/>
  <c r="A9" i="125"/>
  <c r="B9" i="125"/>
  <c r="C9" i="125"/>
  <c r="A10" i="125"/>
  <c r="B10" i="125"/>
  <c r="C10" i="125"/>
  <c r="A11" i="125"/>
  <c r="B11" i="125"/>
  <c r="C11" i="125"/>
  <c r="A12" i="125"/>
  <c r="B12" i="125"/>
  <c r="C12" i="125"/>
  <c r="A13" i="125"/>
  <c r="B13" i="125"/>
  <c r="C13" i="125"/>
  <c r="A14" i="125"/>
  <c r="B14" i="125"/>
  <c r="C14" i="125"/>
  <c r="A15" i="125"/>
  <c r="B15" i="125"/>
  <c r="C15" i="125"/>
  <c r="A16" i="125"/>
  <c r="B16" i="125"/>
  <c r="C16" i="125"/>
  <c r="A17" i="125"/>
  <c r="B17" i="125"/>
  <c r="C17" i="125"/>
  <c r="A18" i="125"/>
  <c r="B18" i="125"/>
  <c r="C18" i="125"/>
  <c r="A19" i="125"/>
  <c r="B19" i="125"/>
  <c r="C19" i="125"/>
  <c r="A20" i="125"/>
  <c r="B20" i="125"/>
  <c r="C20" i="125"/>
  <c r="A21" i="125"/>
  <c r="B21" i="125"/>
  <c r="C21" i="125"/>
  <c r="A22" i="125"/>
  <c r="B22" i="125"/>
  <c r="C22" i="125"/>
  <c r="A23" i="125"/>
  <c r="B23" i="125"/>
  <c r="C23" i="125"/>
  <c r="A24" i="125"/>
  <c r="B24" i="125"/>
  <c r="C24" i="125"/>
  <c r="A25" i="125"/>
  <c r="B25" i="125"/>
  <c r="C25" i="125"/>
  <c r="A26" i="125"/>
  <c r="B26" i="125"/>
  <c r="C26" i="125"/>
  <c r="A27" i="125"/>
  <c r="B27" i="125"/>
  <c r="C27" i="125"/>
  <c r="A28" i="125"/>
  <c r="B28" i="125"/>
  <c r="C28" i="125"/>
  <c r="A29" i="125"/>
  <c r="B29" i="125"/>
  <c r="C29" i="125"/>
  <c r="A30" i="125"/>
  <c r="B30" i="125"/>
  <c r="C30" i="125"/>
  <c r="A31" i="125"/>
  <c r="B31" i="125"/>
  <c r="C31" i="125"/>
  <c r="A32" i="125"/>
  <c r="B32" i="125"/>
  <c r="C32" i="125"/>
  <c r="A33" i="125"/>
  <c r="B33" i="125"/>
  <c r="C33" i="125"/>
  <c r="A34" i="125"/>
  <c r="B34" i="125"/>
  <c r="C34" i="125"/>
  <c r="A35" i="125"/>
  <c r="B35" i="125"/>
  <c r="C35" i="125"/>
  <c r="A36" i="125"/>
  <c r="B36" i="125"/>
  <c r="C36" i="125"/>
  <c r="A37" i="125"/>
  <c r="B37" i="125"/>
  <c r="C37" i="125"/>
  <c r="A38" i="125"/>
  <c r="B38" i="125"/>
  <c r="C38" i="125"/>
  <c r="A39" i="125"/>
  <c r="B39" i="125"/>
  <c r="C39" i="125"/>
  <c r="A40" i="125"/>
  <c r="B40" i="125"/>
  <c r="C40" i="125"/>
  <c r="A41" i="125"/>
  <c r="B41" i="125"/>
  <c r="C41" i="125"/>
  <c r="A42" i="125"/>
  <c r="B42" i="125"/>
  <c r="C42" i="125"/>
  <c r="A43" i="125"/>
  <c r="B43" i="125"/>
  <c r="C43" i="125"/>
  <c r="A44" i="125"/>
  <c r="B44" i="125"/>
  <c r="C44" i="125"/>
  <c r="A45" i="125"/>
  <c r="B45" i="125"/>
  <c r="C45" i="125"/>
  <c r="A46" i="125"/>
  <c r="B46" i="125"/>
  <c r="C46" i="125"/>
  <c r="A47" i="125"/>
  <c r="B47" i="125"/>
  <c r="C47" i="125"/>
  <c r="A48" i="125"/>
  <c r="B48" i="125"/>
  <c r="C48" i="125"/>
  <c r="A49" i="125"/>
  <c r="B49" i="125"/>
  <c r="C49" i="125"/>
  <c r="A50" i="125"/>
  <c r="B50" i="125"/>
  <c r="C50" i="125"/>
  <c r="A51" i="125"/>
  <c r="B51" i="125"/>
  <c r="C51" i="125"/>
  <c r="A52" i="125"/>
  <c r="B52" i="125"/>
  <c r="C52" i="125"/>
  <c r="A53" i="125"/>
  <c r="B53" i="125"/>
  <c r="C53" i="125"/>
  <c r="A54" i="125"/>
  <c r="B54" i="125"/>
  <c r="C54" i="125"/>
  <c r="A55" i="125"/>
  <c r="B55" i="125"/>
  <c r="C55" i="125"/>
  <c r="A56" i="125"/>
  <c r="B56" i="125"/>
  <c r="C56" i="125"/>
  <c r="A57" i="125"/>
  <c r="B57" i="125"/>
  <c r="C57" i="125"/>
  <c r="A58" i="125"/>
  <c r="B58" i="125"/>
  <c r="C58" i="125"/>
  <c r="A59" i="125"/>
  <c r="B59" i="125"/>
  <c r="C59" i="125"/>
  <c r="A60" i="125"/>
  <c r="B60" i="125"/>
  <c r="C60" i="125"/>
  <c r="A61" i="125"/>
  <c r="B61" i="125"/>
  <c r="C61" i="125"/>
  <c r="A62" i="125"/>
  <c r="B62" i="125"/>
  <c r="C62" i="125"/>
  <c r="A63" i="125"/>
  <c r="B63" i="125"/>
  <c r="C63" i="125"/>
  <c r="A64" i="125"/>
  <c r="B64" i="125"/>
  <c r="C64" i="125"/>
  <c r="A65" i="125"/>
  <c r="B65" i="125"/>
  <c r="C65" i="125"/>
  <c r="A66" i="125"/>
  <c r="B66" i="125"/>
  <c r="C66" i="125"/>
  <c r="A67" i="125"/>
  <c r="B67" i="125"/>
  <c r="C67" i="125"/>
  <c r="A68" i="125"/>
  <c r="B68" i="125"/>
  <c r="C68" i="125"/>
  <c r="A69" i="125"/>
  <c r="B69" i="125"/>
  <c r="C69" i="125"/>
  <c r="A70" i="125"/>
  <c r="B70" i="125"/>
  <c r="C70" i="125"/>
  <c r="A71" i="125"/>
  <c r="B71" i="125"/>
  <c r="C71" i="125"/>
  <c r="A72" i="125"/>
  <c r="B72" i="125"/>
  <c r="C72" i="125"/>
  <c r="A73" i="125"/>
  <c r="B73" i="125"/>
  <c r="C73" i="125"/>
  <c r="A74" i="125"/>
  <c r="B74" i="125"/>
  <c r="C74" i="125"/>
  <c r="A75" i="125"/>
  <c r="B75" i="125"/>
  <c r="C75" i="125"/>
  <c r="A76" i="125"/>
  <c r="B76" i="125"/>
  <c r="C76" i="125"/>
  <c r="A77" i="125"/>
  <c r="B77" i="125"/>
  <c r="C77" i="125"/>
  <c r="A78" i="125"/>
  <c r="B78" i="125"/>
  <c r="C78" i="125"/>
  <c r="A79" i="125"/>
  <c r="B79" i="125"/>
  <c r="C79" i="125"/>
  <c r="A80" i="125"/>
  <c r="B80" i="125"/>
  <c r="C80" i="125"/>
  <c r="A81" i="125"/>
  <c r="B81" i="125"/>
  <c r="C81" i="125"/>
  <c r="A82" i="125"/>
  <c r="B82" i="125"/>
  <c r="C82" i="125"/>
  <c r="A83" i="125"/>
  <c r="B83" i="125"/>
  <c r="C83" i="125"/>
  <c r="A84" i="125"/>
  <c r="B84" i="125"/>
  <c r="C84" i="125"/>
  <c r="A85" i="125"/>
  <c r="B85" i="125"/>
  <c r="C85" i="125"/>
  <c r="A86" i="125"/>
  <c r="B86" i="125"/>
  <c r="C86" i="125"/>
  <c r="A87" i="125"/>
  <c r="B87" i="125"/>
  <c r="C87" i="125"/>
  <c r="A88" i="125"/>
  <c r="B88" i="125"/>
  <c r="C88" i="125"/>
  <c r="A89" i="125"/>
  <c r="B89" i="125"/>
  <c r="C89" i="125"/>
  <c r="A90" i="125"/>
  <c r="B90" i="125"/>
  <c r="C90" i="125"/>
  <c r="A91" i="125"/>
  <c r="B91" i="125"/>
  <c r="C91" i="125"/>
  <c r="A92" i="125"/>
  <c r="B92" i="125"/>
  <c r="C92" i="125"/>
  <c r="A93" i="125"/>
  <c r="B93" i="125"/>
  <c r="C93" i="125"/>
  <c r="A94" i="125"/>
  <c r="B94" i="125"/>
  <c r="C94" i="125"/>
  <c r="A95" i="125"/>
  <c r="B95" i="125"/>
  <c r="C95" i="125"/>
  <c r="A96" i="125"/>
  <c r="B96" i="125"/>
  <c r="C96" i="125"/>
  <c r="A97" i="125"/>
  <c r="B97" i="125"/>
  <c r="C97" i="125"/>
  <c r="A98" i="125"/>
  <c r="B98" i="125"/>
  <c r="C98" i="125"/>
  <c r="A99" i="125"/>
  <c r="B99" i="125"/>
  <c r="C99" i="125"/>
  <c r="A100" i="125"/>
  <c r="B100" i="125"/>
  <c r="C100" i="125"/>
  <c r="A101" i="125"/>
  <c r="B101" i="125"/>
  <c r="C101" i="125"/>
  <c r="A102" i="125"/>
  <c r="B102" i="125"/>
  <c r="C102" i="125"/>
  <c r="A103" i="125"/>
  <c r="B103" i="125"/>
  <c r="C103" i="125"/>
  <c r="A104" i="125"/>
  <c r="B104" i="125"/>
  <c r="C104" i="125"/>
  <c r="A105" i="125"/>
  <c r="B105" i="125"/>
  <c r="C105" i="125"/>
  <c r="A106" i="125"/>
  <c r="B106" i="125"/>
  <c r="C106" i="125"/>
  <c r="A107" i="125"/>
  <c r="B107" i="125"/>
  <c r="C107" i="125"/>
  <c r="A108" i="125"/>
  <c r="B108" i="125"/>
  <c r="C108" i="125"/>
  <c r="A109" i="125"/>
  <c r="B109" i="125"/>
  <c r="C109" i="125"/>
  <c r="A110" i="125"/>
  <c r="B110" i="125"/>
  <c r="C110" i="125"/>
  <c r="A111" i="125"/>
  <c r="B111" i="125"/>
  <c r="C111" i="125"/>
  <c r="A112" i="125"/>
  <c r="B112" i="125"/>
  <c r="C112" i="125"/>
  <c r="A113" i="125"/>
  <c r="B113" i="125"/>
  <c r="C113" i="125"/>
  <c r="A114" i="125"/>
  <c r="B114" i="125"/>
  <c r="C114" i="125"/>
  <c r="A115" i="125"/>
  <c r="B115" i="125"/>
  <c r="C115" i="125"/>
  <c r="A116" i="125"/>
  <c r="B116" i="125"/>
  <c r="C116" i="125"/>
  <c r="A117" i="125"/>
  <c r="B117" i="125"/>
  <c r="C117" i="125"/>
  <c r="A118" i="125"/>
  <c r="B118" i="125"/>
  <c r="C118" i="125"/>
  <c r="B6" i="125"/>
  <c r="C6" i="125"/>
  <c r="A6" i="125"/>
  <c r="E118" i="125"/>
  <c r="E117" i="125"/>
  <c r="E108" i="125"/>
  <c r="E107" i="125"/>
  <c r="E106" i="125"/>
  <c r="E92" i="125"/>
  <c r="E91" i="125"/>
  <c r="E40" i="125"/>
  <c r="E39" i="125"/>
  <c r="E38" i="125"/>
  <c r="E28" i="125"/>
  <c r="E22" i="125"/>
  <c r="E16" i="125"/>
  <c r="E15" i="1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3" authorId="0" shapeId="0" xr:uid="{90A3BF86-0F43-4566-9C4D-A9DCA4384D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Från Spanien</t>
        </r>
      </text>
    </comment>
    <comment ref="D89" authorId="0" shapeId="0" xr:uid="{91D442DA-E470-47EA-BBF4-F651886EF877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Bolivia</t>
        </r>
      </text>
    </comment>
    <comment ref="D98" authorId="0" shapeId="0" xr:uid="{6999D27A-1281-4ECF-91C5-E5D62A9E037F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ecoinvent, RoW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V35" authorId="0" shapeId="0" xr:uid="{A44E80FC-CA83-4236-ACE7-C34F982CF278}">
      <text>
        <r>
          <rPr>
            <sz val="11"/>
            <color theme="1"/>
            <rFont val="Calibri"/>
            <family val="2"/>
            <scheme val="minor"/>
          </rPr>
          <t>[Trådad kommentar]
I din version av Excel kan du läsa den här trådade kommentaren, men eventuella ändringar i den tas bort om filen öppnas i en senare version av Excel. Läs mer: https://go.microsoft.com/fwlink/?linkid=870924
Kommentar:
    Sebastian Castro-Tanzi, Thomas Dietsch, Natalia Urena, Lucia Vindas, Mark Chandler.  Analysis of management and site factors to improve the sustainability of smallholder coffee production in Tarrazú, Costa Rica, Agriculture, Ecosystems &amp; Environment, Volume 155, 2012, p 172-181</t>
        </r>
      </text>
    </comment>
  </commentList>
</comments>
</file>

<file path=xl/sharedStrings.xml><?xml version="1.0" encoding="utf-8"?>
<sst xmlns="http://schemas.openxmlformats.org/spreadsheetml/2006/main" count="2792" uniqueCount="960">
  <si>
    <t>Introduction to the dataset</t>
  </si>
  <si>
    <t>Crops</t>
  </si>
  <si>
    <t>Pesticides</t>
  </si>
  <si>
    <t>Crop code</t>
  </si>
  <si>
    <t>Crop</t>
  </si>
  <si>
    <t>Category</t>
  </si>
  <si>
    <t>Grown in country</t>
  </si>
  <si>
    <t>Share</t>
  </si>
  <si>
    <t>01371</t>
  </si>
  <si>
    <t>01654</t>
  </si>
  <si>
    <t>01341</t>
  </si>
  <si>
    <t>01343</t>
  </si>
  <si>
    <t>01216</t>
  </si>
  <si>
    <t>01211</t>
  </si>
  <si>
    <t>01311</t>
  </si>
  <si>
    <t>01312</t>
  </si>
  <si>
    <t>0115</t>
  </si>
  <si>
    <t>0115_s</t>
  </si>
  <si>
    <t>0115_w</t>
  </si>
  <si>
    <t>01701</t>
  </si>
  <si>
    <t>01355.01</t>
  </si>
  <si>
    <t>01377</t>
  </si>
  <si>
    <t>01702</t>
  </si>
  <si>
    <t>01243</t>
  </si>
  <si>
    <t>01213_b</t>
  </si>
  <si>
    <t>01192</t>
  </si>
  <si>
    <t>01212</t>
  </si>
  <si>
    <t>01229</t>
  </si>
  <si>
    <t>01251</t>
  </si>
  <si>
    <t>01372</t>
  </si>
  <si>
    <t>01213_cf</t>
  </si>
  <si>
    <t>01213</t>
  </si>
  <si>
    <t>01199.90</t>
  </si>
  <si>
    <t>01344.02</t>
  </si>
  <si>
    <t>01373</t>
  </si>
  <si>
    <t>01703</t>
  </si>
  <si>
    <t>01231</t>
  </si>
  <si>
    <t>01640</t>
  </si>
  <si>
    <t>01460</t>
  </si>
  <si>
    <t>01610</t>
  </si>
  <si>
    <t>01232</t>
  </si>
  <si>
    <t>01232_gh</t>
  </si>
  <si>
    <t>01232_of</t>
  </si>
  <si>
    <t>01351.01</t>
  </si>
  <si>
    <t>01314</t>
  </si>
  <si>
    <t>01599.10</t>
  </si>
  <si>
    <t>01233</t>
  </si>
  <si>
    <t>01315</t>
  </si>
  <si>
    <t>01351.02</t>
  </si>
  <si>
    <t>01330</t>
  </si>
  <si>
    <t>01290.01</t>
  </si>
  <si>
    <t>01252</t>
  </si>
  <si>
    <t>0142</t>
  </si>
  <si>
    <t>01374</t>
  </si>
  <si>
    <t>01352</t>
  </si>
  <si>
    <t>01254</t>
  </si>
  <si>
    <t>01322</t>
  </si>
  <si>
    <t>01704</t>
  </si>
  <si>
    <t>01214</t>
  </si>
  <si>
    <t>01441</t>
  </si>
  <si>
    <t>01709.02</t>
  </si>
  <si>
    <t>0112</t>
  </si>
  <si>
    <t>01316</t>
  </si>
  <si>
    <t>0118</t>
  </si>
  <si>
    <t>01199.02</t>
  </si>
  <si>
    <t>01270</t>
  </si>
  <si>
    <t>0117</t>
  </si>
  <si>
    <t>01491.01</t>
  </si>
  <si>
    <t>01450</t>
  </si>
  <si>
    <t>01253.02</t>
  </si>
  <si>
    <t>01323</t>
  </si>
  <si>
    <t>01241.90</t>
  </si>
  <si>
    <t>01359.90</t>
  </si>
  <si>
    <t>01449.90</t>
  </si>
  <si>
    <t>01709.90</t>
  </si>
  <si>
    <t>01699</t>
  </si>
  <si>
    <t>01290.90</t>
  </si>
  <si>
    <t>01317</t>
  </si>
  <si>
    <t>01345</t>
  </si>
  <si>
    <t>01342.01</t>
  </si>
  <si>
    <t>01705</t>
  </si>
  <si>
    <t>01242</t>
  </si>
  <si>
    <t>01651</t>
  </si>
  <si>
    <t>01318</t>
  </si>
  <si>
    <t>01313</t>
  </si>
  <si>
    <t>01346</t>
  </si>
  <si>
    <t>01321</t>
  </si>
  <si>
    <t>01448</t>
  </si>
  <si>
    <t>01510</t>
  </si>
  <si>
    <t>01235</t>
  </si>
  <si>
    <t>01342.02</t>
  </si>
  <si>
    <t>01194</t>
  </si>
  <si>
    <t>01443</t>
  </si>
  <si>
    <t>01443_s</t>
  </si>
  <si>
    <t>01443_w</t>
  </si>
  <si>
    <t>01353.01</t>
  </si>
  <si>
    <t>0113</t>
  </si>
  <si>
    <t>0116</t>
  </si>
  <si>
    <t>0114</t>
  </si>
  <si>
    <t>01344.01</t>
  </si>
  <si>
    <t>0141</t>
  </si>
  <si>
    <t>01215</t>
  </si>
  <si>
    <t>01354</t>
  </si>
  <si>
    <t>01801</t>
  </si>
  <si>
    <t>01802</t>
  </si>
  <si>
    <t>01445</t>
  </si>
  <si>
    <t>01530</t>
  </si>
  <si>
    <t>01324</t>
  </si>
  <si>
    <t>01234</t>
  </si>
  <si>
    <t>01234_gh</t>
  </si>
  <si>
    <t>01234_of</t>
  </si>
  <si>
    <t>01191</t>
  </si>
  <si>
    <t>01929.02</t>
  </si>
  <si>
    <t>01709.01</t>
  </si>
  <si>
    <t>01376</t>
  </si>
  <si>
    <t>01221</t>
  </si>
  <si>
    <t>01221_gh</t>
  </si>
  <si>
    <t>01221_of</t>
  </si>
  <si>
    <t>0111</t>
  </si>
  <si>
    <t>0111_s</t>
  </si>
  <si>
    <t>0111_w</t>
  </si>
  <si>
    <t>Nutrient inputs</t>
  </si>
  <si>
    <t xml:space="preserve">Energy </t>
  </si>
  <si>
    <t>N fixation, kg N/ha</t>
  </si>
  <si>
    <t>Diesel use, l/ha</t>
  </si>
  <si>
    <t>Pesticide use,          kg a.i./ha</t>
  </si>
  <si>
    <t>Almonds, in shell</t>
  </si>
  <si>
    <t>Nuts</t>
  </si>
  <si>
    <t>Anise, badian, coriander, cumin, caraway, fennel and juniper berries, raw</t>
  </si>
  <si>
    <t>Vegetables</t>
  </si>
  <si>
    <t>Apples</t>
  </si>
  <si>
    <t>Fruits</t>
  </si>
  <si>
    <t>SBA, 2004</t>
  </si>
  <si>
    <t>SBA, 2011</t>
  </si>
  <si>
    <t>SS, 2022</t>
  </si>
  <si>
    <t>Apricots</t>
  </si>
  <si>
    <t>Artichokes</t>
  </si>
  <si>
    <t>Asparagus</t>
  </si>
  <si>
    <t>Jensen, 2013</t>
  </si>
  <si>
    <t>Baky et al., 2010, average for vegetables</t>
  </si>
  <si>
    <t>SS, 2022. Avg for vegetables</t>
  </si>
  <si>
    <t>Avocados</t>
  </si>
  <si>
    <t>Bananas</t>
  </si>
  <si>
    <t>Barley, average</t>
  </si>
  <si>
    <t>Cereals, incl feed</t>
  </si>
  <si>
    <t>Barley, spring</t>
  </si>
  <si>
    <t>Cereals</t>
  </si>
  <si>
    <t>SS, 2020</t>
  </si>
  <si>
    <t>Baky et al., 2010</t>
  </si>
  <si>
    <t>Barley, winter</t>
  </si>
  <si>
    <t>Beans, dry</t>
  </si>
  <si>
    <t>Pulses</t>
  </si>
  <si>
    <t>Tidåker et al, 2021</t>
  </si>
  <si>
    <t>Tidåker et al., 2021</t>
  </si>
  <si>
    <t>Tidåker et al, 2021, common bean conv</t>
  </si>
  <si>
    <t>Blueberries</t>
  </si>
  <si>
    <t>Berries</t>
  </si>
  <si>
    <t>Brazil nuts, in shell</t>
  </si>
  <si>
    <t>Broad beans and horse beans, dry</t>
  </si>
  <si>
    <t>Pulses, incl feed</t>
  </si>
  <si>
    <t>Lassaletta et al., 2014</t>
  </si>
  <si>
    <t>SS 2020</t>
  </si>
  <si>
    <t>Broad beans and horse beans, green</t>
  </si>
  <si>
    <t>Broccoli</t>
  </si>
  <si>
    <t>Marmolin &amp; Björkholm, n.d., Björkholm, A-M., pers. comm. (2019)</t>
  </si>
  <si>
    <t>Buckwheat</t>
  </si>
  <si>
    <t>Seeds</t>
  </si>
  <si>
    <t>Cabbages</t>
  </si>
  <si>
    <t>Cantaloupes and other melons</t>
  </si>
  <si>
    <t>Carrots and turnips</t>
  </si>
  <si>
    <t>Marmolin &amp; Björkholm, n.d.</t>
  </si>
  <si>
    <t>Cashew nuts, in shell</t>
  </si>
  <si>
    <t>Cauliflowers</t>
  </si>
  <si>
    <t>Cauliflowers and broccoli, average</t>
  </si>
  <si>
    <t>Cereals n.e.c.</t>
  </si>
  <si>
    <t>Cherries</t>
  </si>
  <si>
    <t>Chestnuts, in shell</t>
  </si>
  <si>
    <t>Chick peas, dry</t>
  </si>
  <si>
    <t>Chillies and peppers, green (Capsicum spp. and Pimenta spp.), raw</t>
  </si>
  <si>
    <t>Spices</t>
  </si>
  <si>
    <t>Cocoa beans</t>
  </si>
  <si>
    <t>Stimulants</t>
  </si>
  <si>
    <t>Coconut, in shell</t>
  </si>
  <si>
    <t>Coffee, green</t>
  </si>
  <si>
    <t>Cucumbers and gherkins, averrage</t>
  </si>
  <si>
    <t>approx strawberries</t>
  </si>
  <si>
    <t>Cucumbers and gherkins, greenhouse</t>
  </si>
  <si>
    <t>Davis et al. 2011</t>
  </si>
  <si>
    <t>Davis et al. (2011)</t>
  </si>
  <si>
    <t>Cucumbers and gherkins, openfield</t>
  </si>
  <si>
    <t>Currants</t>
  </si>
  <si>
    <t xml:space="preserve">SBA, undated. </t>
  </si>
  <si>
    <t>Baky et al., 2010, average for berries</t>
  </si>
  <si>
    <t>SS, 2022. Strawberry</t>
  </si>
  <si>
    <t>Dates</t>
  </si>
  <si>
    <t>Edible roots and tubers with high starch or inulin content, n.e.c., fresh</t>
  </si>
  <si>
    <t>Roots</t>
  </si>
  <si>
    <t>Eggplants (aubergines)</t>
  </si>
  <si>
    <t>Figs</t>
  </si>
  <si>
    <t>Gooseberries</t>
  </si>
  <si>
    <t>Grapes</t>
  </si>
  <si>
    <t>Baky et al., 2010, average for fruit</t>
  </si>
  <si>
    <t>SS, 2022. Avg for fruits</t>
  </si>
  <si>
    <t>Green corn (maize)</t>
  </si>
  <si>
    <t>Green garlic</t>
  </si>
  <si>
    <t>approx onions and challots</t>
  </si>
  <si>
    <t>approx onion and shallots</t>
  </si>
  <si>
    <t>Groundnuts, excluding shelled</t>
  </si>
  <si>
    <t>Hazelnuts, in shell</t>
  </si>
  <si>
    <t>Kiwi fruit</t>
  </si>
  <si>
    <t>Leeks and other alliaceous vegetables</t>
  </si>
  <si>
    <t>Marmolin &amp; Björkholm, n.d</t>
  </si>
  <si>
    <t>Lemons and limes</t>
  </si>
  <si>
    <t>Lentils, dry</t>
  </si>
  <si>
    <t>approx peas</t>
  </si>
  <si>
    <t>Lettuce and chicory</t>
  </si>
  <si>
    <t>Linseed</t>
  </si>
  <si>
    <t>Ludeman, 2022</t>
  </si>
  <si>
    <t>Lupins</t>
  </si>
  <si>
    <t>Maize (corn)</t>
  </si>
  <si>
    <t>Baky et al., 2010, average for cereals</t>
  </si>
  <si>
    <t>Mangoes, guavas and mangosteens</t>
  </si>
  <si>
    <t>Millet</t>
  </si>
  <si>
    <t>Mixed grain</t>
  </si>
  <si>
    <t>Mushrooms and truffles</t>
  </si>
  <si>
    <t>Mushrooms</t>
  </si>
  <si>
    <t>Oats</t>
  </si>
  <si>
    <t>Oil palm fruit</t>
  </si>
  <si>
    <t>Oil crops, tree</t>
  </si>
  <si>
    <t>Olives</t>
  </si>
  <si>
    <t>Onions and shallots, dry (excluding dehydrated)</t>
  </si>
  <si>
    <t>Oranges</t>
  </si>
  <si>
    <t>Other beans, green</t>
  </si>
  <si>
    <t>SS, 2020 Faba bean</t>
  </si>
  <si>
    <t>SS, 2022 Avg Fava Bean / Peas</t>
  </si>
  <si>
    <t>Other fruits, n.e.c.</t>
  </si>
  <si>
    <t>Other oil seeds, n.e.c.</t>
  </si>
  <si>
    <t>Oil crops</t>
  </si>
  <si>
    <t>Other pulses n.e.c.</t>
  </si>
  <si>
    <t>Other stimulant, spice and aromatic crops, n.e.c.</t>
  </si>
  <si>
    <t>Other vegetables, fresh n.e.c.</t>
  </si>
  <si>
    <t>mean all vegetables with data</t>
  </si>
  <si>
    <t>Papayas</t>
  </si>
  <si>
    <t>Peaches and nectarines</t>
  </si>
  <si>
    <t>Pears</t>
  </si>
  <si>
    <t>Peas, dry</t>
  </si>
  <si>
    <t>Peas, green</t>
  </si>
  <si>
    <t>Pepper (Piper spp.), raw</t>
  </si>
  <si>
    <t>Pineapples</t>
  </si>
  <si>
    <t>Plantains and cooking bananas</t>
  </si>
  <si>
    <t>Plums and sloes</t>
  </si>
  <si>
    <t>approx apples</t>
  </si>
  <si>
    <t>Pomelos and grapefruits</t>
  </si>
  <si>
    <t>Poppy seed</t>
  </si>
  <si>
    <t>Potatoes</t>
  </si>
  <si>
    <t>Pumpkins, squash and gourds</t>
  </si>
  <si>
    <t>Karlsson-Potter, 2023</t>
  </si>
  <si>
    <t>Quinces</t>
  </si>
  <si>
    <t>Other</t>
  </si>
  <si>
    <t>Quinoa</t>
  </si>
  <si>
    <t>Rape or colza seed, average</t>
  </si>
  <si>
    <t>Rape or colza seed, spring</t>
  </si>
  <si>
    <t>SS, 2020 (winter)</t>
  </si>
  <si>
    <t>Rape or colza seed, winter</t>
  </si>
  <si>
    <t>Raspberries</t>
  </si>
  <si>
    <t>Nilsson (2011)</t>
  </si>
  <si>
    <t>Rice</t>
  </si>
  <si>
    <t>Rye</t>
  </si>
  <si>
    <t>Sorghum</t>
  </si>
  <si>
    <t>Sour cherries</t>
  </si>
  <si>
    <t>approx raspberries</t>
  </si>
  <si>
    <t>Soya beans</t>
  </si>
  <si>
    <t>Spinach</t>
  </si>
  <si>
    <t>proportional as lettuce and chicory</t>
  </si>
  <si>
    <t>Strawberries</t>
  </si>
  <si>
    <t>Davis et al., 2011</t>
  </si>
  <si>
    <t>Sugar beet</t>
  </si>
  <si>
    <t>Sugar crops</t>
  </si>
  <si>
    <t>Sugar cane</t>
  </si>
  <si>
    <t>Sunflower seed</t>
  </si>
  <si>
    <t>Sweet potatoes</t>
  </si>
  <si>
    <t>Tangerines, mandarins, clementines</t>
  </si>
  <si>
    <t>Tomatoes, average</t>
  </si>
  <si>
    <t>Tomatoes, greenhouse</t>
  </si>
  <si>
    <t>Röös &amp; Karlsson, 2013</t>
  </si>
  <si>
    <t>Tomatoes, openfield</t>
  </si>
  <si>
    <t>Triticale</t>
  </si>
  <si>
    <t>True hemp, raw or retted</t>
  </si>
  <si>
    <t>Vetches</t>
  </si>
  <si>
    <t>Walnuts, in shell</t>
  </si>
  <si>
    <t>Watermelons</t>
  </si>
  <si>
    <t>Watermelons, greenhouse</t>
  </si>
  <si>
    <t>Watermelons, openfield</t>
  </si>
  <si>
    <t>Wheat, average</t>
  </si>
  <si>
    <t>Wheat, spring</t>
  </si>
  <si>
    <t>Wheat, winter</t>
  </si>
  <si>
    <t>Reference list</t>
  </si>
  <si>
    <t>Baky, A., Sundberg, M., Brown, N. 2010. Kartläggning av jordbrukets energianvändning. Ett projekt utfört på uppdrag av Jordbruksverket. JTI – Institutet för jordbruks- och miljöteknik, Uppsala, Sweden.</t>
  </si>
  <si>
    <t>Berglund, M., Cederberg, C., Clason, C., Henriksson, M., Törner, L. 2009. Jordbrukets klimatpåverkan – underlag för att beräkna växthusgasutsläpp på gårdsnivå och nulägesanalyser av exempelgårdar. Delrapport i JoKer-proJeKtet, Hushållningssällskapet Halland, Sweden.</t>
  </si>
  <si>
    <t>Chaudhary, A., Brooks, T.M. 2018. Land use intensity-specific global characterization factors to assess product biodiversity footprints. Environmental Science Technology 52, 5094–5104.</t>
  </si>
  <si>
    <t>Davis, J. Wallman, M., Sund, V., Emanuelsson, A., Cederberg, C., Sonesson, U. 2011. Emissions of greenhouse gases from production of horticultural products: analysis of 17 products cultivated in Sweden, SIK Institutet för livsmedel och bioteknik, Gothenburg, Sweden.</t>
  </si>
  <si>
    <t>Ecoinvent centre. 2023. Ecoinvent Database Version 3.9.1. Dübendorf, Switzerland: Swiss Centre for Life Cycle Inventories.</t>
  </si>
  <si>
    <t>Edström, M., Pettersson, O., Nilsson, L., Hörndahl, T. 2005. Jordbrukssektorns energianvändning. JTI-rapport Lantbruk &amp; Industri 342. JTI – Institutet för jordbruks- och miljöteknik, Uppsala, Sweden.</t>
  </si>
  <si>
    <t xml:space="preserve">SS. 2020. Gödselmedel i jordbruket 2018/19. Mineral- och stallgödsel till olika grödor samt hantering och lagring av stallgödsel. Use of fertilisers and animal manure in agriculture in 2018/19. MI 30 SM 2002. Statistics Sweden, Örebro, Sweden. </t>
  </si>
  <si>
    <t>EU. 2023. Eurostat Statistical Database. European Union.</t>
  </si>
  <si>
    <t>FAO. 2023. FAOSTAT Statistical Database. Food and Agricultural Organization of the United Nations.</t>
  </si>
  <si>
    <r>
      <t xml:space="preserve">Flysjö, A., Cederberg, C., Strid, I. 2008. </t>
    </r>
    <r>
      <rPr>
        <i/>
        <sz val="11"/>
        <rFont val="Calibri"/>
        <family val="2"/>
        <scheme val="minor"/>
      </rPr>
      <t>LCA-databas för konventionella fodermedel: miljöpåverkan i samband med produktion</t>
    </r>
    <r>
      <rPr>
        <sz val="11"/>
        <rFont val="Calibri"/>
        <family val="2"/>
        <scheme val="minor"/>
      </rPr>
      <t>, SIK Institutet för livsmedel och bioteknik, Gothenburg, Sweden.</t>
    </r>
  </si>
  <si>
    <r>
      <t>Frischknecht, R., Althaus, H.-J., Bauer, C., Doka, G., Heck, T., Jungbluth, N., Kellenberger, D., Nemecek, T. 2007. The environmental relevance of capital goods in life cycle assessments of products and services. International Journal of Life Cycle Assessment 12</t>
    </r>
    <r>
      <rPr>
        <b/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7-17.</t>
    </r>
  </si>
  <si>
    <t>Hutchings, N., Webb, J., Amon, B., Dämmgen, U., Van Der Hoek, K., Steinbrecher, R., Dore, C., Wiltshire, J., Sánchez Jiménez, B., Haenel, H.-D., Röseman, C., Misselbrook, T., Hayashi, K., Freibauer, Annette, Cellier, P., Butterbach-Bahl, K., Sutton, M., Skiba, U., Kroeze, C., … Mikkelsen, M. H. (2019). 3D Crop production and agricultural soils. In EMEP/EEA air pollutant emission inventory guidebook 2019. Publications Office of the European Union.</t>
  </si>
  <si>
    <t>IPCC. 2006. IPCC Guidelines for National Greenhouse Gas Inventories. Volume 4. Agriculture, Forestry and Other Land Use. The Intergovernmental Panel of Climate Change. Geneva, Switzerland.</t>
  </si>
  <si>
    <t>IPCC. 2019. 2019 Refinement to the 2006 IPCC Guidelines for National Greenhouse Gas Inventories. The Intergovernmental Panel of Climate Change. Geneva, Switzerland.</t>
  </si>
  <si>
    <t>IPCC. 2021. Climate change 2021: The physical science basis. Contribution of working group I to the sixth assessment report. Cambridge University Press.</t>
  </si>
  <si>
    <t xml:space="preserve">Jensen, K. 2013.Ekologisk odling av sparris. Länsstyrelsen i Västra Götalands Län. https://www.yumpu.com/sv/document/read/19707719/ekologisk-odling-av-sparris-lansstyrelserna </t>
  </si>
  <si>
    <t xml:space="preserve">Karlsson-Potter, H. 2023. N-use in the Mistra Food Future model. Unpublised data. </t>
  </si>
  <si>
    <t>Lassaletta, L.; Billen, G.; Grizzetti, B.; Anglade, J.; Garnier, J. 2014. 50 year trends in nitrogen use efficiency of world cropping systems: The relationship between yield and nitrogen input to cropland. Environmental Research Letters 9, 105011.</t>
  </si>
  <si>
    <t>SBA. 2011. Ekonomi i bärodling. Kalkyler för jordgubbar och hallon. Jordbruksinformation 13 – 2011. Swedish Board of Agriculture, Jönköping, Sweden.</t>
  </si>
  <si>
    <t>Marmolin, C., Björkholm, A.-M. n.d. Växtnäringsrekommendationer till frilandsgrönsaker. En sammanställning av rekommendationer som ges i Sverige, Norge, Finland, Tyskland, Holland och UK. Hushållningssällskapet Skaraborg och Kristianstad, Sweden.</t>
  </si>
  <si>
    <t xml:space="preserve">Mekonnen, M., Hoekstra, A. 2011. National water footprint accounts: The green, blue and grey water
footprint of production and consumption. Volume 2: Appendices. https://core.ac.uk/download/pdf/323867109.pdf </t>
  </si>
  <si>
    <t>SS. 2022. Växtskyddsmedel i jord- och trädgårdsbruket 2021 Användning i grödor. Plant protection products in agriculture and horticulture. Use in crops. MI 31 SM 2202. Statistics Sweden, Örebro, Sweden</t>
  </si>
  <si>
    <t xml:space="preserve">Muller, A., Schader, C., Scialabba, N., Bruggemann, J., Isensee, A., Erb, K-H., Smith, P., Klocke, P, Leiber, F., Stolze, M., Niggli, U. 2017. Strategies for feed the world sustainably with organic agriculture. Nature Communications 8, 1290. </t>
  </si>
  <si>
    <r>
      <t>Nilsson, T. 2011. Gödsling av hallon. LTJ-fakultetens faktablad. Fakta från Tillväxt Trädgård, nr 8.</t>
    </r>
    <r>
      <rPr>
        <i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Fakulteten för landskapsplanering, trädgårds- och jordbruksvetenskap 2011. Swedish University of Agricultural Sciences, Alnarp, Sweden.</t>
    </r>
  </si>
  <si>
    <t>NIR. 2020. Swedish National Inventory Report. Swedish Environmental Protection Agency, Stockholm, Sweden.</t>
  </si>
  <si>
    <r>
      <t>Röös, E., Karlsson, H. 2013. Effect of eating seasonal on the carbon footprint of Swedish vegetable consumption. Journal of Cleaner Production 59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63-72.</t>
    </r>
  </si>
  <si>
    <t>SBA 2004. Gödslings- och kalkningsråd för fruktodling 2004. Jordbruksinformation 5 – 2004. Swedish Board of Agriculture, Jönköping, Sweden.</t>
  </si>
  <si>
    <t>SBA. 2010. Energikartläggning av de areella näringarna. Regeringsuppdrag Jo 2009/1596. Rapport 2010:16. Swedish Board of Agriculture. Jönköping, Sweden.</t>
  </si>
  <si>
    <t>SBA. 2022. Energianvändning i växthus 2020. Tomat, gurka och prydnadsväxter. Swedish Board of Agriculture, Jönköping, Sweden.</t>
  </si>
  <si>
    <t>SBA. 2023. Trädgårdsproduktion 2022. The 2022 Horticultural Census. JO0607. Swedish Board of Agriculture.</t>
  </si>
  <si>
    <t>SBA. 2013. Kalkyler för svarta vinbär. Swedish Board of Agriculture. Undated. https://www2.jordbruksverket.se/webdav/files/SJV/trycksaker/Pdf_ovrigt/ovr291_4.pdf</t>
  </si>
  <si>
    <t xml:space="preserve">SS. 2020. Gödselmedel i jordbruket. Statistics Sweden. https://www.scb.se/contentassets/e6fdbf100cab433798eeae49cc857632/mi1001_2018b19_sm_mi30sm2002.pdf </t>
  </si>
  <si>
    <t>SS. 2022. https://www.scb.se/contentassets/6e042f0902bb449fb15edc4c1eb8e22c/mi0502_2021i20_br_mi31br2202.pdf</t>
  </si>
  <si>
    <t xml:space="preserve">Swedish Agency for Public Management. 2010. Effekter på priset för handelsgödsel när skatten på kväve i handelsgödsel avskaffas. Stockholm, Sweden. </t>
  </si>
  <si>
    <r>
      <t xml:space="preserve">Tidåker, P., Karlsson Potter, H., Carlsson, G. &amp; Röös, E. 2021. Towards sustainable consumption of legumes: How origin, processing and transport affect the environmental impact of pulses. </t>
    </r>
    <r>
      <rPr>
        <i/>
        <sz val="11"/>
        <color theme="1"/>
        <rFont val="Calibri"/>
        <family val="2"/>
        <scheme val="minor"/>
      </rPr>
      <t>Sustainable Production and Consumption</t>
    </r>
    <r>
      <rPr>
        <sz val="11"/>
        <color theme="1"/>
        <rFont val="Calibri"/>
        <family val="2"/>
        <scheme val="minor"/>
      </rPr>
      <t xml:space="preserve">, 27, 496–508. </t>
    </r>
  </si>
  <si>
    <t>Vicente-Vicente, J.L., García-Ruiz, R., Francaviglia, R., Aguilera, E.,  Smith, P. 2016. Soil carbon sequestration rates under Mediterranean woody crops using recommended management practices: A meta-analysis. Agriculture, Ecosystems and Environment. 235, 204-214.</t>
  </si>
  <si>
    <t>Vinsmo L-G, Olsson P., Reimers R. 2001. Miljöinventering av packerier och skalerier för potatis. (Environmental inventory of packaging and peeling plants for potatoes). Swedish Institute of Food and Biotechnoloy, Gothenburg, Sweden.</t>
  </si>
  <si>
    <t>Yara International. 2010. Klimatavtryck. Gödslingens klimatpåverkan och möjliga förbättringar.</t>
  </si>
  <si>
    <t>Personal Communication:</t>
  </si>
  <si>
    <t>Björkholm, A-M. 2019. Rådgivning grönsaker, bär och frukt, växtodling/Advisor vegetables, berries and fruits, plant production. Hushållningssällskapet.</t>
  </si>
  <si>
    <t>Default inputs per hectare</t>
  </si>
  <si>
    <t>This is a dataset that includes input data for calculating the environmental footprints.</t>
  </si>
  <si>
    <t>Fertilisers</t>
  </si>
  <si>
    <t>Nitrogen fixation</t>
  </si>
  <si>
    <t>Pesticide use, kg a.i./ha</t>
  </si>
  <si>
    <t>Min N fertiliser,            kg N/ha</t>
  </si>
  <si>
    <t>Min P fertiliser, kg P/ha</t>
  </si>
  <si>
    <t>Mineral N fertiliser, kg N/ha</t>
  </si>
  <si>
    <t>Min P fertilier, kg P/ha</t>
  </si>
  <si>
    <t>Inputs per hectare, Sweden</t>
  </si>
  <si>
    <t>Inputs per hectare, Argentina</t>
  </si>
  <si>
    <t>No</t>
  </si>
  <si>
    <t>Yes</t>
  </si>
  <si>
    <t>Pesticides per hectare and country</t>
  </si>
  <si>
    <t>AR</t>
  </si>
  <si>
    <t>AU</t>
  </si>
  <si>
    <t>AT</t>
  </si>
  <si>
    <t>BE</t>
  </si>
  <si>
    <t>BO</t>
  </si>
  <si>
    <t>BR</t>
  </si>
  <si>
    <t>BG</t>
  </si>
  <si>
    <t>Default</t>
  </si>
  <si>
    <t>Diesel use per hectare and country</t>
  </si>
  <si>
    <t xml:space="preserve">EF </t>
  </si>
  <si>
    <t>Länder</t>
  </si>
  <si>
    <t>min fer co2</t>
  </si>
  <si>
    <t>min fer ch4</t>
  </si>
  <si>
    <t>el co2</t>
  </si>
  <si>
    <t>N20 direkt</t>
  </si>
  <si>
    <t>N20 indirekt</t>
  </si>
  <si>
    <t>Antingen 7 rader för varje gröda eller bara ha med det som skuljer mellan grödor och hårdkoda det andra.</t>
  </si>
  <si>
    <t>AF</t>
  </si>
  <si>
    <t>AL</t>
  </si>
  <si>
    <t>DZ</t>
  </si>
  <si>
    <t>AS</t>
  </si>
  <si>
    <t>AD</t>
  </si>
  <si>
    <t>AO</t>
  </si>
  <si>
    <t>AI</t>
  </si>
  <si>
    <t>AQ</t>
  </si>
  <si>
    <t>AG</t>
  </si>
  <si>
    <t>AM</t>
  </si>
  <si>
    <t>AW</t>
  </si>
  <si>
    <t>AZ</t>
  </si>
  <si>
    <t>BS</t>
  </si>
  <si>
    <t>BH</t>
  </si>
  <si>
    <t>BD</t>
  </si>
  <si>
    <t>BB</t>
  </si>
  <si>
    <t>BY</t>
  </si>
  <si>
    <t>BZ</t>
  </si>
  <si>
    <t>BJ</t>
  </si>
  <si>
    <t>BM</t>
  </si>
  <si>
    <t>BT</t>
  </si>
  <si>
    <t>BQ</t>
  </si>
  <si>
    <t>BA</t>
  </si>
  <si>
    <t>BW</t>
  </si>
  <si>
    <t>BV</t>
  </si>
  <si>
    <t>IO</t>
  </si>
  <si>
    <t>BN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</si>
  <si>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</si>
  <si>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</si>
  <si>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</si>
  <si>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</si>
  <si>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</si>
  <si>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</si>
  <si>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</si>
  <si>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</si>
  <si>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</si>
  <si>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</si>
  <si>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</si>
  <si>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HK</t>
  </si>
  <si>
    <t>MO</t>
  </si>
  <si>
    <t>TW</t>
  </si>
  <si>
    <t>CX</t>
  </si>
  <si>
    <t>CC</t>
  </si>
  <si>
    <t>CO</t>
  </si>
  <si>
    <t>KM</t>
  </si>
  <si>
    <t>CD</t>
  </si>
  <si>
    <t>CG</t>
  </si>
  <si>
    <t>CK</t>
  </si>
  <si>
    <t>CR</t>
  </si>
  <si>
    <t>CI</t>
  </si>
  <si>
    <t>HR</t>
  </si>
  <si>
    <t>CU</t>
  </si>
  <si>
    <t>CW</t>
  </si>
  <si>
    <t>CY</t>
  </si>
  <si>
    <t>CZ</t>
  </si>
  <si>
    <t>KP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</si>
  <si>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</si>
  <si>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</si>
  <si>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</si>
  <si>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</si>
  <si>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</si>
  <si>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</si>
  <si>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</si>
  <si>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</si>
  <si>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</si>
  <si>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</si>
  <si>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</si>
  <si>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</si>
  <si>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</si>
  <si>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</si>
  <si>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</si>
  <si>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</si>
  <si>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</si>
  <si>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</si>
  <si>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</si>
  <si>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</si>
  <si>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</si>
  <si>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</si>
  <si>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</si>
  <si>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</si>
  <si>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</si>
  <si>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</si>
  <si>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</si>
  <si>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</si>
  <si>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</si>
  <si>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</si>
  <si>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</si>
  <si>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</si>
  <si>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</si>
  <si>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</si>
  <si>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</si>
  <si>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</si>
  <si>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</si>
  <si>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</si>
  <si>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VA</t>
  </si>
  <si>
    <t>HN</t>
  </si>
  <si>
    <t>HU</t>
  </si>
  <si>
    <t>IS</t>
  </si>
  <si>
    <t>IN</t>
  </si>
  <si>
    <t>ID</t>
  </si>
  <si>
    <t>IR</t>
  </si>
  <si>
    <t>IQ</t>
  </si>
  <si>
    <t>IE</t>
  </si>
  <si>
    <t>IM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</si>
  <si>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</si>
  <si>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</si>
  <si>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</si>
  <si>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</si>
  <si>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</si>
  <si>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</si>
  <si>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</si>
  <si>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</si>
  <si>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</si>
  <si>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</si>
  <si>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</si>
  <si>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</si>
  <si>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</si>
  <si>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</si>
  <si>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</si>
  <si>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</si>
  <si>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</si>
  <si>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</si>
  <si>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</si>
  <si>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</si>
  <si>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</si>
  <si>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</si>
  <si>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</si>
  <si>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</si>
  <si>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</si>
  <si>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</si>
  <si>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</si>
  <si>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</si>
  <si>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</si>
  <si>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</si>
  <si>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</si>
  <si>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</si>
  <si>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</si>
  <si>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</si>
  <si>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</si>
  <si>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</si>
  <si>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</si>
  <si>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</si>
  <si>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</si>
  <si>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</si>
  <si>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</si>
  <si>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</si>
  <si>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</si>
  <si>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</si>
  <si>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</si>
  <si>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</si>
  <si>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</si>
  <si>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</si>
  <si>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</si>
  <si>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</si>
  <si>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</si>
  <si>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</si>
  <si>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</si>
  <si>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MK</t>
  </si>
  <si>
    <t>MP</t>
  </si>
  <si>
    <t>NO</t>
  </si>
  <si>
    <t>OM</t>
  </si>
  <si>
    <t>PK</t>
  </si>
  <si>
    <t>PW</t>
  </si>
  <si>
    <t>PL</t>
  </si>
  <si>
    <t>PS</t>
  </si>
  <si>
    <t>PA</t>
  </si>
  <si>
    <t>PG</t>
  </si>
  <si>
    <t>PY</t>
  </si>
  <si>
    <t>PE</t>
  </si>
  <si>
    <t>PH</t>
  </si>
  <si>
    <t>PN</t>
  </si>
  <si>
    <t>PT</t>
  </si>
  <si>
    <t>PR</t>
  </si>
  <si>
    <t>QA</t>
  </si>
  <si>
    <t>RO</t>
  </si>
  <si>
    <t>RU</t>
  </si>
  <si>
    <t>RW</t>
  </si>
  <si>
    <t>RE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</si>
  <si>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</si>
  <si>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</si>
  <si>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</si>
  <si>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</si>
  <si>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</si>
  <si>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</si>
  <si>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</si>
  <si>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</si>
  <si>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</si>
  <si>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</si>
  <si>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</si>
  <si>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</si>
  <si>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</si>
  <si>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</si>
  <si>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</si>
  <si>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</si>
  <si>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</si>
  <si>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</si>
  <si>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</si>
  <si>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</si>
  <si>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</si>
  <si>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</si>
  <si>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</si>
  <si>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</si>
  <si>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</si>
  <si>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</si>
  <si>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</si>
  <si>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</si>
  <si>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</si>
  <si>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</si>
  <si>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</si>
  <si>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</si>
  <si>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</si>
  <si>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</si>
  <si>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</si>
  <si>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</si>
  <si>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</si>
  <si>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</si>
  <si>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</si>
  <si>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</si>
  <si>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</si>
  <si>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</si>
  <si>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</si>
  <si>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</si>
  <si>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</si>
  <si>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GB</t>
  </si>
  <si>
    <t>US</t>
  </si>
  <si>
    <t>UG</t>
  </si>
  <si>
    <t>UA</t>
  </si>
  <si>
    <t>AE</t>
  </si>
  <si>
    <t>UM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</si>
  <si>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</si>
  <si>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</si>
  <si>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</si>
  <si>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</si>
  <si>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</si>
  <si>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</si>
  <si>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</si>
  <si>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</si>
  <si>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</si>
  <si>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</si>
  <si>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</si>
  <si>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</si>
  <si>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AX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</si>
  <si>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</si>
  <si>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</si>
  <si>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</si>
  <si>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</si>
  <si>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</si>
  <si>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</si>
  <si>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</si>
  <si>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Antarcticaâ€Š[b]</t>
  </si>
  <si>
    <t>Antigua and Barbuda</t>
  </si>
  <si>
    <t>Argentina</t>
  </si>
  <si>
    <t>Armenia</t>
  </si>
  <si>
    <t>Aruba</t>
  </si>
  <si>
    <t>Australia</t>
  </si>
  <si>
    <t>Australiaâ€Š[c]</t>
  </si>
  <si>
    <t>Austria</t>
  </si>
  <si>
    <t>Azerbaijan</t>
  </si>
  <si>
    <t>Bahamas (the)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</si>
  <si>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</si>
  <si>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</si>
  <si>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</si>
  <si>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</si>
  <si>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</si>
  <si>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</si>
  <si>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</si>
  <si>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</si>
  <si>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</si>
  <si>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</si>
  <si>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</si>
  <si>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Bolivia</t>
  </si>
  <si>
    <t>BonaireÂ Sint EustatiusÂ Saba</t>
  </si>
  <si>
    <t>Bosnia and Herzegovina</t>
  </si>
  <si>
    <t>Botswana</t>
  </si>
  <si>
    <t>Bouvet Island</t>
  </si>
  <si>
    <t>Brazil</t>
  </si>
  <si>
    <t>British Indian Ocean Territory (the)</t>
  </si>
  <si>
    <t>Brunei Darussalam</t>
  </si>
  <si>
    <t>Brunei Darussalamâ€Š[f]</t>
  </si>
  <si>
    <t>Bulgaria</t>
  </si>
  <si>
    <t>Burkina Faso</t>
  </si>
  <si>
    <t>Burundi</t>
  </si>
  <si>
    <t>Cabo Verde</t>
  </si>
  <si>
    <t>Cabo Verdeâ€Š[g]</t>
  </si>
  <si>
    <t>Cambodia</t>
  </si>
  <si>
    <t>Cameroon</t>
  </si>
  <si>
    <t>Canada</t>
  </si>
  <si>
    <t>Cayman Islands (the)</t>
  </si>
  <si>
    <t>Central African Republic (the)</t>
  </si>
  <si>
    <t>Central African Republic</t>
  </si>
  <si>
    <t>Chad</t>
  </si>
  <si>
    <t>Chile</t>
  </si>
  <si>
    <t>China</t>
  </si>
  <si>
    <t>China, Hong Kong SAR</t>
  </si>
  <si>
    <t>China, Macao SAR</t>
  </si>
  <si>
    <t>China, Taiwan Province of</t>
  </si>
  <si>
    <t>China, mainland</t>
  </si>
  <si>
    <t>Christmas Island</t>
  </si>
  <si>
    <t>Cocos (Keeling) Islands (the)</t>
  </si>
  <si>
    <t>Colombia</t>
  </si>
  <si>
    <t>Comoros (the)</t>
  </si>
  <si>
    <t>Comoros</t>
  </si>
  <si>
    <t>Congo (the Democratic Republic of the)</t>
  </si>
  <si>
    <t>Congo (the)â€Š[h]</t>
  </si>
  <si>
    <t>Congo</t>
  </si>
  <si>
    <t>Cook Islands (the)</t>
  </si>
  <si>
    <t>Cook Islands</t>
  </si>
  <si>
    <t>Costa Rica</t>
  </si>
  <si>
    <t>Cote d'Ivoire</t>
  </si>
  <si>
    <t>Croatia</t>
  </si>
  <si>
    <t>Cuba</t>
  </si>
  <si>
    <t>CuraÃ§ao</t>
  </si>
  <si>
    <t>Cyprus</t>
  </si>
  <si>
    <t>Czechia</t>
  </si>
  <si>
    <t>Czechiaâ€Š[j]</t>
  </si>
  <si>
    <t>CÃ´te d'Ivoire</t>
  </si>
  <si>
    <t>Democratic People's Republic of Korea</t>
  </si>
  <si>
    <t>Democratic Republic of the Congo</t>
  </si>
  <si>
    <t>Denmark</t>
  </si>
  <si>
    <t>Djibouti</t>
  </si>
  <si>
    <t>Dominica</t>
  </si>
  <si>
    <t>Dominican Republic (the)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</si>
  <si>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</si>
  <si>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</si>
  <si>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</si>
  <si>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</si>
  <si>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</si>
  <si>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</si>
  <si>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</si>
  <si>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</si>
  <si>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Eswatiniâ€Š[k]</t>
  </si>
  <si>
    <t>Ethiopia</t>
  </si>
  <si>
    <t>Falkland Islands (the) [Malvinas]â€Š[l]</t>
  </si>
  <si>
    <t>Faroe Islands (the)</t>
  </si>
  <si>
    <t>Faroe Islands</t>
  </si>
  <si>
    <t>Fiji</t>
  </si>
  <si>
    <t>Finland</t>
  </si>
  <si>
    <t>France</t>
  </si>
  <si>
    <t>Franceâ€Š[m]</t>
  </si>
  <si>
    <t>French Guiana</t>
  </si>
  <si>
    <t>French Polynesia</t>
  </si>
  <si>
    <t>French Southern Territories (the)â€Š[n]</t>
  </si>
  <si>
    <t>Gabon</t>
  </si>
  <si>
    <t>Gambia (the)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</si>
  <si>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</si>
  <si>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</si>
  <si>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</si>
  <si>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</si>
  <si>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</si>
  <si>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</si>
  <si>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</si>
  <si>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</si>
  <si>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</si>
  <si>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</si>
  <si>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</si>
  <si>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</si>
  <si>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</si>
  <si>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</si>
  <si>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</si>
  <si>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</si>
  <si>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</si>
  <si>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(the)â€Š[o]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</si>
  <si>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</si>
  <si>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</si>
  <si>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</si>
  <si>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</si>
  <si>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</si>
  <si>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</si>
  <si>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</si>
  <si>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</si>
  <si>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</si>
  <si>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</si>
  <si>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</si>
  <si>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</si>
  <si>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</si>
  <si>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</si>
  <si>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</si>
  <si>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</si>
  <si>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</si>
  <si>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</si>
  <si>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</si>
  <si>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</si>
  <si>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(the Democratic People's Republic of)â€Š[p]</t>
  </si>
  <si>
    <t>Korea (the Republic of)â€Š[q]</t>
  </si>
  <si>
    <t>Kuwait</t>
  </si>
  <si>
    <t>Kyrgyzstan</t>
  </si>
  <si>
    <t>Lao People's Democratic Republic (the)â€Š[r]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</si>
  <si>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</si>
  <si>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</si>
  <si>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</si>
  <si>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</si>
  <si>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</si>
  <si>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</si>
  <si>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</si>
  <si>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</si>
  <si>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</si>
  <si>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Macaoâ€Š[s]</t>
  </si>
  <si>
    <t>Madagascar</t>
  </si>
  <si>
    <t>Malawi</t>
  </si>
  <si>
    <t>Malaysia</t>
  </si>
  <si>
    <t>Maldives</t>
  </si>
  <si>
    <t>Mali</t>
  </si>
  <si>
    <t>Malta</t>
  </si>
  <si>
    <t>Marshall Islands (the)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</si>
  <si>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</si>
  <si>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</si>
  <si>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</si>
  <si>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</si>
  <si>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</si>
  <si>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</si>
  <si>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</si>
  <si>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Moldova (the Republic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</si>
  <si>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</si>
  <si>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</si>
  <si>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</si>
  <si>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</si>
  <si>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</si>
  <si>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</si>
  <si>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</si>
  <si>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</si>
  <si>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</si>
  <si>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</si>
  <si>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</si>
  <si>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Netherlands Antilles (former)</t>
  </si>
  <si>
    <t>Netherlands</t>
  </si>
  <si>
    <t>Netherlands, Kingdom of the</t>
  </si>
  <si>
    <t>New Caledonia</t>
  </si>
  <si>
    <t>New Zealand</t>
  </si>
  <si>
    <t>Nicaragua</t>
  </si>
  <si>
    <t>Niger (the)</t>
  </si>
  <si>
    <t>Niger</t>
  </si>
  <si>
    <t>Nigeria</t>
  </si>
  <si>
    <t>Niue</t>
  </si>
  <si>
    <t>Norfolk Island</t>
  </si>
  <si>
    <t>North Macedonia</t>
  </si>
  <si>
    <t>North Macedoniaâ€Š[t]</t>
  </si>
  <si>
    <t>Northern Mariana Islands (the)</t>
  </si>
  <si>
    <t>Norway</t>
  </si>
  <si>
    <t>Oman</t>
  </si>
  <si>
    <t>Pakistan</t>
  </si>
  <si>
    <t>Palau</t>
  </si>
  <si>
    <t>Palestine</t>
  </si>
  <si>
    <t>Palestine, State of</t>
  </si>
  <si>
    <t>Panama</t>
  </si>
  <si>
    <t>Papua New Guinea</t>
  </si>
  <si>
    <t>Paraguay</t>
  </si>
  <si>
    <t>Peru</t>
  </si>
  <si>
    <t>Philippines (the)</t>
  </si>
  <si>
    <t>Philippines</t>
  </si>
  <si>
    <t>Pitcairnâ€Š[v]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</si>
  <si>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</si>
  <si>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</si>
  <si>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</si>
  <si>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</si>
  <si>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</si>
  <si>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</si>
  <si>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</si>
  <si>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</t>
  </si>
  <si>
    <t>Russian Federation (the)</t>
  </si>
  <si>
    <t>Russian Federation</t>
  </si>
  <si>
    <t>Rwanda</t>
  </si>
  <si>
    <t>RÃ©union</t>
  </si>
  <si>
    <t>Saint BarthÃ©lemy</t>
  </si>
  <si>
    <t>Saint HelenaÂ Ascension IslandÂ 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</si>
  <si>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</si>
  <si>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</si>
  <si>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</si>
  <si>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</si>
  <si>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</si>
  <si>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</si>
  <si>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</si>
  <si>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</si>
  <si>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</si>
  <si>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</si>
  <si>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</si>
  <si>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</si>
  <si>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</si>
  <si>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</si>
  <si>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</si>
  <si>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</si>
  <si>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</si>
  <si>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</si>
  <si>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</si>
  <si>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</si>
  <si>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</si>
  <si>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</si>
  <si>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</si>
  <si>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</si>
  <si>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 (the)</t>
  </si>
  <si>
    <t>Sudan</t>
  </si>
  <si>
    <t>Suriname</t>
  </si>
  <si>
    <t>SvalbardÂ Jan Mayen</t>
  </si>
  <si>
    <t>Sweden</t>
  </si>
  <si>
    <t>Switzerland</t>
  </si>
  <si>
    <t>Syrian Arab Republic (the)â€Š[y]</t>
  </si>
  <si>
    <t>Syrian Arab Republic</t>
  </si>
  <si>
    <t>Taiwan (Province of China)â€Š[z]</t>
  </si>
  <si>
    <t>Tajikistan</t>
  </si>
  <si>
    <t>Tanzania, the United Republic of</t>
  </si>
  <si>
    <t>Thailand</t>
  </si>
  <si>
    <t>Timor-Leste</t>
  </si>
  <si>
    <t>Timor-Lesteâ€Š[ab]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</si>
  <si>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</si>
  <si>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</si>
  <si>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</si>
  <si>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</si>
  <si>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</si>
  <si>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</si>
  <si>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</si>
  <si>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 (the)</t>
  </si>
  <si>
    <t>Tuvalu</t>
  </si>
  <si>
    <t>TÃ¼rkiye [ac]</t>
  </si>
  <si>
    <t>TÃ¼rkiye</t>
  </si>
  <si>
    <t>UK</t>
  </si>
  <si>
    <t>USA</t>
  </si>
  <si>
    <t>Uganda</t>
  </si>
  <si>
    <t>Ukraine</t>
  </si>
  <si>
    <t>United Arab Emirates (the)</t>
  </si>
  <si>
    <t>United Arab Emirates</t>
  </si>
  <si>
    <t>United Kingdom of Great Britain and Northern Ireland (the)</t>
  </si>
  <si>
    <t>United Kingdom of Great Britain and Northern Ireland</t>
  </si>
  <si>
    <t>United Kingdom</t>
  </si>
  <si>
    <t>United Republic of Tanzania</t>
  </si>
  <si>
    <t>United States Minor Outlying Islands (the)â€Š[ae]</t>
  </si>
  <si>
    <t>United States of America (the)</t>
  </si>
  <si>
    <t>United States of America</t>
  </si>
  <si>
    <t>Uruguay</t>
  </si>
  <si>
    <t>Uzbekistan</t>
  </si>
  <si>
    <t>Vanuatu</t>
  </si>
  <si>
    <t>Venezuela (Bolivarian Republic of)</t>
  </si>
  <si>
    <t>Viet Nam</t>
  </si>
  <si>
    <t>Viet Namâ€Š[ag]</t>
  </si>
  <si>
    <t>Virgin Islands (British)â€Š[ah]</t>
  </si>
  <si>
    <t>Virgin Islands (U.S.)â€Š[ai]</t>
  </si>
  <si>
    <t>Wallis and Futuna</t>
  </si>
  <si>
    <t>Western Saharaâ€Š[aj]</t>
  </si>
  <si>
    <t>Yemen</t>
  </si>
  <si>
    <t>Zambia</t>
  </si>
  <si>
    <t>Zimbabwe</t>
  </si>
  <si>
    <t>Ã…land Islands</t>
  </si>
  <si>
    <t>Antarctica</t>
  </si>
  <si>
    <t xml:space="preserve">Bahamas </t>
  </si>
  <si>
    <t>Bonaire Sint Eustatius Saba</t>
  </si>
  <si>
    <t>Brunei Darussalam [f]</t>
  </si>
  <si>
    <t>Nitrogen fertiliser per crop and country, kg per hectare</t>
  </si>
  <si>
    <t>Côte d'Ivoire</t>
  </si>
  <si>
    <t>Venezuela</t>
  </si>
  <si>
    <t>Türkiye</t>
  </si>
  <si>
    <t>International Fertilizer Industry Association et al. (2002)</t>
  </si>
  <si>
    <t>Ecoinvent version 3.6 (2019), "Peanut production, RoW", unclear scaling</t>
  </si>
  <si>
    <t>Ecoinvent version 3.6 (2019), "Almond production, RoW" (incl yield), oklar skalning</t>
  </si>
  <si>
    <t>approx pea</t>
  </si>
  <si>
    <t>Se över gödsel till baljväxter, nu är det inkonsekvant, tex chick peas har noll</t>
  </si>
  <si>
    <t>Approx SE raspberries</t>
  </si>
  <si>
    <t>Ecoinvent version 3.6 (2019), "Soybean production, RoW"</t>
  </si>
  <si>
    <t xml:space="preserve">Special Other </t>
  </si>
  <si>
    <t>approx cereals nes</t>
  </si>
  <si>
    <t>Sen i R-skriptet, ta bort allt som inte finns med i Kastner</t>
  </si>
  <si>
    <t>ES?</t>
  </si>
  <si>
    <t>Landqvist and Woodhouse, 2015, oklar skalning</t>
  </si>
  <si>
    <t>Ludeman, 2022. Other cereals</t>
  </si>
  <si>
    <t>Yield</t>
  </si>
  <si>
    <t>SE-01341</t>
  </si>
  <si>
    <t>Default-01371</t>
  </si>
  <si>
    <t>Default-01701</t>
  </si>
  <si>
    <t>Default-01231</t>
  </si>
  <si>
    <t>Instructions N mineral fertiliser</t>
  </si>
  <si>
    <t>Scale default value 114 with the yield, ie 114/1435*yield for almond in country</t>
  </si>
  <si>
    <t>Use Swedish value and scale with Swedish yield, if Yield left blank do not scale</t>
  </si>
  <si>
    <t>Use Swedish value for crop 01341 (apples), divide with Swedish apple yield and multiply with apricot yield for the country</t>
  </si>
  <si>
    <t>Use 136 without scaling</t>
  </si>
  <si>
    <t>Use Default value for crop 01371</t>
  </si>
  <si>
    <t>Default-01705</t>
  </si>
  <si>
    <t>Default-01445</t>
  </si>
  <si>
    <t>Default-01341</t>
  </si>
  <si>
    <t>Default-01251</t>
  </si>
  <si>
    <t>Default-01353.01</t>
  </si>
  <si>
    <t>Default-01702</t>
  </si>
  <si>
    <t>Behöv den här??</t>
  </si>
  <si>
    <t>Default-0111</t>
  </si>
  <si>
    <t>Default-01510</t>
  </si>
  <si>
    <t>Default-01352</t>
  </si>
  <si>
    <t>Default-01253.02</t>
  </si>
  <si>
    <t>Default-01443</t>
  </si>
  <si>
    <t>Approximera med en annan gröda eller ta medel</t>
  </si>
  <si>
    <t>Default-01323</t>
  </si>
  <si>
    <t>Default-01801</t>
  </si>
  <si>
    <t>Default-01229</t>
  </si>
  <si>
    <t>Castro-Tanzi et al. 2012, Costa Rica</t>
  </si>
  <si>
    <t>BU</t>
  </si>
  <si>
    <t>Use Spanish value and scale with Spanish yield, if Yield left blank do not scale</t>
  </si>
  <si>
    <t>Resultat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</si>
</sst>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00"/>
    <numFmt numFmtId="167" formatCode="0.00000000000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4" tint="-0.249977111117893"/>
      <name val="Calibri"/>
      <family val="2"/>
      <scheme val="minor"/>
    </font>
    <font>
      <sz val="11"/>
      <color theme="8"/>
      <name val="Calibri"/>
      <family val="2"/>
      <scheme val="minor"/>
    </font>
    <font>
      <sz val="16"/>
      <name val="Calibri"/>
      <family val="2"/>
      <scheme val="minor"/>
    </font>
    <font>
      <sz val="12"/>
      <color theme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 applyNumberFormat="0" applyBorder="0" applyAlignment="0"/>
    <xf numFmtId="0" fontId="2" fillId="0" borderId="0" applyNumberFormat="0" applyBorder="0" applyAlignment="0"/>
    <xf numFmtId="0" fontId="8" fillId="0" borderId="0"/>
    <xf numFmtId="0" fontId="9" fillId="0" borderId="0"/>
    <xf numFmtId="0" fontId="4" fillId="3" borderId="0" applyNumberFormat="0" applyBorder="0" applyAlignment="0" applyProtection="0">
      <alignment horizontal="right"/>
    </xf>
    <xf numFmtId="0" fontId="11" fillId="0" borderId="0"/>
    <xf numFmtId="0" fontId="12" fillId="0" borderId="0"/>
    <xf numFmtId="0" fontId="1" fillId="0" borderId="0"/>
    <xf numFmtId="0" fontId="11" fillId="0" borderId="0"/>
  </cellStyleXfs>
  <cellXfs count="154">
    <xf numFmtId="0" fontId="0" fillId="0" borderId="0" xfId="0"/>
    <xf numFmtId="0" fontId="4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0" fontId="13" fillId="0" borderId="0" xfId="0" applyFont="1"/>
    <xf numFmtId="1" fontId="14" fillId="0" borderId="0" xfId="0" applyNumberFormat="1" applyFont="1"/>
    <xf numFmtId="0" fontId="7" fillId="0" borderId="0" xfId="0" applyFont="1"/>
    <xf numFmtId="0" fontId="9" fillId="0" borderId="0" xfId="4"/>
    <xf numFmtId="0" fontId="4" fillId="0" borderId="0" xfId="8" applyFont="1" applyAlignment="1">
      <alignment horizontal="left" vertical="top"/>
    </xf>
    <xf numFmtId="0" fontId="6" fillId="0" borderId="0" xfId="4" applyFont="1" applyAlignment="1">
      <alignment horizontal="left"/>
    </xf>
    <xf numFmtId="0" fontId="2" fillId="0" borderId="0" xfId="8" applyFont="1" applyAlignment="1">
      <alignment horizontal="left" vertical="top"/>
    </xf>
    <xf numFmtId="0" fontId="7" fillId="0" borderId="0" xfId="0" applyFont="1" applyAlignment="1">
      <alignment horizontal="left"/>
    </xf>
    <xf numFmtId="0" fontId="4" fillId="0" borderId="0" xfId="8" applyFont="1" applyAlignment="1">
      <alignment horizontal="left"/>
    </xf>
    <xf numFmtId="1" fontId="9" fillId="0" borderId="0" xfId="4" applyNumberFormat="1"/>
    <xf numFmtId="0" fontId="0" fillId="0" borderId="0" xfId="4" applyFont="1"/>
    <xf numFmtId="0" fontId="0" fillId="0" borderId="0" xfId="8" applyFont="1" applyAlignment="1">
      <alignment horizontal="left" vertical="top"/>
    </xf>
    <xf numFmtId="0" fontId="18" fillId="0" borderId="0" xfId="0" applyFont="1" applyAlignment="1">
      <alignment horizontal="left"/>
    </xf>
    <xf numFmtId="164" fontId="0" fillId="0" borderId="0" xfId="4" applyNumberFormat="1" applyFont="1" applyAlignment="1">
      <alignment horizontal="left" vertical="center"/>
    </xf>
    <xf numFmtId="0" fontId="6" fillId="0" borderId="0" xfId="0" applyFont="1"/>
    <xf numFmtId="164" fontId="9" fillId="0" borderId="0" xfId="4" applyNumberFormat="1" applyAlignment="1">
      <alignment horizontal="left" vertical="center"/>
    </xf>
    <xf numFmtId="0" fontId="0" fillId="0" borderId="0" xfId="8" applyFont="1" applyAlignment="1">
      <alignment vertical="center"/>
    </xf>
    <xf numFmtId="0" fontId="4" fillId="0" borderId="0" xfId="8" applyFont="1" applyAlignment="1">
      <alignment horizontal="left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17" fillId="0" borderId="0" xfId="0" applyFont="1"/>
    <xf numFmtId="0" fontId="4" fillId="9" borderId="0" xfId="0" applyFont="1" applyFill="1"/>
    <xf numFmtId="2" fontId="0" fillId="9" borderId="0" xfId="0" applyNumberFormat="1" applyFill="1" applyAlignment="1">
      <alignment horizontal="left" vertical="center"/>
    </xf>
    <xf numFmtId="1" fontId="5" fillId="9" borderId="0" xfId="0" applyNumberFormat="1" applyFont="1" applyFill="1" applyAlignment="1">
      <alignment horizontal="left" vertical="top"/>
    </xf>
    <xf numFmtId="1" fontId="0" fillId="9" borderId="0" xfId="0" applyNumberFormat="1" applyFill="1" applyAlignment="1">
      <alignment horizontal="left" vertical="center"/>
    </xf>
    <xf numFmtId="2" fontId="5" fillId="9" borderId="0" xfId="0" applyNumberFormat="1" applyFont="1" applyFill="1" applyAlignment="1">
      <alignment horizontal="left" vertical="center"/>
    </xf>
    <xf numFmtId="1" fontId="5" fillId="7" borderId="0" xfId="0" applyNumberFormat="1" applyFont="1" applyFill="1" applyAlignment="1">
      <alignment horizontal="left" vertical="top"/>
    </xf>
    <xf numFmtId="2" fontId="0" fillId="7" borderId="0" xfId="0" applyNumberFormat="1" applyFill="1" applyAlignment="1">
      <alignment horizontal="left" vertical="center"/>
    </xf>
    <xf numFmtId="1" fontId="0" fillId="7" borderId="0" xfId="0" applyNumberFormat="1" applyFill="1" applyAlignment="1">
      <alignment horizontal="left" vertical="center"/>
    </xf>
    <xf numFmtId="2" fontId="5" fillId="7" borderId="0" xfId="0" applyNumberFormat="1" applyFont="1" applyFill="1" applyAlignment="1">
      <alignment horizontal="left" vertical="center"/>
    </xf>
    <xf numFmtId="11" fontId="5" fillId="7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center" vertical="top" wrapText="1"/>
    </xf>
    <xf numFmtId="1" fontId="0" fillId="2" borderId="0" xfId="0" applyNumberFormat="1" applyFill="1" applyAlignment="1">
      <alignment horizontal="left" vertical="top" wrapText="1"/>
    </xf>
    <xf numFmtId="1" fontId="4" fillId="2" borderId="0" xfId="0" applyNumberFormat="1" applyFont="1" applyFill="1" applyAlignment="1">
      <alignment horizontal="left" vertical="top" wrapText="1"/>
    </xf>
    <xf numFmtId="1" fontId="0" fillId="6" borderId="0" xfId="0" applyNumberFormat="1" applyFill="1" applyAlignment="1">
      <alignment horizontal="left" vertical="top" wrapText="1"/>
    </xf>
    <xf numFmtId="1" fontId="4" fillId="6" borderId="0" xfId="0" applyNumberFormat="1" applyFont="1" applyFill="1" applyAlignment="1">
      <alignment horizontal="left" vertical="top" wrapText="1"/>
    </xf>
    <xf numFmtId="165" fontId="0" fillId="6" borderId="0" xfId="0" applyNumberFormat="1" applyFill="1" applyAlignment="1">
      <alignment horizontal="left" vertical="top" wrapText="1"/>
    </xf>
    <xf numFmtId="2" fontId="4" fillId="0" borderId="0" xfId="0" applyNumberFormat="1" applyFont="1" applyAlignment="1">
      <alignment horizontal="left" vertical="center" wrapText="1"/>
    </xf>
    <xf numFmtId="1" fontId="17" fillId="0" borderId="0" xfId="0" applyNumberFormat="1" applyFont="1"/>
    <xf numFmtId="1" fontId="1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16" fillId="0" borderId="0" xfId="0" applyNumberFormat="1" applyFont="1" applyAlignment="1">
      <alignment horizontal="right"/>
    </xf>
    <xf numFmtId="1" fontId="16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right"/>
    </xf>
    <xf numFmtId="11" fontId="0" fillId="0" borderId="0" xfId="0" applyNumberFormat="1" applyAlignment="1">
      <alignment horizontal="left" vertical="center"/>
    </xf>
    <xf numFmtId="1" fontId="7" fillId="0" borderId="0" xfId="0" applyNumberFormat="1" applyFont="1"/>
    <xf numFmtId="0" fontId="4" fillId="0" borderId="0" xfId="0" applyFont="1" applyAlignment="1">
      <alignment horizontal="left" vertical="center" wrapText="1"/>
    </xf>
    <xf numFmtId="0" fontId="7" fillId="8" borderId="0" xfId="0" applyFont="1" applyFill="1"/>
    <xf numFmtId="0" fontId="13" fillId="0" borderId="0" xfId="0" applyFont="1" applyAlignment="1">
      <alignment horizontal="left" vertical="center"/>
    </xf>
    <xf numFmtId="0" fontId="14" fillId="0" borderId="0" xfId="0" applyFont="1"/>
    <xf numFmtId="0" fontId="5" fillId="9" borderId="0" xfId="0" applyFont="1" applyFill="1"/>
    <xf numFmtId="1" fontId="17" fillId="0" borderId="0" xfId="0" applyNumberFormat="1" applyFont="1" applyAlignment="1">
      <alignment horizontal="right" vertical="center"/>
    </xf>
    <xf numFmtId="1" fontId="17" fillId="0" borderId="0" xfId="0" applyNumberFormat="1" applyFont="1" applyAlignment="1">
      <alignment horizontal="right"/>
    </xf>
    <xf numFmtId="1" fontId="17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horizontal="right"/>
    </xf>
    <xf numFmtId="1" fontId="17" fillId="0" borderId="0" xfId="0" applyNumberFormat="1" applyFont="1" applyAlignment="1">
      <alignment horizontal="right" vertical="center" wrapText="1"/>
    </xf>
    <xf numFmtId="1" fontId="17" fillId="0" borderId="0" xfId="0" applyNumberFormat="1" applyFont="1" applyAlignment="1">
      <alignment horizontal="left" vertical="center"/>
    </xf>
    <xf numFmtId="1" fontId="19" fillId="0" borderId="0" xfId="0" applyNumberFormat="1" applyFont="1" applyAlignment="1">
      <alignment horizontal="left" vertical="center" wrapText="1"/>
    </xf>
    <xf numFmtId="1" fontId="17" fillId="2" borderId="0" xfId="0" applyNumberFormat="1" applyFont="1" applyFill="1"/>
    <xf numFmtId="0" fontId="17" fillId="2" borderId="0" xfId="0" applyFont="1" applyFill="1"/>
    <xf numFmtId="1" fontId="20" fillId="0" borderId="0" xfId="0" applyNumberFormat="1" applyFont="1"/>
    <xf numFmtId="49" fontId="5" fillId="5" borderId="0" xfId="0" applyNumberFormat="1" applyFont="1" applyFill="1"/>
    <xf numFmtId="0" fontId="4" fillId="5" borderId="0" xfId="0" applyFont="1" applyFill="1"/>
    <xf numFmtId="2" fontId="0" fillId="5" borderId="0" xfId="0" applyNumberFormat="1" applyFill="1" applyAlignment="1">
      <alignment horizontal="left" vertical="center"/>
    </xf>
    <xf numFmtId="2" fontId="5" fillId="5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center" vertical="top" wrapText="1"/>
    </xf>
    <xf numFmtId="2" fontId="0" fillId="4" borderId="0" xfId="0" applyNumberFormat="1" applyFill="1" applyAlignment="1">
      <alignment horizontal="left" vertical="top" wrapText="1"/>
    </xf>
    <xf numFmtId="1" fontId="4" fillId="4" borderId="0" xfId="0" applyNumberFormat="1" applyFont="1" applyFill="1" applyAlignment="1">
      <alignment horizontal="left" vertical="top" wrapText="1"/>
    </xf>
    <xf numFmtId="2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" fontId="0" fillId="4" borderId="0" xfId="0" applyNumberFormat="1" applyFill="1" applyAlignment="1">
      <alignment horizontal="left" vertical="top" wrapText="1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right" vertical="center" wrapText="1"/>
    </xf>
    <xf numFmtId="1" fontId="0" fillId="0" borderId="0" xfId="0" applyNumberFormat="1"/>
    <xf numFmtId="167" fontId="0" fillId="0" borderId="0" xfId="0" applyNumberFormat="1"/>
    <xf numFmtId="1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right" vertical="center" wrapText="1"/>
    </xf>
    <xf numFmtId="1" fontId="4" fillId="0" borderId="0" xfId="0" applyNumberFormat="1" applyFont="1" applyAlignment="1">
      <alignment horizontal="left" vertical="center" wrapText="1"/>
    </xf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left" vertical="center"/>
    </xf>
    <xf numFmtId="11" fontId="4" fillId="0" borderId="0" xfId="0" applyNumberFormat="1" applyFont="1" applyAlignment="1">
      <alignment horizontal="left" vertical="center"/>
    </xf>
    <xf numFmtId="1" fontId="4" fillId="8" borderId="0" xfId="0" applyNumberFormat="1" applyFont="1" applyFill="1" applyAlignment="1">
      <alignment horizontal="right" vertical="center" wrapText="1"/>
    </xf>
    <xf numFmtId="1" fontId="4" fillId="4" borderId="0" xfId="0" applyNumberFormat="1" applyFont="1" applyFill="1"/>
    <xf numFmtId="0" fontId="4" fillId="4" borderId="0" xfId="0" applyFont="1" applyFill="1"/>
    <xf numFmtId="1" fontId="4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left" vertical="top" wrapText="1"/>
    </xf>
    <xf numFmtId="2" fontId="0" fillId="2" borderId="0" xfId="0" applyNumberFormat="1" applyFill="1" applyAlignment="1">
      <alignment horizontal="center" vertical="top" wrapText="1"/>
    </xf>
    <xf numFmtId="1" fontId="21" fillId="0" borderId="0" xfId="0" applyNumberFormat="1" applyFont="1" applyAlignment="1">
      <alignment horizontal="left" vertical="center"/>
    </xf>
    <xf numFmtId="11" fontId="22" fillId="5" borderId="0" xfId="0" applyNumberFormat="1" applyFont="1" applyFill="1" applyAlignment="1">
      <alignment horizontal="left" vertical="center"/>
    </xf>
    <xf numFmtId="165" fontId="4" fillId="4" borderId="0" xfId="0" applyNumberFormat="1" applyFont="1" applyFill="1" applyAlignment="1">
      <alignment horizontal="left" vertical="top" wrapText="1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 vertical="center"/>
    </xf>
    <xf numFmtId="2" fontId="4" fillId="0" borderId="0" xfId="0" applyNumberFormat="1" applyFont="1"/>
    <xf numFmtId="2" fontId="4" fillId="4" borderId="0" xfId="0" applyNumberFormat="1" applyFont="1" applyFill="1"/>
    <xf numFmtId="49" fontId="0" fillId="4" borderId="0" xfId="0" applyNumberFormat="1" applyFill="1" applyAlignment="1">
      <alignment horizontal="left" vertical="top" wrapText="1"/>
    </xf>
    <xf numFmtId="11" fontId="22" fillId="9" borderId="0" xfId="0" applyNumberFormat="1" applyFont="1" applyFill="1" applyAlignment="1">
      <alignment horizontal="left" vertical="center"/>
    </xf>
    <xf numFmtId="165" fontId="4" fillId="2" borderId="0" xfId="0" applyNumberFormat="1" applyFont="1" applyFill="1" applyAlignment="1">
      <alignment horizontal="left" vertical="top" wrapText="1"/>
    </xf>
    <xf numFmtId="2" fontId="4" fillId="2" borderId="0" xfId="0" applyNumberFormat="1" applyFont="1" applyFill="1" applyAlignment="1">
      <alignment horizontal="right" vertical="center"/>
    </xf>
    <xf numFmtId="0" fontId="23" fillId="0" borderId="0" xfId="0" applyFont="1"/>
    <xf numFmtId="2" fontId="4" fillId="10" borderId="0" xfId="0" applyNumberFormat="1" applyFont="1" applyFill="1" applyAlignment="1">
      <alignment horizontal="right" vertical="center"/>
    </xf>
    <xf numFmtId="0" fontId="24" fillId="0" borderId="0" xfId="0" applyFont="1"/>
    <xf numFmtId="49" fontId="5" fillId="11" borderId="0" xfId="0" applyNumberFormat="1" applyFont="1" applyFill="1"/>
    <xf numFmtId="0" fontId="4" fillId="11" borderId="0" xfId="0" applyFont="1" applyFill="1"/>
    <xf numFmtId="49" fontId="0" fillId="12" borderId="0" xfId="0" applyNumberFormat="1" applyFill="1" applyAlignment="1">
      <alignment horizontal="left" vertical="top" wrapText="1"/>
    </xf>
    <xf numFmtId="0" fontId="4" fillId="12" borderId="0" xfId="0" applyFont="1" applyFill="1" applyAlignment="1">
      <alignment horizontal="center" vertical="top" wrapText="1"/>
    </xf>
    <xf numFmtId="49" fontId="5" fillId="13" borderId="0" xfId="0" applyNumberFormat="1" applyFont="1" applyFill="1"/>
    <xf numFmtId="0" fontId="4" fillId="13" borderId="0" xfId="0" applyFont="1" applyFill="1"/>
    <xf numFmtId="49" fontId="0" fillId="6" borderId="0" xfId="0" applyNumberFormat="1" applyFill="1" applyAlignment="1">
      <alignment horizontal="left" vertical="top" wrapText="1"/>
    </xf>
    <xf numFmtId="0" fontId="4" fillId="6" borderId="0" xfId="0" applyFont="1" applyFill="1" applyAlignment="1">
      <alignment horizontal="center" vertical="top" wrapText="1"/>
    </xf>
    <xf numFmtId="49" fontId="5" fillId="14" borderId="0" xfId="0" applyNumberFormat="1" applyFont="1" applyFill="1"/>
    <xf numFmtId="49" fontId="0" fillId="13" borderId="0" xfId="0" applyNumberFormat="1" applyFill="1" applyAlignment="1">
      <alignment horizontal="left" vertical="top" wrapText="1"/>
    </xf>
    <xf numFmtId="0" fontId="4" fillId="13" borderId="0" xfId="0" applyFont="1" applyFill="1" applyAlignment="1">
      <alignment horizontal="center" vertical="top" wrapText="1"/>
    </xf>
    <xf numFmtId="0" fontId="0" fillId="13" borderId="0" xfId="0" applyFill="1"/>
    <xf numFmtId="0" fontId="4" fillId="14" borderId="0" xfId="0" applyFont="1" applyFill="1"/>
    <xf numFmtId="0" fontId="0" fillId="14" borderId="0" xfId="0" applyFill="1"/>
    <xf numFmtId="49" fontId="0" fillId="13" borderId="0" xfId="0" applyNumberFormat="1" applyFill="1"/>
    <xf numFmtId="49" fontId="0" fillId="15" borderId="0" xfId="0" applyNumberFormat="1" applyFill="1" applyAlignment="1">
      <alignment horizontal="left" vertical="top" wrapText="1"/>
    </xf>
    <xf numFmtId="0" fontId="4" fillId="15" borderId="0" xfId="0" applyFont="1" applyFill="1" applyAlignment="1">
      <alignment horizontal="left" vertical="top" wrapText="1"/>
    </xf>
    <xf numFmtId="0" fontId="4" fillId="15" borderId="0" xfId="0" applyFont="1" applyFill="1" applyAlignment="1">
      <alignment vertical="top" wrapText="1"/>
    </xf>
    <xf numFmtId="0" fontId="0" fillId="0" borderId="0" xfId="0" applyAlignment="1">
      <alignment textRotation="90"/>
    </xf>
    <xf numFmtId="49" fontId="5" fillId="0" borderId="0" xfId="0" applyNumberFormat="1" applyFont="1"/>
    <xf numFmtId="0" fontId="0" fillId="15" borderId="0" xfId="0" applyFill="1"/>
    <xf numFmtId="0" fontId="26" fillId="0" borderId="0" xfId="0" applyFont="1"/>
    <xf numFmtId="0" fontId="27" fillId="0" borderId="0" xfId="0" applyFont="1" applyAlignment="1">
      <alignment horizontal="left" vertical="center"/>
    </xf>
    <xf numFmtId="0" fontId="25" fillId="0" borderId="0" xfId="0" applyFont="1"/>
    <xf numFmtId="0" fontId="27" fillId="0" borderId="0" xfId="0" applyFont="1"/>
    <xf numFmtId="1" fontId="16" fillId="0" borderId="0" xfId="0" applyNumberFormat="1" applyFont="1"/>
    <xf numFmtId="1" fontId="16" fillId="0" borderId="0" xfId="0" applyNumberFormat="1" applyFont="1" applyAlignment="1">
      <alignment vertical="center" wrapText="1"/>
    </xf>
    <xf numFmtId="1" fontId="16" fillId="8" borderId="0" xfId="0" applyNumberFormat="1" applyFont="1" applyFill="1" applyAlignment="1">
      <alignment vertical="center" wrapText="1"/>
    </xf>
    <xf numFmtId="0" fontId="5" fillId="0" borderId="0" xfId="0" applyFont="1" applyAlignment="1">
      <alignment textRotation="90"/>
    </xf>
    <xf numFmtId="0" fontId="28" fillId="0" borderId="0" xfId="0" applyFont="1"/>
    <xf numFmtId="49" fontId="0" fillId="15" borderId="0" xfId="0" applyNumberFormat="1" applyFill="1" applyAlignment="1">
      <alignment horizontal="left" wrapText="1"/>
    </xf>
    <xf numFmtId="0" fontId="4" fillId="15" borderId="0" xfId="0" applyFont="1" applyFill="1" applyAlignment="1">
      <alignment wrapText="1"/>
    </xf>
    <xf numFmtId="0" fontId="4" fillId="15" borderId="0" xfId="0" applyFont="1" applyFill="1" applyAlignment="1">
      <alignment horizontal="left" wrapText="1"/>
    </xf>
    <xf numFmtId="49" fontId="25" fillId="0" borderId="0" xfId="0" applyNumberFormat="1" applyFont="1"/>
    <xf numFmtId="0" fontId="4" fillId="0" borderId="0" xfId="0" applyFont="1" applyAlignment="1">
      <alignment horizontal="left" vertical="center"/>
    </xf>
  </cellXfs>
  <cellStyles count="10">
    <cellStyle name="Normal" xfId="0" builtinId="0"/>
    <cellStyle name="Normal 2" xfId="4" xr:uid="{00000000-0005-0000-0000-000001000000}"/>
    <cellStyle name="Normal 2 2" xfId="2" xr:uid="{00000000-0005-0000-0000-000002000000}"/>
    <cellStyle name="Normal 3" xfId="3" xr:uid="{00000000-0005-0000-0000-000003000000}"/>
    <cellStyle name="Normal 4" xfId="1" xr:uid="{00000000-0005-0000-0000-000004000000}"/>
    <cellStyle name="Normal 5" xfId="6" xr:uid="{00000000-0005-0000-0000-000005000000}"/>
    <cellStyle name="Normal 6" xfId="7" xr:uid="{00000000-0005-0000-0000-000006000000}"/>
    <cellStyle name="Normal 6 2" xfId="9" xr:uid="{00000000-0005-0000-0000-000007000000}"/>
    <cellStyle name="Normal 7" xfId="8" xr:uid="{00000000-0005-0000-0000-000008000000}"/>
    <cellStyle name="Validate" xfId="5" xr:uid="{00000000-0005-0000-0000-000009000000}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V35" dT="2026-02-08T20:05:41.77" personId="{00000000-0000-0000-0000-000000000000}" id="{A44E80FC-CA83-4236-ACE7-C34F982CF278}">
    <text>Sebastian Castro-Tanzi, Thomas Dietsch, Natalia Urena, Lucia Vindas, Mark Chandler.  Analysis of management and site factors to improve the sustainability of smallholder coffee production in Tarrazú, Costa Rica, Agriculture, Ecosystems &amp; Environment, Volume 155, 2012, p 172-181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E517-F2A3-4D7B-B63D-A6F356545CA1}">
  <sheetPr>
    <tabColor theme="6" tint="0.59999389629810485"/>
  </sheetPr>
  <dimension ref="A2:GU125"/>
  <sheetViews>
    <sheetView tabSelected="1" zoomScale="133" zoomScaleNormal="80" workbookViewId="0">
      <pane xSplit="11140" activePane="topRight"/>
      <selection activeCell="D61" sqref="D61:E61"/>
      <selection pane="topRight" activeCell="AV13" sqref="AV13"/>
    </sheetView>
  </sheetViews>
  <sheetFormatPr baseColWidth="10" defaultColWidth="8.83203125" defaultRowHeight="15" x14ac:dyDescent="0.2"/>
  <cols>
    <col min="2" max="2" width="32.83203125" customWidth="1"/>
    <col min="3" max="3" width="15.33203125" customWidth="1"/>
    <col min="4" max="4" width="15.6640625" customWidth="1"/>
    <col min="5" max="5" width="7.33203125" customWidth="1"/>
    <col min="6" max="203" width="5.6640625" customWidth="1"/>
  </cols>
  <sheetData>
    <row r="2" spans="1:203" ht="19" x14ac:dyDescent="0.25">
      <c r="A2" s="118" t="s">
        <v>912</v>
      </c>
    </row>
    <row r="4" spans="1:203" ht="78.5" customHeight="1" x14ac:dyDescent="0.2">
      <c r="A4" s="138" t="s">
        <v>1</v>
      </c>
      <c r="B4" s="1"/>
      <c r="C4" s="1"/>
      <c r="F4" s="137" t="s">
        <v>610</v>
      </c>
      <c r="G4" s="137" t="s">
        <v>611</v>
      </c>
      <c r="H4" s="137" t="s">
        <v>612</v>
      </c>
      <c r="I4" s="137" t="s">
        <v>615</v>
      </c>
      <c r="J4" s="137" t="s">
        <v>618</v>
      </c>
      <c r="K4" s="147" t="s">
        <v>619</v>
      </c>
      <c r="L4" s="137" t="s">
        <v>620</v>
      </c>
      <c r="M4" s="147" t="s">
        <v>622</v>
      </c>
      <c r="N4" s="147" t="s">
        <v>624</v>
      </c>
      <c r="O4" s="137" t="s">
        <v>625</v>
      </c>
      <c r="P4" s="137" t="s">
        <v>627</v>
      </c>
      <c r="Q4" s="137" t="s">
        <v>628</v>
      </c>
      <c r="R4" s="137" t="s">
        <v>629</v>
      </c>
      <c r="S4" s="137" t="s">
        <v>630</v>
      </c>
      <c r="T4" s="137" t="s">
        <v>631</v>
      </c>
      <c r="U4" s="147" t="s">
        <v>632</v>
      </c>
      <c r="V4" s="137" t="s">
        <v>633</v>
      </c>
      <c r="W4" s="137" t="s">
        <v>634</v>
      </c>
      <c r="X4" s="137" t="s">
        <v>636</v>
      </c>
      <c r="Y4" s="147" t="s">
        <v>638</v>
      </c>
      <c r="Z4" s="137" t="s">
        <v>640</v>
      </c>
      <c r="AA4" s="137" t="s">
        <v>641</v>
      </c>
      <c r="AB4" s="147" t="s">
        <v>643</v>
      </c>
      <c r="AC4" s="137" t="s">
        <v>645</v>
      </c>
      <c r="AD4" s="147" t="s">
        <v>647</v>
      </c>
      <c r="AE4" s="137" t="s">
        <v>648</v>
      </c>
      <c r="AF4" s="137" t="s">
        <v>649</v>
      </c>
      <c r="AG4" s="137" t="s">
        <v>650</v>
      </c>
      <c r="AH4" s="137" t="s">
        <v>652</v>
      </c>
      <c r="AI4" s="137" t="s">
        <v>653</v>
      </c>
      <c r="AJ4" s="137" t="s">
        <v>654</v>
      </c>
      <c r="AK4" s="137" t="s">
        <v>657</v>
      </c>
      <c r="AL4" s="137" t="s">
        <v>658</v>
      </c>
      <c r="AM4" s="137" t="s">
        <v>659</v>
      </c>
      <c r="AN4" s="137" t="s">
        <v>661</v>
      </c>
      <c r="AO4" s="137" t="s">
        <v>662</v>
      </c>
      <c r="AP4" s="137" t="s">
        <v>663</v>
      </c>
      <c r="AQ4" s="137" t="s">
        <v>664</v>
      </c>
      <c r="AR4" s="137" t="s">
        <v>667</v>
      </c>
      <c r="AS4" s="137" t="s">
        <v>669</v>
      </c>
      <c r="AT4" s="137" t="s">
        <v>672</v>
      </c>
      <c r="AU4" s="137" t="s">
        <v>674</v>
      </c>
      <c r="AV4" s="147" t="s">
        <v>675</v>
      </c>
      <c r="AW4" s="137" t="s">
        <v>677</v>
      </c>
      <c r="AX4" s="137" t="s">
        <v>678</v>
      </c>
      <c r="AY4" s="137" t="s">
        <v>680</v>
      </c>
      <c r="AZ4" s="137" t="s">
        <v>681</v>
      </c>
      <c r="BA4" s="137" t="s">
        <v>913</v>
      </c>
      <c r="BB4" s="137" t="s">
        <v>684</v>
      </c>
      <c r="BC4" s="137" t="s">
        <v>685</v>
      </c>
      <c r="BD4" s="137" t="s">
        <v>686</v>
      </c>
      <c r="BE4" s="137" t="s">
        <v>687</v>
      </c>
      <c r="BF4" s="137" t="s">
        <v>688</v>
      </c>
      <c r="BG4" s="137" t="s">
        <v>690</v>
      </c>
      <c r="BH4" s="137" t="s">
        <v>691</v>
      </c>
      <c r="BI4" s="137" t="s">
        <v>692</v>
      </c>
      <c r="BJ4" s="137" t="s">
        <v>693</v>
      </c>
      <c r="BK4" s="137" t="s">
        <v>694</v>
      </c>
      <c r="BL4" s="137" t="s">
        <v>695</v>
      </c>
      <c r="BM4" s="137" t="s">
        <v>696</v>
      </c>
      <c r="BN4" s="137" t="s">
        <v>697</v>
      </c>
      <c r="BO4" s="137" t="s">
        <v>699</v>
      </c>
      <c r="BP4" s="137" t="s">
        <v>702</v>
      </c>
      <c r="BQ4" s="137" t="s">
        <v>703</v>
      </c>
      <c r="BR4" s="137" t="s">
        <v>704</v>
      </c>
      <c r="BS4" s="137" t="s">
        <v>705</v>
      </c>
      <c r="BT4" s="137" t="s">
        <v>708</v>
      </c>
      <c r="BU4" s="137" t="s">
        <v>710</v>
      </c>
      <c r="BV4" s="137" t="s">
        <v>712</v>
      </c>
      <c r="BW4" s="137" t="s">
        <v>713</v>
      </c>
      <c r="BX4" s="137" t="s">
        <v>714</v>
      </c>
      <c r="BY4" s="137" t="s">
        <v>715</v>
      </c>
      <c r="BZ4" s="137" t="s">
        <v>717</v>
      </c>
      <c r="CA4" s="137" t="s">
        <v>719</v>
      </c>
      <c r="CB4" s="137" t="s">
        <v>722</v>
      </c>
      <c r="CC4" s="137" t="s">
        <v>724</v>
      </c>
      <c r="CD4" s="137" t="s">
        <v>725</v>
      </c>
      <c r="CE4" s="137" t="s">
        <v>726</v>
      </c>
      <c r="CF4" s="137" t="s">
        <v>727</v>
      </c>
      <c r="CG4" s="137" t="s">
        <v>730</v>
      </c>
      <c r="CH4" s="137" t="s">
        <v>732</v>
      </c>
      <c r="CI4" s="137" t="s">
        <v>733</v>
      </c>
      <c r="CJ4" s="137" t="s">
        <v>734</v>
      </c>
      <c r="CK4" s="137" t="s">
        <v>735</v>
      </c>
      <c r="CL4" s="137" t="s">
        <v>737</v>
      </c>
      <c r="CM4" s="137" t="s">
        <v>738</v>
      </c>
      <c r="CN4" s="137" t="s">
        <v>739</v>
      </c>
      <c r="CO4" s="137" t="s">
        <v>741</v>
      </c>
      <c r="CP4" s="137" t="s">
        <v>742</v>
      </c>
      <c r="CQ4" s="137" t="s">
        <v>743</v>
      </c>
      <c r="CR4" s="137" t="s">
        <v>744</v>
      </c>
      <c r="CS4" s="137" t="s">
        <v>746</v>
      </c>
      <c r="CT4" s="137" t="s">
        <v>747</v>
      </c>
      <c r="CU4" s="137" t="s">
        <v>748</v>
      </c>
      <c r="CV4" s="137" t="s">
        <v>749</v>
      </c>
      <c r="CW4" s="137" t="s">
        <v>752</v>
      </c>
      <c r="CX4" s="137" t="s">
        <v>753</v>
      </c>
      <c r="CY4" s="137" t="s">
        <v>755</v>
      </c>
      <c r="CZ4" s="137" t="s">
        <v>756</v>
      </c>
      <c r="DA4" s="137" t="s">
        <v>757</v>
      </c>
      <c r="DB4" s="137" t="s">
        <v>758</v>
      </c>
      <c r="DC4" s="137" t="s">
        <v>759</v>
      </c>
      <c r="DD4" s="137" t="s">
        <v>760</v>
      </c>
      <c r="DE4" s="137" t="s">
        <v>762</v>
      </c>
      <c r="DF4" s="137" t="s">
        <v>763</v>
      </c>
      <c r="DG4" s="137" t="s">
        <v>765</v>
      </c>
      <c r="DH4" s="137" t="s">
        <v>766</v>
      </c>
      <c r="DI4" s="137" t="s">
        <v>767</v>
      </c>
      <c r="DJ4" s="137" t="s">
        <v>768</v>
      </c>
      <c r="DK4" s="137" t="s">
        <v>769</v>
      </c>
      <c r="DL4" s="137" t="s">
        <v>770</v>
      </c>
      <c r="DM4" s="137" t="s">
        <v>772</v>
      </c>
      <c r="DN4" s="137" t="s">
        <v>774</v>
      </c>
      <c r="DO4" s="137" t="s">
        <v>775</v>
      </c>
      <c r="DP4" s="137" t="s">
        <v>777</v>
      </c>
      <c r="DQ4" s="137" t="s">
        <v>778</v>
      </c>
      <c r="DR4" s="137" t="s">
        <v>781</v>
      </c>
      <c r="DS4" s="137" t="s">
        <v>782</v>
      </c>
      <c r="DT4" s="137" t="s">
        <v>784</v>
      </c>
      <c r="DU4" s="137" t="s">
        <v>785</v>
      </c>
      <c r="DV4" s="137" t="s">
        <v>786</v>
      </c>
      <c r="DW4" s="137" t="s">
        <v>787</v>
      </c>
      <c r="DX4" s="137" t="s">
        <v>788</v>
      </c>
      <c r="DY4" s="137" t="s">
        <v>789</v>
      </c>
      <c r="DZ4" s="137" t="s">
        <v>792</v>
      </c>
      <c r="EA4" s="137" t="s">
        <v>794</v>
      </c>
      <c r="EB4" s="137" t="s">
        <v>795</v>
      </c>
      <c r="EC4" s="137" t="s">
        <v>796</v>
      </c>
      <c r="ED4" s="137" t="s">
        <v>798</v>
      </c>
      <c r="EE4" s="137" t="s">
        <v>799</v>
      </c>
      <c r="EF4" s="137" t="s">
        <v>800</v>
      </c>
      <c r="EG4" s="137" t="s">
        <v>802</v>
      </c>
      <c r="EH4" s="137" t="s">
        <v>805</v>
      </c>
      <c r="EI4" s="137" t="s">
        <v>806</v>
      </c>
      <c r="EJ4" s="137" t="s">
        <v>807</v>
      </c>
      <c r="EK4" s="137" t="s">
        <v>809</v>
      </c>
      <c r="EL4" s="137" t="s">
        <v>811</v>
      </c>
      <c r="EM4" s="137" t="s">
        <v>812</v>
      </c>
      <c r="EN4" s="137" t="s">
        <v>813</v>
      </c>
      <c r="EO4" s="137" t="s">
        <v>814</v>
      </c>
      <c r="EP4" s="137" t="s">
        <v>816</v>
      </c>
      <c r="EQ4" s="137" t="s">
        <v>818</v>
      </c>
      <c r="ER4" s="137" t="s">
        <v>819</v>
      </c>
      <c r="ES4" s="137" t="s">
        <v>820</v>
      </c>
      <c r="ET4" s="137" t="s">
        <v>821</v>
      </c>
      <c r="EU4" s="137" t="s">
        <v>822</v>
      </c>
      <c r="EV4" s="137" t="s">
        <v>823</v>
      </c>
      <c r="EW4" s="137" t="s">
        <v>824</v>
      </c>
      <c r="EX4" s="137" t="s">
        <v>827</v>
      </c>
      <c r="EY4" s="137" t="s">
        <v>828</v>
      </c>
      <c r="EZ4" s="137" t="s">
        <v>832</v>
      </c>
      <c r="FA4" s="137" t="s">
        <v>833</v>
      </c>
      <c r="FB4" s="137" t="s">
        <v>836</v>
      </c>
      <c r="FC4" s="137" t="s">
        <v>837</v>
      </c>
      <c r="FD4" s="137" t="s">
        <v>839</v>
      </c>
      <c r="FE4" s="137" t="s">
        <v>840</v>
      </c>
      <c r="FF4" s="137" t="s">
        <v>841</v>
      </c>
      <c r="FG4" s="137" t="s">
        <v>842</v>
      </c>
      <c r="FH4" s="137" t="s">
        <v>843</v>
      </c>
      <c r="FI4" s="137" t="s">
        <v>844</v>
      </c>
      <c r="FJ4" s="137" t="s">
        <v>845</v>
      </c>
      <c r="FK4" s="137" t="s">
        <v>847</v>
      </c>
      <c r="FL4" s="137" t="s">
        <v>848</v>
      </c>
      <c r="FM4" s="137" t="s">
        <v>849</v>
      </c>
      <c r="FN4" s="137" t="s">
        <v>850</v>
      </c>
      <c r="FO4" s="137" t="s">
        <v>851</v>
      </c>
      <c r="FP4" s="137" t="s">
        <v>853</v>
      </c>
      <c r="FQ4" s="147" t="s">
        <v>854</v>
      </c>
      <c r="FR4" s="137" t="s">
        <v>855</v>
      </c>
      <c r="FS4" s="137" t="s">
        <v>857</v>
      </c>
      <c r="FT4" s="137" t="s">
        <v>858</v>
      </c>
      <c r="FU4" s="147" t="s">
        <v>860</v>
      </c>
      <c r="FV4" s="137" t="s">
        <v>861</v>
      </c>
      <c r="FW4" s="137" t="s">
        <v>863</v>
      </c>
      <c r="FX4" s="137" t="s">
        <v>865</v>
      </c>
      <c r="FY4" s="137" t="s">
        <v>867</v>
      </c>
      <c r="FZ4" s="137" t="s">
        <v>868</v>
      </c>
      <c r="GA4" s="137" t="s">
        <v>870</v>
      </c>
      <c r="GB4" s="137" t="s">
        <v>872</v>
      </c>
      <c r="GC4" s="137" t="s">
        <v>873</v>
      </c>
      <c r="GD4" s="137" t="s">
        <v>874</v>
      </c>
      <c r="GE4" s="137" t="s">
        <v>876</v>
      </c>
      <c r="GF4" s="137" t="s">
        <v>878</v>
      </c>
      <c r="GG4" s="137" t="s">
        <v>915</v>
      </c>
      <c r="GH4" s="137" t="s">
        <v>883</v>
      </c>
      <c r="GI4" s="137" t="s">
        <v>884</v>
      </c>
      <c r="GJ4" s="137" t="s">
        <v>886</v>
      </c>
      <c r="GK4" s="137" t="s">
        <v>888</v>
      </c>
      <c r="GL4" s="137" t="s">
        <v>890</v>
      </c>
      <c r="GM4" s="137" t="s">
        <v>893</v>
      </c>
      <c r="GN4" s="137" t="s">
        <v>894</v>
      </c>
      <c r="GO4" s="137" t="s">
        <v>895</v>
      </c>
      <c r="GP4" s="137" t="s">
        <v>896</v>
      </c>
      <c r="GQ4" s="137" t="s">
        <v>914</v>
      </c>
      <c r="GR4" s="137" t="s">
        <v>898</v>
      </c>
      <c r="GS4" s="137" t="s">
        <v>904</v>
      </c>
      <c r="GT4" s="137" t="s">
        <v>905</v>
      </c>
      <c r="GU4" s="137" t="s">
        <v>906</v>
      </c>
    </row>
    <row r="5" spans="1:203" ht="16" x14ac:dyDescent="0.2">
      <c r="A5" s="134" t="s">
        <v>3</v>
      </c>
      <c r="B5" s="136" t="s">
        <v>4</v>
      </c>
      <c r="C5" s="135" t="s">
        <v>5</v>
      </c>
      <c r="D5" s="139" t="s">
        <v>358</v>
      </c>
      <c r="E5" s="139" t="s">
        <v>929</v>
      </c>
      <c r="F5" s="139" t="s">
        <v>368</v>
      </c>
      <c r="G5" s="139" t="s">
        <v>369</v>
      </c>
      <c r="H5" s="139" t="s">
        <v>370</v>
      </c>
      <c r="I5" s="139" t="s">
        <v>373</v>
      </c>
      <c r="J5" s="139" t="s">
        <v>376</v>
      </c>
      <c r="K5" s="139" t="s">
        <v>351</v>
      </c>
      <c r="L5" s="139" t="s">
        <v>377</v>
      </c>
      <c r="M5" s="139" t="s">
        <v>352</v>
      </c>
      <c r="N5" s="139" t="s">
        <v>353</v>
      </c>
      <c r="O5" s="139" t="s">
        <v>379</v>
      </c>
      <c r="P5" s="139" t="s">
        <v>380</v>
      </c>
      <c r="Q5" s="139" t="s">
        <v>381</v>
      </c>
      <c r="R5" s="139" t="s">
        <v>382</v>
      </c>
      <c r="S5" s="139" t="s">
        <v>383</v>
      </c>
      <c r="T5" s="139" t="s">
        <v>384</v>
      </c>
      <c r="U5" s="139" t="s">
        <v>354</v>
      </c>
      <c r="V5" s="139" t="s">
        <v>385</v>
      </c>
      <c r="W5" s="139" t="s">
        <v>386</v>
      </c>
      <c r="X5" s="139" t="s">
        <v>388</v>
      </c>
      <c r="Y5" s="139" t="s">
        <v>355</v>
      </c>
      <c r="Z5" s="139" t="s">
        <v>390</v>
      </c>
      <c r="AA5" s="139" t="s">
        <v>391</v>
      </c>
      <c r="AB5" s="139" t="s">
        <v>356</v>
      </c>
      <c r="AC5" s="139" t="s">
        <v>394</v>
      </c>
      <c r="AD5" s="139" t="s">
        <v>357</v>
      </c>
      <c r="AE5" s="139" t="s">
        <v>395</v>
      </c>
      <c r="AF5" s="139" t="s">
        <v>396</v>
      </c>
      <c r="AG5" s="139" t="s">
        <v>397</v>
      </c>
      <c r="AH5" s="139" t="s">
        <v>398</v>
      </c>
      <c r="AI5" s="139" t="s">
        <v>399</v>
      </c>
      <c r="AJ5" s="139" t="s">
        <v>400</v>
      </c>
      <c r="AK5" s="139" t="s">
        <v>402</v>
      </c>
      <c r="AL5" s="139" t="s">
        <v>403</v>
      </c>
      <c r="AM5" s="139" t="s">
        <v>404</v>
      </c>
      <c r="AN5" s="139" t="s">
        <v>406</v>
      </c>
      <c r="AO5" s="139" t="s">
        <v>407</v>
      </c>
      <c r="AP5" s="139" t="s">
        <v>408</v>
      </c>
      <c r="AQ5" s="139" t="s">
        <v>405</v>
      </c>
      <c r="AR5" s="139" t="s">
        <v>411</v>
      </c>
      <c r="AS5" s="139" t="s">
        <v>412</v>
      </c>
      <c r="AT5" s="139" t="s">
        <v>414</v>
      </c>
      <c r="AU5" s="139" t="s">
        <v>415</v>
      </c>
      <c r="AV5" s="139" t="s">
        <v>416</v>
      </c>
      <c r="AW5" s="139" t="s">
        <v>418</v>
      </c>
      <c r="AX5" s="139" t="s">
        <v>419</v>
      </c>
      <c r="AY5" s="139" t="s">
        <v>421</v>
      </c>
      <c r="AZ5" s="139" t="s">
        <v>422</v>
      </c>
      <c r="BA5" s="139" t="s">
        <v>417</v>
      </c>
      <c r="BB5" s="139" t="s">
        <v>423</v>
      </c>
      <c r="BC5" s="139" t="s">
        <v>413</v>
      </c>
      <c r="BD5" s="139" t="s">
        <v>424</v>
      </c>
      <c r="BE5" s="139" t="s">
        <v>425</v>
      </c>
      <c r="BF5" s="139" t="s">
        <v>426</v>
      </c>
      <c r="BG5" s="139" t="s">
        <v>427</v>
      </c>
      <c r="BH5" s="139" t="s">
        <v>428</v>
      </c>
      <c r="BI5" s="139" t="s">
        <v>429</v>
      </c>
      <c r="BJ5" s="139" t="s">
        <v>430</v>
      </c>
      <c r="BK5" s="139" t="s">
        <v>431</v>
      </c>
      <c r="BL5" s="139" t="s">
        <v>432</v>
      </c>
      <c r="BM5" s="139" t="s">
        <v>433</v>
      </c>
      <c r="BN5" s="139" t="s">
        <v>434</v>
      </c>
      <c r="BO5" s="139" t="s">
        <v>435</v>
      </c>
      <c r="BP5" s="139" t="s">
        <v>437</v>
      </c>
      <c r="BQ5" s="139" t="s">
        <v>438</v>
      </c>
      <c r="BR5" s="139" t="s">
        <v>439</v>
      </c>
      <c r="BS5" s="139" t="s">
        <v>440</v>
      </c>
      <c r="BT5" s="139" t="s">
        <v>442</v>
      </c>
      <c r="BU5" s="139" t="s">
        <v>444</v>
      </c>
      <c r="BV5" s="139" t="s">
        <v>445</v>
      </c>
      <c r="BW5" s="139" t="s">
        <v>446</v>
      </c>
      <c r="BX5" s="139" t="s">
        <v>447</v>
      </c>
      <c r="BY5" s="139" t="s">
        <v>448</v>
      </c>
      <c r="BZ5" s="139" t="s">
        <v>450</v>
      </c>
      <c r="CA5" s="139" t="s">
        <v>452</v>
      </c>
      <c r="CB5" s="139" t="s">
        <v>455</v>
      </c>
      <c r="CC5" s="139" t="s">
        <v>457</v>
      </c>
      <c r="CD5" s="139" t="s">
        <v>458</v>
      </c>
      <c r="CE5" s="139" t="s">
        <v>459</v>
      </c>
      <c r="CF5" s="139" t="s">
        <v>460</v>
      </c>
      <c r="CG5" s="139" t="s">
        <v>463</v>
      </c>
      <c r="CH5" s="139" t="s">
        <v>464</v>
      </c>
      <c r="CI5" s="139" t="s">
        <v>465</v>
      </c>
      <c r="CJ5" s="139" t="s">
        <v>466</v>
      </c>
      <c r="CK5" s="139" t="s">
        <v>467</v>
      </c>
      <c r="CL5" s="139" t="s">
        <v>468</v>
      </c>
      <c r="CM5" s="139" t="s">
        <v>469</v>
      </c>
      <c r="CN5" s="139" t="s">
        <v>470</v>
      </c>
      <c r="CO5" s="139" t="s">
        <v>472</v>
      </c>
      <c r="CP5" s="139" t="s">
        <v>473</v>
      </c>
      <c r="CQ5" s="139" t="s">
        <v>474</v>
      </c>
      <c r="CR5" s="139" t="s">
        <v>475</v>
      </c>
      <c r="CS5" s="139" t="s">
        <v>477</v>
      </c>
      <c r="CT5" s="139" t="s">
        <v>478</v>
      </c>
      <c r="CU5" s="139" t="s">
        <v>479</v>
      </c>
      <c r="CV5" s="139" t="s">
        <v>480</v>
      </c>
      <c r="CW5" s="139" t="s">
        <v>482</v>
      </c>
      <c r="CX5" s="139" t="s">
        <v>483</v>
      </c>
      <c r="CY5" s="139" t="s">
        <v>484</v>
      </c>
      <c r="CZ5" s="139" t="s">
        <v>485</v>
      </c>
      <c r="DA5" s="139" t="s">
        <v>486</v>
      </c>
      <c r="DB5" s="139" t="s">
        <v>487</v>
      </c>
      <c r="DC5" s="139" t="s">
        <v>488</v>
      </c>
      <c r="DD5" s="139" t="s">
        <v>489</v>
      </c>
      <c r="DE5" s="139" t="s">
        <v>491</v>
      </c>
      <c r="DF5" s="139" t="s">
        <v>492</v>
      </c>
      <c r="DG5" s="139" t="s">
        <v>493</v>
      </c>
      <c r="DH5" s="139" t="s">
        <v>494</v>
      </c>
      <c r="DI5" s="139" t="s">
        <v>495</v>
      </c>
      <c r="DJ5" s="139" t="s">
        <v>496</v>
      </c>
      <c r="DK5" s="139" t="s">
        <v>497</v>
      </c>
      <c r="DL5" s="139" t="s">
        <v>498</v>
      </c>
      <c r="DM5" s="139" t="s">
        <v>499</v>
      </c>
      <c r="DN5" s="139" t="s">
        <v>501</v>
      </c>
      <c r="DO5" s="139" t="s">
        <v>502</v>
      </c>
      <c r="DP5" s="139" t="s">
        <v>504</v>
      </c>
      <c r="DQ5" s="139" t="s">
        <v>505</v>
      </c>
      <c r="DR5" s="139" t="s">
        <v>508</v>
      </c>
      <c r="DS5" s="139" t="s">
        <v>509</v>
      </c>
      <c r="DT5" s="139" t="s">
        <v>511</v>
      </c>
      <c r="DU5" s="139" t="s">
        <v>512</v>
      </c>
      <c r="DV5" s="139" t="s">
        <v>513</v>
      </c>
      <c r="DW5" s="139" t="s">
        <v>514</v>
      </c>
      <c r="DX5" s="139" t="s">
        <v>515</v>
      </c>
      <c r="DY5" s="139" t="s">
        <v>516</v>
      </c>
      <c r="DZ5" s="139" t="s">
        <v>517</v>
      </c>
      <c r="EA5" s="139" t="s">
        <v>518</v>
      </c>
      <c r="EB5" s="139" t="s">
        <v>519</v>
      </c>
      <c r="EC5" s="139" t="s">
        <v>520</v>
      </c>
      <c r="ED5" s="139" t="s">
        <v>521</v>
      </c>
      <c r="EE5" s="139" t="s">
        <v>522</v>
      </c>
      <c r="EF5" s="139" t="s">
        <v>523</v>
      </c>
      <c r="EG5" s="139" t="s">
        <v>525</v>
      </c>
      <c r="EH5" s="139" t="s">
        <v>527</v>
      </c>
      <c r="EI5" s="139" t="s">
        <v>528</v>
      </c>
      <c r="EJ5" s="139" t="s">
        <v>529</v>
      </c>
      <c r="EK5" s="139" t="s">
        <v>532</v>
      </c>
      <c r="EL5" s="139" t="s">
        <v>533</v>
      </c>
      <c r="EM5" s="139" t="s">
        <v>534</v>
      </c>
      <c r="EN5" s="139" t="s">
        <v>535</v>
      </c>
      <c r="EO5" s="139" t="s">
        <v>536</v>
      </c>
      <c r="EP5" s="139" t="s">
        <v>537</v>
      </c>
      <c r="EQ5" s="139" t="s">
        <v>531</v>
      </c>
      <c r="ER5" s="139" t="s">
        <v>539</v>
      </c>
      <c r="ES5" s="139" t="s">
        <v>540</v>
      </c>
      <c r="ET5" s="139" t="s">
        <v>541</v>
      </c>
      <c r="EU5" s="139" t="s">
        <v>481</v>
      </c>
      <c r="EV5" s="139" t="s">
        <v>506</v>
      </c>
      <c r="EW5" s="139" t="s">
        <v>542</v>
      </c>
      <c r="EX5" s="139" t="s">
        <v>543</v>
      </c>
      <c r="EY5" s="139" t="s">
        <v>544</v>
      </c>
      <c r="EZ5" s="139" t="s">
        <v>548</v>
      </c>
      <c r="FA5" s="139" t="s">
        <v>549</v>
      </c>
      <c r="FB5" s="139" t="s">
        <v>552</v>
      </c>
      <c r="FC5" s="139" t="s">
        <v>553</v>
      </c>
      <c r="FD5" s="139" t="s">
        <v>555</v>
      </c>
      <c r="FE5" s="139" t="s">
        <v>556</v>
      </c>
      <c r="FF5" s="139" t="s">
        <v>557</v>
      </c>
      <c r="FG5" s="139" t="s">
        <v>558</v>
      </c>
      <c r="FH5" s="139" t="s">
        <v>559</v>
      </c>
      <c r="FI5" s="139" t="s">
        <v>560</v>
      </c>
      <c r="FJ5" s="139" t="s">
        <v>561</v>
      </c>
      <c r="FK5" s="139" t="s">
        <v>563</v>
      </c>
      <c r="FL5" s="139" t="s">
        <v>564</v>
      </c>
      <c r="FM5" s="139" t="s">
        <v>565</v>
      </c>
      <c r="FN5" s="139" t="s">
        <v>566</v>
      </c>
      <c r="FO5" s="139" t="s">
        <v>567</v>
      </c>
      <c r="FP5" s="139" t="s">
        <v>569</v>
      </c>
      <c r="FQ5" s="139" t="s">
        <v>570</v>
      </c>
      <c r="FR5" s="139" t="s">
        <v>571</v>
      </c>
      <c r="FS5" s="139" t="s">
        <v>572</v>
      </c>
      <c r="FT5" s="139" t="s">
        <v>573</v>
      </c>
      <c r="FU5" s="139" t="s">
        <v>575</v>
      </c>
      <c r="FV5" s="139" t="s">
        <v>576</v>
      </c>
      <c r="FW5" s="139" t="s">
        <v>577</v>
      </c>
      <c r="FX5" s="139" t="s">
        <v>578</v>
      </c>
      <c r="FY5" s="139" t="s">
        <v>580</v>
      </c>
      <c r="FZ5" s="139" t="s">
        <v>581</v>
      </c>
      <c r="GA5" s="139" t="s">
        <v>582</v>
      </c>
      <c r="GB5" s="139" t="s">
        <v>584</v>
      </c>
      <c r="GC5" s="139" t="s">
        <v>585</v>
      </c>
      <c r="GD5" s="139" t="s">
        <v>586</v>
      </c>
      <c r="GE5" s="139" t="s">
        <v>588</v>
      </c>
      <c r="GF5" s="139" t="s">
        <v>590</v>
      </c>
      <c r="GG5" s="139" t="s">
        <v>587</v>
      </c>
      <c r="GH5" s="139" t="s">
        <v>593</v>
      </c>
      <c r="GI5" s="139" t="s">
        <v>594</v>
      </c>
      <c r="GJ5" s="139" t="s">
        <v>595</v>
      </c>
      <c r="GK5" s="139" t="s">
        <v>591</v>
      </c>
      <c r="GL5" s="139" t="s">
        <v>579</v>
      </c>
      <c r="GM5" s="139" t="s">
        <v>592</v>
      </c>
      <c r="GN5" s="139" t="s">
        <v>597</v>
      </c>
      <c r="GO5" s="139" t="s">
        <v>598</v>
      </c>
      <c r="GP5" s="139" t="s">
        <v>599</v>
      </c>
      <c r="GQ5" s="139" t="s">
        <v>600</v>
      </c>
      <c r="GR5" s="139" t="s">
        <v>601</v>
      </c>
      <c r="GS5" s="139" t="s">
        <v>606</v>
      </c>
      <c r="GT5" s="139" t="s">
        <v>607</v>
      </c>
      <c r="GU5" s="139" t="s">
        <v>608</v>
      </c>
    </row>
    <row r="6" spans="1:203" x14ac:dyDescent="0.2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  <c r="D6">
        <v>114</v>
      </c>
      <c r="E6">
        <v>1435</v>
      </c>
      <c r="FU6" s="144"/>
    </row>
    <row r="7" spans="1:203" x14ac:dyDescent="0.2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  <c r="D7">
        <v>170</v>
      </c>
      <c r="E7">
        <v>9000</v>
      </c>
      <c r="AD7">
        <v>22</v>
      </c>
      <c r="FU7" s="144"/>
    </row>
    <row r="8" spans="1:203" x14ac:dyDescent="0.2">
      <c r="A8" s="6" t="str">
        <f>Defaults!A8</f>
        <v>01341</v>
      </c>
      <c r="B8" s="6" t="str">
        <f>Defaults!B8</f>
        <v>Apples</v>
      </c>
      <c r="C8" s="6" t="str">
        <f>Defaults!C8</f>
        <v>Fruits</v>
      </c>
      <c r="D8" t="s">
        <v>575</v>
      </c>
      <c r="E8" t="s">
        <v>575</v>
      </c>
      <c r="FU8" s="145">
        <v>41.000996934136801</v>
      </c>
    </row>
    <row r="9" spans="1:203" x14ac:dyDescent="0.2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  <c r="D9" t="s">
        <v>942</v>
      </c>
      <c r="FU9" s="144"/>
    </row>
    <row r="10" spans="1:203" x14ac:dyDescent="0.2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  <c r="D10" t="s">
        <v>943</v>
      </c>
      <c r="FU10" s="144"/>
    </row>
    <row r="11" spans="1:203" x14ac:dyDescent="0.2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  <c r="D11" t="s">
        <v>575</v>
      </c>
      <c r="E11" t="s">
        <v>575</v>
      </c>
      <c r="FU11" s="144">
        <v>20</v>
      </c>
    </row>
    <row r="12" spans="1:203" x14ac:dyDescent="0.2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  <c r="D12" s="142">
        <v>136</v>
      </c>
      <c r="FU12" s="144"/>
    </row>
    <row r="13" spans="1:203" x14ac:dyDescent="0.2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  <c r="D13" s="142">
        <v>44</v>
      </c>
      <c r="AV13">
        <v>450</v>
      </c>
      <c r="FU13" s="144"/>
    </row>
    <row r="14" spans="1:203" x14ac:dyDescent="0.2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  <c r="D14" t="s">
        <v>575</v>
      </c>
      <c r="E14" t="s">
        <v>575</v>
      </c>
      <c r="FU14" s="144">
        <v>94</v>
      </c>
    </row>
    <row r="15" spans="1:203" x14ac:dyDescent="0.2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  <c r="D15" t="s">
        <v>575</v>
      </c>
      <c r="E15" t="s">
        <v>575</v>
      </c>
      <c r="FU15" s="144">
        <v>90</v>
      </c>
    </row>
    <row r="16" spans="1:203" x14ac:dyDescent="0.2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  <c r="D16" t="s">
        <v>575</v>
      </c>
      <c r="E16" t="s">
        <v>575</v>
      </c>
      <c r="FU16" s="144">
        <v>126</v>
      </c>
    </row>
    <row r="17" spans="1:177" x14ac:dyDescent="0.2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  <c r="D17" t="s">
        <v>575</v>
      </c>
      <c r="E17" t="s">
        <v>575</v>
      </c>
      <c r="FU17" s="145">
        <v>30</v>
      </c>
    </row>
    <row r="18" spans="1:177" x14ac:dyDescent="0.2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  <c r="D18" t="s">
        <v>944</v>
      </c>
      <c r="FU18" s="145"/>
    </row>
    <row r="19" spans="1:177" x14ac:dyDescent="0.2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  <c r="FU19" s="144"/>
    </row>
    <row r="20" spans="1:177" x14ac:dyDescent="0.2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  <c r="D20" t="s">
        <v>575</v>
      </c>
      <c r="E20" t="s">
        <v>575</v>
      </c>
      <c r="FU20" s="145">
        <v>2</v>
      </c>
    </row>
    <row r="21" spans="1:177" x14ac:dyDescent="0.2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  <c r="D21" s="142" t="s">
        <v>945</v>
      </c>
      <c r="E21" s="142"/>
      <c r="FU21" s="145"/>
    </row>
    <row r="22" spans="1:177" x14ac:dyDescent="0.2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  <c r="FU22" s="145">
        <v>150</v>
      </c>
    </row>
    <row r="23" spans="1:177" x14ac:dyDescent="0.2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</row>
    <row r="24" spans="1:177" x14ac:dyDescent="0.2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  <c r="D24" t="s">
        <v>575</v>
      </c>
      <c r="E24" t="s">
        <v>575</v>
      </c>
      <c r="FU24" s="144">
        <v>200.00035800590709</v>
      </c>
    </row>
    <row r="25" spans="1:177" x14ac:dyDescent="0.2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  <c r="D25" t="s">
        <v>570</v>
      </c>
      <c r="E25" t="s">
        <v>570</v>
      </c>
      <c r="FQ25">
        <v>135</v>
      </c>
    </row>
    <row r="26" spans="1:177" x14ac:dyDescent="0.2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  <c r="D26" t="s">
        <v>575</v>
      </c>
      <c r="E26" t="s">
        <v>575</v>
      </c>
      <c r="FU26" s="145">
        <v>83</v>
      </c>
    </row>
    <row r="27" spans="1:177" x14ac:dyDescent="0.2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</row>
    <row r="28" spans="1:177" x14ac:dyDescent="0.2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  <c r="D28" t="s">
        <v>575</v>
      </c>
      <c r="E28" t="s">
        <v>575</v>
      </c>
      <c r="FQ28" s="142"/>
      <c r="FU28" s="145">
        <v>220</v>
      </c>
    </row>
    <row r="29" spans="1:177" x14ac:dyDescent="0.2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  <c r="D29" t="s">
        <v>575</v>
      </c>
      <c r="E29" t="s">
        <v>575</v>
      </c>
      <c r="FU29" s="144">
        <v>192.00000000000003</v>
      </c>
    </row>
    <row r="30" spans="1:177" x14ac:dyDescent="0.2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  <c r="D30" s="142" t="s">
        <v>947</v>
      </c>
      <c r="E30" s="142"/>
      <c r="FU30" s="144"/>
    </row>
    <row r="31" spans="1:177" x14ac:dyDescent="0.2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  <c r="D31" t="s">
        <v>944</v>
      </c>
      <c r="N31" s="142">
        <v>810</v>
      </c>
      <c r="FU31" s="145"/>
    </row>
    <row r="32" spans="1:177" x14ac:dyDescent="0.2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  <c r="D32" t="s">
        <v>931</v>
      </c>
      <c r="FU32" s="145"/>
    </row>
    <row r="33" spans="1:177" x14ac:dyDescent="0.2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  <c r="D33" s="1" t="s">
        <v>940</v>
      </c>
      <c r="E33" s="1"/>
      <c r="FU33" s="144"/>
    </row>
    <row r="34" spans="1:177" x14ac:dyDescent="0.2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  <c r="D34" t="s">
        <v>570</v>
      </c>
      <c r="E34" t="s">
        <v>570</v>
      </c>
      <c r="FQ34">
        <v>260</v>
      </c>
      <c r="FU34" s="144"/>
    </row>
    <row r="35" spans="1:177" x14ac:dyDescent="0.2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  <c r="FU35" s="144"/>
    </row>
    <row r="36" spans="1:177" x14ac:dyDescent="0.2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  <c r="FU36" s="144"/>
    </row>
    <row r="37" spans="1:177" x14ac:dyDescent="0.2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  <c r="D37" t="s">
        <v>416</v>
      </c>
      <c r="E37" t="s">
        <v>416</v>
      </c>
      <c r="AV37">
        <v>212</v>
      </c>
      <c r="FU37" s="144"/>
    </row>
    <row r="38" spans="1:177" x14ac:dyDescent="0.2">
      <c r="A38" s="152" t="str">
        <f>Defaults!A38</f>
        <v>01232</v>
      </c>
      <c r="B38" s="152" t="str">
        <f>Defaults!B38</f>
        <v>Cucumbers and gherkins, averrage</v>
      </c>
      <c r="C38" s="152" t="str">
        <f>Defaults!C38</f>
        <v>Vegetables</v>
      </c>
      <c r="FU38" s="51">
        <v>1385.8545100000001</v>
      </c>
    </row>
    <row r="39" spans="1:177" x14ac:dyDescent="0.2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  <c r="D39" t="s">
        <v>575</v>
      </c>
      <c r="E39" t="s">
        <v>575</v>
      </c>
      <c r="FU39" s="145">
        <v>1451.4258</v>
      </c>
    </row>
    <row r="40" spans="1:177" x14ac:dyDescent="0.2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  <c r="D40" t="s">
        <v>575</v>
      </c>
      <c r="E40" t="s">
        <v>575</v>
      </c>
      <c r="FU40" s="145">
        <v>140</v>
      </c>
    </row>
    <row r="41" spans="1:177" x14ac:dyDescent="0.2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  <c r="D41" t="s">
        <v>575</v>
      </c>
      <c r="E41" t="s">
        <v>575</v>
      </c>
      <c r="FU41" s="145">
        <v>32</v>
      </c>
    </row>
    <row r="42" spans="1:177" x14ac:dyDescent="0.2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  <c r="D42" t="s">
        <v>570</v>
      </c>
      <c r="E42" t="s">
        <v>570</v>
      </c>
      <c r="FQ42">
        <v>34</v>
      </c>
      <c r="FU42" s="145"/>
    </row>
    <row r="43" spans="1:177" x14ac:dyDescent="0.2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  <c r="D43" t="s">
        <v>948</v>
      </c>
      <c r="FU43" s="145"/>
    </row>
    <row r="44" spans="1:177" x14ac:dyDescent="0.2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  <c r="D44" t="s">
        <v>943</v>
      </c>
      <c r="FU44" s="145"/>
    </row>
    <row r="45" spans="1:177" x14ac:dyDescent="0.2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  <c r="D45" t="s">
        <v>949</v>
      </c>
      <c r="FU45" s="145"/>
    </row>
    <row r="46" spans="1:177" x14ac:dyDescent="0.2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  <c r="D46" t="s">
        <v>944</v>
      </c>
      <c r="FU46" s="145"/>
    </row>
    <row r="47" spans="1:177" x14ac:dyDescent="0.2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  <c r="D47" s="142">
        <v>13</v>
      </c>
      <c r="E47" s="142">
        <v>6635</v>
      </c>
      <c r="FU47" s="145">
        <v>6.2508461827754793</v>
      </c>
    </row>
    <row r="48" spans="1:177" x14ac:dyDescent="0.2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  <c r="FU48" s="145"/>
    </row>
    <row r="49" spans="1:177" x14ac:dyDescent="0.2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  <c r="D49" t="s">
        <v>950</v>
      </c>
      <c r="FU49" s="145">
        <v>11.387434554973822</v>
      </c>
    </row>
    <row r="50" spans="1:177" x14ac:dyDescent="0.2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  <c r="D50" s="153">
        <v>38</v>
      </c>
      <c r="E50" s="153">
        <v>1672</v>
      </c>
      <c r="FU50" s="145"/>
    </row>
    <row r="51" spans="1:177" x14ac:dyDescent="0.2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  <c r="D51" t="s">
        <v>931</v>
      </c>
      <c r="FU51" s="145"/>
    </row>
    <row r="52" spans="1:177" x14ac:dyDescent="0.2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  <c r="D52" t="s">
        <v>570</v>
      </c>
      <c r="E52" t="s">
        <v>570</v>
      </c>
      <c r="FQ52">
        <v>80</v>
      </c>
      <c r="FU52" s="145"/>
    </row>
    <row r="53" spans="1:177" x14ac:dyDescent="0.2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  <c r="D53" t="s">
        <v>575</v>
      </c>
      <c r="E53" t="s">
        <v>575</v>
      </c>
      <c r="FU53" s="145">
        <v>219.9992474773388</v>
      </c>
    </row>
    <row r="54" spans="1:177" x14ac:dyDescent="0.2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  <c r="D54" t="s">
        <v>570</v>
      </c>
      <c r="E54" t="s">
        <v>570</v>
      </c>
      <c r="FQ54">
        <v>260</v>
      </c>
      <c r="FU54" s="145"/>
    </row>
    <row r="55" spans="1:177" x14ac:dyDescent="0.2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  <c r="D55" t="s">
        <v>940</v>
      </c>
      <c r="FU55" s="146">
        <v>0</v>
      </c>
    </row>
    <row r="56" spans="1:177" x14ac:dyDescent="0.2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  <c r="D56" t="s">
        <v>575</v>
      </c>
      <c r="E56" t="s">
        <v>575</v>
      </c>
      <c r="FU56" s="145">
        <v>103.99894409543754</v>
      </c>
    </row>
    <row r="57" spans="1:177" x14ac:dyDescent="0.2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  <c r="D57" t="s">
        <v>575</v>
      </c>
      <c r="E57" t="s">
        <v>575</v>
      </c>
      <c r="FQ57">
        <v>10</v>
      </c>
      <c r="FU57" s="145">
        <v>60</v>
      </c>
    </row>
    <row r="58" spans="1:177" x14ac:dyDescent="0.2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  <c r="D58" t="s">
        <v>940</v>
      </c>
      <c r="FU58" s="145"/>
    </row>
    <row r="59" spans="1:177" x14ac:dyDescent="0.2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  <c r="D59" t="s">
        <v>575</v>
      </c>
      <c r="E59" t="s">
        <v>575</v>
      </c>
      <c r="FU59" s="145">
        <v>131.99700453857793</v>
      </c>
    </row>
    <row r="60" spans="1:177" x14ac:dyDescent="0.2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  <c r="D60" s="142"/>
      <c r="E60" s="142"/>
      <c r="FU60" s="145"/>
    </row>
    <row r="61" spans="1:177" x14ac:dyDescent="0.2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  <c r="D61" s="142" t="s">
        <v>957</v>
      </c>
      <c r="E61" s="142" t="s">
        <v>957</v>
      </c>
      <c r="AD61">
        <v>50</v>
      </c>
      <c r="FU61" s="145"/>
    </row>
    <row r="62" spans="1:177" x14ac:dyDescent="0.2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  <c r="FU62" s="145"/>
    </row>
    <row r="63" spans="1:177" x14ac:dyDescent="0.2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  <c r="FU63" s="145"/>
    </row>
    <row r="64" spans="1:177" x14ac:dyDescent="0.2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  <c r="D64" t="s">
        <v>575</v>
      </c>
      <c r="E64" t="s">
        <v>575</v>
      </c>
      <c r="FU64" s="144">
        <v>70.992046843177178</v>
      </c>
    </row>
    <row r="65" spans="1:177" x14ac:dyDescent="0.2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  <c r="FU65" s="144"/>
    </row>
    <row r="66" spans="1:177" x14ac:dyDescent="0.2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  <c r="D66" t="s">
        <v>570</v>
      </c>
      <c r="E66" t="s">
        <v>570</v>
      </c>
      <c r="FQ66">
        <v>32</v>
      </c>
      <c r="FU66" s="144"/>
    </row>
    <row r="67" spans="1:177" x14ac:dyDescent="0.2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  <c r="D67" t="s">
        <v>575</v>
      </c>
      <c r="E67" t="s">
        <v>575</v>
      </c>
      <c r="FU67" s="144">
        <v>143.99874345549739</v>
      </c>
    </row>
    <row r="68" spans="1:177" x14ac:dyDescent="0.2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  <c r="D68" t="s">
        <v>570</v>
      </c>
      <c r="E68" t="s">
        <v>570</v>
      </c>
      <c r="FQ68">
        <v>260</v>
      </c>
      <c r="FU68" s="144"/>
    </row>
    <row r="69" spans="1:177" x14ac:dyDescent="0.2">
      <c r="A69" s="6" t="str">
        <f>Defaults!A69</f>
        <v>01241.90</v>
      </c>
      <c r="B69" s="152" t="str">
        <f>Defaults!B69</f>
        <v>Other beans, green</v>
      </c>
      <c r="C69" s="6" t="str">
        <f>Defaults!C69</f>
        <v>Vegetables</v>
      </c>
      <c r="D69" t="s">
        <v>932</v>
      </c>
      <c r="F69" t="s">
        <v>952</v>
      </c>
      <c r="FU69" s="144">
        <v>2.0001956181533647</v>
      </c>
    </row>
    <row r="70" spans="1:177" x14ac:dyDescent="0.2">
      <c r="A70" s="6" t="str">
        <f>Defaults!A70</f>
        <v>01359.90</v>
      </c>
      <c r="B70" s="152" t="str">
        <f>Defaults!B70</f>
        <v>Other fruits, n.e.c.</v>
      </c>
      <c r="C70" s="6" t="str">
        <f>Defaults!C70</f>
        <v>Fruits</v>
      </c>
      <c r="D70" t="s">
        <v>942</v>
      </c>
      <c r="FU70" s="144"/>
    </row>
    <row r="71" spans="1:177" x14ac:dyDescent="0.2">
      <c r="A71" s="6" t="str">
        <f>Defaults!A71</f>
        <v>01449.90</v>
      </c>
      <c r="B71" s="152" t="str">
        <f>Defaults!B71</f>
        <v>Other oil seeds, n.e.c.</v>
      </c>
      <c r="C71" s="6" t="str">
        <f>Defaults!C71</f>
        <v>Oil crops</v>
      </c>
      <c r="D71" t="s">
        <v>951</v>
      </c>
      <c r="FU71" s="144"/>
    </row>
    <row r="72" spans="1:177" x14ac:dyDescent="0.2">
      <c r="A72" s="6" t="str">
        <f>Defaults!A72</f>
        <v>01709.90</v>
      </c>
      <c r="B72" s="152" t="str">
        <f>Defaults!B72</f>
        <v>Other pulses n.e.c.</v>
      </c>
      <c r="C72" s="6" t="str">
        <f>Defaults!C72</f>
        <v>Pulses</v>
      </c>
      <c r="D72" t="s">
        <v>932</v>
      </c>
      <c r="FU72" s="144">
        <v>1.9994986631016041</v>
      </c>
    </row>
    <row r="73" spans="1:177" x14ac:dyDescent="0.2">
      <c r="A73" s="6" t="str">
        <f>Defaults!A73</f>
        <v>01699</v>
      </c>
      <c r="B73" s="152" t="str">
        <f>Defaults!B73</f>
        <v>Other stimulant, spice and aromatic crops, n.e.c.</v>
      </c>
      <c r="C73" s="6" t="str">
        <f>Defaults!C73</f>
        <v>Stimulants</v>
      </c>
      <c r="D73" t="s">
        <v>933</v>
      </c>
      <c r="FU73" s="144"/>
    </row>
    <row r="74" spans="1:177" x14ac:dyDescent="0.2">
      <c r="A74" s="6" t="str">
        <f>Defaults!A74</f>
        <v>01290.90</v>
      </c>
      <c r="B74" s="152" t="str">
        <f>Defaults!B74</f>
        <v>Other vegetables, fresh n.e.c.</v>
      </c>
      <c r="C74" s="6" t="str">
        <f>Defaults!C74</f>
        <v>Vegetables</v>
      </c>
      <c r="D74" t="s">
        <v>943</v>
      </c>
      <c r="FU74" s="144">
        <v>131.99427061709758</v>
      </c>
    </row>
    <row r="75" spans="1:177" x14ac:dyDescent="0.2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  <c r="D75" s="1" t="s">
        <v>953</v>
      </c>
      <c r="E75" s="142"/>
      <c r="FU75" s="144"/>
    </row>
    <row r="76" spans="1:177" x14ac:dyDescent="0.2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  <c r="D76" t="s">
        <v>570</v>
      </c>
      <c r="E76" t="s">
        <v>570</v>
      </c>
      <c r="FQ76">
        <v>9</v>
      </c>
      <c r="FU76" s="144"/>
    </row>
    <row r="77" spans="1:177" x14ac:dyDescent="0.2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  <c r="D77" t="s">
        <v>575</v>
      </c>
      <c r="E77" t="s">
        <v>575</v>
      </c>
      <c r="FU77" s="144">
        <v>48.001155234657041</v>
      </c>
    </row>
    <row r="78" spans="1:177" x14ac:dyDescent="0.2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  <c r="D78">
        <v>0</v>
      </c>
      <c r="FU78" s="144">
        <v>0</v>
      </c>
    </row>
    <row r="79" spans="1:177" x14ac:dyDescent="0.2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  <c r="D79">
        <v>0</v>
      </c>
      <c r="FU79" s="144">
        <v>0</v>
      </c>
    </row>
    <row r="80" spans="1:177" x14ac:dyDescent="0.2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  <c r="D80" t="s">
        <v>570</v>
      </c>
      <c r="FU80" s="144"/>
    </row>
    <row r="81" spans="1:177" x14ac:dyDescent="0.2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  <c r="FU81" s="144"/>
    </row>
    <row r="82" spans="1:177" x14ac:dyDescent="0.2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  <c r="FU82" s="144"/>
    </row>
    <row r="83" spans="1:177" x14ac:dyDescent="0.2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  <c r="D83" t="s">
        <v>942</v>
      </c>
      <c r="FU83" s="144">
        <v>41</v>
      </c>
    </row>
    <row r="84" spans="1:177" x14ac:dyDescent="0.2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  <c r="D84" t="s">
        <v>570</v>
      </c>
      <c r="E84" t="s">
        <v>570</v>
      </c>
      <c r="FQ84">
        <v>140</v>
      </c>
      <c r="FU84" s="144"/>
    </row>
    <row r="85" spans="1:177" x14ac:dyDescent="0.2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  <c r="D85" s="1" t="s">
        <v>941</v>
      </c>
      <c r="E85" s="142"/>
      <c r="FU85" s="144"/>
    </row>
    <row r="86" spans="1:177" x14ac:dyDescent="0.2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  <c r="D86" t="s">
        <v>575</v>
      </c>
      <c r="E86" t="s">
        <v>575</v>
      </c>
      <c r="FU86" s="144">
        <v>101</v>
      </c>
    </row>
    <row r="87" spans="1:177" x14ac:dyDescent="0.2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  <c r="D87" t="s">
        <v>575</v>
      </c>
      <c r="E87" t="s">
        <v>575</v>
      </c>
      <c r="FU87" s="144">
        <v>17.999882715781244</v>
      </c>
    </row>
    <row r="88" spans="1:177" x14ac:dyDescent="0.2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  <c r="D88" t="s">
        <v>942</v>
      </c>
      <c r="E88" s="142"/>
      <c r="FU88" s="144"/>
    </row>
    <row r="89" spans="1:177" x14ac:dyDescent="0.2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  <c r="D89" s="142">
        <v>88</v>
      </c>
      <c r="FU89" s="144"/>
    </row>
    <row r="90" spans="1:177" x14ac:dyDescent="0.2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  <c r="D90" t="s">
        <v>575</v>
      </c>
      <c r="E90" t="s">
        <v>575</v>
      </c>
      <c r="FU90" s="144">
        <v>147</v>
      </c>
    </row>
    <row r="91" spans="1:177" x14ac:dyDescent="0.2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  <c r="D91" t="s">
        <v>575</v>
      </c>
      <c r="E91" t="s">
        <v>575</v>
      </c>
      <c r="FU91" s="144">
        <v>147</v>
      </c>
    </row>
    <row r="92" spans="1:177" x14ac:dyDescent="0.2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  <c r="D92" t="s">
        <v>575</v>
      </c>
      <c r="E92" t="s">
        <v>575</v>
      </c>
      <c r="FU92" s="144">
        <v>147</v>
      </c>
    </row>
    <row r="93" spans="1:177" x14ac:dyDescent="0.2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  <c r="D93" t="s">
        <v>575</v>
      </c>
      <c r="E93" t="s">
        <v>575</v>
      </c>
      <c r="FU93" s="144">
        <v>100</v>
      </c>
    </row>
    <row r="94" spans="1:177" x14ac:dyDescent="0.2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  <c r="D94" s="142"/>
      <c r="FQ94">
        <v>95</v>
      </c>
      <c r="FU94" s="144"/>
    </row>
    <row r="95" spans="1:177" x14ac:dyDescent="0.2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  <c r="D95" t="s">
        <v>575</v>
      </c>
      <c r="E95" t="s">
        <v>575</v>
      </c>
      <c r="FU95" s="144">
        <v>95.003821656050945</v>
      </c>
    </row>
    <row r="96" spans="1:177" x14ac:dyDescent="0.2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  <c r="D96" t="s">
        <v>351</v>
      </c>
      <c r="E96" t="s">
        <v>351</v>
      </c>
      <c r="K96">
        <v>30</v>
      </c>
      <c r="AD96">
        <v>50</v>
      </c>
      <c r="FU96" s="144"/>
    </row>
    <row r="97" spans="1:177" x14ac:dyDescent="0.2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  <c r="D97" t="s">
        <v>944</v>
      </c>
      <c r="FU97" s="144">
        <v>99.990651635963701</v>
      </c>
    </row>
    <row r="98" spans="1:177" x14ac:dyDescent="0.2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  <c r="D98" s="142">
        <v>3</v>
      </c>
      <c r="K98">
        <v>10</v>
      </c>
      <c r="N98">
        <v>3</v>
      </c>
      <c r="AB98">
        <v>3</v>
      </c>
      <c r="FU98" s="144"/>
    </row>
    <row r="99" spans="1:177" x14ac:dyDescent="0.2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  <c r="D99" t="s">
        <v>575</v>
      </c>
      <c r="E99" t="s">
        <v>575</v>
      </c>
      <c r="FU99" s="144">
        <v>44.998221845893312</v>
      </c>
    </row>
    <row r="100" spans="1:177" x14ac:dyDescent="0.2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  <c r="D100" t="s">
        <v>575</v>
      </c>
      <c r="E100" t="s">
        <v>575</v>
      </c>
      <c r="FU100" s="144">
        <v>32.999338097028954</v>
      </c>
    </row>
    <row r="101" spans="1:177" x14ac:dyDescent="0.2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  <c r="D101" t="s">
        <v>575</v>
      </c>
      <c r="E101" t="s">
        <v>575</v>
      </c>
      <c r="FU101" s="144">
        <v>104.9996533509409</v>
      </c>
    </row>
    <row r="102" spans="1:177" x14ac:dyDescent="0.2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  <c r="D102" t="s">
        <v>954</v>
      </c>
      <c r="FU102" s="144"/>
    </row>
    <row r="103" spans="1:177" x14ac:dyDescent="0.2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  <c r="D103" t="s">
        <v>570</v>
      </c>
      <c r="E103" t="s">
        <v>570</v>
      </c>
      <c r="AD103">
        <v>130</v>
      </c>
      <c r="FQ103">
        <v>130</v>
      </c>
      <c r="FU103" s="144"/>
    </row>
    <row r="104" spans="1:177" x14ac:dyDescent="0.2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  <c r="D104">
        <v>125</v>
      </c>
      <c r="FU104" s="144"/>
    </row>
    <row r="105" spans="1:177" x14ac:dyDescent="0.2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  <c r="D105" t="s">
        <v>953</v>
      </c>
      <c r="FU105" s="144"/>
    </row>
    <row r="106" spans="1:177" x14ac:dyDescent="0.2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  <c r="D106" t="s">
        <v>575</v>
      </c>
      <c r="E106" t="s">
        <v>575</v>
      </c>
      <c r="FU106" s="144">
        <v>1181</v>
      </c>
    </row>
    <row r="107" spans="1:177" x14ac:dyDescent="0.2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  <c r="D107" t="s">
        <v>575</v>
      </c>
      <c r="E107" t="s">
        <v>575</v>
      </c>
      <c r="FU107" s="144">
        <v>1181</v>
      </c>
    </row>
    <row r="108" spans="1:177" x14ac:dyDescent="0.2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  <c r="D108" t="s">
        <v>575</v>
      </c>
      <c r="E108" t="s">
        <v>575</v>
      </c>
      <c r="FU108" s="144"/>
    </row>
    <row r="109" spans="1:177" x14ac:dyDescent="0.2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  <c r="D109" t="s">
        <v>575</v>
      </c>
      <c r="E109" t="s">
        <v>575</v>
      </c>
      <c r="FU109" s="144">
        <v>105.99222303741747</v>
      </c>
    </row>
    <row r="110" spans="1:177" x14ac:dyDescent="0.2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  <c r="D110" t="s">
        <v>570</v>
      </c>
      <c r="E110" t="s">
        <v>570</v>
      </c>
      <c r="FQ110">
        <v>88</v>
      </c>
      <c r="FU110" s="144"/>
    </row>
    <row r="111" spans="1:177" x14ac:dyDescent="0.2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  <c r="D111" t="s">
        <v>940</v>
      </c>
      <c r="FU111" s="144"/>
    </row>
    <row r="112" spans="1:177" x14ac:dyDescent="0.2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  <c r="D112" t="s">
        <v>931</v>
      </c>
      <c r="FU112" s="144"/>
    </row>
    <row r="113" spans="1:177" x14ac:dyDescent="0.2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  <c r="D113" t="s">
        <v>955</v>
      </c>
      <c r="FU113" s="144"/>
    </row>
    <row r="114" spans="1:177" x14ac:dyDescent="0.2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  <c r="D114" t="s">
        <v>955</v>
      </c>
      <c r="FU114" s="144"/>
    </row>
    <row r="115" spans="1:177" x14ac:dyDescent="0.2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  <c r="D115" t="s">
        <v>955</v>
      </c>
      <c r="FU115" s="144"/>
    </row>
    <row r="116" spans="1:177" x14ac:dyDescent="0.2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  <c r="D116" t="s">
        <v>575</v>
      </c>
      <c r="E116" t="s">
        <v>575</v>
      </c>
      <c r="FU116" s="144">
        <v>153</v>
      </c>
    </row>
    <row r="117" spans="1:177" x14ac:dyDescent="0.2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  <c r="D117" t="s">
        <v>575</v>
      </c>
      <c r="E117" t="s">
        <v>575</v>
      </c>
      <c r="FU117" s="144">
        <v>99</v>
      </c>
    </row>
    <row r="118" spans="1:177" x14ac:dyDescent="0.2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  <c r="D118" t="s">
        <v>575</v>
      </c>
      <c r="E118" t="s">
        <v>575</v>
      </c>
      <c r="FU118" s="144">
        <v>159</v>
      </c>
    </row>
    <row r="119" spans="1:177" x14ac:dyDescent="0.2">
      <c r="A119" s="6"/>
      <c r="B119" s="6"/>
      <c r="C119" s="6"/>
    </row>
    <row r="120" spans="1:177" x14ac:dyDescent="0.2">
      <c r="A120" s="6"/>
      <c r="B120" s="6"/>
      <c r="C120" s="6"/>
    </row>
    <row r="121" spans="1:177" x14ac:dyDescent="0.2">
      <c r="A121" s="6"/>
      <c r="B121" s="6"/>
      <c r="C121" s="6"/>
    </row>
    <row r="122" spans="1:177" x14ac:dyDescent="0.2">
      <c r="A122" s="6"/>
      <c r="B122" s="6"/>
      <c r="C122" s="6"/>
    </row>
    <row r="123" spans="1:177" x14ac:dyDescent="0.2">
      <c r="A123" s="6"/>
      <c r="B123" s="6"/>
      <c r="C123" s="6"/>
    </row>
    <row r="124" spans="1:177" x14ac:dyDescent="0.2">
      <c r="A124" s="6"/>
      <c r="B124" s="6"/>
      <c r="C124" s="6"/>
    </row>
    <row r="125" spans="1:177" x14ac:dyDescent="0.2">
      <c r="A125" s="6"/>
      <c r="B125" s="6"/>
      <c r="C125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F833-28A6-45B2-A224-50185BCED0E0}">
  <sheetPr>
    <tabColor theme="6" tint="0.59999389629810485"/>
  </sheetPr>
  <dimension ref="A2:H20"/>
  <sheetViews>
    <sheetView zoomScale="150" zoomScaleNormal="80" workbookViewId="0">
      <selection activeCell="F15" sqref="F15"/>
    </sheetView>
  </sheetViews>
  <sheetFormatPr baseColWidth="10" defaultColWidth="8.83203125" defaultRowHeight="15" x14ac:dyDescent="0.2"/>
  <cols>
    <col min="2" max="2" width="17.33203125" customWidth="1"/>
    <col min="3" max="3" width="15.6640625" customWidth="1"/>
  </cols>
  <sheetData>
    <row r="2" spans="1:8" ht="19" x14ac:dyDescent="0.25">
      <c r="A2" s="148" t="s">
        <v>934</v>
      </c>
    </row>
    <row r="3" spans="1:8" ht="19" x14ac:dyDescent="0.25">
      <c r="A3" s="148"/>
    </row>
    <row r="4" spans="1:8" ht="16" x14ac:dyDescent="0.2">
      <c r="A4" s="149" t="s">
        <v>3</v>
      </c>
      <c r="B4" s="150" t="s">
        <v>4</v>
      </c>
      <c r="C4" s="151" t="s">
        <v>5</v>
      </c>
      <c r="D4" s="139" t="s">
        <v>358</v>
      </c>
      <c r="E4" s="139" t="s">
        <v>929</v>
      </c>
    </row>
    <row r="5" spans="1:8" x14ac:dyDescent="0.2">
      <c r="A5" t="s">
        <v>8</v>
      </c>
      <c r="B5" t="s">
        <v>126</v>
      </c>
      <c r="C5" t="s">
        <v>127</v>
      </c>
      <c r="D5">
        <v>114</v>
      </c>
      <c r="E5">
        <v>1435</v>
      </c>
      <c r="H5" t="s">
        <v>935</v>
      </c>
    </row>
    <row r="6" spans="1:8" x14ac:dyDescent="0.2">
      <c r="A6" t="s">
        <v>10</v>
      </c>
      <c r="B6" t="s">
        <v>130</v>
      </c>
      <c r="C6" t="s">
        <v>131</v>
      </c>
      <c r="D6" t="s">
        <v>575</v>
      </c>
      <c r="E6" t="s">
        <v>575</v>
      </c>
      <c r="H6" t="s">
        <v>936</v>
      </c>
    </row>
    <row r="7" spans="1:8" x14ac:dyDescent="0.2">
      <c r="A7" t="s">
        <v>11</v>
      </c>
      <c r="B7" t="s">
        <v>135</v>
      </c>
      <c r="C7" t="s">
        <v>131</v>
      </c>
      <c r="D7" t="s">
        <v>930</v>
      </c>
      <c r="E7" t="s">
        <v>930</v>
      </c>
      <c r="G7" s="142" t="s">
        <v>946</v>
      </c>
      <c r="H7" t="s">
        <v>937</v>
      </c>
    </row>
    <row r="8" spans="1:8" x14ac:dyDescent="0.2">
      <c r="A8" t="s">
        <v>14</v>
      </c>
      <c r="B8" t="s">
        <v>141</v>
      </c>
      <c r="C8" t="s">
        <v>129</v>
      </c>
      <c r="D8">
        <v>136</v>
      </c>
      <c r="H8" t="s">
        <v>938</v>
      </c>
    </row>
    <row r="9" spans="1:8" x14ac:dyDescent="0.2">
      <c r="A9" t="s">
        <v>27</v>
      </c>
      <c r="B9" t="s">
        <v>168</v>
      </c>
      <c r="C9" t="s">
        <v>131</v>
      </c>
      <c r="D9" t="s">
        <v>570</v>
      </c>
      <c r="E9" t="s">
        <v>570</v>
      </c>
      <c r="H9" t="s">
        <v>958</v>
      </c>
    </row>
    <row r="10" spans="1:8" x14ac:dyDescent="0.2">
      <c r="A10" t="s">
        <v>34</v>
      </c>
      <c r="B10" t="s">
        <v>176</v>
      </c>
      <c r="C10" t="s">
        <v>127</v>
      </c>
      <c r="D10" t="s">
        <v>931</v>
      </c>
      <c r="H10" t="s">
        <v>939</v>
      </c>
    </row>
    <row r="14" spans="1:8" ht="16" x14ac:dyDescent="0.2">
      <c r="A14" s="149" t="s">
        <v>3</v>
      </c>
      <c r="B14" s="150" t="s">
        <v>4</v>
      </c>
      <c r="C14" s="151" t="s">
        <v>5</v>
      </c>
      <c r="D14" s="139" t="s">
        <v>358</v>
      </c>
      <c r="E14" s="139" t="s">
        <v>929</v>
      </c>
      <c r="F14" t="s">
        <v>575</v>
      </c>
      <c r="G14" t="s">
        <v>959</v>
      </c>
    </row>
    <row r="15" spans="1:8" x14ac:dyDescent="0.2">
      <c r="A15" t="s">
        <v>8</v>
      </c>
      <c r="B15" t="s">
        <v>126</v>
      </c>
      <c r="C15" t="s">
        <v>127</v>
      </c>
      <c r="D15">
        <v>114</v>
      </c>
      <c r="E15">
        <v>1435</v>
      </c>
      <c r="F15">
        <v>10</v>
      </c>
    </row>
    <row r="16" spans="1:8" x14ac:dyDescent="0.2">
      <c r="A16" t="s">
        <v>10</v>
      </c>
      <c r="B16" t="s">
        <v>130</v>
      </c>
      <c r="C16" t="s">
        <v>131</v>
      </c>
      <c r="D16" t="s">
        <v>575</v>
      </c>
      <c r="E16" t="s">
        <v>575</v>
      </c>
    </row>
    <row r="17" spans="1:7" x14ac:dyDescent="0.2">
      <c r="A17" t="s">
        <v>11</v>
      </c>
      <c r="B17" t="s">
        <v>135</v>
      </c>
      <c r="C17" t="s">
        <v>131</v>
      </c>
      <c r="D17" t="s">
        <v>930</v>
      </c>
      <c r="E17" t="s">
        <v>930</v>
      </c>
      <c r="G17" s="142"/>
    </row>
    <row r="18" spans="1:7" x14ac:dyDescent="0.2">
      <c r="A18" t="s">
        <v>14</v>
      </c>
      <c r="B18" t="s">
        <v>141</v>
      </c>
      <c r="C18" t="s">
        <v>129</v>
      </c>
      <c r="D18">
        <v>136</v>
      </c>
    </row>
    <row r="19" spans="1:7" x14ac:dyDescent="0.2">
      <c r="A19" t="s">
        <v>27</v>
      </c>
      <c r="B19" t="s">
        <v>168</v>
      </c>
      <c r="C19" t="s">
        <v>131</v>
      </c>
      <c r="D19" t="s">
        <v>570</v>
      </c>
      <c r="E19" t="s">
        <v>570</v>
      </c>
    </row>
    <row r="20" spans="1:7" x14ac:dyDescent="0.2">
      <c r="A20" t="s">
        <v>34</v>
      </c>
      <c r="B20" t="s">
        <v>176</v>
      </c>
      <c r="C20" t="s">
        <v>127</v>
      </c>
      <c r="D20" t="s">
        <v>931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33BA-5552-4113-A19A-52B78074BD73}">
  <sheetPr>
    <tabColor theme="6" tint="0.59999389629810485"/>
  </sheetPr>
  <dimension ref="A2:GU125"/>
  <sheetViews>
    <sheetView topLeftCell="B29" zoomScale="80" zoomScaleNormal="80" workbookViewId="0">
      <pane xSplit="5280" topLeftCell="AU1" activePane="topRight"/>
      <selection activeCell="B1" sqref="B1"/>
      <selection pane="topRight" activeCell="AV81" sqref="AV81"/>
    </sheetView>
  </sheetViews>
  <sheetFormatPr baseColWidth="10" defaultColWidth="8.83203125" defaultRowHeight="15" x14ac:dyDescent="0.2"/>
  <cols>
    <col min="2" max="2" width="32.83203125" customWidth="1"/>
    <col min="3" max="3" width="15.33203125" customWidth="1"/>
    <col min="4" max="4" width="7.6640625" customWidth="1"/>
    <col min="5" max="203" width="5.6640625" customWidth="1"/>
  </cols>
  <sheetData>
    <row r="2" spans="1:203" ht="19" x14ac:dyDescent="0.25">
      <c r="A2" s="118" t="s">
        <v>912</v>
      </c>
    </row>
    <row r="4" spans="1:203" ht="78.5" customHeight="1" x14ac:dyDescent="0.2">
      <c r="A4" s="138" t="s">
        <v>1</v>
      </c>
      <c r="B4" s="1"/>
      <c r="C4" s="1"/>
      <c r="E4" s="137" t="s">
        <v>610</v>
      </c>
      <c r="F4" s="137" t="s">
        <v>611</v>
      </c>
      <c r="G4" s="137" t="s">
        <v>612</v>
      </c>
      <c r="H4" s="137" t="s">
        <v>615</v>
      </c>
      <c r="I4" s="137" t="s">
        <v>618</v>
      </c>
      <c r="J4" s="137" t="s">
        <v>619</v>
      </c>
      <c r="K4" s="137" t="s">
        <v>620</v>
      </c>
      <c r="L4" s="137" t="s">
        <v>622</v>
      </c>
      <c r="M4" s="137" t="s">
        <v>624</v>
      </c>
      <c r="N4" s="137" t="s">
        <v>625</v>
      </c>
      <c r="O4" s="137" t="s">
        <v>627</v>
      </c>
      <c r="P4" s="137" t="s">
        <v>628</v>
      </c>
      <c r="Q4" s="137" t="s">
        <v>629</v>
      </c>
      <c r="R4" s="137" t="s">
        <v>630</v>
      </c>
      <c r="S4" s="137" t="s">
        <v>631</v>
      </c>
      <c r="T4" s="137" t="s">
        <v>632</v>
      </c>
      <c r="U4" s="137" t="s">
        <v>633</v>
      </c>
      <c r="V4" s="137" t="s">
        <v>634</v>
      </c>
      <c r="W4" s="137" t="s">
        <v>636</v>
      </c>
      <c r="X4" s="137" t="s">
        <v>638</v>
      </c>
      <c r="Y4" s="137" t="s">
        <v>640</v>
      </c>
      <c r="Z4" s="137" t="s">
        <v>641</v>
      </c>
      <c r="AA4" s="137" t="s">
        <v>643</v>
      </c>
      <c r="AB4" s="137" t="s">
        <v>645</v>
      </c>
      <c r="AC4" s="137" t="s">
        <v>647</v>
      </c>
      <c r="AD4" s="137" t="s">
        <v>648</v>
      </c>
      <c r="AE4" s="137" t="s">
        <v>649</v>
      </c>
      <c r="AF4" s="137" t="s">
        <v>650</v>
      </c>
      <c r="AG4" s="137" t="s">
        <v>652</v>
      </c>
      <c r="AH4" s="137" t="s">
        <v>653</v>
      </c>
      <c r="AI4" s="137" t="s">
        <v>654</v>
      </c>
      <c r="AJ4" s="137" t="s">
        <v>657</v>
      </c>
      <c r="AK4" s="137" t="s">
        <v>658</v>
      </c>
      <c r="AL4" s="137" t="s">
        <v>659</v>
      </c>
      <c r="AM4" s="137" t="s">
        <v>660</v>
      </c>
      <c r="AN4" s="137" t="s">
        <v>661</v>
      </c>
      <c r="AO4" s="137" t="s">
        <v>662</v>
      </c>
      <c r="AP4" s="137" t="s">
        <v>663</v>
      </c>
      <c r="AQ4" s="137" t="s">
        <v>664</v>
      </c>
      <c r="AR4" s="137" t="s">
        <v>667</v>
      </c>
      <c r="AS4" s="137" t="s">
        <v>669</v>
      </c>
      <c r="AT4" s="137" t="s">
        <v>672</v>
      </c>
      <c r="AU4" s="137" t="s">
        <v>674</v>
      </c>
      <c r="AV4" s="137" t="s">
        <v>675</v>
      </c>
      <c r="AW4" s="137" t="s">
        <v>677</v>
      </c>
      <c r="AX4" s="137" t="s">
        <v>678</v>
      </c>
      <c r="AY4" s="137" t="s">
        <v>680</v>
      </c>
      <c r="AZ4" s="137" t="s">
        <v>681</v>
      </c>
      <c r="BA4" s="137" t="s">
        <v>913</v>
      </c>
      <c r="BB4" s="137" t="s">
        <v>684</v>
      </c>
      <c r="BC4" s="137" t="s">
        <v>685</v>
      </c>
      <c r="BD4" s="137" t="s">
        <v>686</v>
      </c>
      <c r="BE4" s="137" t="s">
        <v>687</v>
      </c>
      <c r="BF4" s="137" t="s">
        <v>688</v>
      </c>
      <c r="BG4" s="137" t="s">
        <v>690</v>
      </c>
      <c r="BH4" s="137" t="s">
        <v>691</v>
      </c>
      <c r="BI4" s="137" t="s">
        <v>692</v>
      </c>
      <c r="BJ4" s="137" t="s">
        <v>693</v>
      </c>
      <c r="BK4" s="137" t="s">
        <v>694</v>
      </c>
      <c r="BL4" s="137" t="s">
        <v>695</v>
      </c>
      <c r="BM4" s="137" t="s">
        <v>696</v>
      </c>
      <c r="BN4" s="137" t="s">
        <v>697</v>
      </c>
      <c r="BO4" s="137" t="s">
        <v>699</v>
      </c>
      <c r="BP4" s="137" t="s">
        <v>702</v>
      </c>
      <c r="BQ4" s="137" t="s">
        <v>703</v>
      </c>
      <c r="BR4" s="137" t="s">
        <v>704</v>
      </c>
      <c r="BS4" s="137" t="s">
        <v>705</v>
      </c>
      <c r="BT4" s="137" t="s">
        <v>708</v>
      </c>
      <c r="BU4" s="137" t="s">
        <v>710</v>
      </c>
      <c r="BV4" s="137" t="s">
        <v>712</v>
      </c>
      <c r="BW4" s="137" t="s">
        <v>713</v>
      </c>
      <c r="BX4" s="137" t="s">
        <v>714</v>
      </c>
      <c r="BY4" s="137" t="s">
        <v>715</v>
      </c>
      <c r="BZ4" s="137" t="s">
        <v>717</v>
      </c>
      <c r="CA4" s="137" t="s">
        <v>719</v>
      </c>
      <c r="CB4" s="137" t="s">
        <v>722</v>
      </c>
      <c r="CC4" s="137" t="s">
        <v>724</v>
      </c>
      <c r="CD4" s="137" t="s">
        <v>725</v>
      </c>
      <c r="CE4" s="137" t="s">
        <v>726</v>
      </c>
      <c r="CF4" s="137" t="s">
        <v>727</v>
      </c>
      <c r="CG4" s="137" t="s">
        <v>730</v>
      </c>
      <c r="CH4" s="137" t="s">
        <v>732</v>
      </c>
      <c r="CI4" s="137" t="s">
        <v>733</v>
      </c>
      <c r="CJ4" s="137" t="s">
        <v>734</v>
      </c>
      <c r="CK4" s="137" t="s">
        <v>735</v>
      </c>
      <c r="CL4" s="137" t="s">
        <v>737</v>
      </c>
      <c r="CM4" s="137" t="s">
        <v>738</v>
      </c>
      <c r="CN4" s="137" t="s">
        <v>739</v>
      </c>
      <c r="CO4" s="137" t="s">
        <v>741</v>
      </c>
      <c r="CP4" s="137" t="s">
        <v>742</v>
      </c>
      <c r="CQ4" s="137" t="s">
        <v>743</v>
      </c>
      <c r="CR4" s="137" t="s">
        <v>744</v>
      </c>
      <c r="CS4" s="137" t="s">
        <v>746</v>
      </c>
      <c r="CT4" s="137" t="s">
        <v>747</v>
      </c>
      <c r="CU4" s="137" t="s">
        <v>748</v>
      </c>
      <c r="CV4" s="137" t="s">
        <v>749</v>
      </c>
      <c r="CW4" s="137" t="s">
        <v>752</v>
      </c>
      <c r="CX4" s="137" t="s">
        <v>753</v>
      </c>
      <c r="CY4" s="137" t="s">
        <v>755</v>
      </c>
      <c r="CZ4" s="137" t="s">
        <v>756</v>
      </c>
      <c r="DA4" s="137" t="s">
        <v>757</v>
      </c>
      <c r="DB4" s="137" t="s">
        <v>758</v>
      </c>
      <c r="DC4" s="137" t="s">
        <v>759</v>
      </c>
      <c r="DD4" s="137" t="s">
        <v>760</v>
      </c>
      <c r="DE4" s="137" t="s">
        <v>762</v>
      </c>
      <c r="DF4" s="137" t="s">
        <v>763</v>
      </c>
      <c r="DG4" s="137" t="s">
        <v>765</v>
      </c>
      <c r="DH4" s="137" t="s">
        <v>766</v>
      </c>
      <c r="DI4" s="137" t="s">
        <v>767</v>
      </c>
      <c r="DJ4" s="137" t="s">
        <v>768</v>
      </c>
      <c r="DK4" s="137" t="s">
        <v>769</v>
      </c>
      <c r="DL4" s="137" t="s">
        <v>770</v>
      </c>
      <c r="DM4" s="137" t="s">
        <v>772</v>
      </c>
      <c r="DN4" s="137" t="s">
        <v>774</v>
      </c>
      <c r="DO4" s="137" t="s">
        <v>775</v>
      </c>
      <c r="DP4" s="137" t="s">
        <v>777</v>
      </c>
      <c r="DQ4" s="137" t="s">
        <v>778</v>
      </c>
      <c r="DR4" s="137" t="s">
        <v>781</v>
      </c>
      <c r="DS4" s="137" t="s">
        <v>782</v>
      </c>
      <c r="DT4" s="137" t="s">
        <v>784</v>
      </c>
      <c r="DU4" s="137" t="s">
        <v>785</v>
      </c>
      <c r="DV4" s="137" t="s">
        <v>786</v>
      </c>
      <c r="DW4" s="137" t="s">
        <v>787</v>
      </c>
      <c r="DX4" s="137" t="s">
        <v>788</v>
      </c>
      <c r="DY4" s="137" t="s">
        <v>789</v>
      </c>
      <c r="DZ4" s="137" t="s">
        <v>792</v>
      </c>
      <c r="EA4" s="137" t="s">
        <v>794</v>
      </c>
      <c r="EB4" s="137" t="s">
        <v>795</v>
      </c>
      <c r="EC4" s="137" t="s">
        <v>796</v>
      </c>
      <c r="ED4" s="137" t="s">
        <v>798</v>
      </c>
      <c r="EE4" s="137" t="s">
        <v>799</v>
      </c>
      <c r="EF4" s="137" t="s">
        <v>800</v>
      </c>
      <c r="EG4" s="137" t="s">
        <v>802</v>
      </c>
      <c r="EH4" s="137" t="s">
        <v>805</v>
      </c>
      <c r="EI4" s="137" t="s">
        <v>806</v>
      </c>
      <c r="EJ4" s="137" t="s">
        <v>807</v>
      </c>
      <c r="EK4" s="137" t="s">
        <v>809</v>
      </c>
      <c r="EL4" s="137" t="s">
        <v>811</v>
      </c>
      <c r="EM4" s="137" t="s">
        <v>812</v>
      </c>
      <c r="EN4" s="137" t="s">
        <v>813</v>
      </c>
      <c r="EO4" s="137" t="s">
        <v>814</v>
      </c>
      <c r="EP4" s="137" t="s">
        <v>816</v>
      </c>
      <c r="EQ4" s="137" t="s">
        <v>818</v>
      </c>
      <c r="ER4" s="137" t="s">
        <v>819</v>
      </c>
      <c r="ES4" s="137" t="s">
        <v>820</v>
      </c>
      <c r="ET4" s="137" t="s">
        <v>821</v>
      </c>
      <c r="EU4" s="137" t="s">
        <v>822</v>
      </c>
      <c r="EV4" s="137" t="s">
        <v>823</v>
      </c>
      <c r="EW4" s="137" t="s">
        <v>824</v>
      </c>
      <c r="EX4" s="137" t="s">
        <v>827</v>
      </c>
      <c r="EY4" s="137" t="s">
        <v>828</v>
      </c>
      <c r="EZ4" s="137" t="s">
        <v>832</v>
      </c>
      <c r="FA4" s="137" t="s">
        <v>833</v>
      </c>
      <c r="FB4" s="137" t="s">
        <v>836</v>
      </c>
      <c r="FC4" s="137" t="s">
        <v>837</v>
      </c>
      <c r="FD4" s="137" t="s">
        <v>839</v>
      </c>
      <c r="FE4" s="137" t="s">
        <v>840</v>
      </c>
      <c r="FF4" s="137" t="s">
        <v>841</v>
      </c>
      <c r="FG4" s="137" t="s">
        <v>842</v>
      </c>
      <c r="FH4" s="137" t="s">
        <v>843</v>
      </c>
      <c r="FI4" s="137" t="s">
        <v>844</v>
      </c>
      <c r="FJ4" s="137" t="s">
        <v>845</v>
      </c>
      <c r="FK4" s="137" t="s">
        <v>847</v>
      </c>
      <c r="FL4" s="137" t="s">
        <v>848</v>
      </c>
      <c r="FM4" s="137" t="s">
        <v>849</v>
      </c>
      <c r="FN4" s="137" t="s">
        <v>850</v>
      </c>
      <c r="FO4" s="137" t="s">
        <v>851</v>
      </c>
      <c r="FP4" s="137" t="s">
        <v>853</v>
      </c>
      <c r="FQ4" s="137" t="s">
        <v>854</v>
      </c>
      <c r="FR4" s="137" t="s">
        <v>855</v>
      </c>
      <c r="FS4" s="137" t="s">
        <v>857</v>
      </c>
      <c r="FT4" s="137" t="s">
        <v>858</v>
      </c>
      <c r="FU4" s="137" t="s">
        <v>860</v>
      </c>
      <c r="FV4" s="137" t="s">
        <v>861</v>
      </c>
      <c r="FW4" s="137" t="s">
        <v>863</v>
      </c>
      <c r="FX4" s="137" t="s">
        <v>865</v>
      </c>
      <c r="FY4" s="137" t="s">
        <v>867</v>
      </c>
      <c r="FZ4" s="137" t="s">
        <v>868</v>
      </c>
      <c r="GA4" s="137" t="s">
        <v>870</v>
      </c>
      <c r="GB4" s="137" t="s">
        <v>872</v>
      </c>
      <c r="GC4" s="137" t="s">
        <v>873</v>
      </c>
      <c r="GD4" s="137" t="s">
        <v>874</v>
      </c>
      <c r="GE4" s="137" t="s">
        <v>876</v>
      </c>
      <c r="GF4" s="137" t="s">
        <v>878</v>
      </c>
      <c r="GG4" s="137" t="s">
        <v>915</v>
      </c>
      <c r="GH4" s="137" t="s">
        <v>883</v>
      </c>
      <c r="GI4" s="137" t="s">
        <v>884</v>
      </c>
      <c r="GJ4" s="137" t="s">
        <v>886</v>
      </c>
      <c r="GK4" s="137" t="s">
        <v>888</v>
      </c>
      <c r="GL4" s="137" t="s">
        <v>890</v>
      </c>
      <c r="GM4" s="137" t="s">
        <v>893</v>
      </c>
      <c r="GN4" s="137" t="s">
        <v>894</v>
      </c>
      <c r="GO4" s="137" t="s">
        <v>895</v>
      </c>
      <c r="GP4" s="137" t="s">
        <v>896</v>
      </c>
      <c r="GQ4" s="137" t="s">
        <v>914</v>
      </c>
      <c r="GR4" s="137" t="s">
        <v>898</v>
      </c>
      <c r="GS4" s="137" t="s">
        <v>904</v>
      </c>
      <c r="GT4" s="137" t="s">
        <v>905</v>
      </c>
      <c r="GU4" s="137" t="s">
        <v>906</v>
      </c>
    </row>
    <row r="5" spans="1:203" ht="16" x14ac:dyDescent="0.2">
      <c r="A5" s="134" t="s">
        <v>3</v>
      </c>
      <c r="B5" s="136" t="s">
        <v>4</v>
      </c>
      <c r="C5" s="135" t="s">
        <v>5</v>
      </c>
      <c r="D5" s="139" t="s">
        <v>358</v>
      </c>
      <c r="E5" s="139" t="s">
        <v>368</v>
      </c>
      <c r="F5" s="139" t="s">
        <v>369</v>
      </c>
      <c r="G5" s="139" t="s">
        <v>370</v>
      </c>
      <c r="H5" s="139" t="s">
        <v>373</v>
      </c>
      <c r="I5" s="139" t="s">
        <v>376</v>
      </c>
      <c r="J5" s="139" t="s">
        <v>351</v>
      </c>
      <c r="K5" s="139" t="s">
        <v>377</v>
      </c>
      <c r="L5" s="139" t="s">
        <v>352</v>
      </c>
      <c r="M5" s="139" t="s">
        <v>353</v>
      </c>
      <c r="N5" s="139" t="s">
        <v>379</v>
      </c>
      <c r="O5" s="139" t="s">
        <v>380</v>
      </c>
      <c r="P5" s="139" t="s">
        <v>381</v>
      </c>
      <c r="Q5" s="139" t="s">
        <v>382</v>
      </c>
      <c r="R5" s="139" t="s">
        <v>383</v>
      </c>
      <c r="S5" s="139" t="s">
        <v>384</v>
      </c>
      <c r="T5" s="139" t="s">
        <v>354</v>
      </c>
      <c r="U5" s="139" t="s">
        <v>385</v>
      </c>
      <c r="V5" s="139" t="s">
        <v>386</v>
      </c>
      <c r="W5" s="139" t="s">
        <v>388</v>
      </c>
      <c r="X5" s="139" t="s">
        <v>355</v>
      </c>
      <c r="Y5" s="139" t="s">
        <v>390</v>
      </c>
      <c r="Z5" s="139" t="s">
        <v>391</v>
      </c>
      <c r="AA5" s="139" t="s">
        <v>356</v>
      </c>
      <c r="AB5" s="139" t="s">
        <v>394</v>
      </c>
      <c r="AC5" s="139" t="s">
        <v>357</v>
      </c>
      <c r="AD5" s="139" t="s">
        <v>395</v>
      </c>
      <c r="AE5" s="139" t="s">
        <v>396</v>
      </c>
      <c r="AF5" s="139" t="s">
        <v>397</v>
      </c>
      <c r="AG5" s="139" t="s">
        <v>398</v>
      </c>
      <c r="AH5" s="139" t="s">
        <v>399</v>
      </c>
      <c r="AI5" s="139" t="s">
        <v>400</v>
      </c>
      <c r="AJ5" s="139" t="s">
        <v>402</v>
      </c>
      <c r="AK5" s="139" t="s">
        <v>403</v>
      </c>
      <c r="AL5" s="139" t="s">
        <v>404</v>
      </c>
      <c r="AM5" s="139" t="s">
        <v>405</v>
      </c>
      <c r="AN5" s="139" t="s">
        <v>406</v>
      </c>
      <c r="AO5" s="139" t="s">
        <v>407</v>
      </c>
      <c r="AP5" s="139" t="s">
        <v>408</v>
      </c>
      <c r="AQ5" s="139" t="s">
        <v>405</v>
      </c>
      <c r="AR5" s="139" t="s">
        <v>411</v>
      </c>
      <c r="AS5" s="139" t="s">
        <v>412</v>
      </c>
      <c r="AT5" s="139" t="s">
        <v>414</v>
      </c>
      <c r="AU5" s="139" t="s">
        <v>415</v>
      </c>
      <c r="AV5" s="139" t="s">
        <v>416</v>
      </c>
      <c r="AW5" s="139" t="s">
        <v>418</v>
      </c>
      <c r="AX5" s="139" t="s">
        <v>419</v>
      </c>
      <c r="AY5" s="139" t="s">
        <v>421</v>
      </c>
      <c r="AZ5" s="139" t="s">
        <v>422</v>
      </c>
      <c r="BA5" s="139" t="s">
        <v>417</v>
      </c>
      <c r="BB5" s="139" t="s">
        <v>423</v>
      </c>
      <c r="BC5" s="139" t="s">
        <v>413</v>
      </c>
      <c r="BD5" s="139" t="s">
        <v>424</v>
      </c>
      <c r="BE5" s="139" t="s">
        <v>425</v>
      </c>
      <c r="BF5" s="139" t="s">
        <v>426</v>
      </c>
      <c r="BG5" s="139" t="s">
        <v>427</v>
      </c>
      <c r="BH5" s="139" t="s">
        <v>428</v>
      </c>
      <c r="BI5" s="139" t="s">
        <v>429</v>
      </c>
      <c r="BJ5" s="139" t="s">
        <v>430</v>
      </c>
      <c r="BK5" s="139" t="s">
        <v>431</v>
      </c>
      <c r="BL5" s="139" t="s">
        <v>432</v>
      </c>
      <c r="BM5" s="139" t="s">
        <v>433</v>
      </c>
      <c r="BN5" s="139" t="s">
        <v>434</v>
      </c>
      <c r="BO5" s="139" t="s">
        <v>435</v>
      </c>
      <c r="BP5" s="139" t="s">
        <v>437</v>
      </c>
      <c r="BQ5" s="139" t="s">
        <v>438</v>
      </c>
      <c r="BR5" s="139" t="s">
        <v>439</v>
      </c>
      <c r="BS5" s="139" t="s">
        <v>440</v>
      </c>
      <c r="BT5" s="139" t="s">
        <v>442</v>
      </c>
      <c r="BU5" s="139" t="s">
        <v>444</v>
      </c>
      <c r="BV5" s="139" t="s">
        <v>445</v>
      </c>
      <c r="BW5" s="139" t="s">
        <v>446</v>
      </c>
      <c r="BX5" s="139" t="s">
        <v>447</v>
      </c>
      <c r="BY5" s="139" t="s">
        <v>448</v>
      </c>
      <c r="BZ5" s="139" t="s">
        <v>450</v>
      </c>
      <c r="CA5" s="139" t="s">
        <v>452</v>
      </c>
      <c r="CB5" s="139" t="s">
        <v>455</v>
      </c>
      <c r="CC5" s="139" t="s">
        <v>457</v>
      </c>
      <c r="CD5" s="139" t="s">
        <v>458</v>
      </c>
      <c r="CE5" s="139" t="s">
        <v>459</v>
      </c>
      <c r="CF5" s="139" t="s">
        <v>460</v>
      </c>
      <c r="CG5" s="139" t="s">
        <v>463</v>
      </c>
      <c r="CH5" s="139" t="s">
        <v>464</v>
      </c>
      <c r="CI5" s="139" t="s">
        <v>465</v>
      </c>
      <c r="CJ5" s="139" t="s">
        <v>466</v>
      </c>
      <c r="CK5" s="139" t="s">
        <v>467</v>
      </c>
      <c r="CL5" s="139" t="s">
        <v>468</v>
      </c>
      <c r="CM5" s="139" t="s">
        <v>469</v>
      </c>
      <c r="CN5" s="139" t="s">
        <v>470</v>
      </c>
      <c r="CO5" s="139" t="s">
        <v>472</v>
      </c>
      <c r="CP5" s="139" t="s">
        <v>473</v>
      </c>
      <c r="CQ5" s="139" t="s">
        <v>474</v>
      </c>
      <c r="CR5" s="139" t="s">
        <v>475</v>
      </c>
      <c r="CS5" s="139" t="s">
        <v>477</v>
      </c>
      <c r="CT5" s="139" t="s">
        <v>478</v>
      </c>
      <c r="CU5" s="139" t="s">
        <v>479</v>
      </c>
      <c r="CV5" s="139" t="s">
        <v>480</v>
      </c>
      <c r="CW5" s="139" t="s">
        <v>482</v>
      </c>
      <c r="CX5" s="139" t="s">
        <v>483</v>
      </c>
      <c r="CY5" s="139" t="s">
        <v>484</v>
      </c>
      <c r="CZ5" s="139" t="s">
        <v>485</v>
      </c>
      <c r="DA5" s="139" t="s">
        <v>486</v>
      </c>
      <c r="DB5" s="139" t="s">
        <v>487</v>
      </c>
      <c r="DC5" s="139" t="s">
        <v>488</v>
      </c>
      <c r="DD5" s="139" t="s">
        <v>489</v>
      </c>
      <c r="DE5" s="139" t="s">
        <v>491</v>
      </c>
      <c r="DF5" s="139" t="s">
        <v>492</v>
      </c>
      <c r="DG5" s="139" t="s">
        <v>493</v>
      </c>
      <c r="DH5" s="139" t="s">
        <v>494</v>
      </c>
      <c r="DI5" s="139" t="s">
        <v>495</v>
      </c>
      <c r="DJ5" s="139" t="s">
        <v>496</v>
      </c>
      <c r="DK5" s="139" t="s">
        <v>497</v>
      </c>
      <c r="DL5" s="139" t="s">
        <v>498</v>
      </c>
      <c r="DM5" s="139" t="s">
        <v>499</v>
      </c>
      <c r="DN5" s="139" t="s">
        <v>501</v>
      </c>
      <c r="DO5" s="139" t="s">
        <v>502</v>
      </c>
      <c r="DP5" s="139" t="s">
        <v>504</v>
      </c>
      <c r="DQ5" s="139" t="s">
        <v>505</v>
      </c>
      <c r="DR5" s="139" t="s">
        <v>508</v>
      </c>
      <c r="DS5" s="139" t="s">
        <v>509</v>
      </c>
      <c r="DT5" s="139" t="s">
        <v>511</v>
      </c>
      <c r="DU5" s="139" t="s">
        <v>512</v>
      </c>
      <c r="DV5" s="139" t="s">
        <v>513</v>
      </c>
      <c r="DW5" s="139" t="s">
        <v>514</v>
      </c>
      <c r="DX5" s="139" t="s">
        <v>515</v>
      </c>
      <c r="DY5" s="139" t="s">
        <v>516</v>
      </c>
      <c r="DZ5" s="139" t="s">
        <v>517</v>
      </c>
      <c r="EA5" s="139" t="s">
        <v>518</v>
      </c>
      <c r="EB5" s="139" t="s">
        <v>519</v>
      </c>
      <c r="EC5" s="139" t="s">
        <v>520</v>
      </c>
      <c r="ED5" s="139" t="s">
        <v>521</v>
      </c>
      <c r="EE5" s="139" t="s">
        <v>522</v>
      </c>
      <c r="EF5" s="139" t="s">
        <v>523</v>
      </c>
      <c r="EG5" s="139" t="s">
        <v>525</v>
      </c>
      <c r="EH5" s="139" t="s">
        <v>527</v>
      </c>
      <c r="EI5" s="139" t="s">
        <v>528</v>
      </c>
      <c r="EJ5" s="139" t="s">
        <v>529</v>
      </c>
      <c r="EK5" s="139" t="s">
        <v>532</v>
      </c>
      <c r="EL5" s="139" t="s">
        <v>533</v>
      </c>
      <c r="EM5" s="139" t="s">
        <v>534</v>
      </c>
      <c r="EN5" s="139" t="s">
        <v>535</v>
      </c>
      <c r="EO5" s="139" t="s">
        <v>536</v>
      </c>
      <c r="EP5" s="139" t="s">
        <v>537</v>
      </c>
      <c r="EQ5" s="139" t="s">
        <v>531</v>
      </c>
      <c r="ER5" s="139" t="s">
        <v>539</v>
      </c>
      <c r="ES5" s="139" t="s">
        <v>540</v>
      </c>
      <c r="ET5" s="139" t="s">
        <v>541</v>
      </c>
      <c r="EU5" s="139" t="s">
        <v>481</v>
      </c>
      <c r="EV5" s="139" t="s">
        <v>506</v>
      </c>
      <c r="EW5" s="139" t="s">
        <v>542</v>
      </c>
      <c r="EX5" s="139" t="s">
        <v>543</v>
      </c>
      <c r="EY5" s="139" t="s">
        <v>544</v>
      </c>
      <c r="EZ5" s="139" t="s">
        <v>548</v>
      </c>
      <c r="FA5" s="139" t="s">
        <v>549</v>
      </c>
      <c r="FB5" s="139" t="s">
        <v>552</v>
      </c>
      <c r="FC5" s="139" t="s">
        <v>553</v>
      </c>
      <c r="FD5" s="139" t="s">
        <v>555</v>
      </c>
      <c r="FE5" s="139" t="s">
        <v>556</v>
      </c>
      <c r="FF5" s="139" t="s">
        <v>557</v>
      </c>
      <c r="FG5" s="139" t="s">
        <v>558</v>
      </c>
      <c r="FH5" s="139" t="s">
        <v>559</v>
      </c>
      <c r="FI5" s="139" t="s">
        <v>560</v>
      </c>
      <c r="FJ5" s="139" t="s">
        <v>561</v>
      </c>
      <c r="FK5" s="139" t="s">
        <v>563</v>
      </c>
      <c r="FL5" s="139" t="s">
        <v>564</v>
      </c>
      <c r="FM5" s="139" t="s">
        <v>565</v>
      </c>
      <c r="FN5" s="139" t="s">
        <v>566</v>
      </c>
      <c r="FO5" s="139" t="s">
        <v>567</v>
      </c>
      <c r="FP5" s="139" t="s">
        <v>569</v>
      </c>
      <c r="FQ5" s="139" t="s">
        <v>570</v>
      </c>
      <c r="FR5" s="139" t="s">
        <v>571</v>
      </c>
      <c r="FS5" s="139" t="s">
        <v>572</v>
      </c>
      <c r="FT5" s="139" t="s">
        <v>573</v>
      </c>
      <c r="FU5" s="139" t="s">
        <v>575</v>
      </c>
      <c r="FV5" s="139" t="s">
        <v>576</v>
      </c>
      <c r="FW5" s="139" t="s">
        <v>577</v>
      </c>
      <c r="FX5" s="139" t="s">
        <v>578</v>
      </c>
      <c r="FY5" s="139" t="s">
        <v>580</v>
      </c>
      <c r="FZ5" s="139" t="s">
        <v>581</v>
      </c>
      <c r="GA5" s="139" t="s">
        <v>582</v>
      </c>
      <c r="GB5" s="139" t="s">
        <v>584</v>
      </c>
      <c r="GC5" s="139" t="s">
        <v>585</v>
      </c>
      <c r="GD5" s="139" t="s">
        <v>586</v>
      </c>
      <c r="GE5" s="139" t="s">
        <v>588</v>
      </c>
      <c r="GF5" s="139" t="s">
        <v>590</v>
      </c>
      <c r="GG5" s="139" t="s">
        <v>587</v>
      </c>
      <c r="GH5" s="139" t="s">
        <v>593</v>
      </c>
      <c r="GI5" s="139" t="s">
        <v>594</v>
      </c>
      <c r="GJ5" s="139" t="s">
        <v>595</v>
      </c>
      <c r="GK5" s="139" t="s">
        <v>591</v>
      </c>
      <c r="GL5" s="139" t="s">
        <v>579</v>
      </c>
      <c r="GM5" s="139" t="s">
        <v>592</v>
      </c>
      <c r="GN5" s="139" t="s">
        <v>597</v>
      </c>
      <c r="GO5" s="139" t="s">
        <v>598</v>
      </c>
      <c r="GP5" s="139" t="s">
        <v>599</v>
      </c>
      <c r="GQ5" s="139" t="s">
        <v>600</v>
      </c>
      <c r="GR5" s="139" t="s">
        <v>601</v>
      </c>
      <c r="GS5" s="139" t="s">
        <v>606</v>
      </c>
      <c r="GT5" s="139" t="s">
        <v>607</v>
      </c>
      <c r="GU5" s="139" t="s">
        <v>608</v>
      </c>
    </row>
    <row r="6" spans="1:203" x14ac:dyDescent="0.2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  <c r="D6" s="141" t="s">
        <v>918</v>
      </c>
      <c r="L6" s="141" t="s">
        <v>918</v>
      </c>
    </row>
    <row r="7" spans="1:203" x14ac:dyDescent="0.2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  <c r="D7" s="12"/>
      <c r="AC7" s="143" t="s">
        <v>927</v>
      </c>
    </row>
    <row r="8" spans="1:203" x14ac:dyDescent="0.2">
      <c r="A8" s="6" t="str">
        <f>Defaults!A8</f>
        <v>01341</v>
      </c>
      <c r="B8" s="6" t="str">
        <f>Defaults!B8</f>
        <v>Apples</v>
      </c>
      <c r="C8" s="6" t="str">
        <f>Defaults!C8</f>
        <v>Fruits</v>
      </c>
    </row>
    <row r="9" spans="1:203" x14ac:dyDescent="0.2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</row>
    <row r="10" spans="1:203" x14ac:dyDescent="0.2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</row>
    <row r="11" spans="1:203" x14ac:dyDescent="0.2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</row>
    <row r="12" spans="1:203" x14ac:dyDescent="0.2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</row>
    <row r="13" spans="1:203" x14ac:dyDescent="0.2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  <c r="AV13" s="24" t="s">
        <v>916</v>
      </c>
    </row>
    <row r="14" spans="1:203" x14ac:dyDescent="0.2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</row>
    <row r="15" spans="1:203" x14ac:dyDescent="0.2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</row>
    <row r="16" spans="1:203" x14ac:dyDescent="0.2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</row>
    <row r="17" spans="1:13" x14ac:dyDescent="0.2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</row>
    <row r="18" spans="1:13" x14ac:dyDescent="0.2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</row>
    <row r="19" spans="1:13" x14ac:dyDescent="0.2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</row>
    <row r="20" spans="1:13" x14ac:dyDescent="0.2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</row>
    <row r="21" spans="1:13" x14ac:dyDescent="0.2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</row>
    <row r="22" spans="1:13" x14ac:dyDescent="0.2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</row>
    <row r="23" spans="1:13" x14ac:dyDescent="0.2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</row>
    <row r="24" spans="1:13" x14ac:dyDescent="0.2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</row>
    <row r="25" spans="1:13" x14ac:dyDescent="0.2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</row>
    <row r="26" spans="1:13" x14ac:dyDescent="0.2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</row>
    <row r="27" spans="1:13" x14ac:dyDescent="0.2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</row>
    <row r="28" spans="1:13" x14ac:dyDescent="0.2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</row>
    <row r="29" spans="1:13" x14ac:dyDescent="0.2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</row>
    <row r="30" spans="1:13" x14ac:dyDescent="0.2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</row>
    <row r="31" spans="1:13" x14ac:dyDescent="0.2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  <c r="M31" s="142" t="s">
        <v>921</v>
      </c>
    </row>
    <row r="32" spans="1:13" x14ac:dyDescent="0.2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</row>
    <row r="33" spans="1:48" x14ac:dyDescent="0.2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  <c r="D33" t="s">
        <v>919</v>
      </c>
    </row>
    <row r="34" spans="1:48" x14ac:dyDescent="0.2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</row>
    <row r="35" spans="1:48" x14ac:dyDescent="0.2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  <c r="AV35" s="24" t="s">
        <v>956</v>
      </c>
    </row>
    <row r="36" spans="1:48" x14ac:dyDescent="0.2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</row>
    <row r="37" spans="1:48" x14ac:dyDescent="0.2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</row>
    <row r="38" spans="1:48" x14ac:dyDescent="0.2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</row>
    <row r="39" spans="1:48" x14ac:dyDescent="0.2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</row>
    <row r="40" spans="1:48" x14ac:dyDescent="0.2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</row>
    <row r="41" spans="1:48" x14ac:dyDescent="0.2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</row>
    <row r="42" spans="1:48" x14ac:dyDescent="0.2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</row>
    <row r="43" spans="1:48" x14ac:dyDescent="0.2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</row>
    <row r="44" spans="1:48" x14ac:dyDescent="0.2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</row>
    <row r="45" spans="1:48" x14ac:dyDescent="0.2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</row>
    <row r="46" spans="1:48" x14ac:dyDescent="0.2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</row>
    <row r="47" spans="1:48" x14ac:dyDescent="0.2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</row>
    <row r="48" spans="1:48" x14ac:dyDescent="0.2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</row>
    <row r="49" spans="1:4" x14ac:dyDescent="0.2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</row>
    <row r="50" spans="1:4" x14ac:dyDescent="0.2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  <c r="D50" s="141" t="s">
        <v>917</v>
      </c>
    </row>
    <row r="51" spans="1:4" x14ac:dyDescent="0.2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</row>
    <row r="52" spans="1:4" x14ac:dyDescent="0.2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</row>
    <row r="53" spans="1:4" x14ac:dyDescent="0.2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</row>
    <row r="54" spans="1:4" x14ac:dyDescent="0.2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</row>
    <row r="55" spans="1:4" x14ac:dyDescent="0.2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</row>
    <row r="56" spans="1:4" x14ac:dyDescent="0.2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</row>
    <row r="57" spans="1:4" x14ac:dyDescent="0.2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</row>
    <row r="58" spans="1:4" x14ac:dyDescent="0.2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</row>
    <row r="59" spans="1:4" x14ac:dyDescent="0.2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</row>
    <row r="60" spans="1:4" x14ac:dyDescent="0.2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</row>
    <row r="61" spans="1:4" x14ac:dyDescent="0.2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  <c r="D61" t="s">
        <v>928</v>
      </c>
    </row>
    <row r="62" spans="1:4" x14ac:dyDescent="0.2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</row>
    <row r="63" spans="1:4" x14ac:dyDescent="0.2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</row>
    <row r="64" spans="1:4" x14ac:dyDescent="0.2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</row>
    <row r="65" spans="1:3" x14ac:dyDescent="0.2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</row>
    <row r="66" spans="1:3" x14ac:dyDescent="0.2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</row>
    <row r="67" spans="1:3" x14ac:dyDescent="0.2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</row>
    <row r="68" spans="1:3" x14ac:dyDescent="0.2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</row>
    <row r="69" spans="1:3" x14ac:dyDescent="0.2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</row>
    <row r="70" spans="1:3" x14ac:dyDescent="0.2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</row>
    <row r="71" spans="1:3" x14ac:dyDescent="0.2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</row>
    <row r="72" spans="1:3" x14ac:dyDescent="0.2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</row>
    <row r="73" spans="1:3" x14ac:dyDescent="0.2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</row>
    <row r="74" spans="1:3" x14ac:dyDescent="0.2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</row>
    <row r="75" spans="1:3" x14ac:dyDescent="0.2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</row>
    <row r="76" spans="1:3" x14ac:dyDescent="0.2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</row>
    <row r="77" spans="1:3" x14ac:dyDescent="0.2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</row>
    <row r="78" spans="1:3" x14ac:dyDescent="0.2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</row>
    <row r="79" spans="1:3" x14ac:dyDescent="0.2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</row>
    <row r="80" spans="1:3" x14ac:dyDescent="0.2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</row>
    <row r="81" spans="1:48" x14ac:dyDescent="0.2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  <c r="AV81" s="24" t="s">
        <v>916</v>
      </c>
    </row>
    <row r="82" spans="1:48" x14ac:dyDescent="0.2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</row>
    <row r="83" spans="1:48" x14ac:dyDescent="0.2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</row>
    <row r="84" spans="1:48" x14ac:dyDescent="0.2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</row>
    <row r="85" spans="1:48" x14ac:dyDescent="0.2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</row>
    <row r="86" spans="1:48" x14ac:dyDescent="0.2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</row>
    <row r="87" spans="1:48" x14ac:dyDescent="0.2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</row>
    <row r="88" spans="1:48" x14ac:dyDescent="0.2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</row>
    <row r="89" spans="1:48" x14ac:dyDescent="0.2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  <c r="D89" s="143" t="s">
        <v>924</v>
      </c>
    </row>
    <row r="90" spans="1:48" x14ac:dyDescent="0.2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</row>
    <row r="91" spans="1:48" x14ac:dyDescent="0.2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</row>
    <row r="92" spans="1:48" x14ac:dyDescent="0.2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</row>
    <row r="93" spans="1:48" x14ac:dyDescent="0.2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</row>
    <row r="94" spans="1:48" x14ac:dyDescent="0.2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</row>
    <row r="95" spans="1:48" x14ac:dyDescent="0.2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</row>
    <row r="96" spans="1:48" x14ac:dyDescent="0.2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  <c r="D96" t="s">
        <v>217</v>
      </c>
    </row>
    <row r="97" spans="1:27" x14ac:dyDescent="0.2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</row>
    <row r="98" spans="1:27" x14ac:dyDescent="0.2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  <c r="D98" s="140" t="s">
        <v>916</v>
      </c>
      <c r="M98" s="141" t="s">
        <v>922</v>
      </c>
      <c r="AA98" s="141" t="s">
        <v>922</v>
      </c>
    </row>
    <row r="99" spans="1:27" x14ac:dyDescent="0.2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</row>
    <row r="100" spans="1:27" x14ac:dyDescent="0.2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</row>
    <row r="101" spans="1:27" x14ac:dyDescent="0.2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</row>
    <row r="102" spans="1:27" x14ac:dyDescent="0.2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</row>
    <row r="103" spans="1:27" x14ac:dyDescent="0.2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</row>
    <row r="104" spans="1:27" x14ac:dyDescent="0.2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</row>
    <row r="105" spans="1:27" x14ac:dyDescent="0.2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</row>
    <row r="106" spans="1:27" x14ac:dyDescent="0.2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</row>
    <row r="107" spans="1:27" x14ac:dyDescent="0.2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</row>
    <row r="108" spans="1:27" x14ac:dyDescent="0.2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</row>
    <row r="109" spans="1:27" x14ac:dyDescent="0.2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</row>
    <row r="110" spans="1:27" x14ac:dyDescent="0.2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</row>
    <row r="111" spans="1:27" x14ac:dyDescent="0.2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</row>
    <row r="112" spans="1:27" x14ac:dyDescent="0.2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</row>
    <row r="113" spans="1:4" x14ac:dyDescent="0.2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  <c r="D113" t="s">
        <v>926</v>
      </c>
    </row>
    <row r="114" spans="1:4" x14ac:dyDescent="0.2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</row>
    <row r="115" spans="1:4" x14ac:dyDescent="0.2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</row>
    <row r="116" spans="1:4" x14ac:dyDescent="0.2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  <c r="D116" t="s">
        <v>575</v>
      </c>
    </row>
    <row r="117" spans="1:4" x14ac:dyDescent="0.2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  <c r="D117" t="s">
        <v>575</v>
      </c>
    </row>
    <row r="118" spans="1:4" x14ac:dyDescent="0.2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  <c r="D118" t="s">
        <v>575</v>
      </c>
    </row>
    <row r="119" spans="1:4" x14ac:dyDescent="0.2">
      <c r="A119" s="6"/>
      <c r="B119" s="6"/>
      <c r="C119" s="6"/>
    </row>
    <row r="120" spans="1:4" x14ac:dyDescent="0.2">
      <c r="A120" s="6"/>
      <c r="B120" s="6"/>
      <c r="C120" s="6"/>
    </row>
    <row r="121" spans="1:4" x14ac:dyDescent="0.2">
      <c r="A121" s="6"/>
      <c r="B121" s="6"/>
      <c r="C121" s="6"/>
    </row>
    <row r="122" spans="1:4" x14ac:dyDescent="0.2">
      <c r="A122" s="6"/>
      <c r="B122" s="6"/>
      <c r="C122" s="6"/>
    </row>
    <row r="123" spans="1:4" x14ac:dyDescent="0.2">
      <c r="A123" s="6"/>
      <c r="B123" s="6"/>
      <c r="C123" s="6"/>
    </row>
    <row r="124" spans="1:4" x14ac:dyDescent="0.2">
      <c r="A124" s="6"/>
      <c r="B124" s="6"/>
      <c r="C124" s="6"/>
    </row>
    <row r="125" spans="1:4" x14ac:dyDescent="0.2">
      <c r="A125" s="6"/>
      <c r="B125" s="6"/>
      <c r="C125" s="6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1"/>
  </sheetPr>
  <dimension ref="A2:A6"/>
  <sheetViews>
    <sheetView workbookViewId="0">
      <selection activeCell="A6" sqref="A6"/>
    </sheetView>
  </sheetViews>
  <sheetFormatPr baseColWidth="10" defaultColWidth="8.6640625" defaultRowHeight="15" x14ac:dyDescent="0.2"/>
  <sheetData>
    <row r="2" spans="1:1" ht="21" x14ac:dyDescent="0.25">
      <c r="A2" s="10" t="s">
        <v>0</v>
      </c>
    </row>
    <row r="4" spans="1:1" x14ac:dyDescent="0.2">
      <c r="A4" t="s">
        <v>338</v>
      </c>
    </row>
    <row r="6" spans="1:1" x14ac:dyDescent="0.2">
      <c r="A6" s="31" t="s">
        <v>339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C281-1C2D-4242-B9C6-E46FAA7787D7}">
  <sheetPr>
    <tabColor theme="2" tint="-0.749992370372631"/>
  </sheetPr>
  <dimension ref="A2:KP306"/>
  <sheetViews>
    <sheetView zoomScale="80" zoomScaleNormal="80" workbookViewId="0">
      <selection activeCell="L49" sqref="L49"/>
    </sheetView>
  </sheetViews>
  <sheetFormatPr baseColWidth="10" defaultColWidth="8.83203125" defaultRowHeight="15" x14ac:dyDescent="0.2"/>
  <cols>
    <col min="2" max="2" width="32.83203125" customWidth="1"/>
    <col min="3" max="3" width="15.33203125" customWidth="1"/>
  </cols>
  <sheetData>
    <row r="2" spans="1:302" ht="19" x14ac:dyDescent="0.25">
      <c r="A2" s="118" t="s">
        <v>359</v>
      </c>
    </row>
    <row r="3" spans="1:302" x14ac:dyDescent="0.2">
      <c r="E3" t="s">
        <v>610</v>
      </c>
      <c r="F3" t="s">
        <v>611</v>
      </c>
      <c r="G3" t="s">
        <v>612</v>
      </c>
      <c r="H3" t="s">
        <v>613</v>
      </c>
      <c r="I3" t="s">
        <v>614</v>
      </c>
      <c r="J3" t="s">
        <v>615</v>
      </c>
      <c r="K3" t="s">
        <v>616</v>
      </c>
      <c r="L3" t="s">
        <v>617</v>
      </c>
      <c r="M3" t="s">
        <v>618</v>
      </c>
      <c r="N3" t="s">
        <v>619</v>
      </c>
      <c r="O3" t="s">
        <v>620</v>
      </c>
      <c r="P3" t="s">
        <v>621</v>
      </c>
      <c r="Q3" t="s">
        <v>622</v>
      </c>
      <c r="R3" t="s">
        <v>623</v>
      </c>
      <c r="S3" t="s">
        <v>624</v>
      </c>
      <c r="T3" t="s">
        <v>625</v>
      </c>
      <c r="U3" t="s">
        <v>626</v>
      </c>
      <c r="V3" t="s">
        <v>627</v>
      </c>
      <c r="W3" t="s">
        <v>628</v>
      </c>
      <c r="X3" t="s">
        <v>629</v>
      </c>
      <c r="Y3" t="s">
        <v>630</v>
      </c>
      <c r="Z3" t="s">
        <v>631</v>
      </c>
      <c r="AA3" t="s">
        <v>632</v>
      </c>
      <c r="AB3" t="s">
        <v>633</v>
      </c>
      <c r="AC3" t="s">
        <v>634</v>
      </c>
      <c r="AD3" t="s">
        <v>635</v>
      </c>
      <c r="AE3" t="s">
        <v>636</v>
      </c>
      <c r="AF3" t="s">
        <v>637</v>
      </c>
      <c r="AG3" t="s">
        <v>638</v>
      </c>
      <c r="AH3" t="s">
        <v>639</v>
      </c>
      <c r="AI3" t="s">
        <v>640</v>
      </c>
      <c r="AJ3" t="s">
        <v>641</v>
      </c>
      <c r="AK3" t="s">
        <v>642</v>
      </c>
      <c r="AL3" t="s">
        <v>643</v>
      </c>
      <c r="AM3" t="s">
        <v>644</v>
      </c>
      <c r="AN3" t="s">
        <v>645</v>
      </c>
      <c r="AO3" t="s">
        <v>646</v>
      </c>
      <c r="AP3" t="s">
        <v>647</v>
      </c>
      <c r="AQ3" t="s">
        <v>648</v>
      </c>
      <c r="AR3" t="s">
        <v>649</v>
      </c>
      <c r="AS3" t="s">
        <v>650</v>
      </c>
      <c r="AT3" t="s">
        <v>651</v>
      </c>
      <c r="AU3" t="s">
        <v>652</v>
      </c>
      <c r="AV3" t="s">
        <v>653</v>
      </c>
      <c r="AW3" t="s">
        <v>654</v>
      </c>
      <c r="AX3" t="s">
        <v>655</v>
      </c>
      <c r="AY3" t="s">
        <v>656</v>
      </c>
      <c r="AZ3" t="s">
        <v>657</v>
      </c>
      <c r="BA3" t="s">
        <v>658</v>
      </c>
      <c r="BB3" t="s">
        <v>659</v>
      </c>
      <c r="BC3" t="s">
        <v>660</v>
      </c>
      <c r="BD3" t="s">
        <v>661</v>
      </c>
      <c r="BE3" t="s">
        <v>662</v>
      </c>
      <c r="BF3" t="s">
        <v>663</v>
      </c>
      <c r="BG3" t="s">
        <v>664</v>
      </c>
      <c r="BH3" t="s">
        <v>665</v>
      </c>
      <c r="BI3" t="s">
        <v>666</v>
      </c>
      <c r="BJ3" t="s">
        <v>667</v>
      </c>
      <c r="BK3" t="s">
        <v>668</v>
      </c>
      <c r="BL3" t="s">
        <v>669</v>
      </c>
      <c r="BM3" t="s">
        <v>670</v>
      </c>
      <c r="BN3" t="s">
        <v>671</v>
      </c>
      <c r="BO3" t="s">
        <v>672</v>
      </c>
      <c r="BP3" t="s">
        <v>673</v>
      </c>
      <c r="BQ3" t="s">
        <v>674</v>
      </c>
      <c r="BR3" t="s">
        <v>675</v>
      </c>
      <c r="BS3" t="s">
        <v>676</v>
      </c>
      <c r="BT3" t="s">
        <v>677</v>
      </c>
      <c r="BU3" t="s">
        <v>678</v>
      </c>
      <c r="BV3" t="s">
        <v>679</v>
      </c>
      <c r="BW3" t="s">
        <v>680</v>
      </c>
      <c r="BX3" t="s">
        <v>681</v>
      </c>
      <c r="BY3" t="s">
        <v>682</v>
      </c>
      <c r="BZ3" t="s">
        <v>683</v>
      </c>
      <c r="CA3" t="s">
        <v>684</v>
      </c>
      <c r="CB3" t="s">
        <v>685</v>
      </c>
      <c r="CC3" t="s">
        <v>686</v>
      </c>
      <c r="CD3" t="s">
        <v>687</v>
      </c>
      <c r="CE3" t="s">
        <v>688</v>
      </c>
      <c r="CF3" t="s">
        <v>689</v>
      </c>
      <c r="CG3" t="s">
        <v>690</v>
      </c>
      <c r="CH3" t="s">
        <v>691</v>
      </c>
      <c r="CI3" t="s">
        <v>692</v>
      </c>
      <c r="CJ3" t="s">
        <v>693</v>
      </c>
      <c r="CK3" t="s">
        <v>694</v>
      </c>
      <c r="CL3" t="s">
        <v>695</v>
      </c>
      <c r="CM3" t="s">
        <v>696</v>
      </c>
      <c r="CN3" t="s">
        <v>697</v>
      </c>
      <c r="CO3" t="s">
        <v>698</v>
      </c>
      <c r="CP3" t="s">
        <v>699</v>
      </c>
      <c r="CQ3" t="s">
        <v>700</v>
      </c>
      <c r="CR3" t="s">
        <v>701</v>
      </c>
      <c r="CS3" t="s">
        <v>702</v>
      </c>
      <c r="CT3" t="s">
        <v>703</v>
      </c>
      <c r="CU3" t="s">
        <v>704</v>
      </c>
      <c r="CV3" t="s">
        <v>705</v>
      </c>
      <c r="CW3" t="s">
        <v>706</v>
      </c>
      <c r="CX3" t="s">
        <v>707</v>
      </c>
      <c r="CY3" t="s">
        <v>708</v>
      </c>
      <c r="CZ3" t="s">
        <v>709</v>
      </c>
      <c r="DA3" t="s">
        <v>710</v>
      </c>
      <c r="DB3" t="s">
        <v>711</v>
      </c>
      <c r="DC3" t="s">
        <v>712</v>
      </c>
      <c r="DD3" t="s">
        <v>713</v>
      </c>
      <c r="DE3" t="s">
        <v>714</v>
      </c>
      <c r="DF3" t="s">
        <v>715</v>
      </c>
      <c r="DG3" t="s">
        <v>716</v>
      </c>
      <c r="DH3" t="s">
        <v>717</v>
      </c>
      <c r="DI3" t="s">
        <v>718</v>
      </c>
      <c r="DJ3" t="s">
        <v>719</v>
      </c>
      <c r="DK3" t="s">
        <v>720</v>
      </c>
      <c r="DL3" t="s">
        <v>721</v>
      </c>
      <c r="DM3" t="s">
        <v>722</v>
      </c>
      <c r="DN3" t="s">
        <v>723</v>
      </c>
      <c r="DO3" t="s">
        <v>724</v>
      </c>
      <c r="DP3" t="s">
        <v>725</v>
      </c>
      <c r="DQ3" t="s">
        <v>726</v>
      </c>
      <c r="DR3" t="s">
        <v>727</v>
      </c>
      <c r="DS3" t="s">
        <v>728</v>
      </c>
      <c r="DT3" t="s">
        <v>729</v>
      </c>
      <c r="DU3" t="s">
        <v>730</v>
      </c>
      <c r="DV3" t="s">
        <v>731</v>
      </c>
      <c r="DW3" t="s">
        <v>732</v>
      </c>
      <c r="DX3" t="s">
        <v>733</v>
      </c>
      <c r="DY3" t="s">
        <v>734</v>
      </c>
      <c r="DZ3" t="s">
        <v>735</v>
      </c>
      <c r="EA3" t="s">
        <v>736</v>
      </c>
      <c r="EB3" t="s">
        <v>737</v>
      </c>
      <c r="EC3" t="s">
        <v>738</v>
      </c>
      <c r="ED3" t="s">
        <v>739</v>
      </c>
      <c r="EE3" t="s">
        <v>740</v>
      </c>
      <c r="EF3" t="s">
        <v>741</v>
      </c>
      <c r="EG3" t="s">
        <v>742</v>
      </c>
      <c r="EH3" t="s">
        <v>743</v>
      </c>
      <c r="EI3" t="s">
        <v>744</v>
      </c>
      <c r="EJ3" t="s">
        <v>745</v>
      </c>
      <c r="EK3" t="s">
        <v>746</v>
      </c>
      <c r="EL3" t="s">
        <v>747</v>
      </c>
      <c r="EM3" t="s">
        <v>748</v>
      </c>
      <c r="EN3" t="s">
        <v>749</v>
      </c>
      <c r="EO3" t="s">
        <v>750</v>
      </c>
      <c r="EP3" t="s">
        <v>751</v>
      </c>
      <c r="EQ3" t="s">
        <v>752</v>
      </c>
      <c r="ER3" t="s">
        <v>753</v>
      </c>
      <c r="ES3" t="s">
        <v>754</v>
      </c>
      <c r="ET3" t="s">
        <v>755</v>
      </c>
      <c r="EU3" t="s">
        <v>756</v>
      </c>
      <c r="EV3" t="s">
        <v>757</v>
      </c>
      <c r="EW3" t="s">
        <v>758</v>
      </c>
      <c r="EX3" t="s">
        <v>759</v>
      </c>
      <c r="EY3" t="s">
        <v>760</v>
      </c>
      <c r="EZ3" t="s">
        <v>761</v>
      </c>
      <c r="FA3" t="s">
        <v>762</v>
      </c>
      <c r="FB3" t="s">
        <v>763</v>
      </c>
      <c r="FC3" t="s">
        <v>764</v>
      </c>
      <c r="FD3" t="s">
        <v>765</v>
      </c>
      <c r="FE3" t="s">
        <v>766</v>
      </c>
      <c r="FF3" t="s">
        <v>767</v>
      </c>
      <c r="FG3" t="s">
        <v>768</v>
      </c>
      <c r="FH3" t="s">
        <v>769</v>
      </c>
      <c r="FI3" t="s">
        <v>770</v>
      </c>
      <c r="FJ3" t="s">
        <v>771</v>
      </c>
      <c r="FK3" t="s">
        <v>772</v>
      </c>
      <c r="FL3" t="s">
        <v>773</v>
      </c>
      <c r="FM3" t="s">
        <v>774</v>
      </c>
      <c r="FN3" t="s">
        <v>775</v>
      </c>
      <c r="FO3" t="s">
        <v>776</v>
      </c>
      <c r="FP3" t="s">
        <v>777</v>
      </c>
      <c r="FQ3" t="s">
        <v>778</v>
      </c>
      <c r="FR3" t="s">
        <v>779</v>
      </c>
      <c r="FS3" t="s">
        <v>780</v>
      </c>
      <c r="FT3" t="s">
        <v>781</v>
      </c>
      <c r="FU3" t="s">
        <v>782</v>
      </c>
      <c r="FV3" t="s">
        <v>783</v>
      </c>
      <c r="FW3" t="s">
        <v>784</v>
      </c>
      <c r="FX3" t="s">
        <v>785</v>
      </c>
      <c r="FY3" t="s">
        <v>786</v>
      </c>
      <c r="FZ3" t="s">
        <v>787</v>
      </c>
      <c r="GA3" t="s">
        <v>788</v>
      </c>
      <c r="GB3" t="s">
        <v>789</v>
      </c>
      <c r="GC3" t="s">
        <v>790</v>
      </c>
      <c r="GD3" t="s">
        <v>791</v>
      </c>
      <c r="GE3" t="s">
        <v>792</v>
      </c>
      <c r="GF3" t="s">
        <v>793</v>
      </c>
      <c r="GG3" t="s">
        <v>794</v>
      </c>
      <c r="GH3" t="s">
        <v>795</v>
      </c>
      <c r="GI3" t="s">
        <v>796</v>
      </c>
      <c r="GJ3" t="s">
        <v>797</v>
      </c>
      <c r="GK3" t="s">
        <v>798</v>
      </c>
      <c r="GL3" t="s">
        <v>799</v>
      </c>
      <c r="GM3" t="s">
        <v>800</v>
      </c>
      <c r="GN3" t="s">
        <v>801</v>
      </c>
      <c r="GO3" t="s">
        <v>802</v>
      </c>
      <c r="GP3" t="s">
        <v>803</v>
      </c>
      <c r="GQ3" t="s">
        <v>804</v>
      </c>
      <c r="GR3" t="s">
        <v>805</v>
      </c>
      <c r="GS3" t="s">
        <v>806</v>
      </c>
      <c r="GT3" t="s">
        <v>807</v>
      </c>
      <c r="GU3" t="s">
        <v>808</v>
      </c>
      <c r="GV3" t="s">
        <v>809</v>
      </c>
      <c r="GW3" t="s">
        <v>810</v>
      </c>
      <c r="GX3" t="s">
        <v>811</v>
      </c>
      <c r="GY3" t="s">
        <v>812</v>
      </c>
      <c r="GZ3" t="s">
        <v>813</v>
      </c>
      <c r="HA3" t="s">
        <v>814</v>
      </c>
      <c r="HB3" t="s">
        <v>815</v>
      </c>
      <c r="HC3" t="s">
        <v>816</v>
      </c>
      <c r="HD3" t="s">
        <v>817</v>
      </c>
      <c r="HE3" t="s">
        <v>818</v>
      </c>
      <c r="HF3" t="s">
        <v>819</v>
      </c>
      <c r="HG3" t="s">
        <v>820</v>
      </c>
      <c r="HH3" t="s">
        <v>821</v>
      </c>
      <c r="HI3" t="s">
        <v>822</v>
      </c>
      <c r="HJ3" t="s">
        <v>823</v>
      </c>
      <c r="HK3" t="s">
        <v>824</v>
      </c>
      <c r="HL3" t="s">
        <v>825</v>
      </c>
      <c r="HM3" t="s">
        <v>826</v>
      </c>
      <c r="HN3" t="s">
        <v>827</v>
      </c>
      <c r="HO3" t="s">
        <v>828</v>
      </c>
      <c r="HP3" t="s">
        <v>829</v>
      </c>
      <c r="HQ3" t="s">
        <v>830</v>
      </c>
      <c r="HR3" t="s">
        <v>831</v>
      </c>
      <c r="HS3" t="s">
        <v>832</v>
      </c>
      <c r="HT3" t="s">
        <v>833</v>
      </c>
      <c r="HU3" t="s">
        <v>834</v>
      </c>
      <c r="HV3" t="s">
        <v>835</v>
      </c>
      <c r="HW3" t="s">
        <v>836</v>
      </c>
      <c r="HX3" t="s">
        <v>837</v>
      </c>
      <c r="HY3" t="s">
        <v>838</v>
      </c>
      <c r="HZ3" t="s">
        <v>839</v>
      </c>
      <c r="IA3" t="s">
        <v>840</v>
      </c>
      <c r="IB3" t="s">
        <v>841</v>
      </c>
      <c r="IC3" t="s">
        <v>842</v>
      </c>
      <c r="ID3" t="s">
        <v>843</v>
      </c>
      <c r="IE3" t="s">
        <v>844</v>
      </c>
      <c r="IF3" t="s">
        <v>845</v>
      </c>
      <c r="IG3" t="s">
        <v>846</v>
      </c>
      <c r="IH3" t="s">
        <v>847</v>
      </c>
      <c r="II3" t="s">
        <v>848</v>
      </c>
      <c r="IJ3" t="s">
        <v>849</v>
      </c>
      <c r="IK3" t="s">
        <v>850</v>
      </c>
      <c r="IL3" t="s">
        <v>851</v>
      </c>
      <c r="IM3" t="s">
        <v>852</v>
      </c>
      <c r="IN3" t="s">
        <v>853</v>
      </c>
      <c r="IO3" t="s">
        <v>854</v>
      </c>
      <c r="IP3" t="s">
        <v>855</v>
      </c>
      <c r="IQ3" t="s">
        <v>856</v>
      </c>
      <c r="IR3" t="s">
        <v>857</v>
      </c>
      <c r="IS3" t="s">
        <v>858</v>
      </c>
      <c r="IT3" t="s">
        <v>859</v>
      </c>
      <c r="IU3" t="s">
        <v>860</v>
      </c>
      <c r="IV3" t="s">
        <v>861</v>
      </c>
      <c r="IW3" t="s">
        <v>862</v>
      </c>
      <c r="IX3" t="s">
        <v>863</v>
      </c>
      <c r="IY3" t="s">
        <v>864</v>
      </c>
      <c r="IZ3" t="s">
        <v>865</v>
      </c>
      <c r="JA3" t="s">
        <v>866</v>
      </c>
      <c r="JB3" t="s">
        <v>867</v>
      </c>
      <c r="JC3" t="s">
        <v>868</v>
      </c>
      <c r="JD3" t="s">
        <v>869</v>
      </c>
      <c r="JE3" t="s">
        <v>870</v>
      </c>
      <c r="JF3" t="s">
        <v>871</v>
      </c>
      <c r="JG3" t="s">
        <v>872</v>
      </c>
      <c r="JH3" t="s">
        <v>873</v>
      </c>
      <c r="JI3" t="s">
        <v>874</v>
      </c>
      <c r="JJ3" t="s">
        <v>875</v>
      </c>
      <c r="JK3" t="s">
        <v>876</v>
      </c>
      <c r="JL3" t="s">
        <v>877</v>
      </c>
      <c r="JM3" t="s">
        <v>878</v>
      </c>
      <c r="JN3" t="s">
        <v>879</v>
      </c>
      <c r="JO3" t="s">
        <v>880</v>
      </c>
      <c r="JP3" t="s">
        <v>881</v>
      </c>
      <c r="JQ3" t="s">
        <v>882</v>
      </c>
      <c r="JR3" t="s">
        <v>883</v>
      </c>
      <c r="JS3" t="s">
        <v>884</v>
      </c>
      <c r="JT3" t="s">
        <v>885</v>
      </c>
      <c r="JU3" t="s">
        <v>886</v>
      </c>
      <c r="JV3" t="s">
        <v>887</v>
      </c>
      <c r="JW3" t="s">
        <v>888</v>
      </c>
      <c r="JX3" t="s">
        <v>889</v>
      </c>
      <c r="JY3" t="s">
        <v>890</v>
      </c>
      <c r="JZ3" t="s">
        <v>891</v>
      </c>
      <c r="KA3" t="s">
        <v>892</v>
      </c>
      <c r="KB3" t="s">
        <v>893</v>
      </c>
      <c r="KC3" t="s">
        <v>894</v>
      </c>
      <c r="KD3" t="s">
        <v>895</v>
      </c>
      <c r="KE3" t="s">
        <v>896</v>
      </c>
      <c r="KF3" t="s">
        <v>897</v>
      </c>
      <c r="KG3" t="s">
        <v>898</v>
      </c>
      <c r="KH3" t="s">
        <v>899</v>
      </c>
      <c r="KI3" t="s">
        <v>900</v>
      </c>
      <c r="KJ3" t="s">
        <v>901</v>
      </c>
      <c r="KK3" t="s">
        <v>902</v>
      </c>
      <c r="KL3" t="s">
        <v>903</v>
      </c>
      <c r="KM3" t="s">
        <v>904</v>
      </c>
      <c r="KN3" t="s">
        <v>905</v>
      </c>
      <c r="KO3" t="s">
        <v>906</v>
      </c>
      <c r="KP3" t="s">
        <v>907</v>
      </c>
    </row>
    <row r="4" spans="1:302" x14ac:dyDescent="0.2">
      <c r="A4" s="127" t="s">
        <v>1</v>
      </c>
      <c r="B4" s="131"/>
      <c r="C4" s="131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1:302" ht="16" x14ac:dyDescent="0.2">
      <c r="A5" s="128" t="s">
        <v>3</v>
      </c>
      <c r="B5" s="129" t="s">
        <v>4</v>
      </c>
      <c r="C5" s="129" t="s">
        <v>5</v>
      </c>
      <c r="D5" s="130" t="s">
        <v>358</v>
      </c>
      <c r="E5" t="s">
        <v>368</v>
      </c>
      <c r="F5" t="s">
        <v>369</v>
      </c>
      <c r="G5" t="s">
        <v>370</v>
      </c>
      <c r="H5" t="s">
        <v>371</v>
      </c>
      <c r="I5" t="s">
        <v>372</v>
      </c>
      <c r="J5" t="s">
        <v>373</v>
      </c>
      <c r="K5" t="s">
        <v>374</v>
      </c>
      <c r="L5" t="s">
        <v>375</v>
      </c>
      <c r="M5" t="s">
        <v>376</v>
      </c>
      <c r="N5" t="s">
        <v>351</v>
      </c>
      <c r="O5" t="s">
        <v>377</v>
      </c>
      <c r="P5" t="s">
        <v>378</v>
      </c>
      <c r="Q5" t="s">
        <v>352</v>
      </c>
      <c r="R5" t="s">
        <v>352</v>
      </c>
      <c r="S5" t="s">
        <v>353</v>
      </c>
      <c r="T5" t="s">
        <v>379</v>
      </c>
      <c r="U5" t="s">
        <v>380</v>
      </c>
      <c r="V5" t="s">
        <v>380</v>
      </c>
      <c r="W5" t="s">
        <v>381</v>
      </c>
      <c r="X5" t="s">
        <v>382</v>
      </c>
      <c r="Y5" t="s">
        <v>383</v>
      </c>
      <c r="Z5" t="s">
        <v>384</v>
      </c>
      <c r="AA5" t="s">
        <v>354</v>
      </c>
      <c r="AB5" t="s">
        <v>385</v>
      </c>
      <c r="AC5" t="s">
        <v>386</v>
      </c>
      <c r="AD5" t="s">
        <v>387</v>
      </c>
      <c r="AE5" t="s">
        <v>388</v>
      </c>
      <c r="AF5" t="s">
        <v>355</v>
      </c>
      <c r="AG5" t="s">
        <v>355</v>
      </c>
      <c r="AH5" t="s">
        <v>389</v>
      </c>
      <c r="AI5" t="s">
        <v>390</v>
      </c>
      <c r="AJ5" t="s">
        <v>391</v>
      </c>
      <c r="AK5" t="s">
        <v>392</v>
      </c>
      <c r="AL5" t="s">
        <v>356</v>
      </c>
      <c r="AM5" t="s">
        <v>393</v>
      </c>
      <c r="AN5" t="s">
        <v>394</v>
      </c>
      <c r="AO5" t="s">
        <v>394</v>
      </c>
      <c r="AP5" t="s">
        <v>357</v>
      </c>
      <c r="AQ5" t="s">
        <v>395</v>
      </c>
      <c r="AR5" t="s">
        <v>396</v>
      </c>
      <c r="AS5" t="s">
        <v>397</v>
      </c>
      <c r="AT5" t="s">
        <v>397</v>
      </c>
      <c r="AU5" t="s">
        <v>398</v>
      </c>
      <c r="AV5" t="s">
        <v>399</v>
      </c>
      <c r="AW5" t="s">
        <v>400</v>
      </c>
      <c r="AX5" t="s">
        <v>401</v>
      </c>
      <c r="AY5" t="s">
        <v>402</v>
      </c>
      <c r="AZ5" t="s">
        <v>402</v>
      </c>
      <c r="BA5" t="s">
        <v>403</v>
      </c>
      <c r="BB5" t="s">
        <v>404</v>
      </c>
      <c r="BC5" t="s">
        <v>405</v>
      </c>
      <c r="BD5" t="s">
        <v>406</v>
      </c>
      <c r="BE5" t="s">
        <v>407</v>
      </c>
      <c r="BF5" t="s">
        <v>408</v>
      </c>
      <c r="BG5" t="s">
        <v>405</v>
      </c>
      <c r="BH5" t="s">
        <v>409</v>
      </c>
      <c r="BI5" t="s">
        <v>410</v>
      </c>
      <c r="BJ5" t="s">
        <v>411</v>
      </c>
      <c r="BK5" t="s">
        <v>412</v>
      </c>
      <c r="BL5" t="s">
        <v>412</v>
      </c>
      <c r="BM5" t="s">
        <v>413</v>
      </c>
      <c r="BN5" t="s">
        <v>414</v>
      </c>
      <c r="BO5" t="s">
        <v>414</v>
      </c>
      <c r="BP5" t="s">
        <v>415</v>
      </c>
      <c r="BQ5" t="s">
        <v>415</v>
      </c>
      <c r="BR5" t="s">
        <v>416</v>
      </c>
      <c r="BS5" t="s">
        <v>417</v>
      </c>
      <c r="BT5" t="s">
        <v>418</v>
      </c>
      <c r="BU5" t="s">
        <v>419</v>
      </c>
      <c r="BV5" t="s">
        <v>420</v>
      </c>
      <c r="BW5" t="s">
        <v>421</v>
      </c>
      <c r="BX5" t="s">
        <v>422</v>
      </c>
      <c r="BY5" t="s">
        <v>422</v>
      </c>
      <c r="BZ5" t="s">
        <v>417</v>
      </c>
      <c r="CA5" t="s">
        <v>423</v>
      </c>
      <c r="CB5" t="s">
        <v>413</v>
      </c>
      <c r="CC5" t="s">
        <v>424</v>
      </c>
      <c r="CD5" t="s">
        <v>425</v>
      </c>
      <c r="CE5" t="s">
        <v>426</v>
      </c>
      <c r="CF5" t="s">
        <v>427</v>
      </c>
      <c r="CG5" t="s">
        <v>427</v>
      </c>
      <c r="CH5" t="s">
        <v>428</v>
      </c>
      <c r="CI5" t="s">
        <v>429</v>
      </c>
      <c r="CJ5" t="s">
        <v>430</v>
      </c>
      <c r="CK5" t="s">
        <v>431</v>
      </c>
      <c r="CL5" t="s">
        <v>432</v>
      </c>
      <c r="CM5" t="s">
        <v>433</v>
      </c>
      <c r="CN5" t="s">
        <v>434</v>
      </c>
      <c r="CO5" t="s">
        <v>434</v>
      </c>
      <c r="CP5" t="s">
        <v>435</v>
      </c>
      <c r="CQ5" t="s">
        <v>436</v>
      </c>
      <c r="CR5" t="s">
        <v>437</v>
      </c>
      <c r="CS5" t="s">
        <v>437</v>
      </c>
      <c r="CT5" t="s">
        <v>438</v>
      </c>
      <c r="CU5" t="s">
        <v>439</v>
      </c>
      <c r="CV5" t="s">
        <v>440</v>
      </c>
      <c r="CW5" t="s">
        <v>440</v>
      </c>
      <c r="CX5" t="s">
        <v>441</v>
      </c>
      <c r="CY5" t="s">
        <v>442</v>
      </c>
      <c r="CZ5" t="s">
        <v>443</v>
      </c>
      <c r="DA5" t="s">
        <v>444</v>
      </c>
      <c r="DB5" t="s">
        <v>445</v>
      </c>
      <c r="DC5" t="s">
        <v>445</v>
      </c>
      <c r="DD5" t="s">
        <v>446</v>
      </c>
      <c r="DE5" t="s">
        <v>447</v>
      </c>
      <c r="DF5" t="s">
        <v>448</v>
      </c>
      <c r="DG5" t="s">
        <v>449</v>
      </c>
      <c r="DH5" t="s">
        <v>450</v>
      </c>
      <c r="DI5" t="s">
        <v>451</v>
      </c>
      <c r="DJ5" t="s">
        <v>452</v>
      </c>
      <c r="DK5" t="s">
        <v>453</v>
      </c>
      <c r="DL5" t="s">
        <v>454</v>
      </c>
      <c r="DM5" t="s">
        <v>455</v>
      </c>
      <c r="DN5" t="s">
        <v>456</v>
      </c>
      <c r="DO5" t="s">
        <v>457</v>
      </c>
      <c r="DP5" t="s">
        <v>458</v>
      </c>
      <c r="DQ5" t="s">
        <v>459</v>
      </c>
      <c r="DR5" t="s">
        <v>460</v>
      </c>
      <c r="DS5" t="s">
        <v>461</v>
      </c>
      <c r="DT5" t="s">
        <v>462</v>
      </c>
      <c r="DU5" t="s">
        <v>463</v>
      </c>
      <c r="DV5" t="s">
        <v>406</v>
      </c>
      <c r="DW5" t="s">
        <v>464</v>
      </c>
      <c r="DX5" t="s">
        <v>465</v>
      </c>
      <c r="DY5" t="s">
        <v>466</v>
      </c>
      <c r="DZ5" t="s">
        <v>467</v>
      </c>
      <c r="EA5" t="s">
        <v>468</v>
      </c>
      <c r="EB5" t="s">
        <v>468</v>
      </c>
      <c r="EC5" t="s">
        <v>469</v>
      </c>
      <c r="ED5" t="s">
        <v>470</v>
      </c>
      <c r="EE5" t="s">
        <v>471</v>
      </c>
      <c r="EF5" t="s">
        <v>472</v>
      </c>
      <c r="EG5" t="s">
        <v>473</v>
      </c>
      <c r="EH5" t="s">
        <v>474</v>
      </c>
      <c r="EI5" t="s">
        <v>475</v>
      </c>
      <c r="EJ5" t="s">
        <v>476</v>
      </c>
      <c r="EK5" t="s">
        <v>477</v>
      </c>
      <c r="EL5" t="s">
        <v>478</v>
      </c>
      <c r="EM5" t="s">
        <v>479</v>
      </c>
      <c r="EN5" t="s">
        <v>480</v>
      </c>
      <c r="EO5" t="s">
        <v>423</v>
      </c>
      <c r="EP5" t="s">
        <v>481</v>
      </c>
      <c r="EQ5" t="s">
        <v>482</v>
      </c>
      <c r="ER5" t="s">
        <v>483</v>
      </c>
      <c r="ES5" t="s">
        <v>484</v>
      </c>
      <c r="ET5" t="s">
        <v>484</v>
      </c>
      <c r="EU5" t="s">
        <v>485</v>
      </c>
      <c r="EV5" t="s">
        <v>486</v>
      </c>
      <c r="EW5" t="s">
        <v>487</v>
      </c>
      <c r="EX5" t="s">
        <v>488</v>
      </c>
      <c r="EY5" t="s">
        <v>489</v>
      </c>
      <c r="EZ5" t="s">
        <v>490</v>
      </c>
      <c r="FA5" t="s">
        <v>491</v>
      </c>
      <c r="FB5" t="s">
        <v>492</v>
      </c>
      <c r="FC5" t="s">
        <v>407</v>
      </c>
      <c r="FD5" t="s">
        <v>493</v>
      </c>
      <c r="FE5" t="s">
        <v>494</v>
      </c>
      <c r="FF5" t="s">
        <v>495</v>
      </c>
      <c r="FG5" t="s">
        <v>496</v>
      </c>
      <c r="FH5" t="s">
        <v>497</v>
      </c>
      <c r="FI5" t="s">
        <v>498</v>
      </c>
      <c r="FJ5" t="s">
        <v>499</v>
      </c>
      <c r="FK5" t="s">
        <v>499</v>
      </c>
      <c r="FL5" t="s">
        <v>500</v>
      </c>
      <c r="FM5" t="s">
        <v>501</v>
      </c>
      <c r="FN5" t="s">
        <v>502</v>
      </c>
      <c r="FO5" t="s">
        <v>503</v>
      </c>
      <c r="FP5" t="s">
        <v>504</v>
      </c>
      <c r="FQ5" t="s">
        <v>505</v>
      </c>
      <c r="FR5" t="s">
        <v>506</v>
      </c>
      <c r="FS5" t="s">
        <v>507</v>
      </c>
      <c r="FT5" t="s">
        <v>508</v>
      </c>
      <c r="FU5" t="s">
        <v>509</v>
      </c>
      <c r="FV5" t="s">
        <v>510</v>
      </c>
      <c r="FW5" t="s">
        <v>511</v>
      </c>
      <c r="FX5" t="s">
        <v>512</v>
      </c>
      <c r="FY5" t="s">
        <v>513</v>
      </c>
      <c r="FZ5" t="s">
        <v>514</v>
      </c>
      <c r="GA5" t="s">
        <v>515</v>
      </c>
      <c r="GB5" t="s">
        <v>516</v>
      </c>
      <c r="GC5" t="s">
        <v>517</v>
      </c>
      <c r="GD5" t="s">
        <v>517</v>
      </c>
      <c r="GE5" t="s">
        <v>517</v>
      </c>
      <c r="GF5" t="s">
        <v>517</v>
      </c>
      <c r="GG5" t="s">
        <v>518</v>
      </c>
      <c r="GH5" t="s">
        <v>519</v>
      </c>
      <c r="GI5" t="s">
        <v>520</v>
      </c>
      <c r="GJ5" t="s">
        <v>521</v>
      </c>
      <c r="GK5" t="s">
        <v>521</v>
      </c>
      <c r="GL5" t="s">
        <v>522</v>
      </c>
      <c r="GM5" t="s">
        <v>523</v>
      </c>
      <c r="GN5" t="s">
        <v>524</v>
      </c>
      <c r="GO5" t="s">
        <v>525</v>
      </c>
      <c r="GP5" t="s">
        <v>525</v>
      </c>
      <c r="GQ5" t="s">
        <v>526</v>
      </c>
      <c r="GR5" t="s">
        <v>527</v>
      </c>
      <c r="GS5" t="s">
        <v>528</v>
      </c>
      <c r="GT5" t="s">
        <v>529</v>
      </c>
      <c r="GU5" t="s">
        <v>530</v>
      </c>
      <c r="GV5" t="s">
        <v>531</v>
      </c>
      <c r="GW5" t="s">
        <v>532</v>
      </c>
      <c r="GX5" t="s">
        <v>533</v>
      </c>
      <c r="GY5" t="s">
        <v>534</v>
      </c>
      <c r="GZ5" t="s">
        <v>535</v>
      </c>
      <c r="HA5" t="s">
        <v>536</v>
      </c>
      <c r="HB5" t="s">
        <v>537</v>
      </c>
      <c r="HC5" t="s">
        <v>537</v>
      </c>
      <c r="HD5" t="s">
        <v>538</v>
      </c>
      <c r="HE5" t="s">
        <v>531</v>
      </c>
      <c r="HF5" t="s">
        <v>539</v>
      </c>
      <c r="HG5" t="s">
        <v>540</v>
      </c>
      <c r="HH5" t="s">
        <v>541</v>
      </c>
      <c r="HI5" t="s">
        <v>481</v>
      </c>
      <c r="HJ5" t="s">
        <v>506</v>
      </c>
      <c r="HK5" t="s">
        <v>542</v>
      </c>
      <c r="HL5" t="s">
        <v>543</v>
      </c>
      <c r="HM5" t="s">
        <v>543</v>
      </c>
      <c r="HN5" t="s">
        <v>543</v>
      </c>
      <c r="HO5" t="s">
        <v>544</v>
      </c>
      <c r="HP5" t="s">
        <v>545</v>
      </c>
      <c r="HQ5" t="s">
        <v>546</v>
      </c>
      <c r="HR5" t="s">
        <v>547</v>
      </c>
      <c r="HS5" t="s">
        <v>548</v>
      </c>
      <c r="HT5" t="s">
        <v>549</v>
      </c>
      <c r="HU5" t="s">
        <v>550</v>
      </c>
      <c r="HV5" t="s">
        <v>551</v>
      </c>
      <c r="HW5" t="s">
        <v>552</v>
      </c>
      <c r="HX5" t="s">
        <v>553</v>
      </c>
      <c r="HY5" t="s">
        <v>554</v>
      </c>
      <c r="HZ5" t="s">
        <v>555</v>
      </c>
      <c r="IA5" t="s">
        <v>556</v>
      </c>
      <c r="IB5" t="s">
        <v>557</v>
      </c>
      <c r="IC5" t="s">
        <v>558</v>
      </c>
      <c r="ID5" t="s">
        <v>559</v>
      </c>
      <c r="IE5" t="s">
        <v>560</v>
      </c>
      <c r="IF5" t="s">
        <v>561</v>
      </c>
      <c r="IG5" t="s">
        <v>562</v>
      </c>
      <c r="IH5" t="s">
        <v>563</v>
      </c>
      <c r="II5" t="s">
        <v>564</v>
      </c>
      <c r="IJ5" t="s">
        <v>565</v>
      </c>
      <c r="IK5" t="s">
        <v>566</v>
      </c>
      <c r="IL5" t="s">
        <v>567</v>
      </c>
      <c r="IM5" t="s">
        <v>568</v>
      </c>
      <c r="IN5" t="s">
        <v>569</v>
      </c>
      <c r="IO5" t="s">
        <v>570</v>
      </c>
      <c r="IP5" t="s">
        <v>571</v>
      </c>
      <c r="IQ5" t="s">
        <v>572</v>
      </c>
      <c r="IR5" t="s">
        <v>572</v>
      </c>
      <c r="IS5" t="s">
        <v>573</v>
      </c>
      <c r="IT5" t="s">
        <v>574</v>
      </c>
      <c r="IU5" t="s">
        <v>575</v>
      </c>
      <c r="IV5" t="s">
        <v>576</v>
      </c>
      <c r="IW5" t="s">
        <v>577</v>
      </c>
      <c r="IX5" t="s">
        <v>577</v>
      </c>
      <c r="IY5" t="s">
        <v>408</v>
      </c>
      <c r="IZ5" t="s">
        <v>578</v>
      </c>
      <c r="JA5" t="s">
        <v>579</v>
      </c>
      <c r="JB5" t="s">
        <v>580</v>
      </c>
      <c r="JC5" t="s">
        <v>581</v>
      </c>
      <c r="JD5" t="s">
        <v>581</v>
      </c>
      <c r="JE5" t="s">
        <v>582</v>
      </c>
      <c r="JF5" t="s">
        <v>583</v>
      </c>
      <c r="JG5" t="s">
        <v>584</v>
      </c>
      <c r="JH5" t="s">
        <v>585</v>
      </c>
      <c r="JI5" t="s">
        <v>586</v>
      </c>
      <c r="JJ5" t="s">
        <v>587</v>
      </c>
      <c r="JK5" t="s">
        <v>588</v>
      </c>
      <c r="JL5" t="s">
        <v>589</v>
      </c>
      <c r="JM5" t="s">
        <v>590</v>
      </c>
      <c r="JN5" t="s">
        <v>587</v>
      </c>
      <c r="JO5" t="s">
        <v>587</v>
      </c>
      <c r="JP5" t="s">
        <v>591</v>
      </c>
      <c r="JQ5" t="s">
        <v>592</v>
      </c>
      <c r="JR5" t="s">
        <v>593</v>
      </c>
      <c r="JS5" t="s">
        <v>594</v>
      </c>
      <c r="JT5" t="s">
        <v>595</v>
      </c>
      <c r="JU5" t="s">
        <v>595</v>
      </c>
      <c r="JV5" t="s">
        <v>591</v>
      </c>
      <c r="JW5" t="s">
        <v>591</v>
      </c>
      <c r="JX5" t="s">
        <v>591</v>
      </c>
      <c r="JY5" t="s">
        <v>579</v>
      </c>
      <c r="JZ5" t="s">
        <v>596</v>
      </c>
      <c r="KA5" t="s">
        <v>592</v>
      </c>
      <c r="KB5" t="s">
        <v>592</v>
      </c>
      <c r="KC5" t="s">
        <v>597</v>
      </c>
      <c r="KD5" t="s">
        <v>598</v>
      </c>
      <c r="KE5" t="s">
        <v>599</v>
      </c>
      <c r="KF5" t="s">
        <v>600</v>
      </c>
      <c r="KG5" t="s">
        <v>601</v>
      </c>
      <c r="KH5" t="s">
        <v>601</v>
      </c>
      <c r="KI5" t="s">
        <v>602</v>
      </c>
      <c r="KJ5" t="s">
        <v>603</v>
      </c>
      <c r="KK5" t="s">
        <v>604</v>
      </c>
      <c r="KL5" t="s">
        <v>605</v>
      </c>
      <c r="KM5" t="s">
        <v>606</v>
      </c>
      <c r="KN5" t="s">
        <v>607</v>
      </c>
      <c r="KO5" t="s">
        <v>608</v>
      </c>
      <c r="KP5" t="s">
        <v>609</v>
      </c>
    </row>
    <row r="6" spans="1:302" x14ac:dyDescent="0.2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</row>
    <row r="7" spans="1:302" x14ac:dyDescent="0.2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</row>
    <row r="8" spans="1:302" x14ac:dyDescent="0.2">
      <c r="A8" s="6" t="str">
        <f>Defaults!A8</f>
        <v>01341</v>
      </c>
      <c r="B8" s="6" t="str">
        <f>Defaults!B8</f>
        <v>Apples</v>
      </c>
      <c r="C8" s="6" t="str">
        <f>Defaults!C8</f>
        <v>Fruits</v>
      </c>
      <c r="D8">
        <v>450</v>
      </c>
    </row>
    <row r="9" spans="1:302" x14ac:dyDescent="0.2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  <c r="H9" t="s">
        <v>610</v>
      </c>
    </row>
    <row r="10" spans="1:302" x14ac:dyDescent="0.2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  <c r="H10" t="s">
        <v>611</v>
      </c>
    </row>
    <row r="11" spans="1:302" x14ac:dyDescent="0.2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  <c r="D11">
        <v>140</v>
      </c>
      <c r="H11" t="s">
        <v>612</v>
      </c>
    </row>
    <row r="12" spans="1:302" x14ac:dyDescent="0.2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  <c r="H12" t="s">
        <v>613</v>
      </c>
    </row>
    <row r="13" spans="1:302" x14ac:dyDescent="0.2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  <c r="H13" t="s">
        <v>614</v>
      </c>
    </row>
    <row r="14" spans="1:302" x14ac:dyDescent="0.2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  <c r="D14" s="130">
        <v>69.7</v>
      </c>
      <c r="H14" t="s">
        <v>615</v>
      </c>
    </row>
    <row r="15" spans="1:302" s="130" customFormat="1" x14ac:dyDescent="0.2">
      <c r="A15" s="133" t="str">
        <f>Defaults!A15</f>
        <v>0115_s</v>
      </c>
      <c r="B15" s="133" t="str">
        <f>Defaults!B15</f>
        <v>Barley, spring</v>
      </c>
      <c r="C15" s="133" t="str">
        <f>Defaults!C15</f>
        <v>Cereals</v>
      </c>
      <c r="D15" s="130">
        <v>70</v>
      </c>
      <c r="H15" t="s">
        <v>616</v>
      </c>
      <c r="Q15"/>
    </row>
    <row r="16" spans="1:302" s="130" customFormat="1" x14ac:dyDescent="0.2">
      <c r="A16" s="133" t="str">
        <f>Defaults!A16</f>
        <v>0115_w</v>
      </c>
      <c r="B16" s="133" t="str">
        <f>Defaults!B16</f>
        <v>Barley, winter</v>
      </c>
      <c r="C16" s="133" t="str">
        <f>Defaults!C16</f>
        <v>Cereals</v>
      </c>
      <c r="D16" s="130">
        <v>66.7</v>
      </c>
      <c r="H16" t="s">
        <v>908</v>
      </c>
      <c r="Q16"/>
    </row>
    <row r="17" spans="1:8" x14ac:dyDescent="0.2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  <c r="D17">
        <v>65</v>
      </c>
      <c r="H17" t="s">
        <v>618</v>
      </c>
    </row>
    <row r="18" spans="1:8" x14ac:dyDescent="0.2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  <c r="H18" t="s">
        <v>619</v>
      </c>
    </row>
    <row r="19" spans="1:8" x14ac:dyDescent="0.2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  <c r="H19" t="s">
        <v>620</v>
      </c>
    </row>
    <row r="20" spans="1:8" x14ac:dyDescent="0.2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  <c r="D20">
        <v>63.2</v>
      </c>
      <c r="H20" t="s">
        <v>621</v>
      </c>
    </row>
    <row r="21" spans="1:8" x14ac:dyDescent="0.2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  <c r="H21" t="s">
        <v>622</v>
      </c>
    </row>
    <row r="22" spans="1:8" x14ac:dyDescent="0.2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  <c r="D22">
        <v>140</v>
      </c>
      <c r="H22" t="s">
        <v>622</v>
      </c>
    </row>
    <row r="23" spans="1:8" x14ac:dyDescent="0.2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  <c r="H23" t="s">
        <v>624</v>
      </c>
    </row>
    <row r="24" spans="1:8" x14ac:dyDescent="0.2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  <c r="D24">
        <v>140</v>
      </c>
      <c r="H24" t="s">
        <v>625</v>
      </c>
    </row>
    <row r="25" spans="1:8" x14ac:dyDescent="0.2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  <c r="H25" t="s">
        <v>909</v>
      </c>
    </row>
    <row r="26" spans="1:8" x14ac:dyDescent="0.2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  <c r="D26">
        <v>140</v>
      </c>
      <c r="H26" t="s">
        <v>627</v>
      </c>
    </row>
    <row r="27" spans="1:8" x14ac:dyDescent="0.2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  <c r="H27" t="s">
        <v>628</v>
      </c>
    </row>
    <row r="28" spans="1:8" x14ac:dyDescent="0.2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  <c r="D28">
        <v>140</v>
      </c>
      <c r="H28" t="s">
        <v>629</v>
      </c>
    </row>
    <row r="29" spans="1:8" x14ac:dyDescent="0.2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  <c r="D29" s="130">
        <v>140</v>
      </c>
      <c r="H29" t="s">
        <v>630</v>
      </c>
    </row>
    <row r="30" spans="1:8" x14ac:dyDescent="0.2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  <c r="H30" t="s">
        <v>631</v>
      </c>
    </row>
    <row r="31" spans="1:8" x14ac:dyDescent="0.2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  <c r="H31" t="s">
        <v>632</v>
      </c>
    </row>
    <row r="32" spans="1:8" x14ac:dyDescent="0.2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  <c r="H32" t="s">
        <v>633</v>
      </c>
    </row>
    <row r="33" spans="1:8" x14ac:dyDescent="0.2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  <c r="H33" t="s">
        <v>634</v>
      </c>
    </row>
    <row r="34" spans="1:8" x14ac:dyDescent="0.2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  <c r="H34" t="s">
        <v>635</v>
      </c>
    </row>
    <row r="35" spans="1:8" x14ac:dyDescent="0.2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  <c r="H35" t="s">
        <v>636</v>
      </c>
    </row>
    <row r="36" spans="1:8" x14ac:dyDescent="0.2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  <c r="H36" t="s">
        <v>637</v>
      </c>
    </row>
    <row r="37" spans="1:8" x14ac:dyDescent="0.2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  <c r="H37" t="s">
        <v>638</v>
      </c>
    </row>
    <row r="38" spans="1:8" x14ac:dyDescent="0.2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  <c r="D38" s="130">
        <v>7</v>
      </c>
      <c r="H38" t="s">
        <v>910</v>
      </c>
    </row>
    <row r="39" spans="1:8" x14ac:dyDescent="0.2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  <c r="D39">
        <v>0</v>
      </c>
      <c r="H39" t="s">
        <v>640</v>
      </c>
    </row>
    <row r="40" spans="1:8" x14ac:dyDescent="0.2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  <c r="D40">
        <v>140</v>
      </c>
      <c r="H40" t="s">
        <v>641</v>
      </c>
    </row>
    <row r="41" spans="1:8" x14ac:dyDescent="0.2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  <c r="D41">
        <v>300</v>
      </c>
      <c r="H41" t="s">
        <v>642</v>
      </c>
    </row>
    <row r="42" spans="1:8" x14ac:dyDescent="0.2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  <c r="H42" t="s">
        <v>643</v>
      </c>
    </row>
    <row r="43" spans="1:8" x14ac:dyDescent="0.2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  <c r="H43" t="s">
        <v>644</v>
      </c>
    </row>
    <row r="44" spans="1:8" x14ac:dyDescent="0.2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  <c r="H44" t="s">
        <v>645</v>
      </c>
    </row>
    <row r="45" spans="1:8" x14ac:dyDescent="0.2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  <c r="H45" t="s">
        <v>911</v>
      </c>
    </row>
    <row r="46" spans="1:8" x14ac:dyDescent="0.2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  <c r="H46" t="s">
        <v>647</v>
      </c>
    </row>
    <row r="47" spans="1:8" x14ac:dyDescent="0.2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  <c r="D47">
        <v>450</v>
      </c>
      <c r="H47" t="s">
        <v>648</v>
      </c>
    </row>
    <row r="48" spans="1:8" x14ac:dyDescent="0.2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  <c r="H48" t="s">
        <v>649</v>
      </c>
    </row>
    <row r="49" spans="1:8" x14ac:dyDescent="0.2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  <c r="D49">
        <v>140</v>
      </c>
      <c r="H49" t="s">
        <v>650</v>
      </c>
    </row>
    <row r="50" spans="1:8" x14ac:dyDescent="0.2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  <c r="H50" t="s">
        <v>651</v>
      </c>
    </row>
    <row r="51" spans="1:8" x14ac:dyDescent="0.2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  <c r="H51" t="s">
        <v>652</v>
      </c>
    </row>
    <row r="52" spans="1:8" x14ac:dyDescent="0.2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  <c r="H52" t="s">
        <v>653</v>
      </c>
    </row>
    <row r="53" spans="1:8" x14ac:dyDescent="0.2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  <c r="D53">
        <v>140</v>
      </c>
      <c r="H53" t="s">
        <v>654</v>
      </c>
    </row>
    <row r="54" spans="1:8" x14ac:dyDescent="0.2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  <c r="H54" t="s">
        <v>655</v>
      </c>
    </row>
    <row r="55" spans="1:8" x14ac:dyDescent="0.2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  <c r="D55">
        <v>79</v>
      </c>
      <c r="H55" t="s">
        <v>656</v>
      </c>
    </row>
    <row r="56" spans="1:8" x14ac:dyDescent="0.2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  <c r="D56">
        <v>140</v>
      </c>
      <c r="H56" t="s">
        <v>657</v>
      </c>
    </row>
    <row r="57" spans="1:8" x14ac:dyDescent="0.2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  <c r="D57">
        <v>65.400000000000006</v>
      </c>
      <c r="H57" t="s">
        <v>658</v>
      </c>
    </row>
    <row r="58" spans="1:8" x14ac:dyDescent="0.2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  <c r="H58" t="s">
        <v>659</v>
      </c>
    </row>
    <row r="59" spans="1:8" x14ac:dyDescent="0.2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  <c r="D59">
        <v>69</v>
      </c>
      <c r="H59" t="s">
        <v>660</v>
      </c>
    </row>
    <row r="60" spans="1:8" x14ac:dyDescent="0.2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  <c r="H60" t="s">
        <v>661</v>
      </c>
    </row>
    <row r="61" spans="1:8" x14ac:dyDescent="0.2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  <c r="H61" t="s">
        <v>662</v>
      </c>
    </row>
    <row r="62" spans="1:8" x14ac:dyDescent="0.2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  <c r="H62" t="s">
        <v>663</v>
      </c>
    </row>
    <row r="63" spans="1:8" x14ac:dyDescent="0.2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  <c r="H63" t="s">
        <v>664</v>
      </c>
    </row>
    <row r="64" spans="1:8" x14ac:dyDescent="0.2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  <c r="D64">
        <v>68.599999999999994</v>
      </c>
      <c r="H64" t="s">
        <v>665</v>
      </c>
    </row>
    <row r="65" spans="1:8" x14ac:dyDescent="0.2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  <c r="H65" t="s">
        <v>666</v>
      </c>
    </row>
    <row r="66" spans="1:8" x14ac:dyDescent="0.2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  <c r="H66" t="s">
        <v>667</v>
      </c>
    </row>
    <row r="67" spans="1:8" x14ac:dyDescent="0.2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  <c r="D67">
        <v>140</v>
      </c>
      <c r="H67" t="s">
        <v>668</v>
      </c>
    </row>
    <row r="68" spans="1:8" x14ac:dyDescent="0.2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  <c r="H68" t="s">
        <v>669</v>
      </c>
    </row>
    <row r="69" spans="1:8" x14ac:dyDescent="0.2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  <c r="D69">
        <v>61.1</v>
      </c>
      <c r="H69" t="s">
        <v>670</v>
      </c>
    </row>
    <row r="70" spans="1:8" x14ac:dyDescent="0.2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  <c r="H70" t="s">
        <v>671</v>
      </c>
    </row>
    <row r="71" spans="1:8" x14ac:dyDescent="0.2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  <c r="H71" t="s">
        <v>672</v>
      </c>
    </row>
    <row r="72" spans="1:8" x14ac:dyDescent="0.2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  <c r="D72">
        <v>63.2</v>
      </c>
      <c r="H72" t="s">
        <v>673</v>
      </c>
    </row>
    <row r="73" spans="1:8" x14ac:dyDescent="0.2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  <c r="H73" t="s">
        <v>674</v>
      </c>
    </row>
    <row r="74" spans="1:8" x14ac:dyDescent="0.2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  <c r="D74">
        <v>140</v>
      </c>
      <c r="H74" t="s">
        <v>675</v>
      </c>
    </row>
    <row r="75" spans="1:8" x14ac:dyDescent="0.2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  <c r="H75" t="s">
        <v>676</v>
      </c>
    </row>
    <row r="76" spans="1:8" x14ac:dyDescent="0.2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  <c r="H76" t="s">
        <v>677</v>
      </c>
    </row>
    <row r="77" spans="1:8" x14ac:dyDescent="0.2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  <c r="D77">
        <v>450</v>
      </c>
      <c r="H77" t="s">
        <v>678</v>
      </c>
    </row>
    <row r="78" spans="1:8" x14ac:dyDescent="0.2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  <c r="D78">
        <v>63.2</v>
      </c>
      <c r="H78" t="s">
        <v>679</v>
      </c>
    </row>
    <row r="79" spans="1:8" x14ac:dyDescent="0.2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  <c r="D79">
        <v>63.2</v>
      </c>
      <c r="H79" t="s">
        <v>680</v>
      </c>
    </row>
    <row r="80" spans="1:8" x14ac:dyDescent="0.2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  <c r="H80" t="s">
        <v>681</v>
      </c>
    </row>
    <row r="81" spans="1:8" x14ac:dyDescent="0.2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  <c r="H81" t="s">
        <v>682</v>
      </c>
    </row>
    <row r="82" spans="1:8" x14ac:dyDescent="0.2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  <c r="H82" t="s">
        <v>683</v>
      </c>
    </row>
    <row r="83" spans="1:8" x14ac:dyDescent="0.2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  <c r="D83">
        <v>450</v>
      </c>
      <c r="H83" t="s">
        <v>684</v>
      </c>
    </row>
    <row r="84" spans="1:8" x14ac:dyDescent="0.2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  <c r="H84" t="s">
        <v>685</v>
      </c>
    </row>
    <row r="85" spans="1:8" x14ac:dyDescent="0.2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  <c r="H85" t="s">
        <v>686</v>
      </c>
    </row>
    <row r="86" spans="1:8" x14ac:dyDescent="0.2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  <c r="D86">
        <v>135.5</v>
      </c>
      <c r="H86" t="s">
        <v>687</v>
      </c>
    </row>
    <row r="87" spans="1:8" x14ac:dyDescent="0.2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  <c r="D87">
        <v>140</v>
      </c>
      <c r="H87" t="s">
        <v>688</v>
      </c>
    </row>
    <row r="88" spans="1:8" x14ac:dyDescent="0.2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  <c r="H88" t="s">
        <v>689</v>
      </c>
    </row>
    <row r="89" spans="1:8" x14ac:dyDescent="0.2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  <c r="H89" t="s">
        <v>690</v>
      </c>
    </row>
    <row r="90" spans="1:8" x14ac:dyDescent="0.2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  <c r="D90" s="130">
        <v>60</v>
      </c>
      <c r="H90" t="s">
        <v>691</v>
      </c>
    </row>
    <row r="91" spans="1:8" x14ac:dyDescent="0.2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  <c r="D91">
        <v>60</v>
      </c>
      <c r="H91" t="s">
        <v>692</v>
      </c>
    </row>
    <row r="92" spans="1:8" x14ac:dyDescent="0.2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  <c r="D92">
        <v>60</v>
      </c>
      <c r="H92" t="s">
        <v>693</v>
      </c>
    </row>
    <row r="93" spans="1:8" x14ac:dyDescent="0.2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  <c r="D93">
        <v>300</v>
      </c>
      <c r="H93" t="s">
        <v>694</v>
      </c>
    </row>
    <row r="94" spans="1:8" x14ac:dyDescent="0.2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  <c r="H94" t="s">
        <v>695</v>
      </c>
    </row>
    <row r="95" spans="1:8" x14ac:dyDescent="0.2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  <c r="D95">
        <v>68.7</v>
      </c>
      <c r="H95" t="s">
        <v>696</v>
      </c>
    </row>
    <row r="96" spans="1:8" x14ac:dyDescent="0.2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  <c r="H96" t="s">
        <v>697</v>
      </c>
    </row>
    <row r="97" spans="1:8" x14ac:dyDescent="0.2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  <c r="D97">
        <v>450</v>
      </c>
      <c r="H97" t="s">
        <v>698</v>
      </c>
    </row>
    <row r="98" spans="1:8" x14ac:dyDescent="0.2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  <c r="H98" t="s">
        <v>699</v>
      </c>
    </row>
    <row r="99" spans="1:8" x14ac:dyDescent="0.2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  <c r="D99">
        <v>140</v>
      </c>
      <c r="H99" t="s">
        <v>700</v>
      </c>
    </row>
    <row r="100" spans="1:8" x14ac:dyDescent="0.2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  <c r="D100">
        <v>300</v>
      </c>
      <c r="H100" t="s">
        <v>701</v>
      </c>
    </row>
    <row r="101" spans="1:8" x14ac:dyDescent="0.2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  <c r="D101">
        <v>130</v>
      </c>
      <c r="H101" t="s">
        <v>702</v>
      </c>
    </row>
    <row r="102" spans="1:8" x14ac:dyDescent="0.2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  <c r="H102" t="s">
        <v>703</v>
      </c>
    </row>
    <row r="103" spans="1:8" x14ac:dyDescent="0.2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  <c r="H103" t="s">
        <v>704</v>
      </c>
    </row>
    <row r="104" spans="1:8" x14ac:dyDescent="0.2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  <c r="H104" t="s">
        <v>705</v>
      </c>
    </row>
    <row r="105" spans="1:8" x14ac:dyDescent="0.2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  <c r="H105" t="s">
        <v>706</v>
      </c>
    </row>
    <row r="106" spans="1:8" x14ac:dyDescent="0.2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  <c r="D106" s="130">
        <v>0</v>
      </c>
      <c r="H106" t="s">
        <v>707</v>
      </c>
    </row>
    <row r="107" spans="1:8" x14ac:dyDescent="0.2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  <c r="D107">
        <v>0</v>
      </c>
      <c r="H107" t="s">
        <v>708</v>
      </c>
    </row>
    <row r="108" spans="1:8" x14ac:dyDescent="0.2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  <c r="H108" t="s">
        <v>709</v>
      </c>
    </row>
    <row r="109" spans="1:8" x14ac:dyDescent="0.2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  <c r="D109">
        <v>66.7</v>
      </c>
      <c r="H109" t="s">
        <v>710</v>
      </c>
    </row>
    <row r="110" spans="1:8" x14ac:dyDescent="0.2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  <c r="H110" t="s">
        <v>711</v>
      </c>
    </row>
    <row r="111" spans="1:8" x14ac:dyDescent="0.2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  <c r="H111" t="s">
        <v>712</v>
      </c>
    </row>
    <row r="112" spans="1:8" x14ac:dyDescent="0.2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  <c r="H112" t="s">
        <v>713</v>
      </c>
    </row>
    <row r="113" spans="1:8" x14ac:dyDescent="0.2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  <c r="D113" s="130"/>
      <c r="H113" t="s">
        <v>714</v>
      </c>
    </row>
    <row r="114" spans="1:8" x14ac:dyDescent="0.2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  <c r="H114" t="s">
        <v>715</v>
      </c>
    </row>
    <row r="115" spans="1:8" x14ac:dyDescent="0.2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  <c r="H115" t="s">
        <v>716</v>
      </c>
    </row>
    <row r="116" spans="1:8" x14ac:dyDescent="0.2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  <c r="D116">
        <v>71</v>
      </c>
      <c r="H116" t="s">
        <v>717</v>
      </c>
    </row>
    <row r="117" spans="1:8" x14ac:dyDescent="0.2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  <c r="D117">
        <v>71.900000000000006</v>
      </c>
      <c r="H117" t="s">
        <v>718</v>
      </c>
    </row>
    <row r="118" spans="1:8" x14ac:dyDescent="0.2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  <c r="D118">
        <v>71.3</v>
      </c>
      <c r="H118" t="s">
        <v>719</v>
      </c>
    </row>
    <row r="119" spans="1:8" x14ac:dyDescent="0.2">
      <c r="A119" s="6"/>
      <c r="B119" s="6"/>
      <c r="C119" s="6"/>
      <c r="H119" t="s">
        <v>720</v>
      </c>
    </row>
    <row r="120" spans="1:8" x14ac:dyDescent="0.2">
      <c r="A120" s="6"/>
      <c r="B120" s="6"/>
      <c r="C120" s="6"/>
      <c r="H120" t="s">
        <v>721</v>
      </c>
    </row>
    <row r="121" spans="1:8" x14ac:dyDescent="0.2">
      <c r="A121" s="6"/>
      <c r="B121" s="6"/>
      <c r="C121" s="6"/>
      <c r="H121" t="s">
        <v>722</v>
      </c>
    </row>
    <row r="122" spans="1:8" x14ac:dyDescent="0.2">
      <c r="A122" s="6"/>
      <c r="B122" s="6"/>
      <c r="C122" s="6"/>
      <c r="H122" t="s">
        <v>723</v>
      </c>
    </row>
    <row r="123" spans="1:8" x14ac:dyDescent="0.2">
      <c r="A123" s="6"/>
      <c r="B123" s="6"/>
      <c r="C123" s="6"/>
      <c r="H123" t="s">
        <v>724</v>
      </c>
    </row>
    <row r="124" spans="1:8" x14ac:dyDescent="0.2">
      <c r="A124" s="6"/>
      <c r="B124" s="6"/>
      <c r="C124" s="6"/>
      <c r="H124" t="s">
        <v>725</v>
      </c>
    </row>
    <row r="125" spans="1:8" x14ac:dyDescent="0.2">
      <c r="A125" s="6"/>
      <c r="B125" s="6"/>
      <c r="C125" s="6"/>
      <c r="H125" t="s">
        <v>726</v>
      </c>
    </row>
    <row r="126" spans="1:8" x14ac:dyDescent="0.2">
      <c r="H126" t="s">
        <v>727</v>
      </c>
    </row>
    <row r="127" spans="1:8" x14ac:dyDescent="0.2">
      <c r="H127" t="s">
        <v>728</v>
      </c>
    </row>
    <row r="128" spans="1:8" x14ac:dyDescent="0.2">
      <c r="H128" t="s">
        <v>729</v>
      </c>
    </row>
    <row r="129" spans="8:8" x14ac:dyDescent="0.2">
      <c r="H129" t="s">
        <v>730</v>
      </c>
    </row>
    <row r="130" spans="8:8" x14ac:dyDescent="0.2">
      <c r="H130" t="s">
        <v>731</v>
      </c>
    </row>
    <row r="131" spans="8:8" x14ac:dyDescent="0.2">
      <c r="H131" t="s">
        <v>732</v>
      </c>
    </row>
    <row r="132" spans="8:8" x14ac:dyDescent="0.2">
      <c r="H132" t="s">
        <v>733</v>
      </c>
    </row>
    <row r="133" spans="8:8" x14ac:dyDescent="0.2">
      <c r="H133" t="s">
        <v>734</v>
      </c>
    </row>
    <row r="134" spans="8:8" x14ac:dyDescent="0.2">
      <c r="H134" t="s">
        <v>735</v>
      </c>
    </row>
    <row r="135" spans="8:8" x14ac:dyDescent="0.2">
      <c r="H135" t="s">
        <v>736</v>
      </c>
    </row>
    <row r="136" spans="8:8" x14ac:dyDescent="0.2">
      <c r="H136" t="s">
        <v>737</v>
      </c>
    </row>
    <row r="137" spans="8:8" x14ac:dyDescent="0.2">
      <c r="H137" t="s">
        <v>738</v>
      </c>
    </row>
    <row r="138" spans="8:8" x14ac:dyDescent="0.2">
      <c r="H138" t="s">
        <v>739</v>
      </c>
    </row>
    <row r="139" spans="8:8" x14ac:dyDescent="0.2">
      <c r="H139" t="s">
        <v>740</v>
      </c>
    </row>
    <row r="140" spans="8:8" x14ac:dyDescent="0.2">
      <c r="H140" t="s">
        <v>741</v>
      </c>
    </row>
    <row r="141" spans="8:8" x14ac:dyDescent="0.2">
      <c r="H141" t="s">
        <v>742</v>
      </c>
    </row>
    <row r="142" spans="8:8" x14ac:dyDescent="0.2">
      <c r="H142" t="s">
        <v>743</v>
      </c>
    </row>
    <row r="143" spans="8:8" x14ac:dyDescent="0.2">
      <c r="H143" t="s">
        <v>744</v>
      </c>
    </row>
    <row r="144" spans="8:8" x14ac:dyDescent="0.2">
      <c r="H144" t="s">
        <v>745</v>
      </c>
    </row>
    <row r="145" spans="8:8" x14ac:dyDescent="0.2">
      <c r="H145" t="s">
        <v>746</v>
      </c>
    </row>
    <row r="146" spans="8:8" x14ac:dyDescent="0.2">
      <c r="H146" t="s">
        <v>747</v>
      </c>
    </row>
    <row r="147" spans="8:8" x14ac:dyDescent="0.2">
      <c r="H147" t="s">
        <v>748</v>
      </c>
    </row>
    <row r="148" spans="8:8" x14ac:dyDescent="0.2">
      <c r="H148" t="s">
        <v>749</v>
      </c>
    </row>
    <row r="149" spans="8:8" x14ac:dyDescent="0.2">
      <c r="H149" t="s">
        <v>750</v>
      </c>
    </row>
    <row r="150" spans="8:8" x14ac:dyDescent="0.2">
      <c r="H150" t="s">
        <v>751</v>
      </c>
    </row>
    <row r="151" spans="8:8" x14ac:dyDescent="0.2">
      <c r="H151" t="s">
        <v>752</v>
      </c>
    </row>
    <row r="152" spans="8:8" x14ac:dyDescent="0.2">
      <c r="H152" t="s">
        <v>753</v>
      </c>
    </row>
    <row r="153" spans="8:8" x14ac:dyDescent="0.2">
      <c r="H153" t="s">
        <v>754</v>
      </c>
    </row>
    <row r="154" spans="8:8" x14ac:dyDescent="0.2">
      <c r="H154" t="s">
        <v>755</v>
      </c>
    </row>
    <row r="155" spans="8:8" x14ac:dyDescent="0.2">
      <c r="H155" t="s">
        <v>756</v>
      </c>
    </row>
    <row r="156" spans="8:8" x14ac:dyDescent="0.2">
      <c r="H156" t="s">
        <v>757</v>
      </c>
    </row>
    <row r="157" spans="8:8" x14ac:dyDescent="0.2">
      <c r="H157" t="s">
        <v>758</v>
      </c>
    </row>
    <row r="158" spans="8:8" x14ac:dyDescent="0.2">
      <c r="H158" t="s">
        <v>759</v>
      </c>
    </row>
    <row r="159" spans="8:8" x14ac:dyDescent="0.2">
      <c r="H159" t="s">
        <v>760</v>
      </c>
    </row>
    <row r="160" spans="8:8" x14ac:dyDescent="0.2">
      <c r="H160" t="s">
        <v>761</v>
      </c>
    </row>
    <row r="161" spans="8:8" x14ac:dyDescent="0.2">
      <c r="H161" t="s">
        <v>762</v>
      </c>
    </row>
    <row r="162" spans="8:8" x14ac:dyDescent="0.2">
      <c r="H162" t="s">
        <v>763</v>
      </c>
    </row>
    <row r="163" spans="8:8" x14ac:dyDescent="0.2">
      <c r="H163" t="s">
        <v>764</v>
      </c>
    </row>
    <row r="164" spans="8:8" x14ac:dyDescent="0.2">
      <c r="H164" t="s">
        <v>765</v>
      </c>
    </row>
    <row r="165" spans="8:8" x14ac:dyDescent="0.2">
      <c r="H165" t="s">
        <v>766</v>
      </c>
    </row>
    <row r="166" spans="8:8" x14ac:dyDescent="0.2">
      <c r="H166" t="s">
        <v>767</v>
      </c>
    </row>
    <row r="167" spans="8:8" x14ac:dyDescent="0.2">
      <c r="H167" t="s">
        <v>768</v>
      </c>
    </row>
    <row r="168" spans="8:8" x14ac:dyDescent="0.2">
      <c r="H168" t="s">
        <v>769</v>
      </c>
    </row>
    <row r="169" spans="8:8" x14ac:dyDescent="0.2">
      <c r="H169" t="s">
        <v>770</v>
      </c>
    </row>
    <row r="170" spans="8:8" x14ac:dyDescent="0.2">
      <c r="H170" t="s">
        <v>771</v>
      </c>
    </row>
    <row r="171" spans="8:8" x14ac:dyDescent="0.2">
      <c r="H171" t="s">
        <v>772</v>
      </c>
    </row>
    <row r="172" spans="8:8" x14ac:dyDescent="0.2">
      <c r="H172" t="s">
        <v>773</v>
      </c>
    </row>
    <row r="173" spans="8:8" x14ac:dyDescent="0.2">
      <c r="H173" t="s">
        <v>774</v>
      </c>
    </row>
    <row r="174" spans="8:8" x14ac:dyDescent="0.2">
      <c r="H174" t="s">
        <v>775</v>
      </c>
    </row>
    <row r="175" spans="8:8" x14ac:dyDescent="0.2">
      <c r="H175" t="s">
        <v>776</v>
      </c>
    </row>
    <row r="176" spans="8:8" x14ac:dyDescent="0.2">
      <c r="H176" t="s">
        <v>777</v>
      </c>
    </row>
    <row r="177" spans="8:8" x14ac:dyDescent="0.2">
      <c r="H177" t="s">
        <v>778</v>
      </c>
    </row>
    <row r="178" spans="8:8" x14ac:dyDescent="0.2">
      <c r="H178" t="s">
        <v>779</v>
      </c>
    </row>
    <row r="179" spans="8:8" x14ac:dyDescent="0.2">
      <c r="H179" t="s">
        <v>780</v>
      </c>
    </row>
    <row r="180" spans="8:8" x14ac:dyDescent="0.2">
      <c r="H180" t="s">
        <v>781</v>
      </c>
    </row>
    <row r="181" spans="8:8" x14ac:dyDescent="0.2">
      <c r="H181" t="s">
        <v>782</v>
      </c>
    </row>
    <row r="182" spans="8:8" x14ac:dyDescent="0.2">
      <c r="H182" t="s">
        <v>783</v>
      </c>
    </row>
    <row r="183" spans="8:8" x14ac:dyDescent="0.2">
      <c r="H183" t="s">
        <v>784</v>
      </c>
    </row>
    <row r="184" spans="8:8" x14ac:dyDescent="0.2">
      <c r="H184" t="s">
        <v>785</v>
      </c>
    </row>
    <row r="185" spans="8:8" x14ac:dyDescent="0.2">
      <c r="H185" t="s">
        <v>786</v>
      </c>
    </row>
    <row r="186" spans="8:8" x14ac:dyDescent="0.2">
      <c r="H186" t="s">
        <v>787</v>
      </c>
    </row>
    <row r="187" spans="8:8" x14ac:dyDescent="0.2">
      <c r="H187" t="s">
        <v>788</v>
      </c>
    </row>
    <row r="188" spans="8:8" x14ac:dyDescent="0.2">
      <c r="H188" t="s">
        <v>789</v>
      </c>
    </row>
    <row r="189" spans="8:8" x14ac:dyDescent="0.2">
      <c r="H189" t="s">
        <v>790</v>
      </c>
    </row>
    <row r="190" spans="8:8" x14ac:dyDescent="0.2">
      <c r="H190" t="s">
        <v>791</v>
      </c>
    </row>
    <row r="191" spans="8:8" x14ac:dyDescent="0.2">
      <c r="H191" t="s">
        <v>792</v>
      </c>
    </row>
    <row r="192" spans="8:8" x14ac:dyDescent="0.2">
      <c r="H192" t="s">
        <v>793</v>
      </c>
    </row>
    <row r="193" spans="8:8" x14ac:dyDescent="0.2">
      <c r="H193" t="s">
        <v>794</v>
      </c>
    </row>
    <row r="194" spans="8:8" x14ac:dyDescent="0.2">
      <c r="H194" t="s">
        <v>795</v>
      </c>
    </row>
    <row r="195" spans="8:8" x14ac:dyDescent="0.2">
      <c r="H195" t="s">
        <v>796</v>
      </c>
    </row>
    <row r="196" spans="8:8" x14ac:dyDescent="0.2">
      <c r="H196" t="s">
        <v>797</v>
      </c>
    </row>
    <row r="197" spans="8:8" x14ac:dyDescent="0.2">
      <c r="H197" t="s">
        <v>798</v>
      </c>
    </row>
    <row r="198" spans="8:8" x14ac:dyDescent="0.2">
      <c r="H198" t="s">
        <v>799</v>
      </c>
    </row>
    <row r="199" spans="8:8" x14ac:dyDescent="0.2">
      <c r="H199" t="s">
        <v>800</v>
      </c>
    </row>
    <row r="200" spans="8:8" x14ac:dyDescent="0.2">
      <c r="H200" t="s">
        <v>801</v>
      </c>
    </row>
    <row r="201" spans="8:8" x14ac:dyDescent="0.2">
      <c r="H201" t="s">
        <v>802</v>
      </c>
    </row>
    <row r="202" spans="8:8" x14ac:dyDescent="0.2">
      <c r="H202" t="s">
        <v>803</v>
      </c>
    </row>
    <row r="203" spans="8:8" x14ac:dyDescent="0.2">
      <c r="H203" t="s">
        <v>804</v>
      </c>
    </row>
    <row r="204" spans="8:8" x14ac:dyDescent="0.2">
      <c r="H204" t="s">
        <v>805</v>
      </c>
    </row>
    <row r="205" spans="8:8" x14ac:dyDescent="0.2">
      <c r="H205" t="s">
        <v>806</v>
      </c>
    </row>
    <row r="206" spans="8:8" x14ac:dyDescent="0.2">
      <c r="H206" t="s">
        <v>807</v>
      </c>
    </row>
    <row r="207" spans="8:8" x14ac:dyDescent="0.2">
      <c r="H207" t="s">
        <v>808</v>
      </c>
    </row>
    <row r="208" spans="8:8" x14ac:dyDescent="0.2">
      <c r="H208" t="s">
        <v>809</v>
      </c>
    </row>
    <row r="209" spans="8:8" x14ac:dyDescent="0.2">
      <c r="H209" t="s">
        <v>810</v>
      </c>
    </row>
    <row r="210" spans="8:8" x14ac:dyDescent="0.2">
      <c r="H210" t="s">
        <v>811</v>
      </c>
    </row>
    <row r="211" spans="8:8" x14ac:dyDescent="0.2">
      <c r="H211" t="s">
        <v>812</v>
      </c>
    </row>
    <row r="212" spans="8:8" x14ac:dyDescent="0.2">
      <c r="H212" t="s">
        <v>813</v>
      </c>
    </row>
    <row r="213" spans="8:8" x14ac:dyDescent="0.2">
      <c r="H213" t="s">
        <v>814</v>
      </c>
    </row>
    <row r="214" spans="8:8" x14ac:dyDescent="0.2">
      <c r="H214" t="s">
        <v>815</v>
      </c>
    </row>
    <row r="215" spans="8:8" x14ac:dyDescent="0.2">
      <c r="H215" t="s">
        <v>816</v>
      </c>
    </row>
    <row r="216" spans="8:8" x14ac:dyDescent="0.2">
      <c r="H216" t="s">
        <v>817</v>
      </c>
    </row>
    <row r="217" spans="8:8" x14ac:dyDescent="0.2">
      <c r="H217" t="s">
        <v>818</v>
      </c>
    </row>
    <row r="218" spans="8:8" x14ac:dyDescent="0.2">
      <c r="H218" t="s">
        <v>819</v>
      </c>
    </row>
    <row r="219" spans="8:8" x14ac:dyDescent="0.2">
      <c r="H219" t="s">
        <v>820</v>
      </c>
    </row>
    <row r="220" spans="8:8" x14ac:dyDescent="0.2">
      <c r="H220" t="s">
        <v>821</v>
      </c>
    </row>
    <row r="221" spans="8:8" x14ac:dyDescent="0.2">
      <c r="H221" t="s">
        <v>822</v>
      </c>
    </row>
    <row r="222" spans="8:8" x14ac:dyDescent="0.2">
      <c r="H222" t="s">
        <v>823</v>
      </c>
    </row>
    <row r="223" spans="8:8" x14ac:dyDescent="0.2">
      <c r="H223" t="s">
        <v>824</v>
      </c>
    </row>
    <row r="224" spans="8:8" x14ac:dyDescent="0.2">
      <c r="H224" t="s">
        <v>825</v>
      </c>
    </row>
    <row r="225" spans="8:8" x14ac:dyDescent="0.2">
      <c r="H225" t="s">
        <v>826</v>
      </c>
    </row>
    <row r="226" spans="8:8" x14ac:dyDescent="0.2">
      <c r="H226" t="s">
        <v>827</v>
      </c>
    </row>
    <row r="227" spans="8:8" x14ac:dyDescent="0.2">
      <c r="H227" t="s">
        <v>828</v>
      </c>
    </row>
    <row r="228" spans="8:8" x14ac:dyDescent="0.2">
      <c r="H228" t="s">
        <v>829</v>
      </c>
    </row>
    <row r="229" spans="8:8" x14ac:dyDescent="0.2">
      <c r="H229" t="s">
        <v>830</v>
      </c>
    </row>
    <row r="230" spans="8:8" x14ac:dyDescent="0.2">
      <c r="H230" t="s">
        <v>831</v>
      </c>
    </row>
    <row r="231" spans="8:8" x14ac:dyDescent="0.2">
      <c r="H231" t="s">
        <v>832</v>
      </c>
    </row>
    <row r="232" spans="8:8" x14ac:dyDescent="0.2">
      <c r="H232" t="s">
        <v>833</v>
      </c>
    </row>
    <row r="233" spans="8:8" x14ac:dyDescent="0.2">
      <c r="H233" t="s">
        <v>834</v>
      </c>
    </row>
    <row r="234" spans="8:8" x14ac:dyDescent="0.2">
      <c r="H234" t="s">
        <v>835</v>
      </c>
    </row>
    <row r="235" spans="8:8" x14ac:dyDescent="0.2">
      <c r="H235" t="s">
        <v>836</v>
      </c>
    </row>
    <row r="236" spans="8:8" x14ac:dyDescent="0.2">
      <c r="H236" t="s">
        <v>837</v>
      </c>
    </row>
    <row r="237" spans="8:8" x14ac:dyDescent="0.2">
      <c r="H237" t="s">
        <v>838</v>
      </c>
    </row>
    <row r="238" spans="8:8" x14ac:dyDescent="0.2">
      <c r="H238" t="s">
        <v>839</v>
      </c>
    </row>
    <row r="239" spans="8:8" x14ac:dyDescent="0.2">
      <c r="H239" t="s">
        <v>840</v>
      </c>
    </row>
    <row r="240" spans="8:8" x14ac:dyDescent="0.2">
      <c r="H240" t="s">
        <v>841</v>
      </c>
    </row>
    <row r="241" spans="8:8" x14ac:dyDescent="0.2">
      <c r="H241" t="s">
        <v>842</v>
      </c>
    </row>
    <row r="242" spans="8:8" x14ac:dyDescent="0.2">
      <c r="H242" t="s">
        <v>843</v>
      </c>
    </row>
    <row r="243" spans="8:8" x14ac:dyDescent="0.2">
      <c r="H243" t="s">
        <v>844</v>
      </c>
    </row>
    <row r="244" spans="8:8" x14ac:dyDescent="0.2">
      <c r="H244" t="s">
        <v>845</v>
      </c>
    </row>
    <row r="245" spans="8:8" x14ac:dyDescent="0.2">
      <c r="H245" t="s">
        <v>846</v>
      </c>
    </row>
    <row r="246" spans="8:8" x14ac:dyDescent="0.2">
      <c r="H246" t="s">
        <v>847</v>
      </c>
    </row>
    <row r="247" spans="8:8" x14ac:dyDescent="0.2">
      <c r="H247" t="s">
        <v>848</v>
      </c>
    </row>
    <row r="248" spans="8:8" x14ac:dyDescent="0.2">
      <c r="H248" t="s">
        <v>849</v>
      </c>
    </row>
    <row r="249" spans="8:8" x14ac:dyDescent="0.2">
      <c r="H249" t="s">
        <v>850</v>
      </c>
    </row>
    <row r="250" spans="8:8" x14ac:dyDescent="0.2">
      <c r="H250" t="s">
        <v>851</v>
      </c>
    </row>
    <row r="251" spans="8:8" x14ac:dyDescent="0.2">
      <c r="H251" t="s">
        <v>852</v>
      </c>
    </row>
    <row r="252" spans="8:8" x14ac:dyDescent="0.2">
      <c r="H252" t="s">
        <v>853</v>
      </c>
    </row>
    <row r="253" spans="8:8" x14ac:dyDescent="0.2">
      <c r="H253" t="s">
        <v>854</v>
      </c>
    </row>
    <row r="254" spans="8:8" x14ac:dyDescent="0.2">
      <c r="H254" t="s">
        <v>855</v>
      </c>
    </row>
    <row r="255" spans="8:8" x14ac:dyDescent="0.2">
      <c r="H255" t="s">
        <v>856</v>
      </c>
    </row>
    <row r="256" spans="8:8" x14ac:dyDescent="0.2">
      <c r="H256" t="s">
        <v>857</v>
      </c>
    </row>
    <row r="257" spans="8:8" x14ac:dyDescent="0.2">
      <c r="H257" t="s">
        <v>858</v>
      </c>
    </row>
    <row r="258" spans="8:8" x14ac:dyDescent="0.2">
      <c r="H258" t="s">
        <v>859</v>
      </c>
    </row>
    <row r="259" spans="8:8" x14ac:dyDescent="0.2">
      <c r="H259" t="s">
        <v>860</v>
      </c>
    </row>
    <row r="260" spans="8:8" x14ac:dyDescent="0.2">
      <c r="H260" t="s">
        <v>861</v>
      </c>
    </row>
    <row r="261" spans="8:8" x14ac:dyDescent="0.2">
      <c r="H261" t="s">
        <v>862</v>
      </c>
    </row>
    <row r="262" spans="8:8" x14ac:dyDescent="0.2">
      <c r="H262" t="s">
        <v>863</v>
      </c>
    </row>
    <row r="263" spans="8:8" x14ac:dyDescent="0.2">
      <c r="H263" t="s">
        <v>864</v>
      </c>
    </row>
    <row r="264" spans="8:8" x14ac:dyDescent="0.2">
      <c r="H264" t="s">
        <v>865</v>
      </c>
    </row>
    <row r="265" spans="8:8" x14ac:dyDescent="0.2">
      <c r="H265" t="s">
        <v>866</v>
      </c>
    </row>
    <row r="266" spans="8:8" x14ac:dyDescent="0.2">
      <c r="H266" t="s">
        <v>867</v>
      </c>
    </row>
    <row r="267" spans="8:8" x14ac:dyDescent="0.2">
      <c r="H267" t="s">
        <v>868</v>
      </c>
    </row>
    <row r="268" spans="8:8" x14ac:dyDescent="0.2">
      <c r="H268" t="s">
        <v>869</v>
      </c>
    </row>
    <row r="269" spans="8:8" x14ac:dyDescent="0.2">
      <c r="H269" t="s">
        <v>870</v>
      </c>
    </row>
    <row r="270" spans="8:8" x14ac:dyDescent="0.2">
      <c r="H270" t="s">
        <v>871</v>
      </c>
    </row>
    <row r="271" spans="8:8" x14ac:dyDescent="0.2">
      <c r="H271" t="s">
        <v>872</v>
      </c>
    </row>
    <row r="272" spans="8:8" x14ac:dyDescent="0.2">
      <c r="H272" t="s">
        <v>873</v>
      </c>
    </row>
    <row r="273" spans="8:8" x14ac:dyDescent="0.2">
      <c r="H273" t="s">
        <v>874</v>
      </c>
    </row>
    <row r="274" spans="8:8" x14ac:dyDescent="0.2">
      <c r="H274" t="s">
        <v>875</v>
      </c>
    </row>
    <row r="275" spans="8:8" x14ac:dyDescent="0.2">
      <c r="H275" t="s">
        <v>876</v>
      </c>
    </row>
    <row r="276" spans="8:8" x14ac:dyDescent="0.2">
      <c r="H276" t="s">
        <v>877</v>
      </c>
    </row>
    <row r="277" spans="8:8" x14ac:dyDescent="0.2">
      <c r="H277" t="s">
        <v>878</v>
      </c>
    </row>
    <row r="278" spans="8:8" x14ac:dyDescent="0.2">
      <c r="H278" t="s">
        <v>879</v>
      </c>
    </row>
    <row r="279" spans="8:8" x14ac:dyDescent="0.2">
      <c r="H279" t="s">
        <v>880</v>
      </c>
    </row>
    <row r="280" spans="8:8" x14ac:dyDescent="0.2">
      <c r="H280" t="s">
        <v>881</v>
      </c>
    </row>
    <row r="281" spans="8:8" x14ac:dyDescent="0.2">
      <c r="H281" t="s">
        <v>882</v>
      </c>
    </row>
    <row r="282" spans="8:8" x14ac:dyDescent="0.2">
      <c r="H282" t="s">
        <v>883</v>
      </c>
    </row>
    <row r="283" spans="8:8" x14ac:dyDescent="0.2">
      <c r="H283" t="s">
        <v>884</v>
      </c>
    </row>
    <row r="284" spans="8:8" x14ac:dyDescent="0.2">
      <c r="H284" t="s">
        <v>885</v>
      </c>
    </row>
    <row r="285" spans="8:8" x14ac:dyDescent="0.2">
      <c r="H285" t="s">
        <v>886</v>
      </c>
    </row>
    <row r="286" spans="8:8" x14ac:dyDescent="0.2">
      <c r="H286" t="s">
        <v>887</v>
      </c>
    </row>
    <row r="287" spans="8:8" x14ac:dyDescent="0.2">
      <c r="H287" t="s">
        <v>888</v>
      </c>
    </row>
    <row r="288" spans="8:8" x14ac:dyDescent="0.2">
      <c r="H288" t="s">
        <v>889</v>
      </c>
    </row>
    <row r="289" spans="8:8" x14ac:dyDescent="0.2">
      <c r="H289" t="s">
        <v>890</v>
      </c>
    </row>
    <row r="290" spans="8:8" x14ac:dyDescent="0.2">
      <c r="H290" t="s">
        <v>891</v>
      </c>
    </row>
    <row r="291" spans="8:8" x14ac:dyDescent="0.2">
      <c r="H291" t="s">
        <v>892</v>
      </c>
    </row>
    <row r="292" spans="8:8" x14ac:dyDescent="0.2">
      <c r="H292" t="s">
        <v>893</v>
      </c>
    </row>
    <row r="293" spans="8:8" x14ac:dyDescent="0.2">
      <c r="H293" t="s">
        <v>894</v>
      </c>
    </row>
    <row r="294" spans="8:8" x14ac:dyDescent="0.2">
      <c r="H294" t="s">
        <v>895</v>
      </c>
    </row>
    <row r="295" spans="8:8" x14ac:dyDescent="0.2">
      <c r="H295" t="s">
        <v>896</v>
      </c>
    </row>
    <row r="296" spans="8:8" x14ac:dyDescent="0.2">
      <c r="H296" t="s">
        <v>897</v>
      </c>
    </row>
    <row r="297" spans="8:8" x14ac:dyDescent="0.2">
      <c r="H297" t="s">
        <v>898</v>
      </c>
    </row>
    <row r="298" spans="8:8" x14ac:dyDescent="0.2">
      <c r="H298" t="s">
        <v>899</v>
      </c>
    </row>
    <row r="299" spans="8:8" x14ac:dyDescent="0.2">
      <c r="H299" t="s">
        <v>900</v>
      </c>
    </row>
    <row r="300" spans="8:8" x14ac:dyDescent="0.2">
      <c r="H300" t="s">
        <v>901</v>
      </c>
    </row>
    <row r="301" spans="8:8" x14ac:dyDescent="0.2">
      <c r="H301" t="s">
        <v>902</v>
      </c>
    </row>
    <row r="302" spans="8:8" x14ac:dyDescent="0.2">
      <c r="H302" t="s">
        <v>903</v>
      </c>
    </row>
    <row r="303" spans="8:8" x14ac:dyDescent="0.2">
      <c r="H303" t="s">
        <v>904</v>
      </c>
    </row>
    <row r="304" spans="8:8" x14ac:dyDescent="0.2">
      <c r="H304" t="s">
        <v>905</v>
      </c>
    </row>
    <row r="305" spans="8:8" x14ac:dyDescent="0.2">
      <c r="H305" t="s">
        <v>906</v>
      </c>
    </row>
    <row r="306" spans="8:8" x14ac:dyDescent="0.2">
      <c r="H306" t="s">
        <v>907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B998-2F5C-4C71-B984-97BD676EE52B}">
  <dimension ref="A2:A4"/>
  <sheetViews>
    <sheetView workbookViewId="0">
      <selection activeCell="E12" sqref="E12"/>
    </sheetView>
  </sheetViews>
  <sheetFormatPr baseColWidth="10" defaultColWidth="8.83203125" defaultRowHeight="15" x14ac:dyDescent="0.2"/>
  <sheetData>
    <row r="2" spans="1:1" x14ac:dyDescent="0.2">
      <c r="A2" t="s">
        <v>920</v>
      </c>
    </row>
    <row r="3" spans="1:1" x14ac:dyDescent="0.2">
      <c r="A3" t="s">
        <v>923</v>
      </c>
    </row>
    <row r="4" spans="1:1" x14ac:dyDescent="0.2">
      <c r="A4" t="s">
        <v>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F5B9-CAC8-4DC5-A764-7E637762D98A}">
  <dimension ref="A1"/>
  <sheetViews>
    <sheetView workbookViewId="0">
      <selection activeCell="E32" sqref="E32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04FA-DA0F-4F9A-9DA6-D6312150C777}">
  <dimension ref="A2:E13"/>
  <sheetViews>
    <sheetView workbookViewId="0">
      <selection activeCell="A16" sqref="A16"/>
    </sheetView>
  </sheetViews>
  <sheetFormatPr baseColWidth="10" defaultColWidth="8.83203125" defaultRowHeight="15" x14ac:dyDescent="0.2"/>
  <sheetData>
    <row r="2" spans="1:5" x14ac:dyDescent="0.2">
      <c r="E2" t="s">
        <v>361</v>
      </c>
    </row>
    <row r="3" spans="1:5" x14ac:dyDescent="0.2">
      <c r="A3" t="s">
        <v>362</v>
      </c>
    </row>
    <row r="4" spans="1:5" x14ac:dyDescent="0.2">
      <c r="A4" t="s">
        <v>363</v>
      </c>
    </row>
    <row r="8" spans="1:5" x14ac:dyDescent="0.2">
      <c r="A8" t="s">
        <v>364</v>
      </c>
    </row>
    <row r="12" spans="1:5" x14ac:dyDescent="0.2">
      <c r="A12" t="s">
        <v>365</v>
      </c>
    </row>
    <row r="13" spans="1:5" x14ac:dyDescent="0.2">
      <c r="A13" t="s">
        <v>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ABFE-7365-411D-B0EE-3FFE07F00260}">
  <dimension ref="A1:A3"/>
  <sheetViews>
    <sheetView workbookViewId="0">
      <selection activeCell="E28" sqref="E28"/>
    </sheetView>
  </sheetViews>
  <sheetFormatPr baseColWidth="10" defaultColWidth="8.83203125" defaultRowHeight="15" x14ac:dyDescent="0.2"/>
  <sheetData>
    <row r="1" spans="1:1" x14ac:dyDescent="0.2">
      <c r="A1" t="s">
        <v>360</v>
      </c>
    </row>
    <row r="3" spans="1:1" x14ac:dyDescent="0.2">
      <c r="A3" t="s">
        <v>367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FBC4-8051-447A-9AF4-33F051A47A93}">
  <sheetPr>
    <tabColor theme="4" tint="0.39997558519241921"/>
  </sheetPr>
  <dimension ref="A2:O229"/>
  <sheetViews>
    <sheetView topLeftCell="A2" zoomScale="80" zoomScaleNormal="80" workbookViewId="0">
      <selection activeCell="C6" sqref="C6:C32"/>
    </sheetView>
  </sheetViews>
  <sheetFormatPr baseColWidth="10" defaultColWidth="8.6640625" defaultRowHeight="15" x14ac:dyDescent="0.2"/>
  <cols>
    <col min="2" max="2" width="22.33203125" style="1" customWidth="1"/>
    <col min="3" max="3" width="17.6640625" style="1" customWidth="1"/>
    <col min="4" max="4" width="9.5" style="1" customWidth="1"/>
    <col min="5" max="5" width="6.33203125" customWidth="1"/>
    <col min="6" max="6" width="12.6640625" style="9" customWidth="1"/>
    <col min="7" max="9" width="12.6640625" customWidth="1"/>
    <col min="10" max="10" width="12.6640625" style="1" customWidth="1"/>
    <col min="11" max="15" width="30.6640625" customWidth="1"/>
  </cols>
  <sheetData>
    <row r="2" spans="1:15" ht="21" x14ac:dyDescent="0.2">
      <c r="A2" s="65" t="s">
        <v>347</v>
      </c>
      <c r="E2" s="4"/>
      <c r="F2" s="8"/>
      <c r="G2" s="4"/>
      <c r="H2" s="29"/>
      <c r="I2" s="29"/>
      <c r="J2" s="97"/>
      <c r="L2" s="3"/>
    </row>
    <row r="3" spans="1:15" x14ac:dyDescent="0.2">
      <c r="A3" s="66"/>
      <c r="B3" s="11"/>
      <c r="C3" s="11"/>
      <c r="D3" s="11"/>
      <c r="E3" s="11"/>
      <c r="F3" s="11"/>
      <c r="G3" s="11"/>
      <c r="H3" s="11"/>
      <c r="I3" s="11"/>
      <c r="J3" s="104"/>
    </row>
    <row r="4" spans="1:15" x14ac:dyDescent="0.2">
      <c r="A4" s="67" t="s">
        <v>1</v>
      </c>
      <c r="B4" s="34"/>
      <c r="C4" s="34"/>
      <c r="D4" s="34"/>
      <c r="E4" s="35"/>
      <c r="F4" s="36" t="s">
        <v>121</v>
      </c>
      <c r="G4" s="35"/>
      <c r="H4" s="37"/>
      <c r="I4" s="38" t="s">
        <v>122</v>
      </c>
      <c r="J4" s="113" t="s">
        <v>2</v>
      </c>
      <c r="K4" s="39" t="s">
        <v>121</v>
      </c>
      <c r="L4" s="40"/>
      <c r="M4" s="41"/>
      <c r="N4" s="42" t="s">
        <v>122</v>
      </c>
      <c r="O4" s="43" t="s">
        <v>2</v>
      </c>
    </row>
    <row r="5" spans="1:15" s="7" customFormat="1" ht="51.5" customHeight="1" x14ac:dyDescent="0.2">
      <c r="A5" s="102" t="s">
        <v>3</v>
      </c>
      <c r="B5" s="44" t="s">
        <v>4</v>
      </c>
      <c r="C5" s="44" t="s">
        <v>5</v>
      </c>
      <c r="D5" s="44" t="s">
        <v>6</v>
      </c>
      <c r="E5" s="103" t="s">
        <v>7</v>
      </c>
      <c r="F5" s="45" t="s">
        <v>342</v>
      </c>
      <c r="G5" s="46" t="s">
        <v>123</v>
      </c>
      <c r="H5" s="46" t="s">
        <v>343</v>
      </c>
      <c r="I5" s="46" t="s">
        <v>124</v>
      </c>
      <c r="J5" s="114" t="s">
        <v>125</v>
      </c>
      <c r="K5" s="47" t="s">
        <v>344</v>
      </c>
      <c r="L5" s="48" t="s">
        <v>123</v>
      </c>
      <c r="M5" s="48" t="s">
        <v>345</v>
      </c>
      <c r="N5" s="48" t="s">
        <v>124</v>
      </c>
      <c r="O5" s="49" t="s">
        <v>341</v>
      </c>
    </row>
    <row r="6" spans="1:15" ht="15" customHeight="1" x14ac:dyDescent="0.2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  <c r="D6" s="1" t="s">
        <v>348</v>
      </c>
      <c r="E6" s="1"/>
      <c r="F6" s="33"/>
      <c r="G6" s="32"/>
      <c r="H6" s="33"/>
      <c r="I6" s="1"/>
      <c r="O6" s="2"/>
    </row>
    <row r="7" spans="1:15" ht="15" customHeight="1" x14ac:dyDescent="0.2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  <c r="D7" s="1" t="s">
        <v>348</v>
      </c>
      <c r="E7" s="1"/>
      <c r="F7" s="33"/>
      <c r="G7" s="32"/>
      <c r="H7" s="33"/>
      <c r="I7" s="1"/>
      <c r="O7" s="2"/>
    </row>
    <row r="8" spans="1:15" ht="15" customHeight="1" x14ac:dyDescent="0.2">
      <c r="A8" s="6" t="str">
        <f>Defaults!A8</f>
        <v>01341</v>
      </c>
      <c r="B8" s="6" t="str">
        <f>Defaults!B8</f>
        <v>Apples</v>
      </c>
      <c r="C8" s="6" t="str">
        <f>Defaults!C8</f>
        <v>Fruits</v>
      </c>
      <c r="D8" s="1" t="s">
        <v>349</v>
      </c>
      <c r="E8" s="50"/>
      <c r="F8" s="51"/>
      <c r="G8" s="52"/>
      <c r="H8" s="68"/>
      <c r="I8" s="92">
        <f>Defaults!F8</f>
        <v>450</v>
      </c>
      <c r="J8" s="117">
        <v>10.56</v>
      </c>
      <c r="K8" s="12" t="s">
        <v>132</v>
      </c>
      <c r="L8" s="12"/>
      <c r="M8" s="12" t="s">
        <v>132</v>
      </c>
      <c r="N8" s="53"/>
      <c r="O8" s="54"/>
    </row>
    <row r="9" spans="1:15" ht="15" customHeight="1" x14ac:dyDescent="0.2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  <c r="D9" s="1" t="s">
        <v>348</v>
      </c>
      <c r="E9" s="1"/>
      <c r="F9" s="33"/>
      <c r="G9" s="32"/>
      <c r="H9" s="33"/>
      <c r="I9" s="1"/>
      <c r="N9" s="55"/>
      <c r="O9" s="2"/>
    </row>
    <row r="10" spans="1:15" ht="15" customHeight="1" x14ac:dyDescent="0.2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  <c r="D10" s="1" t="s">
        <v>348</v>
      </c>
      <c r="E10" s="1"/>
      <c r="F10" s="33"/>
      <c r="G10" s="32"/>
      <c r="H10" s="33"/>
      <c r="I10" s="1"/>
      <c r="O10" s="2"/>
    </row>
    <row r="11" spans="1:15" ht="15" customHeight="1" x14ac:dyDescent="0.2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  <c r="D11" s="1" t="s">
        <v>348</v>
      </c>
      <c r="E11" s="50"/>
      <c r="F11" s="33"/>
      <c r="G11" s="56"/>
      <c r="H11" s="69"/>
      <c r="I11" s="92"/>
      <c r="J11" s="107"/>
      <c r="K11" s="12" t="s">
        <v>138</v>
      </c>
      <c r="L11" s="12"/>
      <c r="M11" s="12" t="s">
        <v>138</v>
      </c>
      <c r="N11" s="53"/>
      <c r="O11" s="54"/>
    </row>
    <row r="12" spans="1:15" ht="15" customHeight="1" x14ac:dyDescent="0.2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  <c r="D12" s="1" t="s">
        <v>348</v>
      </c>
      <c r="E12" s="50"/>
      <c r="F12" s="33"/>
      <c r="G12" s="57"/>
      <c r="H12" s="70"/>
      <c r="I12" s="94"/>
      <c r="J12" s="109"/>
      <c r="O12" s="4"/>
    </row>
    <row r="13" spans="1:15" ht="15" customHeight="1" x14ac:dyDescent="0.2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  <c r="D13" s="1" t="s">
        <v>348</v>
      </c>
      <c r="E13" s="1"/>
      <c r="F13" s="33"/>
      <c r="G13" s="32"/>
      <c r="H13" s="33"/>
      <c r="I13" s="1"/>
      <c r="N13" s="58"/>
      <c r="O13" s="2"/>
    </row>
    <row r="14" spans="1:15" ht="15" customHeight="1" x14ac:dyDescent="0.2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  <c r="D14" s="1" t="s">
        <v>348</v>
      </c>
      <c r="E14" s="1"/>
      <c r="F14" s="76"/>
      <c r="G14" s="32"/>
      <c r="H14" s="51"/>
      <c r="I14" s="101"/>
      <c r="J14" s="107"/>
      <c r="K14" s="12"/>
      <c r="L14" s="12"/>
      <c r="M14" s="12"/>
      <c r="N14" s="59"/>
      <c r="O14" s="17"/>
    </row>
    <row r="15" spans="1:15" ht="15" customHeight="1" x14ac:dyDescent="0.2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  <c r="D15" s="1" t="s">
        <v>348</v>
      </c>
      <c r="E15" s="1"/>
      <c r="F15" s="33"/>
      <c r="G15" s="52"/>
      <c r="H15" s="71"/>
      <c r="I15" s="92"/>
      <c r="J15" s="107"/>
      <c r="K15" s="12" t="s">
        <v>147</v>
      </c>
      <c r="L15" s="12"/>
      <c r="M15" s="12" t="s">
        <v>147</v>
      </c>
      <c r="N15" s="53"/>
      <c r="O15" s="54"/>
    </row>
    <row r="16" spans="1:15" ht="15" customHeight="1" x14ac:dyDescent="0.2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  <c r="D16" s="1" t="s">
        <v>348</v>
      </c>
      <c r="E16" s="1"/>
      <c r="F16" s="33"/>
      <c r="G16" s="60"/>
      <c r="H16" s="71"/>
      <c r="I16" s="92"/>
      <c r="J16" s="108"/>
      <c r="K16" s="12" t="s">
        <v>147</v>
      </c>
      <c r="L16" s="12"/>
      <c r="M16" s="12" t="s">
        <v>147</v>
      </c>
      <c r="N16" s="53"/>
      <c r="O16" s="54"/>
    </row>
    <row r="17" spans="1:15" ht="15" customHeight="1" x14ac:dyDescent="0.2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  <c r="D17" s="1" t="s">
        <v>349</v>
      </c>
      <c r="E17" s="50"/>
      <c r="F17" s="33"/>
      <c r="G17" s="89"/>
      <c r="H17" s="72"/>
      <c r="I17" s="92">
        <f>Defaults!F17</f>
        <v>65</v>
      </c>
      <c r="J17" s="107">
        <f>Defaults!G17</f>
        <v>1.1000000000000001</v>
      </c>
      <c r="K17" s="12" t="s">
        <v>153</v>
      </c>
      <c r="L17" s="12"/>
      <c r="M17" s="12" t="s">
        <v>152</v>
      </c>
      <c r="N17" s="12"/>
      <c r="O17" s="54"/>
    </row>
    <row r="18" spans="1:15" ht="15" customHeight="1" x14ac:dyDescent="0.2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  <c r="D18" s="1" t="s">
        <v>348</v>
      </c>
      <c r="E18" s="50"/>
      <c r="F18" s="33"/>
      <c r="G18" s="58"/>
      <c r="H18" s="70"/>
      <c r="I18" s="94"/>
      <c r="J18" s="109"/>
      <c r="N18" s="61"/>
      <c r="O18" s="4"/>
    </row>
    <row r="19" spans="1:15" ht="15" customHeight="1" x14ac:dyDescent="0.2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  <c r="D19" s="1" t="s">
        <v>348</v>
      </c>
      <c r="E19" s="1"/>
      <c r="F19" s="33"/>
      <c r="H19" s="33"/>
      <c r="I19" s="1"/>
      <c r="N19" s="58"/>
      <c r="O19" s="2"/>
    </row>
    <row r="20" spans="1:15" ht="15" customHeight="1" x14ac:dyDescent="0.2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  <c r="D20" s="1" t="s">
        <v>348</v>
      </c>
      <c r="E20" s="50"/>
      <c r="F20" s="33"/>
      <c r="G20" s="89"/>
      <c r="H20" s="72"/>
      <c r="I20" s="92">
        <f>Defaults!F20</f>
        <v>63.2</v>
      </c>
      <c r="J20" s="107">
        <f>Defaults!G20</f>
        <v>0.61</v>
      </c>
      <c r="K20" s="12" t="s">
        <v>147</v>
      </c>
      <c r="L20" s="12"/>
      <c r="M20" s="12" t="s">
        <v>161</v>
      </c>
      <c r="N20" s="53"/>
      <c r="O20" s="54"/>
    </row>
    <row r="21" spans="1:15" ht="15" customHeight="1" x14ac:dyDescent="0.2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  <c r="D21" s="1" t="s">
        <v>348</v>
      </c>
      <c r="E21" s="50"/>
      <c r="F21" s="33"/>
      <c r="G21" s="58"/>
      <c r="H21" s="70"/>
      <c r="I21" s="94"/>
      <c r="J21" s="109"/>
      <c r="N21" s="55"/>
      <c r="O21" s="4"/>
    </row>
    <row r="22" spans="1:15" ht="15" customHeight="1" x14ac:dyDescent="0.2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  <c r="D22" s="1" t="s">
        <v>348</v>
      </c>
      <c r="E22" s="1"/>
      <c r="F22" s="33"/>
      <c r="G22" s="89"/>
      <c r="H22" s="72"/>
      <c r="I22" s="92">
        <f>Defaults!F22</f>
        <v>140</v>
      </c>
      <c r="J22" s="107">
        <f>Defaults!G22</f>
        <v>1.65</v>
      </c>
      <c r="K22" s="12" t="s">
        <v>164</v>
      </c>
      <c r="L22" s="12"/>
      <c r="M22" s="12" t="s">
        <v>164</v>
      </c>
      <c r="N22" s="12"/>
      <c r="O22" s="54"/>
    </row>
    <row r="23" spans="1:15" ht="15" customHeight="1" x14ac:dyDescent="0.2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  <c r="D23" s="1" t="s">
        <v>348</v>
      </c>
      <c r="E23" s="1"/>
      <c r="F23" s="33"/>
      <c r="H23" s="33"/>
      <c r="I23" s="1"/>
    </row>
    <row r="24" spans="1:15" ht="15" customHeight="1" x14ac:dyDescent="0.2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  <c r="D24" s="1" t="s">
        <v>348</v>
      </c>
      <c r="E24" s="1"/>
      <c r="F24" s="51"/>
      <c r="G24" s="88"/>
      <c r="H24" s="69"/>
      <c r="I24" s="92">
        <f>Defaults!F24</f>
        <v>140</v>
      </c>
      <c r="J24" s="107">
        <f>Defaults!G24</f>
        <v>1.65</v>
      </c>
      <c r="K24" s="12" t="s">
        <v>164</v>
      </c>
      <c r="M24" s="12" t="s">
        <v>164</v>
      </c>
      <c r="N24" s="12"/>
      <c r="O24" s="17"/>
    </row>
    <row r="25" spans="1:15" ht="15" customHeight="1" x14ac:dyDescent="0.2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  <c r="D25" s="1" t="s">
        <v>348</v>
      </c>
      <c r="E25" s="50"/>
      <c r="F25" s="33"/>
      <c r="H25" s="33"/>
      <c r="I25" s="1"/>
    </row>
    <row r="26" spans="1:15" ht="15" customHeight="1" x14ac:dyDescent="0.2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  <c r="D26" s="1" t="s">
        <v>348</v>
      </c>
      <c r="E26" s="1"/>
      <c r="F26" s="33"/>
      <c r="G26" s="89"/>
      <c r="H26" s="72"/>
      <c r="I26" s="92">
        <f>Defaults!F26</f>
        <v>140</v>
      </c>
      <c r="J26" s="107">
        <f>Defaults!G26</f>
        <v>2.23</v>
      </c>
      <c r="K26" s="12" t="s">
        <v>170</v>
      </c>
      <c r="L26" s="12"/>
      <c r="M26" s="12" t="s">
        <v>170</v>
      </c>
      <c r="N26" s="12"/>
      <c r="O26" s="54"/>
    </row>
    <row r="27" spans="1:15" ht="15" customHeight="1" x14ac:dyDescent="0.2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  <c r="D27" s="1" t="s">
        <v>348</v>
      </c>
      <c r="E27" s="1"/>
      <c r="F27" s="33"/>
      <c r="H27" s="33"/>
      <c r="I27" s="1"/>
    </row>
    <row r="28" spans="1:15" ht="15" customHeight="1" x14ac:dyDescent="0.2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  <c r="D28" s="1" t="s">
        <v>348</v>
      </c>
      <c r="E28" s="1"/>
      <c r="F28" s="33"/>
      <c r="G28" s="89"/>
      <c r="H28" s="72"/>
      <c r="I28" s="92">
        <f>Defaults!F28</f>
        <v>140</v>
      </c>
      <c r="J28" s="107">
        <f>Defaults!G28</f>
        <v>1.65</v>
      </c>
      <c r="K28" s="12" t="s">
        <v>164</v>
      </c>
      <c r="L28" s="12"/>
      <c r="M28" s="12" t="s">
        <v>164</v>
      </c>
      <c r="N28" s="12"/>
      <c r="O28" s="54"/>
    </row>
    <row r="29" spans="1:15" ht="15" customHeight="1" x14ac:dyDescent="0.2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  <c r="D29" s="1" t="s">
        <v>348</v>
      </c>
      <c r="E29" s="1"/>
      <c r="F29" s="76"/>
      <c r="G29" s="90"/>
      <c r="H29" s="51"/>
      <c r="I29" s="92">
        <f>Defaults!F29</f>
        <v>140</v>
      </c>
      <c r="J29" s="107">
        <f>Defaults!G29</f>
        <v>1.65</v>
      </c>
      <c r="K29" s="12"/>
      <c r="L29" s="12"/>
      <c r="M29" s="12"/>
      <c r="N29" s="12"/>
      <c r="O29" s="17"/>
    </row>
    <row r="30" spans="1:15" ht="15" customHeight="1" x14ac:dyDescent="0.2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  <c r="D30" s="1" t="s">
        <v>348</v>
      </c>
      <c r="E30" s="1"/>
      <c r="F30" s="33"/>
      <c r="H30" s="33"/>
      <c r="I30" s="1"/>
      <c r="O30" s="2"/>
    </row>
    <row r="31" spans="1:15" ht="15" customHeight="1" x14ac:dyDescent="0.2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  <c r="D31" s="1" t="s">
        <v>348</v>
      </c>
      <c r="E31" s="50"/>
      <c r="F31" s="33"/>
      <c r="G31" s="58"/>
      <c r="H31" s="70"/>
      <c r="I31" s="94"/>
      <c r="J31" s="109"/>
      <c r="O31" s="4"/>
    </row>
    <row r="32" spans="1:15" ht="15" customHeight="1" x14ac:dyDescent="0.2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  <c r="D32" s="1" t="s">
        <v>348</v>
      </c>
      <c r="E32" s="50"/>
      <c r="F32" s="33"/>
      <c r="G32" s="58"/>
      <c r="H32" s="70"/>
      <c r="I32" s="94"/>
      <c r="J32" s="109"/>
      <c r="O32" s="4"/>
    </row>
    <row r="33" spans="1:15" ht="15" customHeight="1" x14ac:dyDescent="0.2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  <c r="D33" s="1" t="s">
        <v>349</v>
      </c>
      <c r="E33" s="1"/>
      <c r="F33" s="33"/>
      <c r="H33" s="33"/>
      <c r="I33" s="1"/>
      <c r="O33" s="2"/>
    </row>
    <row r="34" spans="1:15" ht="15" customHeight="1" x14ac:dyDescent="0.2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  <c r="D34" s="1" t="s">
        <v>348</v>
      </c>
      <c r="E34" s="1"/>
      <c r="F34" s="33"/>
      <c r="H34" s="33"/>
      <c r="I34" s="1"/>
      <c r="O34" s="2"/>
    </row>
    <row r="35" spans="1:15" ht="15" customHeight="1" x14ac:dyDescent="0.2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  <c r="D35" s="1" t="s">
        <v>348</v>
      </c>
      <c r="E35" s="1"/>
      <c r="F35" s="33"/>
      <c r="H35" s="33"/>
      <c r="I35" s="1"/>
      <c r="O35" s="2"/>
    </row>
    <row r="36" spans="1:15" ht="15" customHeight="1" x14ac:dyDescent="0.2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  <c r="D36" s="1" t="s">
        <v>348</v>
      </c>
      <c r="E36" s="1"/>
      <c r="F36" s="33"/>
      <c r="H36" s="33"/>
      <c r="I36" s="1"/>
      <c r="O36" s="2"/>
    </row>
    <row r="37" spans="1:15" ht="15" customHeight="1" x14ac:dyDescent="0.2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  <c r="D37" s="1" t="s">
        <v>348</v>
      </c>
      <c r="E37" s="1"/>
      <c r="F37" s="33"/>
      <c r="H37" s="33"/>
      <c r="I37" s="1"/>
      <c r="O37" s="2"/>
    </row>
    <row r="38" spans="1:15" ht="15" customHeight="1" x14ac:dyDescent="0.2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  <c r="D38" s="1" t="s">
        <v>348</v>
      </c>
      <c r="E38" s="1"/>
      <c r="F38" s="75"/>
      <c r="G38" s="90"/>
      <c r="H38" s="51"/>
      <c r="I38" s="101">
        <f>Defaults!F38</f>
        <v>7</v>
      </c>
      <c r="J38" s="115">
        <f>Defaults!G38</f>
        <v>1.65</v>
      </c>
      <c r="K38" s="12"/>
      <c r="L38" s="12"/>
      <c r="M38" s="12"/>
      <c r="N38" s="12"/>
      <c r="O38" s="17"/>
    </row>
    <row r="39" spans="1:15" ht="15" customHeight="1" x14ac:dyDescent="0.2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  <c r="D39" s="1" t="s">
        <v>348</v>
      </c>
      <c r="E39" s="1"/>
      <c r="F39" s="51"/>
      <c r="G39" s="89"/>
      <c r="H39" s="68"/>
      <c r="I39" s="92">
        <f>Defaults!F39</f>
        <v>0</v>
      </c>
      <c r="J39" s="107">
        <f>Defaults!G39</f>
        <v>1.65</v>
      </c>
      <c r="K39" s="62" t="s">
        <v>187</v>
      </c>
      <c r="L39" s="12"/>
      <c r="M39" s="62" t="s">
        <v>188</v>
      </c>
      <c r="N39" s="12"/>
      <c r="O39" s="54"/>
    </row>
    <row r="40" spans="1:15" ht="15" customHeight="1" x14ac:dyDescent="0.2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  <c r="D40" s="1" t="s">
        <v>348</v>
      </c>
      <c r="E40" s="1"/>
      <c r="F40" s="33"/>
      <c r="G40" s="89"/>
      <c r="H40" s="68"/>
      <c r="I40" s="92">
        <f>Defaults!F40</f>
        <v>140</v>
      </c>
      <c r="J40" s="107">
        <f>Defaults!G40</f>
        <v>1.65</v>
      </c>
      <c r="K40" s="12" t="s">
        <v>164</v>
      </c>
      <c r="L40" s="12"/>
      <c r="M40" s="12" t="s">
        <v>164</v>
      </c>
      <c r="N40" s="53"/>
      <c r="O40" s="54"/>
    </row>
    <row r="41" spans="1:15" ht="15" customHeight="1" x14ac:dyDescent="0.2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  <c r="D41" s="1" t="s">
        <v>348</v>
      </c>
      <c r="E41" s="50"/>
      <c r="F41" s="33"/>
      <c r="G41" s="8"/>
      <c r="H41" s="72"/>
      <c r="I41" s="92">
        <f>Defaults!F41</f>
        <v>300</v>
      </c>
      <c r="J41" s="107">
        <f>Defaults!G41</f>
        <v>2.25</v>
      </c>
      <c r="K41" s="12" t="s">
        <v>191</v>
      </c>
      <c r="L41" s="12"/>
      <c r="M41" s="12" t="s">
        <v>191</v>
      </c>
      <c r="N41" s="53"/>
      <c r="O41" s="54"/>
    </row>
    <row r="42" spans="1:15" ht="15" customHeight="1" x14ac:dyDescent="0.2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  <c r="D42" s="1" t="s">
        <v>348</v>
      </c>
      <c r="E42" s="50"/>
      <c r="F42" s="33"/>
      <c r="G42" s="58"/>
      <c r="H42" s="70"/>
      <c r="I42" s="96"/>
      <c r="J42" s="109"/>
      <c r="O42" s="4"/>
    </row>
    <row r="43" spans="1:15" ht="15" customHeight="1" x14ac:dyDescent="0.2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  <c r="D43" s="1" t="s">
        <v>348</v>
      </c>
      <c r="E43" s="50"/>
      <c r="F43" s="33"/>
      <c r="G43" s="55"/>
      <c r="H43" s="73"/>
      <c r="I43" s="96"/>
      <c r="J43" s="109"/>
      <c r="O43" s="4"/>
    </row>
    <row r="44" spans="1:15" ht="15" customHeight="1" x14ac:dyDescent="0.2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  <c r="D44" s="1" t="s">
        <v>348</v>
      </c>
      <c r="E44" s="50"/>
      <c r="F44" s="33"/>
      <c r="G44" s="58"/>
      <c r="H44" s="70"/>
      <c r="I44" s="94"/>
      <c r="J44" s="109"/>
      <c r="O44" s="4"/>
    </row>
    <row r="45" spans="1:15" ht="15" customHeight="1" x14ac:dyDescent="0.2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  <c r="D45" s="1" t="s">
        <v>348</v>
      </c>
      <c r="E45" s="50"/>
      <c r="F45" s="33"/>
      <c r="G45" s="55"/>
      <c r="H45" s="73"/>
      <c r="I45" s="96"/>
      <c r="J45" s="109"/>
      <c r="O45" s="4"/>
    </row>
    <row r="46" spans="1:15" ht="15" customHeight="1" x14ac:dyDescent="0.2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  <c r="D46" s="1" t="s">
        <v>348</v>
      </c>
      <c r="E46" s="63"/>
      <c r="F46" s="33"/>
      <c r="G46" s="58"/>
      <c r="H46" s="70"/>
      <c r="I46" s="94"/>
      <c r="J46" s="109"/>
      <c r="O46" s="4"/>
    </row>
    <row r="47" spans="1:15" ht="15" customHeight="1" x14ac:dyDescent="0.2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  <c r="D47" s="1" t="s">
        <v>348</v>
      </c>
      <c r="E47" s="50"/>
      <c r="F47" s="51"/>
      <c r="G47" s="8"/>
      <c r="H47" s="72"/>
      <c r="I47" s="92">
        <f>Defaults!F47</f>
        <v>450</v>
      </c>
      <c r="J47" s="107">
        <f>Defaults!G47</f>
        <v>6.09</v>
      </c>
      <c r="K47" s="12" t="s">
        <v>185</v>
      </c>
      <c r="L47" s="12"/>
      <c r="M47" s="12" t="s">
        <v>185</v>
      </c>
      <c r="N47" s="53"/>
      <c r="O47" s="54"/>
    </row>
    <row r="48" spans="1:15" ht="15" customHeight="1" x14ac:dyDescent="0.2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  <c r="D48" s="1" t="s">
        <v>348</v>
      </c>
      <c r="E48" s="50"/>
      <c r="F48" s="51"/>
      <c r="G48" s="61"/>
      <c r="H48" s="74"/>
      <c r="I48" s="97"/>
      <c r="J48" s="109"/>
      <c r="O48" s="4"/>
    </row>
    <row r="49" spans="1:15" ht="15" customHeight="1" x14ac:dyDescent="0.2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  <c r="D49" s="1" t="s">
        <v>348</v>
      </c>
      <c r="E49" s="50"/>
      <c r="F49" s="51"/>
      <c r="G49" s="8"/>
      <c r="H49" s="68"/>
      <c r="I49" s="92">
        <f>Defaults!F49</f>
        <v>140</v>
      </c>
      <c r="J49" s="107">
        <f>Defaults!G49</f>
        <v>1.65</v>
      </c>
      <c r="K49" s="12" t="s">
        <v>205</v>
      </c>
      <c r="L49" s="12"/>
      <c r="M49" s="12" t="s">
        <v>206</v>
      </c>
      <c r="N49" s="53"/>
      <c r="O49" s="54"/>
    </row>
    <row r="50" spans="1:15" ht="15" customHeight="1" x14ac:dyDescent="0.2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  <c r="D50" s="1" t="s">
        <v>349</v>
      </c>
      <c r="E50" s="50"/>
      <c r="F50" s="51"/>
      <c r="G50" s="55"/>
      <c r="H50" s="73"/>
      <c r="I50" s="96"/>
      <c r="J50" s="109"/>
      <c r="O50" s="4"/>
    </row>
    <row r="51" spans="1:15" ht="15" customHeight="1" x14ac:dyDescent="0.2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  <c r="D51" s="1" t="s">
        <v>348</v>
      </c>
      <c r="E51" s="63"/>
      <c r="F51" s="51"/>
      <c r="G51" s="58"/>
      <c r="H51" s="70"/>
      <c r="I51" s="94"/>
      <c r="J51" s="109"/>
      <c r="O51" s="4"/>
    </row>
    <row r="52" spans="1:15" ht="15" customHeight="1" x14ac:dyDescent="0.2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  <c r="D52" s="1" t="s">
        <v>348</v>
      </c>
      <c r="E52" s="63"/>
      <c r="F52" s="51"/>
      <c r="G52" s="58"/>
      <c r="H52" s="70"/>
      <c r="I52" s="94"/>
      <c r="J52" s="109"/>
      <c r="O52" s="4"/>
    </row>
    <row r="53" spans="1:15" ht="15" customHeight="1" x14ac:dyDescent="0.2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  <c r="D53" s="1" t="s">
        <v>348</v>
      </c>
      <c r="E53" s="50"/>
      <c r="F53" s="51"/>
      <c r="G53" s="8"/>
      <c r="H53" s="68"/>
      <c r="I53" s="92">
        <v>140</v>
      </c>
      <c r="J53" s="107">
        <f>Defaults!G53</f>
        <v>1.65</v>
      </c>
      <c r="K53" s="12" t="s">
        <v>211</v>
      </c>
      <c r="L53" s="12"/>
      <c r="M53" s="12" t="s">
        <v>211</v>
      </c>
      <c r="N53" s="53"/>
      <c r="O53" s="54"/>
    </row>
    <row r="54" spans="1:15" ht="15" customHeight="1" x14ac:dyDescent="0.2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  <c r="D54" s="1" t="s">
        <v>349</v>
      </c>
      <c r="E54" s="63"/>
      <c r="F54" s="33"/>
      <c r="G54" s="58"/>
      <c r="H54" s="70"/>
      <c r="I54" s="94"/>
      <c r="J54" s="109"/>
      <c r="N54" s="55"/>
      <c r="O54" s="4"/>
    </row>
    <row r="55" spans="1:15" ht="15" customHeight="1" x14ac:dyDescent="0.2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  <c r="D55" s="1" t="s">
        <v>348</v>
      </c>
      <c r="E55" s="63"/>
      <c r="F55" s="33"/>
      <c r="G55" s="89"/>
      <c r="H55" s="72"/>
      <c r="I55" s="98">
        <v>79</v>
      </c>
      <c r="J55" s="107">
        <f>Defaults!G55</f>
        <v>0</v>
      </c>
      <c r="K55" s="12"/>
      <c r="L55" s="12"/>
      <c r="M55" s="12"/>
      <c r="N55" s="64"/>
      <c r="O55" s="54"/>
    </row>
    <row r="56" spans="1:15" ht="15" customHeight="1" x14ac:dyDescent="0.2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  <c r="D56" s="1" t="s">
        <v>348</v>
      </c>
      <c r="E56" s="63"/>
      <c r="F56" s="51"/>
      <c r="G56" s="8"/>
      <c r="H56" s="72"/>
      <c r="I56" s="92">
        <f>Defaults!F56</f>
        <v>140</v>
      </c>
      <c r="J56" s="107">
        <f>Defaults!G56</f>
        <v>1.65</v>
      </c>
      <c r="K56" s="12" t="s">
        <v>211</v>
      </c>
      <c r="L56" s="12"/>
      <c r="M56" s="12" t="s">
        <v>211</v>
      </c>
      <c r="N56" s="59"/>
      <c r="O56" s="54"/>
    </row>
    <row r="57" spans="1:15" ht="15" customHeight="1" x14ac:dyDescent="0.2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  <c r="D57" s="1" t="s">
        <v>348</v>
      </c>
      <c r="E57" s="63"/>
      <c r="F57" s="51"/>
      <c r="G57" s="8"/>
      <c r="H57" s="72"/>
      <c r="I57" s="92">
        <f>Defaults!F57</f>
        <v>65.400000000000006</v>
      </c>
      <c r="J57" s="107">
        <f>Defaults!G57</f>
        <v>0.7</v>
      </c>
      <c r="K57" s="12" t="s">
        <v>217</v>
      </c>
      <c r="L57" s="12"/>
      <c r="M57" s="12" t="s">
        <v>217</v>
      </c>
      <c r="N57" s="12"/>
      <c r="O57" s="54"/>
    </row>
    <row r="58" spans="1:15" ht="15" customHeight="1" x14ac:dyDescent="0.2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  <c r="D58" s="1" t="s">
        <v>348</v>
      </c>
      <c r="E58" s="50"/>
      <c r="F58" s="51"/>
      <c r="G58" s="55"/>
      <c r="H58" s="73"/>
      <c r="I58" s="96"/>
      <c r="J58" s="109"/>
      <c r="N58" s="58"/>
      <c r="O58" s="4"/>
    </row>
    <row r="59" spans="1:15" ht="15" customHeight="1" x14ac:dyDescent="0.2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  <c r="D59" s="1" t="s">
        <v>348</v>
      </c>
      <c r="E59" s="50"/>
      <c r="F59" s="51"/>
      <c r="G59" s="8"/>
      <c r="H59" s="72"/>
      <c r="I59" s="92">
        <f>Defaults!F59</f>
        <v>69</v>
      </c>
      <c r="J59" s="107">
        <f>Defaults!G59</f>
        <v>0.11</v>
      </c>
      <c r="K59" s="12" t="s">
        <v>147</v>
      </c>
      <c r="L59" s="12"/>
      <c r="M59" s="12" t="s">
        <v>147</v>
      </c>
      <c r="N59" s="53"/>
      <c r="O59" s="54"/>
    </row>
    <row r="60" spans="1:15" ht="15" customHeight="1" x14ac:dyDescent="0.2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  <c r="D60" s="1" t="s">
        <v>348</v>
      </c>
      <c r="E60" s="50"/>
      <c r="F60" s="51"/>
      <c r="G60" s="55"/>
      <c r="H60" s="73"/>
      <c r="I60" s="96"/>
      <c r="J60" s="109"/>
      <c r="M60" t="s">
        <v>147</v>
      </c>
      <c r="N60" s="58"/>
      <c r="O60" s="4"/>
    </row>
    <row r="61" spans="1:15" ht="15" customHeight="1" x14ac:dyDescent="0.2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  <c r="D61" s="1" t="s">
        <v>348</v>
      </c>
      <c r="E61" s="50"/>
      <c r="F61" s="51"/>
      <c r="G61" s="58"/>
      <c r="H61" s="70"/>
      <c r="I61" s="94"/>
      <c r="J61" s="109"/>
      <c r="N61" s="61"/>
      <c r="O61" s="4"/>
    </row>
    <row r="62" spans="1:15" ht="15" customHeight="1" x14ac:dyDescent="0.2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  <c r="D62" s="1" t="s">
        <v>348</v>
      </c>
      <c r="E62" s="63"/>
      <c r="F62" s="51"/>
      <c r="G62" s="58"/>
      <c r="H62" s="70"/>
      <c r="I62" s="94"/>
      <c r="J62" s="109"/>
      <c r="N62" s="58"/>
      <c r="O62" s="4"/>
    </row>
    <row r="63" spans="1:15" ht="15" customHeight="1" x14ac:dyDescent="0.2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  <c r="D63" s="1" t="s">
        <v>348</v>
      </c>
      <c r="E63" s="63"/>
      <c r="F63" s="51"/>
      <c r="G63" s="58"/>
      <c r="H63" s="70"/>
      <c r="I63" s="94"/>
      <c r="J63" s="109"/>
      <c r="N63" s="55"/>
      <c r="O63" s="4"/>
    </row>
    <row r="64" spans="1:15" ht="15" customHeight="1" x14ac:dyDescent="0.2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  <c r="D64" s="1" t="s">
        <v>348</v>
      </c>
      <c r="E64" s="1"/>
      <c r="F64" s="51"/>
      <c r="G64" s="88"/>
      <c r="H64" s="69"/>
      <c r="I64" s="92">
        <f>Defaults!F64</f>
        <v>68.599999999999994</v>
      </c>
      <c r="J64" s="107">
        <f>Defaults!G64</f>
        <v>0.45</v>
      </c>
      <c r="K64" s="12" t="s">
        <v>147</v>
      </c>
      <c r="L64" s="12"/>
      <c r="M64" s="12" t="s">
        <v>147</v>
      </c>
      <c r="N64" s="53"/>
      <c r="O64" s="54"/>
    </row>
    <row r="65" spans="1:15" ht="15" customHeight="1" x14ac:dyDescent="0.2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  <c r="D65" s="1" t="s">
        <v>348</v>
      </c>
      <c r="E65" s="1"/>
      <c r="F65" s="33"/>
      <c r="H65" s="33"/>
      <c r="I65" s="1"/>
      <c r="M65" t="s">
        <v>147</v>
      </c>
      <c r="N65" s="58"/>
      <c r="O65" s="2"/>
    </row>
    <row r="66" spans="1:15" ht="15" customHeight="1" x14ac:dyDescent="0.2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  <c r="D66" s="1" t="s">
        <v>348</v>
      </c>
      <c r="E66" s="1"/>
      <c r="F66" s="33"/>
      <c r="H66" s="33"/>
      <c r="I66" s="1"/>
      <c r="N66" s="58"/>
      <c r="O66" s="2"/>
    </row>
    <row r="67" spans="1:15" ht="15" customHeight="1" x14ac:dyDescent="0.2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  <c r="D67" s="1" t="s">
        <v>348</v>
      </c>
      <c r="E67" s="1"/>
      <c r="F67" s="51"/>
      <c r="G67" s="88"/>
      <c r="H67" s="69"/>
      <c r="I67" s="92">
        <f>Defaults!F67</f>
        <v>140</v>
      </c>
      <c r="J67" s="107">
        <f>Defaults!G67</f>
        <v>4.71</v>
      </c>
      <c r="K67" s="12" t="s">
        <v>170</v>
      </c>
      <c r="L67" s="12"/>
      <c r="M67" s="12" t="s">
        <v>170</v>
      </c>
      <c r="N67" s="59"/>
      <c r="O67" s="54"/>
    </row>
    <row r="68" spans="1:15" ht="15" customHeight="1" x14ac:dyDescent="0.2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  <c r="D68" s="1" t="s">
        <v>348</v>
      </c>
      <c r="E68" s="1"/>
      <c r="F68" s="51"/>
      <c r="H68" s="33"/>
      <c r="I68" s="1"/>
      <c r="O68" s="2"/>
    </row>
    <row r="69" spans="1:15" ht="15" customHeight="1" x14ac:dyDescent="0.2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  <c r="D69" s="1" t="s">
        <v>348</v>
      </c>
      <c r="E69" s="1"/>
      <c r="F69" s="51"/>
      <c r="G69" s="89"/>
      <c r="H69" s="69"/>
      <c r="I69" s="92">
        <f>Defaults!F69</f>
        <v>61.1</v>
      </c>
      <c r="J69" s="107">
        <f>Defaults!G69</f>
        <v>0.59499999999999997</v>
      </c>
      <c r="K69" s="12" t="s">
        <v>233</v>
      </c>
      <c r="L69" s="12"/>
      <c r="M69" s="12" t="s">
        <v>233</v>
      </c>
      <c r="N69" s="12"/>
      <c r="O69" s="17"/>
    </row>
    <row r="70" spans="1:15" ht="15" customHeight="1" x14ac:dyDescent="0.2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  <c r="D70" s="1" t="s">
        <v>348</v>
      </c>
      <c r="E70" s="1"/>
      <c r="F70" s="51"/>
      <c r="H70" s="33"/>
      <c r="I70" s="1"/>
      <c r="O70" s="2"/>
    </row>
    <row r="71" spans="1:15" ht="15" customHeight="1" x14ac:dyDescent="0.2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  <c r="D71" s="1" t="s">
        <v>348</v>
      </c>
      <c r="E71" s="1"/>
      <c r="F71" s="51"/>
      <c r="H71" s="33"/>
      <c r="I71" s="1"/>
      <c r="O71" s="2"/>
    </row>
    <row r="72" spans="1:15" ht="15" customHeight="1" x14ac:dyDescent="0.2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  <c r="D72" s="1" t="s">
        <v>348</v>
      </c>
      <c r="E72" s="1"/>
      <c r="F72" s="51"/>
      <c r="G72" s="89"/>
      <c r="H72" s="69"/>
      <c r="I72" s="92">
        <f>Defaults!F72</f>
        <v>63.2</v>
      </c>
      <c r="J72" s="107">
        <f>Defaults!G72</f>
        <v>0.59499999999999997</v>
      </c>
      <c r="K72" s="12" t="s">
        <v>233</v>
      </c>
      <c r="L72" s="12"/>
      <c r="M72" s="12" t="s">
        <v>233</v>
      </c>
      <c r="N72" s="12"/>
      <c r="O72" s="17"/>
    </row>
    <row r="73" spans="1:15" ht="15" customHeight="1" x14ac:dyDescent="0.2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  <c r="D73" s="1" t="s">
        <v>348</v>
      </c>
      <c r="E73" s="1"/>
      <c r="F73" s="51"/>
      <c r="H73" s="33"/>
      <c r="I73" s="1"/>
      <c r="O73" s="2"/>
    </row>
    <row r="74" spans="1:15" ht="15" customHeight="1" x14ac:dyDescent="0.2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  <c r="D74" s="1" t="s">
        <v>348</v>
      </c>
      <c r="E74" s="1"/>
      <c r="F74" s="51"/>
      <c r="G74" s="88"/>
      <c r="H74" s="69"/>
      <c r="I74" s="92">
        <f>Defaults!F74</f>
        <v>140</v>
      </c>
      <c r="J74" s="107">
        <f>Defaults!G74</f>
        <v>1.65</v>
      </c>
      <c r="K74" s="12" t="s">
        <v>241</v>
      </c>
      <c r="L74" s="12"/>
      <c r="M74" s="12" t="s">
        <v>241</v>
      </c>
      <c r="N74" s="53"/>
      <c r="O74" s="17"/>
    </row>
    <row r="75" spans="1:15" ht="15" customHeight="1" x14ac:dyDescent="0.2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  <c r="D75" s="1" t="s">
        <v>348</v>
      </c>
      <c r="E75" s="1"/>
      <c r="F75" s="51"/>
      <c r="H75" s="33"/>
      <c r="I75" s="1"/>
      <c r="O75" s="2"/>
    </row>
    <row r="76" spans="1:15" ht="15" customHeight="1" x14ac:dyDescent="0.2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  <c r="D76" s="1" t="s">
        <v>348</v>
      </c>
      <c r="E76" s="1"/>
      <c r="F76" s="51"/>
      <c r="H76" s="33"/>
      <c r="I76" s="1"/>
      <c r="O76" s="2"/>
    </row>
    <row r="77" spans="1:15" ht="15" customHeight="1" x14ac:dyDescent="0.2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  <c r="D77" s="1" t="s">
        <v>349</v>
      </c>
      <c r="E77" s="1"/>
      <c r="F77" s="51"/>
      <c r="G77" s="88"/>
      <c r="H77" s="68"/>
      <c r="I77" s="92">
        <f>Defaults!F77</f>
        <v>450</v>
      </c>
      <c r="J77" s="107">
        <f>Defaults!G77</f>
        <v>6.09</v>
      </c>
      <c r="K77" s="12" t="s">
        <v>132</v>
      </c>
      <c r="L77" s="12"/>
      <c r="M77" s="12" t="s">
        <v>132</v>
      </c>
      <c r="N77" s="12"/>
      <c r="O77" s="17"/>
    </row>
    <row r="78" spans="1:15" ht="15" customHeight="1" x14ac:dyDescent="0.2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  <c r="D78" s="1" t="s">
        <v>348</v>
      </c>
      <c r="E78" s="1"/>
      <c r="F78" s="33"/>
      <c r="G78" s="88"/>
      <c r="H78" s="69"/>
      <c r="I78" s="92">
        <f>Defaults!F78</f>
        <v>63.2</v>
      </c>
      <c r="J78" s="107">
        <f>Defaults!G78</f>
        <v>0.57999999999999996</v>
      </c>
      <c r="K78" s="12" t="s">
        <v>147</v>
      </c>
      <c r="L78" s="12"/>
      <c r="M78" s="12" t="s">
        <v>147</v>
      </c>
      <c r="N78" s="12"/>
      <c r="O78" s="54"/>
    </row>
    <row r="79" spans="1:15" ht="15" customHeight="1" x14ac:dyDescent="0.2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  <c r="D79" s="1" t="s">
        <v>348</v>
      </c>
      <c r="E79" s="1"/>
      <c r="F79" s="33"/>
      <c r="G79" s="89"/>
      <c r="H79" s="69"/>
      <c r="I79" s="92">
        <f>Defaults!F79</f>
        <v>63.2</v>
      </c>
      <c r="J79" s="108">
        <v>0.57999999999999996</v>
      </c>
      <c r="K79" s="12" t="s">
        <v>147</v>
      </c>
      <c r="L79" s="12"/>
      <c r="M79" s="12" t="s">
        <v>147</v>
      </c>
      <c r="N79" s="12"/>
      <c r="O79" s="54"/>
    </row>
    <row r="80" spans="1:15" ht="15" customHeight="1" x14ac:dyDescent="0.2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  <c r="D80" s="1" t="s">
        <v>348</v>
      </c>
      <c r="E80" s="1"/>
      <c r="F80" s="33"/>
      <c r="H80" s="33"/>
      <c r="I80" s="1"/>
      <c r="O80" s="2"/>
    </row>
    <row r="81" spans="1:15" ht="15" customHeight="1" x14ac:dyDescent="0.2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  <c r="D81" s="1" t="s">
        <v>348</v>
      </c>
      <c r="E81" s="1"/>
      <c r="F81" s="33"/>
      <c r="H81" s="33"/>
      <c r="I81" s="1"/>
      <c r="O81" s="2"/>
    </row>
    <row r="82" spans="1:15" ht="15" customHeight="1" x14ac:dyDescent="0.2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  <c r="D82" s="1" t="s">
        <v>348</v>
      </c>
      <c r="E82" s="1"/>
      <c r="F82" s="33"/>
      <c r="H82" s="33"/>
      <c r="I82" s="1"/>
      <c r="O82" s="2"/>
    </row>
    <row r="83" spans="1:15" ht="15" customHeight="1" x14ac:dyDescent="0.2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  <c r="D83" s="1" t="s">
        <v>348</v>
      </c>
      <c r="E83" s="1"/>
      <c r="F83" s="116"/>
      <c r="G83" s="88"/>
      <c r="H83" s="69"/>
      <c r="I83" s="92">
        <f>Defaults!F83</f>
        <v>450</v>
      </c>
      <c r="J83" s="107">
        <f>Defaults!G83</f>
        <v>6.09</v>
      </c>
      <c r="K83" s="12" t="s">
        <v>251</v>
      </c>
      <c r="L83" s="12"/>
      <c r="M83" s="12" t="s">
        <v>251</v>
      </c>
      <c r="N83" s="53"/>
      <c r="O83" s="17"/>
    </row>
    <row r="84" spans="1:15" ht="15" customHeight="1" x14ac:dyDescent="0.2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  <c r="D84" s="1" t="s">
        <v>348</v>
      </c>
      <c r="E84" s="1"/>
      <c r="F84" s="33"/>
      <c r="H84" s="33"/>
      <c r="I84" s="1"/>
      <c r="O84" s="2"/>
    </row>
    <row r="85" spans="1:15" ht="15" customHeight="1" x14ac:dyDescent="0.2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  <c r="D85" s="1" t="s">
        <v>348</v>
      </c>
      <c r="E85" s="1"/>
      <c r="F85" s="33"/>
      <c r="H85" s="33"/>
      <c r="I85" s="1"/>
      <c r="O85" s="2"/>
    </row>
    <row r="86" spans="1:15" ht="15" customHeight="1" x14ac:dyDescent="0.2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  <c r="D86" s="1" t="s">
        <v>348</v>
      </c>
      <c r="E86" s="1"/>
      <c r="F86" s="33"/>
      <c r="G86" s="88"/>
      <c r="H86" s="71"/>
      <c r="I86" s="92">
        <f>Defaults!F86</f>
        <v>135.5</v>
      </c>
      <c r="J86" s="107">
        <f>Defaults!G86</f>
        <v>2.13</v>
      </c>
      <c r="K86" s="12" t="s">
        <v>147</v>
      </c>
      <c r="L86" s="12"/>
      <c r="M86" s="12" t="s">
        <v>147</v>
      </c>
      <c r="N86" s="12"/>
      <c r="O86" s="54"/>
    </row>
    <row r="87" spans="1:15" ht="15" customHeight="1" x14ac:dyDescent="0.2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  <c r="D87" s="1" t="s">
        <v>348</v>
      </c>
      <c r="E87" s="1"/>
      <c r="F87" s="51"/>
      <c r="G87" s="88"/>
      <c r="H87" s="69"/>
      <c r="I87" s="92">
        <f>Defaults!F87</f>
        <v>140</v>
      </c>
      <c r="J87" s="107">
        <f>Defaults!G87</f>
        <v>1.65</v>
      </c>
      <c r="K87" s="12" t="s">
        <v>256</v>
      </c>
      <c r="L87" s="12"/>
      <c r="M87" s="12"/>
      <c r="N87" s="53"/>
      <c r="O87" s="17"/>
    </row>
    <row r="88" spans="1:15" ht="15" customHeight="1" x14ac:dyDescent="0.2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  <c r="D88" s="1" t="s">
        <v>348</v>
      </c>
      <c r="E88" s="1"/>
      <c r="F88" s="51"/>
      <c r="H88" s="33"/>
      <c r="I88" s="1"/>
      <c r="O88" s="2"/>
    </row>
    <row r="89" spans="1:15" ht="15" customHeight="1" x14ac:dyDescent="0.2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  <c r="D89" s="1" t="s">
        <v>348</v>
      </c>
      <c r="E89" s="1"/>
      <c r="F89" s="51"/>
      <c r="H89" s="33"/>
      <c r="I89" s="1"/>
      <c r="O89" s="2"/>
    </row>
    <row r="90" spans="1:15" ht="15" customHeight="1" x14ac:dyDescent="0.2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  <c r="D90" s="1" t="s">
        <v>348</v>
      </c>
      <c r="E90" s="1"/>
      <c r="F90" s="75"/>
      <c r="H90" s="69"/>
      <c r="I90" s="101">
        <f>Defaults!F90</f>
        <v>60</v>
      </c>
      <c r="J90" s="115">
        <f>Defaults!G90</f>
        <v>0.35900000000000004</v>
      </c>
      <c r="O90" s="2"/>
    </row>
    <row r="91" spans="1:15" ht="15" customHeight="1" x14ac:dyDescent="0.2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  <c r="D91" s="1" t="s">
        <v>348</v>
      </c>
      <c r="E91" s="1"/>
      <c r="F91" s="51"/>
      <c r="G91" s="88"/>
      <c r="H91" s="69"/>
      <c r="I91" s="92">
        <f>Defaults!F91</f>
        <v>60</v>
      </c>
      <c r="J91" s="107">
        <f>Defaults!G91</f>
        <v>0.26</v>
      </c>
      <c r="K91" s="12" t="s">
        <v>262</v>
      </c>
      <c r="L91" s="12"/>
      <c r="M91" s="12" t="s">
        <v>262</v>
      </c>
      <c r="N91" s="12"/>
      <c r="O91" s="54"/>
    </row>
    <row r="92" spans="1:15" ht="15" customHeight="1" x14ac:dyDescent="0.2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  <c r="D92" s="1" t="s">
        <v>348</v>
      </c>
      <c r="E92" s="1"/>
      <c r="F92" s="51"/>
      <c r="G92" s="88"/>
      <c r="H92" s="69"/>
      <c r="I92" s="92">
        <f>Defaults!F92</f>
        <v>60</v>
      </c>
      <c r="J92" s="107">
        <f>Defaults!G92</f>
        <v>0.37</v>
      </c>
      <c r="K92" s="12" t="s">
        <v>262</v>
      </c>
      <c r="L92" s="12"/>
      <c r="M92" s="12" t="s">
        <v>262</v>
      </c>
      <c r="N92" s="12"/>
      <c r="O92" s="54"/>
    </row>
    <row r="93" spans="1:15" ht="15" customHeight="1" x14ac:dyDescent="0.2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  <c r="D93" s="1" t="s">
        <v>348</v>
      </c>
      <c r="E93" s="1"/>
      <c r="F93" s="51"/>
      <c r="G93" s="88"/>
      <c r="H93" s="68"/>
      <c r="I93" s="92">
        <f>Defaults!F93</f>
        <v>300</v>
      </c>
      <c r="J93" s="107">
        <f>Defaults!G93</f>
        <v>2.25</v>
      </c>
      <c r="K93" s="12" t="s">
        <v>265</v>
      </c>
      <c r="L93" s="12"/>
      <c r="M93" s="12" t="s">
        <v>265</v>
      </c>
      <c r="N93" s="12"/>
      <c r="O93" s="54"/>
    </row>
    <row r="94" spans="1:15" ht="15" customHeight="1" x14ac:dyDescent="0.2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  <c r="D94" s="1" t="s">
        <v>348</v>
      </c>
      <c r="E94" s="1"/>
      <c r="F94" s="51"/>
      <c r="H94" s="33"/>
      <c r="I94" s="1"/>
      <c r="O94" s="2"/>
    </row>
    <row r="95" spans="1:15" ht="15" customHeight="1" x14ac:dyDescent="0.2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  <c r="D95" s="1" t="s">
        <v>348</v>
      </c>
      <c r="E95" s="1"/>
      <c r="F95" s="51"/>
      <c r="G95" s="88"/>
      <c r="H95" s="69"/>
      <c r="I95" s="92">
        <f>Defaults!F95</f>
        <v>68.7</v>
      </c>
      <c r="J95" s="107">
        <f>Defaults!G95</f>
        <v>0.94</v>
      </c>
      <c r="K95" s="12" t="s">
        <v>147</v>
      </c>
      <c r="L95" s="12"/>
      <c r="M95" s="12" t="s">
        <v>147</v>
      </c>
      <c r="N95" s="12"/>
      <c r="O95" s="54"/>
    </row>
    <row r="96" spans="1:15" ht="15" customHeight="1" x14ac:dyDescent="0.2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  <c r="D96" s="1" t="s">
        <v>349</v>
      </c>
      <c r="E96" s="1"/>
      <c r="F96" s="51"/>
      <c r="H96" s="33"/>
      <c r="I96" s="1"/>
      <c r="O96" s="2"/>
    </row>
    <row r="97" spans="1:15" ht="15" customHeight="1" x14ac:dyDescent="0.2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  <c r="D97" s="1" t="s">
        <v>348</v>
      </c>
      <c r="E97" s="1"/>
      <c r="F97" s="51"/>
      <c r="G97" s="88"/>
      <c r="H97" s="69"/>
      <c r="I97" s="92">
        <f>Defaults!F97</f>
        <v>450</v>
      </c>
      <c r="J97" s="107">
        <f>Defaults!G97</f>
        <v>6.09</v>
      </c>
      <c r="K97" s="12" t="s">
        <v>270</v>
      </c>
      <c r="L97" s="12"/>
      <c r="M97" s="12" t="s">
        <v>270</v>
      </c>
      <c r="N97" s="53"/>
      <c r="O97" s="17"/>
    </row>
    <row r="98" spans="1:15" ht="15" customHeight="1" x14ac:dyDescent="0.2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  <c r="D98" s="1" t="s">
        <v>349</v>
      </c>
      <c r="E98" s="1"/>
      <c r="F98" s="51"/>
      <c r="H98" s="33"/>
      <c r="I98" s="1"/>
      <c r="O98" s="2"/>
    </row>
    <row r="99" spans="1:15" ht="15" customHeight="1" x14ac:dyDescent="0.2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  <c r="D99" s="1" t="s">
        <v>348</v>
      </c>
      <c r="E99" s="1"/>
      <c r="F99" s="51"/>
      <c r="G99" s="88"/>
      <c r="H99" s="69"/>
      <c r="I99" s="92">
        <f>Defaults!F99</f>
        <v>140</v>
      </c>
      <c r="J99" s="107">
        <f>Defaults!G99</f>
        <v>1.65</v>
      </c>
      <c r="K99" s="12" t="s">
        <v>256</v>
      </c>
      <c r="L99" s="12"/>
      <c r="M99" s="12" t="s">
        <v>273</v>
      </c>
      <c r="N99" s="53"/>
      <c r="O99" s="17"/>
    </row>
    <row r="100" spans="1:15" ht="15" customHeight="1" x14ac:dyDescent="0.2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  <c r="D100" s="1" t="s">
        <v>348</v>
      </c>
      <c r="E100" s="1"/>
      <c r="F100" s="51"/>
      <c r="G100" s="88"/>
      <c r="H100" s="69"/>
      <c r="I100" s="92">
        <f>Defaults!F100</f>
        <v>300</v>
      </c>
      <c r="J100" s="107">
        <f>Defaults!G100</f>
        <v>2.25</v>
      </c>
      <c r="K100" s="12" t="s">
        <v>275</v>
      </c>
      <c r="L100" s="12"/>
      <c r="M100" s="12" t="s">
        <v>275</v>
      </c>
      <c r="N100" s="12"/>
      <c r="O100" s="54"/>
    </row>
    <row r="101" spans="1:15" ht="15" customHeight="1" x14ac:dyDescent="0.2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  <c r="D101" s="1" t="s">
        <v>348</v>
      </c>
      <c r="E101" s="1"/>
      <c r="F101" s="51"/>
      <c r="G101" s="88"/>
      <c r="H101" s="69"/>
      <c r="I101" s="92">
        <f>Defaults!F101</f>
        <v>130</v>
      </c>
      <c r="J101" s="107">
        <f>Defaults!G101</f>
        <v>2.38</v>
      </c>
      <c r="K101" s="12" t="s">
        <v>147</v>
      </c>
      <c r="L101" s="12"/>
      <c r="M101" s="12" t="s">
        <v>147</v>
      </c>
      <c r="N101" s="12"/>
      <c r="O101" s="54"/>
    </row>
    <row r="102" spans="1:15" ht="15" customHeight="1" x14ac:dyDescent="0.2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  <c r="D102" s="1" t="s">
        <v>348</v>
      </c>
      <c r="E102" s="1"/>
      <c r="F102" s="33"/>
      <c r="H102" s="33"/>
      <c r="I102" s="1"/>
      <c r="O102" s="2"/>
    </row>
    <row r="103" spans="1:15" ht="15" customHeight="1" x14ac:dyDescent="0.2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  <c r="D103" s="1" t="s">
        <v>348</v>
      </c>
      <c r="E103" s="1"/>
      <c r="F103" s="33"/>
      <c r="H103" s="33"/>
      <c r="I103" s="1"/>
      <c r="O103" s="2"/>
    </row>
    <row r="104" spans="1:15" ht="15" customHeight="1" x14ac:dyDescent="0.2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  <c r="D104" s="1" t="s">
        <v>348</v>
      </c>
      <c r="E104" s="1"/>
      <c r="F104" s="33"/>
      <c r="H104" s="33"/>
      <c r="I104" s="1"/>
      <c r="O104" s="2"/>
    </row>
    <row r="105" spans="1:15" ht="15" customHeight="1" x14ac:dyDescent="0.2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  <c r="D105" s="1" t="s">
        <v>348</v>
      </c>
      <c r="E105" s="1"/>
      <c r="F105" s="33"/>
      <c r="H105" s="33"/>
      <c r="I105" s="1"/>
      <c r="O105" s="2"/>
    </row>
    <row r="106" spans="1:15" ht="15" customHeight="1" x14ac:dyDescent="0.2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  <c r="D106" s="1" t="s">
        <v>348</v>
      </c>
      <c r="E106" s="1"/>
      <c r="F106" s="76"/>
      <c r="G106" s="90"/>
      <c r="H106" s="51"/>
      <c r="I106" s="101">
        <f>Defaults!F106</f>
        <v>0</v>
      </c>
      <c r="J106" s="115">
        <f>Defaults!G106</f>
        <v>1.65</v>
      </c>
      <c r="K106" s="12"/>
      <c r="L106" s="12"/>
      <c r="M106" s="12"/>
      <c r="N106" s="12"/>
      <c r="O106" s="17"/>
    </row>
    <row r="107" spans="1:15" ht="15" customHeight="1" x14ac:dyDescent="0.2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  <c r="D107" s="1" t="s">
        <v>348</v>
      </c>
      <c r="E107" s="1"/>
      <c r="F107" s="33"/>
      <c r="G107" s="88"/>
      <c r="H107" s="68"/>
      <c r="I107" s="92">
        <f>Defaults!F107</f>
        <v>0</v>
      </c>
      <c r="J107" s="107">
        <f>Defaults!G107</f>
        <v>1.65</v>
      </c>
      <c r="K107" s="62" t="s">
        <v>284</v>
      </c>
      <c r="L107" s="12"/>
      <c r="M107" s="62" t="s">
        <v>284</v>
      </c>
      <c r="N107" s="12"/>
      <c r="O107" s="54"/>
    </row>
    <row r="108" spans="1:15" ht="15" customHeight="1" x14ac:dyDescent="0.2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  <c r="D108" s="1" t="s">
        <v>348</v>
      </c>
      <c r="E108" s="1"/>
      <c r="F108" s="33"/>
      <c r="G108" s="88"/>
      <c r="H108" s="68"/>
      <c r="I108" s="95"/>
      <c r="J108" s="108"/>
      <c r="O108" s="4"/>
    </row>
    <row r="109" spans="1:15" ht="15" customHeight="1" x14ac:dyDescent="0.2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  <c r="D109" s="1" t="s">
        <v>348</v>
      </c>
      <c r="E109" s="1"/>
      <c r="F109" s="51"/>
      <c r="G109" s="88"/>
      <c r="H109" s="69"/>
      <c r="I109" s="92">
        <f>Defaults!F109</f>
        <v>66.7</v>
      </c>
      <c r="J109" s="107">
        <f>Defaults!G109</f>
        <v>0.61</v>
      </c>
      <c r="K109" s="12" t="s">
        <v>147</v>
      </c>
      <c r="L109" s="12"/>
      <c r="M109" s="12" t="s">
        <v>147</v>
      </c>
      <c r="N109" s="12"/>
      <c r="O109" s="54"/>
    </row>
    <row r="110" spans="1:15" ht="15" customHeight="1" x14ac:dyDescent="0.2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  <c r="D110" s="1" t="s">
        <v>348</v>
      </c>
      <c r="E110" s="1"/>
      <c r="F110" s="33"/>
      <c r="H110" s="33"/>
      <c r="I110" s="1"/>
      <c r="O110" s="2"/>
    </row>
    <row r="111" spans="1:15" ht="15" customHeight="1" x14ac:dyDescent="0.2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  <c r="D111" s="1" t="s">
        <v>348</v>
      </c>
      <c r="E111" s="1"/>
      <c r="F111" s="33"/>
      <c r="H111" s="33"/>
      <c r="I111" s="1"/>
      <c r="O111" s="2"/>
    </row>
    <row r="112" spans="1:15" ht="15" customHeight="1" x14ac:dyDescent="0.2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  <c r="D112" s="1" t="s">
        <v>348</v>
      </c>
      <c r="E112" s="1"/>
      <c r="F112" s="33"/>
      <c r="H112" s="33"/>
      <c r="I112" s="1"/>
      <c r="O112" s="2"/>
    </row>
    <row r="113" spans="1:15" ht="15" customHeight="1" x14ac:dyDescent="0.2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  <c r="D113" s="1" t="s">
        <v>348</v>
      </c>
      <c r="E113" s="1"/>
      <c r="F113" s="33"/>
      <c r="H113" s="33"/>
      <c r="I113" s="1"/>
      <c r="O113" s="2"/>
    </row>
    <row r="114" spans="1:15" ht="15" customHeight="1" x14ac:dyDescent="0.2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  <c r="D114" s="1" t="s">
        <v>348</v>
      </c>
      <c r="E114" s="1"/>
      <c r="F114" s="33"/>
      <c r="H114" s="33"/>
      <c r="I114" s="1"/>
      <c r="O114" s="2"/>
    </row>
    <row r="115" spans="1:15" ht="15" customHeight="1" x14ac:dyDescent="0.2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  <c r="D115" s="1" t="s">
        <v>348</v>
      </c>
      <c r="E115" s="1"/>
      <c r="F115" s="33"/>
      <c r="H115" s="33"/>
      <c r="I115" s="1"/>
      <c r="O115" s="2"/>
    </row>
    <row r="116" spans="1:15" ht="15" customHeight="1" x14ac:dyDescent="0.2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  <c r="D116" s="1" t="s">
        <v>348</v>
      </c>
      <c r="E116" s="1"/>
      <c r="F116" s="76"/>
      <c r="H116" s="33"/>
      <c r="I116" s="92">
        <f>Defaults!F116</f>
        <v>71</v>
      </c>
      <c r="J116" s="107">
        <f>Defaults!G116</f>
        <v>0.74</v>
      </c>
      <c r="K116" s="12"/>
      <c r="L116" s="12"/>
      <c r="M116" s="12"/>
      <c r="N116" s="12"/>
      <c r="O116" s="17"/>
    </row>
    <row r="117" spans="1:15" ht="15" customHeight="1" x14ac:dyDescent="0.2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  <c r="D117" s="1" t="s">
        <v>348</v>
      </c>
      <c r="E117" s="1"/>
      <c r="F117" s="33"/>
      <c r="G117" s="88"/>
      <c r="H117" s="71"/>
      <c r="I117" s="92">
        <f>Defaults!F117</f>
        <v>71.900000000000006</v>
      </c>
      <c r="J117" s="107">
        <f>Defaults!G117</f>
        <v>0.42</v>
      </c>
      <c r="K117" s="12" t="s">
        <v>147</v>
      </c>
      <c r="L117" s="12"/>
      <c r="M117" s="12" t="s">
        <v>147</v>
      </c>
      <c r="N117" s="53"/>
      <c r="O117" s="54"/>
    </row>
    <row r="118" spans="1:15" ht="15" customHeight="1" x14ac:dyDescent="0.2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  <c r="D118" s="1" t="s">
        <v>348</v>
      </c>
      <c r="E118" s="1"/>
      <c r="F118" s="33"/>
      <c r="G118" s="88"/>
      <c r="H118" s="71"/>
      <c r="I118" s="92">
        <f>Defaults!F118</f>
        <v>71.3</v>
      </c>
      <c r="J118" s="107">
        <f>Defaults!G118</f>
        <v>0.77</v>
      </c>
      <c r="K118" s="12" t="s">
        <v>147</v>
      </c>
      <c r="L118" s="12"/>
      <c r="M118" s="12" t="s">
        <v>147</v>
      </c>
      <c r="N118" s="53"/>
      <c r="O118" s="54"/>
    </row>
    <row r="119" spans="1:15" x14ac:dyDescent="0.2">
      <c r="I119" s="33"/>
      <c r="K119" s="12"/>
      <c r="L119" s="12"/>
      <c r="M119" s="12"/>
      <c r="N119" s="12"/>
      <c r="O119" s="17"/>
    </row>
    <row r="120" spans="1:15" x14ac:dyDescent="0.2">
      <c r="I120" s="33"/>
      <c r="K120" s="12"/>
      <c r="L120" s="12"/>
      <c r="M120" s="12"/>
      <c r="N120" s="12"/>
      <c r="O120" s="17"/>
    </row>
    <row r="121" spans="1:15" x14ac:dyDescent="0.2">
      <c r="I121" s="33"/>
      <c r="K121" s="12"/>
      <c r="L121" s="12"/>
      <c r="M121" s="12"/>
      <c r="N121" s="12"/>
      <c r="O121" s="17"/>
    </row>
    <row r="122" spans="1:15" x14ac:dyDescent="0.2">
      <c r="I122" s="33"/>
      <c r="K122" s="12"/>
      <c r="L122" s="12"/>
      <c r="M122" s="12"/>
      <c r="N122" s="12"/>
      <c r="O122" s="17"/>
    </row>
    <row r="123" spans="1:15" x14ac:dyDescent="0.2">
      <c r="I123" s="33"/>
      <c r="K123" s="12"/>
      <c r="L123" s="12"/>
      <c r="M123" s="12"/>
      <c r="N123" s="12"/>
      <c r="O123" s="17"/>
    </row>
    <row r="124" spans="1:15" x14ac:dyDescent="0.2">
      <c r="I124" s="33"/>
      <c r="K124" s="12"/>
      <c r="L124" s="12"/>
      <c r="M124" s="12"/>
      <c r="N124" s="12"/>
      <c r="O124" s="17"/>
    </row>
    <row r="125" spans="1:15" x14ac:dyDescent="0.2">
      <c r="I125" s="33"/>
      <c r="K125" s="12"/>
      <c r="L125" s="12"/>
      <c r="M125" s="12"/>
      <c r="N125" s="12"/>
      <c r="O125" s="17"/>
    </row>
    <row r="126" spans="1:15" x14ac:dyDescent="0.2">
      <c r="K126" s="12"/>
      <c r="L126" s="12"/>
      <c r="M126" s="12"/>
      <c r="N126" s="12"/>
      <c r="O126" s="17"/>
    </row>
    <row r="127" spans="1:15" x14ac:dyDescent="0.2">
      <c r="K127" s="12"/>
      <c r="L127" s="12"/>
      <c r="M127" s="12"/>
      <c r="N127" s="12"/>
      <c r="O127" s="17"/>
    </row>
    <row r="128" spans="1:15" x14ac:dyDescent="0.2">
      <c r="K128" s="12"/>
      <c r="L128" s="12"/>
      <c r="M128" s="12"/>
      <c r="N128" s="12"/>
      <c r="O128" s="17"/>
    </row>
    <row r="129" spans="15:15" x14ac:dyDescent="0.2">
      <c r="O129" s="2"/>
    </row>
    <row r="130" spans="15:15" x14ac:dyDescent="0.2">
      <c r="O130" s="2"/>
    </row>
    <row r="131" spans="15:15" x14ac:dyDescent="0.2">
      <c r="O131" s="2"/>
    </row>
    <row r="132" spans="15:15" x14ac:dyDescent="0.2">
      <c r="O132" s="2"/>
    </row>
    <row r="133" spans="15:15" x14ac:dyDescent="0.2">
      <c r="O133" s="2"/>
    </row>
    <row r="134" spans="15:15" x14ac:dyDescent="0.2">
      <c r="O134" s="2"/>
    </row>
    <row r="135" spans="15:15" x14ac:dyDescent="0.2">
      <c r="O135" s="2"/>
    </row>
    <row r="136" spans="15:15" x14ac:dyDescent="0.2">
      <c r="O136" s="2"/>
    </row>
    <row r="137" spans="15:15" x14ac:dyDescent="0.2">
      <c r="O137" s="2"/>
    </row>
    <row r="138" spans="15:15" x14ac:dyDescent="0.2">
      <c r="O138" s="2"/>
    </row>
    <row r="139" spans="15:15" x14ac:dyDescent="0.2">
      <c r="O139" s="2"/>
    </row>
    <row r="140" spans="15:15" x14ac:dyDescent="0.2">
      <c r="O140" s="2"/>
    </row>
    <row r="141" spans="15:15" x14ac:dyDescent="0.2">
      <c r="O141" s="2"/>
    </row>
    <row r="142" spans="15:15" x14ac:dyDescent="0.2">
      <c r="O142" s="2"/>
    </row>
    <row r="143" spans="15:15" x14ac:dyDescent="0.2">
      <c r="O143" s="2"/>
    </row>
    <row r="144" spans="15:15" x14ac:dyDescent="0.2">
      <c r="O144" s="2"/>
    </row>
    <row r="145" spans="15:15" x14ac:dyDescent="0.2">
      <c r="O145" s="2"/>
    </row>
    <row r="146" spans="15:15" x14ac:dyDescent="0.2">
      <c r="O146" s="2"/>
    </row>
    <row r="147" spans="15:15" x14ac:dyDescent="0.2">
      <c r="O147" s="2"/>
    </row>
    <row r="148" spans="15:15" x14ac:dyDescent="0.2">
      <c r="O148" s="2"/>
    </row>
    <row r="149" spans="15:15" x14ac:dyDescent="0.2">
      <c r="O149" s="2"/>
    </row>
    <row r="150" spans="15:15" x14ac:dyDescent="0.2">
      <c r="O150" s="2"/>
    </row>
    <row r="151" spans="15:15" x14ac:dyDescent="0.2">
      <c r="O151" s="2"/>
    </row>
    <row r="152" spans="15:15" x14ac:dyDescent="0.2">
      <c r="O152" s="2"/>
    </row>
    <row r="153" spans="15:15" x14ac:dyDescent="0.2">
      <c r="O153" s="2"/>
    </row>
    <row r="154" spans="15:15" x14ac:dyDescent="0.2">
      <c r="O154" s="2"/>
    </row>
    <row r="155" spans="15:15" x14ac:dyDescent="0.2">
      <c r="O155" s="2"/>
    </row>
    <row r="156" spans="15:15" x14ac:dyDescent="0.2">
      <c r="O156" s="2"/>
    </row>
    <row r="157" spans="15:15" x14ac:dyDescent="0.2">
      <c r="O157" s="2"/>
    </row>
    <row r="158" spans="15:15" x14ac:dyDescent="0.2">
      <c r="O158" s="2"/>
    </row>
    <row r="159" spans="15:15" x14ac:dyDescent="0.2">
      <c r="O159" s="2"/>
    </row>
    <row r="160" spans="15:15" x14ac:dyDescent="0.2">
      <c r="O160" s="2"/>
    </row>
    <row r="161" spans="15:15" x14ac:dyDescent="0.2">
      <c r="O161" s="2"/>
    </row>
    <row r="162" spans="15:15" x14ac:dyDescent="0.2">
      <c r="O162" s="2"/>
    </row>
    <row r="163" spans="15:15" x14ac:dyDescent="0.2">
      <c r="O163" s="2"/>
    </row>
    <row r="164" spans="15:15" x14ac:dyDescent="0.2">
      <c r="O164" s="2"/>
    </row>
    <row r="165" spans="15:15" x14ac:dyDescent="0.2">
      <c r="O165" s="2"/>
    </row>
    <row r="166" spans="15:15" x14ac:dyDescent="0.2">
      <c r="O166" s="2"/>
    </row>
    <row r="167" spans="15:15" x14ac:dyDescent="0.2">
      <c r="O167" s="2"/>
    </row>
    <row r="168" spans="15:15" x14ac:dyDescent="0.2">
      <c r="O168" s="2"/>
    </row>
    <row r="169" spans="15:15" x14ac:dyDescent="0.2">
      <c r="O169" s="2"/>
    </row>
    <row r="170" spans="15:15" x14ac:dyDescent="0.2">
      <c r="O170" s="2"/>
    </row>
    <row r="171" spans="15:15" x14ac:dyDescent="0.2">
      <c r="O171" s="2"/>
    </row>
    <row r="172" spans="15:15" x14ac:dyDescent="0.2">
      <c r="O172" s="2"/>
    </row>
    <row r="173" spans="15:15" x14ac:dyDescent="0.2">
      <c r="O173" s="2"/>
    </row>
    <row r="174" spans="15:15" x14ac:dyDescent="0.2">
      <c r="O174" s="2"/>
    </row>
    <row r="175" spans="15:15" x14ac:dyDescent="0.2">
      <c r="O175" s="2"/>
    </row>
    <row r="176" spans="15:15" x14ac:dyDescent="0.2">
      <c r="O176" s="2"/>
    </row>
    <row r="177" spans="15:15" x14ac:dyDescent="0.2">
      <c r="O177" s="2"/>
    </row>
    <row r="178" spans="15:15" x14ac:dyDescent="0.2">
      <c r="O178" s="2"/>
    </row>
    <row r="179" spans="15:15" x14ac:dyDescent="0.2">
      <c r="O179" s="2"/>
    </row>
    <row r="180" spans="15:15" x14ac:dyDescent="0.2">
      <c r="O180" s="2"/>
    </row>
    <row r="181" spans="15:15" x14ac:dyDescent="0.2">
      <c r="O181" s="2"/>
    </row>
    <row r="182" spans="15:15" x14ac:dyDescent="0.2">
      <c r="O182" s="2"/>
    </row>
    <row r="183" spans="15:15" x14ac:dyDescent="0.2">
      <c r="O183" s="2"/>
    </row>
    <row r="184" spans="15:15" x14ac:dyDescent="0.2">
      <c r="O184" s="2"/>
    </row>
    <row r="185" spans="15:15" x14ac:dyDescent="0.2">
      <c r="O185" s="2"/>
    </row>
    <row r="186" spans="15:15" x14ac:dyDescent="0.2">
      <c r="O186" s="2"/>
    </row>
    <row r="187" spans="15:15" x14ac:dyDescent="0.2">
      <c r="O187" s="2"/>
    </row>
    <row r="188" spans="15:15" x14ac:dyDescent="0.2">
      <c r="O188" s="2"/>
    </row>
    <row r="189" spans="15:15" x14ac:dyDescent="0.2">
      <c r="O189" s="2"/>
    </row>
    <row r="190" spans="15:15" x14ac:dyDescent="0.2">
      <c r="O190" s="2"/>
    </row>
    <row r="191" spans="15:15" x14ac:dyDescent="0.2">
      <c r="O191" s="2"/>
    </row>
    <row r="192" spans="15:15" x14ac:dyDescent="0.2">
      <c r="O192" s="2"/>
    </row>
    <row r="193" spans="15:15" x14ac:dyDescent="0.2">
      <c r="O193" s="2"/>
    </row>
    <row r="194" spans="15:15" x14ac:dyDescent="0.2">
      <c r="O194" s="2"/>
    </row>
    <row r="195" spans="15:15" x14ac:dyDescent="0.2">
      <c r="O195" s="2"/>
    </row>
    <row r="196" spans="15:15" x14ac:dyDescent="0.2">
      <c r="O196" s="2"/>
    </row>
    <row r="197" spans="15:15" x14ac:dyDescent="0.2">
      <c r="O197" s="2"/>
    </row>
    <row r="198" spans="15:15" x14ac:dyDescent="0.2">
      <c r="O198" s="2"/>
    </row>
    <row r="199" spans="15:15" x14ac:dyDescent="0.2">
      <c r="O199" s="2"/>
    </row>
    <row r="200" spans="15:15" x14ac:dyDescent="0.2">
      <c r="O200" s="2"/>
    </row>
    <row r="201" spans="15:15" x14ac:dyDescent="0.2">
      <c r="O201" s="2"/>
    </row>
    <row r="202" spans="15:15" x14ac:dyDescent="0.2">
      <c r="O202" s="2"/>
    </row>
    <row r="203" spans="15:15" x14ac:dyDescent="0.2">
      <c r="O203" s="2"/>
    </row>
    <row r="204" spans="15:15" x14ac:dyDescent="0.2">
      <c r="O204" s="2"/>
    </row>
    <row r="205" spans="15:15" x14ac:dyDescent="0.2">
      <c r="O205" s="2"/>
    </row>
    <row r="206" spans="15:15" x14ac:dyDescent="0.2">
      <c r="O206" s="2"/>
    </row>
    <row r="207" spans="15:15" x14ac:dyDescent="0.2">
      <c r="O207" s="2"/>
    </row>
    <row r="208" spans="15:15" x14ac:dyDescent="0.2">
      <c r="O208" s="2"/>
    </row>
    <row r="209" spans="15:15" x14ac:dyDescent="0.2">
      <c r="O209" s="2"/>
    </row>
    <row r="210" spans="15:15" x14ac:dyDescent="0.2">
      <c r="O210" s="2"/>
    </row>
    <row r="211" spans="15:15" x14ac:dyDescent="0.2">
      <c r="O211" s="2"/>
    </row>
    <row r="212" spans="15:15" x14ac:dyDescent="0.2">
      <c r="O212" s="2"/>
    </row>
    <row r="213" spans="15:15" x14ac:dyDescent="0.2">
      <c r="O213" s="2"/>
    </row>
    <row r="214" spans="15:15" x14ac:dyDescent="0.2">
      <c r="O214" s="2"/>
    </row>
    <row r="215" spans="15:15" x14ac:dyDescent="0.2">
      <c r="O215" s="2"/>
    </row>
    <row r="216" spans="15:15" x14ac:dyDescent="0.2">
      <c r="O216" s="2"/>
    </row>
    <row r="217" spans="15:15" x14ac:dyDescent="0.2">
      <c r="O217" s="2"/>
    </row>
    <row r="218" spans="15:15" x14ac:dyDescent="0.2">
      <c r="O218" s="2"/>
    </row>
    <row r="219" spans="15:15" x14ac:dyDescent="0.2">
      <c r="O219" s="2"/>
    </row>
    <row r="220" spans="15:15" x14ac:dyDescent="0.2">
      <c r="O220" s="2"/>
    </row>
    <row r="221" spans="15:15" x14ac:dyDescent="0.2">
      <c r="O221" s="2"/>
    </row>
    <row r="222" spans="15:15" x14ac:dyDescent="0.2">
      <c r="O222" s="2"/>
    </row>
    <row r="223" spans="15:15" x14ac:dyDescent="0.2">
      <c r="O223" s="2"/>
    </row>
    <row r="224" spans="15:15" x14ac:dyDescent="0.2">
      <c r="O224" s="2"/>
    </row>
    <row r="225" spans="15:15" x14ac:dyDescent="0.2">
      <c r="O225" s="2"/>
    </row>
    <row r="226" spans="15:15" x14ac:dyDescent="0.2">
      <c r="O226" s="2"/>
    </row>
    <row r="227" spans="15:15" x14ac:dyDescent="0.2">
      <c r="O227" s="2"/>
    </row>
    <row r="228" spans="15:15" x14ac:dyDescent="0.2">
      <c r="O228" s="2"/>
    </row>
    <row r="229" spans="15:15" x14ac:dyDescent="0.2">
      <c r="O229" s="2"/>
    </row>
  </sheetData>
  <autoFilter ref="A5:O118" xr:uid="{00000000-0009-0000-0000-000002000000}">
    <sortState xmlns:xlrd2="http://schemas.microsoft.com/office/spreadsheetml/2017/richdata2" ref="A6:O118">
      <sortCondition ref="B5:B118"/>
    </sortState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B00D-AB49-45AD-AC4A-D396E0896AB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61DB-93DF-4918-A907-A34AB880867B}">
  <sheetPr>
    <tabColor theme="5" tint="0.59999389629810485"/>
  </sheetPr>
  <dimension ref="A2:K125"/>
  <sheetViews>
    <sheetView zoomScale="80" zoomScaleNormal="80" workbookViewId="0">
      <selection activeCell="K7" sqref="K7"/>
    </sheetView>
  </sheetViews>
  <sheetFormatPr baseColWidth="10" defaultColWidth="8.83203125" defaultRowHeight="15" x14ac:dyDescent="0.2"/>
  <cols>
    <col min="2" max="2" width="32.83203125" customWidth="1"/>
    <col min="3" max="3" width="15.33203125" customWidth="1"/>
  </cols>
  <sheetData>
    <row r="2" spans="1:11" ht="19" x14ac:dyDescent="0.25">
      <c r="A2" s="118" t="s">
        <v>350</v>
      </c>
    </row>
    <row r="4" spans="1:11" x14ac:dyDescent="0.2">
      <c r="A4" s="119" t="s">
        <v>1</v>
      </c>
      <c r="B4" s="120"/>
      <c r="C4" s="120"/>
    </row>
    <row r="5" spans="1:11" ht="16" x14ac:dyDescent="0.2">
      <c r="A5" s="121" t="s">
        <v>3</v>
      </c>
      <c r="B5" s="122" t="s">
        <v>4</v>
      </c>
      <c r="C5" s="122" t="s">
        <v>5</v>
      </c>
      <c r="D5" t="s">
        <v>358</v>
      </c>
      <c r="E5" t="s">
        <v>351</v>
      </c>
      <c r="F5" t="s">
        <v>352</v>
      </c>
      <c r="G5" t="s">
        <v>353</v>
      </c>
      <c r="H5" t="s">
        <v>354</v>
      </c>
      <c r="I5" t="s">
        <v>355</v>
      </c>
      <c r="J5" t="s">
        <v>356</v>
      </c>
      <c r="K5" t="s">
        <v>357</v>
      </c>
    </row>
    <row r="6" spans="1:11" x14ac:dyDescent="0.2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</row>
    <row r="7" spans="1:11" x14ac:dyDescent="0.2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</row>
    <row r="8" spans="1:11" x14ac:dyDescent="0.2">
      <c r="A8" s="6" t="str">
        <f>Defaults!A8</f>
        <v>01341</v>
      </c>
      <c r="B8" s="6" t="str">
        <f>Defaults!B8</f>
        <v>Apples</v>
      </c>
      <c r="C8" s="6" t="str">
        <f>Defaults!C8</f>
        <v>Fruits</v>
      </c>
    </row>
    <row r="9" spans="1:11" x14ac:dyDescent="0.2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</row>
    <row r="10" spans="1:11" x14ac:dyDescent="0.2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</row>
    <row r="11" spans="1:11" x14ac:dyDescent="0.2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</row>
    <row r="12" spans="1:11" x14ac:dyDescent="0.2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</row>
    <row r="13" spans="1:11" x14ac:dyDescent="0.2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</row>
    <row r="14" spans="1:11" x14ac:dyDescent="0.2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</row>
    <row r="15" spans="1:11" x14ac:dyDescent="0.2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</row>
    <row r="16" spans="1:11" x14ac:dyDescent="0.2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</row>
    <row r="17" spans="1:3" x14ac:dyDescent="0.2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</row>
    <row r="18" spans="1:3" x14ac:dyDescent="0.2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</row>
    <row r="19" spans="1:3" x14ac:dyDescent="0.2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</row>
    <row r="20" spans="1:3" x14ac:dyDescent="0.2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</row>
    <row r="21" spans="1:3" x14ac:dyDescent="0.2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</row>
    <row r="22" spans="1:3" x14ac:dyDescent="0.2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</row>
    <row r="23" spans="1:3" x14ac:dyDescent="0.2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</row>
    <row r="24" spans="1:3" x14ac:dyDescent="0.2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</row>
    <row r="25" spans="1:3" x14ac:dyDescent="0.2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</row>
    <row r="26" spans="1:3" x14ac:dyDescent="0.2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</row>
    <row r="27" spans="1:3" x14ac:dyDescent="0.2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</row>
    <row r="28" spans="1:3" x14ac:dyDescent="0.2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</row>
    <row r="29" spans="1:3" x14ac:dyDescent="0.2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</row>
    <row r="30" spans="1:3" x14ac:dyDescent="0.2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</row>
    <row r="31" spans="1:3" x14ac:dyDescent="0.2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</row>
    <row r="32" spans="1:3" x14ac:dyDescent="0.2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</row>
    <row r="33" spans="1:3" x14ac:dyDescent="0.2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</row>
    <row r="34" spans="1:3" x14ac:dyDescent="0.2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</row>
    <row r="35" spans="1:3" x14ac:dyDescent="0.2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</row>
    <row r="36" spans="1:3" x14ac:dyDescent="0.2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</row>
    <row r="37" spans="1:3" x14ac:dyDescent="0.2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</row>
    <row r="38" spans="1:3" x14ac:dyDescent="0.2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</row>
    <row r="39" spans="1:3" x14ac:dyDescent="0.2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</row>
    <row r="40" spans="1:3" x14ac:dyDescent="0.2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</row>
    <row r="41" spans="1:3" x14ac:dyDescent="0.2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</row>
    <row r="42" spans="1:3" x14ac:dyDescent="0.2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</row>
    <row r="43" spans="1:3" x14ac:dyDescent="0.2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</row>
    <row r="44" spans="1:3" x14ac:dyDescent="0.2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</row>
    <row r="45" spans="1:3" x14ac:dyDescent="0.2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</row>
    <row r="46" spans="1:3" x14ac:dyDescent="0.2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</row>
    <row r="47" spans="1:3" x14ac:dyDescent="0.2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</row>
    <row r="48" spans="1:3" x14ac:dyDescent="0.2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</row>
    <row r="49" spans="1:3" x14ac:dyDescent="0.2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</row>
    <row r="50" spans="1:3" x14ac:dyDescent="0.2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</row>
    <row r="51" spans="1:3" x14ac:dyDescent="0.2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</row>
    <row r="52" spans="1:3" x14ac:dyDescent="0.2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</row>
    <row r="53" spans="1:3" x14ac:dyDescent="0.2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</row>
    <row r="54" spans="1:3" x14ac:dyDescent="0.2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</row>
    <row r="55" spans="1:3" x14ac:dyDescent="0.2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</row>
    <row r="56" spans="1:3" x14ac:dyDescent="0.2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</row>
    <row r="57" spans="1:3" x14ac:dyDescent="0.2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</row>
    <row r="58" spans="1:3" x14ac:dyDescent="0.2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</row>
    <row r="59" spans="1:3" x14ac:dyDescent="0.2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</row>
    <row r="60" spans="1:3" x14ac:dyDescent="0.2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</row>
    <row r="61" spans="1:3" x14ac:dyDescent="0.2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</row>
    <row r="62" spans="1:3" x14ac:dyDescent="0.2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</row>
    <row r="63" spans="1:3" x14ac:dyDescent="0.2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</row>
    <row r="64" spans="1:3" x14ac:dyDescent="0.2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</row>
    <row r="65" spans="1:3" x14ac:dyDescent="0.2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</row>
    <row r="66" spans="1:3" x14ac:dyDescent="0.2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</row>
    <row r="67" spans="1:3" x14ac:dyDescent="0.2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</row>
    <row r="68" spans="1:3" x14ac:dyDescent="0.2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</row>
    <row r="69" spans="1:3" x14ac:dyDescent="0.2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</row>
    <row r="70" spans="1:3" x14ac:dyDescent="0.2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</row>
    <row r="71" spans="1:3" x14ac:dyDescent="0.2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</row>
    <row r="72" spans="1:3" x14ac:dyDescent="0.2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</row>
    <row r="73" spans="1:3" x14ac:dyDescent="0.2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</row>
    <row r="74" spans="1:3" x14ac:dyDescent="0.2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</row>
    <row r="75" spans="1:3" x14ac:dyDescent="0.2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</row>
    <row r="76" spans="1:3" x14ac:dyDescent="0.2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</row>
    <row r="77" spans="1:3" x14ac:dyDescent="0.2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</row>
    <row r="78" spans="1:3" x14ac:dyDescent="0.2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</row>
    <row r="79" spans="1:3" x14ac:dyDescent="0.2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</row>
    <row r="80" spans="1:3" x14ac:dyDescent="0.2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</row>
    <row r="81" spans="1:3" x14ac:dyDescent="0.2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</row>
    <row r="82" spans="1:3" x14ac:dyDescent="0.2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</row>
    <row r="83" spans="1:3" x14ac:dyDescent="0.2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</row>
    <row r="84" spans="1:3" x14ac:dyDescent="0.2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</row>
    <row r="85" spans="1:3" x14ac:dyDescent="0.2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</row>
    <row r="86" spans="1:3" x14ac:dyDescent="0.2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</row>
    <row r="87" spans="1:3" x14ac:dyDescent="0.2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</row>
    <row r="88" spans="1:3" x14ac:dyDescent="0.2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</row>
    <row r="89" spans="1:3" x14ac:dyDescent="0.2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</row>
    <row r="90" spans="1:3" x14ac:dyDescent="0.2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</row>
    <row r="91" spans="1:3" x14ac:dyDescent="0.2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</row>
    <row r="92" spans="1:3" x14ac:dyDescent="0.2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</row>
    <row r="93" spans="1:3" x14ac:dyDescent="0.2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</row>
    <row r="94" spans="1:3" x14ac:dyDescent="0.2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</row>
    <row r="95" spans="1:3" x14ac:dyDescent="0.2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</row>
    <row r="96" spans="1:3" x14ac:dyDescent="0.2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</row>
    <row r="97" spans="1:3" x14ac:dyDescent="0.2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</row>
    <row r="98" spans="1:3" x14ac:dyDescent="0.2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</row>
    <row r="99" spans="1:3" x14ac:dyDescent="0.2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</row>
    <row r="100" spans="1:3" x14ac:dyDescent="0.2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</row>
    <row r="101" spans="1:3" x14ac:dyDescent="0.2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</row>
    <row r="102" spans="1:3" x14ac:dyDescent="0.2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</row>
    <row r="103" spans="1:3" x14ac:dyDescent="0.2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</row>
    <row r="104" spans="1:3" x14ac:dyDescent="0.2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</row>
    <row r="105" spans="1:3" x14ac:dyDescent="0.2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</row>
    <row r="106" spans="1:3" x14ac:dyDescent="0.2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</row>
    <row r="107" spans="1:3" x14ac:dyDescent="0.2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</row>
    <row r="108" spans="1:3" x14ac:dyDescent="0.2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</row>
    <row r="109" spans="1:3" x14ac:dyDescent="0.2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</row>
    <row r="110" spans="1:3" x14ac:dyDescent="0.2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</row>
    <row r="111" spans="1:3" x14ac:dyDescent="0.2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</row>
    <row r="112" spans="1:3" x14ac:dyDescent="0.2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</row>
    <row r="113" spans="1:3" x14ac:dyDescent="0.2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</row>
    <row r="114" spans="1:3" x14ac:dyDescent="0.2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</row>
    <row r="115" spans="1:3" x14ac:dyDescent="0.2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</row>
    <row r="116" spans="1:3" x14ac:dyDescent="0.2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</row>
    <row r="117" spans="1:3" x14ac:dyDescent="0.2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</row>
    <row r="118" spans="1:3" x14ac:dyDescent="0.2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</row>
    <row r="119" spans="1:3" x14ac:dyDescent="0.2">
      <c r="A119" s="6"/>
      <c r="B119" s="6"/>
      <c r="C119" s="6"/>
    </row>
    <row r="120" spans="1:3" x14ac:dyDescent="0.2">
      <c r="A120" s="6"/>
      <c r="B120" s="6"/>
      <c r="C120" s="6"/>
    </row>
    <row r="121" spans="1:3" x14ac:dyDescent="0.2">
      <c r="A121" s="6"/>
      <c r="B121" s="6"/>
      <c r="C121" s="6"/>
    </row>
    <row r="122" spans="1:3" x14ac:dyDescent="0.2">
      <c r="A122" s="6"/>
      <c r="B122" s="6"/>
      <c r="C122" s="6"/>
    </row>
    <row r="123" spans="1:3" x14ac:dyDescent="0.2">
      <c r="A123" s="6"/>
      <c r="B123" s="6"/>
      <c r="C123" s="6"/>
    </row>
    <row r="124" spans="1:3" x14ac:dyDescent="0.2">
      <c r="A124" s="6"/>
      <c r="B124" s="6"/>
      <c r="C124" s="6"/>
    </row>
    <row r="125" spans="1:3" x14ac:dyDescent="0.2">
      <c r="A125" s="6"/>
      <c r="B125" s="6"/>
      <c r="C125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E4FD-C896-4366-BE50-62B8162E822E}">
  <sheetPr>
    <tabColor theme="6" tint="0.59999389629810485"/>
  </sheetPr>
  <dimension ref="A2:J125"/>
  <sheetViews>
    <sheetView zoomScale="80" zoomScaleNormal="80" workbookViewId="0">
      <selection activeCell="D10" sqref="D10"/>
    </sheetView>
  </sheetViews>
  <sheetFormatPr baseColWidth="10" defaultColWidth="8.83203125" defaultRowHeight="15" x14ac:dyDescent="0.2"/>
  <cols>
    <col min="2" max="2" width="32.83203125" customWidth="1"/>
    <col min="3" max="3" width="15.33203125" customWidth="1"/>
  </cols>
  <sheetData>
    <row r="2" spans="1:10" ht="19" x14ac:dyDescent="0.25">
      <c r="A2" s="118" t="s">
        <v>350</v>
      </c>
    </row>
    <row r="4" spans="1:10" x14ac:dyDescent="0.2">
      <c r="A4" s="123" t="s">
        <v>1</v>
      </c>
      <c r="B4" s="124"/>
      <c r="C4" s="124"/>
    </row>
    <row r="5" spans="1:10" ht="16" x14ac:dyDescent="0.2">
      <c r="A5" s="125" t="s">
        <v>3</v>
      </c>
      <c r="B5" s="126" t="s">
        <v>4</v>
      </c>
      <c r="C5" s="126" t="s">
        <v>5</v>
      </c>
      <c r="D5" t="s">
        <v>351</v>
      </c>
      <c r="E5" t="s">
        <v>352</v>
      </c>
      <c r="F5" t="s">
        <v>353</v>
      </c>
      <c r="G5" t="s">
        <v>354</v>
      </c>
      <c r="H5" t="s">
        <v>355</v>
      </c>
      <c r="I5" t="s">
        <v>356</v>
      </c>
      <c r="J5" t="s">
        <v>357</v>
      </c>
    </row>
    <row r="6" spans="1:10" x14ac:dyDescent="0.2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</row>
    <row r="7" spans="1:10" x14ac:dyDescent="0.2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</row>
    <row r="8" spans="1:10" x14ac:dyDescent="0.2">
      <c r="A8" s="6" t="str">
        <f>Defaults!A8</f>
        <v>01341</v>
      </c>
      <c r="B8" s="6" t="str">
        <f>Defaults!B8</f>
        <v>Apples</v>
      </c>
      <c r="C8" s="6" t="str">
        <f>Defaults!C8</f>
        <v>Fruits</v>
      </c>
    </row>
    <row r="9" spans="1:10" x14ac:dyDescent="0.2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</row>
    <row r="10" spans="1:10" x14ac:dyDescent="0.2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</row>
    <row r="11" spans="1:10" x14ac:dyDescent="0.2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</row>
    <row r="12" spans="1:10" x14ac:dyDescent="0.2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</row>
    <row r="13" spans="1:10" x14ac:dyDescent="0.2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</row>
    <row r="14" spans="1:10" x14ac:dyDescent="0.2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</row>
    <row r="15" spans="1:10" x14ac:dyDescent="0.2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</row>
    <row r="16" spans="1:10" x14ac:dyDescent="0.2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</row>
    <row r="17" spans="1:3" x14ac:dyDescent="0.2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</row>
    <row r="18" spans="1:3" x14ac:dyDescent="0.2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</row>
    <row r="19" spans="1:3" x14ac:dyDescent="0.2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</row>
    <row r="20" spans="1:3" x14ac:dyDescent="0.2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</row>
    <row r="21" spans="1:3" x14ac:dyDescent="0.2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</row>
    <row r="22" spans="1:3" x14ac:dyDescent="0.2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</row>
    <row r="23" spans="1:3" x14ac:dyDescent="0.2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</row>
    <row r="24" spans="1:3" x14ac:dyDescent="0.2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</row>
    <row r="25" spans="1:3" x14ac:dyDescent="0.2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</row>
    <row r="26" spans="1:3" x14ac:dyDescent="0.2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</row>
    <row r="27" spans="1:3" x14ac:dyDescent="0.2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</row>
    <row r="28" spans="1:3" x14ac:dyDescent="0.2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</row>
    <row r="29" spans="1:3" x14ac:dyDescent="0.2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</row>
    <row r="30" spans="1:3" x14ac:dyDescent="0.2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</row>
    <row r="31" spans="1:3" x14ac:dyDescent="0.2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</row>
    <row r="32" spans="1:3" x14ac:dyDescent="0.2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</row>
    <row r="33" spans="1:3" x14ac:dyDescent="0.2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</row>
    <row r="34" spans="1:3" x14ac:dyDescent="0.2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</row>
    <row r="35" spans="1:3" x14ac:dyDescent="0.2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</row>
    <row r="36" spans="1:3" x14ac:dyDescent="0.2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</row>
    <row r="37" spans="1:3" x14ac:dyDescent="0.2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</row>
    <row r="38" spans="1:3" x14ac:dyDescent="0.2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</row>
    <row r="39" spans="1:3" x14ac:dyDescent="0.2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</row>
    <row r="40" spans="1:3" x14ac:dyDescent="0.2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</row>
    <row r="41" spans="1:3" x14ac:dyDescent="0.2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</row>
    <row r="42" spans="1:3" x14ac:dyDescent="0.2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</row>
    <row r="43" spans="1:3" x14ac:dyDescent="0.2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</row>
    <row r="44" spans="1:3" x14ac:dyDescent="0.2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</row>
    <row r="45" spans="1:3" x14ac:dyDescent="0.2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</row>
    <row r="46" spans="1:3" x14ac:dyDescent="0.2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</row>
    <row r="47" spans="1:3" x14ac:dyDescent="0.2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</row>
    <row r="48" spans="1:3" x14ac:dyDescent="0.2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</row>
    <row r="49" spans="1:3" x14ac:dyDescent="0.2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</row>
    <row r="50" spans="1:3" x14ac:dyDescent="0.2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</row>
    <row r="51" spans="1:3" x14ac:dyDescent="0.2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</row>
    <row r="52" spans="1:3" x14ac:dyDescent="0.2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</row>
    <row r="53" spans="1:3" x14ac:dyDescent="0.2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</row>
    <row r="54" spans="1:3" x14ac:dyDescent="0.2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</row>
    <row r="55" spans="1:3" x14ac:dyDescent="0.2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</row>
    <row r="56" spans="1:3" x14ac:dyDescent="0.2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</row>
    <row r="57" spans="1:3" x14ac:dyDescent="0.2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</row>
    <row r="58" spans="1:3" x14ac:dyDescent="0.2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</row>
    <row r="59" spans="1:3" x14ac:dyDescent="0.2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</row>
    <row r="60" spans="1:3" x14ac:dyDescent="0.2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</row>
    <row r="61" spans="1:3" x14ac:dyDescent="0.2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</row>
    <row r="62" spans="1:3" x14ac:dyDescent="0.2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</row>
    <row r="63" spans="1:3" x14ac:dyDescent="0.2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</row>
    <row r="64" spans="1:3" x14ac:dyDescent="0.2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</row>
    <row r="65" spans="1:3" x14ac:dyDescent="0.2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</row>
    <row r="66" spans="1:3" x14ac:dyDescent="0.2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</row>
    <row r="67" spans="1:3" x14ac:dyDescent="0.2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</row>
    <row r="68" spans="1:3" x14ac:dyDescent="0.2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</row>
    <row r="69" spans="1:3" x14ac:dyDescent="0.2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</row>
    <row r="70" spans="1:3" x14ac:dyDescent="0.2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</row>
    <row r="71" spans="1:3" x14ac:dyDescent="0.2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</row>
    <row r="72" spans="1:3" x14ac:dyDescent="0.2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</row>
    <row r="73" spans="1:3" x14ac:dyDescent="0.2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</row>
    <row r="74" spans="1:3" x14ac:dyDescent="0.2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</row>
    <row r="75" spans="1:3" x14ac:dyDescent="0.2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</row>
    <row r="76" spans="1:3" x14ac:dyDescent="0.2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</row>
    <row r="77" spans="1:3" x14ac:dyDescent="0.2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</row>
    <row r="78" spans="1:3" x14ac:dyDescent="0.2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</row>
    <row r="79" spans="1:3" x14ac:dyDescent="0.2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</row>
    <row r="80" spans="1:3" x14ac:dyDescent="0.2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</row>
    <row r="81" spans="1:3" x14ac:dyDescent="0.2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</row>
    <row r="82" spans="1:3" x14ac:dyDescent="0.2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</row>
    <row r="83" spans="1:3" x14ac:dyDescent="0.2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</row>
    <row r="84" spans="1:3" x14ac:dyDescent="0.2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</row>
    <row r="85" spans="1:3" x14ac:dyDescent="0.2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</row>
    <row r="86" spans="1:3" x14ac:dyDescent="0.2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</row>
    <row r="87" spans="1:3" x14ac:dyDescent="0.2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</row>
    <row r="88" spans="1:3" x14ac:dyDescent="0.2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</row>
    <row r="89" spans="1:3" x14ac:dyDescent="0.2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</row>
    <row r="90" spans="1:3" x14ac:dyDescent="0.2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</row>
    <row r="91" spans="1:3" x14ac:dyDescent="0.2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</row>
    <row r="92" spans="1:3" x14ac:dyDescent="0.2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</row>
    <row r="93" spans="1:3" x14ac:dyDescent="0.2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</row>
    <row r="94" spans="1:3" x14ac:dyDescent="0.2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</row>
    <row r="95" spans="1:3" x14ac:dyDescent="0.2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</row>
    <row r="96" spans="1:3" x14ac:dyDescent="0.2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</row>
    <row r="97" spans="1:3" x14ac:dyDescent="0.2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</row>
    <row r="98" spans="1:3" x14ac:dyDescent="0.2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</row>
    <row r="99" spans="1:3" x14ac:dyDescent="0.2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</row>
    <row r="100" spans="1:3" x14ac:dyDescent="0.2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</row>
    <row r="101" spans="1:3" x14ac:dyDescent="0.2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</row>
    <row r="102" spans="1:3" x14ac:dyDescent="0.2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</row>
    <row r="103" spans="1:3" x14ac:dyDescent="0.2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</row>
    <row r="104" spans="1:3" x14ac:dyDescent="0.2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</row>
    <row r="105" spans="1:3" x14ac:dyDescent="0.2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</row>
    <row r="106" spans="1:3" x14ac:dyDescent="0.2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</row>
    <row r="107" spans="1:3" x14ac:dyDescent="0.2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</row>
    <row r="108" spans="1:3" x14ac:dyDescent="0.2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</row>
    <row r="109" spans="1:3" x14ac:dyDescent="0.2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</row>
    <row r="110" spans="1:3" x14ac:dyDescent="0.2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</row>
    <row r="111" spans="1:3" x14ac:dyDescent="0.2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</row>
    <row r="112" spans="1:3" x14ac:dyDescent="0.2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</row>
    <row r="113" spans="1:3" x14ac:dyDescent="0.2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</row>
    <row r="114" spans="1:3" x14ac:dyDescent="0.2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</row>
    <row r="115" spans="1:3" x14ac:dyDescent="0.2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</row>
    <row r="116" spans="1:3" x14ac:dyDescent="0.2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</row>
    <row r="117" spans="1:3" x14ac:dyDescent="0.2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</row>
    <row r="118" spans="1:3" x14ac:dyDescent="0.2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</row>
    <row r="119" spans="1:3" x14ac:dyDescent="0.2">
      <c r="A119" s="6"/>
      <c r="B119" s="6"/>
      <c r="C119" s="6"/>
    </row>
    <row r="120" spans="1:3" x14ac:dyDescent="0.2">
      <c r="A120" s="6"/>
      <c r="B120" s="6"/>
      <c r="C120" s="6"/>
    </row>
    <row r="121" spans="1:3" x14ac:dyDescent="0.2">
      <c r="A121" s="6"/>
      <c r="B121" s="6"/>
      <c r="C121" s="6"/>
    </row>
    <row r="122" spans="1:3" x14ac:dyDescent="0.2">
      <c r="A122" s="6"/>
      <c r="B122" s="6"/>
      <c r="C122" s="6"/>
    </row>
    <row r="123" spans="1:3" x14ac:dyDescent="0.2">
      <c r="A123" s="6"/>
      <c r="B123" s="6"/>
      <c r="C123" s="6"/>
    </row>
    <row r="124" spans="1:3" x14ac:dyDescent="0.2">
      <c r="A124" s="6"/>
      <c r="B124" s="6"/>
      <c r="C124" s="6"/>
    </row>
    <row r="125" spans="1:3" x14ac:dyDescent="0.2">
      <c r="A125" s="6"/>
      <c r="B125" s="6"/>
      <c r="C125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F8BC-BC7B-41C5-94D7-61908B9D954B}">
  <sheetPr>
    <tabColor theme="4" tint="0.39997558519241921"/>
  </sheetPr>
  <dimension ref="A2:O229"/>
  <sheetViews>
    <sheetView topLeftCell="A108" zoomScale="80" zoomScaleNormal="80" workbookViewId="0">
      <selection activeCell="I6" sqref="I6:I118"/>
    </sheetView>
  </sheetViews>
  <sheetFormatPr baseColWidth="10" defaultColWidth="8.6640625" defaultRowHeight="15" x14ac:dyDescent="0.2"/>
  <cols>
    <col min="2" max="2" width="22.33203125" style="1" customWidth="1"/>
    <col min="3" max="3" width="17.6640625" style="1" customWidth="1"/>
    <col min="4" max="4" width="9.5" style="1" customWidth="1"/>
    <col min="5" max="5" width="6.33203125" customWidth="1"/>
    <col min="6" max="6" width="12.6640625" style="9" customWidth="1"/>
    <col min="7" max="9" width="12.6640625" customWidth="1"/>
    <col min="10" max="10" width="12.6640625" style="1" customWidth="1"/>
    <col min="11" max="15" width="30.6640625" customWidth="1"/>
  </cols>
  <sheetData>
    <row r="2" spans="1:15" ht="21" x14ac:dyDescent="0.2">
      <c r="A2" s="65" t="s">
        <v>346</v>
      </c>
      <c r="E2" s="4"/>
      <c r="F2" s="8"/>
      <c r="G2" s="4"/>
      <c r="H2" s="29"/>
      <c r="I2" s="29"/>
      <c r="J2" s="97"/>
      <c r="L2" s="3"/>
    </row>
    <row r="3" spans="1:15" x14ac:dyDescent="0.2">
      <c r="A3" s="66"/>
      <c r="B3" s="11"/>
      <c r="C3" s="11"/>
      <c r="D3" s="11"/>
      <c r="E3" s="11"/>
      <c r="F3" s="11"/>
      <c r="G3" s="11"/>
      <c r="H3" s="11"/>
      <c r="I3" s="11"/>
      <c r="J3" s="104"/>
    </row>
    <row r="4" spans="1:15" x14ac:dyDescent="0.2">
      <c r="A4" s="67" t="s">
        <v>1</v>
      </c>
      <c r="B4" s="34"/>
      <c r="C4" s="34"/>
      <c r="D4" s="34"/>
      <c r="E4" s="35"/>
      <c r="F4" s="36" t="s">
        <v>121</v>
      </c>
      <c r="G4" s="35"/>
      <c r="H4" s="37"/>
      <c r="I4" s="38" t="s">
        <v>122</v>
      </c>
      <c r="J4" s="113" t="s">
        <v>2</v>
      </c>
      <c r="K4" s="39" t="s">
        <v>121</v>
      </c>
      <c r="L4" s="40"/>
      <c r="M4" s="41"/>
      <c r="N4" s="42" t="s">
        <v>122</v>
      </c>
      <c r="O4" s="43" t="s">
        <v>2</v>
      </c>
    </row>
    <row r="5" spans="1:15" s="7" customFormat="1" ht="51.5" customHeight="1" x14ac:dyDescent="0.2">
      <c r="A5" s="102" t="s">
        <v>3</v>
      </c>
      <c r="B5" s="44" t="s">
        <v>4</v>
      </c>
      <c r="C5" s="44" t="s">
        <v>5</v>
      </c>
      <c r="D5" s="44" t="s">
        <v>6</v>
      </c>
      <c r="E5" s="103" t="s">
        <v>7</v>
      </c>
      <c r="F5" s="45" t="s">
        <v>342</v>
      </c>
      <c r="G5" s="46" t="s">
        <v>123</v>
      </c>
      <c r="H5" s="46" t="s">
        <v>343</v>
      </c>
      <c r="I5" s="46" t="s">
        <v>124</v>
      </c>
      <c r="J5" s="114" t="s">
        <v>125</v>
      </c>
      <c r="K5" s="47" t="s">
        <v>344</v>
      </c>
      <c r="L5" s="48" t="s">
        <v>123</v>
      </c>
      <c r="M5" s="48" t="s">
        <v>345</v>
      </c>
      <c r="N5" s="48" t="s">
        <v>124</v>
      </c>
      <c r="O5" s="49" t="s">
        <v>341</v>
      </c>
    </row>
    <row r="6" spans="1:15" ht="15" customHeight="1" x14ac:dyDescent="0.2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  <c r="D6" s="1" t="str">
        <f t="shared" ref="D6:D37" si="0">IF(ISBLANK(F6),"No","Yes")</f>
        <v>No</v>
      </c>
      <c r="E6" s="1"/>
      <c r="F6" s="33"/>
      <c r="G6" s="32"/>
      <c r="H6" s="33"/>
      <c r="I6" s="1"/>
      <c r="O6" s="2"/>
    </row>
    <row r="7" spans="1:15" ht="15" customHeight="1" x14ac:dyDescent="0.2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  <c r="D7" s="1" t="str">
        <f t="shared" si="0"/>
        <v>No</v>
      </c>
      <c r="E7" s="1"/>
      <c r="F7" s="33"/>
      <c r="G7" s="32"/>
      <c r="H7" s="33"/>
      <c r="I7" s="1"/>
      <c r="O7" s="2"/>
    </row>
    <row r="8" spans="1:15" ht="15" customHeight="1" x14ac:dyDescent="0.2">
      <c r="A8" s="6" t="str">
        <f>Defaults!A8</f>
        <v>01341</v>
      </c>
      <c r="B8" s="6" t="str">
        <f>Defaults!B8</f>
        <v>Apples</v>
      </c>
      <c r="C8" s="6" t="str">
        <f>Defaults!C8</f>
        <v>Fruits</v>
      </c>
      <c r="D8" s="1" t="str">
        <f t="shared" si="0"/>
        <v>Yes</v>
      </c>
      <c r="E8" s="50"/>
      <c r="F8" s="51">
        <v>41.000996934136801</v>
      </c>
      <c r="G8" s="52"/>
      <c r="H8" s="68">
        <v>6.0001458928005071</v>
      </c>
      <c r="I8" s="92">
        <f>Defaults!F8</f>
        <v>450</v>
      </c>
      <c r="J8" s="107">
        <f>Defaults!G8</f>
        <v>5.97</v>
      </c>
      <c r="K8" s="12" t="s">
        <v>132</v>
      </c>
      <c r="L8" s="12"/>
      <c r="M8" s="12" t="s">
        <v>132</v>
      </c>
      <c r="N8" s="53"/>
      <c r="O8" s="54"/>
    </row>
    <row r="9" spans="1:15" ht="15" customHeight="1" x14ac:dyDescent="0.2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  <c r="D9" s="1" t="str">
        <f t="shared" si="0"/>
        <v>No</v>
      </c>
      <c r="E9" s="1"/>
      <c r="F9" s="33"/>
      <c r="G9" s="32"/>
      <c r="H9" s="33"/>
      <c r="I9" s="1"/>
      <c r="N9" s="55"/>
      <c r="O9" s="2"/>
    </row>
    <row r="10" spans="1:15" ht="15" customHeight="1" x14ac:dyDescent="0.2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  <c r="D10" s="1" t="str">
        <f t="shared" si="0"/>
        <v>No</v>
      </c>
      <c r="E10" s="1"/>
      <c r="F10" s="33"/>
      <c r="G10" s="32"/>
      <c r="H10" s="33"/>
      <c r="I10" s="1"/>
      <c r="O10" s="2"/>
    </row>
    <row r="11" spans="1:15" ht="15" customHeight="1" x14ac:dyDescent="0.2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  <c r="D11" s="1" t="str">
        <f t="shared" si="0"/>
        <v>Yes</v>
      </c>
      <c r="E11" s="50"/>
      <c r="F11" s="33">
        <v>20</v>
      </c>
      <c r="G11" s="56"/>
      <c r="H11" s="69">
        <v>4</v>
      </c>
      <c r="I11" s="92">
        <f>Defaults!F11</f>
        <v>140</v>
      </c>
      <c r="J11" s="107">
        <f>Defaults!G11</f>
        <v>1.65</v>
      </c>
      <c r="K11" s="12" t="s">
        <v>138</v>
      </c>
      <c r="L11" s="12"/>
      <c r="M11" s="12" t="s">
        <v>138</v>
      </c>
      <c r="N11" s="53"/>
      <c r="O11" s="54"/>
    </row>
    <row r="12" spans="1:15" ht="15" customHeight="1" x14ac:dyDescent="0.2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  <c r="D12" s="1" t="str">
        <f t="shared" si="0"/>
        <v>No</v>
      </c>
      <c r="E12" s="50"/>
      <c r="F12" s="33"/>
      <c r="G12" s="57"/>
      <c r="H12" s="70"/>
      <c r="I12" s="94"/>
      <c r="J12" s="109"/>
      <c r="O12" s="4"/>
    </row>
    <row r="13" spans="1:15" ht="15" customHeight="1" x14ac:dyDescent="0.2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  <c r="D13" s="1" t="str">
        <f t="shared" si="0"/>
        <v>No</v>
      </c>
      <c r="E13" s="1"/>
      <c r="F13" s="33"/>
      <c r="G13" s="32"/>
      <c r="H13" s="33"/>
      <c r="I13" s="1"/>
      <c r="N13" s="58"/>
      <c r="O13" s="2"/>
    </row>
    <row r="14" spans="1:15" ht="15" customHeight="1" x14ac:dyDescent="0.2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  <c r="D14" s="1" t="str">
        <f t="shared" si="0"/>
        <v>Yes</v>
      </c>
      <c r="E14" s="1"/>
      <c r="F14" s="76">
        <v>94</v>
      </c>
      <c r="G14" s="32"/>
      <c r="H14" s="51">
        <v>7</v>
      </c>
      <c r="I14" s="101">
        <f>Defaults!F14</f>
        <v>69.7</v>
      </c>
      <c r="J14" s="107">
        <f>Defaults!G14</f>
        <v>0.52</v>
      </c>
      <c r="K14" s="12"/>
      <c r="L14" s="12"/>
      <c r="M14" s="12"/>
      <c r="N14" s="59"/>
      <c r="O14" s="17"/>
    </row>
    <row r="15" spans="1:15" ht="15" customHeight="1" x14ac:dyDescent="0.2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  <c r="D15" s="1" t="str">
        <f t="shared" si="0"/>
        <v>Yes</v>
      </c>
      <c r="E15" s="1">
        <f>Defaults!D15</f>
        <v>90</v>
      </c>
      <c r="F15" s="33">
        <v>90</v>
      </c>
      <c r="G15" s="52"/>
      <c r="H15" s="71">
        <v>6.9999999999999991</v>
      </c>
      <c r="I15" s="92">
        <f>Defaults!F15</f>
        <v>70</v>
      </c>
      <c r="J15" s="107">
        <f>Defaults!G15</f>
        <v>0.47</v>
      </c>
      <c r="K15" s="12" t="s">
        <v>147</v>
      </c>
      <c r="L15" s="12"/>
      <c r="M15" s="12" t="s">
        <v>147</v>
      </c>
      <c r="N15" s="53"/>
      <c r="O15" s="54"/>
    </row>
    <row r="16" spans="1:15" ht="15" customHeight="1" x14ac:dyDescent="0.2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  <c r="D16" s="1" t="str">
        <f t="shared" si="0"/>
        <v>Yes</v>
      </c>
      <c r="E16" s="1">
        <f>Defaults!D16</f>
        <v>10</v>
      </c>
      <c r="F16" s="33">
        <v>126</v>
      </c>
      <c r="G16" s="60"/>
      <c r="H16" s="71">
        <v>8</v>
      </c>
      <c r="I16" s="92">
        <f>Defaults!F16</f>
        <v>66.7</v>
      </c>
      <c r="J16" s="108">
        <v>1</v>
      </c>
      <c r="K16" s="12" t="s">
        <v>147</v>
      </c>
      <c r="L16" s="12"/>
      <c r="M16" s="12" t="s">
        <v>147</v>
      </c>
      <c r="N16" s="53"/>
      <c r="O16" s="54"/>
    </row>
    <row r="17" spans="1:15" ht="15" customHeight="1" x14ac:dyDescent="0.2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  <c r="D17" s="1" t="str">
        <f t="shared" si="0"/>
        <v>Yes</v>
      </c>
      <c r="E17" s="50"/>
      <c r="F17" s="33">
        <v>30</v>
      </c>
      <c r="G17" s="89">
        <f>Defaults!E17</f>
        <v>25</v>
      </c>
      <c r="H17" s="72">
        <v>10</v>
      </c>
      <c r="I17" s="92">
        <f>Defaults!F17</f>
        <v>65</v>
      </c>
      <c r="J17" s="107">
        <f>Defaults!G17</f>
        <v>1.1000000000000001</v>
      </c>
      <c r="K17" s="12" t="s">
        <v>153</v>
      </c>
      <c r="L17" s="12"/>
      <c r="M17" s="12" t="s">
        <v>152</v>
      </c>
      <c r="N17" s="12"/>
      <c r="O17" s="54"/>
    </row>
    <row r="18" spans="1:15" ht="15" customHeight="1" x14ac:dyDescent="0.2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  <c r="D18" s="1" t="str">
        <f t="shared" si="0"/>
        <v>No</v>
      </c>
      <c r="E18" s="50"/>
      <c r="F18" s="33"/>
      <c r="G18" s="58"/>
      <c r="H18" s="70"/>
      <c r="I18" s="94"/>
      <c r="J18" s="109"/>
      <c r="N18" s="61"/>
      <c r="O18" s="4"/>
    </row>
    <row r="19" spans="1:15" ht="15" customHeight="1" x14ac:dyDescent="0.2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  <c r="D19" s="1" t="str">
        <f t="shared" si="0"/>
        <v>No</v>
      </c>
      <c r="E19" s="1"/>
      <c r="F19" s="33"/>
      <c r="H19" s="33"/>
      <c r="I19" s="1"/>
      <c r="N19" s="58"/>
      <c r="O19" s="2"/>
    </row>
    <row r="20" spans="1:15" ht="15" customHeight="1" x14ac:dyDescent="0.2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  <c r="D20" s="1" t="str">
        <f t="shared" si="0"/>
        <v>Yes</v>
      </c>
      <c r="E20" s="50"/>
      <c r="F20" s="33">
        <v>2</v>
      </c>
      <c r="G20" s="89">
        <f>Defaults!E20</f>
        <v>24</v>
      </c>
      <c r="H20" s="72">
        <v>4</v>
      </c>
      <c r="I20" s="92">
        <f>Defaults!F20</f>
        <v>63.2</v>
      </c>
      <c r="J20" s="107">
        <f>Defaults!G20</f>
        <v>0.61</v>
      </c>
      <c r="K20" s="12" t="s">
        <v>147</v>
      </c>
      <c r="L20" s="12"/>
      <c r="M20" s="12" t="s">
        <v>161</v>
      </c>
      <c r="N20" s="53"/>
      <c r="O20" s="54"/>
    </row>
    <row r="21" spans="1:15" ht="15" customHeight="1" x14ac:dyDescent="0.2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  <c r="D21" s="1" t="str">
        <f t="shared" si="0"/>
        <v>No</v>
      </c>
      <c r="E21" s="50"/>
      <c r="F21" s="33"/>
      <c r="G21" s="58"/>
      <c r="H21" s="70"/>
      <c r="I21" s="94"/>
      <c r="J21" s="109"/>
      <c r="N21" s="55"/>
      <c r="O21" s="4"/>
    </row>
    <row r="22" spans="1:15" ht="15" customHeight="1" x14ac:dyDescent="0.2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  <c r="D22" s="1" t="str">
        <f t="shared" si="0"/>
        <v>Yes</v>
      </c>
      <c r="E22" s="1">
        <f>Defaults!D22</f>
        <v>40</v>
      </c>
      <c r="F22" s="33">
        <v>150</v>
      </c>
      <c r="G22" s="89"/>
      <c r="H22" s="72">
        <v>22.944752181740999</v>
      </c>
      <c r="I22" s="92">
        <f>Defaults!F22</f>
        <v>140</v>
      </c>
      <c r="J22" s="107">
        <f>Defaults!G22</f>
        <v>1.65</v>
      </c>
      <c r="K22" s="12" t="s">
        <v>164</v>
      </c>
      <c r="L22" s="12"/>
      <c r="M22" s="12" t="s">
        <v>164</v>
      </c>
      <c r="N22" s="12"/>
      <c r="O22" s="54"/>
    </row>
    <row r="23" spans="1:15" ht="15" customHeight="1" x14ac:dyDescent="0.2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  <c r="D23" s="1" t="str">
        <f t="shared" si="0"/>
        <v>No</v>
      </c>
      <c r="E23" s="1"/>
      <c r="F23" s="33"/>
      <c r="H23" s="33"/>
      <c r="I23" s="1"/>
    </row>
    <row r="24" spans="1:15" ht="15" customHeight="1" x14ac:dyDescent="0.2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  <c r="D24" s="1" t="str">
        <f t="shared" si="0"/>
        <v>Yes</v>
      </c>
      <c r="E24" s="1"/>
      <c r="F24" s="51">
        <v>200.00035800590709</v>
      </c>
      <c r="G24" s="88"/>
      <c r="H24" s="69">
        <v>16.000028640472568</v>
      </c>
      <c r="I24" s="92">
        <f>Defaults!F24</f>
        <v>140</v>
      </c>
      <c r="J24" s="107">
        <f>Defaults!G24</f>
        <v>1.65</v>
      </c>
      <c r="K24" s="12" t="s">
        <v>164</v>
      </c>
      <c r="M24" s="12" t="s">
        <v>164</v>
      </c>
      <c r="N24" s="12"/>
      <c r="O24" s="17"/>
    </row>
    <row r="25" spans="1:15" ht="15" customHeight="1" x14ac:dyDescent="0.2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  <c r="D25" s="1" t="str">
        <f t="shared" si="0"/>
        <v>No</v>
      </c>
      <c r="E25" s="50"/>
      <c r="F25" s="33"/>
      <c r="H25" s="33"/>
      <c r="I25" s="1"/>
    </row>
    <row r="26" spans="1:15" ht="15" customHeight="1" x14ac:dyDescent="0.2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  <c r="D26" s="1" t="str">
        <f t="shared" si="0"/>
        <v>Yes</v>
      </c>
      <c r="E26" s="1"/>
      <c r="F26" s="33">
        <v>83</v>
      </c>
      <c r="G26" s="89"/>
      <c r="H26" s="72">
        <v>29.745999999999999</v>
      </c>
      <c r="I26" s="92">
        <f>Defaults!F26</f>
        <v>140</v>
      </c>
      <c r="J26" s="107">
        <f>Defaults!G26</f>
        <v>2.23</v>
      </c>
      <c r="K26" s="12" t="s">
        <v>170</v>
      </c>
      <c r="L26" s="12"/>
      <c r="M26" s="12" t="s">
        <v>170</v>
      </c>
      <c r="N26" s="12"/>
      <c r="O26" s="54"/>
    </row>
    <row r="27" spans="1:15" ht="15" customHeight="1" x14ac:dyDescent="0.2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  <c r="D27" s="1" t="str">
        <f t="shared" si="0"/>
        <v>No</v>
      </c>
      <c r="E27" s="1"/>
      <c r="F27" s="33"/>
      <c r="H27" s="33"/>
      <c r="I27" s="1"/>
    </row>
    <row r="28" spans="1:15" ht="15" customHeight="1" x14ac:dyDescent="0.2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  <c r="D28" s="1" t="str">
        <f t="shared" si="0"/>
        <v>Yes</v>
      </c>
      <c r="E28" s="1">
        <f>Defaults!D28</f>
        <v>60</v>
      </c>
      <c r="F28" s="33">
        <v>220</v>
      </c>
      <c r="G28" s="89"/>
      <c r="H28" s="72">
        <v>21.384</v>
      </c>
      <c r="I28" s="92">
        <f>Defaults!F28</f>
        <v>140</v>
      </c>
      <c r="J28" s="107">
        <f>Defaults!G28</f>
        <v>1.65</v>
      </c>
      <c r="K28" s="12" t="s">
        <v>164</v>
      </c>
      <c r="L28" s="12"/>
      <c r="M28" s="12" t="s">
        <v>164</v>
      </c>
      <c r="N28" s="12"/>
      <c r="O28" s="54"/>
    </row>
    <row r="29" spans="1:15" ht="15" customHeight="1" x14ac:dyDescent="0.2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  <c r="D29" s="1" t="str">
        <f t="shared" si="0"/>
        <v>Yes</v>
      </c>
      <c r="E29" s="1"/>
      <c r="F29" s="76">
        <v>192.00000000000003</v>
      </c>
      <c r="G29" s="90"/>
      <c r="H29" s="51">
        <v>22</v>
      </c>
      <c r="I29" s="92">
        <f>Defaults!F29</f>
        <v>140</v>
      </c>
      <c r="J29" s="107">
        <f>Defaults!G29</f>
        <v>1.65</v>
      </c>
      <c r="K29" s="12"/>
      <c r="L29" s="12"/>
      <c r="M29" s="12"/>
      <c r="N29" s="12"/>
      <c r="O29" s="17"/>
    </row>
    <row r="30" spans="1:15" ht="15" customHeight="1" x14ac:dyDescent="0.2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  <c r="D30" s="1" t="str">
        <f t="shared" si="0"/>
        <v>No</v>
      </c>
      <c r="E30" s="1"/>
      <c r="F30" s="33"/>
      <c r="H30" s="33"/>
      <c r="I30" s="1"/>
      <c r="O30" s="2"/>
    </row>
    <row r="31" spans="1:15" ht="15" customHeight="1" x14ac:dyDescent="0.2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  <c r="D31" s="1" t="str">
        <f t="shared" si="0"/>
        <v>No</v>
      </c>
      <c r="E31" s="50"/>
      <c r="F31" s="33"/>
      <c r="G31" s="58"/>
      <c r="H31" s="70"/>
      <c r="I31" s="94"/>
      <c r="J31" s="109"/>
      <c r="O31" s="4"/>
    </row>
    <row r="32" spans="1:15" ht="15" customHeight="1" x14ac:dyDescent="0.2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  <c r="D32" s="1" t="str">
        <f t="shared" si="0"/>
        <v>No</v>
      </c>
      <c r="E32" s="50"/>
      <c r="F32" s="33"/>
      <c r="G32" s="58"/>
      <c r="H32" s="70"/>
      <c r="I32" s="94"/>
      <c r="J32" s="109"/>
      <c r="O32" s="4"/>
    </row>
    <row r="33" spans="1:15" ht="15" customHeight="1" x14ac:dyDescent="0.2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  <c r="D33" s="1" t="str">
        <f t="shared" si="0"/>
        <v>No</v>
      </c>
      <c r="E33" s="1"/>
      <c r="F33" s="33"/>
      <c r="H33" s="33"/>
      <c r="I33" s="1"/>
      <c r="O33" s="2"/>
    </row>
    <row r="34" spans="1:15" ht="15" customHeight="1" x14ac:dyDescent="0.2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  <c r="D34" s="1" t="str">
        <f t="shared" si="0"/>
        <v>No</v>
      </c>
      <c r="E34" s="1"/>
      <c r="F34" s="33"/>
      <c r="H34" s="33"/>
      <c r="I34" s="1"/>
      <c r="O34" s="2"/>
    </row>
    <row r="35" spans="1:15" ht="15" customHeight="1" x14ac:dyDescent="0.2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  <c r="D35" s="1" t="str">
        <f t="shared" si="0"/>
        <v>No</v>
      </c>
      <c r="E35" s="1"/>
      <c r="F35" s="33"/>
      <c r="H35" s="33"/>
      <c r="I35" s="1"/>
      <c r="O35" s="2"/>
    </row>
    <row r="36" spans="1:15" ht="15" customHeight="1" x14ac:dyDescent="0.2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  <c r="D36" s="1" t="str">
        <f t="shared" si="0"/>
        <v>No</v>
      </c>
      <c r="E36" s="1"/>
      <c r="F36" s="33"/>
      <c r="H36" s="33"/>
      <c r="I36" s="1"/>
      <c r="O36" s="2"/>
    </row>
    <row r="37" spans="1:15" ht="15" customHeight="1" x14ac:dyDescent="0.2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  <c r="D37" s="1" t="str">
        <f t="shared" si="0"/>
        <v>No</v>
      </c>
      <c r="E37" s="1"/>
      <c r="F37" s="33"/>
      <c r="H37" s="33"/>
      <c r="I37" s="1"/>
      <c r="O37" s="2"/>
    </row>
    <row r="38" spans="1:15" ht="15" customHeight="1" x14ac:dyDescent="0.2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  <c r="D38" s="1" t="str">
        <f t="shared" ref="D38:D69" si="1">IF(ISBLANK(F38),"No","Yes")</f>
        <v>Yes</v>
      </c>
      <c r="E38" s="1">
        <f>Defaults!D38</f>
        <v>0</v>
      </c>
      <c r="F38" s="75">
        <v>1385.8545100000001</v>
      </c>
      <c r="G38" s="90"/>
      <c r="H38" s="51">
        <v>7</v>
      </c>
      <c r="I38" s="101">
        <f>Defaults!F38</f>
        <v>7</v>
      </c>
      <c r="J38" s="115">
        <f>Defaults!G38</f>
        <v>1.65</v>
      </c>
      <c r="K38" s="12"/>
      <c r="L38" s="12"/>
      <c r="M38" s="12"/>
      <c r="N38" s="12"/>
      <c r="O38" s="17"/>
    </row>
    <row r="39" spans="1:15" ht="15" customHeight="1" x14ac:dyDescent="0.2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  <c r="D39" s="1" t="str">
        <f t="shared" si="1"/>
        <v>Yes</v>
      </c>
      <c r="E39" s="1">
        <f>Defaults!D39</f>
        <v>95</v>
      </c>
      <c r="F39" s="51">
        <v>1451.4258</v>
      </c>
      <c r="G39" s="89"/>
      <c r="H39" s="68">
        <v>703.72159999999997</v>
      </c>
      <c r="I39" s="92">
        <f>Defaults!F39</f>
        <v>0</v>
      </c>
      <c r="J39" s="107">
        <f>Defaults!G39</f>
        <v>1.65</v>
      </c>
      <c r="K39" s="62" t="s">
        <v>187</v>
      </c>
      <c r="L39" s="12"/>
      <c r="M39" s="62" t="s">
        <v>188</v>
      </c>
      <c r="N39" s="12"/>
      <c r="O39" s="54"/>
    </row>
    <row r="40" spans="1:15" ht="15" customHeight="1" x14ac:dyDescent="0.2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  <c r="D40" s="1" t="str">
        <f t="shared" si="1"/>
        <v>Yes</v>
      </c>
      <c r="E40" s="1">
        <f>Defaults!D40</f>
        <v>5</v>
      </c>
      <c r="F40" s="33">
        <v>140</v>
      </c>
      <c r="G40" s="89"/>
      <c r="H40" s="68">
        <v>36.184615384615398</v>
      </c>
      <c r="I40" s="92">
        <f>Defaults!F40</f>
        <v>140</v>
      </c>
      <c r="J40" s="107">
        <f>Defaults!G40</f>
        <v>1.65</v>
      </c>
      <c r="K40" s="12" t="s">
        <v>164</v>
      </c>
      <c r="L40" s="12"/>
      <c r="M40" s="12" t="s">
        <v>164</v>
      </c>
      <c r="N40" s="53"/>
      <c r="O40" s="54"/>
    </row>
    <row r="41" spans="1:15" ht="15" customHeight="1" x14ac:dyDescent="0.2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  <c r="D41" s="1" t="str">
        <f t="shared" si="1"/>
        <v>Yes</v>
      </c>
      <c r="E41" s="50"/>
      <c r="F41" s="33">
        <v>32</v>
      </c>
      <c r="G41" s="8"/>
      <c r="H41" s="72">
        <v>20</v>
      </c>
      <c r="I41" s="92">
        <f>Defaults!F41</f>
        <v>300</v>
      </c>
      <c r="J41" s="107">
        <f>Defaults!G41</f>
        <v>2.25</v>
      </c>
      <c r="K41" s="12" t="s">
        <v>191</v>
      </c>
      <c r="L41" s="12"/>
      <c r="M41" s="12" t="s">
        <v>191</v>
      </c>
      <c r="N41" s="53"/>
      <c r="O41" s="54"/>
    </row>
    <row r="42" spans="1:15" ht="15" customHeight="1" x14ac:dyDescent="0.2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  <c r="D42" s="1" t="str">
        <f t="shared" si="1"/>
        <v>No</v>
      </c>
      <c r="E42" s="50"/>
      <c r="F42" s="33"/>
      <c r="G42" s="58"/>
      <c r="H42" s="70"/>
      <c r="I42" s="96"/>
      <c r="J42" s="109"/>
      <c r="O42" s="4"/>
    </row>
    <row r="43" spans="1:15" ht="15" customHeight="1" x14ac:dyDescent="0.2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  <c r="D43" s="1" t="str">
        <f t="shared" si="1"/>
        <v>No</v>
      </c>
      <c r="E43" s="50"/>
      <c r="F43" s="33"/>
      <c r="G43" s="55"/>
      <c r="H43" s="73"/>
      <c r="I43" s="96"/>
      <c r="J43" s="109"/>
      <c r="O43" s="4"/>
    </row>
    <row r="44" spans="1:15" ht="15" customHeight="1" x14ac:dyDescent="0.2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  <c r="D44" s="1" t="str">
        <f t="shared" si="1"/>
        <v>No</v>
      </c>
      <c r="E44" s="50"/>
      <c r="F44" s="33"/>
      <c r="G44" s="58"/>
      <c r="H44" s="70"/>
      <c r="I44" s="94"/>
      <c r="J44" s="109"/>
      <c r="O44" s="4"/>
    </row>
    <row r="45" spans="1:15" ht="15" customHeight="1" x14ac:dyDescent="0.2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  <c r="D45" s="1" t="str">
        <f t="shared" si="1"/>
        <v>No</v>
      </c>
      <c r="E45" s="50"/>
      <c r="F45" s="33"/>
      <c r="G45" s="55"/>
      <c r="H45" s="73"/>
      <c r="I45" s="96"/>
      <c r="J45" s="109"/>
      <c r="O45" s="4"/>
    </row>
    <row r="46" spans="1:15" ht="15" customHeight="1" x14ac:dyDescent="0.2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  <c r="D46" s="1" t="str">
        <f t="shared" si="1"/>
        <v>No</v>
      </c>
      <c r="E46" s="63"/>
      <c r="F46" s="33"/>
      <c r="G46" s="58"/>
      <c r="H46" s="70"/>
      <c r="I46" s="94"/>
      <c r="J46" s="109"/>
      <c r="O46" s="4"/>
    </row>
    <row r="47" spans="1:15" ht="15" customHeight="1" x14ac:dyDescent="0.2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  <c r="D47" s="1" t="str">
        <f t="shared" si="1"/>
        <v>Yes</v>
      </c>
      <c r="E47" s="50"/>
      <c r="F47" s="51">
        <v>6.2508461827754793</v>
      </c>
      <c r="G47" s="8"/>
      <c r="H47" s="72">
        <v>2.6518741381471731</v>
      </c>
      <c r="I47" s="92">
        <f>Defaults!F47</f>
        <v>450</v>
      </c>
      <c r="J47" s="107">
        <f>Defaults!G47</f>
        <v>6.09</v>
      </c>
      <c r="K47" s="12" t="s">
        <v>185</v>
      </c>
      <c r="L47" s="12"/>
      <c r="M47" s="12" t="s">
        <v>185</v>
      </c>
      <c r="N47" s="53"/>
      <c r="O47" s="54"/>
    </row>
    <row r="48" spans="1:15" ht="15" customHeight="1" x14ac:dyDescent="0.2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  <c r="D48" s="1" t="str">
        <f t="shared" si="1"/>
        <v>No</v>
      </c>
      <c r="E48" s="50"/>
      <c r="F48" s="51"/>
      <c r="G48" s="61"/>
      <c r="H48" s="74"/>
      <c r="I48" s="97"/>
      <c r="J48" s="109"/>
      <c r="O48" s="4"/>
    </row>
    <row r="49" spans="1:15" ht="15" customHeight="1" x14ac:dyDescent="0.2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  <c r="D49" s="1" t="str">
        <f t="shared" si="1"/>
        <v>Yes</v>
      </c>
      <c r="E49" s="50"/>
      <c r="F49" s="51">
        <v>11.387434554973822</v>
      </c>
      <c r="G49" s="8"/>
      <c r="H49" s="68">
        <v>3.4794938917975569</v>
      </c>
      <c r="I49" s="92">
        <f>Defaults!F49</f>
        <v>140</v>
      </c>
      <c r="J49" s="107">
        <f>Defaults!G49</f>
        <v>1.65</v>
      </c>
      <c r="K49" s="12" t="s">
        <v>205</v>
      </c>
      <c r="L49" s="12"/>
      <c r="M49" s="12" t="s">
        <v>206</v>
      </c>
      <c r="N49" s="53"/>
      <c r="O49" s="54"/>
    </row>
    <row r="50" spans="1:15" ht="15" customHeight="1" x14ac:dyDescent="0.2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  <c r="D50" s="1" t="str">
        <f t="shared" si="1"/>
        <v>No</v>
      </c>
      <c r="E50" s="50"/>
      <c r="F50" s="51"/>
      <c r="G50" s="55"/>
      <c r="H50" s="73"/>
      <c r="I50" s="96"/>
      <c r="J50" s="109"/>
      <c r="O50" s="4"/>
    </row>
    <row r="51" spans="1:15" ht="15" customHeight="1" x14ac:dyDescent="0.2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  <c r="D51" s="1" t="str">
        <f t="shared" si="1"/>
        <v>No</v>
      </c>
      <c r="E51" s="63"/>
      <c r="F51" s="51"/>
      <c r="G51" s="58"/>
      <c r="H51" s="70"/>
      <c r="I51" s="94"/>
      <c r="J51" s="109"/>
      <c r="O51" s="4"/>
    </row>
    <row r="52" spans="1:15" ht="15" customHeight="1" x14ac:dyDescent="0.2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  <c r="D52" s="1" t="str">
        <f t="shared" si="1"/>
        <v>No</v>
      </c>
      <c r="E52" s="63"/>
      <c r="F52" s="51"/>
      <c r="G52" s="58"/>
      <c r="H52" s="70"/>
      <c r="I52" s="94"/>
      <c r="J52" s="109"/>
      <c r="O52" s="4"/>
    </row>
    <row r="53" spans="1:15" ht="15" customHeight="1" x14ac:dyDescent="0.2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  <c r="D53" s="1" t="str">
        <f t="shared" si="1"/>
        <v>Yes</v>
      </c>
      <c r="E53" s="50"/>
      <c r="F53" s="51">
        <v>219.9992474773388</v>
      </c>
      <c r="G53" s="8"/>
      <c r="H53" s="68">
        <v>43.999849495467764</v>
      </c>
      <c r="I53" s="92">
        <v>140</v>
      </c>
      <c r="J53" s="107">
        <f>Defaults!G53</f>
        <v>1.65</v>
      </c>
      <c r="K53" s="12" t="s">
        <v>211</v>
      </c>
      <c r="L53" s="12"/>
      <c r="M53" s="12" t="s">
        <v>211</v>
      </c>
      <c r="N53" s="53"/>
      <c r="O53" s="54"/>
    </row>
    <row r="54" spans="1:15" ht="15" customHeight="1" x14ac:dyDescent="0.2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  <c r="D54" s="1" t="str">
        <f t="shared" si="1"/>
        <v>No</v>
      </c>
      <c r="E54" s="63"/>
      <c r="F54" s="33"/>
      <c r="G54" s="58"/>
      <c r="H54" s="70"/>
      <c r="I54" s="94"/>
      <c r="J54" s="109"/>
      <c r="N54" s="55"/>
      <c r="O54" s="4"/>
    </row>
    <row r="55" spans="1:15" ht="15" customHeight="1" x14ac:dyDescent="0.2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  <c r="D55" s="1" t="str">
        <f t="shared" si="1"/>
        <v>Yes</v>
      </c>
      <c r="E55" s="63"/>
      <c r="F55" s="33">
        <v>0</v>
      </c>
      <c r="G55" s="89">
        <f>Defaults!E55</f>
        <v>63</v>
      </c>
      <c r="H55" s="72">
        <v>0</v>
      </c>
      <c r="I55" s="98">
        <v>79</v>
      </c>
      <c r="J55" s="107">
        <f>Defaults!G55</f>
        <v>0</v>
      </c>
      <c r="K55" s="12"/>
      <c r="L55" s="12"/>
      <c r="M55" s="12"/>
      <c r="N55" s="64"/>
      <c r="O55" s="54"/>
    </row>
    <row r="56" spans="1:15" ht="15" customHeight="1" x14ac:dyDescent="0.2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  <c r="D56" s="1" t="str">
        <f t="shared" si="1"/>
        <v>Yes</v>
      </c>
      <c r="E56" s="63"/>
      <c r="F56" s="51">
        <v>103.99894409543754</v>
      </c>
      <c r="G56" s="8"/>
      <c r="H56" s="72">
        <v>20.999786788501808</v>
      </c>
      <c r="I56" s="92">
        <f>Defaults!F56</f>
        <v>140</v>
      </c>
      <c r="J56" s="107">
        <f>Defaults!G56</f>
        <v>1.65</v>
      </c>
      <c r="K56" s="12" t="s">
        <v>211</v>
      </c>
      <c r="L56" s="12"/>
      <c r="M56" s="12" t="s">
        <v>211</v>
      </c>
      <c r="N56" s="59"/>
      <c r="O56" s="54"/>
    </row>
    <row r="57" spans="1:15" ht="15" customHeight="1" x14ac:dyDescent="0.2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  <c r="D57" s="1" t="str">
        <f t="shared" si="1"/>
        <v>Yes</v>
      </c>
      <c r="E57" s="63"/>
      <c r="F57" s="51">
        <v>60</v>
      </c>
      <c r="G57" s="8"/>
      <c r="H57" s="72">
        <v>15</v>
      </c>
      <c r="I57" s="92">
        <f>Defaults!F57</f>
        <v>65.400000000000006</v>
      </c>
      <c r="J57" s="107">
        <f>Defaults!G57</f>
        <v>0.7</v>
      </c>
      <c r="K57" s="12" t="s">
        <v>217</v>
      </c>
      <c r="L57" s="12"/>
      <c r="M57" s="12" t="s">
        <v>217</v>
      </c>
      <c r="N57" s="12"/>
      <c r="O57" s="54"/>
    </row>
    <row r="58" spans="1:15" ht="15" customHeight="1" x14ac:dyDescent="0.2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  <c r="D58" s="1" t="str">
        <f t="shared" si="1"/>
        <v>No</v>
      </c>
      <c r="E58" s="50"/>
      <c r="F58" s="51"/>
      <c r="G58" s="55"/>
      <c r="H58" s="73"/>
      <c r="I58" s="96"/>
      <c r="J58" s="109"/>
      <c r="N58" s="58"/>
      <c r="O58" s="4"/>
    </row>
    <row r="59" spans="1:15" ht="15" customHeight="1" x14ac:dyDescent="0.2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  <c r="D59" s="1" t="str">
        <f t="shared" si="1"/>
        <v>Yes</v>
      </c>
      <c r="E59" s="50"/>
      <c r="F59" s="51">
        <v>131.99700453857793</v>
      </c>
      <c r="G59" s="8"/>
      <c r="H59" s="72">
        <v>36.999160363086233</v>
      </c>
      <c r="I59" s="92">
        <f>Defaults!F59</f>
        <v>69</v>
      </c>
      <c r="J59" s="107">
        <f>Defaults!G59</f>
        <v>0.11</v>
      </c>
      <c r="K59" s="12" t="s">
        <v>147</v>
      </c>
      <c r="L59" s="12"/>
      <c r="M59" s="12" t="s">
        <v>147</v>
      </c>
      <c r="N59" s="53"/>
      <c r="O59" s="54"/>
    </row>
    <row r="60" spans="1:15" ht="15" customHeight="1" x14ac:dyDescent="0.2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  <c r="D60" s="1" t="str">
        <f t="shared" si="1"/>
        <v>No</v>
      </c>
      <c r="E60" s="50"/>
      <c r="F60" s="51"/>
      <c r="G60" s="55"/>
      <c r="H60" s="73"/>
      <c r="I60" s="96"/>
      <c r="J60" s="109"/>
      <c r="M60" t="s">
        <v>147</v>
      </c>
      <c r="N60" s="58"/>
      <c r="O60" s="4"/>
    </row>
    <row r="61" spans="1:15" ht="15" customHeight="1" x14ac:dyDescent="0.2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  <c r="D61" s="1" t="str">
        <f t="shared" si="1"/>
        <v>No</v>
      </c>
      <c r="E61" s="50"/>
      <c r="F61" s="51"/>
      <c r="G61" s="58"/>
      <c r="H61" s="70"/>
      <c r="I61" s="94"/>
      <c r="J61" s="109"/>
      <c r="N61" s="61"/>
      <c r="O61" s="4"/>
    </row>
    <row r="62" spans="1:15" ht="15" customHeight="1" x14ac:dyDescent="0.2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  <c r="D62" s="1" t="str">
        <f t="shared" si="1"/>
        <v>No</v>
      </c>
      <c r="E62" s="63"/>
      <c r="F62" s="51"/>
      <c r="G62" s="58"/>
      <c r="H62" s="70"/>
      <c r="I62" s="94"/>
      <c r="J62" s="109"/>
      <c r="N62" s="58"/>
      <c r="O62" s="4"/>
    </row>
    <row r="63" spans="1:15" ht="15" customHeight="1" x14ac:dyDescent="0.2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  <c r="D63" s="1" t="str">
        <f t="shared" si="1"/>
        <v>No</v>
      </c>
      <c r="E63" s="63"/>
      <c r="F63" s="51"/>
      <c r="G63" s="58"/>
      <c r="H63" s="70"/>
      <c r="I63" s="94"/>
      <c r="J63" s="109"/>
      <c r="N63" s="55"/>
      <c r="O63" s="4"/>
    </row>
    <row r="64" spans="1:15" ht="15" customHeight="1" x14ac:dyDescent="0.2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  <c r="D64" s="1" t="str">
        <f t="shared" si="1"/>
        <v>Yes</v>
      </c>
      <c r="E64" s="1"/>
      <c r="F64" s="51">
        <v>70.992046843177178</v>
      </c>
      <c r="G64" s="88"/>
      <c r="H64" s="69">
        <v>14.998319755600814</v>
      </c>
      <c r="I64" s="92">
        <f>Defaults!F64</f>
        <v>68.599999999999994</v>
      </c>
      <c r="J64" s="107">
        <f>Defaults!G64</f>
        <v>0.45</v>
      </c>
      <c r="K64" s="12" t="s">
        <v>147</v>
      </c>
      <c r="L64" s="12"/>
      <c r="M64" s="12" t="s">
        <v>147</v>
      </c>
      <c r="N64" s="53"/>
      <c r="O64" s="54"/>
    </row>
    <row r="65" spans="1:15" ht="15" customHeight="1" x14ac:dyDescent="0.2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  <c r="D65" s="1" t="str">
        <f t="shared" si="1"/>
        <v>No</v>
      </c>
      <c r="E65" s="1"/>
      <c r="F65" s="33"/>
      <c r="H65" s="33"/>
      <c r="I65" s="1"/>
      <c r="M65" t="s">
        <v>147</v>
      </c>
      <c r="N65" s="58"/>
      <c r="O65" s="2"/>
    </row>
    <row r="66" spans="1:15" ht="15" customHeight="1" x14ac:dyDescent="0.2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  <c r="D66" s="1" t="str">
        <f t="shared" si="1"/>
        <v>No</v>
      </c>
      <c r="E66" s="1"/>
      <c r="F66" s="33"/>
      <c r="H66" s="33"/>
      <c r="I66" s="1"/>
      <c r="N66" s="58"/>
      <c r="O66" s="2"/>
    </row>
    <row r="67" spans="1:15" ht="15" customHeight="1" x14ac:dyDescent="0.2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  <c r="D67" s="1" t="str">
        <f t="shared" si="1"/>
        <v>Yes</v>
      </c>
      <c r="E67" s="1"/>
      <c r="F67" s="51">
        <v>143.99874345549739</v>
      </c>
      <c r="G67" s="88"/>
      <c r="H67" s="69">
        <v>43.999616055846424</v>
      </c>
      <c r="I67" s="92">
        <f>Defaults!F67</f>
        <v>140</v>
      </c>
      <c r="J67" s="107">
        <f>Defaults!G67</f>
        <v>4.71</v>
      </c>
      <c r="K67" s="12" t="s">
        <v>170</v>
      </c>
      <c r="L67" s="12"/>
      <c r="M67" s="12" t="s">
        <v>170</v>
      </c>
      <c r="N67" s="59"/>
      <c r="O67" s="54"/>
    </row>
    <row r="68" spans="1:15" ht="15" customHeight="1" x14ac:dyDescent="0.2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  <c r="D68" s="1" t="str">
        <f t="shared" si="1"/>
        <v>No</v>
      </c>
      <c r="E68" s="1"/>
      <c r="F68" s="51"/>
      <c r="H68" s="33"/>
      <c r="I68" s="1"/>
      <c r="O68" s="2"/>
    </row>
    <row r="69" spans="1:15" ht="15" customHeight="1" x14ac:dyDescent="0.2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  <c r="D69" s="1" t="str">
        <f t="shared" si="1"/>
        <v>Yes</v>
      </c>
      <c r="E69" s="1"/>
      <c r="F69" s="51">
        <v>2.0001956181533647</v>
      </c>
      <c r="G69" s="89">
        <f>Defaults!E69</f>
        <v>24</v>
      </c>
      <c r="H69" s="69">
        <v>4.0003912363067293</v>
      </c>
      <c r="I69" s="92">
        <f>Defaults!F69</f>
        <v>61.1</v>
      </c>
      <c r="J69" s="107">
        <f>Defaults!G69</f>
        <v>0.59499999999999997</v>
      </c>
      <c r="K69" s="12" t="s">
        <v>233</v>
      </c>
      <c r="L69" s="12"/>
      <c r="M69" s="12" t="s">
        <v>233</v>
      </c>
      <c r="N69" s="12"/>
      <c r="O69" s="17"/>
    </row>
    <row r="70" spans="1:15" ht="15" customHeight="1" x14ac:dyDescent="0.2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  <c r="D70" s="1" t="str">
        <f t="shared" ref="D70:D101" si="2">IF(ISBLANK(F70),"No","Yes")</f>
        <v>No</v>
      </c>
      <c r="E70" s="1"/>
      <c r="F70" s="51"/>
      <c r="H70" s="33"/>
      <c r="I70" s="1"/>
      <c r="O70" s="2"/>
    </row>
    <row r="71" spans="1:15" ht="15" customHeight="1" x14ac:dyDescent="0.2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  <c r="D71" s="1" t="str">
        <f t="shared" si="2"/>
        <v>No</v>
      </c>
      <c r="E71" s="1"/>
      <c r="F71" s="51"/>
      <c r="H71" s="33"/>
      <c r="I71" s="1"/>
      <c r="O71" s="2"/>
    </row>
    <row r="72" spans="1:15" ht="15" customHeight="1" x14ac:dyDescent="0.2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  <c r="D72" s="1" t="str">
        <f t="shared" si="2"/>
        <v>Yes</v>
      </c>
      <c r="E72" s="1"/>
      <c r="F72" s="51">
        <v>1.9994986631016041</v>
      </c>
      <c r="G72" s="89">
        <f>Defaults!E72</f>
        <v>24</v>
      </c>
      <c r="H72" s="69">
        <v>3.9989973262032081</v>
      </c>
      <c r="I72" s="92">
        <f>Defaults!F72</f>
        <v>63.2</v>
      </c>
      <c r="J72" s="107">
        <f>Defaults!G72</f>
        <v>0.59499999999999997</v>
      </c>
      <c r="K72" s="12" t="s">
        <v>233</v>
      </c>
      <c r="L72" s="12"/>
      <c r="M72" s="12" t="s">
        <v>233</v>
      </c>
      <c r="N72" s="12"/>
      <c r="O72" s="17"/>
    </row>
    <row r="73" spans="1:15" ht="15" customHeight="1" x14ac:dyDescent="0.2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  <c r="D73" s="1" t="str">
        <f t="shared" si="2"/>
        <v>No</v>
      </c>
      <c r="E73" s="1"/>
      <c r="F73" s="51"/>
      <c r="H73" s="33"/>
      <c r="I73" s="1"/>
      <c r="O73" s="2"/>
    </row>
    <row r="74" spans="1:15" ht="15" customHeight="1" x14ac:dyDescent="0.2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  <c r="D74" s="1" t="str">
        <f t="shared" si="2"/>
        <v>Yes</v>
      </c>
      <c r="E74" s="1"/>
      <c r="F74" s="51">
        <v>131.99427061709758</v>
      </c>
      <c r="G74" s="88"/>
      <c r="H74" s="69">
        <v>29.998697867522175</v>
      </c>
      <c r="I74" s="92">
        <f>Defaults!F74</f>
        <v>140</v>
      </c>
      <c r="J74" s="107">
        <f>Defaults!G74</f>
        <v>1.65</v>
      </c>
      <c r="K74" s="12" t="s">
        <v>241</v>
      </c>
      <c r="L74" s="12"/>
      <c r="M74" s="12" t="s">
        <v>241</v>
      </c>
      <c r="N74" s="53"/>
      <c r="O74" s="17"/>
    </row>
    <row r="75" spans="1:15" ht="15" customHeight="1" x14ac:dyDescent="0.2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  <c r="D75" s="1" t="str">
        <f t="shared" si="2"/>
        <v>No</v>
      </c>
      <c r="E75" s="1"/>
      <c r="F75" s="51"/>
      <c r="H75" s="33"/>
      <c r="I75" s="1"/>
      <c r="O75" s="2"/>
    </row>
    <row r="76" spans="1:15" ht="15" customHeight="1" x14ac:dyDescent="0.2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  <c r="D76" s="1" t="str">
        <f t="shared" si="2"/>
        <v>No</v>
      </c>
      <c r="E76" s="1"/>
      <c r="F76" s="51"/>
      <c r="H76" s="33"/>
      <c r="I76" s="1"/>
      <c r="O76" s="2"/>
    </row>
    <row r="77" spans="1:15" ht="15" customHeight="1" x14ac:dyDescent="0.2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  <c r="D77" s="1" t="str">
        <f t="shared" si="2"/>
        <v>Yes</v>
      </c>
      <c r="E77" s="1"/>
      <c r="F77" s="51">
        <v>48.001155234657041</v>
      </c>
      <c r="G77" s="88"/>
      <c r="H77" s="68">
        <v>6.5296571480144401</v>
      </c>
      <c r="I77" s="92">
        <f>Defaults!F77</f>
        <v>450</v>
      </c>
      <c r="J77" s="107">
        <f>Defaults!G77</f>
        <v>6.09</v>
      </c>
      <c r="K77" s="12" t="s">
        <v>132</v>
      </c>
      <c r="L77" s="12"/>
      <c r="M77" s="12" t="s">
        <v>132</v>
      </c>
      <c r="N77" s="12"/>
      <c r="O77" s="17"/>
    </row>
    <row r="78" spans="1:15" ht="15" customHeight="1" x14ac:dyDescent="0.2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  <c r="D78" s="1" t="str">
        <f t="shared" si="2"/>
        <v>Yes</v>
      </c>
      <c r="E78" s="1"/>
      <c r="F78" s="33">
        <v>0</v>
      </c>
      <c r="G78" s="88">
        <v>63</v>
      </c>
      <c r="H78" s="69">
        <v>5.0005739365293724</v>
      </c>
      <c r="I78" s="92">
        <f>Defaults!F78</f>
        <v>63.2</v>
      </c>
      <c r="J78" s="107">
        <f>Defaults!G78</f>
        <v>0.57999999999999996</v>
      </c>
      <c r="K78" s="12" t="s">
        <v>147</v>
      </c>
      <c r="L78" s="12"/>
      <c r="M78" s="12" t="s">
        <v>147</v>
      </c>
      <c r="N78" s="12"/>
      <c r="O78" s="54"/>
    </row>
    <row r="79" spans="1:15" ht="15" customHeight="1" x14ac:dyDescent="0.2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  <c r="D79" s="1" t="str">
        <f t="shared" si="2"/>
        <v>Yes</v>
      </c>
      <c r="E79" s="1"/>
      <c r="F79" s="33">
        <v>0</v>
      </c>
      <c r="G79" s="89">
        <f>Defaults!E79</f>
        <v>63</v>
      </c>
      <c r="H79" s="69">
        <v>4.9996763754045306</v>
      </c>
      <c r="I79" s="92">
        <f>Defaults!F79</f>
        <v>63.2</v>
      </c>
      <c r="J79" s="108">
        <v>0.57999999999999996</v>
      </c>
      <c r="K79" s="12" t="s">
        <v>147</v>
      </c>
      <c r="L79" s="12"/>
      <c r="M79" s="12" t="s">
        <v>147</v>
      </c>
      <c r="N79" s="12"/>
      <c r="O79" s="54"/>
    </row>
    <row r="80" spans="1:15" ht="15" customHeight="1" x14ac:dyDescent="0.2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  <c r="D80" s="1" t="str">
        <f t="shared" si="2"/>
        <v>No</v>
      </c>
      <c r="E80" s="1"/>
      <c r="F80" s="33"/>
      <c r="H80" s="33"/>
      <c r="I80" s="1"/>
      <c r="O80" s="2"/>
    </row>
    <row r="81" spans="1:15" ht="15" customHeight="1" x14ac:dyDescent="0.2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  <c r="D81" s="1" t="str">
        <f t="shared" si="2"/>
        <v>No</v>
      </c>
      <c r="E81" s="1"/>
      <c r="F81" s="33"/>
      <c r="H81" s="33"/>
      <c r="I81" s="1"/>
      <c r="O81" s="2"/>
    </row>
    <row r="82" spans="1:15" ht="15" customHeight="1" x14ac:dyDescent="0.2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  <c r="D82" s="1" t="str">
        <f t="shared" si="2"/>
        <v>No</v>
      </c>
      <c r="E82" s="1"/>
      <c r="F82" s="33"/>
      <c r="H82" s="33"/>
      <c r="I82" s="1"/>
      <c r="O82" s="2"/>
    </row>
    <row r="83" spans="1:15" ht="15" customHeight="1" x14ac:dyDescent="0.2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  <c r="D83" s="1" t="str">
        <f t="shared" si="2"/>
        <v>Yes</v>
      </c>
      <c r="E83" s="1"/>
      <c r="F83" s="116">
        <v>41</v>
      </c>
      <c r="G83" s="88"/>
      <c r="H83" s="69">
        <v>6</v>
      </c>
      <c r="I83" s="92">
        <f>Defaults!F83</f>
        <v>450</v>
      </c>
      <c r="J83" s="107">
        <f>Defaults!G83</f>
        <v>6.09</v>
      </c>
      <c r="K83" s="12" t="s">
        <v>251</v>
      </c>
      <c r="L83" s="12"/>
      <c r="M83" s="12" t="s">
        <v>251</v>
      </c>
      <c r="N83" s="53"/>
      <c r="O83" s="17"/>
    </row>
    <row r="84" spans="1:15" ht="15" customHeight="1" x14ac:dyDescent="0.2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  <c r="D84" s="1" t="str">
        <f t="shared" si="2"/>
        <v>No</v>
      </c>
      <c r="E84" s="1"/>
      <c r="F84" s="33"/>
      <c r="H84" s="33"/>
      <c r="I84" s="1"/>
      <c r="O84" s="2"/>
    </row>
    <row r="85" spans="1:15" ht="15" customHeight="1" x14ac:dyDescent="0.2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  <c r="D85" s="1" t="str">
        <f t="shared" si="2"/>
        <v>No</v>
      </c>
      <c r="E85" s="1"/>
      <c r="F85" s="33"/>
      <c r="H85" s="33"/>
      <c r="I85" s="1"/>
      <c r="O85" s="2"/>
    </row>
    <row r="86" spans="1:15" ht="15" customHeight="1" x14ac:dyDescent="0.2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  <c r="D86" s="1" t="str">
        <f t="shared" si="2"/>
        <v>Yes</v>
      </c>
      <c r="E86" s="1"/>
      <c r="F86" s="33">
        <v>101</v>
      </c>
      <c r="G86" s="88"/>
      <c r="H86" s="71">
        <v>40.999999999999993</v>
      </c>
      <c r="I86" s="92">
        <f>Defaults!F86</f>
        <v>135.5</v>
      </c>
      <c r="J86" s="107">
        <f>Defaults!G86</f>
        <v>2.13</v>
      </c>
      <c r="K86" s="12" t="s">
        <v>147</v>
      </c>
      <c r="L86" s="12"/>
      <c r="M86" s="12" t="s">
        <v>147</v>
      </c>
      <c r="N86" s="12"/>
      <c r="O86" s="54"/>
    </row>
    <row r="87" spans="1:15" ht="15" customHeight="1" x14ac:dyDescent="0.2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  <c r="D87" s="1" t="str">
        <f t="shared" si="2"/>
        <v>Yes</v>
      </c>
      <c r="E87" s="1"/>
      <c r="F87" s="51">
        <v>17.999882715781244</v>
      </c>
      <c r="G87" s="88"/>
      <c r="H87" s="69"/>
      <c r="I87" s="92">
        <f>Defaults!F87</f>
        <v>140</v>
      </c>
      <c r="J87" s="107">
        <f>Defaults!G87</f>
        <v>1.65</v>
      </c>
      <c r="K87" s="12" t="s">
        <v>256</v>
      </c>
      <c r="L87" s="12"/>
      <c r="M87" s="12"/>
      <c r="N87" s="53"/>
      <c r="O87" s="17"/>
    </row>
    <row r="88" spans="1:15" ht="15" customHeight="1" x14ac:dyDescent="0.2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  <c r="D88" s="1" t="str">
        <f t="shared" si="2"/>
        <v>No</v>
      </c>
      <c r="E88" s="1"/>
      <c r="F88" s="51"/>
      <c r="H88" s="33"/>
      <c r="I88" s="1"/>
      <c r="O88" s="2"/>
    </row>
    <row r="89" spans="1:15" ht="15" customHeight="1" x14ac:dyDescent="0.2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  <c r="D89" s="1" t="str">
        <f t="shared" si="2"/>
        <v>No</v>
      </c>
      <c r="E89" s="1"/>
      <c r="F89" s="51"/>
      <c r="H89" s="33"/>
      <c r="I89" s="1"/>
      <c r="O89" s="2"/>
    </row>
    <row r="90" spans="1:15" ht="15" customHeight="1" x14ac:dyDescent="0.2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  <c r="D90" s="1" t="str">
        <f t="shared" si="2"/>
        <v>Yes</v>
      </c>
      <c r="E90" s="1"/>
      <c r="F90" s="75">
        <v>147</v>
      </c>
      <c r="H90" s="69">
        <v>28.898261877172654</v>
      </c>
      <c r="I90" s="101">
        <f>Defaults!F90</f>
        <v>60</v>
      </c>
      <c r="J90" s="115">
        <f>Defaults!G90</f>
        <v>0.35900000000000004</v>
      </c>
      <c r="O90" s="2"/>
    </row>
    <row r="91" spans="1:15" ht="15" customHeight="1" x14ac:dyDescent="0.2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  <c r="D91" s="1" t="str">
        <f t="shared" si="2"/>
        <v>Yes</v>
      </c>
      <c r="E91" s="1">
        <f>Defaults!D91</f>
        <v>10</v>
      </c>
      <c r="F91" s="51">
        <v>147</v>
      </c>
      <c r="G91" s="88"/>
      <c r="H91" s="69">
        <v>16</v>
      </c>
      <c r="I91" s="92">
        <f>Defaults!F91</f>
        <v>60</v>
      </c>
      <c r="J91" s="107">
        <f>Defaults!G91</f>
        <v>0.26</v>
      </c>
      <c r="K91" s="12" t="s">
        <v>262</v>
      </c>
      <c r="L91" s="12"/>
      <c r="M91" s="12" t="s">
        <v>262</v>
      </c>
      <c r="N91" s="12"/>
      <c r="O91" s="54"/>
    </row>
    <row r="92" spans="1:15" ht="15" customHeight="1" x14ac:dyDescent="0.2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  <c r="D92" s="1" t="str">
        <f t="shared" si="2"/>
        <v>Yes</v>
      </c>
      <c r="E92" s="1">
        <f>Defaults!D92</f>
        <v>90</v>
      </c>
      <c r="F92" s="51">
        <v>147</v>
      </c>
      <c r="G92" s="88"/>
      <c r="H92" s="69">
        <v>16</v>
      </c>
      <c r="I92" s="92">
        <f>Defaults!F92</f>
        <v>60</v>
      </c>
      <c r="J92" s="107">
        <f>Defaults!G92</f>
        <v>0.37</v>
      </c>
      <c r="K92" s="12" t="s">
        <v>262</v>
      </c>
      <c r="L92" s="12"/>
      <c r="M92" s="12" t="s">
        <v>262</v>
      </c>
      <c r="N92" s="12"/>
      <c r="O92" s="54"/>
    </row>
    <row r="93" spans="1:15" ht="15" customHeight="1" x14ac:dyDescent="0.2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  <c r="D93" s="1" t="str">
        <f t="shared" si="2"/>
        <v>Yes</v>
      </c>
      <c r="E93" s="1"/>
      <c r="F93" s="51">
        <v>100</v>
      </c>
      <c r="G93" s="88"/>
      <c r="H93" s="68">
        <v>12.5</v>
      </c>
      <c r="I93" s="92">
        <f>Defaults!F93</f>
        <v>300</v>
      </c>
      <c r="J93" s="107">
        <f>Defaults!G93</f>
        <v>2.25</v>
      </c>
      <c r="K93" s="12" t="s">
        <v>265</v>
      </c>
      <c r="L93" s="12"/>
      <c r="M93" s="12" t="s">
        <v>265</v>
      </c>
      <c r="N93" s="12"/>
      <c r="O93" s="54"/>
    </row>
    <row r="94" spans="1:15" ht="15" customHeight="1" x14ac:dyDescent="0.2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  <c r="D94" s="1" t="str">
        <f t="shared" si="2"/>
        <v>No</v>
      </c>
      <c r="E94" s="1"/>
      <c r="F94" s="51"/>
      <c r="H94" s="33"/>
      <c r="I94" s="1"/>
      <c r="O94" s="2"/>
    </row>
    <row r="95" spans="1:15" ht="15" customHeight="1" x14ac:dyDescent="0.2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  <c r="D95" s="1" t="str">
        <f t="shared" si="2"/>
        <v>Yes</v>
      </c>
      <c r="E95" s="1"/>
      <c r="F95" s="51">
        <v>95.003821656050945</v>
      </c>
      <c r="G95" s="88"/>
      <c r="H95" s="69">
        <v>7.0002815957090174</v>
      </c>
      <c r="I95" s="92">
        <f>Defaults!F95</f>
        <v>68.7</v>
      </c>
      <c r="J95" s="107">
        <f>Defaults!G95</f>
        <v>0.94</v>
      </c>
      <c r="K95" s="12" t="s">
        <v>147</v>
      </c>
      <c r="L95" s="12"/>
      <c r="M95" s="12" t="s">
        <v>147</v>
      </c>
      <c r="N95" s="12"/>
      <c r="O95" s="54"/>
    </row>
    <row r="96" spans="1:15" ht="15" customHeight="1" x14ac:dyDescent="0.2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  <c r="D96" s="1" t="str">
        <f t="shared" si="2"/>
        <v>No</v>
      </c>
      <c r="E96" s="1"/>
      <c r="F96" s="51"/>
      <c r="H96" s="33"/>
      <c r="I96" s="1"/>
      <c r="O96" s="2"/>
    </row>
    <row r="97" spans="1:15" ht="15" customHeight="1" x14ac:dyDescent="0.2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  <c r="D97" s="1" t="str">
        <f t="shared" si="2"/>
        <v>Yes</v>
      </c>
      <c r="E97" s="1"/>
      <c r="F97" s="51">
        <v>99.990651635963701</v>
      </c>
      <c r="G97" s="88"/>
      <c r="H97" s="69">
        <v>12.998784712675281</v>
      </c>
      <c r="I97" s="92">
        <f>Defaults!F97</f>
        <v>450</v>
      </c>
      <c r="J97" s="107">
        <f>Defaults!G97</f>
        <v>6.09</v>
      </c>
      <c r="K97" s="12" t="s">
        <v>270</v>
      </c>
      <c r="L97" s="12"/>
      <c r="M97" s="12" t="s">
        <v>270</v>
      </c>
      <c r="N97" s="53"/>
      <c r="O97" s="17"/>
    </row>
    <row r="98" spans="1:15" ht="15" customHeight="1" x14ac:dyDescent="0.2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  <c r="D98" s="1" t="str">
        <f t="shared" si="2"/>
        <v>No</v>
      </c>
      <c r="E98" s="1"/>
      <c r="F98" s="51"/>
      <c r="H98" s="33"/>
      <c r="I98" s="1"/>
      <c r="O98" s="2"/>
    </row>
    <row r="99" spans="1:15" ht="15" customHeight="1" x14ac:dyDescent="0.2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  <c r="D99" s="1" t="str">
        <f t="shared" si="2"/>
        <v>Yes</v>
      </c>
      <c r="E99" s="1"/>
      <c r="F99" s="51">
        <v>44.998221845893312</v>
      </c>
      <c r="G99" s="88"/>
      <c r="H99" s="69">
        <v>8.999644369178661</v>
      </c>
      <c r="I99" s="92">
        <f>Defaults!F99</f>
        <v>140</v>
      </c>
      <c r="J99" s="107">
        <f>Defaults!G99</f>
        <v>1.65</v>
      </c>
      <c r="K99" s="12" t="s">
        <v>256</v>
      </c>
      <c r="L99" s="12"/>
      <c r="M99" s="12" t="s">
        <v>273</v>
      </c>
      <c r="N99" s="53"/>
      <c r="O99" s="17"/>
    </row>
    <row r="100" spans="1:15" ht="15" customHeight="1" x14ac:dyDescent="0.2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  <c r="D100" s="1" t="str">
        <f t="shared" si="2"/>
        <v>Yes</v>
      </c>
      <c r="E100" s="1"/>
      <c r="F100" s="51">
        <v>32.999338097028954</v>
      </c>
      <c r="G100" s="88"/>
      <c r="H100" s="69">
        <v>13.999719192678953</v>
      </c>
      <c r="I100" s="92">
        <f>Defaults!F100</f>
        <v>300</v>
      </c>
      <c r="J100" s="107">
        <f>Defaults!G100</f>
        <v>2.25</v>
      </c>
      <c r="K100" s="12" t="s">
        <v>275</v>
      </c>
      <c r="L100" s="12"/>
      <c r="M100" s="12" t="s">
        <v>275</v>
      </c>
      <c r="N100" s="12"/>
      <c r="O100" s="54"/>
    </row>
    <row r="101" spans="1:15" ht="15" customHeight="1" x14ac:dyDescent="0.2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  <c r="D101" s="1" t="str">
        <f t="shared" si="2"/>
        <v>Yes</v>
      </c>
      <c r="E101" s="1"/>
      <c r="F101" s="51">
        <v>104.9996533509409</v>
      </c>
      <c r="G101" s="88"/>
      <c r="H101" s="69">
        <v>23.99992076592935</v>
      </c>
      <c r="I101" s="92">
        <f>Defaults!F101</f>
        <v>130</v>
      </c>
      <c r="J101" s="107">
        <f>Defaults!G101</f>
        <v>2.38</v>
      </c>
      <c r="K101" s="12" t="s">
        <v>147</v>
      </c>
      <c r="L101" s="12"/>
      <c r="M101" s="12" t="s">
        <v>147</v>
      </c>
      <c r="N101" s="12"/>
      <c r="O101" s="54"/>
    </row>
    <row r="102" spans="1:15" ht="15" customHeight="1" x14ac:dyDescent="0.2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  <c r="D102" s="1" t="str">
        <f t="shared" ref="D102:D118" si="3">IF(ISBLANK(F102),"No","Yes")</f>
        <v>No</v>
      </c>
      <c r="E102" s="1"/>
      <c r="F102" s="33"/>
      <c r="H102" s="33"/>
      <c r="I102" s="1"/>
      <c r="O102" s="2"/>
    </row>
    <row r="103" spans="1:15" ht="15" customHeight="1" x14ac:dyDescent="0.2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  <c r="D103" s="1" t="str">
        <f t="shared" si="3"/>
        <v>No</v>
      </c>
      <c r="E103" s="1"/>
      <c r="F103" s="33"/>
      <c r="H103" s="33"/>
      <c r="I103" s="1"/>
      <c r="O103" s="2"/>
    </row>
    <row r="104" spans="1:15" ht="15" customHeight="1" x14ac:dyDescent="0.2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  <c r="D104" s="1" t="str">
        <f t="shared" si="3"/>
        <v>No</v>
      </c>
      <c r="E104" s="1"/>
      <c r="F104" s="33"/>
      <c r="H104" s="33"/>
      <c r="I104" s="1"/>
      <c r="O104" s="2"/>
    </row>
    <row r="105" spans="1:15" ht="15" customHeight="1" x14ac:dyDescent="0.2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  <c r="D105" s="1" t="str">
        <f t="shared" si="3"/>
        <v>No</v>
      </c>
      <c r="E105" s="1"/>
      <c r="F105" s="33"/>
      <c r="H105" s="33"/>
      <c r="I105" s="1"/>
      <c r="O105" s="2"/>
    </row>
    <row r="106" spans="1:15" ht="15" customHeight="1" x14ac:dyDescent="0.2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  <c r="D106" s="1" t="str">
        <f t="shared" si="3"/>
        <v>Yes</v>
      </c>
      <c r="E106" s="1">
        <f>Defaults!D106</f>
        <v>0</v>
      </c>
      <c r="F106" s="76">
        <v>1181</v>
      </c>
      <c r="G106" s="90"/>
      <c r="H106" s="51">
        <v>0</v>
      </c>
      <c r="I106" s="101">
        <f>Defaults!F106</f>
        <v>0</v>
      </c>
      <c r="J106" s="115">
        <f>Defaults!G106</f>
        <v>1.65</v>
      </c>
      <c r="K106" s="12"/>
      <c r="L106" s="12"/>
      <c r="M106" s="12"/>
      <c r="N106" s="12"/>
      <c r="O106" s="17"/>
    </row>
    <row r="107" spans="1:15" ht="15" customHeight="1" x14ac:dyDescent="0.2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  <c r="D107" s="1" t="str">
        <f t="shared" si="3"/>
        <v>Yes</v>
      </c>
      <c r="E107" s="1">
        <f>Defaults!D107</f>
        <v>100</v>
      </c>
      <c r="F107" s="33">
        <v>1181</v>
      </c>
      <c r="G107" s="88"/>
      <c r="H107" s="68">
        <v>326.53131785066398</v>
      </c>
      <c r="I107" s="92">
        <f>Defaults!F107</f>
        <v>0</v>
      </c>
      <c r="J107" s="107">
        <f>Defaults!G107</f>
        <v>1.65</v>
      </c>
      <c r="K107" s="62" t="s">
        <v>284</v>
      </c>
      <c r="L107" s="12"/>
      <c r="M107" s="62" t="s">
        <v>284</v>
      </c>
      <c r="N107" s="12"/>
      <c r="O107" s="54"/>
    </row>
    <row r="108" spans="1:15" ht="15" customHeight="1" x14ac:dyDescent="0.2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  <c r="D108" s="1" t="str">
        <f t="shared" si="3"/>
        <v>No</v>
      </c>
      <c r="E108" s="1">
        <f>Defaults!D108</f>
        <v>0</v>
      </c>
      <c r="F108" s="33"/>
      <c r="G108" s="88"/>
      <c r="H108" s="68"/>
      <c r="I108" s="95"/>
      <c r="J108" s="108"/>
      <c r="O108" s="4"/>
    </row>
    <row r="109" spans="1:15" ht="15" customHeight="1" x14ac:dyDescent="0.2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  <c r="D109" s="1" t="str">
        <f t="shared" si="3"/>
        <v>Yes</v>
      </c>
      <c r="E109" s="1"/>
      <c r="F109" s="51">
        <v>105.99222303741747</v>
      </c>
      <c r="G109" s="88"/>
      <c r="H109" s="69">
        <v>40.99699192956713</v>
      </c>
      <c r="I109" s="92">
        <f>Defaults!F109</f>
        <v>66.7</v>
      </c>
      <c r="J109" s="107">
        <f>Defaults!G109</f>
        <v>0.61</v>
      </c>
      <c r="K109" s="12" t="s">
        <v>147</v>
      </c>
      <c r="L109" s="12"/>
      <c r="M109" s="12" t="s">
        <v>147</v>
      </c>
      <c r="N109" s="12"/>
      <c r="O109" s="54"/>
    </row>
    <row r="110" spans="1:15" ht="15" customHeight="1" x14ac:dyDescent="0.2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  <c r="D110" s="1" t="str">
        <f t="shared" si="3"/>
        <v>No</v>
      </c>
      <c r="E110" s="1"/>
      <c r="F110" s="33"/>
      <c r="H110" s="33"/>
      <c r="I110" s="1"/>
      <c r="O110" s="2"/>
    </row>
    <row r="111" spans="1:15" ht="15" customHeight="1" x14ac:dyDescent="0.2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  <c r="D111" s="1" t="str">
        <f t="shared" si="3"/>
        <v>No</v>
      </c>
      <c r="E111" s="1"/>
      <c r="F111" s="33"/>
      <c r="H111" s="33"/>
      <c r="I111" s="1"/>
      <c r="O111" s="2"/>
    </row>
    <row r="112" spans="1:15" ht="15" customHeight="1" x14ac:dyDescent="0.2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  <c r="D112" s="1" t="str">
        <f t="shared" si="3"/>
        <v>No</v>
      </c>
      <c r="E112" s="1"/>
      <c r="F112" s="33"/>
      <c r="H112" s="33"/>
      <c r="I112" s="1"/>
      <c r="O112" s="2"/>
    </row>
    <row r="113" spans="1:15" ht="15" customHeight="1" x14ac:dyDescent="0.2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  <c r="D113" s="1" t="str">
        <f t="shared" si="3"/>
        <v>No</v>
      </c>
      <c r="E113" s="1"/>
      <c r="F113" s="33"/>
      <c r="H113" s="33"/>
      <c r="I113" s="1"/>
      <c r="O113" s="2"/>
    </row>
    <row r="114" spans="1:15" ht="15" customHeight="1" x14ac:dyDescent="0.2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  <c r="D114" s="1" t="str">
        <f t="shared" si="3"/>
        <v>No</v>
      </c>
      <c r="E114" s="1"/>
      <c r="F114" s="33"/>
      <c r="H114" s="33"/>
      <c r="I114" s="1"/>
      <c r="O114" s="2"/>
    </row>
    <row r="115" spans="1:15" ht="15" customHeight="1" x14ac:dyDescent="0.2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  <c r="D115" s="1" t="str">
        <f t="shared" si="3"/>
        <v>No</v>
      </c>
      <c r="E115" s="1"/>
      <c r="F115" s="33"/>
      <c r="H115" s="33"/>
      <c r="I115" s="1"/>
      <c r="O115" s="2"/>
    </row>
    <row r="116" spans="1:15" ht="15" customHeight="1" x14ac:dyDescent="0.2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  <c r="D116" s="1" t="str">
        <f t="shared" si="3"/>
        <v>Yes</v>
      </c>
      <c r="E116" s="1"/>
      <c r="F116" s="76">
        <v>153</v>
      </c>
      <c r="H116" s="33">
        <v>14</v>
      </c>
      <c r="I116" s="92">
        <f>Defaults!F116</f>
        <v>71</v>
      </c>
      <c r="J116" s="107">
        <f>Defaults!G116</f>
        <v>0.74</v>
      </c>
      <c r="K116" s="12"/>
      <c r="L116" s="12"/>
      <c r="M116" s="12"/>
      <c r="N116" s="12"/>
      <c r="O116" s="17"/>
    </row>
    <row r="117" spans="1:15" ht="15" customHeight="1" x14ac:dyDescent="0.2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  <c r="D117" s="1" t="str">
        <f t="shared" si="3"/>
        <v>Yes</v>
      </c>
      <c r="E117" s="1">
        <f>Defaults!D117</f>
        <v>10</v>
      </c>
      <c r="F117" s="33">
        <v>99</v>
      </c>
      <c r="G117" s="88"/>
      <c r="H117" s="71">
        <v>15</v>
      </c>
      <c r="I117" s="92">
        <f>Defaults!F117</f>
        <v>71.900000000000006</v>
      </c>
      <c r="J117" s="107">
        <f>Defaults!G117</f>
        <v>0.42</v>
      </c>
      <c r="K117" s="12" t="s">
        <v>147</v>
      </c>
      <c r="L117" s="12"/>
      <c r="M117" s="12" t="s">
        <v>147</v>
      </c>
      <c r="N117" s="53"/>
      <c r="O117" s="54"/>
    </row>
    <row r="118" spans="1:15" ht="15" customHeight="1" x14ac:dyDescent="0.2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  <c r="D118" s="1" t="str">
        <f t="shared" si="3"/>
        <v>Yes</v>
      </c>
      <c r="E118" s="1">
        <f>Defaults!D118</f>
        <v>90</v>
      </c>
      <c r="F118" s="33">
        <v>159</v>
      </c>
      <c r="G118" s="88"/>
      <c r="H118" s="71">
        <v>14</v>
      </c>
      <c r="I118" s="92">
        <f>Defaults!F118</f>
        <v>71.3</v>
      </c>
      <c r="J118" s="107">
        <f>Defaults!G118</f>
        <v>0.77</v>
      </c>
      <c r="K118" s="12" t="s">
        <v>147</v>
      </c>
      <c r="L118" s="12"/>
      <c r="M118" s="12" t="s">
        <v>147</v>
      </c>
      <c r="N118" s="53"/>
      <c r="O118" s="54"/>
    </row>
    <row r="119" spans="1:15" x14ac:dyDescent="0.2">
      <c r="I119" s="33"/>
      <c r="K119" s="12"/>
      <c r="L119" s="12"/>
      <c r="M119" s="12"/>
      <c r="N119" s="12"/>
      <c r="O119" s="17"/>
    </row>
    <row r="120" spans="1:15" x14ac:dyDescent="0.2">
      <c r="I120" s="33"/>
      <c r="K120" s="12"/>
      <c r="L120" s="12"/>
      <c r="M120" s="12"/>
      <c r="N120" s="12"/>
      <c r="O120" s="17"/>
    </row>
    <row r="121" spans="1:15" x14ac:dyDescent="0.2">
      <c r="I121" s="33"/>
      <c r="K121" s="12"/>
      <c r="L121" s="12"/>
      <c r="M121" s="12"/>
      <c r="N121" s="12"/>
      <c r="O121" s="17"/>
    </row>
    <row r="122" spans="1:15" x14ac:dyDescent="0.2">
      <c r="I122" s="33"/>
      <c r="K122" s="12"/>
      <c r="L122" s="12"/>
      <c r="M122" s="12"/>
      <c r="N122" s="12"/>
      <c r="O122" s="17"/>
    </row>
    <row r="123" spans="1:15" x14ac:dyDescent="0.2">
      <c r="I123" s="33"/>
      <c r="K123" s="12"/>
      <c r="L123" s="12"/>
      <c r="M123" s="12"/>
      <c r="N123" s="12"/>
      <c r="O123" s="17"/>
    </row>
    <row r="124" spans="1:15" x14ac:dyDescent="0.2">
      <c r="I124" s="33"/>
      <c r="K124" s="12"/>
      <c r="L124" s="12"/>
      <c r="M124" s="12"/>
      <c r="N124" s="12"/>
      <c r="O124" s="17"/>
    </row>
    <row r="125" spans="1:15" x14ac:dyDescent="0.2">
      <c r="I125" s="33"/>
      <c r="K125" s="12"/>
      <c r="L125" s="12"/>
      <c r="M125" s="12"/>
      <c r="N125" s="12"/>
      <c r="O125" s="17"/>
    </row>
    <row r="126" spans="1:15" x14ac:dyDescent="0.2">
      <c r="K126" s="12"/>
      <c r="L126" s="12"/>
      <c r="M126" s="12"/>
      <c r="N126" s="12"/>
      <c r="O126" s="17"/>
    </row>
    <row r="127" spans="1:15" x14ac:dyDescent="0.2">
      <c r="K127" s="12"/>
      <c r="L127" s="12"/>
      <c r="M127" s="12"/>
      <c r="N127" s="12"/>
      <c r="O127" s="17"/>
    </row>
    <row r="128" spans="1:15" x14ac:dyDescent="0.2">
      <c r="K128" s="12"/>
      <c r="L128" s="12"/>
      <c r="M128" s="12"/>
      <c r="N128" s="12"/>
      <c r="O128" s="17"/>
    </row>
    <row r="129" spans="15:15" x14ac:dyDescent="0.2">
      <c r="O129" s="2"/>
    </row>
    <row r="130" spans="15:15" x14ac:dyDescent="0.2">
      <c r="O130" s="2"/>
    </row>
    <row r="131" spans="15:15" x14ac:dyDescent="0.2">
      <c r="O131" s="2"/>
    </row>
    <row r="132" spans="15:15" x14ac:dyDescent="0.2">
      <c r="O132" s="2"/>
    </row>
    <row r="133" spans="15:15" x14ac:dyDescent="0.2">
      <c r="O133" s="2"/>
    </row>
    <row r="134" spans="15:15" x14ac:dyDescent="0.2">
      <c r="O134" s="2"/>
    </row>
    <row r="135" spans="15:15" x14ac:dyDescent="0.2">
      <c r="O135" s="2"/>
    </row>
    <row r="136" spans="15:15" x14ac:dyDescent="0.2">
      <c r="O136" s="2"/>
    </row>
    <row r="137" spans="15:15" x14ac:dyDescent="0.2">
      <c r="O137" s="2"/>
    </row>
    <row r="138" spans="15:15" x14ac:dyDescent="0.2">
      <c r="O138" s="2"/>
    </row>
    <row r="139" spans="15:15" x14ac:dyDescent="0.2">
      <c r="O139" s="2"/>
    </row>
    <row r="140" spans="15:15" x14ac:dyDescent="0.2">
      <c r="O140" s="2"/>
    </row>
    <row r="141" spans="15:15" x14ac:dyDescent="0.2">
      <c r="O141" s="2"/>
    </row>
    <row r="142" spans="15:15" x14ac:dyDescent="0.2">
      <c r="O142" s="2"/>
    </row>
    <row r="143" spans="15:15" x14ac:dyDescent="0.2">
      <c r="O143" s="2"/>
    </row>
    <row r="144" spans="15:15" x14ac:dyDescent="0.2">
      <c r="O144" s="2"/>
    </row>
    <row r="145" spans="15:15" x14ac:dyDescent="0.2">
      <c r="O145" s="2"/>
    </row>
    <row r="146" spans="15:15" x14ac:dyDescent="0.2">
      <c r="O146" s="2"/>
    </row>
    <row r="147" spans="15:15" x14ac:dyDescent="0.2">
      <c r="O147" s="2"/>
    </row>
    <row r="148" spans="15:15" x14ac:dyDescent="0.2">
      <c r="O148" s="2"/>
    </row>
    <row r="149" spans="15:15" x14ac:dyDescent="0.2">
      <c r="O149" s="2"/>
    </row>
    <row r="150" spans="15:15" x14ac:dyDescent="0.2">
      <c r="O150" s="2"/>
    </row>
    <row r="151" spans="15:15" x14ac:dyDescent="0.2">
      <c r="O151" s="2"/>
    </row>
    <row r="152" spans="15:15" x14ac:dyDescent="0.2">
      <c r="O152" s="2"/>
    </row>
    <row r="153" spans="15:15" x14ac:dyDescent="0.2">
      <c r="O153" s="2"/>
    </row>
    <row r="154" spans="15:15" x14ac:dyDescent="0.2">
      <c r="O154" s="2"/>
    </row>
    <row r="155" spans="15:15" x14ac:dyDescent="0.2">
      <c r="O155" s="2"/>
    </row>
    <row r="156" spans="15:15" x14ac:dyDescent="0.2">
      <c r="O156" s="2"/>
    </row>
    <row r="157" spans="15:15" x14ac:dyDescent="0.2">
      <c r="O157" s="2"/>
    </row>
    <row r="158" spans="15:15" x14ac:dyDescent="0.2">
      <c r="O158" s="2"/>
    </row>
    <row r="159" spans="15:15" x14ac:dyDescent="0.2">
      <c r="O159" s="2"/>
    </row>
    <row r="160" spans="15:15" x14ac:dyDescent="0.2">
      <c r="O160" s="2"/>
    </row>
    <row r="161" spans="15:15" x14ac:dyDescent="0.2">
      <c r="O161" s="2"/>
    </row>
    <row r="162" spans="15:15" x14ac:dyDescent="0.2">
      <c r="O162" s="2"/>
    </row>
    <row r="163" spans="15:15" x14ac:dyDescent="0.2">
      <c r="O163" s="2"/>
    </row>
    <row r="164" spans="15:15" x14ac:dyDescent="0.2">
      <c r="O164" s="2"/>
    </row>
    <row r="165" spans="15:15" x14ac:dyDescent="0.2">
      <c r="O165" s="2"/>
    </row>
    <row r="166" spans="15:15" x14ac:dyDescent="0.2">
      <c r="O166" s="2"/>
    </row>
    <row r="167" spans="15:15" x14ac:dyDescent="0.2">
      <c r="O167" s="2"/>
    </row>
    <row r="168" spans="15:15" x14ac:dyDescent="0.2">
      <c r="O168" s="2"/>
    </row>
    <row r="169" spans="15:15" x14ac:dyDescent="0.2">
      <c r="O169" s="2"/>
    </row>
    <row r="170" spans="15:15" x14ac:dyDescent="0.2">
      <c r="O170" s="2"/>
    </row>
    <row r="171" spans="15:15" x14ac:dyDescent="0.2">
      <c r="O171" s="2"/>
    </row>
    <row r="172" spans="15:15" x14ac:dyDescent="0.2">
      <c r="O172" s="2"/>
    </row>
    <row r="173" spans="15:15" x14ac:dyDescent="0.2">
      <c r="O173" s="2"/>
    </row>
    <row r="174" spans="15:15" x14ac:dyDescent="0.2">
      <c r="O174" s="2"/>
    </row>
    <row r="175" spans="15:15" x14ac:dyDescent="0.2">
      <c r="O175" s="2"/>
    </row>
    <row r="176" spans="15:15" x14ac:dyDescent="0.2">
      <c r="O176" s="2"/>
    </row>
    <row r="177" spans="15:15" x14ac:dyDescent="0.2">
      <c r="O177" s="2"/>
    </row>
    <row r="178" spans="15:15" x14ac:dyDescent="0.2">
      <c r="O178" s="2"/>
    </row>
    <row r="179" spans="15:15" x14ac:dyDescent="0.2">
      <c r="O179" s="2"/>
    </row>
    <row r="180" spans="15:15" x14ac:dyDescent="0.2">
      <c r="O180" s="2"/>
    </row>
    <row r="181" spans="15:15" x14ac:dyDescent="0.2">
      <c r="O181" s="2"/>
    </row>
    <row r="182" spans="15:15" x14ac:dyDescent="0.2">
      <c r="O182" s="2"/>
    </row>
    <row r="183" spans="15:15" x14ac:dyDescent="0.2">
      <c r="O183" s="2"/>
    </row>
    <row r="184" spans="15:15" x14ac:dyDescent="0.2">
      <c r="O184" s="2"/>
    </row>
    <row r="185" spans="15:15" x14ac:dyDescent="0.2">
      <c r="O185" s="2"/>
    </row>
    <row r="186" spans="15:15" x14ac:dyDescent="0.2">
      <c r="O186" s="2"/>
    </row>
    <row r="187" spans="15:15" x14ac:dyDescent="0.2">
      <c r="O187" s="2"/>
    </row>
    <row r="188" spans="15:15" x14ac:dyDescent="0.2">
      <c r="O188" s="2"/>
    </row>
    <row r="189" spans="15:15" x14ac:dyDescent="0.2">
      <c r="O189" s="2"/>
    </row>
    <row r="190" spans="15:15" x14ac:dyDescent="0.2">
      <c r="O190" s="2"/>
    </row>
    <row r="191" spans="15:15" x14ac:dyDescent="0.2">
      <c r="O191" s="2"/>
    </row>
    <row r="192" spans="15:15" x14ac:dyDescent="0.2">
      <c r="O192" s="2"/>
    </row>
    <row r="193" spans="15:15" x14ac:dyDescent="0.2">
      <c r="O193" s="2"/>
    </row>
    <row r="194" spans="15:15" x14ac:dyDescent="0.2">
      <c r="O194" s="2"/>
    </row>
    <row r="195" spans="15:15" x14ac:dyDescent="0.2">
      <c r="O195" s="2"/>
    </row>
    <row r="196" spans="15:15" x14ac:dyDescent="0.2">
      <c r="O196" s="2"/>
    </row>
    <row r="197" spans="15:15" x14ac:dyDescent="0.2">
      <c r="O197" s="2"/>
    </row>
    <row r="198" spans="15:15" x14ac:dyDescent="0.2">
      <c r="O198" s="2"/>
    </row>
    <row r="199" spans="15:15" x14ac:dyDescent="0.2">
      <c r="O199" s="2"/>
    </row>
    <row r="200" spans="15:15" x14ac:dyDescent="0.2">
      <c r="O200" s="2"/>
    </row>
    <row r="201" spans="15:15" x14ac:dyDescent="0.2">
      <c r="O201" s="2"/>
    </row>
    <row r="202" spans="15:15" x14ac:dyDescent="0.2">
      <c r="O202" s="2"/>
    </row>
    <row r="203" spans="15:15" x14ac:dyDescent="0.2">
      <c r="O203" s="2"/>
    </row>
    <row r="204" spans="15:15" x14ac:dyDescent="0.2">
      <c r="O204" s="2"/>
    </row>
    <row r="205" spans="15:15" x14ac:dyDescent="0.2">
      <c r="O205" s="2"/>
    </row>
    <row r="206" spans="15:15" x14ac:dyDescent="0.2">
      <c r="O206" s="2"/>
    </row>
    <row r="207" spans="15:15" x14ac:dyDescent="0.2">
      <c r="O207" s="2"/>
    </row>
    <row r="208" spans="15:15" x14ac:dyDescent="0.2">
      <c r="O208" s="2"/>
    </row>
    <row r="209" spans="15:15" x14ac:dyDescent="0.2">
      <c r="O209" s="2"/>
    </row>
    <row r="210" spans="15:15" x14ac:dyDescent="0.2">
      <c r="O210" s="2"/>
    </row>
    <row r="211" spans="15:15" x14ac:dyDescent="0.2">
      <c r="O211" s="2"/>
    </row>
    <row r="212" spans="15:15" x14ac:dyDescent="0.2">
      <c r="O212" s="2"/>
    </row>
    <row r="213" spans="15:15" x14ac:dyDescent="0.2">
      <c r="O213" s="2"/>
    </row>
    <row r="214" spans="15:15" x14ac:dyDescent="0.2">
      <c r="O214" s="2"/>
    </row>
    <row r="215" spans="15:15" x14ac:dyDescent="0.2">
      <c r="O215" s="2"/>
    </row>
    <row r="216" spans="15:15" x14ac:dyDescent="0.2">
      <c r="O216" s="2"/>
    </row>
    <row r="217" spans="15:15" x14ac:dyDescent="0.2">
      <c r="O217" s="2"/>
    </row>
    <row r="218" spans="15:15" x14ac:dyDescent="0.2">
      <c r="O218" s="2"/>
    </row>
    <row r="219" spans="15:15" x14ac:dyDescent="0.2">
      <c r="O219" s="2"/>
    </row>
    <row r="220" spans="15:15" x14ac:dyDescent="0.2">
      <c r="O220" s="2"/>
    </row>
    <row r="221" spans="15:15" x14ac:dyDescent="0.2">
      <c r="O221" s="2"/>
    </row>
    <row r="222" spans="15:15" x14ac:dyDescent="0.2">
      <c r="O222" s="2"/>
    </row>
    <row r="223" spans="15:15" x14ac:dyDescent="0.2">
      <c r="O223" s="2"/>
    </row>
    <row r="224" spans="15:15" x14ac:dyDescent="0.2">
      <c r="O224" s="2"/>
    </row>
    <row r="225" spans="15:15" x14ac:dyDescent="0.2">
      <c r="O225" s="2"/>
    </row>
    <row r="226" spans="15:15" x14ac:dyDescent="0.2">
      <c r="O226" s="2"/>
    </row>
    <row r="227" spans="15:15" x14ac:dyDescent="0.2">
      <c r="O227" s="2"/>
    </row>
    <row r="228" spans="15:15" x14ac:dyDescent="0.2">
      <c r="O228" s="2"/>
    </row>
    <row r="229" spans="15:15" x14ac:dyDescent="0.2">
      <c r="O229" s="2"/>
    </row>
  </sheetData>
  <autoFilter ref="A5:O118" xr:uid="{00000000-0009-0000-0000-000002000000}">
    <sortState xmlns:xlrd2="http://schemas.microsoft.com/office/spreadsheetml/2017/richdata2" ref="A6:O118">
      <sortCondition ref="B5:B118"/>
    </sortState>
  </autoFilter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4089-7759-42A5-9D6C-37A3AA5CF3C0}">
  <sheetPr>
    <tabColor theme="9" tint="0.59999389629810485"/>
  </sheetPr>
  <dimension ref="A2:J229"/>
  <sheetViews>
    <sheetView zoomScale="80" zoomScaleNormal="80" workbookViewId="0">
      <selection activeCell="A4" sqref="A4:D5"/>
    </sheetView>
  </sheetViews>
  <sheetFormatPr baseColWidth="10" defaultColWidth="8.6640625" defaultRowHeight="15" x14ac:dyDescent="0.2"/>
  <cols>
    <col min="1" max="1" width="8.6640625" style="6"/>
    <col min="2" max="2" width="22.33203125" style="1" customWidth="1"/>
    <col min="3" max="3" width="17.6640625" style="1" customWidth="1"/>
    <col min="4" max="4" width="6.33203125" customWidth="1"/>
    <col min="5" max="6" width="20.6640625" customWidth="1"/>
    <col min="7" max="7" width="20.6640625" style="1" customWidth="1"/>
    <col min="8" max="10" width="30.6640625" customWidth="1"/>
  </cols>
  <sheetData>
    <row r="2" spans="1:10" ht="21" x14ac:dyDescent="0.2">
      <c r="A2" s="5" t="s">
        <v>337</v>
      </c>
      <c r="D2" s="4"/>
      <c r="E2" s="4"/>
      <c r="F2" s="29"/>
      <c r="G2" s="97"/>
      <c r="H2" s="3"/>
    </row>
    <row r="3" spans="1:10" x14ac:dyDescent="0.2">
      <c r="A3" s="11"/>
      <c r="B3" s="11"/>
      <c r="C3" s="11"/>
      <c r="D3" s="77"/>
      <c r="E3" s="77"/>
      <c r="F3" s="11"/>
      <c r="G3" s="104"/>
    </row>
    <row r="4" spans="1:10" x14ac:dyDescent="0.2">
      <c r="A4" s="78" t="s">
        <v>1</v>
      </c>
      <c r="B4" s="79"/>
      <c r="C4" s="79"/>
      <c r="D4" s="80"/>
      <c r="E4" s="81" t="s">
        <v>340</v>
      </c>
      <c r="F4" s="81" t="s">
        <v>122</v>
      </c>
      <c r="G4" s="105" t="s">
        <v>2</v>
      </c>
      <c r="H4" s="42" t="s">
        <v>340</v>
      </c>
      <c r="I4" s="42" t="s">
        <v>122</v>
      </c>
      <c r="J4" s="43" t="s">
        <v>2</v>
      </c>
    </row>
    <row r="5" spans="1:10" s="7" customFormat="1" ht="33" customHeight="1" x14ac:dyDescent="0.2">
      <c r="A5" s="112" t="s">
        <v>3</v>
      </c>
      <c r="B5" s="82" t="s">
        <v>4</v>
      </c>
      <c r="C5" s="82" t="s">
        <v>5</v>
      </c>
      <c r="D5" s="83" t="s">
        <v>7</v>
      </c>
      <c r="E5" s="87" t="s">
        <v>123</v>
      </c>
      <c r="F5" s="84" t="s">
        <v>124</v>
      </c>
      <c r="G5" s="106" t="s">
        <v>341</v>
      </c>
      <c r="H5" s="48" t="s">
        <v>123</v>
      </c>
      <c r="I5" s="48" t="s">
        <v>124</v>
      </c>
      <c r="J5" s="49" t="s">
        <v>341</v>
      </c>
    </row>
    <row r="6" spans="1:10" ht="15" customHeight="1" x14ac:dyDescent="0.2">
      <c r="A6" s="6" t="s">
        <v>8</v>
      </c>
      <c r="B6" s="1" t="s">
        <v>126</v>
      </c>
      <c r="C6" s="1" t="s">
        <v>127</v>
      </c>
      <c r="F6" s="1"/>
      <c r="J6" s="2"/>
    </row>
    <row r="7" spans="1:10" ht="15" customHeight="1" x14ac:dyDescent="0.2">
      <c r="A7" s="6" t="s">
        <v>9</v>
      </c>
      <c r="B7" s="1" t="s">
        <v>128</v>
      </c>
      <c r="C7" s="30" t="s">
        <v>129</v>
      </c>
      <c r="F7" s="1"/>
      <c r="J7" s="2"/>
    </row>
    <row r="8" spans="1:10" ht="15" customHeight="1" x14ac:dyDescent="0.2">
      <c r="A8" s="6" t="s">
        <v>10</v>
      </c>
      <c r="B8" s="30" t="s">
        <v>130</v>
      </c>
      <c r="C8" s="30" t="s">
        <v>131</v>
      </c>
      <c r="D8" s="85"/>
      <c r="E8" s="8"/>
      <c r="F8" s="92">
        <v>450</v>
      </c>
      <c r="G8" s="107">
        <v>5.97</v>
      </c>
      <c r="H8" s="12"/>
      <c r="I8" s="53" t="s">
        <v>133</v>
      </c>
      <c r="J8" s="54" t="s">
        <v>134</v>
      </c>
    </row>
    <row r="9" spans="1:10" ht="15" customHeight="1" x14ac:dyDescent="0.2">
      <c r="A9" s="6" t="s">
        <v>11</v>
      </c>
      <c r="B9" s="30" t="s">
        <v>135</v>
      </c>
      <c r="C9" s="30" t="s">
        <v>131</v>
      </c>
      <c r="F9" s="1"/>
      <c r="I9" s="55"/>
      <c r="J9" s="2"/>
    </row>
    <row r="10" spans="1:10" ht="15" customHeight="1" x14ac:dyDescent="0.2">
      <c r="A10" s="6" t="s">
        <v>12</v>
      </c>
      <c r="B10" s="1" t="s">
        <v>136</v>
      </c>
      <c r="C10" s="30" t="s">
        <v>129</v>
      </c>
      <c r="F10" s="1"/>
      <c r="J10" s="2"/>
    </row>
    <row r="11" spans="1:10" ht="15" customHeight="1" x14ac:dyDescent="0.2">
      <c r="A11" s="6" t="s">
        <v>13</v>
      </c>
      <c r="B11" s="30" t="s">
        <v>137</v>
      </c>
      <c r="C11" s="30" t="s">
        <v>129</v>
      </c>
      <c r="D11" s="85"/>
      <c r="E11" s="88"/>
      <c r="F11" s="93">
        <v>140</v>
      </c>
      <c r="G11" s="108">
        <v>1.65</v>
      </c>
      <c r="H11" s="12"/>
      <c r="I11" s="53" t="s">
        <v>139</v>
      </c>
      <c r="J11" s="54" t="s">
        <v>140</v>
      </c>
    </row>
    <row r="12" spans="1:10" ht="15" customHeight="1" x14ac:dyDescent="0.2">
      <c r="A12" s="6" t="s">
        <v>14</v>
      </c>
      <c r="B12" s="30" t="s">
        <v>141</v>
      </c>
      <c r="C12" s="30" t="s">
        <v>129</v>
      </c>
      <c r="D12" s="85"/>
      <c r="E12" s="58"/>
      <c r="F12" s="94"/>
      <c r="G12" s="109"/>
      <c r="J12" s="4"/>
    </row>
    <row r="13" spans="1:10" ht="15" customHeight="1" x14ac:dyDescent="0.2">
      <c r="A13" s="6" t="s">
        <v>15</v>
      </c>
      <c r="B13" s="30" t="s">
        <v>142</v>
      </c>
      <c r="C13" s="30" t="s">
        <v>131</v>
      </c>
      <c r="F13" s="1"/>
      <c r="I13" s="58"/>
      <c r="J13" s="2"/>
    </row>
    <row r="14" spans="1:10" ht="15" customHeight="1" x14ac:dyDescent="0.2">
      <c r="A14" s="6" t="s">
        <v>16</v>
      </c>
      <c r="B14" s="30" t="s">
        <v>143</v>
      </c>
      <c r="C14" s="30" t="s">
        <v>144</v>
      </c>
      <c r="F14" s="99">
        <v>69.7</v>
      </c>
      <c r="G14" s="100">
        <v>0.52</v>
      </c>
      <c r="H14" s="12"/>
      <c r="I14" s="59"/>
      <c r="J14" s="17"/>
    </row>
    <row r="15" spans="1:10" ht="15" customHeight="1" x14ac:dyDescent="0.2">
      <c r="A15" s="6" t="s">
        <v>17</v>
      </c>
      <c r="B15" s="30" t="s">
        <v>145</v>
      </c>
      <c r="C15" s="30" t="s">
        <v>146</v>
      </c>
      <c r="D15">
        <v>90</v>
      </c>
      <c r="E15" s="8"/>
      <c r="F15" s="95">
        <v>70</v>
      </c>
      <c r="G15" s="108">
        <v>0.47</v>
      </c>
      <c r="H15" s="12"/>
      <c r="I15" s="53" t="s">
        <v>148</v>
      </c>
      <c r="J15" s="54" t="s">
        <v>134</v>
      </c>
    </row>
    <row r="16" spans="1:10" ht="15" customHeight="1" x14ac:dyDescent="0.2">
      <c r="A16" s="6" t="s">
        <v>18</v>
      </c>
      <c r="B16" s="30" t="s">
        <v>149</v>
      </c>
      <c r="C16" s="30" t="s">
        <v>146</v>
      </c>
      <c r="D16">
        <v>10</v>
      </c>
      <c r="E16" s="9"/>
      <c r="F16" s="95">
        <v>66.7</v>
      </c>
      <c r="G16" s="108">
        <v>1</v>
      </c>
      <c r="H16" s="12"/>
      <c r="I16" s="53" t="s">
        <v>148</v>
      </c>
      <c r="J16" s="54" t="s">
        <v>134</v>
      </c>
    </row>
    <row r="17" spans="1:10" ht="15" customHeight="1" x14ac:dyDescent="0.2">
      <c r="A17" s="6" t="s">
        <v>19</v>
      </c>
      <c r="B17" s="30" t="s">
        <v>150</v>
      </c>
      <c r="C17" s="30" t="s">
        <v>151</v>
      </c>
      <c r="D17" s="85"/>
      <c r="E17" s="89">
        <v>25</v>
      </c>
      <c r="F17" s="93">
        <v>65</v>
      </c>
      <c r="G17" s="107">
        <v>1.1000000000000001</v>
      </c>
      <c r="H17" s="12" t="s">
        <v>153</v>
      </c>
      <c r="I17" s="12" t="s">
        <v>154</v>
      </c>
      <c r="J17" s="54" t="s">
        <v>152</v>
      </c>
    </row>
    <row r="18" spans="1:10" ht="15" customHeight="1" x14ac:dyDescent="0.2">
      <c r="A18" s="6" t="s">
        <v>20</v>
      </c>
      <c r="B18" s="30" t="s">
        <v>155</v>
      </c>
      <c r="C18" s="30" t="s">
        <v>156</v>
      </c>
      <c r="D18" s="85"/>
      <c r="E18" s="58"/>
      <c r="F18" s="94"/>
      <c r="G18" s="109"/>
      <c r="I18" s="61"/>
      <c r="J18" s="4"/>
    </row>
    <row r="19" spans="1:10" ht="15" customHeight="1" x14ac:dyDescent="0.2">
      <c r="A19" s="6" t="s">
        <v>21</v>
      </c>
      <c r="B19" s="30" t="s">
        <v>157</v>
      </c>
      <c r="C19" s="30" t="s">
        <v>127</v>
      </c>
      <c r="F19" s="1"/>
      <c r="I19" s="58"/>
      <c r="J19" s="2"/>
    </row>
    <row r="20" spans="1:10" ht="15" customHeight="1" x14ac:dyDescent="0.2">
      <c r="A20" s="6" t="s">
        <v>22</v>
      </c>
      <c r="B20" s="30" t="s">
        <v>158</v>
      </c>
      <c r="C20" s="30" t="s">
        <v>159</v>
      </c>
      <c r="D20" s="85"/>
      <c r="E20" s="89">
        <v>24</v>
      </c>
      <c r="F20" s="93">
        <v>63.2</v>
      </c>
      <c r="G20" s="107">
        <v>0.61</v>
      </c>
      <c r="H20" s="12" t="s">
        <v>160</v>
      </c>
      <c r="I20" s="53" t="s">
        <v>148</v>
      </c>
      <c r="J20" s="54" t="s">
        <v>134</v>
      </c>
    </row>
    <row r="21" spans="1:10" ht="15" customHeight="1" x14ac:dyDescent="0.2">
      <c r="A21" s="6" t="s">
        <v>23</v>
      </c>
      <c r="B21" s="30" t="s">
        <v>162</v>
      </c>
      <c r="C21" s="30" t="s">
        <v>129</v>
      </c>
      <c r="D21" s="85"/>
      <c r="E21" s="58"/>
      <c r="F21" s="94"/>
      <c r="G21" s="109"/>
      <c r="I21" s="55"/>
      <c r="J21" s="4"/>
    </row>
    <row r="22" spans="1:10" ht="15" customHeight="1" x14ac:dyDescent="0.2">
      <c r="A22" s="6" t="s">
        <v>24</v>
      </c>
      <c r="B22" s="30" t="s">
        <v>163</v>
      </c>
      <c r="C22" s="30" t="s">
        <v>129</v>
      </c>
      <c r="D22">
        <v>40</v>
      </c>
      <c r="E22" s="89"/>
      <c r="F22" s="93">
        <v>140</v>
      </c>
      <c r="G22" s="108">
        <v>1.65</v>
      </c>
      <c r="H22" s="12"/>
      <c r="I22" s="12" t="s">
        <v>148</v>
      </c>
      <c r="J22" s="54" t="s">
        <v>140</v>
      </c>
    </row>
    <row r="23" spans="1:10" ht="15" customHeight="1" x14ac:dyDescent="0.2">
      <c r="A23" s="6" t="s">
        <v>25</v>
      </c>
      <c r="B23" s="30" t="s">
        <v>165</v>
      </c>
      <c r="C23" s="30" t="s">
        <v>166</v>
      </c>
      <c r="F23" s="1"/>
    </row>
    <row r="24" spans="1:10" ht="15" customHeight="1" x14ac:dyDescent="0.2">
      <c r="A24" s="6" t="s">
        <v>26</v>
      </c>
      <c r="B24" s="30" t="s">
        <v>167</v>
      </c>
      <c r="C24" s="30" t="s">
        <v>129</v>
      </c>
      <c r="E24" s="88"/>
      <c r="F24" s="95">
        <v>140</v>
      </c>
      <c r="G24" s="108">
        <v>1.65</v>
      </c>
      <c r="I24" s="12" t="s">
        <v>148</v>
      </c>
      <c r="J24" s="17" t="s">
        <v>140</v>
      </c>
    </row>
    <row r="25" spans="1:10" ht="15" customHeight="1" x14ac:dyDescent="0.2">
      <c r="A25" s="6" t="s">
        <v>27</v>
      </c>
      <c r="B25" s="30" t="s">
        <v>168</v>
      </c>
      <c r="C25" s="30" t="s">
        <v>131</v>
      </c>
      <c r="D25" s="85"/>
      <c r="F25" s="1"/>
    </row>
    <row r="26" spans="1:10" ht="15" customHeight="1" x14ac:dyDescent="0.2">
      <c r="A26" s="6" t="s">
        <v>28</v>
      </c>
      <c r="B26" s="30" t="s">
        <v>169</v>
      </c>
      <c r="C26" s="30" t="s">
        <v>129</v>
      </c>
      <c r="E26" s="89"/>
      <c r="F26" s="93">
        <v>140</v>
      </c>
      <c r="G26" s="107">
        <v>2.23</v>
      </c>
      <c r="H26" s="12"/>
      <c r="I26" s="12" t="s">
        <v>148</v>
      </c>
      <c r="J26" s="54" t="s">
        <v>134</v>
      </c>
    </row>
    <row r="27" spans="1:10" ht="15" customHeight="1" x14ac:dyDescent="0.2">
      <c r="A27" s="6" t="s">
        <v>29</v>
      </c>
      <c r="B27" s="1" t="s">
        <v>171</v>
      </c>
      <c r="C27" s="30" t="s">
        <v>127</v>
      </c>
      <c r="F27" s="1"/>
    </row>
    <row r="28" spans="1:10" ht="15" customHeight="1" x14ac:dyDescent="0.2">
      <c r="A28" s="6" t="s">
        <v>30</v>
      </c>
      <c r="B28" s="30" t="s">
        <v>172</v>
      </c>
      <c r="C28" s="30" t="s">
        <v>129</v>
      </c>
      <c r="D28">
        <v>60</v>
      </c>
      <c r="E28" s="89"/>
      <c r="F28" s="93">
        <v>140</v>
      </c>
      <c r="G28" s="108">
        <v>1.65</v>
      </c>
      <c r="H28" s="12"/>
      <c r="I28" s="12" t="s">
        <v>148</v>
      </c>
      <c r="J28" s="54" t="s">
        <v>140</v>
      </c>
    </row>
    <row r="29" spans="1:10" ht="15" customHeight="1" x14ac:dyDescent="0.2">
      <c r="A29" s="6" t="s">
        <v>31</v>
      </c>
      <c r="B29" s="1" t="s">
        <v>173</v>
      </c>
      <c r="C29" s="30" t="s">
        <v>129</v>
      </c>
      <c r="E29" s="90"/>
      <c r="F29" s="100">
        <v>140</v>
      </c>
      <c r="G29" s="100">
        <v>1.65</v>
      </c>
      <c r="H29" s="12"/>
      <c r="I29" s="12"/>
      <c r="J29" s="17"/>
    </row>
    <row r="30" spans="1:10" ht="15" customHeight="1" x14ac:dyDescent="0.2">
      <c r="A30" s="6" t="s">
        <v>32</v>
      </c>
      <c r="B30" s="30" t="s">
        <v>174</v>
      </c>
      <c r="C30" s="30" t="s">
        <v>146</v>
      </c>
      <c r="F30" s="1"/>
      <c r="J30" s="2"/>
    </row>
    <row r="31" spans="1:10" ht="15" customHeight="1" x14ac:dyDescent="0.2">
      <c r="A31" s="6" t="s">
        <v>33</v>
      </c>
      <c r="B31" s="30" t="s">
        <v>175</v>
      </c>
      <c r="C31" s="30" t="s">
        <v>156</v>
      </c>
      <c r="D31" s="85"/>
      <c r="E31" s="58"/>
      <c r="F31" s="94"/>
      <c r="G31" s="109"/>
      <c r="J31" s="4"/>
    </row>
    <row r="32" spans="1:10" ht="15" customHeight="1" x14ac:dyDescent="0.2">
      <c r="A32" s="6" t="s">
        <v>34</v>
      </c>
      <c r="B32" s="30" t="s">
        <v>176</v>
      </c>
      <c r="C32" s="30" t="s">
        <v>127</v>
      </c>
      <c r="D32" s="85"/>
      <c r="E32" s="58"/>
      <c r="F32" s="94"/>
      <c r="G32" s="109"/>
      <c r="J32" s="4"/>
    </row>
    <row r="33" spans="1:10" ht="15" customHeight="1" x14ac:dyDescent="0.2">
      <c r="A33" s="6" t="s">
        <v>35</v>
      </c>
      <c r="B33" s="30" t="s">
        <v>177</v>
      </c>
      <c r="C33" s="30" t="s">
        <v>151</v>
      </c>
      <c r="F33" s="1"/>
      <c r="J33" s="2"/>
    </row>
    <row r="34" spans="1:10" ht="15" customHeight="1" x14ac:dyDescent="0.2">
      <c r="A34" s="6" t="s">
        <v>36</v>
      </c>
      <c r="B34" s="30" t="s">
        <v>178</v>
      </c>
      <c r="C34" s="30" t="s">
        <v>179</v>
      </c>
      <c r="F34" s="1"/>
      <c r="J34" s="2"/>
    </row>
    <row r="35" spans="1:10" ht="15" customHeight="1" x14ac:dyDescent="0.2">
      <c r="A35" s="6" t="s">
        <v>37</v>
      </c>
      <c r="B35" s="1" t="s">
        <v>180</v>
      </c>
      <c r="C35" s="1" t="s">
        <v>181</v>
      </c>
      <c r="F35" s="1"/>
      <c r="J35" s="2"/>
    </row>
    <row r="36" spans="1:10" ht="15" customHeight="1" x14ac:dyDescent="0.2">
      <c r="A36" s="6" t="s">
        <v>38</v>
      </c>
      <c r="B36" s="1" t="s">
        <v>182</v>
      </c>
      <c r="C36" s="1" t="s">
        <v>127</v>
      </c>
      <c r="F36" s="1"/>
      <c r="J36" s="2"/>
    </row>
    <row r="37" spans="1:10" ht="15" customHeight="1" x14ac:dyDescent="0.2">
      <c r="A37" s="6" t="s">
        <v>39</v>
      </c>
      <c r="B37" s="1" t="s">
        <v>183</v>
      </c>
      <c r="C37" s="1" t="s">
        <v>181</v>
      </c>
      <c r="F37" s="1"/>
      <c r="J37" s="2"/>
    </row>
    <row r="38" spans="1:10" ht="15" customHeight="1" x14ac:dyDescent="0.2">
      <c r="A38" s="6" t="s">
        <v>40</v>
      </c>
      <c r="B38" s="1" t="s">
        <v>184</v>
      </c>
      <c r="C38" s="1" t="s">
        <v>129</v>
      </c>
      <c r="E38" s="91"/>
      <c r="F38" s="99">
        <v>7</v>
      </c>
      <c r="G38" s="111">
        <v>1.65</v>
      </c>
      <c r="H38" s="12"/>
      <c r="I38" s="12"/>
      <c r="J38" s="17"/>
    </row>
    <row r="39" spans="1:10" ht="15" customHeight="1" x14ac:dyDescent="0.2">
      <c r="A39" s="6" t="s">
        <v>41</v>
      </c>
      <c r="B39" s="30" t="s">
        <v>186</v>
      </c>
      <c r="C39" s="30" t="s">
        <v>129</v>
      </c>
      <c r="D39">
        <v>95</v>
      </c>
      <c r="E39" s="89"/>
      <c r="F39" s="93">
        <v>0</v>
      </c>
      <c r="G39" s="108">
        <v>1.65</v>
      </c>
      <c r="H39" s="12"/>
      <c r="I39" s="12"/>
      <c r="J39" s="54" t="s">
        <v>140</v>
      </c>
    </row>
    <row r="40" spans="1:10" ht="15" customHeight="1" x14ac:dyDescent="0.2">
      <c r="A40" s="6" t="s">
        <v>42</v>
      </c>
      <c r="B40" s="30" t="s">
        <v>189</v>
      </c>
      <c r="C40" s="30" t="s">
        <v>129</v>
      </c>
      <c r="D40">
        <v>5</v>
      </c>
      <c r="E40" s="89"/>
      <c r="F40" s="93">
        <v>140</v>
      </c>
      <c r="G40" s="108">
        <v>1.65</v>
      </c>
      <c r="H40" s="12"/>
      <c r="I40" s="53" t="s">
        <v>139</v>
      </c>
      <c r="J40" s="54" t="s">
        <v>140</v>
      </c>
    </row>
    <row r="41" spans="1:10" ht="15" customHeight="1" x14ac:dyDescent="0.2">
      <c r="A41" s="6" t="s">
        <v>43</v>
      </c>
      <c r="B41" s="30" t="s">
        <v>190</v>
      </c>
      <c r="C41" s="30" t="s">
        <v>156</v>
      </c>
      <c r="D41" s="85"/>
      <c r="E41" s="8"/>
      <c r="F41" s="92">
        <v>300</v>
      </c>
      <c r="G41" s="108">
        <v>2.25</v>
      </c>
      <c r="H41" s="12"/>
      <c r="I41" s="53" t="s">
        <v>192</v>
      </c>
      <c r="J41" s="54" t="s">
        <v>193</v>
      </c>
    </row>
    <row r="42" spans="1:10" ht="15" customHeight="1" x14ac:dyDescent="0.2">
      <c r="A42" s="6" t="s">
        <v>44</v>
      </c>
      <c r="B42" s="1" t="s">
        <v>194</v>
      </c>
      <c r="C42" s="1" t="s">
        <v>131</v>
      </c>
      <c r="D42" s="85"/>
      <c r="E42" s="58"/>
      <c r="F42" s="96"/>
      <c r="G42" s="109"/>
      <c r="J42" s="4"/>
    </row>
    <row r="43" spans="1:10" ht="15" customHeight="1" x14ac:dyDescent="0.2">
      <c r="A43" s="6" t="s">
        <v>45</v>
      </c>
      <c r="B43" s="1" t="s">
        <v>195</v>
      </c>
      <c r="C43" s="1" t="s">
        <v>196</v>
      </c>
      <c r="D43" s="85"/>
      <c r="E43" s="55"/>
      <c r="F43" s="96"/>
      <c r="G43" s="109"/>
      <c r="J43" s="4"/>
    </row>
    <row r="44" spans="1:10" ht="15" customHeight="1" x14ac:dyDescent="0.2">
      <c r="A44" s="6" t="s">
        <v>46</v>
      </c>
      <c r="B44" s="30" t="s">
        <v>197</v>
      </c>
      <c r="C44" s="30" t="s">
        <v>129</v>
      </c>
      <c r="D44" s="85"/>
      <c r="E44" s="58"/>
      <c r="F44" s="94"/>
      <c r="G44" s="109"/>
      <c r="J44" s="4"/>
    </row>
    <row r="45" spans="1:10" ht="15" customHeight="1" x14ac:dyDescent="0.2">
      <c r="A45" s="6" t="s">
        <v>47</v>
      </c>
      <c r="B45" s="30" t="s">
        <v>198</v>
      </c>
      <c r="C45" s="30" t="s">
        <v>131</v>
      </c>
      <c r="D45" s="85"/>
      <c r="E45" s="55"/>
      <c r="F45" s="96"/>
      <c r="G45" s="109"/>
      <c r="J45" s="4"/>
    </row>
    <row r="46" spans="1:10" ht="15" customHeight="1" x14ac:dyDescent="0.2">
      <c r="A46" s="6" t="s">
        <v>48</v>
      </c>
      <c r="B46" s="30" t="s">
        <v>199</v>
      </c>
      <c r="C46" s="30" t="s">
        <v>156</v>
      </c>
      <c r="D46" s="86"/>
      <c r="E46" s="58"/>
      <c r="F46" s="94"/>
      <c r="G46" s="109"/>
      <c r="J46" s="4"/>
    </row>
    <row r="47" spans="1:10" ht="15" customHeight="1" x14ac:dyDescent="0.2">
      <c r="A47" s="6" t="s">
        <v>49</v>
      </c>
      <c r="B47" s="30" t="s">
        <v>200</v>
      </c>
      <c r="C47" s="30" t="s">
        <v>131</v>
      </c>
      <c r="D47" s="85"/>
      <c r="E47" s="8"/>
      <c r="F47" s="93">
        <v>450</v>
      </c>
      <c r="G47" s="107">
        <v>6.09</v>
      </c>
      <c r="H47" s="12"/>
      <c r="I47" s="53" t="s">
        <v>201</v>
      </c>
      <c r="J47" s="54" t="s">
        <v>202</v>
      </c>
    </row>
    <row r="48" spans="1:10" ht="15" customHeight="1" x14ac:dyDescent="0.2">
      <c r="A48" s="6" t="s">
        <v>50</v>
      </c>
      <c r="B48" s="30" t="s">
        <v>203</v>
      </c>
      <c r="C48" s="30" t="s">
        <v>129</v>
      </c>
      <c r="D48" s="85"/>
      <c r="E48" s="61"/>
      <c r="F48" s="97"/>
      <c r="G48" s="109"/>
      <c r="J48" s="4"/>
    </row>
    <row r="49" spans="1:10" ht="15" customHeight="1" x14ac:dyDescent="0.2">
      <c r="A49" s="6" t="s">
        <v>51</v>
      </c>
      <c r="B49" s="30" t="s">
        <v>204</v>
      </c>
      <c r="C49" s="30" t="s">
        <v>129</v>
      </c>
      <c r="D49" s="85"/>
      <c r="E49" s="8"/>
      <c r="F49" s="92">
        <v>140</v>
      </c>
      <c r="G49" s="108">
        <v>1.65</v>
      </c>
      <c r="H49" s="12"/>
      <c r="I49" s="53" t="s">
        <v>139</v>
      </c>
      <c r="J49" s="54" t="s">
        <v>140</v>
      </c>
    </row>
    <row r="50" spans="1:10" ht="15" customHeight="1" x14ac:dyDescent="0.2">
      <c r="A50" s="6" t="s">
        <v>52</v>
      </c>
      <c r="B50" s="1" t="s">
        <v>207</v>
      </c>
      <c r="C50" s="1" t="s">
        <v>127</v>
      </c>
      <c r="D50" s="85"/>
      <c r="E50" s="55"/>
      <c r="F50" s="96"/>
      <c r="G50" s="109"/>
      <c r="J50" s="4"/>
    </row>
    <row r="51" spans="1:10" ht="15" customHeight="1" x14ac:dyDescent="0.2">
      <c r="A51" s="6" t="s">
        <v>53</v>
      </c>
      <c r="B51" s="1" t="s">
        <v>208</v>
      </c>
      <c r="C51" s="1" t="s">
        <v>127</v>
      </c>
      <c r="D51" s="86"/>
      <c r="E51" s="58"/>
      <c r="F51" s="94"/>
      <c r="G51" s="109"/>
      <c r="J51" s="4"/>
    </row>
    <row r="52" spans="1:10" ht="15" customHeight="1" x14ac:dyDescent="0.2">
      <c r="A52" s="6" t="s">
        <v>54</v>
      </c>
      <c r="B52" s="1" t="s">
        <v>209</v>
      </c>
      <c r="C52" s="1" t="s">
        <v>131</v>
      </c>
      <c r="D52" s="86"/>
      <c r="E52" s="58"/>
      <c r="F52" s="94"/>
      <c r="G52" s="109"/>
      <c r="J52" s="4"/>
    </row>
    <row r="53" spans="1:10" ht="15" customHeight="1" x14ac:dyDescent="0.2">
      <c r="A53" s="6" t="s">
        <v>55</v>
      </c>
      <c r="B53" s="30" t="s">
        <v>210</v>
      </c>
      <c r="C53" s="30" t="s">
        <v>129</v>
      </c>
      <c r="D53" s="85"/>
      <c r="E53" s="8"/>
      <c r="F53" s="92">
        <v>140</v>
      </c>
      <c r="G53" s="108">
        <v>1.65</v>
      </c>
      <c r="H53" s="12"/>
      <c r="I53" s="53" t="s">
        <v>148</v>
      </c>
      <c r="J53" s="54" t="s">
        <v>140</v>
      </c>
    </row>
    <row r="54" spans="1:10" ht="15" customHeight="1" x14ac:dyDescent="0.2">
      <c r="A54" s="6" t="s">
        <v>56</v>
      </c>
      <c r="B54" s="30" t="s">
        <v>212</v>
      </c>
      <c r="C54" s="30" t="s">
        <v>131</v>
      </c>
      <c r="D54" s="86"/>
      <c r="E54" s="58"/>
      <c r="F54" s="94"/>
      <c r="G54" s="109"/>
      <c r="I54" s="55"/>
      <c r="J54" s="4"/>
    </row>
    <row r="55" spans="1:10" ht="15" customHeight="1" x14ac:dyDescent="0.2">
      <c r="A55" s="6" t="s">
        <v>57</v>
      </c>
      <c r="B55" s="1" t="s">
        <v>213</v>
      </c>
      <c r="C55" s="1" t="s">
        <v>151</v>
      </c>
      <c r="D55" s="86"/>
      <c r="E55" s="88">
        <v>63</v>
      </c>
      <c r="F55" s="98">
        <v>79</v>
      </c>
      <c r="G55" s="107">
        <v>0</v>
      </c>
      <c r="H55" s="12" t="s">
        <v>214</v>
      </c>
      <c r="I55" s="64" t="s">
        <v>152</v>
      </c>
      <c r="J55" s="54"/>
    </row>
    <row r="56" spans="1:10" ht="15" customHeight="1" x14ac:dyDescent="0.2">
      <c r="A56" s="6" t="s">
        <v>58</v>
      </c>
      <c r="B56" s="30" t="s">
        <v>215</v>
      </c>
      <c r="C56" s="30" t="s">
        <v>129</v>
      </c>
      <c r="D56" s="86"/>
      <c r="E56" s="8"/>
      <c r="F56" s="93">
        <v>140</v>
      </c>
      <c r="G56" s="108">
        <v>1.65</v>
      </c>
      <c r="H56" s="12"/>
      <c r="I56" s="59" t="s">
        <v>148</v>
      </c>
      <c r="J56" s="54" t="s">
        <v>140</v>
      </c>
    </row>
    <row r="57" spans="1:10" ht="15" customHeight="1" x14ac:dyDescent="0.2">
      <c r="A57" s="6" t="s">
        <v>59</v>
      </c>
      <c r="B57" s="30" t="s">
        <v>216</v>
      </c>
      <c r="C57" s="30" t="s">
        <v>166</v>
      </c>
      <c r="D57" s="86"/>
      <c r="E57" s="8"/>
      <c r="F57" s="93">
        <v>65.400000000000006</v>
      </c>
      <c r="G57" s="107">
        <v>0.7</v>
      </c>
      <c r="H57" s="12"/>
      <c r="I57" s="12" t="s">
        <v>148</v>
      </c>
      <c r="J57" s="54" t="s">
        <v>134</v>
      </c>
    </row>
    <row r="58" spans="1:10" ht="15" customHeight="1" x14ac:dyDescent="0.2">
      <c r="A58" s="6" t="s">
        <v>60</v>
      </c>
      <c r="B58" s="30" t="s">
        <v>218</v>
      </c>
      <c r="C58" s="30" t="s">
        <v>151</v>
      </c>
      <c r="D58" s="85"/>
      <c r="E58" s="55"/>
      <c r="F58" s="96"/>
      <c r="G58" s="109"/>
      <c r="I58" s="58"/>
      <c r="J58" s="4"/>
    </row>
    <row r="59" spans="1:10" ht="15" customHeight="1" x14ac:dyDescent="0.2">
      <c r="A59" s="6" t="s">
        <v>61</v>
      </c>
      <c r="B59" s="30" t="s">
        <v>219</v>
      </c>
      <c r="C59" s="30" t="s">
        <v>144</v>
      </c>
      <c r="D59" s="85"/>
      <c r="E59" s="8"/>
      <c r="F59" s="93">
        <v>69</v>
      </c>
      <c r="G59" s="107">
        <v>0.11</v>
      </c>
      <c r="H59" s="12"/>
      <c r="I59" s="53" t="s">
        <v>220</v>
      </c>
      <c r="J59" s="54" t="s">
        <v>134</v>
      </c>
    </row>
    <row r="60" spans="1:10" ht="15" customHeight="1" x14ac:dyDescent="0.2">
      <c r="A60" s="6" t="s">
        <v>62</v>
      </c>
      <c r="B60" s="1" t="s">
        <v>221</v>
      </c>
      <c r="C60" s="1" t="s">
        <v>131</v>
      </c>
      <c r="D60" s="85"/>
      <c r="E60" s="55"/>
      <c r="F60" s="96"/>
      <c r="G60" s="109"/>
      <c r="I60" s="58"/>
      <c r="J60" s="4"/>
    </row>
    <row r="61" spans="1:10" ht="15" customHeight="1" x14ac:dyDescent="0.2">
      <c r="A61" s="6" t="s">
        <v>63</v>
      </c>
      <c r="B61" s="30" t="s">
        <v>222</v>
      </c>
      <c r="C61" s="30" t="s">
        <v>146</v>
      </c>
      <c r="D61" s="85"/>
      <c r="E61" s="58"/>
      <c r="F61" s="94"/>
      <c r="G61" s="109"/>
      <c r="I61" s="61"/>
      <c r="J61" s="4"/>
    </row>
    <row r="62" spans="1:10" ht="15" customHeight="1" x14ac:dyDescent="0.2">
      <c r="A62" s="6" t="s">
        <v>64</v>
      </c>
      <c r="B62" s="30" t="s">
        <v>223</v>
      </c>
      <c r="C62" s="30" t="s">
        <v>146</v>
      </c>
      <c r="D62" s="86"/>
      <c r="E62" s="58"/>
      <c r="F62" s="94"/>
      <c r="G62" s="109"/>
      <c r="I62" s="58"/>
      <c r="J62" s="4"/>
    </row>
    <row r="63" spans="1:10" ht="15" customHeight="1" x14ac:dyDescent="0.2">
      <c r="A63" s="6" t="s">
        <v>65</v>
      </c>
      <c r="B63" s="30" t="s">
        <v>224</v>
      </c>
      <c r="C63" s="30" t="s">
        <v>225</v>
      </c>
      <c r="D63" s="86"/>
      <c r="E63" s="58"/>
      <c r="F63" s="94"/>
      <c r="G63" s="109"/>
      <c r="I63" s="55"/>
      <c r="J63" s="4"/>
    </row>
    <row r="64" spans="1:10" ht="15" customHeight="1" x14ac:dyDescent="0.2">
      <c r="A64" s="6" t="s">
        <v>66</v>
      </c>
      <c r="B64" s="30" t="s">
        <v>226</v>
      </c>
      <c r="C64" s="30" t="s">
        <v>144</v>
      </c>
      <c r="E64" s="88"/>
      <c r="F64" s="95">
        <v>68.599999999999994</v>
      </c>
      <c r="G64" s="108">
        <v>0.45</v>
      </c>
      <c r="H64" s="12"/>
      <c r="I64" s="53" t="s">
        <v>148</v>
      </c>
      <c r="J64" s="54" t="s">
        <v>134</v>
      </c>
    </row>
    <row r="65" spans="1:10" ht="15" customHeight="1" x14ac:dyDescent="0.2">
      <c r="A65" s="6" t="s">
        <v>67</v>
      </c>
      <c r="B65" s="1" t="s">
        <v>227</v>
      </c>
      <c r="C65" s="1" t="s">
        <v>228</v>
      </c>
      <c r="F65" s="1"/>
      <c r="I65" s="58"/>
      <c r="J65" s="2"/>
    </row>
    <row r="66" spans="1:10" ht="15" customHeight="1" x14ac:dyDescent="0.2">
      <c r="A66" s="6" t="s">
        <v>68</v>
      </c>
      <c r="B66" s="30" t="s">
        <v>229</v>
      </c>
      <c r="C66" s="30" t="s">
        <v>228</v>
      </c>
      <c r="F66" s="1"/>
      <c r="I66" s="58"/>
      <c r="J66" s="2"/>
    </row>
    <row r="67" spans="1:10" ht="15" customHeight="1" x14ac:dyDescent="0.2">
      <c r="A67" s="6" t="s">
        <v>69</v>
      </c>
      <c r="B67" s="30" t="s">
        <v>230</v>
      </c>
      <c r="C67" s="30" t="s">
        <v>129</v>
      </c>
      <c r="E67" s="88"/>
      <c r="F67" s="95">
        <v>140</v>
      </c>
      <c r="G67" s="108">
        <v>4.71</v>
      </c>
      <c r="H67" s="12"/>
      <c r="I67" s="59" t="s">
        <v>148</v>
      </c>
      <c r="J67" s="54" t="s">
        <v>134</v>
      </c>
    </row>
    <row r="68" spans="1:10" ht="15" customHeight="1" x14ac:dyDescent="0.2">
      <c r="A68" s="6" t="s">
        <v>70</v>
      </c>
      <c r="B68" s="30" t="s">
        <v>231</v>
      </c>
      <c r="C68" s="30" t="s">
        <v>131</v>
      </c>
      <c r="F68" s="1"/>
      <c r="J68" s="2"/>
    </row>
    <row r="69" spans="1:10" ht="15" customHeight="1" x14ac:dyDescent="0.2">
      <c r="A69" s="6" t="s">
        <v>71</v>
      </c>
      <c r="B69" s="30" t="s">
        <v>232</v>
      </c>
      <c r="C69" s="30" t="s">
        <v>129</v>
      </c>
      <c r="E69" s="8">
        <v>24</v>
      </c>
      <c r="F69" s="95">
        <v>61.1</v>
      </c>
      <c r="G69" s="108">
        <v>0.59499999999999997</v>
      </c>
      <c r="H69" s="12" t="s">
        <v>160</v>
      </c>
      <c r="I69" s="12" t="s">
        <v>148</v>
      </c>
      <c r="J69" s="17" t="s">
        <v>234</v>
      </c>
    </row>
    <row r="70" spans="1:10" ht="15" customHeight="1" x14ac:dyDescent="0.2">
      <c r="A70" s="6" t="s">
        <v>72</v>
      </c>
      <c r="B70" s="1" t="s">
        <v>235</v>
      </c>
      <c r="C70" s="1" t="s">
        <v>131</v>
      </c>
      <c r="F70" s="1"/>
      <c r="J70" s="2"/>
    </row>
    <row r="71" spans="1:10" ht="15" customHeight="1" x14ac:dyDescent="0.2">
      <c r="A71" s="6" t="s">
        <v>73</v>
      </c>
      <c r="B71" s="30" t="s">
        <v>236</v>
      </c>
      <c r="C71" s="30" t="s">
        <v>237</v>
      </c>
      <c r="F71" s="1"/>
      <c r="J71" s="2"/>
    </row>
    <row r="72" spans="1:10" ht="15" customHeight="1" x14ac:dyDescent="0.2">
      <c r="A72" s="6" t="s">
        <v>74</v>
      </c>
      <c r="B72" s="30" t="s">
        <v>238</v>
      </c>
      <c r="C72" s="30" t="s">
        <v>151</v>
      </c>
      <c r="E72" s="8">
        <v>24</v>
      </c>
      <c r="F72" s="95">
        <v>63.2</v>
      </c>
      <c r="G72" s="108">
        <v>0.59499999999999997</v>
      </c>
      <c r="H72" s="12" t="s">
        <v>160</v>
      </c>
      <c r="I72" s="12" t="s">
        <v>148</v>
      </c>
      <c r="J72" s="17" t="s">
        <v>234</v>
      </c>
    </row>
    <row r="73" spans="1:10" ht="15" customHeight="1" x14ac:dyDescent="0.2">
      <c r="A73" s="6" t="s">
        <v>75</v>
      </c>
      <c r="B73" s="30" t="s">
        <v>239</v>
      </c>
      <c r="C73" s="30" t="s">
        <v>181</v>
      </c>
      <c r="F73" s="1"/>
      <c r="J73" s="2"/>
    </row>
    <row r="74" spans="1:10" ht="15" customHeight="1" x14ac:dyDescent="0.2">
      <c r="A74" s="6" t="s">
        <v>76</v>
      </c>
      <c r="B74" s="30" t="s">
        <v>240</v>
      </c>
      <c r="C74" s="30" t="s">
        <v>129</v>
      </c>
      <c r="E74" s="88"/>
      <c r="F74" s="93">
        <v>140</v>
      </c>
      <c r="G74" s="108">
        <v>1.65</v>
      </c>
      <c r="H74" s="12"/>
      <c r="I74" s="53" t="s">
        <v>139</v>
      </c>
      <c r="J74" s="17" t="s">
        <v>140</v>
      </c>
    </row>
    <row r="75" spans="1:10" ht="15" customHeight="1" x14ac:dyDescent="0.2">
      <c r="A75" s="6" t="s">
        <v>77</v>
      </c>
      <c r="B75" s="1" t="s">
        <v>242</v>
      </c>
      <c r="C75" s="1" t="s">
        <v>131</v>
      </c>
      <c r="F75" s="1"/>
      <c r="J75" s="2"/>
    </row>
    <row r="76" spans="1:10" ht="15" customHeight="1" x14ac:dyDescent="0.2">
      <c r="A76" s="6" t="s">
        <v>78</v>
      </c>
      <c r="B76" s="30" t="s">
        <v>243</v>
      </c>
      <c r="C76" s="30" t="s">
        <v>131</v>
      </c>
      <c r="F76" s="1"/>
      <c r="J76" s="2"/>
    </row>
    <row r="77" spans="1:10" ht="15" customHeight="1" x14ac:dyDescent="0.2">
      <c r="A77" s="6" t="s">
        <v>79</v>
      </c>
      <c r="B77" s="30" t="s">
        <v>244</v>
      </c>
      <c r="C77" s="30" t="s">
        <v>131</v>
      </c>
      <c r="E77" s="88"/>
      <c r="F77" s="95">
        <v>450</v>
      </c>
      <c r="G77" s="107">
        <v>6.09</v>
      </c>
      <c r="H77" s="12"/>
      <c r="I77" s="12" t="s">
        <v>133</v>
      </c>
      <c r="J77" s="17" t="s">
        <v>202</v>
      </c>
    </row>
    <row r="78" spans="1:10" ht="15" customHeight="1" x14ac:dyDescent="0.2">
      <c r="A78" s="6" t="s">
        <v>80</v>
      </c>
      <c r="B78" s="30" t="s">
        <v>245</v>
      </c>
      <c r="C78" s="30" t="s">
        <v>159</v>
      </c>
      <c r="E78" s="88">
        <v>63</v>
      </c>
      <c r="F78" s="95">
        <v>63.2</v>
      </c>
      <c r="G78" s="108">
        <v>0.57999999999999996</v>
      </c>
      <c r="H78" s="12" t="s">
        <v>160</v>
      </c>
      <c r="I78" s="12" t="s">
        <v>148</v>
      </c>
      <c r="J78" s="54" t="s">
        <v>134</v>
      </c>
    </row>
    <row r="79" spans="1:10" ht="15" customHeight="1" x14ac:dyDescent="0.2">
      <c r="A79" s="6" t="s">
        <v>81</v>
      </c>
      <c r="B79" s="30" t="s">
        <v>246</v>
      </c>
      <c r="C79" s="30" t="s">
        <v>129</v>
      </c>
      <c r="E79" s="88">
        <v>63</v>
      </c>
      <c r="F79" s="95">
        <v>63.2</v>
      </c>
      <c r="G79" s="108">
        <v>0.57999999999999996</v>
      </c>
      <c r="H79" s="12" t="s">
        <v>160</v>
      </c>
      <c r="I79" s="12" t="s">
        <v>148</v>
      </c>
      <c r="J79" s="54" t="s">
        <v>134</v>
      </c>
    </row>
    <row r="80" spans="1:10" ht="15" customHeight="1" x14ac:dyDescent="0.2">
      <c r="A80" s="6" t="s">
        <v>82</v>
      </c>
      <c r="B80" s="1" t="s">
        <v>247</v>
      </c>
      <c r="C80" s="1" t="s">
        <v>129</v>
      </c>
      <c r="F80" s="1"/>
      <c r="J80" s="2"/>
    </row>
    <row r="81" spans="1:10" ht="15" customHeight="1" x14ac:dyDescent="0.2">
      <c r="A81" s="6" t="s">
        <v>83</v>
      </c>
      <c r="B81" s="1" t="s">
        <v>248</v>
      </c>
      <c r="C81" s="1" t="s">
        <v>131</v>
      </c>
      <c r="F81" s="1"/>
      <c r="J81" s="2"/>
    </row>
    <row r="82" spans="1:10" ht="15" customHeight="1" x14ac:dyDescent="0.2">
      <c r="A82" s="6" t="s">
        <v>84</v>
      </c>
      <c r="B82" s="1" t="s">
        <v>249</v>
      </c>
      <c r="C82" s="1" t="s">
        <v>131</v>
      </c>
      <c r="F82" s="1"/>
      <c r="J82" s="2"/>
    </row>
    <row r="83" spans="1:10" ht="15" customHeight="1" x14ac:dyDescent="0.2">
      <c r="A83" s="6" t="s">
        <v>85</v>
      </c>
      <c r="B83" s="30" t="s">
        <v>250</v>
      </c>
      <c r="C83" s="30" t="s">
        <v>131</v>
      </c>
      <c r="E83" s="88"/>
      <c r="F83" s="95">
        <v>450</v>
      </c>
      <c r="G83" s="107">
        <v>6.09</v>
      </c>
      <c r="H83" s="12"/>
      <c r="I83" s="53" t="s">
        <v>201</v>
      </c>
      <c r="J83" s="17" t="s">
        <v>202</v>
      </c>
    </row>
    <row r="84" spans="1:10" ht="15" customHeight="1" x14ac:dyDescent="0.2">
      <c r="A84" s="6" t="s">
        <v>86</v>
      </c>
      <c r="B84" s="30" t="s">
        <v>252</v>
      </c>
      <c r="C84" s="30" t="s">
        <v>131</v>
      </c>
      <c r="F84" s="1"/>
      <c r="J84" s="2"/>
    </row>
    <row r="85" spans="1:10" ht="15" customHeight="1" x14ac:dyDescent="0.2">
      <c r="A85" s="6" t="s">
        <v>87</v>
      </c>
      <c r="B85" s="30" t="s">
        <v>253</v>
      </c>
      <c r="C85" s="30" t="s">
        <v>166</v>
      </c>
      <c r="F85" s="1"/>
      <c r="J85" s="2"/>
    </row>
    <row r="86" spans="1:10" ht="15" customHeight="1" x14ac:dyDescent="0.2">
      <c r="A86" s="6" t="s">
        <v>88</v>
      </c>
      <c r="B86" s="30" t="s">
        <v>254</v>
      </c>
      <c r="C86" s="30" t="s">
        <v>196</v>
      </c>
      <c r="E86" s="88"/>
      <c r="F86" s="95">
        <v>135.5</v>
      </c>
      <c r="G86" s="108">
        <v>2.13</v>
      </c>
      <c r="H86" s="12"/>
      <c r="I86" s="12" t="s">
        <v>148</v>
      </c>
      <c r="J86" s="54" t="s">
        <v>134</v>
      </c>
    </row>
    <row r="87" spans="1:10" ht="15" customHeight="1" x14ac:dyDescent="0.2">
      <c r="A87" s="6" t="s">
        <v>89</v>
      </c>
      <c r="B87" s="30" t="s">
        <v>255</v>
      </c>
      <c r="C87" s="30" t="s">
        <v>129</v>
      </c>
      <c r="E87" s="88"/>
      <c r="F87" s="95">
        <v>140</v>
      </c>
      <c r="G87" s="108">
        <v>1.65</v>
      </c>
      <c r="H87" s="12"/>
      <c r="I87" s="53" t="s">
        <v>139</v>
      </c>
      <c r="J87" s="17" t="s">
        <v>140</v>
      </c>
    </row>
    <row r="88" spans="1:10" ht="15" customHeight="1" x14ac:dyDescent="0.2">
      <c r="A88" s="6" t="s">
        <v>90</v>
      </c>
      <c r="B88" s="30" t="s">
        <v>257</v>
      </c>
      <c r="C88" s="30" t="s">
        <v>258</v>
      </c>
      <c r="F88" s="1"/>
      <c r="J88" s="2"/>
    </row>
    <row r="89" spans="1:10" ht="15" customHeight="1" x14ac:dyDescent="0.2">
      <c r="A89" s="6" t="s">
        <v>91</v>
      </c>
      <c r="B89" s="1" t="s">
        <v>259</v>
      </c>
      <c r="C89" s="1" t="s">
        <v>166</v>
      </c>
      <c r="F89" s="1"/>
      <c r="J89" s="2"/>
    </row>
    <row r="90" spans="1:10" ht="15" customHeight="1" x14ac:dyDescent="0.2">
      <c r="A90" s="6" t="s">
        <v>92</v>
      </c>
      <c r="B90" s="30" t="s">
        <v>260</v>
      </c>
      <c r="C90" s="30" t="s">
        <v>237</v>
      </c>
      <c r="F90" s="100">
        <v>60</v>
      </c>
      <c r="G90" s="111">
        <v>0.35900000000000004</v>
      </c>
      <c r="J90" s="2"/>
    </row>
    <row r="91" spans="1:10" ht="15" customHeight="1" x14ac:dyDescent="0.2">
      <c r="A91" s="6" t="s">
        <v>93</v>
      </c>
      <c r="B91" s="30" t="s">
        <v>261</v>
      </c>
      <c r="C91" s="30" t="s">
        <v>237</v>
      </c>
      <c r="D91">
        <v>10</v>
      </c>
      <c r="E91" s="88"/>
      <c r="F91" s="95">
        <v>60</v>
      </c>
      <c r="G91" s="108">
        <v>0.26</v>
      </c>
      <c r="H91" s="12"/>
      <c r="I91" s="12" t="s">
        <v>148</v>
      </c>
      <c r="J91" s="54" t="s">
        <v>134</v>
      </c>
    </row>
    <row r="92" spans="1:10" ht="15" customHeight="1" x14ac:dyDescent="0.2">
      <c r="A92" s="6" t="s">
        <v>94</v>
      </c>
      <c r="B92" s="30" t="s">
        <v>263</v>
      </c>
      <c r="C92" s="30" t="s">
        <v>237</v>
      </c>
      <c r="D92">
        <v>90</v>
      </c>
      <c r="E92" s="88"/>
      <c r="F92" s="95">
        <v>60</v>
      </c>
      <c r="G92" s="108">
        <v>0.37</v>
      </c>
      <c r="H92" s="12"/>
      <c r="I92" s="12" t="s">
        <v>148</v>
      </c>
      <c r="J92" s="54" t="s">
        <v>134</v>
      </c>
    </row>
    <row r="93" spans="1:10" ht="15" customHeight="1" x14ac:dyDescent="0.2">
      <c r="A93" s="6" t="s">
        <v>95</v>
      </c>
      <c r="B93" s="30" t="s">
        <v>264</v>
      </c>
      <c r="C93" s="30" t="s">
        <v>156</v>
      </c>
      <c r="E93" s="88"/>
      <c r="F93" s="95">
        <v>300</v>
      </c>
      <c r="G93" s="108">
        <v>2.25</v>
      </c>
      <c r="H93" s="12"/>
      <c r="I93" s="12" t="s">
        <v>133</v>
      </c>
      <c r="J93" s="54" t="s">
        <v>193</v>
      </c>
    </row>
    <row r="94" spans="1:10" ht="15" customHeight="1" x14ac:dyDescent="0.2">
      <c r="A94" s="6" t="s">
        <v>96</v>
      </c>
      <c r="B94" s="30" t="s">
        <v>266</v>
      </c>
      <c r="C94" s="30" t="s">
        <v>146</v>
      </c>
      <c r="F94" s="1"/>
      <c r="J94" s="2"/>
    </row>
    <row r="95" spans="1:10" ht="15" customHeight="1" x14ac:dyDescent="0.2">
      <c r="A95" s="6" t="s">
        <v>97</v>
      </c>
      <c r="B95" s="30" t="s">
        <v>267</v>
      </c>
      <c r="C95" s="30" t="s">
        <v>144</v>
      </c>
      <c r="E95" s="88"/>
      <c r="F95" s="95">
        <v>68.7</v>
      </c>
      <c r="G95" s="108">
        <v>0.94</v>
      </c>
      <c r="H95" s="12"/>
      <c r="I95" s="12" t="s">
        <v>148</v>
      </c>
      <c r="J95" s="54" t="s">
        <v>134</v>
      </c>
    </row>
    <row r="96" spans="1:10" ht="15" customHeight="1" x14ac:dyDescent="0.2">
      <c r="A96" s="6" t="s">
        <v>98</v>
      </c>
      <c r="B96" s="30" t="s">
        <v>268</v>
      </c>
      <c r="C96" s="30" t="s">
        <v>146</v>
      </c>
      <c r="F96" s="1"/>
      <c r="J96" s="2"/>
    </row>
    <row r="97" spans="1:10" ht="15" customHeight="1" x14ac:dyDescent="0.2">
      <c r="A97" s="6" t="s">
        <v>99</v>
      </c>
      <c r="B97" s="30" t="s">
        <v>269</v>
      </c>
      <c r="C97" s="30" t="s">
        <v>131</v>
      </c>
      <c r="E97" s="88"/>
      <c r="F97" s="95">
        <v>450</v>
      </c>
      <c r="G97" s="107">
        <v>6.09</v>
      </c>
      <c r="H97" s="12"/>
      <c r="I97" s="53" t="s">
        <v>201</v>
      </c>
      <c r="J97" s="17" t="s">
        <v>202</v>
      </c>
    </row>
    <row r="98" spans="1:10" ht="15" customHeight="1" x14ac:dyDescent="0.2">
      <c r="A98" s="6" t="s">
        <v>100</v>
      </c>
      <c r="B98" s="30" t="s">
        <v>271</v>
      </c>
      <c r="C98" s="30" t="s">
        <v>151</v>
      </c>
      <c r="F98" s="1"/>
      <c r="J98" s="2"/>
    </row>
    <row r="99" spans="1:10" ht="15" customHeight="1" x14ac:dyDescent="0.2">
      <c r="A99" s="6" t="s">
        <v>101</v>
      </c>
      <c r="B99" s="30" t="s">
        <v>272</v>
      </c>
      <c r="C99" s="30" t="s">
        <v>129</v>
      </c>
      <c r="E99" s="88"/>
      <c r="F99" s="95">
        <v>140</v>
      </c>
      <c r="G99" s="108">
        <v>1.65</v>
      </c>
      <c r="H99" s="12"/>
      <c r="I99" s="53" t="s">
        <v>139</v>
      </c>
      <c r="J99" s="17" t="s">
        <v>140</v>
      </c>
    </row>
    <row r="100" spans="1:10" ht="15" customHeight="1" x14ac:dyDescent="0.2">
      <c r="A100" s="6" t="s">
        <v>102</v>
      </c>
      <c r="B100" s="30" t="s">
        <v>274</v>
      </c>
      <c r="C100" s="30" t="s">
        <v>131</v>
      </c>
      <c r="E100" s="88"/>
      <c r="F100" s="95">
        <v>300</v>
      </c>
      <c r="G100" s="108">
        <v>2.25</v>
      </c>
      <c r="H100" s="12"/>
      <c r="I100" s="12" t="s">
        <v>133</v>
      </c>
      <c r="J100" s="54" t="s">
        <v>134</v>
      </c>
    </row>
    <row r="101" spans="1:10" ht="15" customHeight="1" x14ac:dyDescent="0.2">
      <c r="A101" s="6" t="s">
        <v>103</v>
      </c>
      <c r="B101" s="30" t="s">
        <v>276</v>
      </c>
      <c r="C101" s="30" t="s">
        <v>277</v>
      </c>
      <c r="E101" s="88"/>
      <c r="F101" s="95">
        <v>130</v>
      </c>
      <c r="G101" s="108">
        <v>2.38</v>
      </c>
      <c r="H101" s="12"/>
      <c r="I101" s="12" t="s">
        <v>148</v>
      </c>
      <c r="J101" s="54" t="s">
        <v>134</v>
      </c>
    </row>
    <row r="102" spans="1:10" ht="15" customHeight="1" x14ac:dyDescent="0.2">
      <c r="A102" s="6" t="s">
        <v>104</v>
      </c>
      <c r="B102" s="30" t="s">
        <v>278</v>
      </c>
      <c r="C102" s="30" t="s">
        <v>277</v>
      </c>
      <c r="F102" s="1"/>
      <c r="J102" s="2"/>
    </row>
    <row r="103" spans="1:10" ht="15" customHeight="1" x14ac:dyDescent="0.2">
      <c r="A103" s="6" t="s">
        <v>105</v>
      </c>
      <c r="B103" s="30" t="s">
        <v>279</v>
      </c>
      <c r="C103" s="30" t="s">
        <v>237</v>
      </c>
      <c r="F103" s="1"/>
      <c r="J103" s="2"/>
    </row>
    <row r="104" spans="1:10" ht="15" customHeight="1" x14ac:dyDescent="0.2">
      <c r="A104" s="6" t="s">
        <v>106</v>
      </c>
      <c r="B104" s="1" t="s">
        <v>280</v>
      </c>
      <c r="C104" s="1" t="s">
        <v>196</v>
      </c>
      <c r="F104" s="1"/>
      <c r="J104" s="2"/>
    </row>
    <row r="105" spans="1:10" ht="15" customHeight="1" x14ac:dyDescent="0.2">
      <c r="A105" s="6" t="s">
        <v>107</v>
      </c>
      <c r="B105" s="30" t="s">
        <v>281</v>
      </c>
      <c r="C105" s="30" t="s">
        <v>131</v>
      </c>
      <c r="F105" s="1"/>
      <c r="J105" s="2"/>
    </row>
    <row r="106" spans="1:10" ht="15" customHeight="1" x14ac:dyDescent="0.2">
      <c r="A106" s="6" t="s">
        <v>108</v>
      </c>
      <c r="B106" s="30" t="s">
        <v>282</v>
      </c>
      <c r="C106" s="30" t="s">
        <v>129</v>
      </c>
      <c r="E106" s="90"/>
      <c r="F106" s="99">
        <v>0</v>
      </c>
      <c r="G106" s="111">
        <v>1.65</v>
      </c>
      <c r="H106" s="12"/>
      <c r="I106" s="12"/>
      <c r="J106" s="17"/>
    </row>
    <row r="107" spans="1:10" ht="15" customHeight="1" x14ac:dyDescent="0.2">
      <c r="A107" s="6" t="s">
        <v>109</v>
      </c>
      <c r="B107" s="30" t="s">
        <v>283</v>
      </c>
      <c r="C107" s="30" t="s">
        <v>129</v>
      </c>
      <c r="D107">
        <v>100</v>
      </c>
      <c r="E107" s="88"/>
      <c r="F107" s="95">
        <v>0</v>
      </c>
      <c r="G107" s="108">
        <v>1.65</v>
      </c>
      <c r="H107" s="12"/>
      <c r="I107" s="12"/>
      <c r="J107" s="54" t="s">
        <v>140</v>
      </c>
    </row>
    <row r="108" spans="1:10" ht="15" customHeight="1" x14ac:dyDescent="0.2">
      <c r="A108" s="6" t="s">
        <v>110</v>
      </c>
      <c r="B108" s="30" t="s">
        <v>285</v>
      </c>
      <c r="C108" s="30" t="s">
        <v>129</v>
      </c>
      <c r="D108">
        <v>0</v>
      </c>
      <c r="E108" s="88"/>
      <c r="F108" s="95"/>
      <c r="G108" s="108"/>
      <c r="J108" s="4"/>
    </row>
    <row r="109" spans="1:10" ht="15" customHeight="1" x14ac:dyDescent="0.2">
      <c r="A109" s="6" t="s">
        <v>111</v>
      </c>
      <c r="B109" s="30" t="s">
        <v>286</v>
      </c>
      <c r="C109" s="30" t="s">
        <v>146</v>
      </c>
      <c r="E109" s="88"/>
      <c r="F109" s="95">
        <v>66.7</v>
      </c>
      <c r="G109" s="108">
        <v>0.61</v>
      </c>
      <c r="H109" s="12"/>
      <c r="I109" s="12" t="s">
        <v>148</v>
      </c>
      <c r="J109" s="54" t="s">
        <v>134</v>
      </c>
    </row>
    <row r="110" spans="1:10" ht="15" customHeight="1" x14ac:dyDescent="0.2">
      <c r="A110" s="6" t="s">
        <v>112</v>
      </c>
      <c r="B110" s="30" t="s">
        <v>287</v>
      </c>
      <c r="C110" s="30" t="s">
        <v>258</v>
      </c>
      <c r="F110" s="1"/>
      <c r="J110" s="2"/>
    </row>
    <row r="111" spans="1:10" ht="15" customHeight="1" x14ac:dyDescent="0.2">
      <c r="A111" s="6" t="s">
        <v>113</v>
      </c>
      <c r="B111" s="30" t="s">
        <v>288</v>
      </c>
      <c r="C111" s="30" t="s">
        <v>258</v>
      </c>
      <c r="F111" s="1"/>
      <c r="J111" s="2"/>
    </row>
    <row r="112" spans="1:10" ht="15" customHeight="1" x14ac:dyDescent="0.2">
      <c r="A112" s="6" t="s">
        <v>114</v>
      </c>
      <c r="B112" s="30" t="s">
        <v>289</v>
      </c>
      <c r="C112" s="30" t="s">
        <v>127</v>
      </c>
      <c r="F112" s="1"/>
      <c r="J112" s="2"/>
    </row>
    <row r="113" spans="1:10" ht="15" customHeight="1" x14ac:dyDescent="0.2">
      <c r="A113" s="6" t="s">
        <v>115</v>
      </c>
      <c r="B113" s="30" t="s">
        <v>290</v>
      </c>
      <c r="C113" s="30" t="s">
        <v>131</v>
      </c>
      <c r="F113" s="1"/>
      <c r="J113" s="2"/>
    </row>
    <row r="114" spans="1:10" ht="15" customHeight="1" x14ac:dyDescent="0.2">
      <c r="A114" s="6" t="s">
        <v>116</v>
      </c>
      <c r="B114" s="30" t="s">
        <v>291</v>
      </c>
      <c r="C114" s="30" t="s">
        <v>131</v>
      </c>
      <c r="F114" s="1"/>
      <c r="J114" s="2"/>
    </row>
    <row r="115" spans="1:10" ht="15" customHeight="1" x14ac:dyDescent="0.2">
      <c r="A115" s="6" t="s">
        <v>117</v>
      </c>
      <c r="B115" s="30" t="s">
        <v>292</v>
      </c>
      <c r="C115" s="30" t="s">
        <v>131</v>
      </c>
      <c r="F115" s="1"/>
      <c r="J115" s="2"/>
    </row>
    <row r="116" spans="1:10" ht="15" customHeight="1" x14ac:dyDescent="0.2">
      <c r="A116" s="6" t="s">
        <v>118</v>
      </c>
      <c r="B116" s="30" t="s">
        <v>293</v>
      </c>
      <c r="C116" s="30" t="s">
        <v>144</v>
      </c>
      <c r="F116" s="1">
        <v>71</v>
      </c>
      <c r="G116" s="110">
        <v>0.74</v>
      </c>
      <c r="H116" s="12"/>
      <c r="I116" s="12"/>
      <c r="J116" s="17"/>
    </row>
    <row r="117" spans="1:10" ht="15" customHeight="1" x14ac:dyDescent="0.2">
      <c r="A117" s="6" t="s">
        <v>119</v>
      </c>
      <c r="B117" s="30" t="s">
        <v>294</v>
      </c>
      <c r="C117" s="30" t="s">
        <v>146</v>
      </c>
      <c r="D117">
        <v>10</v>
      </c>
      <c r="E117" s="88"/>
      <c r="F117" s="95">
        <v>71.900000000000006</v>
      </c>
      <c r="G117" s="108">
        <v>0.42</v>
      </c>
      <c r="H117" s="12"/>
      <c r="I117" s="53" t="s">
        <v>148</v>
      </c>
      <c r="J117" s="54" t="s">
        <v>134</v>
      </c>
    </row>
    <row r="118" spans="1:10" ht="15" customHeight="1" x14ac:dyDescent="0.2">
      <c r="A118" s="6" t="s">
        <v>120</v>
      </c>
      <c r="B118" s="30" t="s">
        <v>295</v>
      </c>
      <c r="C118" s="30" t="s">
        <v>146</v>
      </c>
      <c r="D118">
        <v>90</v>
      </c>
      <c r="E118" s="88"/>
      <c r="F118" s="95">
        <v>71.3</v>
      </c>
      <c r="G118" s="108">
        <v>0.77</v>
      </c>
      <c r="H118" s="12"/>
      <c r="I118" s="53" t="s">
        <v>148</v>
      </c>
      <c r="J118" s="54" t="s">
        <v>134</v>
      </c>
    </row>
    <row r="119" spans="1:10" x14ac:dyDescent="0.2">
      <c r="H119" s="12"/>
      <c r="I119" s="12"/>
      <c r="J119" s="17"/>
    </row>
    <row r="120" spans="1:10" x14ac:dyDescent="0.2">
      <c r="H120" s="12"/>
      <c r="I120" s="12"/>
      <c r="J120" s="17"/>
    </row>
    <row r="121" spans="1:10" x14ac:dyDescent="0.2">
      <c r="H121" s="12"/>
      <c r="I121" s="12"/>
      <c r="J121" s="17"/>
    </row>
    <row r="122" spans="1:10" x14ac:dyDescent="0.2">
      <c r="H122" s="12"/>
      <c r="I122" s="12"/>
      <c r="J122" s="17"/>
    </row>
    <row r="123" spans="1:10" x14ac:dyDescent="0.2">
      <c r="H123" s="12"/>
      <c r="I123" s="12"/>
      <c r="J123" s="17"/>
    </row>
    <row r="124" spans="1:10" x14ac:dyDescent="0.2">
      <c r="H124" s="12"/>
      <c r="I124" s="12"/>
      <c r="J124" s="17"/>
    </row>
    <row r="125" spans="1:10" x14ac:dyDescent="0.2">
      <c r="H125" s="12"/>
      <c r="I125" s="12"/>
      <c r="J125" s="17"/>
    </row>
    <row r="126" spans="1:10" x14ac:dyDescent="0.2">
      <c r="H126" s="12"/>
      <c r="I126" s="12"/>
      <c r="J126" s="17"/>
    </row>
    <row r="127" spans="1:10" x14ac:dyDescent="0.2">
      <c r="H127" s="12"/>
      <c r="I127" s="12"/>
      <c r="J127" s="17"/>
    </row>
    <row r="128" spans="1:10" x14ac:dyDescent="0.2">
      <c r="H128" s="12"/>
      <c r="I128" s="12"/>
      <c r="J128" s="17"/>
    </row>
    <row r="129" spans="10:10" x14ac:dyDescent="0.2">
      <c r="J129" s="2"/>
    </row>
    <row r="130" spans="10:10" x14ac:dyDescent="0.2">
      <c r="J130" s="2"/>
    </row>
    <row r="131" spans="10:10" x14ac:dyDescent="0.2">
      <c r="J131" s="2"/>
    </row>
    <row r="132" spans="10:10" x14ac:dyDescent="0.2">
      <c r="J132" s="2"/>
    </row>
    <row r="133" spans="10:10" x14ac:dyDescent="0.2">
      <c r="J133" s="2"/>
    </row>
    <row r="134" spans="10:10" x14ac:dyDescent="0.2">
      <c r="J134" s="2"/>
    </row>
    <row r="135" spans="10:10" x14ac:dyDescent="0.2">
      <c r="J135" s="2"/>
    </row>
    <row r="136" spans="10:10" x14ac:dyDescent="0.2">
      <c r="J136" s="2"/>
    </row>
    <row r="137" spans="10:10" x14ac:dyDescent="0.2">
      <c r="J137" s="2"/>
    </row>
    <row r="138" spans="10:10" x14ac:dyDescent="0.2">
      <c r="J138" s="2"/>
    </row>
    <row r="139" spans="10:10" x14ac:dyDescent="0.2">
      <c r="J139" s="2"/>
    </row>
    <row r="140" spans="10:10" x14ac:dyDescent="0.2">
      <c r="J140" s="2"/>
    </row>
    <row r="141" spans="10:10" x14ac:dyDescent="0.2">
      <c r="J141" s="2"/>
    </row>
    <row r="142" spans="10:10" x14ac:dyDescent="0.2">
      <c r="J142" s="2"/>
    </row>
    <row r="143" spans="10:10" x14ac:dyDescent="0.2">
      <c r="J143" s="2"/>
    </row>
    <row r="144" spans="10:10" x14ac:dyDescent="0.2">
      <c r="J144" s="2"/>
    </row>
    <row r="145" spans="10:10" x14ac:dyDescent="0.2">
      <c r="J145" s="2"/>
    </row>
    <row r="146" spans="10:10" x14ac:dyDescent="0.2">
      <c r="J146" s="2"/>
    </row>
    <row r="147" spans="10:10" x14ac:dyDescent="0.2">
      <c r="J147" s="2"/>
    </row>
    <row r="148" spans="10:10" x14ac:dyDescent="0.2">
      <c r="J148" s="2"/>
    </row>
    <row r="149" spans="10:10" x14ac:dyDescent="0.2">
      <c r="J149" s="2"/>
    </row>
    <row r="150" spans="10:10" x14ac:dyDescent="0.2">
      <c r="J150" s="2"/>
    </row>
    <row r="151" spans="10:10" x14ac:dyDescent="0.2">
      <c r="J151" s="2"/>
    </row>
    <row r="152" spans="10:10" x14ac:dyDescent="0.2">
      <c r="J152" s="2"/>
    </row>
    <row r="153" spans="10:10" x14ac:dyDescent="0.2">
      <c r="J153" s="2"/>
    </row>
    <row r="154" spans="10:10" x14ac:dyDescent="0.2">
      <c r="J154" s="2"/>
    </row>
    <row r="155" spans="10:10" x14ac:dyDescent="0.2">
      <c r="J155" s="2"/>
    </row>
    <row r="156" spans="10:10" x14ac:dyDescent="0.2">
      <c r="J156" s="2"/>
    </row>
    <row r="157" spans="10:10" x14ac:dyDescent="0.2">
      <c r="J157" s="2"/>
    </row>
    <row r="158" spans="10:10" x14ac:dyDescent="0.2">
      <c r="J158" s="2"/>
    </row>
    <row r="159" spans="10:10" x14ac:dyDescent="0.2">
      <c r="J159" s="2"/>
    </row>
    <row r="160" spans="10:10" x14ac:dyDescent="0.2">
      <c r="J160" s="2"/>
    </row>
    <row r="161" spans="10:10" x14ac:dyDescent="0.2">
      <c r="J161" s="2"/>
    </row>
    <row r="162" spans="10:10" x14ac:dyDescent="0.2">
      <c r="J162" s="2"/>
    </row>
    <row r="163" spans="10:10" x14ac:dyDescent="0.2">
      <c r="J163" s="2"/>
    </row>
    <row r="164" spans="10:10" x14ac:dyDescent="0.2">
      <c r="J164" s="2"/>
    </row>
    <row r="165" spans="10:10" x14ac:dyDescent="0.2">
      <c r="J165" s="2"/>
    </row>
    <row r="166" spans="10:10" x14ac:dyDescent="0.2">
      <c r="J166" s="2"/>
    </row>
    <row r="167" spans="10:10" x14ac:dyDescent="0.2">
      <c r="J167" s="2"/>
    </row>
    <row r="168" spans="10:10" x14ac:dyDescent="0.2">
      <c r="J168" s="2"/>
    </row>
    <row r="169" spans="10:10" x14ac:dyDescent="0.2">
      <c r="J169" s="2"/>
    </row>
    <row r="170" spans="10:10" x14ac:dyDescent="0.2">
      <c r="J170" s="2"/>
    </row>
    <row r="171" spans="10:10" x14ac:dyDescent="0.2">
      <c r="J171" s="2"/>
    </row>
    <row r="172" spans="10:10" x14ac:dyDescent="0.2">
      <c r="J172" s="2"/>
    </row>
    <row r="173" spans="10:10" x14ac:dyDescent="0.2">
      <c r="J173" s="2"/>
    </row>
    <row r="174" spans="10:10" x14ac:dyDescent="0.2">
      <c r="J174" s="2"/>
    </row>
    <row r="175" spans="10:10" x14ac:dyDescent="0.2">
      <c r="J175" s="2"/>
    </row>
    <row r="176" spans="10:10" x14ac:dyDescent="0.2">
      <c r="J176" s="2"/>
    </row>
    <row r="177" spans="10:10" x14ac:dyDescent="0.2">
      <c r="J177" s="2"/>
    </row>
    <row r="178" spans="10:10" x14ac:dyDescent="0.2">
      <c r="J178" s="2"/>
    </row>
    <row r="179" spans="10:10" x14ac:dyDescent="0.2">
      <c r="J179" s="2"/>
    </row>
    <row r="180" spans="10:10" x14ac:dyDescent="0.2">
      <c r="J180" s="2"/>
    </row>
    <row r="181" spans="10:10" x14ac:dyDescent="0.2">
      <c r="J181" s="2"/>
    </row>
    <row r="182" spans="10:10" x14ac:dyDescent="0.2">
      <c r="J182" s="2"/>
    </row>
    <row r="183" spans="10:10" x14ac:dyDescent="0.2">
      <c r="J183" s="2"/>
    </row>
    <row r="184" spans="10:10" x14ac:dyDescent="0.2">
      <c r="J184" s="2"/>
    </row>
    <row r="185" spans="10:10" x14ac:dyDescent="0.2">
      <c r="J185" s="2"/>
    </row>
    <row r="186" spans="10:10" x14ac:dyDescent="0.2">
      <c r="J186" s="2"/>
    </row>
    <row r="187" spans="10:10" x14ac:dyDescent="0.2">
      <c r="J187" s="2"/>
    </row>
    <row r="188" spans="10:10" x14ac:dyDescent="0.2">
      <c r="J188" s="2"/>
    </row>
    <row r="189" spans="10:10" x14ac:dyDescent="0.2">
      <c r="J189" s="2"/>
    </row>
    <row r="190" spans="10:10" x14ac:dyDescent="0.2">
      <c r="J190" s="2"/>
    </row>
    <row r="191" spans="10:10" x14ac:dyDescent="0.2">
      <c r="J191" s="2"/>
    </row>
    <row r="192" spans="10:10" x14ac:dyDescent="0.2">
      <c r="J192" s="2"/>
    </row>
    <row r="193" spans="10:10" x14ac:dyDescent="0.2">
      <c r="J193" s="2"/>
    </row>
    <row r="194" spans="10:10" x14ac:dyDescent="0.2">
      <c r="J194" s="2"/>
    </row>
    <row r="195" spans="10:10" x14ac:dyDescent="0.2">
      <c r="J195" s="2"/>
    </row>
    <row r="196" spans="10:10" x14ac:dyDescent="0.2">
      <c r="J196" s="2"/>
    </row>
    <row r="197" spans="10:10" x14ac:dyDescent="0.2">
      <c r="J197" s="2"/>
    </row>
    <row r="198" spans="10:10" x14ac:dyDescent="0.2">
      <c r="J198" s="2"/>
    </row>
    <row r="199" spans="10:10" x14ac:dyDescent="0.2">
      <c r="J199" s="2"/>
    </row>
    <row r="200" spans="10:10" x14ac:dyDescent="0.2">
      <c r="J200" s="2"/>
    </row>
    <row r="201" spans="10:10" x14ac:dyDescent="0.2">
      <c r="J201" s="2"/>
    </row>
    <row r="202" spans="10:10" x14ac:dyDescent="0.2">
      <c r="J202" s="2"/>
    </row>
    <row r="203" spans="10:10" x14ac:dyDescent="0.2">
      <c r="J203" s="2"/>
    </row>
    <row r="204" spans="10:10" x14ac:dyDescent="0.2">
      <c r="J204" s="2"/>
    </row>
    <row r="205" spans="10:10" x14ac:dyDescent="0.2">
      <c r="J205" s="2"/>
    </row>
    <row r="206" spans="10:10" x14ac:dyDescent="0.2">
      <c r="J206" s="2"/>
    </row>
    <row r="207" spans="10:10" x14ac:dyDescent="0.2">
      <c r="J207" s="2"/>
    </row>
    <row r="208" spans="10:10" x14ac:dyDescent="0.2">
      <c r="J208" s="2"/>
    </row>
    <row r="209" spans="10:10" x14ac:dyDescent="0.2">
      <c r="J209" s="2"/>
    </row>
    <row r="210" spans="10:10" x14ac:dyDescent="0.2">
      <c r="J210" s="2"/>
    </row>
    <row r="211" spans="10:10" x14ac:dyDescent="0.2">
      <c r="J211" s="2"/>
    </row>
    <row r="212" spans="10:10" x14ac:dyDescent="0.2">
      <c r="J212" s="2"/>
    </row>
    <row r="213" spans="10:10" x14ac:dyDescent="0.2">
      <c r="J213" s="2"/>
    </row>
    <row r="214" spans="10:10" x14ac:dyDescent="0.2">
      <c r="J214" s="2"/>
    </row>
    <row r="215" spans="10:10" x14ac:dyDescent="0.2">
      <c r="J215" s="2"/>
    </row>
    <row r="216" spans="10:10" x14ac:dyDescent="0.2">
      <c r="J216" s="2"/>
    </row>
    <row r="217" spans="10:10" x14ac:dyDescent="0.2">
      <c r="J217" s="2"/>
    </row>
    <row r="218" spans="10:10" x14ac:dyDescent="0.2">
      <c r="J218" s="2"/>
    </row>
    <row r="219" spans="10:10" x14ac:dyDescent="0.2">
      <c r="J219" s="2"/>
    </row>
    <row r="220" spans="10:10" x14ac:dyDescent="0.2">
      <c r="J220" s="2"/>
    </row>
    <row r="221" spans="10:10" x14ac:dyDescent="0.2">
      <c r="J221" s="2"/>
    </row>
    <row r="222" spans="10:10" x14ac:dyDescent="0.2">
      <c r="J222" s="2"/>
    </row>
    <row r="223" spans="10:10" x14ac:dyDescent="0.2">
      <c r="J223" s="2"/>
    </row>
    <row r="224" spans="10:10" x14ac:dyDescent="0.2">
      <c r="J224" s="2"/>
    </row>
    <row r="225" spans="10:10" x14ac:dyDescent="0.2">
      <c r="J225" s="2"/>
    </row>
    <row r="226" spans="10:10" x14ac:dyDescent="0.2">
      <c r="J226" s="2"/>
    </row>
    <row r="227" spans="10:10" x14ac:dyDescent="0.2">
      <c r="J227" s="2"/>
    </row>
    <row r="228" spans="10:10" x14ac:dyDescent="0.2">
      <c r="J228" s="2"/>
    </row>
    <row r="229" spans="10:10" x14ac:dyDescent="0.2">
      <c r="J229" s="2"/>
    </row>
  </sheetData>
  <autoFilter ref="A5:J118" xr:uid="{00000000-0009-0000-0000-000002000000}">
    <sortState xmlns:xlrd2="http://schemas.microsoft.com/office/spreadsheetml/2017/richdata2" ref="A6:J116">
      <sortCondition ref="B5"/>
    </sortState>
  </autoFilter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2:V42"/>
  <sheetViews>
    <sheetView zoomScale="80" zoomScaleNormal="80" workbookViewId="0">
      <selection activeCell="A37" sqref="A37"/>
    </sheetView>
  </sheetViews>
  <sheetFormatPr baseColWidth="10" defaultColWidth="8.6640625" defaultRowHeight="15" x14ac:dyDescent="0.2"/>
  <cols>
    <col min="1" max="1" width="10.33203125" style="13" customWidth="1"/>
    <col min="2" max="4" width="8.6640625" style="13"/>
    <col min="5" max="5" width="12.33203125" style="13" customWidth="1"/>
    <col min="6" max="6" width="8.6640625" style="13"/>
    <col min="7" max="7" width="8.6640625" style="13" customWidth="1"/>
    <col min="8" max="16384" width="8.6640625" style="13"/>
  </cols>
  <sheetData>
    <row r="2" spans="1:22" ht="21" x14ac:dyDescent="0.25">
      <c r="A2" s="22" t="s">
        <v>296</v>
      </c>
    </row>
    <row r="3" spans="1:22" ht="14.25" customHeight="1" x14ac:dyDescent="0.25">
      <c r="A3" s="22"/>
    </row>
    <row r="4" spans="1:22" x14ac:dyDescent="0.2">
      <c r="A4" s="14" t="s">
        <v>297</v>
      </c>
    </row>
    <row r="5" spans="1:22" x14ac:dyDescent="0.2">
      <c r="A5" s="14" t="s">
        <v>298</v>
      </c>
    </row>
    <row r="6" spans="1:22" x14ac:dyDescent="0.2">
      <c r="A6" s="20" t="s">
        <v>299</v>
      </c>
    </row>
    <row r="7" spans="1:22" x14ac:dyDescent="0.2">
      <c r="A7" s="21" t="s">
        <v>300</v>
      </c>
    </row>
    <row r="8" spans="1:22" x14ac:dyDescent="0.2">
      <c r="A8" s="14" t="s">
        <v>301</v>
      </c>
    </row>
    <row r="9" spans="1:22" x14ac:dyDescent="0.2">
      <c r="A9" s="14" t="s">
        <v>302</v>
      </c>
      <c r="R9" s="21" t="s">
        <v>303</v>
      </c>
    </row>
    <row r="10" spans="1:22" x14ac:dyDescent="0.2">
      <c r="A10" s="20" t="s">
        <v>304</v>
      </c>
      <c r="V10" s="14"/>
    </row>
    <row r="11" spans="1:22" x14ac:dyDescent="0.2">
      <c r="A11" s="14" t="s">
        <v>305</v>
      </c>
    </row>
    <row r="12" spans="1:22" x14ac:dyDescent="0.2">
      <c r="A12" s="14" t="s">
        <v>306</v>
      </c>
      <c r="S12" s="19"/>
    </row>
    <row r="13" spans="1:22" x14ac:dyDescent="0.2">
      <c r="A13" s="16" t="s">
        <v>307</v>
      </c>
      <c r="S13" s="19"/>
    </row>
    <row r="14" spans="1:22" x14ac:dyDescent="0.2">
      <c r="A14" s="28" t="s">
        <v>308</v>
      </c>
      <c r="S14" s="19"/>
    </row>
    <row r="15" spans="1:22" x14ac:dyDescent="0.2">
      <c r="A15" s="14" t="s">
        <v>309</v>
      </c>
      <c r="S15" s="19"/>
    </row>
    <row r="16" spans="1:22" x14ac:dyDescent="0.2">
      <c r="A16" s="15" t="s">
        <v>310</v>
      </c>
    </row>
    <row r="17" spans="1:22" x14ac:dyDescent="0.2">
      <c r="A17" s="1" t="s">
        <v>311</v>
      </c>
    </row>
    <row r="18" spans="1:22" x14ac:dyDescent="0.2">
      <c r="A18" s="1" t="s">
        <v>312</v>
      </c>
    </row>
    <row r="19" spans="1:22" x14ac:dyDescent="0.2">
      <c r="A19" s="20" t="s">
        <v>313</v>
      </c>
      <c r="S19" s="19"/>
    </row>
    <row r="20" spans="1:22" x14ac:dyDescent="0.2">
      <c r="A20" s="18" t="s">
        <v>314</v>
      </c>
      <c r="R20" s="14" t="s">
        <v>315</v>
      </c>
    </row>
    <row r="21" spans="1:22" x14ac:dyDescent="0.2">
      <c r="A21" s="20" t="s">
        <v>316</v>
      </c>
    </row>
    <row r="22" spans="1:22" x14ac:dyDescent="0.2">
      <c r="A22" s="21" t="s">
        <v>317</v>
      </c>
      <c r="R22" s="14" t="s">
        <v>318</v>
      </c>
    </row>
    <row r="23" spans="1:22" x14ac:dyDescent="0.2">
      <c r="A23" s="21" t="s">
        <v>319</v>
      </c>
    </row>
    <row r="24" spans="1:22" x14ac:dyDescent="0.2">
      <c r="A24" s="14" t="s">
        <v>320</v>
      </c>
      <c r="V24" s="25"/>
    </row>
    <row r="25" spans="1:22" x14ac:dyDescent="0.2">
      <c r="A25" s="23" t="s">
        <v>321</v>
      </c>
    </row>
    <row r="26" spans="1:22" x14ac:dyDescent="0.2">
      <c r="A26" s="21" t="s">
        <v>322</v>
      </c>
    </row>
    <row r="27" spans="1:22" x14ac:dyDescent="0.2">
      <c r="A27" s="14" t="s">
        <v>323</v>
      </c>
      <c r="V27" s="14"/>
    </row>
    <row r="28" spans="1:22" x14ac:dyDescent="0.2">
      <c r="A28" s="14" t="s">
        <v>324</v>
      </c>
    </row>
    <row r="29" spans="1:22" x14ac:dyDescent="0.2">
      <c r="A29" s="20" t="s">
        <v>325</v>
      </c>
    </row>
    <row r="30" spans="1:22" x14ac:dyDescent="0.2">
      <c r="A30" s="20" t="s">
        <v>326</v>
      </c>
    </row>
    <row r="31" spans="1:22" x14ac:dyDescent="0.2">
      <c r="A31" s="20" t="s">
        <v>327</v>
      </c>
    </row>
    <row r="32" spans="1:22" x14ac:dyDescent="0.2">
      <c r="A32" s="20" t="s">
        <v>328</v>
      </c>
    </row>
    <row r="33" spans="1:1" x14ac:dyDescent="0.2">
      <c r="A33" s="20" t="s">
        <v>329</v>
      </c>
    </row>
    <row r="34" spans="1:1" x14ac:dyDescent="0.2">
      <c r="A34" s="20" t="s">
        <v>330</v>
      </c>
    </row>
    <row r="35" spans="1:1" x14ac:dyDescent="0.2">
      <c r="A35" s="26" t="s">
        <v>331</v>
      </c>
    </row>
    <row r="36" spans="1:1" x14ac:dyDescent="0.2">
      <c r="A36" s="14" t="s">
        <v>332</v>
      </c>
    </row>
    <row r="37" spans="1:1" x14ac:dyDescent="0.2">
      <c r="A37" s="24" t="s">
        <v>333</v>
      </c>
    </row>
    <row r="38" spans="1:1" x14ac:dyDescent="0.2">
      <c r="A38" s="14" t="s">
        <v>334</v>
      </c>
    </row>
    <row r="40" spans="1:1" x14ac:dyDescent="0.2">
      <c r="A40" s="20" t="s">
        <v>335</v>
      </c>
    </row>
    <row r="42" spans="1:1" x14ac:dyDescent="0.2">
      <c r="A42" s="27" t="s">
        <v>336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Props1.xml><?xml version="1.0" encoding="utf-8"?>
<ds:datastoreItem xmlns:ds="http://schemas.openxmlformats.org/officeDocument/2006/customXml" ds:itemID="{A16A6EDB-4C6A-433C-9B54-BF88B9AEEE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BF0A1B-B2BC-4159-BD4C-213AA0853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fec6e-e0c6-46d3-bf16-e7019fdf1f95"/>
    <ds:schemaRef ds:uri="20b5f8f8-e964-4ea5-9bc5-5fa83731a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7ED23C-5EEB-4F10-AA20-79B788D8342E}">
  <ds:schemaRefs>
    <ds:schemaRef ds:uri="http://schemas.microsoft.com/office/2006/metadata/properties"/>
    <ds:schemaRef ds:uri="http://schemas.microsoft.com/office/infopath/2007/PartnerControls"/>
    <ds:schemaRef ds:uri="20b5f8f8-e964-4ea5-9bc5-5fa83731a9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N fert</vt:lpstr>
      <vt:lpstr>N inst</vt:lpstr>
      <vt:lpstr>N fert sources</vt:lpstr>
      <vt:lpstr>README</vt:lpstr>
      <vt:lpstr>Diesel</vt:lpstr>
      <vt:lpstr>Att göra</vt:lpstr>
      <vt:lpstr>Share of GH system</vt:lpstr>
      <vt:lpstr>EF </vt:lpstr>
      <vt:lpstr>Crop residues</vt:lpstr>
      <vt:lpstr>Argentina</vt:lpstr>
      <vt:lpstr>Blad4</vt:lpstr>
      <vt:lpstr>Pesticides</vt:lpstr>
      <vt:lpstr>Pesticides sources</vt:lpstr>
      <vt:lpstr>Sweden</vt:lpstr>
      <vt:lpstr>Defaults</vt:lpstr>
      <vt:lpstr>Reference list</vt:lpstr>
      <vt:lpstr>Crop_data</vt:lpstr>
      <vt:lpstr>Crop_data_codes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2026-02-11T17:17:41Z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