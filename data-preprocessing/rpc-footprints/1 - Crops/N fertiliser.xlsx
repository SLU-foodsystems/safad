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updateLinks="never" codeName="ThisWorkbook"/>
  <xr:revisionPtr revIDLastSave="0" documentId="13_ncr:1_{916EBC08-63FA-4880-A697-77B5FD265A27}" xr6:coauthVersionLast="47" xr6:coauthVersionMax="47" xr10:uidLastSave="{00000000-0000-0000-0000-000000000000}"/>
  <bookViews>
    <workbookView xWindow="-110" yWindow="-110" windowWidth="19420" windowHeight="11500" activeTab="2" xr2:uid="{00000000-000D-0000-FFFF-FFFF00000000}"/>
  </bookViews>
  <sheets>
    <sheet name="INFO" sheetId="117" r:id="rId1"/>
    <sheet name="Data" sheetId="135" r:id="rId2"/>
    <sheet name="N content" sheetId="137" r:id="rId3"/>
    <sheet name="Sources" sheetId="136" r:id="rId4"/>
    <sheet name="References" sheetId="122" r:id="rId5"/>
  </sheets>
  <definedNames>
    <definedName name="Crop_data" localSheetId="2">'N content'!$A$6:$D$108</definedName>
    <definedName name="Crop_data">Data!$A$6:$Z$108</definedName>
    <definedName name="Crop_data_codes" localSheetId="2">'N content'!$A$6:$A$108</definedName>
    <definedName name="Crop_data_codes">Data!$A$6:$A$108</definedName>
    <definedName name="Density_liquid">INFO!$D$18</definedName>
    <definedName name="Density_solid">INFO!$D$19</definedName>
    <definedName name="N_liquid">INFO!$C$18</definedName>
    <definedName name="N_solid">INFO!$C$19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5" i="137" l="1"/>
  <c r="D75" i="137"/>
  <c r="D97" i="135"/>
  <c r="AA96" i="135"/>
  <c r="D92" i="135"/>
  <c r="D90" i="135"/>
  <c r="EI88" i="135" l="1"/>
  <c r="D88" i="135" s="1"/>
  <c r="AU76" i="135" l="1"/>
  <c r="D92" i="137" l="1"/>
  <c r="D74" i="137"/>
  <c r="D68" i="137"/>
  <c r="D56" i="137"/>
  <c r="D53" i="137"/>
  <c r="D32" i="137"/>
  <c r="D21" i="137"/>
  <c r="D20" i="137"/>
  <c r="D17" i="137"/>
  <c r="AA71" i="135"/>
  <c r="CO50" i="135" l="1"/>
  <c r="D6" i="135"/>
  <c r="D48" i="135"/>
  <c r="D36" i="135"/>
  <c r="CI27" i="135"/>
  <c r="EN12" i="135"/>
  <c r="EO35" i="135" l="1"/>
  <c r="CI35" i="135"/>
  <c r="CJ35" i="135"/>
  <c r="D34" i="135"/>
  <c r="D35" i="135" l="1"/>
  <c r="CO62" i="135" l="1"/>
  <c r="D62" i="135" s="1"/>
  <c r="CI13" i="135"/>
  <c r="AU13" i="135"/>
  <c r="C19" i="117"/>
  <c r="C18" i="117"/>
  <c r="D13" i="1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Författare</author>
  </authors>
  <commentList>
    <comment ref="D56" authorId="0" shapeId="0" xr:uid="{1D56F74A-6B95-468C-8D09-3316D2AD7FD4}">
      <text>
        <r>
          <rPr>
            <b/>
            <sz val="9"/>
            <color indexed="81"/>
            <rFont val="Tahoma"/>
            <family val="2"/>
          </rPr>
          <t>Författare:</t>
        </r>
        <r>
          <rPr>
            <sz val="9"/>
            <color indexed="81"/>
            <rFont val="Tahoma"/>
            <family val="2"/>
          </rPr>
          <t xml:space="preserve">
Approx beans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Författare</author>
    <author>tc={A44E80FC-CA83-4236-ACE7-C34F982CF278}</author>
  </authors>
  <commentList>
    <comment ref="D12" authorId="0" shapeId="0" xr:uid="{05B678CA-DD0D-4DAD-9149-002738F80FF2}">
      <text>
        <r>
          <rPr>
            <b/>
            <sz val="9"/>
            <color indexed="81"/>
            <rFont val="Tahoma"/>
            <family val="2"/>
          </rPr>
          <t>Författare:</t>
        </r>
        <r>
          <rPr>
            <sz val="9"/>
            <color indexed="81"/>
            <rFont val="Tahoma"/>
            <family val="2"/>
          </rPr>
          <t xml:space="preserve">
ecoinvent only has one process that builds on an old study: http://pubs.acs.org/doi/pdf/10.1021/es2030577
</t>
        </r>
      </text>
    </comment>
    <comment ref="AU34" authorId="1" shapeId="0" xr:uid="{A44E80FC-CA83-4236-ACE7-C34F982CF278}">
      <text>
        <t>[Trådad kommentar]
I din version av Excel kan du läsa den här trådade kommentaren, men eventuella ändringar i den tas bort om filen öppnas i en senare version av Excel. Läs mer: https://go.microsoft.com/fwlink/?linkid=870924
Kommentar:
    Sebastian Castro-Tanzi, Thomas Dietsch, Natalia Urena, Lucia Vindas, Mark Chandler.  Analysis of management and site factors to improve the sustainability of smallholder coffee production in Tarrazú, Costa Rica, Agriculture, Ecosystems &amp; Environment, Volume 155, 2012, p 172-181</t>
      </text>
    </comment>
  </commentList>
</comments>
</file>

<file path=xl/sharedStrings.xml><?xml version="1.0" encoding="utf-8"?>
<sst xmlns="http://schemas.openxmlformats.org/spreadsheetml/2006/main" count="2150" uniqueCount="751">
  <si>
    <t>Crops</t>
  </si>
  <si>
    <t>Crop code</t>
  </si>
  <si>
    <t>Crop</t>
  </si>
  <si>
    <t>Category</t>
  </si>
  <si>
    <t>01371</t>
  </si>
  <si>
    <t>01654</t>
  </si>
  <si>
    <t>01341</t>
  </si>
  <si>
    <t>01343</t>
  </si>
  <si>
    <t>01216</t>
  </si>
  <si>
    <t>01211</t>
  </si>
  <si>
    <t>01311</t>
  </si>
  <si>
    <t>01312</t>
  </si>
  <si>
    <t>0115</t>
  </si>
  <si>
    <t>0115_s</t>
  </si>
  <si>
    <t>0115_w</t>
  </si>
  <si>
    <t>01701</t>
  </si>
  <si>
    <t>01355.01</t>
  </si>
  <si>
    <t>01377</t>
  </si>
  <si>
    <t>01702</t>
  </si>
  <si>
    <t>01243</t>
  </si>
  <si>
    <t>01213_b</t>
  </si>
  <si>
    <t>01192</t>
  </si>
  <si>
    <t>01212</t>
  </si>
  <si>
    <t>01229</t>
  </si>
  <si>
    <t>01251</t>
  </si>
  <si>
    <t>01372</t>
  </si>
  <si>
    <t>01213_cf</t>
  </si>
  <si>
    <t>01213</t>
  </si>
  <si>
    <t>01344.02</t>
  </si>
  <si>
    <t>01373</t>
  </si>
  <si>
    <t>01703</t>
  </si>
  <si>
    <t>01231</t>
  </si>
  <si>
    <t>01640</t>
  </si>
  <si>
    <t>01460</t>
  </si>
  <si>
    <t>01610</t>
  </si>
  <si>
    <t>01232_gh</t>
  </si>
  <si>
    <t>01232_of</t>
  </si>
  <si>
    <t>01351.01</t>
  </si>
  <si>
    <t>01314</t>
  </si>
  <si>
    <t>01599.10</t>
  </si>
  <si>
    <t>01233</t>
  </si>
  <si>
    <t>01315</t>
  </si>
  <si>
    <t>01351.02</t>
  </si>
  <si>
    <t>01330</t>
  </si>
  <si>
    <t>01290.01</t>
  </si>
  <si>
    <t>01252</t>
  </si>
  <si>
    <t>0142</t>
  </si>
  <si>
    <t>01374</t>
  </si>
  <si>
    <t>01352</t>
  </si>
  <si>
    <t>01254</t>
  </si>
  <si>
    <t>01322</t>
  </si>
  <si>
    <t>01704</t>
  </si>
  <si>
    <t>01214</t>
  </si>
  <si>
    <t>01441</t>
  </si>
  <si>
    <t>01709.02</t>
  </si>
  <si>
    <t>0112</t>
  </si>
  <si>
    <t>01316</t>
  </si>
  <si>
    <t>0118</t>
  </si>
  <si>
    <t>01270</t>
  </si>
  <si>
    <t>0117</t>
  </si>
  <si>
    <t>01491.01</t>
  </si>
  <si>
    <t>01450</t>
  </si>
  <si>
    <t>01253.02</t>
  </si>
  <si>
    <t>01323</t>
  </si>
  <si>
    <t>01241.90</t>
  </si>
  <si>
    <t>01359.90</t>
  </si>
  <si>
    <t>01449.90</t>
  </si>
  <si>
    <t>01709.90</t>
  </si>
  <si>
    <t>01699</t>
  </si>
  <si>
    <t>01290.90</t>
  </si>
  <si>
    <t>01317</t>
  </si>
  <si>
    <t>01345</t>
  </si>
  <si>
    <t>01342.01</t>
  </si>
  <si>
    <t>01705</t>
  </si>
  <si>
    <t>01242</t>
  </si>
  <si>
    <t>01318</t>
  </si>
  <si>
    <t>01346</t>
  </si>
  <si>
    <t>01321</t>
  </si>
  <si>
    <t>01448</t>
  </si>
  <si>
    <t>01510</t>
  </si>
  <si>
    <t>01235</t>
  </si>
  <si>
    <t>01342.02</t>
  </si>
  <si>
    <t>01194</t>
  </si>
  <si>
    <t>01443</t>
  </si>
  <si>
    <t>01443_s</t>
  </si>
  <si>
    <t>01443_w</t>
  </si>
  <si>
    <t>01353.01</t>
  </si>
  <si>
    <t>0113</t>
  </si>
  <si>
    <t>0116</t>
  </si>
  <si>
    <t>0114</t>
  </si>
  <si>
    <t>01344.01</t>
  </si>
  <si>
    <t>0141</t>
  </si>
  <si>
    <t>01215</t>
  </si>
  <si>
    <t>01354</t>
  </si>
  <si>
    <t>01801</t>
  </si>
  <si>
    <t>01802</t>
  </si>
  <si>
    <t>01445</t>
  </si>
  <si>
    <t>01530</t>
  </si>
  <si>
    <t>01324</t>
  </si>
  <si>
    <t>01234_gh</t>
  </si>
  <si>
    <t>01234_of</t>
  </si>
  <si>
    <t>01191</t>
  </si>
  <si>
    <t>01376</t>
  </si>
  <si>
    <t>01221_gh</t>
  </si>
  <si>
    <t>01221_of</t>
  </si>
  <si>
    <t>0111</t>
  </si>
  <si>
    <t>0111_s</t>
  </si>
  <si>
    <t>0111_w</t>
  </si>
  <si>
    <t>Almonds, in shell</t>
  </si>
  <si>
    <t>Nuts</t>
  </si>
  <si>
    <t>Anise, badian, coriander, cumin, caraway, fennel and juniper berries, raw</t>
  </si>
  <si>
    <t>Vegetables</t>
  </si>
  <si>
    <t>Apples</t>
  </si>
  <si>
    <t>Fruits</t>
  </si>
  <si>
    <t>Apricots</t>
  </si>
  <si>
    <t>Artichokes</t>
  </si>
  <si>
    <t>Asparagus</t>
  </si>
  <si>
    <t>Avocados</t>
  </si>
  <si>
    <t>Bananas</t>
  </si>
  <si>
    <t>Barley, average</t>
  </si>
  <si>
    <t>Cereals, incl feed</t>
  </si>
  <si>
    <t>Barley, spring</t>
  </si>
  <si>
    <t>Cereals</t>
  </si>
  <si>
    <t>Barley, winter</t>
  </si>
  <si>
    <t>Beans, dry</t>
  </si>
  <si>
    <t>Pulses</t>
  </si>
  <si>
    <t>Blueberries</t>
  </si>
  <si>
    <t>Berries</t>
  </si>
  <si>
    <t>Brazil nuts, in shell</t>
  </si>
  <si>
    <t>Broad beans and horse beans, dry</t>
  </si>
  <si>
    <t>Pulses, incl feed</t>
  </si>
  <si>
    <t>Broad beans and horse beans, green</t>
  </si>
  <si>
    <t>Broccoli</t>
  </si>
  <si>
    <t>Buckwheat</t>
  </si>
  <si>
    <t>Seeds</t>
  </si>
  <si>
    <t>Cabbages</t>
  </si>
  <si>
    <t>Cantaloupes and other melons</t>
  </si>
  <si>
    <t>Carrots and turnips</t>
  </si>
  <si>
    <t>Cashew nuts, in shell</t>
  </si>
  <si>
    <t>Cauliflowers</t>
  </si>
  <si>
    <t>Cauliflowers and broccoli, average</t>
  </si>
  <si>
    <t>Cherries</t>
  </si>
  <si>
    <t>Chestnuts, in shell</t>
  </si>
  <si>
    <t>Chick peas, dry</t>
  </si>
  <si>
    <t>Chillies and peppers, green (Capsicum spp. and Pimenta spp.), raw</t>
  </si>
  <si>
    <t>Spices</t>
  </si>
  <si>
    <t>Cocoa beans</t>
  </si>
  <si>
    <t>Stimulants</t>
  </si>
  <si>
    <t>Coconut, in shell</t>
  </si>
  <si>
    <t>Coffee, green</t>
  </si>
  <si>
    <t>Cucumbers and gherkins, greenhouse</t>
  </si>
  <si>
    <t>Cucumbers and gherkins, openfield</t>
  </si>
  <si>
    <t>Currants</t>
  </si>
  <si>
    <t>Dates</t>
  </si>
  <si>
    <t>Edible roots and tubers with high starch or inulin content, n.e.c., fresh</t>
  </si>
  <si>
    <t>Roots</t>
  </si>
  <si>
    <t>Eggplants (aubergines)</t>
  </si>
  <si>
    <t>Figs</t>
  </si>
  <si>
    <t>Gooseberries</t>
  </si>
  <si>
    <t>Grapes</t>
  </si>
  <si>
    <t>Green corn (maize)</t>
  </si>
  <si>
    <t>Green garlic</t>
  </si>
  <si>
    <t>Groundnuts, excluding shelled</t>
  </si>
  <si>
    <t>Hazelnuts, in shell</t>
  </si>
  <si>
    <t>Kiwi fruit</t>
  </si>
  <si>
    <t>Leeks and other alliaceous vegetables</t>
  </si>
  <si>
    <t>Lemons and limes</t>
  </si>
  <si>
    <t>Lentils, dry</t>
  </si>
  <si>
    <t>Lettuce and chicory</t>
  </si>
  <si>
    <t>Linseed</t>
  </si>
  <si>
    <t>Lupins</t>
  </si>
  <si>
    <t>Maize (corn)</t>
  </si>
  <si>
    <t>Mangoes, guavas and mangosteens</t>
  </si>
  <si>
    <t>Millet</t>
  </si>
  <si>
    <t>Mushrooms and truffles</t>
  </si>
  <si>
    <t>Mushrooms</t>
  </si>
  <si>
    <t>Oats</t>
  </si>
  <si>
    <t>Oil palm fruit</t>
  </si>
  <si>
    <t>Oil crops, tree</t>
  </si>
  <si>
    <t>Olives</t>
  </si>
  <si>
    <t>Onions and shallots, dry (excluding dehydrated)</t>
  </si>
  <si>
    <t>Oranges</t>
  </si>
  <si>
    <t>Other beans, green</t>
  </si>
  <si>
    <t>Other fruits, n.e.c.</t>
  </si>
  <si>
    <t>Other oil seeds, n.e.c.</t>
  </si>
  <si>
    <t>Oil crops</t>
  </si>
  <si>
    <t>Other pulses n.e.c.</t>
  </si>
  <si>
    <t>Other stimulant, spice and aromatic crops, n.e.c.</t>
  </si>
  <si>
    <t>Other vegetables, fresh n.e.c.</t>
  </si>
  <si>
    <t>Papayas</t>
  </si>
  <si>
    <t>Peaches and nectarines</t>
  </si>
  <si>
    <t>Pears</t>
  </si>
  <si>
    <t>Peas, dry</t>
  </si>
  <si>
    <t>Peas, green</t>
  </si>
  <si>
    <t>Pineapples</t>
  </si>
  <si>
    <t>Plums and sloes</t>
  </si>
  <si>
    <t>Pomelos and grapefruits</t>
  </si>
  <si>
    <t>Poppy seed</t>
  </si>
  <si>
    <t>Potatoes</t>
  </si>
  <si>
    <t>Pumpkins, squash and gourds</t>
  </si>
  <si>
    <t>Quinces</t>
  </si>
  <si>
    <t>Other</t>
  </si>
  <si>
    <t>Quinoa</t>
  </si>
  <si>
    <t>Rape or colza seed, average</t>
  </si>
  <si>
    <t>Rape or colza seed, spring</t>
  </si>
  <si>
    <t>Rape or colza seed, winter</t>
  </si>
  <si>
    <t>Raspberries</t>
  </si>
  <si>
    <t>Rice</t>
  </si>
  <si>
    <t>Rye</t>
  </si>
  <si>
    <t>Sorghum</t>
  </si>
  <si>
    <t>Sour cherries</t>
  </si>
  <si>
    <t>Soya beans</t>
  </si>
  <si>
    <t>Spinach</t>
  </si>
  <si>
    <t>Strawberries</t>
  </si>
  <si>
    <t>Sugar beet</t>
  </si>
  <si>
    <t>Sugar crops</t>
  </si>
  <si>
    <t>Sugar cane</t>
  </si>
  <si>
    <t>Sunflower seed</t>
  </si>
  <si>
    <t>Sweet potatoes</t>
  </si>
  <si>
    <t>Tangerines, mandarins, clementines</t>
  </si>
  <si>
    <t>Tomatoes, greenhouse</t>
  </si>
  <si>
    <t>Tomatoes, openfield</t>
  </si>
  <si>
    <t>Triticale</t>
  </si>
  <si>
    <t>Walnuts, in shell</t>
  </si>
  <si>
    <t>Watermelons, greenhouse</t>
  </si>
  <si>
    <t>Watermelons, openfield</t>
  </si>
  <si>
    <t>Wheat, average</t>
  </si>
  <si>
    <t>Wheat, spring</t>
  </si>
  <si>
    <t>Wheat, winter</t>
  </si>
  <si>
    <t>AR</t>
  </si>
  <si>
    <t>AU</t>
  </si>
  <si>
    <t>AT</t>
  </si>
  <si>
    <t>BE</t>
  </si>
  <si>
    <t>BO</t>
  </si>
  <si>
    <t>BR</t>
  </si>
  <si>
    <t>BG</t>
  </si>
  <si>
    <t>Default</t>
  </si>
  <si>
    <t>AF</t>
  </si>
  <si>
    <t>AL</t>
  </si>
  <si>
    <t>DZ</t>
  </si>
  <si>
    <t>AO</t>
  </si>
  <si>
    <t>AG</t>
  </si>
  <si>
    <t>AM</t>
  </si>
  <si>
    <t>AZ</t>
  </si>
  <si>
    <t>BS</t>
  </si>
  <si>
    <t>BH</t>
  </si>
  <si>
    <t>BD</t>
  </si>
  <si>
    <t>BB</t>
  </si>
  <si>
    <t>BY</t>
  </si>
  <si>
    <t>BZ</t>
  </si>
  <si>
    <t>BJ</t>
  </si>
  <si>
    <t>BT</t>
  </si>
  <si>
    <t>BA</t>
  </si>
  <si>
    <t>BW</t>
  </si>
  <si>
    <t>BN</t>
  </si>
  <si>
    <t>BF</t>
  </si>
  <si>
    <t>BI</t>
  </si>
  <si>
    <t>CV</t>
  </si>
  <si>
    <t>KH</t>
  </si>
  <si>
    <t>CM</t>
  </si>
  <si>
    <t>CA</t>
  </si>
  <si>
    <t>CF</t>
  </si>
  <si>
    <t>TD</t>
  </si>
  <si>
    <t>CL</t>
  </si>
  <si>
    <t>CN</t>
  </si>
  <si>
    <t>HK</t>
  </si>
  <si>
    <t>MO</t>
  </si>
  <si>
    <t>TW</t>
  </si>
  <si>
    <t>CO</t>
  </si>
  <si>
    <t>KM</t>
  </si>
  <si>
    <t>CD</t>
  </si>
  <si>
    <t>CG</t>
  </si>
  <si>
    <t>CK</t>
  </si>
  <si>
    <t>CR</t>
  </si>
  <si>
    <t>CI</t>
  </si>
  <si>
    <t>HR</t>
  </si>
  <si>
    <t>CU</t>
  </si>
  <si>
    <t>CY</t>
  </si>
  <si>
    <t>CZ</t>
  </si>
  <si>
    <t>KP</t>
  </si>
  <si>
    <t>DK</t>
  </si>
  <si>
    <t>DJ</t>
  </si>
  <si>
    <t>DM</t>
  </si>
  <si>
    <t>DO</t>
  </si>
  <si>
    <t>EC</t>
  </si>
  <si>
    <t>EG</t>
  </si>
  <si>
    <t>SV</t>
  </si>
  <si>
    <t>GQ</t>
  </si>
  <si>
    <t>ER</t>
  </si>
  <si>
    <t>EE</t>
  </si>
  <si>
    <t>SZ</t>
  </si>
  <si>
    <t>ET</t>
  </si>
  <si>
    <t>FO</t>
  </si>
  <si>
    <t>FJ</t>
  </si>
  <si>
    <t>FI</t>
  </si>
  <si>
    <t>FR</t>
  </si>
  <si>
    <t>PF</t>
  </si>
  <si>
    <t>GA</t>
  </si>
  <si>
    <t>GM</t>
  </si>
  <si>
    <t>GE</t>
  </si>
  <si>
    <t>DE</t>
  </si>
  <si>
    <t>GH</t>
  </si>
  <si>
    <t>GR</t>
  </si>
  <si>
    <t>GD</t>
  </si>
  <si>
    <t>GT</t>
  </si>
  <si>
    <t>GN</t>
  </si>
  <si>
    <t>GW</t>
  </si>
  <si>
    <t>GY</t>
  </si>
  <si>
    <t>HT</t>
  </si>
  <si>
    <t>HN</t>
  </si>
  <si>
    <t>HU</t>
  </si>
  <si>
    <t>IS</t>
  </si>
  <si>
    <t>IN</t>
  </si>
  <si>
    <t>ID</t>
  </si>
  <si>
    <t>IR</t>
  </si>
  <si>
    <t>IQ</t>
  </si>
  <si>
    <t>IE</t>
  </si>
  <si>
    <t>IL</t>
  </si>
  <si>
    <t>IT</t>
  </si>
  <si>
    <t>JM</t>
  </si>
  <si>
    <t>JP</t>
  </si>
  <si>
    <t>JO</t>
  </si>
  <si>
    <t>KZ</t>
  </si>
  <si>
    <t>KE</t>
  </si>
  <si>
    <t>KI</t>
  </si>
  <si>
    <t>KR</t>
  </si>
  <si>
    <t>KW</t>
  </si>
  <si>
    <t>KG</t>
  </si>
  <si>
    <t>LA</t>
  </si>
  <si>
    <t>LV</t>
  </si>
  <si>
    <t>LB</t>
  </si>
  <si>
    <t>LS</t>
  </si>
  <si>
    <t>LR</t>
  </si>
  <si>
    <t>LY</t>
  </si>
  <si>
    <t>LT</t>
  </si>
  <si>
    <t>LU</t>
  </si>
  <si>
    <t>MG</t>
  </si>
  <si>
    <t>MW</t>
  </si>
  <si>
    <t>MY</t>
  </si>
  <si>
    <t>MV</t>
  </si>
  <si>
    <t>ML</t>
  </si>
  <si>
    <t>MT</t>
  </si>
  <si>
    <t>MH</t>
  </si>
  <si>
    <t>MR</t>
  </si>
  <si>
    <t>MU</t>
  </si>
  <si>
    <t>MX</t>
  </si>
  <si>
    <t>FM</t>
  </si>
  <si>
    <t>MD</t>
  </si>
  <si>
    <t>MN</t>
  </si>
  <si>
    <t>ME</t>
  </si>
  <si>
    <t>MA</t>
  </si>
  <si>
    <t>MZ</t>
  </si>
  <si>
    <t>MM</t>
  </si>
  <si>
    <t>NA</t>
  </si>
  <si>
    <t>NR</t>
  </si>
  <si>
    <t>NP</t>
  </si>
  <si>
    <t>NL</t>
  </si>
  <si>
    <t>NC</t>
  </si>
  <si>
    <t>NZ</t>
  </si>
  <si>
    <t>NI</t>
  </si>
  <si>
    <t>NE</t>
  </si>
  <si>
    <t>NG</t>
  </si>
  <si>
    <t>NU</t>
  </si>
  <si>
    <t>MK</t>
  </si>
  <si>
    <t>NO</t>
  </si>
  <si>
    <t>OM</t>
  </si>
  <si>
    <t>PK</t>
  </si>
  <si>
    <t>PL</t>
  </si>
  <si>
    <t>PS</t>
  </si>
  <si>
    <t>PA</t>
  </si>
  <si>
    <t>PG</t>
  </si>
  <si>
    <t>PY</t>
  </si>
  <si>
    <t>PE</t>
  </si>
  <si>
    <t>PH</t>
  </si>
  <si>
    <t>PT</t>
  </si>
  <si>
    <t>PR</t>
  </si>
  <si>
    <t>QA</t>
  </si>
  <si>
    <t>RO</t>
  </si>
  <si>
    <t>RU</t>
  </si>
  <si>
    <t>RW</t>
  </si>
  <si>
    <t>KN</t>
  </si>
  <si>
    <t>LC</t>
  </si>
  <si>
    <t>VC</t>
  </si>
  <si>
    <t>WS</t>
  </si>
  <si>
    <t>ST</t>
  </si>
  <si>
    <t>SA</t>
  </si>
  <si>
    <t>SN</t>
  </si>
  <si>
    <t>RS</t>
  </si>
  <si>
    <t>SC</t>
  </si>
  <si>
    <t>SL</t>
  </si>
  <si>
    <t>SG</t>
  </si>
  <si>
    <t>SK</t>
  </si>
  <si>
    <t>SI</t>
  </si>
  <si>
    <t>SB</t>
  </si>
  <si>
    <t>SO</t>
  </si>
  <si>
    <t>ZA</t>
  </si>
  <si>
    <t>SS</t>
  </si>
  <si>
    <t>ES</t>
  </si>
  <si>
    <t>LK</t>
  </si>
  <si>
    <t>SD</t>
  </si>
  <si>
    <t>SR</t>
  </si>
  <si>
    <t>SE</t>
  </si>
  <si>
    <t>CH</t>
  </si>
  <si>
    <t>SY</t>
  </si>
  <si>
    <t>TJ</t>
  </si>
  <si>
    <t>TZ</t>
  </si>
  <si>
    <t>TH</t>
  </si>
  <si>
    <t>TL</t>
  </si>
  <si>
    <t>TG</t>
  </si>
  <si>
    <t>TO</t>
  </si>
  <si>
    <t>TT</t>
  </si>
  <si>
    <t>TN</t>
  </si>
  <si>
    <t>TR</t>
  </si>
  <si>
    <t>TM</t>
  </si>
  <si>
    <t>TV</t>
  </si>
  <si>
    <t>GB</t>
  </si>
  <si>
    <t>US</t>
  </si>
  <si>
    <t>UG</t>
  </si>
  <si>
    <t>UA</t>
  </si>
  <si>
    <t>AE</t>
  </si>
  <si>
    <t>UY</t>
  </si>
  <si>
    <t>UZ</t>
  </si>
  <si>
    <t>VU</t>
  </si>
  <si>
    <t>VE</t>
  </si>
  <si>
    <t>VN</t>
  </si>
  <si>
    <t>YE</t>
  </si>
  <si>
    <t>ZM</t>
  </si>
  <si>
    <t>ZW</t>
  </si>
  <si>
    <t>Afghanistan</t>
  </si>
  <si>
    <t>Albania</t>
  </si>
  <si>
    <t>Algeria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</si>
  <si>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</si>
  <si>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</si>
  <si>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</si>
  <si>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</si>
  <si>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</si>
  <si>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</si>
  <si>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</si>
  <si>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</si>
  <si>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</si>
  <si>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</si>
  <si>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</si>
  <si>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</si>
  <si>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</si>
  <si>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</si>
  <si>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</si>
  <si>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</si>
  <si>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</si>
  <si>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</si>
  <si>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</si>
  <si>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</si>
  <si>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</si>
  <si>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</si>
  <si>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</si>
  <si>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</si>
  <si>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Cabo Verde</t>
  </si>
  <si>
    <t>Cambodia</t>
  </si>
  <si>
    <t>Cameroon</t>
  </si>
  <si>
    <t>Canada</t>
  </si>
  <si>
    <t>Central African Republic</t>
  </si>
  <si>
    <t>Chad</t>
  </si>
  <si>
    <t>Chile</t>
  </si>
  <si>
    <t>China, Hong Kong SAR</t>
  </si>
  <si>
    <t>China, Macao SAR</t>
  </si>
  <si>
    <t>China, Taiwan Province of</t>
  </si>
  <si>
    <t>China, mainland</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</si>
  <si>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</si>
  <si>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</si>
  <si>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</si>
  <si>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</si>
  <si>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</si>
  <si>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</si>
  <si>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</si>
  <si>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</si>
  <si>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</si>
  <si>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</si>
  <si>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</si>
  <si>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</si>
  <si>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</si>
  <si>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</si>
  <si>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</si>
  <si>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</si>
  <si>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</si>
  <si>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</si>
  <si>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</si>
  <si>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</si>
  <si>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</si>
  <si>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</si>
  <si>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</si>
  <si>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</si>
  <si>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</si>
  <si>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</si>
  <si>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</si>
  <si>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</si>
  <si>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</si>
  <si>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</si>
  <si>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</si>
  <si>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</si>
  <si>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</si>
  <si>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</si>
  <si>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</si>
  <si>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</si>
  <si>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</si>
  <si>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</si>
  <si>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</si>
  <si>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</si>
  <si>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</si>
  <si>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</si>
  <si>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</si>
  <si>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</si>
  <si>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</si>
  <si>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</si>
  <si>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</si>
  <si>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</si>
  <si>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</si>
  <si>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</si>
  <si>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</si>
  <si>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</si>
  <si>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</si>
  <si>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</si>
  <si>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</si>
  <si>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</si>
  <si>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</si>
  <si>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</si>
  <si>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</si>
  <si>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</si>
  <si>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</si>
  <si>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</si>
  <si>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</si>
  <si>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</si>
  <si>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</si>
  <si>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</si>
  <si>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</si>
  <si>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</si>
  <si>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</si>
  <si>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</si>
  <si>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</si>
  <si>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</si>
  <si>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</si>
  <si>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</si>
  <si>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</si>
  <si>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</si>
  <si>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</si>
  <si>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Mongolia</t>
  </si>
  <si>
    <t>Montenegro</t>
  </si>
  <si>
    <t>Morocco</t>
  </si>
  <si>
    <t>Mozambique</t>
  </si>
  <si>
    <t>Myanmar</t>
  </si>
  <si>
    <t>Namibia</t>
  </si>
  <si>
    <t>Nauru</t>
  </si>
  <si>
    <t>Nepal</t>
  </si>
  <si>
    <t>Netherlands</t>
  </si>
  <si>
    <t>New Caledonia</t>
  </si>
  <si>
    <t>New Zealand</t>
  </si>
  <si>
    <t>Nicaragua</t>
  </si>
  <si>
    <t>Niger</t>
  </si>
  <si>
    <t>Nigeria</t>
  </si>
  <si>
    <t>Niue</t>
  </si>
  <si>
    <t>North Macedonia</t>
  </si>
  <si>
    <t>Norway</t>
  </si>
  <si>
    <t>Oman</t>
  </si>
  <si>
    <t>Pakistan</t>
  </si>
  <si>
    <t>Palestine</t>
  </si>
  <si>
    <t>Panama</t>
  </si>
  <si>
    <t>Papua New Guinea</t>
  </si>
  <si>
    <t>Paraguay</t>
  </si>
  <si>
    <t>Peru</t>
  </si>
  <si>
    <t>Philippines</t>
  </si>
  <si>
    <t>Poland</t>
  </si>
  <si>
    <t>Portugal</t>
  </si>
  <si>
    <t>Puerto Rico</t>
  </si>
  <si>
    <t>Qatar</t>
  </si>
  <si>
    <t>Republic of Korea</t>
  </si>
  <si>
    <t>Republic of Moldova</t>
  </si>
  <si>
    <t>Romania</t>
  </si>
  <si>
    <t>Russian Federation</t>
  </si>
  <si>
    <t>Rwanda</t>
  </si>
  <si>
    <t>Saint Kitts and Nevis</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</si>
  <si>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</si>
  <si>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</si>
  <si>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</si>
  <si>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</si>
  <si>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</si>
  <si>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</si>
  <si>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</si>
  <si>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</si>
  <si>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</si>
  <si>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</si>
  <si>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</si>
  <si>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</si>
  <si>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</si>
  <si>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</si>
  <si>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</si>
  <si>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</si>
  <si>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</si>
  <si>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</si>
  <si>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</si>
  <si>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</si>
  <si>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</si>
  <si>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</si>
  <si>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</si>
  <si>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</si>
  <si>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</si>
  <si>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</si>
  <si>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</si>
  <si>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</si>
  <si>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</si>
  <si>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</si>
  <si>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</si>
  <si>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</si>
  <si>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</si>
  <si>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</si>
  <si>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</si>
  <si>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</si>
  <si>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</si>
  <si>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</si>
  <si>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</si>
  <si>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</si>
  <si>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</si>
  <si>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Viet Nam</t>
  </si>
  <si>
    <t>Yemen</t>
  </si>
  <si>
    <t>Zambia</t>
  </si>
  <si>
    <t>Zimbabwe</t>
  </si>
  <si>
    <t>Nitrogen fertiliser per crop and country, kg per hectare</t>
  </si>
  <si>
    <t>Côte d'Ivoire</t>
  </si>
  <si>
    <t>Venezuela</t>
  </si>
  <si>
    <t>Türkiye</t>
  </si>
  <si>
    <t>Default-01371</t>
  </si>
  <si>
    <t>Default-01701</t>
  </si>
  <si>
    <t>Default-01231</t>
  </si>
  <si>
    <t>Use Swedish value and scale with Swedish yield</t>
  </si>
  <si>
    <t>Use Default value for crop 01371</t>
  </si>
  <si>
    <t>Default-01705</t>
  </si>
  <si>
    <t>Default-01445</t>
  </si>
  <si>
    <t>Default-01341</t>
  </si>
  <si>
    <t>Default-01251</t>
  </si>
  <si>
    <t>Default-01353.01</t>
  </si>
  <si>
    <t>Default-01702</t>
  </si>
  <si>
    <t>Default-01510</t>
  </si>
  <si>
    <t>Default-01253.02</t>
  </si>
  <si>
    <t>Default-01443</t>
  </si>
  <si>
    <t>Default-01323</t>
  </si>
  <si>
    <t>Default-01229</t>
  </si>
  <si>
    <t>Castro-Tanzi et al. 2012, Costa Rica</t>
  </si>
  <si>
    <t>Use of default values</t>
  </si>
  <si>
    <t>Default-01441</t>
  </si>
  <si>
    <t>Default-0112</t>
  </si>
  <si>
    <t>ES-01229</t>
  </si>
  <si>
    <t>Use value from Spain for crop 01229</t>
  </si>
  <si>
    <t>Blank -&gt; set fertiliser use to zero</t>
  </si>
  <si>
    <t>Use 114 as the default value</t>
  </si>
  <si>
    <t>Use Spain's value and scale with Spanish yield</t>
  </si>
  <si>
    <t>ecoinvent 3.12, banana production, CO</t>
  </si>
  <si>
    <t>https://www2.jordbruksverket.se/download/18.3200aeac19b6d36679d1c493/1767626786354/jo25_7.pdf</t>
  </si>
  <si>
    <t>Liquid</t>
  </si>
  <si>
    <t>kg N per m3</t>
  </si>
  <si>
    <t>Tabell 5</t>
  </si>
  <si>
    <t>Solid</t>
  </si>
  <si>
    <t>Nitrogen content in manure</t>
  </si>
  <si>
    <t>ecoinvent 3.12, banana production, CR</t>
  </si>
  <si>
    <t>ecoinvent 3.12, banana production, EC</t>
  </si>
  <si>
    <t>ecoinvent 3.12, banana production, IN</t>
  </si>
  <si>
    <t>ecoinvent 3.12, banana production, RoW, weighted average IN, EC, CR, CO (shares given in ecoinvent documentation under RoW)</t>
  </si>
  <si>
    <t>Nitrogen fertilisers per hectare</t>
  </si>
  <si>
    <t>This is a dataset that includes input data on the nitrogen fertiliser inputs per hectare for different countries and crops.</t>
  </si>
  <si>
    <t>ecoinvent 3.12, olive production, Spain</t>
  </si>
  <si>
    <t>Approximate weights</t>
  </si>
  <si>
    <t>t per m3</t>
  </si>
  <si>
    <t>ecoinvent 3.12, olive production, RoW, weighted average ES and IT (shares given in ecoinvent documentation under RoW)</t>
  </si>
  <si>
    <t>ecoinvent 3.12, almond production, RoW, weighted average US and CN (shares given in ecoinvent documentation under RoW)</t>
  </si>
  <si>
    <t>ecoinvent 3.12, cocoa bean production, sundried, CI</t>
  </si>
  <si>
    <t>ecoinvent 3.12, cocoa bean production, sundried, GH</t>
  </si>
  <si>
    <t>ecoinvent 3.12, cocoa bean production, sundried, ID</t>
  </si>
  <si>
    <t>ecoinvent 3.12, cocoa production, sundried RoW, weighted average CI, GH and ID (shares given in ecoinvent documentation under RoW)</t>
  </si>
  <si>
    <t>ecoinvent 3.12, coconut production, dehusked RoW, weighted average IN, ID and PH (shares given in ecoinvent documentation under RoW)</t>
  </si>
  <si>
    <t xml:space="preserve">Miljø og Fødevareministeriet, Vejledning om gødsknings_x0002_og harmoniregler, 2017/2018 (Table 2 pag 128-129) </t>
  </si>
  <si>
    <t>https://lbst.dk/Media/638530103437568270/Vol._4._Vejledning_om_goedsknings-_og_harmoniregler_2017-201.pdf?utm</t>
  </si>
  <si>
    <t xml:space="preserve">Miljø og Fødevareministeriet, Vejledning om gødsknings_x0002_og harmoniregler, 2017/2018 (Table 1 pag 111-121) </t>
  </si>
  <si>
    <t xml:space="preserve">IFA, international fertilizer association. Mineral fertilizer use by crop. </t>
  </si>
  <si>
    <t>https://datadryad.org/dataset/doi:10.5061/dryad.2rbnzs7qh</t>
  </si>
  <si>
    <t>Miljø og Fødevareministeriet, Vejledning om gødsknings_x0002_og harmoniregler, 2017/2018 (Table 1 pag 111-121) data for faba beans</t>
  </si>
  <si>
    <t xml:space="preserve">Miljø og Fødevareministeriet, Vejledning om gødsknings_x0002_og harmoniregler, 2017/2018 (Table 2 pag 127) </t>
  </si>
  <si>
    <t>Miljø og Fødevareministeriet, Vejledning om gødsknings_x0002_og harmoniregler, 2017/2018 (Table 1 pag 111-121) Data for faba beans</t>
  </si>
  <si>
    <t xml:space="preserve">Miljø og Fødevareministeriet, Vejledning om gødsknings_x0002_og harmoniregler, 2017/2018 (Table 1 pag 111-120) Data for mix seed oils </t>
  </si>
  <si>
    <t>Miljø og Fødevareministeriet, Vejledning om gødsknings_x0002_og harmoniregler, 2017/2018 (Table 1 pag 111-121) Data for Mixed legumes</t>
  </si>
  <si>
    <t>Miljø og Fødevareministeriet, Vejledning om gødsknings_x0002_og harmoniregler, 2017/2018 (Table 1 pag 111-121) Data for other vegetables</t>
  </si>
  <si>
    <t>ecoinvent 3.12, almond production, US</t>
  </si>
  <si>
    <t>ecoinvent 3.12, almond production, CN</t>
  </si>
  <si>
    <t>References</t>
  </si>
  <si>
    <t>von Buxhoeveden, U. (2026) Miljöpåverkan från odling av de mest importerade kryddorna till Sverige och Europa. Master thesis.  Uppsala University and Swedish University of Agricultural Sciences</t>
  </si>
  <si>
    <t>Average based on von Buxhoeveden (2026)</t>
  </si>
  <si>
    <t>Approx carrots</t>
  </si>
  <si>
    <r>
      <t xml:space="preserve">Elorrieta-Mendoza, Á., Sanchez-Matos, J., Bentín, J., Debrock, S., Mathot, C., Stelian, L., Soengas, B., Kahhat, R., &amp; Vázquez-Rowe, I. (2025). Avocado production in different biomes throughout Peru: Do differing cultivation practices translate into differences in environmental impacts? </t>
    </r>
    <r>
      <rPr>
        <i/>
        <sz val="11"/>
        <color theme="1"/>
        <rFont val="Calibri"/>
        <family val="2"/>
        <scheme val="minor"/>
      </rPr>
      <t>The International Journal of Life Cycle Assessment</t>
    </r>
    <r>
      <rPr>
        <sz val="11"/>
        <color theme="1"/>
        <rFont val="Calibri"/>
        <family val="2"/>
        <scheme val="minor"/>
      </rPr>
      <t xml:space="preserve">, </t>
    </r>
    <r>
      <rPr>
        <i/>
        <sz val="11"/>
        <color theme="1"/>
        <rFont val="Calibri"/>
        <family val="2"/>
        <scheme val="minor"/>
      </rPr>
      <t>30</t>
    </r>
    <r>
      <rPr>
        <sz val="11"/>
        <color theme="1"/>
        <rFont val="Calibri"/>
        <family val="2"/>
        <scheme val="minor"/>
      </rPr>
      <t>, 2799–2825.</t>
    </r>
  </si>
  <si>
    <t>Elorrieta-Mendoza et al. (2025)</t>
  </si>
  <si>
    <t>Approx raspberries</t>
  </si>
  <si>
    <t>Approx almonds</t>
  </si>
  <si>
    <t>Approx broad beans dry</t>
  </si>
  <si>
    <t>Approx linseed</t>
  </si>
  <si>
    <t>Mapama (n.d)</t>
  </si>
  <si>
    <t xml:space="preserve">IN </t>
  </si>
  <si>
    <t>ecoinvent 3.12, cashew production, IN</t>
  </si>
  <si>
    <t>Approx peas, dry</t>
  </si>
  <si>
    <t>ecoinvent 3.12, coffee green bean production, robusta, RoW, weighted average VN, BR, ID and IN (shares given in ecoinvent documentation under RoW)</t>
  </si>
  <si>
    <t>ecoinvent 3.12, coffee green bean production, robusta, VN</t>
  </si>
  <si>
    <t>ecoinvent 3.12, coffee green bean production, robusta, ID</t>
  </si>
  <si>
    <t>ecoinvent 3.12, coffee green bean production, robusta, IN</t>
  </si>
  <si>
    <t>ecoinvent 3.12, coffee green bean production, robusta, BR</t>
  </si>
  <si>
    <t>Approx oranges</t>
  </si>
  <si>
    <t>Default-01450</t>
  </si>
  <si>
    <t>Approx olives</t>
  </si>
  <si>
    <t>Approx potatoes</t>
  </si>
  <si>
    <t>Visconti, F., Intrigliolo, D. S., &amp; Mirás-Avalos, J. M. (2023). Effects of the annual nitrogen fertilization rate on vine performance and grape quality for winemaking: Insights from a meta-analysis. Australian Journal of Grape and Wine Research, 2023, Article 7989254. https://doi.org/10.1155/2023/7989254</t>
  </si>
  <si>
    <t>Typical N rate based on Visconti et al. (2023)</t>
  </si>
  <si>
    <t>Approx maize</t>
  </si>
  <si>
    <t>Approx onion</t>
  </si>
  <si>
    <t>ecoinvent 3.12, peanut production, RoW, weighted average AR, IN and CN (shares given in ecoinvent documentation under RoW)</t>
  </si>
  <si>
    <t>ecoinvent 3.12, peanut production, CN</t>
  </si>
  <si>
    <t>ecoinvent 3.12, peanut production, AR</t>
  </si>
  <si>
    <t>ecoinvent 3.12, peanut production, IN</t>
  </si>
  <si>
    <r>
      <t xml:space="preserve">Stoessel, F., Juraske, R., Pfister, S., &amp; Hellweg, S. (2012). Life cycle inventory and carbon and water foodprint of fruits and vegetables: Application to a Swiss retailer. </t>
    </r>
    <r>
      <rPr>
        <i/>
        <sz val="11"/>
        <color theme="1"/>
        <rFont val="Calibri"/>
        <family val="2"/>
        <scheme val="minor"/>
      </rPr>
      <t>Environmental Science &amp; Technology, 46</t>
    </r>
    <r>
      <rPr>
        <sz val="11"/>
        <color theme="1"/>
        <rFont val="Calibri"/>
        <family val="2"/>
        <scheme val="minor"/>
      </rPr>
      <t>(6).</t>
    </r>
  </si>
  <si>
    <t>Stoessel et al. (2012), SM1, assumed yield of 16 t/ha</t>
  </si>
  <si>
    <t>Tidåker et al. (2021) Table 1</t>
  </si>
  <si>
    <r>
      <t xml:space="preserve">Tidåker, P., Karlsson Potter, H., Carlsson, G., &amp; Röös, E. (2021). Towards sustainable consumption of legumes: How origin, processing and transport affect the environmental impact of pulses. </t>
    </r>
    <r>
      <rPr>
        <i/>
        <sz val="11"/>
        <color theme="1"/>
        <rFont val="Calibri"/>
        <family val="2"/>
        <scheme val="minor"/>
      </rPr>
      <t>Sustainable Production and Consumption, 27</t>
    </r>
    <r>
      <rPr>
        <sz val="11"/>
        <color theme="1"/>
        <rFont val="Calibri"/>
        <family val="2"/>
        <scheme val="minor"/>
      </rPr>
      <t>, 496–508.</t>
    </r>
  </si>
  <si>
    <t>ecoinvent 3.12, mango production, BR</t>
  </si>
  <si>
    <t>ecoinvent 3.12, millet production, IN</t>
  </si>
  <si>
    <t>ecoinvent 3.12, palm fruit bunch production, ID</t>
  </si>
  <si>
    <t>ecoinvent 3.12, olive production, IT</t>
  </si>
  <si>
    <t>Stoessel et al. (2012), SM1, assumed yield of 43 t/ha</t>
  </si>
  <si>
    <t xml:space="preserve">N content </t>
  </si>
  <si>
    <t>https://soknaringsinnehall.livsmedelsverket.se/</t>
  </si>
  <si>
    <t>Approx chillies and peppers, green</t>
  </si>
  <si>
    <t>Approx apples</t>
  </si>
  <si>
    <t>Approx rape</t>
  </si>
  <si>
    <t>Approx beans dry</t>
  </si>
  <si>
    <t>Default-01654</t>
  </si>
  <si>
    <t>Approx anise etc.</t>
  </si>
  <si>
    <t>Tidåker et al. (2021)</t>
  </si>
  <si>
    <t>Stoessel et al. (2012), SM1, assumed yield of 68 t/ha from FAOSTAT</t>
  </si>
  <si>
    <t>Approx sunflower</t>
  </si>
  <si>
    <t>Default-0117</t>
  </si>
  <si>
    <t>Approx oats</t>
  </si>
  <si>
    <t>Ludemann, C., Gruere, A., Heffer, P., &amp; Dobermann, A. (2025). Global data on fertilizer use by crop and by country. https://datadryad.org/dataset/doi:10.5061/dryad.2rbnzs7qh</t>
  </si>
  <si>
    <t>Ludemann et al. (2025)</t>
  </si>
  <si>
    <t>Average all countries, included countries from Ludemann et al. for all import countries</t>
  </si>
  <si>
    <t>Ludemann et al. (2025), other cereals</t>
  </si>
  <si>
    <t>Approx blueberries</t>
  </si>
  <si>
    <t>Zhang J, Jia C, Wu Y, Xia X, Xi B, Wang L, et al. (2017). Life cycle energy efficiency and environmental impact assessment of bioethanol production from sweet potato based on different production modes. PLoS ONE 12(7): e0180685. https://doi.org/10.1371/journal.pone.0180685</t>
  </si>
  <si>
    <t>Zhang et al. (2017)</t>
  </si>
  <si>
    <t>Default-01234_gh</t>
  </si>
  <si>
    <t>Approx tomatoes in greenhouses</t>
  </si>
  <si>
    <t>Approx cantaloupes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</si>
</sst>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00"/>
  </numFmts>
  <fonts count="24" x14ac:knownFonts="1">
    <font>
      <sz val="11"/>
      <color theme="1"/>
      <name val="Calibri"/>
      <family val="2"/>
      <scheme val="minor"/>
    </font>
    <font>
      <sz val="12"/>
      <color theme="1"/>
      <name val="Calibri"/>
      <family val="2"/>
      <scheme val="minor"/>
    </font>
    <font>
      <sz val="11"/>
      <color rgb="FF000000"/>
      <name val="Calibri"/>
      <family val="2"/>
    </font>
    <font>
      <sz val="11"/>
      <name val="Calibri"/>
      <family val="2"/>
      <scheme val="minor"/>
    </font>
    <font>
      <b/>
      <sz val="11"/>
      <color theme="1"/>
      <name val="Calibri"/>
      <family val="2"/>
      <scheme val="minor"/>
    </font>
    <font>
      <sz val="11"/>
      <color rgb="FF000000"/>
      <name val="Calibri"/>
      <family val="2"/>
      <scheme val="minor"/>
    </font>
    <font>
      <sz val="10"/>
      <name val="Arial"/>
      <family val="2"/>
    </font>
    <font>
      <sz val="11"/>
      <color theme="1"/>
      <name val="Calibri"/>
      <family val="2"/>
      <scheme val="minor"/>
    </font>
    <font>
      <sz val="10"/>
      <color rgb="FF000000"/>
      <name val="Arial"/>
      <family val="2"/>
    </font>
    <font>
      <sz val="10"/>
      <color rgb="FF000000"/>
      <name val="Arial"/>
      <family val="2"/>
    </font>
    <font>
      <sz val="16"/>
      <color theme="1"/>
      <name val="Calibri"/>
      <family val="2"/>
      <scheme val="minor"/>
    </font>
    <font>
      <sz val="11"/>
      <color theme="4" tint="-0.249977111117893"/>
      <name val="Calibri"/>
      <family val="2"/>
      <scheme val="minor"/>
    </font>
    <font>
      <sz val="11"/>
      <color theme="8"/>
      <name val="Calibri"/>
      <family val="2"/>
      <scheme val="minor"/>
    </font>
    <font>
      <sz val="16"/>
      <name val="Calibri"/>
      <family val="2"/>
      <scheme val="minor"/>
    </font>
    <font>
      <sz val="14"/>
      <color theme="1"/>
      <name val="Calibri"/>
      <family val="2"/>
      <scheme val="minor"/>
    </font>
    <font>
      <sz val="11"/>
      <color rgb="FFFF0000"/>
      <name val="Calibri"/>
      <family val="2"/>
      <scheme val="minor"/>
    </font>
    <font>
      <sz val="10"/>
      <color rgb="FFFF0000"/>
      <name val="Calibri"/>
      <family val="2"/>
      <scheme val="minor"/>
    </font>
    <font>
      <b/>
      <sz val="14"/>
      <color theme="1"/>
      <name val="Calibri"/>
      <family val="2"/>
      <scheme val="minor"/>
    </font>
    <font>
      <sz val="9"/>
      <color indexed="81"/>
      <name val="Tahoma"/>
      <family val="2"/>
    </font>
    <font>
      <b/>
      <sz val="9"/>
      <color indexed="81"/>
      <name val="Tahoma"/>
      <family val="2"/>
    </font>
    <font>
      <u/>
      <sz val="11"/>
      <color theme="10"/>
      <name val="Calibri"/>
      <family val="2"/>
      <scheme val="minor"/>
    </font>
    <font>
      <sz val="11"/>
      <color theme="8" tint="-0.249977111117893"/>
      <name val="Calibri"/>
      <family val="2"/>
      <scheme val="minor"/>
    </font>
    <font>
      <b/>
      <sz val="11"/>
      <name val="Calibri"/>
      <family val="2"/>
      <scheme val="minor"/>
    </font>
    <font>
      <i/>
      <sz val="11"/>
      <color theme="1"/>
      <name val="Calibri"/>
      <family val="2"/>
      <scheme val="minor"/>
    </font>
  </fonts>
  <fills count="4">
    <fill>
      <patternFill patternType="none"/>
    </fill>
    <fill>
      <patternFill patternType="gray125"/>
    </fill>
    <fill>
      <patternFill patternType="solid">
        <fgColor rgb="FFFFDDDD"/>
        <bgColor indexed="64"/>
      </patternFill>
    </fill>
    <fill>
      <patternFill patternType="solid">
        <fgColor theme="6" tint="0.79998168889431442"/>
        <bgColor indexed="64"/>
      </patternFill>
    </fill>
  </fills>
  <borders count="1">
    <border>
      <left/>
      <right/>
      <top/>
      <bottom/>
      <diagonal/>
    </border>
  </borders>
  <cellStyleXfs count="13">
    <xf numFmtId="0" fontId="0" fillId="0" borderId="0"/>
    <xf numFmtId="0" fontId="2" fillId="0" borderId="0" applyNumberFormat="0" applyBorder="0" applyAlignment="0"/>
    <xf numFmtId="0" fontId="2" fillId="0" borderId="0" applyNumberFormat="0" applyBorder="0" applyAlignment="0"/>
    <xf numFmtId="0" fontId="6" fillId="0" borderId="0"/>
    <xf numFmtId="0" fontId="7" fillId="0" borderId="0"/>
    <xf numFmtId="0" fontId="3" fillId="2" borderId="0" applyNumberFormat="0" applyBorder="0" applyAlignment="0" applyProtection="0">
      <alignment horizontal="right"/>
    </xf>
    <xf numFmtId="0" fontId="8" fillId="0" borderId="0"/>
    <xf numFmtId="0" fontId="9" fillId="0" borderId="0"/>
    <xf numFmtId="0" fontId="1" fillId="0" borderId="0"/>
    <xf numFmtId="0" fontId="8" fillId="0" borderId="0"/>
    <xf numFmtId="0" fontId="20" fillId="0" borderId="0" applyNumberFormat="0" applyFill="0" applyBorder="0" applyAlignment="0" applyProtection="0"/>
    <xf numFmtId="0" fontId="20" fillId="0" borderId="0" applyNumberFormat="0" applyFill="0" applyBorder="0" applyAlignment="0" applyProtection="0"/>
    <xf numFmtId="0" fontId="1" fillId="0" borderId="0"/>
  </cellStyleXfs>
  <cellXfs count="64">
    <xf numFmtId="0" fontId="0" fillId="0" borderId="0" xfId="0"/>
    <xf numFmtId="0" fontId="3" fillId="0" borderId="0" xfId="0" applyFont="1"/>
    <xf numFmtId="49" fontId="0" fillId="0" borderId="0" xfId="0" applyNumberFormat="1"/>
    <xf numFmtId="0" fontId="10" fillId="0" borderId="0" xfId="0" applyFont="1"/>
    <xf numFmtId="0" fontId="7" fillId="0" borderId="0" xfId="4"/>
    <xf numFmtId="0" fontId="3" fillId="0" borderId="0" xfId="8" applyFont="1" applyAlignment="1">
      <alignment horizontal="left" vertical="top"/>
    </xf>
    <xf numFmtId="0" fontId="5" fillId="0" borderId="0" xfId="4" applyFont="1" applyAlignment="1">
      <alignment horizontal="left"/>
    </xf>
    <xf numFmtId="0" fontId="2" fillId="0" borderId="0" xfId="8" applyFont="1" applyAlignment="1">
      <alignment horizontal="left" vertical="top"/>
    </xf>
    <xf numFmtId="0" fontId="3" fillId="0" borderId="0" xfId="8" applyFont="1" applyAlignment="1">
      <alignment horizontal="left"/>
    </xf>
    <xf numFmtId="1" fontId="7" fillId="0" borderId="0" xfId="4" applyNumberFormat="1"/>
    <xf numFmtId="0" fontId="0" fillId="0" borderId="0" xfId="4" applyFont="1"/>
    <xf numFmtId="0" fontId="0" fillId="0" borderId="0" xfId="8" applyFont="1" applyAlignment="1">
      <alignment horizontal="left" vertical="top"/>
    </xf>
    <xf numFmtId="0" fontId="13" fillId="0" borderId="0" xfId="0" applyFont="1" applyAlignment="1">
      <alignment horizontal="left"/>
    </xf>
    <xf numFmtId="164" fontId="0" fillId="0" borderId="0" xfId="4" applyNumberFormat="1" applyFont="1" applyAlignment="1">
      <alignment horizontal="left" vertical="center"/>
    </xf>
    <xf numFmtId="0" fontId="5" fillId="0" borderId="0" xfId="0" applyFont="1"/>
    <xf numFmtId="164" fontId="7" fillId="0" borderId="0" xfId="4" applyNumberFormat="1" applyAlignment="1">
      <alignment horizontal="left" vertical="center"/>
    </xf>
    <xf numFmtId="0" fontId="0" fillId="0" borderId="0" xfId="8" applyFont="1" applyAlignment="1">
      <alignment vertical="center"/>
    </xf>
    <xf numFmtId="0" fontId="3" fillId="0" borderId="0" xfId="8" applyFont="1" applyAlignment="1">
      <alignment horizontal="left" vertical="center"/>
    </xf>
    <xf numFmtId="0" fontId="0" fillId="0" borderId="0" xfId="0" applyAlignment="1">
      <alignment vertical="center"/>
    </xf>
    <xf numFmtId="0" fontId="4" fillId="0" borderId="0" xfId="0" applyFont="1"/>
    <xf numFmtId="0" fontId="14" fillId="0" borderId="0" xfId="0" applyFont="1"/>
    <xf numFmtId="49" fontId="0" fillId="3" borderId="0" xfId="0" applyNumberFormat="1" applyFill="1" applyAlignment="1">
      <alignment horizontal="left" vertical="top" wrapText="1"/>
    </xf>
    <xf numFmtId="0" fontId="3" fillId="3" borderId="0" xfId="0" applyFont="1" applyFill="1" applyAlignment="1">
      <alignment horizontal="left" vertical="top" wrapText="1"/>
    </xf>
    <xf numFmtId="0" fontId="3" fillId="3" borderId="0" xfId="0" applyFont="1" applyFill="1" applyAlignment="1">
      <alignment vertical="top" wrapText="1"/>
    </xf>
    <xf numFmtId="0" fontId="0" fillId="0" borderId="0" xfId="0" applyAlignment="1">
      <alignment textRotation="90"/>
    </xf>
    <xf numFmtId="49" fontId="4" fillId="0" borderId="0" xfId="0" applyNumberFormat="1" applyFont="1"/>
    <xf numFmtId="0" fontId="0" fillId="3" borderId="0" xfId="0" applyFill="1"/>
    <xf numFmtId="0" fontId="16" fillId="0" borderId="0" xfId="0" applyFont="1" applyAlignment="1">
      <alignment horizontal="left" vertical="center"/>
    </xf>
    <xf numFmtId="0" fontId="15" fillId="0" borderId="0" xfId="0" applyFont="1"/>
    <xf numFmtId="0" fontId="16" fillId="0" borderId="0" xfId="0" applyFont="1"/>
    <xf numFmtId="0" fontId="4" fillId="0" borderId="0" xfId="0" applyFont="1" applyAlignment="1">
      <alignment textRotation="90"/>
    </xf>
    <xf numFmtId="0" fontId="17" fillId="0" borderId="0" xfId="0" applyFont="1"/>
    <xf numFmtId="49" fontId="0" fillId="3" borderId="0" xfId="0" applyNumberFormat="1" applyFill="1" applyAlignment="1">
      <alignment horizontal="left" wrapText="1"/>
    </xf>
    <xf numFmtId="0" fontId="3" fillId="3" borderId="0" xfId="0" applyFont="1" applyFill="1" applyAlignment="1">
      <alignment wrapText="1"/>
    </xf>
    <xf numFmtId="0" fontId="3" fillId="3" borderId="0" xfId="0" applyFont="1" applyFill="1" applyAlignment="1">
      <alignment horizontal="left" wrapText="1"/>
    </xf>
    <xf numFmtId="1" fontId="0" fillId="0" borderId="0" xfId="0" applyNumberFormat="1" applyAlignment="1">
      <alignment horizontal="right" indent="1"/>
    </xf>
    <xf numFmtId="1" fontId="0" fillId="0" borderId="0" xfId="0" applyNumberFormat="1"/>
    <xf numFmtId="0" fontId="20" fillId="0" borderId="0" xfId="10"/>
    <xf numFmtId="1" fontId="4" fillId="0" borderId="0" xfId="0" applyNumberFormat="1" applyFont="1"/>
    <xf numFmtId="2" fontId="21" fillId="0" borderId="0" xfId="0" applyNumberFormat="1" applyFont="1" applyAlignment="1">
      <alignment horizontal="left"/>
    </xf>
    <xf numFmtId="2" fontId="3" fillId="0" borderId="0" xfId="0" applyNumberFormat="1" applyFont="1" applyAlignment="1">
      <alignment horizontal="left" vertical="center"/>
    </xf>
    <xf numFmtId="2" fontId="20" fillId="0" borderId="0" xfId="11" applyNumberFormat="1" applyAlignment="1">
      <alignment horizontal="left" vertical="center"/>
    </xf>
    <xf numFmtId="2" fontId="21" fillId="0" borderId="0" xfId="0" applyNumberFormat="1" applyFont="1" applyAlignment="1">
      <alignment horizontal="left" vertical="center"/>
    </xf>
    <xf numFmtId="2" fontId="21" fillId="0" borderId="0" xfId="12" applyNumberFormat="1" applyFont="1" applyAlignment="1">
      <alignment horizontal="left"/>
    </xf>
    <xf numFmtId="0" fontId="11" fillId="0" borderId="0" xfId="0" applyFont="1" applyAlignment="1">
      <alignment horizontal="left"/>
    </xf>
    <xf numFmtId="2" fontId="3" fillId="0" borderId="0" xfId="0" applyNumberFormat="1" applyFont="1" applyAlignment="1">
      <alignment horizontal="left"/>
    </xf>
    <xf numFmtId="2" fontId="20" fillId="0" borderId="0" xfId="11" applyNumberFormat="1" applyAlignment="1">
      <alignment horizontal="left"/>
    </xf>
    <xf numFmtId="2" fontId="21" fillId="0" borderId="0" xfId="4" applyNumberFormat="1" applyFont="1" applyAlignment="1">
      <alignment horizontal="left"/>
    </xf>
    <xf numFmtId="0" fontId="3" fillId="0" borderId="0" xfId="0" applyFont="1" applyAlignment="1">
      <alignment horizontal="left"/>
    </xf>
    <xf numFmtId="0" fontId="21" fillId="0" borderId="0" xfId="12" applyFont="1" applyAlignment="1">
      <alignment horizontal="left"/>
    </xf>
    <xf numFmtId="1" fontId="12" fillId="0" borderId="0" xfId="0" applyNumberFormat="1" applyFont="1" applyAlignment="1">
      <alignment horizontal="left"/>
    </xf>
    <xf numFmtId="0" fontId="0" fillId="0" borderId="0" xfId="0" applyAlignment="1">
      <alignment horizontal="left"/>
    </xf>
    <xf numFmtId="2" fontId="11" fillId="0" borderId="0" xfId="0" applyNumberFormat="1" applyFont="1" applyAlignment="1">
      <alignment horizontal="left"/>
    </xf>
    <xf numFmtId="0" fontId="22" fillId="0" borderId="0" xfId="0" applyFont="1"/>
    <xf numFmtId="0" fontId="22" fillId="0" borderId="0" xfId="0" applyFont="1" applyAlignment="1">
      <alignment textRotation="90"/>
    </xf>
    <xf numFmtId="0" fontId="3" fillId="3" borderId="0" xfId="0" applyFont="1" applyFill="1"/>
    <xf numFmtId="1" fontId="3" fillId="0" borderId="0" xfId="0" applyNumberFormat="1" applyFont="1"/>
    <xf numFmtId="1" fontId="3" fillId="0" borderId="0" xfId="0" applyNumberFormat="1" applyFont="1" applyAlignment="1">
      <alignment vertical="center" wrapText="1"/>
    </xf>
    <xf numFmtId="49" fontId="3" fillId="0" borderId="0" xfId="0" applyNumberFormat="1" applyFont="1"/>
    <xf numFmtId="1" fontId="22" fillId="0" borderId="0" xfId="0" applyNumberFormat="1" applyFont="1" applyAlignment="1">
      <alignment horizontal="right" vertical="center"/>
    </xf>
    <xf numFmtId="165" fontId="0" fillId="0" borderId="0" xfId="0" applyNumberFormat="1"/>
    <xf numFmtId="166" fontId="0" fillId="0" borderId="0" xfId="0" applyNumberFormat="1"/>
    <xf numFmtId="0" fontId="0" fillId="3" borderId="0" xfId="0" applyFill="1" applyAlignment="1">
      <alignment vertical="top"/>
    </xf>
    <xf numFmtId="1" fontId="3" fillId="0" borderId="0" xfId="0" applyNumberFormat="1" applyFont="1" applyAlignment="1">
      <alignment horizontal="right" vertical="center"/>
    </xf>
  </cellXfs>
  <cellStyles count="13">
    <cellStyle name="Hyperlink" xfId="11" xr:uid="{27B946F3-5790-4F7E-8391-6BBF48B2CC3B}"/>
    <cellStyle name="Hyperlänk" xfId="10" builtinId="8"/>
    <cellStyle name="Normal" xfId="0" builtinId="0"/>
    <cellStyle name="Normal 2" xfId="4" xr:uid="{00000000-0005-0000-0000-000001000000}"/>
    <cellStyle name="Normal 2 2" xfId="2" xr:uid="{00000000-0005-0000-0000-000002000000}"/>
    <cellStyle name="Normal 2 3" xfId="12" xr:uid="{73C79919-7B37-44A4-B3CF-0A4A3A6DB9B5}"/>
    <cellStyle name="Normal 3" xfId="3" xr:uid="{00000000-0005-0000-0000-000003000000}"/>
    <cellStyle name="Normal 4" xfId="1" xr:uid="{00000000-0005-0000-0000-000004000000}"/>
    <cellStyle name="Normal 5" xfId="6" xr:uid="{00000000-0005-0000-0000-000005000000}"/>
    <cellStyle name="Normal 6" xfId="7" xr:uid="{00000000-0005-0000-0000-000006000000}"/>
    <cellStyle name="Normal 6 2" xfId="9" xr:uid="{00000000-0005-0000-0000-000007000000}"/>
    <cellStyle name="Normal 7" xfId="8" xr:uid="{00000000-0005-0000-0000-000008000000}"/>
    <cellStyle name="Validate" xfId="5" xr:uid="{00000000-0005-0000-0000-000009000000}"/>
  </cellStyles>
  <dxfs count="0"/>
  <tableStyles count="0" defaultTableStyle="TableStyleMedium2" defaultPivotStyle="PivotStyleLight16"/>
  <colors>
    <mruColors>
      <color rgb="FFC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34" dT="2026-02-08T20:05:41.77" personId="{00000000-0000-0000-0000-000000000000}" id="{A44E80FC-CA83-4236-ACE7-C34F982CF278}">
    <text>Sebastian Castro-Tanzi, Thomas Dietsch, Natalia Urena, Lucia Vindas, Mark Chandler.  Analysis of management and site factors to improve the sustainability of smallholder coffee production in Tarrazú, Costa Rica, Agriculture, Ecosystems &amp; Environment, Volume 155, 2012, p 172-181</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2.jordbruksverket.se/download/18.3200aeac19b6d36679d1c493/1767626786354/jo25_7.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hyperlink" Target="https://soknaringsinnehall.livsmedelsverket.se/"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3" Type="http://schemas.openxmlformats.org/officeDocument/2006/relationships/hyperlink" Target="https://lbst.dk/Media/638530103437568270/Vol._4._Vejledning_om_goedsknings-_og_harmoniregler_2017-201.pdf?utm" TargetMode="External"/><Relationship Id="rId18" Type="http://schemas.openxmlformats.org/officeDocument/2006/relationships/hyperlink" Target="https://lbst.dk/Media/638530103437568270/Vol._4._Vejledning_om_goedsknings-_og_harmoniregler_2017-201.pdf?utm" TargetMode="External"/><Relationship Id="rId26" Type="http://schemas.openxmlformats.org/officeDocument/2006/relationships/hyperlink" Target="https://lbst.dk/Media/638530103437568270/Vol._4._Vejledning_om_goedsknings-_og_harmoniregler_2017-201.pdf?utm" TargetMode="External"/><Relationship Id="rId39" Type="http://schemas.openxmlformats.org/officeDocument/2006/relationships/hyperlink" Target="https://lbst.dk/Media/638530103437568270/Vol._4._Vejledning_om_goedsknings-_og_harmoniregler_2017-201.pdf?utm" TargetMode="External"/><Relationship Id="rId21" Type="http://schemas.openxmlformats.org/officeDocument/2006/relationships/hyperlink" Target="https://lbst.dk/Media/638530103437568270/Vol._4._Vejledning_om_goedsknings-_og_harmoniregler_2017-201.pdf?utm" TargetMode="External"/><Relationship Id="rId34" Type="http://schemas.openxmlformats.org/officeDocument/2006/relationships/hyperlink" Target="https://lbst.dk/Media/638530103437568270/Vol._4._Vejledning_om_goedsknings-_og_harmoniregler_2017-201.pdf?utm" TargetMode="External"/><Relationship Id="rId42" Type="http://schemas.openxmlformats.org/officeDocument/2006/relationships/hyperlink" Target="https://lbst.dk/Media/638530103437568270/Vol._4._Vejledning_om_goedsknings-_og_harmoniregler_2017-201.pdf?utm" TargetMode="External"/><Relationship Id="rId47" Type="http://schemas.openxmlformats.org/officeDocument/2006/relationships/comments" Target="../comments2.xml"/><Relationship Id="rId7" Type="http://schemas.openxmlformats.org/officeDocument/2006/relationships/hyperlink" Target="https://lbst.dk/Media/638530103437568270/Vol._4._Vejledning_om_goedsknings-_og_harmoniregler_2017-201.pdf?utm" TargetMode="External"/><Relationship Id="rId2" Type="http://schemas.openxmlformats.org/officeDocument/2006/relationships/hyperlink" Target="https://datadryad.org/dataset/doi:10.5061/dryad.2rbnzs7qh" TargetMode="External"/><Relationship Id="rId16" Type="http://schemas.openxmlformats.org/officeDocument/2006/relationships/hyperlink" Target="https://lbst.dk/Media/638530103437568270/Vol._4._Vejledning_om_goedsknings-_og_harmoniregler_2017-201.pdf?utm" TargetMode="External"/><Relationship Id="rId29" Type="http://schemas.openxmlformats.org/officeDocument/2006/relationships/hyperlink" Target="https://lbst.dk/Media/638530103437568270/Vol._4._Vejledning_om_goedsknings-_og_harmoniregler_2017-201.pdf?utm" TargetMode="External"/><Relationship Id="rId1" Type="http://schemas.openxmlformats.org/officeDocument/2006/relationships/hyperlink" Target="https://datadryad.org/dataset/doi:10.5061/dryad.2rbnzs7qh" TargetMode="External"/><Relationship Id="rId6" Type="http://schemas.openxmlformats.org/officeDocument/2006/relationships/hyperlink" Target="https://lbst.dk/Media/638530103437568270/Vol._4._Vejledning_om_goedsknings-_og_harmoniregler_2017-201.pdf?utm" TargetMode="External"/><Relationship Id="rId11" Type="http://schemas.openxmlformats.org/officeDocument/2006/relationships/hyperlink" Target="https://lbst.dk/Media/638530103437568270/Vol._4._Vejledning_om_goedsknings-_og_harmoniregler_2017-201.pdf?utm" TargetMode="External"/><Relationship Id="rId24" Type="http://schemas.openxmlformats.org/officeDocument/2006/relationships/hyperlink" Target="https://lbst.dk/Media/638530103437568270/Vol._4._Vejledning_om_goedsknings-_og_harmoniregler_2017-201.pdf?utm" TargetMode="External"/><Relationship Id="rId32" Type="http://schemas.openxmlformats.org/officeDocument/2006/relationships/hyperlink" Target="https://lbst.dk/Media/638530103437568270/Vol._4._Vejledning_om_goedsknings-_og_harmoniregler_2017-201.pdf?utm" TargetMode="External"/><Relationship Id="rId37" Type="http://schemas.openxmlformats.org/officeDocument/2006/relationships/hyperlink" Target="https://lbst.dk/Media/638530103437568270/Vol._4._Vejledning_om_goedsknings-_og_harmoniregler_2017-201.pdf?utm" TargetMode="External"/><Relationship Id="rId40" Type="http://schemas.openxmlformats.org/officeDocument/2006/relationships/hyperlink" Target="https://lbst.dk/Media/638530103437568270/Vol._4._Vejledning_om_goedsknings-_og_harmoniregler_2017-201.pdf?utm" TargetMode="External"/><Relationship Id="rId45" Type="http://schemas.openxmlformats.org/officeDocument/2006/relationships/hyperlink" Target="https://lbst.dk/Media/638530103437568270/Vol._4._Vejledning_om_goedsknings-_og_harmoniregler_2017-201.pdf?utm" TargetMode="External"/><Relationship Id="rId5" Type="http://schemas.openxmlformats.org/officeDocument/2006/relationships/hyperlink" Target="https://lbst.dk/Media/638530103437568270/Vol._4._Vejledning_om_goedsknings-_og_harmoniregler_2017-201.pdf?utm" TargetMode="External"/><Relationship Id="rId15" Type="http://schemas.openxmlformats.org/officeDocument/2006/relationships/hyperlink" Target="https://lbst.dk/Media/638530103437568270/Vol._4._Vejledning_om_goedsknings-_og_harmoniregler_2017-201.pdf?utm" TargetMode="External"/><Relationship Id="rId23" Type="http://schemas.openxmlformats.org/officeDocument/2006/relationships/hyperlink" Target="https://lbst.dk/Media/638530103437568270/Vol._4._Vejledning_om_goedsknings-_og_harmoniregler_2017-201.pdf?utm" TargetMode="External"/><Relationship Id="rId28" Type="http://schemas.openxmlformats.org/officeDocument/2006/relationships/hyperlink" Target="https://lbst.dk/Media/638530103437568270/Vol._4._Vejledning_om_goedsknings-_og_harmoniregler_2017-201.pdf?utm" TargetMode="External"/><Relationship Id="rId36" Type="http://schemas.openxmlformats.org/officeDocument/2006/relationships/hyperlink" Target="https://lbst.dk/Media/638530103437568270/Vol._4._Vejledning_om_goedsknings-_og_harmoniregler_2017-201.pdf?utm" TargetMode="External"/><Relationship Id="rId10" Type="http://schemas.openxmlformats.org/officeDocument/2006/relationships/hyperlink" Target="https://lbst.dk/Media/638530103437568270/Vol._4._Vejledning_om_goedsknings-_og_harmoniregler_2017-201.pdf?utm" TargetMode="External"/><Relationship Id="rId19" Type="http://schemas.openxmlformats.org/officeDocument/2006/relationships/hyperlink" Target="https://lbst.dk/Media/638530103437568270/Vol._4._Vejledning_om_goedsknings-_og_harmoniregler_2017-201.pdf?utm" TargetMode="External"/><Relationship Id="rId31" Type="http://schemas.openxmlformats.org/officeDocument/2006/relationships/hyperlink" Target="https://lbst.dk/Media/638530103437568270/Vol._4._Vejledning_om_goedsknings-_og_harmoniregler_2017-201.pdf?utm" TargetMode="External"/><Relationship Id="rId44" Type="http://schemas.openxmlformats.org/officeDocument/2006/relationships/hyperlink" Target="https://lbst.dk/Media/638530103437568270/Vol._4._Vejledning_om_goedsknings-_og_harmoniregler_2017-201.pdf?utm" TargetMode="External"/><Relationship Id="rId4" Type="http://schemas.openxmlformats.org/officeDocument/2006/relationships/hyperlink" Target="https://datadryad.org/dataset/doi:10.5061/dryad.2rbnzs7qh" TargetMode="External"/><Relationship Id="rId9" Type="http://schemas.openxmlformats.org/officeDocument/2006/relationships/hyperlink" Target="https://lbst.dk/Media/638530103437568270/Vol._4._Vejledning_om_goedsknings-_og_harmoniregler_2017-201.pdf?utm" TargetMode="External"/><Relationship Id="rId14" Type="http://schemas.openxmlformats.org/officeDocument/2006/relationships/hyperlink" Target="https://lbst.dk/Media/638530103437568270/Vol._4._Vejledning_om_goedsknings-_og_harmoniregler_2017-201.pdf?utm" TargetMode="External"/><Relationship Id="rId22" Type="http://schemas.openxmlformats.org/officeDocument/2006/relationships/hyperlink" Target="https://lbst.dk/Media/638530103437568270/Vol._4._Vejledning_om_goedsknings-_og_harmoniregler_2017-201.pdf?utm" TargetMode="External"/><Relationship Id="rId27" Type="http://schemas.openxmlformats.org/officeDocument/2006/relationships/hyperlink" Target="https://lbst.dk/Media/638530103437568270/Vol._4._Vejledning_om_goedsknings-_og_harmoniregler_2017-201.pdf?utm" TargetMode="External"/><Relationship Id="rId30" Type="http://schemas.openxmlformats.org/officeDocument/2006/relationships/hyperlink" Target="https://lbst.dk/Media/638530103437568270/Vol._4._Vejledning_om_goedsknings-_og_harmoniregler_2017-201.pdf?utm" TargetMode="External"/><Relationship Id="rId35" Type="http://schemas.openxmlformats.org/officeDocument/2006/relationships/hyperlink" Target="https://lbst.dk/Media/638530103437568270/Vol._4._Vejledning_om_goedsknings-_og_harmoniregler_2017-201.pdf?utm" TargetMode="External"/><Relationship Id="rId43" Type="http://schemas.openxmlformats.org/officeDocument/2006/relationships/hyperlink" Target="https://lbst.dk/Media/638530103437568270/Vol._4._Vejledning_om_goedsknings-_og_harmoniregler_2017-201.pdf?utm" TargetMode="External"/><Relationship Id="rId48" Type="http://schemas.microsoft.com/office/2017/10/relationships/threadedComment" Target="../threadedComments/threadedComment1.xml"/><Relationship Id="rId8" Type="http://schemas.openxmlformats.org/officeDocument/2006/relationships/hyperlink" Target="https://lbst.dk/Media/638530103437568270/Vol._4._Vejledning_om_goedsknings-_og_harmoniregler_2017-201.pdf?utm" TargetMode="External"/><Relationship Id="rId3" Type="http://schemas.openxmlformats.org/officeDocument/2006/relationships/hyperlink" Target="https://datadryad.org/dataset/doi:10.5061/dryad.2rbnzs7qh" TargetMode="External"/><Relationship Id="rId12" Type="http://schemas.openxmlformats.org/officeDocument/2006/relationships/hyperlink" Target="https://lbst.dk/Media/638530103437568270/Vol._4._Vejledning_om_goedsknings-_og_harmoniregler_2017-201.pdf?utm" TargetMode="External"/><Relationship Id="rId17" Type="http://schemas.openxmlformats.org/officeDocument/2006/relationships/hyperlink" Target="https://lbst.dk/Media/638530103437568270/Vol._4._Vejledning_om_goedsknings-_og_harmoniregler_2017-201.pdf?utm" TargetMode="External"/><Relationship Id="rId25" Type="http://schemas.openxmlformats.org/officeDocument/2006/relationships/hyperlink" Target="https://lbst.dk/Media/638530103437568270/Vol._4._Vejledning_om_goedsknings-_og_harmoniregler_2017-201.pdf?utm" TargetMode="External"/><Relationship Id="rId33" Type="http://schemas.openxmlformats.org/officeDocument/2006/relationships/hyperlink" Target="https://lbst.dk/Media/638530103437568270/Vol._4._Vejledning_om_goedsknings-_og_harmoniregler_2017-201.pdf?utm" TargetMode="External"/><Relationship Id="rId38" Type="http://schemas.openxmlformats.org/officeDocument/2006/relationships/hyperlink" Target="https://lbst.dk/Media/638530103437568270/Vol._4._Vejledning_om_goedsknings-_og_harmoniregler_2017-201.pdf?utm" TargetMode="External"/><Relationship Id="rId46" Type="http://schemas.openxmlformats.org/officeDocument/2006/relationships/vmlDrawing" Target="../drawings/vmlDrawing2.vml"/><Relationship Id="rId20" Type="http://schemas.openxmlformats.org/officeDocument/2006/relationships/hyperlink" Target="https://lbst.dk/Media/638530103437568270/Vol._4._Vejledning_om_goedsknings-_og_harmoniregler_2017-201.pdf?utm" TargetMode="External"/><Relationship Id="rId41" Type="http://schemas.openxmlformats.org/officeDocument/2006/relationships/hyperlink" Target="https://lbst.dk/Media/638530103437568270/Vol._4._Vejledning_om_goedsknings-_og_harmoniregler_2017-201.pdf?ut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1"/>
  </sheetPr>
  <dimension ref="A2:G22"/>
  <sheetViews>
    <sheetView zoomScale="80" zoomScaleNormal="80" workbookViewId="0">
      <selection activeCell="A21" sqref="A21:A25"/>
    </sheetView>
  </sheetViews>
  <sheetFormatPr defaultColWidth="8.6328125" defaultRowHeight="14.5" x14ac:dyDescent="0.35"/>
  <cols>
    <col min="2" max="2" width="27.26953125" customWidth="1"/>
    <col min="3" max="3" width="13.08984375" customWidth="1"/>
  </cols>
  <sheetData>
    <row r="2" spans="1:7" ht="21" x14ac:dyDescent="0.5">
      <c r="A2" s="3" t="s">
        <v>663</v>
      </c>
    </row>
    <row r="4" spans="1:7" x14ac:dyDescent="0.35">
      <c r="A4" t="s">
        <v>664</v>
      </c>
    </row>
    <row r="6" spans="1:7" ht="18.5" x14ac:dyDescent="0.45">
      <c r="A6" s="31" t="s">
        <v>644</v>
      </c>
    </row>
    <row r="7" spans="1:7" ht="18.5" x14ac:dyDescent="0.45">
      <c r="A7" s="31"/>
    </row>
    <row r="8" spans="1:7" ht="29" x14ac:dyDescent="0.35">
      <c r="A8" s="32" t="s">
        <v>1</v>
      </c>
      <c r="B8" s="33" t="s">
        <v>2</v>
      </c>
      <c r="C8" s="34" t="s">
        <v>3</v>
      </c>
      <c r="D8" s="26" t="s">
        <v>236</v>
      </c>
    </row>
    <row r="9" spans="1:7" x14ac:dyDescent="0.35">
      <c r="A9" t="s">
        <v>4</v>
      </c>
      <c r="B9" t="s">
        <v>108</v>
      </c>
      <c r="C9" t="s">
        <v>109</v>
      </c>
      <c r="D9">
        <v>114</v>
      </c>
      <c r="G9" t="s">
        <v>650</v>
      </c>
    </row>
    <row r="10" spans="1:7" x14ac:dyDescent="0.35">
      <c r="A10" t="s">
        <v>6</v>
      </c>
      <c r="B10" t="s">
        <v>112</v>
      </c>
      <c r="C10" t="s">
        <v>113</v>
      </c>
      <c r="D10" t="s">
        <v>401</v>
      </c>
      <c r="G10" t="s">
        <v>630</v>
      </c>
    </row>
    <row r="11" spans="1:7" x14ac:dyDescent="0.35">
      <c r="A11" t="s">
        <v>23</v>
      </c>
      <c r="B11" t="s">
        <v>136</v>
      </c>
      <c r="C11" t="s">
        <v>113</v>
      </c>
      <c r="D11" t="s">
        <v>397</v>
      </c>
      <c r="G11" t="s">
        <v>651</v>
      </c>
    </row>
    <row r="12" spans="1:7" x14ac:dyDescent="0.35">
      <c r="A12" t="s">
        <v>29</v>
      </c>
      <c r="B12" t="s">
        <v>142</v>
      </c>
      <c r="C12" t="s">
        <v>109</v>
      </c>
      <c r="D12" t="s">
        <v>627</v>
      </c>
      <c r="G12" t="s">
        <v>631</v>
      </c>
    </row>
    <row r="13" spans="1:7" x14ac:dyDescent="0.35">
      <c r="A13" s="2" t="s">
        <v>76</v>
      </c>
      <c r="B13" s="2" t="s">
        <v>195</v>
      </c>
      <c r="C13" s="2" t="s">
        <v>113</v>
      </c>
      <c r="D13" s="2" t="s">
        <v>647</v>
      </c>
      <c r="G13" t="s">
        <v>648</v>
      </c>
    </row>
    <row r="14" spans="1:7" x14ac:dyDescent="0.35">
      <c r="A14" s="2" t="s">
        <v>58</v>
      </c>
      <c r="B14" s="2" t="s">
        <v>174</v>
      </c>
      <c r="C14" s="2" t="s">
        <v>175</v>
      </c>
      <c r="G14" t="s">
        <v>649</v>
      </c>
    </row>
    <row r="17" spans="1:6" x14ac:dyDescent="0.35">
      <c r="A17" s="19" t="s">
        <v>658</v>
      </c>
      <c r="C17" t="s">
        <v>655</v>
      </c>
      <c r="D17" t="s">
        <v>667</v>
      </c>
      <c r="F17" s="37" t="s">
        <v>653</v>
      </c>
    </row>
    <row r="18" spans="1:6" x14ac:dyDescent="0.35">
      <c r="A18" t="s">
        <v>654</v>
      </c>
      <c r="C18" s="35">
        <f>AVERAGE(45, 36, 27, 60)/10</f>
        <v>4.2</v>
      </c>
      <c r="D18">
        <v>1</v>
      </c>
      <c r="F18" t="s">
        <v>656</v>
      </c>
    </row>
    <row r="19" spans="1:6" x14ac:dyDescent="0.35">
      <c r="A19" t="s">
        <v>657</v>
      </c>
      <c r="C19" s="35">
        <f>AVERAGE(60,65, 150, 275)/10</f>
        <v>13.75</v>
      </c>
      <c r="D19">
        <v>0.7</v>
      </c>
      <c r="F19" t="s">
        <v>666</v>
      </c>
    </row>
    <row r="22" spans="1:6" x14ac:dyDescent="0.35">
      <c r="A22" s="19"/>
    </row>
  </sheetData>
  <hyperlinks>
    <hyperlink ref="F17" r:id="rId1" xr:uid="{A2A1EC85-2119-4DC7-9588-5F97654C8BD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EE517-F2A3-4D7B-B63D-A6F356545CA1}">
  <sheetPr>
    <tabColor theme="6" tint="0.59999389629810485"/>
  </sheetPr>
  <dimension ref="A2:GT115"/>
  <sheetViews>
    <sheetView zoomScale="80" zoomScaleNormal="80" workbookViewId="0">
      <pane xSplit="4" ySplit="5" topLeftCell="FL84" activePane="bottomRight" state="frozen"/>
      <selection pane="topRight" activeCell="E1" sqref="E1"/>
      <selection pane="bottomLeft" activeCell="A6" sqref="A6"/>
      <selection pane="bottomRight" activeCell="FY118" sqref="FY118"/>
    </sheetView>
  </sheetViews>
  <sheetFormatPr defaultRowHeight="14.5" x14ac:dyDescent="0.35"/>
  <cols>
    <col min="2" max="2" width="32.90625" customWidth="1"/>
    <col min="3" max="3" width="15.36328125" customWidth="1"/>
    <col min="4" max="4" width="16.6328125" customWidth="1"/>
    <col min="5" max="175" width="5.6328125" customWidth="1"/>
    <col min="176" max="176" width="5.6328125" style="1" customWidth="1"/>
    <col min="177"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30" t="s">
        <v>433</v>
      </c>
      <c r="K4" s="24" t="s">
        <v>434</v>
      </c>
      <c r="L4" s="30" t="s">
        <v>435</v>
      </c>
      <c r="M4" s="30" t="s">
        <v>436</v>
      </c>
      <c r="N4" s="24" t="s">
        <v>437</v>
      </c>
      <c r="O4" s="24" t="s">
        <v>438</v>
      </c>
      <c r="P4" s="24" t="s">
        <v>439</v>
      </c>
      <c r="Q4" s="24" t="s">
        <v>440</v>
      </c>
      <c r="R4" s="24" t="s">
        <v>441</v>
      </c>
      <c r="S4" s="24" t="s">
        <v>442</v>
      </c>
      <c r="T4" s="30" t="s">
        <v>443</v>
      </c>
      <c r="U4" s="24" t="s">
        <v>444</v>
      </c>
      <c r="V4" s="24" t="s">
        <v>445</v>
      </c>
      <c r="W4" s="24" t="s">
        <v>446</v>
      </c>
      <c r="X4" s="30" t="s">
        <v>447</v>
      </c>
      <c r="Y4" s="24" t="s">
        <v>448</v>
      </c>
      <c r="Z4" s="24" t="s">
        <v>449</v>
      </c>
      <c r="AA4" s="30" t="s">
        <v>450</v>
      </c>
      <c r="AB4" s="24" t="s">
        <v>451</v>
      </c>
      <c r="AC4" s="30"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30" t="s">
        <v>470</v>
      </c>
      <c r="AV4" s="24" t="s">
        <v>471</v>
      </c>
      <c r="AW4" s="24" t="s">
        <v>472</v>
      </c>
      <c r="AX4" s="24" t="s">
        <v>473</v>
      </c>
      <c r="AY4" s="24" t="s">
        <v>474</v>
      </c>
      <c r="AZ4" s="30"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30"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30" t="s">
        <v>594</v>
      </c>
      <c r="FQ4" s="24" t="s">
        <v>595</v>
      </c>
      <c r="FR4" s="24" t="s">
        <v>596</v>
      </c>
      <c r="FS4" s="24" t="s">
        <v>597</v>
      </c>
      <c r="FT4" s="5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26"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55"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s="36">
        <f>0.9753*GL6+0.02473*AP6</f>
        <v>246.37218999999999</v>
      </c>
      <c r="AM6">
        <v>103</v>
      </c>
      <c r="AN6">
        <v>103</v>
      </c>
      <c r="AO6">
        <v>103</v>
      </c>
      <c r="AP6">
        <v>103</v>
      </c>
      <c r="FT6" s="56"/>
      <c r="GL6">
        <v>250</v>
      </c>
    </row>
    <row r="7" spans="1:202" x14ac:dyDescent="0.35">
      <c r="A7" s="2" t="s">
        <v>5</v>
      </c>
      <c r="B7" s="2" t="s">
        <v>110</v>
      </c>
      <c r="C7" s="2" t="s">
        <v>111</v>
      </c>
      <c r="D7" s="1">
        <v>150</v>
      </c>
      <c r="AC7">
        <v>22</v>
      </c>
      <c r="FT7" s="56"/>
    </row>
    <row r="8" spans="1:202" x14ac:dyDescent="0.35">
      <c r="A8" s="2" t="s">
        <v>6</v>
      </c>
      <c r="B8" s="2" t="s">
        <v>112</v>
      </c>
      <c r="C8" s="2" t="s">
        <v>113</v>
      </c>
      <c r="D8" t="s">
        <v>401</v>
      </c>
      <c r="BC8">
        <v>140</v>
      </c>
      <c r="FT8" s="57">
        <v>41.000996934136801</v>
      </c>
    </row>
    <row r="9" spans="1:202" x14ac:dyDescent="0.35">
      <c r="A9" s="2" t="s">
        <v>7</v>
      </c>
      <c r="B9" s="2" t="s">
        <v>114</v>
      </c>
      <c r="C9" s="2" t="s">
        <v>113</v>
      </c>
      <c r="D9" t="s">
        <v>641</v>
      </c>
      <c r="FT9" s="56"/>
    </row>
    <row r="10" spans="1:202" x14ac:dyDescent="0.35">
      <c r="A10" s="2" t="s">
        <v>8</v>
      </c>
      <c r="B10" s="2" t="s">
        <v>115</v>
      </c>
      <c r="C10" s="2" t="s">
        <v>111</v>
      </c>
      <c r="D10" t="s">
        <v>635</v>
      </c>
      <c r="BC10">
        <v>150</v>
      </c>
      <c r="FT10" s="56"/>
    </row>
    <row r="11" spans="1:202" x14ac:dyDescent="0.35">
      <c r="A11" s="2" t="s">
        <v>9</v>
      </c>
      <c r="B11" s="2" t="s">
        <v>116</v>
      </c>
      <c r="C11" s="2" t="s">
        <v>111</v>
      </c>
      <c r="D11" t="s">
        <v>401</v>
      </c>
      <c r="BC11">
        <v>150</v>
      </c>
      <c r="FT11" s="56">
        <v>20</v>
      </c>
    </row>
    <row r="12" spans="1:202" x14ac:dyDescent="0.35">
      <c r="A12" s="2" t="s">
        <v>10</v>
      </c>
      <c r="B12" s="2" t="s">
        <v>117</v>
      </c>
      <c r="C12" s="2" t="s">
        <v>111</v>
      </c>
      <c r="D12" s="1" t="s">
        <v>372</v>
      </c>
      <c r="AA12" s="19"/>
      <c r="EN12">
        <f>15.58*15</f>
        <v>233.7</v>
      </c>
      <c r="FT12" s="56"/>
    </row>
    <row r="13" spans="1:202" x14ac:dyDescent="0.35">
      <c r="A13" s="2" t="s">
        <v>11</v>
      </c>
      <c r="B13" s="2" t="s">
        <v>118</v>
      </c>
      <c r="C13" s="2" t="s">
        <v>113</v>
      </c>
      <c r="D13" s="36">
        <f>0.7067*CI13+0.1908*BG13+0.05134*AU13+0.05098*AQ13</f>
        <v>147.54371239</v>
      </c>
      <c r="AQ13">
        <v>376</v>
      </c>
      <c r="AU13">
        <f>77+5.18*N_liquid+4.11*N_solid</f>
        <v>155.26850000000002</v>
      </c>
      <c r="BG13">
        <v>265</v>
      </c>
      <c r="CI13">
        <f>57+1.84*N_liquid+2.48*N_solid</f>
        <v>98.828000000000003</v>
      </c>
      <c r="FT13" s="56"/>
    </row>
    <row r="14" spans="1:202" x14ac:dyDescent="0.35">
      <c r="A14" s="2" t="s">
        <v>12</v>
      </c>
      <c r="B14" s="2" t="s">
        <v>119</v>
      </c>
      <c r="C14" s="2" t="s">
        <v>120</v>
      </c>
      <c r="D14" t="s">
        <v>401</v>
      </c>
      <c r="BC14">
        <v>176.5</v>
      </c>
      <c r="FT14" s="56">
        <v>94</v>
      </c>
    </row>
    <row r="15" spans="1:202" x14ac:dyDescent="0.35">
      <c r="A15" s="2" t="s">
        <v>13</v>
      </c>
      <c r="B15" s="2" t="s">
        <v>121</v>
      </c>
      <c r="C15" s="2" t="s">
        <v>122</v>
      </c>
      <c r="D15" t="s">
        <v>401</v>
      </c>
      <c r="BC15">
        <v>159</v>
      </c>
      <c r="FT15" s="56">
        <v>90</v>
      </c>
    </row>
    <row r="16" spans="1:202" x14ac:dyDescent="0.35">
      <c r="A16" s="2" t="s">
        <v>14</v>
      </c>
      <c r="B16" s="2" t="s">
        <v>123</v>
      </c>
      <c r="C16" s="2" t="s">
        <v>122</v>
      </c>
      <c r="D16" t="s">
        <v>401</v>
      </c>
      <c r="AB16" s="19"/>
      <c r="BC16">
        <v>194</v>
      </c>
      <c r="FT16" s="56">
        <v>126</v>
      </c>
    </row>
    <row r="17" spans="1:176" x14ac:dyDescent="0.35">
      <c r="A17" s="2" t="s">
        <v>15</v>
      </c>
      <c r="B17" s="2" t="s">
        <v>124</v>
      </c>
      <c r="C17" s="2" t="s">
        <v>125</v>
      </c>
      <c r="D17" t="s">
        <v>401</v>
      </c>
      <c r="BC17">
        <v>0</v>
      </c>
      <c r="FT17" s="57">
        <v>30</v>
      </c>
    </row>
    <row r="18" spans="1:176" x14ac:dyDescent="0.35">
      <c r="A18" s="2" t="s">
        <v>16</v>
      </c>
      <c r="B18" s="2" t="s">
        <v>126</v>
      </c>
      <c r="C18" s="2" t="s">
        <v>127</v>
      </c>
      <c r="D18" t="s">
        <v>636</v>
      </c>
      <c r="BC18">
        <v>160</v>
      </c>
      <c r="FT18" s="57"/>
    </row>
    <row r="19" spans="1:176" x14ac:dyDescent="0.35">
      <c r="A19" s="2" t="s">
        <v>17</v>
      </c>
      <c r="B19" s="2" t="s">
        <v>128</v>
      </c>
      <c r="C19" s="2" t="s">
        <v>109</v>
      </c>
      <c r="D19" t="s">
        <v>627</v>
      </c>
      <c r="FT19" s="56"/>
    </row>
    <row r="20" spans="1:176" x14ac:dyDescent="0.35">
      <c r="A20" s="2" t="s">
        <v>18</v>
      </c>
      <c r="B20" s="2" t="s">
        <v>129</v>
      </c>
      <c r="C20" s="2" t="s">
        <v>130</v>
      </c>
      <c r="D20" t="s">
        <v>401</v>
      </c>
      <c r="BC20">
        <v>0</v>
      </c>
      <c r="FT20" s="57">
        <v>2</v>
      </c>
    </row>
    <row r="21" spans="1:176" x14ac:dyDescent="0.35">
      <c r="A21" s="2" t="s">
        <v>19</v>
      </c>
      <c r="B21" s="2" t="s">
        <v>131</v>
      </c>
      <c r="C21" s="2" t="s">
        <v>111</v>
      </c>
      <c r="D21" s="1" t="s">
        <v>637</v>
      </c>
      <c r="BC21">
        <v>0</v>
      </c>
      <c r="FT21" s="57"/>
    </row>
    <row r="22" spans="1:176" x14ac:dyDescent="0.35">
      <c r="A22" s="2" t="s">
        <v>20</v>
      </c>
      <c r="B22" s="2" t="s">
        <v>132</v>
      </c>
      <c r="C22" s="2" t="s">
        <v>111</v>
      </c>
      <c r="D22" t="s">
        <v>401</v>
      </c>
      <c r="BC22">
        <v>215</v>
      </c>
      <c r="FT22" s="57">
        <v>150</v>
      </c>
    </row>
    <row r="23" spans="1:176" x14ac:dyDescent="0.35">
      <c r="A23" s="2" t="s">
        <v>21</v>
      </c>
      <c r="B23" s="2" t="s">
        <v>133</v>
      </c>
      <c r="C23" s="2" t="s">
        <v>134</v>
      </c>
      <c r="D23" t="s">
        <v>645</v>
      </c>
    </row>
    <row r="24" spans="1:176" x14ac:dyDescent="0.35">
      <c r="A24" s="2" t="s">
        <v>22</v>
      </c>
      <c r="B24" s="2" t="s">
        <v>135</v>
      </c>
      <c r="C24" s="2" t="s">
        <v>111</v>
      </c>
      <c r="D24" t="s">
        <v>401</v>
      </c>
      <c r="BC24">
        <v>285</v>
      </c>
      <c r="FT24" s="56">
        <v>200.00035800590709</v>
      </c>
    </row>
    <row r="25" spans="1:176" x14ac:dyDescent="0.35">
      <c r="A25" s="2" t="s">
        <v>23</v>
      </c>
      <c r="B25" s="2" t="s">
        <v>136</v>
      </c>
      <c r="C25" s="2" t="s">
        <v>113</v>
      </c>
      <c r="D25" t="s">
        <v>397</v>
      </c>
      <c r="FP25">
        <v>135</v>
      </c>
    </row>
    <row r="26" spans="1:176" x14ac:dyDescent="0.35">
      <c r="A26" s="2" t="s">
        <v>24</v>
      </c>
      <c r="B26" s="2" t="s">
        <v>137</v>
      </c>
      <c r="C26" s="2" t="s">
        <v>111</v>
      </c>
      <c r="D26" t="s">
        <v>401</v>
      </c>
      <c r="BC26">
        <v>400</v>
      </c>
      <c r="FT26" s="57">
        <v>83</v>
      </c>
    </row>
    <row r="27" spans="1:176" x14ac:dyDescent="0.35">
      <c r="A27" s="2" t="s">
        <v>25</v>
      </c>
      <c r="B27" s="2" t="s">
        <v>138</v>
      </c>
      <c r="C27" s="2" t="s">
        <v>109</v>
      </c>
      <c r="D27" t="s">
        <v>312</v>
      </c>
      <c r="CI27">
        <f>279.5+0.51*N_solid/Density_solid</f>
        <v>289.51785714285717</v>
      </c>
    </row>
    <row r="28" spans="1:176" x14ac:dyDescent="0.35">
      <c r="A28" s="2" t="s">
        <v>26</v>
      </c>
      <c r="B28" s="2" t="s">
        <v>139</v>
      </c>
      <c r="C28" s="2" t="s">
        <v>111</v>
      </c>
      <c r="D28" s="1" t="s">
        <v>401</v>
      </c>
      <c r="BC28">
        <v>255</v>
      </c>
      <c r="FP28" s="28"/>
      <c r="FT28" s="57">
        <v>220</v>
      </c>
    </row>
    <row r="29" spans="1:176" x14ac:dyDescent="0.35">
      <c r="A29" s="2" t="s">
        <v>27</v>
      </c>
      <c r="B29" s="2" t="s">
        <v>140</v>
      </c>
      <c r="C29" s="2" t="s">
        <v>111</v>
      </c>
      <c r="D29" s="1" t="s">
        <v>401</v>
      </c>
      <c r="FT29" s="56">
        <v>192.00000000000003</v>
      </c>
    </row>
    <row r="30" spans="1:176" x14ac:dyDescent="0.35">
      <c r="A30" s="2" t="s">
        <v>28</v>
      </c>
      <c r="B30" s="2" t="s">
        <v>141</v>
      </c>
      <c r="C30" s="2" t="s">
        <v>127</v>
      </c>
      <c r="D30" t="s">
        <v>636</v>
      </c>
      <c r="M30" s="28"/>
      <c r="FT30" s="57"/>
    </row>
    <row r="31" spans="1:176" x14ac:dyDescent="0.35">
      <c r="A31" s="2" t="s">
        <v>29</v>
      </c>
      <c r="B31" s="2" t="s">
        <v>142</v>
      </c>
      <c r="C31" s="2" t="s">
        <v>109</v>
      </c>
      <c r="D31" t="s">
        <v>627</v>
      </c>
      <c r="FT31" s="57"/>
    </row>
    <row r="32" spans="1:176" x14ac:dyDescent="0.35">
      <c r="A32" s="2" t="s">
        <v>30</v>
      </c>
      <c r="B32" s="2" t="s">
        <v>143</v>
      </c>
      <c r="C32" s="2" t="s">
        <v>125</v>
      </c>
      <c r="D32" s="1" t="s">
        <v>632</v>
      </c>
      <c r="FT32" s="56"/>
    </row>
    <row r="33" spans="1:199" x14ac:dyDescent="0.35">
      <c r="A33" s="2" t="s">
        <v>31</v>
      </c>
      <c r="B33" s="2" t="s">
        <v>144</v>
      </c>
      <c r="C33" s="2" t="s">
        <v>145</v>
      </c>
      <c r="D33" t="s">
        <v>397</v>
      </c>
      <c r="FP33">
        <v>260</v>
      </c>
      <c r="FT33" s="56"/>
    </row>
    <row r="34" spans="1:199" x14ac:dyDescent="0.35">
      <c r="A34" s="2" t="s">
        <v>32</v>
      </c>
      <c r="B34" s="2" t="s">
        <v>146</v>
      </c>
      <c r="C34" s="2" t="s">
        <v>147</v>
      </c>
      <c r="D34" s="36">
        <f>0.478*AZ34+0.269*CJ34+0.253*BX34</f>
        <v>32.094000000000001</v>
      </c>
      <c r="AZ34">
        <v>30</v>
      </c>
      <c r="BX34">
        <v>0</v>
      </c>
      <c r="CJ34">
        <v>66</v>
      </c>
      <c r="FT34" s="56"/>
    </row>
    <row r="35" spans="1:199" x14ac:dyDescent="0.35">
      <c r="A35" s="2" t="s">
        <v>33</v>
      </c>
      <c r="B35" s="2" t="s">
        <v>148</v>
      </c>
      <c r="C35" s="2" t="s">
        <v>109</v>
      </c>
      <c r="D35" s="36">
        <f>0.4136*CJ35+0.3486*EO35+0.2379*CI35</f>
        <v>100.37289237499999</v>
      </c>
      <c r="CI35">
        <f>179+1.61*N_liquid+2.17*N_solid*Density_solid</f>
        <v>206.64824999999999</v>
      </c>
      <c r="CJ35" s="36">
        <f>45+1.69*N_liquid+1.72*N_solid*Density_solid</f>
        <v>68.652999999999992</v>
      </c>
      <c r="EO35" s="36">
        <f>44+1.67*N_liquid+1.5*N_solid*Density_solid</f>
        <v>65.451499999999996</v>
      </c>
      <c r="FT35" s="56"/>
    </row>
    <row r="36" spans="1:199" x14ac:dyDescent="0.35">
      <c r="A36" s="2" t="s">
        <v>34</v>
      </c>
      <c r="B36" s="2" t="s">
        <v>149</v>
      </c>
      <c r="C36" s="2" t="s">
        <v>147</v>
      </c>
      <c r="D36" s="36">
        <f>0.4429*GQ36+0.2477*AA36+0.2386*CJ36+0.07079*CI36</f>
        <v>469.83887000000004</v>
      </c>
      <c r="AA36">
        <v>340</v>
      </c>
      <c r="AU36">
        <v>212</v>
      </c>
      <c r="CI36">
        <v>343</v>
      </c>
      <c r="CJ36">
        <v>900</v>
      </c>
      <c r="FT36" s="56"/>
      <c r="GQ36">
        <v>331</v>
      </c>
    </row>
    <row r="37" spans="1:199" x14ac:dyDescent="0.35">
      <c r="A37" s="2" t="s">
        <v>35</v>
      </c>
      <c r="B37" s="2" t="s">
        <v>150</v>
      </c>
      <c r="C37" s="2" t="s">
        <v>111</v>
      </c>
      <c r="D37" t="s">
        <v>401</v>
      </c>
      <c r="BC37">
        <v>2100</v>
      </c>
      <c r="FT37" s="57">
        <v>1451.4258</v>
      </c>
    </row>
    <row r="38" spans="1:199" x14ac:dyDescent="0.35">
      <c r="A38" s="2" t="s">
        <v>36</v>
      </c>
      <c r="B38" s="2" t="s">
        <v>151</v>
      </c>
      <c r="C38" s="2" t="s">
        <v>111</v>
      </c>
      <c r="D38" t="s">
        <v>401</v>
      </c>
      <c r="BC38">
        <v>135</v>
      </c>
      <c r="FT38" s="57">
        <v>140</v>
      </c>
    </row>
    <row r="39" spans="1:199" x14ac:dyDescent="0.35">
      <c r="A39" s="2" t="s">
        <v>37</v>
      </c>
      <c r="B39" s="2" t="s">
        <v>152</v>
      </c>
      <c r="C39" s="2" t="s">
        <v>127</v>
      </c>
      <c r="D39" t="s">
        <v>401</v>
      </c>
      <c r="BC39">
        <v>160</v>
      </c>
      <c r="FT39" s="57">
        <v>32</v>
      </c>
    </row>
    <row r="40" spans="1:199" x14ac:dyDescent="0.35">
      <c r="A40" s="2" t="s">
        <v>38</v>
      </c>
      <c r="B40" s="2" t="s">
        <v>153</v>
      </c>
      <c r="C40" s="2" t="s">
        <v>113</v>
      </c>
      <c r="D40" t="s">
        <v>708</v>
      </c>
      <c r="FT40" s="57"/>
    </row>
    <row r="41" spans="1:199" x14ac:dyDescent="0.35">
      <c r="A41" s="2" t="s">
        <v>39</v>
      </c>
      <c r="B41" s="2" t="s">
        <v>154</v>
      </c>
      <c r="C41" s="2" t="s">
        <v>155</v>
      </c>
      <c r="D41" t="s">
        <v>638</v>
      </c>
      <c r="BC41">
        <v>120</v>
      </c>
      <c r="FT41" s="57"/>
    </row>
    <row r="42" spans="1:199" x14ac:dyDescent="0.35">
      <c r="A42" s="2" t="s">
        <v>40</v>
      </c>
      <c r="B42" s="2" t="s">
        <v>156</v>
      </c>
      <c r="C42" s="2" t="s">
        <v>111</v>
      </c>
      <c r="D42" t="s">
        <v>635</v>
      </c>
      <c r="FT42" s="57"/>
    </row>
    <row r="43" spans="1:199" x14ac:dyDescent="0.35">
      <c r="A43" s="2" t="s">
        <v>41</v>
      </c>
      <c r="B43" s="2" t="s">
        <v>157</v>
      </c>
      <c r="C43" s="2" t="s">
        <v>113</v>
      </c>
      <c r="D43" t="s">
        <v>641</v>
      </c>
      <c r="FT43" s="57"/>
    </row>
    <row r="44" spans="1:199" x14ac:dyDescent="0.35">
      <c r="A44" s="2" t="s">
        <v>42</v>
      </c>
      <c r="B44" s="2" t="s">
        <v>158</v>
      </c>
      <c r="C44" s="2" t="s">
        <v>127</v>
      </c>
      <c r="D44" t="s">
        <v>636</v>
      </c>
      <c r="FT44" s="57"/>
    </row>
    <row r="45" spans="1:199" x14ac:dyDescent="0.35">
      <c r="A45" s="2" t="s">
        <v>43</v>
      </c>
      <c r="B45" s="2" t="s">
        <v>159</v>
      </c>
      <c r="C45" s="2" t="s">
        <v>113</v>
      </c>
      <c r="D45" s="1">
        <v>50</v>
      </c>
      <c r="FT45" s="57">
        <v>6.2508461827754793</v>
      </c>
    </row>
    <row r="46" spans="1:199" x14ac:dyDescent="0.35">
      <c r="A46" s="2" t="s">
        <v>44</v>
      </c>
      <c r="B46" s="2" t="s">
        <v>160</v>
      </c>
      <c r="C46" s="2" t="s">
        <v>111</v>
      </c>
      <c r="D46" t="s">
        <v>646</v>
      </c>
      <c r="FT46" s="57"/>
    </row>
    <row r="47" spans="1:199" x14ac:dyDescent="0.35">
      <c r="A47" s="2" t="s">
        <v>45</v>
      </c>
      <c r="B47" s="2" t="s">
        <v>161</v>
      </c>
      <c r="C47" s="2" t="s">
        <v>111</v>
      </c>
      <c r="D47" t="s">
        <v>639</v>
      </c>
      <c r="FT47" s="57">
        <v>11.387434554973822</v>
      </c>
    </row>
    <row r="48" spans="1:199" x14ac:dyDescent="0.35">
      <c r="A48" s="2" t="s">
        <v>46</v>
      </c>
      <c r="B48" s="2" t="s">
        <v>162</v>
      </c>
      <c r="C48" s="2" t="s">
        <v>109</v>
      </c>
      <c r="D48" s="63">
        <f>0.6941*AP48+0.2774*CI48+0.02849*J48</f>
        <v>72.171999999999997</v>
      </c>
      <c r="J48">
        <v>0</v>
      </c>
      <c r="AP48">
        <v>80</v>
      </c>
      <c r="CI48">
        <v>60</v>
      </c>
      <c r="FT48" s="57"/>
    </row>
    <row r="49" spans="1:176" x14ac:dyDescent="0.35">
      <c r="A49" s="2" t="s">
        <v>47</v>
      </c>
      <c r="B49" s="2" t="s">
        <v>163</v>
      </c>
      <c r="C49" s="2" t="s">
        <v>109</v>
      </c>
      <c r="D49" t="s">
        <v>627</v>
      </c>
      <c r="FT49" s="57"/>
    </row>
    <row r="50" spans="1:176" x14ac:dyDescent="0.35">
      <c r="A50" s="2" t="s">
        <v>48</v>
      </c>
      <c r="B50" s="2" t="s">
        <v>164</v>
      </c>
      <c r="C50" s="2" t="s">
        <v>113</v>
      </c>
      <c r="D50" t="s">
        <v>318</v>
      </c>
      <c r="CO50" s="36">
        <f>0.0044776*16000</f>
        <v>71.641599999999997</v>
      </c>
      <c r="FP50">
        <v>80</v>
      </c>
      <c r="FT50" s="57"/>
    </row>
    <row r="51" spans="1:176" x14ac:dyDescent="0.35">
      <c r="A51" s="2" t="s">
        <v>49</v>
      </c>
      <c r="B51" s="2" t="s">
        <v>165</v>
      </c>
      <c r="C51" s="2" t="s">
        <v>111</v>
      </c>
      <c r="D51" t="s">
        <v>401</v>
      </c>
      <c r="BC51">
        <v>225</v>
      </c>
      <c r="FT51" s="57">
        <v>219.9992474773388</v>
      </c>
    </row>
    <row r="52" spans="1:176" x14ac:dyDescent="0.35">
      <c r="A52" s="2" t="s">
        <v>50</v>
      </c>
      <c r="B52" s="2" t="s">
        <v>166</v>
      </c>
      <c r="C52" s="2" t="s">
        <v>113</v>
      </c>
      <c r="D52" t="s">
        <v>397</v>
      </c>
      <c r="FP52">
        <v>260</v>
      </c>
      <c r="FT52" s="57"/>
    </row>
    <row r="53" spans="1:176" x14ac:dyDescent="0.35">
      <c r="A53" s="2" t="s">
        <v>51</v>
      </c>
      <c r="B53" s="2" t="s">
        <v>167</v>
      </c>
      <c r="C53" s="2" t="s">
        <v>125</v>
      </c>
      <c r="D53" t="s">
        <v>401</v>
      </c>
      <c r="FT53" s="57">
        <v>0</v>
      </c>
    </row>
    <row r="54" spans="1:176" x14ac:dyDescent="0.35">
      <c r="A54" s="2" t="s">
        <v>52</v>
      </c>
      <c r="B54" s="2" t="s">
        <v>168</v>
      </c>
      <c r="C54" s="2" t="s">
        <v>111</v>
      </c>
      <c r="D54" t="s">
        <v>401</v>
      </c>
      <c r="BC54">
        <v>150</v>
      </c>
      <c r="FT54" s="57">
        <v>103.99894409543754</v>
      </c>
    </row>
    <row r="55" spans="1:176" x14ac:dyDescent="0.35">
      <c r="A55" s="2" t="s">
        <v>53</v>
      </c>
      <c r="B55" s="2" t="s">
        <v>169</v>
      </c>
      <c r="C55" s="2" t="s">
        <v>134</v>
      </c>
      <c r="D55" t="s">
        <v>401</v>
      </c>
      <c r="FP55">
        <v>10</v>
      </c>
      <c r="FT55" s="57">
        <v>60</v>
      </c>
    </row>
    <row r="56" spans="1:176" x14ac:dyDescent="0.35">
      <c r="A56" s="2" t="s">
        <v>54</v>
      </c>
      <c r="B56" s="2" t="s">
        <v>170</v>
      </c>
      <c r="C56" s="2" t="s">
        <v>125</v>
      </c>
      <c r="D56" t="s">
        <v>632</v>
      </c>
      <c r="BC56">
        <v>0</v>
      </c>
      <c r="FT56" s="57"/>
    </row>
    <row r="57" spans="1:176" x14ac:dyDescent="0.35">
      <c r="A57" s="2" t="s">
        <v>55</v>
      </c>
      <c r="B57" s="2" t="s">
        <v>171</v>
      </c>
      <c r="C57" s="2" t="s">
        <v>120</v>
      </c>
      <c r="D57" t="s">
        <v>401</v>
      </c>
      <c r="BC57">
        <v>40</v>
      </c>
      <c r="FT57" s="57">
        <v>131.99700453857793</v>
      </c>
    </row>
    <row r="58" spans="1:176" x14ac:dyDescent="0.35">
      <c r="A58" s="2" t="s">
        <v>56</v>
      </c>
      <c r="B58" s="2" t="s">
        <v>172</v>
      </c>
      <c r="C58" s="2" t="s">
        <v>113</v>
      </c>
      <c r="D58" s="1" t="s">
        <v>234</v>
      </c>
      <c r="AA58">
        <v>98</v>
      </c>
      <c r="FT58" s="57"/>
    </row>
    <row r="59" spans="1:176" x14ac:dyDescent="0.35">
      <c r="A59" s="2" t="s">
        <v>57</v>
      </c>
      <c r="B59" s="2" t="s">
        <v>173</v>
      </c>
      <c r="C59" s="2" t="s">
        <v>122</v>
      </c>
      <c r="D59" s="1" t="s">
        <v>312</v>
      </c>
      <c r="AC59">
        <v>50</v>
      </c>
      <c r="CI59">
        <v>50</v>
      </c>
      <c r="FT59" s="57"/>
    </row>
    <row r="60" spans="1:176" x14ac:dyDescent="0.35">
      <c r="A60" s="2" t="s">
        <v>59</v>
      </c>
      <c r="B60" s="2" t="s">
        <v>176</v>
      </c>
      <c r="C60" s="2" t="s">
        <v>120</v>
      </c>
      <c r="D60" t="s">
        <v>401</v>
      </c>
      <c r="BC60">
        <v>149</v>
      </c>
      <c r="FT60" s="56">
        <v>70.992046843177178</v>
      </c>
    </row>
    <row r="61" spans="1:176" x14ac:dyDescent="0.35">
      <c r="A61" s="2" t="s">
        <v>60</v>
      </c>
      <c r="B61" s="2" t="s">
        <v>177</v>
      </c>
      <c r="C61" s="2" t="s">
        <v>178</v>
      </c>
      <c r="D61" s="2" t="s">
        <v>313</v>
      </c>
      <c r="CJ61">
        <v>81</v>
      </c>
      <c r="DH61">
        <v>100</v>
      </c>
      <c r="FT61" s="56"/>
    </row>
    <row r="62" spans="1:176" x14ac:dyDescent="0.35">
      <c r="A62" s="2" t="s">
        <v>61</v>
      </c>
      <c r="B62" s="2" t="s">
        <v>179</v>
      </c>
      <c r="C62" s="2" t="s">
        <v>178</v>
      </c>
      <c r="D62" s="36">
        <f>0.6712*FP62+0.3288*CO62</f>
        <v>74.023319999999998</v>
      </c>
      <c r="CO62" s="36">
        <f>75+2*N_liquid+2*Density_solid*N_solid</f>
        <v>102.65</v>
      </c>
      <c r="FP62">
        <v>60</v>
      </c>
      <c r="FT62" s="56"/>
    </row>
    <row r="63" spans="1:176" x14ac:dyDescent="0.35">
      <c r="A63" s="2" t="s">
        <v>62</v>
      </c>
      <c r="B63" s="2" t="s">
        <v>180</v>
      </c>
      <c r="C63" s="2" t="s">
        <v>111</v>
      </c>
      <c r="D63" t="s">
        <v>401</v>
      </c>
      <c r="BC63">
        <v>165</v>
      </c>
      <c r="FT63" s="56">
        <v>143.99874345549739</v>
      </c>
    </row>
    <row r="64" spans="1:176" x14ac:dyDescent="0.35">
      <c r="A64" s="2" t="s">
        <v>63</v>
      </c>
      <c r="B64" s="2" t="s">
        <v>181</v>
      </c>
      <c r="C64" s="2" t="s">
        <v>113</v>
      </c>
      <c r="D64" s="1" t="s">
        <v>397</v>
      </c>
      <c r="FP64">
        <v>260</v>
      </c>
      <c r="FT64" s="56"/>
    </row>
    <row r="65" spans="1:176" x14ac:dyDescent="0.35">
      <c r="A65" s="2" t="s">
        <v>64</v>
      </c>
      <c r="B65" s="58" t="s">
        <v>182</v>
      </c>
      <c r="C65" s="2" t="s">
        <v>111</v>
      </c>
      <c r="D65" t="s">
        <v>629</v>
      </c>
      <c r="BC65">
        <v>0</v>
      </c>
      <c r="FT65" s="56">
        <v>2.0001956181533647</v>
      </c>
    </row>
    <row r="66" spans="1:176" x14ac:dyDescent="0.35">
      <c r="A66" s="2" t="s">
        <v>65</v>
      </c>
      <c r="B66" s="58" t="s">
        <v>183</v>
      </c>
      <c r="C66" s="2" t="s">
        <v>113</v>
      </c>
      <c r="D66" t="s">
        <v>634</v>
      </c>
      <c r="BC66">
        <v>99.65535430974461</v>
      </c>
      <c r="FT66" s="56"/>
    </row>
    <row r="67" spans="1:176" x14ac:dyDescent="0.35">
      <c r="A67" s="2" t="s">
        <v>66</v>
      </c>
      <c r="B67" s="58" t="s">
        <v>184</v>
      </c>
      <c r="C67" s="2" t="s">
        <v>185</v>
      </c>
      <c r="D67" t="s">
        <v>640</v>
      </c>
      <c r="BC67">
        <v>144</v>
      </c>
      <c r="FT67" s="56"/>
    </row>
    <row r="68" spans="1:176" x14ac:dyDescent="0.35">
      <c r="A68" s="2" t="s">
        <v>67</v>
      </c>
      <c r="B68" s="58" t="s">
        <v>186</v>
      </c>
      <c r="C68" s="2" t="s">
        <v>125</v>
      </c>
      <c r="D68" t="s">
        <v>628</v>
      </c>
      <c r="BC68">
        <v>0</v>
      </c>
      <c r="FT68" s="56">
        <v>1.9994986631016041</v>
      </c>
    </row>
    <row r="69" spans="1:176" x14ac:dyDescent="0.35">
      <c r="A69" s="2" t="s">
        <v>68</v>
      </c>
      <c r="B69" s="58" t="s">
        <v>187</v>
      </c>
      <c r="C69" s="2" t="s">
        <v>147</v>
      </c>
      <c r="D69" t="s">
        <v>734</v>
      </c>
      <c r="FT69" s="56"/>
    </row>
    <row r="70" spans="1:176" x14ac:dyDescent="0.35">
      <c r="A70" s="2" t="s">
        <v>69</v>
      </c>
      <c r="B70" s="58" t="s">
        <v>188</v>
      </c>
      <c r="C70" s="2" t="s">
        <v>111</v>
      </c>
      <c r="D70" t="s">
        <v>635</v>
      </c>
      <c r="BC70">
        <v>135</v>
      </c>
      <c r="FT70" s="56">
        <v>131.99427061709758</v>
      </c>
    </row>
    <row r="71" spans="1:176" x14ac:dyDescent="0.35">
      <c r="A71" s="2" t="s">
        <v>70</v>
      </c>
      <c r="B71" s="58" t="s">
        <v>189</v>
      </c>
      <c r="C71" s="2" t="s">
        <v>113</v>
      </c>
      <c r="D71" s="1" t="s">
        <v>234</v>
      </c>
      <c r="AA71">
        <f>0.0047143*43*1000</f>
        <v>202.7149</v>
      </c>
      <c r="FT71" s="56"/>
    </row>
    <row r="72" spans="1:176" x14ac:dyDescent="0.35">
      <c r="A72" s="2" t="s">
        <v>71</v>
      </c>
      <c r="B72" s="2" t="s">
        <v>190</v>
      </c>
      <c r="C72" s="2" t="s">
        <v>113</v>
      </c>
      <c r="D72" s="1" t="s">
        <v>397</v>
      </c>
      <c r="FP72">
        <v>9</v>
      </c>
      <c r="FT72" s="56"/>
    </row>
    <row r="73" spans="1:176" x14ac:dyDescent="0.35">
      <c r="A73" s="2" t="s">
        <v>72</v>
      </c>
      <c r="B73" s="2" t="s">
        <v>191</v>
      </c>
      <c r="C73" s="2" t="s">
        <v>113</v>
      </c>
      <c r="D73" t="s">
        <v>401</v>
      </c>
      <c r="BC73">
        <v>140</v>
      </c>
      <c r="FT73" s="56">
        <v>48.001155234657041</v>
      </c>
    </row>
    <row r="74" spans="1:176" x14ac:dyDescent="0.35">
      <c r="A74" s="2" t="s">
        <v>73</v>
      </c>
      <c r="B74" s="2" t="s">
        <v>192</v>
      </c>
      <c r="C74" s="2" t="s">
        <v>130</v>
      </c>
      <c r="D74" t="s">
        <v>401</v>
      </c>
      <c r="BC74">
        <v>0</v>
      </c>
      <c r="FT74" s="56">
        <v>0</v>
      </c>
    </row>
    <row r="75" spans="1:176" x14ac:dyDescent="0.35">
      <c r="A75" s="2" t="s">
        <v>74</v>
      </c>
      <c r="B75" s="2" t="s">
        <v>193</v>
      </c>
      <c r="C75" s="2" t="s">
        <v>111</v>
      </c>
      <c r="D75" t="s">
        <v>401</v>
      </c>
      <c r="BC75">
        <v>0</v>
      </c>
      <c r="FT75" s="56">
        <v>0</v>
      </c>
    </row>
    <row r="76" spans="1:176" x14ac:dyDescent="0.35">
      <c r="A76" s="2" t="s">
        <v>75</v>
      </c>
      <c r="B76" s="2" t="s">
        <v>194</v>
      </c>
      <c r="C76" s="2" t="s">
        <v>113</v>
      </c>
      <c r="D76" s="2" t="s">
        <v>273</v>
      </c>
      <c r="AU76">
        <f>0.0027907*68*1000</f>
        <v>189.76760000000002</v>
      </c>
      <c r="FT76" s="56"/>
    </row>
    <row r="77" spans="1:176" x14ac:dyDescent="0.35">
      <c r="A77" s="2" t="s">
        <v>76</v>
      </c>
      <c r="B77" s="2" t="s">
        <v>195</v>
      </c>
      <c r="C77" s="2" t="s">
        <v>113</v>
      </c>
      <c r="D77" t="s">
        <v>401</v>
      </c>
      <c r="FT77" s="56">
        <v>41</v>
      </c>
    </row>
    <row r="78" spans="1:176" x14ac:dyDescent="0.35">
      <c r="A78" s="2" t="s">
        <v>77</v>
      </c>
      <c r="B78" s="2" t="s">
        <v>196</v>
      </c>
      <c r="C78" s="2" t="s">
        <v>113</v>
      </c>
      <c r="D78" t="s">
        <v>641</v>
      </c>
      <c r="FT78" s="56"/>
    </row>
    <row r="79" spans="1:176" x14ac:dyDescent="0.35">
      <c r="A79" s="2" t="s">
        <v>78</v>
      </c>
      <c r="B79" s="2" t="s">
        <v>197</v>
      </c>
      <c r="C79" s="2" t="s">
        <v>134</v>
      </c>
      <c r="D79" s="1" t="s">
        <v>633</v>
      </c>
      <c r="FT79" s="56"/>
    </row>
    <row r="80" spans="1:176" x14ac:dyDescent="0.35">
      <c r="A80" s="2" t="s">
        <v>79</v>
      </c>
      <c r="B80" s="2" t="s">
        <v>198</v>
      </c>
      <c r="C80" s="2" t="s">
        <v>155</v>
      </c>
      <c r="D80" t="s">
        <v>401</v>
      </c>
      <c r="BC80">
        <v>189</v>
      </c>
      <c r="FT80" s="56">
        <v>101</v>
      </c>
    </row>
    <row r="81" spans="1:199" x14ac:dyDescent="0.35">
      <c r="A81" s="2" t="s">
        <v>80</v>
      </c>
      <c r="B81" s="2" t="s">
        <v>199</v>
      </c>
      <c r="C81" s="2" t="s">
        <v>111</v>
      </c>
      <c r="D81" t="s">
        <v>401</v>
      </c>
      <c r="FT81" s="56">
        <v>17.999882715781244</v>
      </c>
    </row>
    <row r="82" spans="1:199" x14ac:dyDescent="0.35">
      <c r="A82" s="2" t="s">
        <v>81</v>
      </c>
      <c r="B82" s="2" t="s">
        <v>200</v>
      </c>
      <c r="C82" s="2" t="s">
        <v>201</v>
      </c>
      <c r="D82" t="s">
        <v>634</v>
      </c>
      <c r="FT82" s="56"/>
    </row>
    <row r="83" spans="1:199" x14ac:dyDescent="0.35">
      <c r="A83" s="2" t="s">
        <v>82</v>
      </c>
      <c r="B83" s="2" t="s">
        <v>202</v>
      </c>
      <c r="C83" s="2" t="s">
        <v>134</v>
      </c>
      <c r="D83" s="1" t="s">
        <v>739</v>
      </c>
      <c r="FT83" s="56"/>
    </row>
    <row r="84" spans="1:199" x14ac:dyDescent="0.35">
      <c r="A84" s="2" t="s">
        <v>83</v>
      </c>
      <c r="B84" s="2" t="s">
        <v>203</v>
      </c>
      <c r="C84" s="2" t="s">
        <v>185</v>
      </c>
      <c r="D84" t="s">
        <v>401</v>
      </c>
      <c r="BC84">
        <v>180.5</v>
      </c>
      <c r="FT84" s="56">
        <v>147</v>
      </c>
    </row>
    <row r="85" spans="1:199" x14ac:dyDescent="0.35">
      <c r="A85" s="2" t="s">
        <v>84</v>
      </c>
      <c r="B85" s="2" t="s">
        <v>204</v>
      </c>
      <c r="C85" s="2" t="s">
        <v>185</v>
      </c>
      <c r="D85" t="s">
        <v>401</v>
      </c>
      <c r="BC85">
        <v>144</v>
      </c>
      <c r="FT85" s="56">
        <v>147</v>
      </c>
    </row>
    <row r="86" spans="1:199" x14ac:dyDescent="0.35">
      <c r="A86" s="2" t="s">
        <v>85</v>
      </c>
      <c r="B86" s="2" t="s">
        <v>205</v>
      </c>
      <c r="C86" s="2" t="s">
        <v>185</v>
      </c>
      <c r="D86" t="s">
        <v>401</v>
      </c>
      <c r="BC86">
        <v>217</v>
      </c>
      <c r="FT86" s="56">
        <v>147</v>
      </c>
    </row>
    <row r="87" spans="1:199" x14ac:dyDescent="0.35">
      <c r="A87" s="2" t="s">
        <v>86</v>
      </c>
      <c r="B87" s="2" t="s">
        <v>206</v>
      </c>
      <c r="C87" s="2" t="s">
        <v>127</v>
      </c>
      <c r="D87" t="s">
        <v>401</v>
      </c>
      <c r="FT87" s="56">
        <v>100</v>
      </c>
    </row>
    <row r="88" spans="1:199" x14ac:dyDescent="0.35">
      <c r="A88" s="2" t="s">
        <v>87</v>
      </c>
      <c r="B88" s="2" t="s">
        <v>207</v>
      </c>
      <c r="C88" s="2" t="s">
        <v>122</v>
      </c>
      <c r="D88" s="1">
        <f>AVERAGE(E88:GT88)</f>
        <v>82.5</v>
      </c>
      <c r="AA88">
        <v>83</v>
      </c>
      <c r="AC88">
        <v>130</v>
      </c>
      <c r="BR88">
        <v>90</v>
      </c>
      <c r="BY88">
        <v>50</v>
      </c>
      <c r="CI88">
        <v>50</v>
      </c>
      <c r="CO88">
        <v>90</v>
      </c>
      <c r="DU88">
        <v>19</v>
      </c>
      <c r="EI88">
        <f>AVERAGE(116, 121)</f>
        <v>118.5</v>
      </c>
      <c r="EQ88">
        <v>70</v>
      </c>
      <c r="FP88">
        <v>70</v>
      </c>
      <c r="FT88" s="56"/>
      <c r="FX88">
        <v>92</v>
      </c>
      <c r="GM88">
        <v>82</v>
      </c>
      <c r="GQ88">
        <v>128</v>
      </c>
    </row>
    <row r="89" spans="1:199" x14ac:dyDescent="0.35">
      <c r="A89" s="2" t="s">
        <v>88</v>
      </c>
      <c r="B89" s="2" t="s">
        <v>208</v>
      </c>
      <c r="C89" s="2" t="s">
        <v>120</v>
      </c>
      <c r="D89" t="s">
        <v>401</v>
      </c>
      <c r="BC89">
        <v>152</v>
      </c>
      <c r="FT89" s="56">
        <v>95.003821656050945</v>
      </c>
    </row>
    <row r="90" spans="1:199" x14ac:dyDescent="0.35">
      <c r="A90" s="2" t="s">
        <v>89</v>
      </c>
      <c r="B90" s="2" t="s">
        <v>209</v>
      </c>
      <c r="C90" s="2" t="s">
        <v>122</v>
      </c>
      <c r="D90" s="56">
        <f>AVERAGE(E90:GT90)</f>
        <v>45.888888888888886</v>
      </c>
      <c r="J90">
        <v>30</v>
      </c>
      <c r="AC90">
        <v>50</v>
      </c>
      <c r="BR90">
        <v>50</v>
      </c>
      <c r="CI90">
        <v>66</v>
      </c>
      <c r="CO90">
        <v>40</v>
      </c>
      <c r="EV90">
        <v>20</v>
      </c>
      <c r="EW90">
        <v>20</v>
      </c>
      <c r="FT90" s="56"/>
      <c r="GH90">
        <v>72</v>
      </c>
      <c r="GL90">
        <v>65</v>
      </c>
    </row>
    <row r="91" spans="1:199" x14ac:dyDescent="0.35">
      <c r="A91" s="2" t="s">
        <v>90</v>
      </c>
      <c r="B91" s="2" t="s">
        <v>210</v>
      </c>
      <c r="C91" s="2" t="s">
        <v>113</v>
      </c>
      <c r="D91" t="s">
        <v>636</v>
      </c>
      <c r="BC91">
        <v>121.72834753918065</v>
      </c>
      <c r="FT91" s="56">
        <v>99.990651635963701</v>
      </c>
    </row>
    <row r="92" spans="1:199" x14ac:dyDescent="0.35">
      <c r="A92" s="2" t="s">
        <v>91</v>
      </c>
      <c r="B92" s="2" t="s">
        <v>211</v>
      </c>
      <c r="C92" s="2" t="s">
        <v>125</v>
      </c>
      <c r="D92" s="56">
        <f>AVERAGE(E92:GT92)</f>
        <v>39.916666666666664</v>
      </c>
      <c r="M92">
        <v>25</v>
      </c>
      <c r="AI92">
        <v>6</v>
      </c>
      <c r="AV92">
        <v>40</v>
      </c>
      <c r="BR92">
        <v>36</v>
      </c>
      <c r="BW92">
        <v>40</v>
      </c>
      <c r="CG92">
        <v>75</v>
      </c>
      <c r="CO92">
        <v>35</v>
      </c>
      <c r="EP92">
        <v>30</v>
      </c>
      <c r="EV92">
        <v>68</v>
      </c>
      <c r="FJ92">
        <v>76</v>
      </c>
      <c r="FT92" s="56"/>
      <c r="GH92">
        <v>44</v>
      </c>
      <c r="GL92">
        <v>4</v>
      </c>
    </row>
    <row r="93" spans="1:199" x14ac:dyDescent="0.35">
      <c r="A93" s="2" t="s">
        <v>92</v>
      </c>
      <c r="B93" s="2" t="s">
        <v>212</v>
      </c>
      <c r="C93" s="2" t="s">
        <v>111</v>
      </c>
      <c r="D93" t="s">
        <v>401</v>
      </c>
      <c r="BC93">
        <v>120</v>
      </c>
      <c r="FT93" s="56">
        <v>44.998221845893312</v>
      </c>
    </row>
    <row r="94" spans="1:199" x14ac:dyDescent="0.35">
      <c r="A94" s="2" t="s">
        <v>93</v>
      </c>
      <c r="B94" s="2" t="s">
        <v>213</v>
      </c>
      <c r="C94" s="2" t="s">
        <v>113</v>
      </c>
      <c r="D94" t="s">
        <v>401</v>
      </c>
      <c r="BC94">
        <v>160</v>
      </c>
      <c r="FT94" s="56">
        <v>32.999338097028954</v>
      </c>
    </row>
    <row r="95" spans="1:199" x14ac:dyDescent="0.35">
      <c r="A95" s="2" t="s">
        <v>94</v>
      </c>
      <c r="B95" s="2" t="s">
        <v>214</v>
      </c>
      <c r="C95" s="2" t="s">
        <v>215</v>
      </c>
      <c r="D95" t="s">
        <v>401</v>
      </c>
      <c r="BC95">
        <v>139</v>
      </c>
      <c r="FT95" s="56">
        <v>104.9996533509409</v>
      </c>
    </row>
    <row r="96" spans="1:199" x14ac:dyDescent="0.35">
      <c r="A96" s="2" t="s">
        <v>95</v>
      </c>
      <c r="B96" s="2" t="s">
        <v>216</v>
      </c>
      <c r="C96" s="2" t="s">
        <v>215</v>
      </c>
      <c r="D96" s="56" t="s">
        <v>234</v>
      </c>
      <c r="AA96">
        <f>AVERAGE(82,76)</f>
        <v>79</v>
      </c>
      <c r="FT96" s="56"/>
    </row>
    <row r="97" spans="1:190" x14ac:dyDescent="0.35">
      <c r="A97" s="2" t="s">
        <v>96</v>
      </c>
      <c r="B97" s="2" t="s">
        <v>217</v>
      </c>
      <c r="C97" s="2" t="s">
        <v>185</v>
      </c>
      <c r="D97" s="56">
        <f>AVERAGE(E97:GT97)</f>
        <v>71.625</v>
      </c>
      <c r="J97">
        <v>13</v>
      </c>
      <c r="AC97">
        <v>90</v>
      </c>
      <c r="BC97">
        <v>20</v>
      </c>
      <c r="BR97">
        <v>36</v>
      </c>
      <c r="BW97">
        <v>40</v>
      </c>
      <c r="CG97">
        <v>75</v>
      </c>
      <c r="EV97">
        <v>68</v>
      </c>
      <c r="FT97" s="56"/>
      <c r="GH97">
        <v>231</v>
      </c>
    </row>
    <row r="98" spans="1:190" x14ac:dyDescent="0.35">
      <c r="A98" s="2" t="s">
        <v>97</v>
      </c>
      <c r="B98" s="2" t="s">
        <v>218</v>
      </c>
      <c r="C98" s="2" t="s">
        <v>155</v>
      </c>
      <c r="D98" t="s">
        <v>264</v>
      </c>
      <c r="AP98">
        <v>157.5</v>
      </c>
      <c r="FT98" s="56"/>
    </row>
    <row r="99" spans="1:190" x14ac:dyDescent="0.35">
      <c r="A99" s="2" t="s">
        <v>98</v>
      </c>
      <c r="B99" s="2" t="s">
        <v>219</v>
      </c>
      <c r="C99" s="2" t="s">
        <v>113</v>
      </c>
      <c r="D99" t="s">
        <v>641</v>
      </c>
      <c r="FT99" s="56"/>
    </row>
    <row r="100" spans="1:190" x14ac:dyDescent="0.35">
      <c r="A100" s="2" t="s">
        <v>99</v>
      </c>
      <c r="B100" s="2" t="s">
        <v>220</v>
      </c>
      <c r="C100" s="2" t="s">
        <v>111</v>
      </c>
      <c r="D100" t="s">
        <v>401</v>
      </c>
      <c r="BC100">
        <v>2350</v>
      </c>
      <c r="FT100" s="56">
        <v>1181</v>
      </c>
    </row>
    <row r="101" spans="1:190" x14ac:dyDescent="0.35">
      <c r="A101" s="2" t="s">
        <v>100</v>
      </c>
      <c r="B101" s="2" t="s">
        <v>221</v>
      </c>
      <c r="C101" s="2" t="s">
        <v>111</v>
      </c>
      <c r="D101" t="s">
        <v>748</v>
      </c>
      <c r="BC101">
        <v>135</v>
      </c>
      <c r="FT101" s="56"/>
    </row>
    <row r="102" spans="1:190" x14ac:dyDescent="0.35">
      <c r="A102" s="2" t="s">
        <v>101</v>
      </c>
      <c r="B102" s="2" t="s">
        <v>222</v>
      </c>
      <c r="C102" s="2" t="s">
        <v>122</v>
      </c>
      <c r="D102" t="s">
        <v>401</v>
      </c>
      <c r="BC102">
        <v>139</v>
      </c>
      <c r="FT102" s="56">
        <v>105.99222303741747</v>
      </c>
    </row>
    <row r="103" spans="1:190" x14ac:dyDescent="0.35">
      <c r="A103" s="2" t="s">
        <v>102</v>
      </c>
      <c r="B103" s="2" t="s">
        <v>223</v>
      </c>
      <c r="C103" s="2" t="s">
        <v>109</v>
      </c>
      <c r="D103" t="s">
        <v>627</v>
      </c>
      <c r="FT103" s="56"/>
    </row>
    <row r="104" spans="1:190" x14ac:dyDescent="0.35">
      <c r="A104" s="2" t="s">
        <v>103</v>
      </c>
      <c r="B104" s="2" t="s">
        <v>224</v>
      </c>
      <c r="C104" s="2" t="s">
        <v>113</v>
      </c>
      <c r="D104" t="s">
        <v>642</v>
      </c>
      <c r="FT104" s="56"/>
    </row>
    <row r="105" spans="1:190" x14ac:dyDescent="0.35">
      <c r="A105" s="2" t="s">
        <v>104</v>
      </c>
      <c r="B105" s="2" t="s">
        <v>225</v>
      </c>
      <c r="C105" s="2" t="s">
        <v>113</v>
      </c>
      <c r="D105" t="s">
        <v>642</v>
      </c>
      <c r="FT105" s="56"/>
    </row>
    <row r="106" spans="1:190" x14ac:dyDescent="0.35">
      <c r="A106" s="2" t="s">
        <v>105</v>
      </c>
      <c r="B106" s="2" t="s">
        <v>226</v>
      </c>
      <c r="C106" s="2" t="s">
        <v>120</v>
      </c>
      <c r="D106" t="s">
        <v>401</v>
      </c>
      <c r="BC106">
        <v>192</v>
      </c>
      <c r="FT106" s="56">
        <v>153</v>
      </c>
    </row>
    <row r="107" spans="1:190" x14ac:dyDescent="0.35">
      <c r="A107" s="2" t="s">
        <v>106</v>
      </c>
      <c r="B107" s="2" t="s">
        <v>227</v>
      </c>
      <c r="C107" s="2" t="s">
        <v>122</v>
      </c>
      <c r="D107" t="s">
        <v>401</v>
      </c>
      <c r="BC107">
        <v>181</v>
      </c>
      <c r="FT107" s="56">
        <v>99</v>
      </c>
    </row>
    <row r="108" spans="1:190" x14ac:dyDescent="0.35">
      <c r="A108" s="2" t="s">
        <v>107</v>
      </c>
      <c r="B108" s="2" t="s">
        <v>228</v>
      </c>
      <c r="C108" s="2" t="s">
        <v>122</v>
      </c>
      <c r="D108" t="s">
        <v>401</v>
      </c>
      <c r="BC108">
        <v>203</v>
      </c>
      <c r="FT108" s="56">
        <v>159</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D74CF-4DA6-4DF1-B377-80ECE15D3795}">
  <sheetPr>
    <tabColor theme="6" tint="0.59999389629810485"/>
  </sheetPr>
  <dimension ref="A2:D115"/>
  <sheetViews>
    <sheetView tabSelected="1" zoomScale="80" zoomScaleNormal="80" workbookViewId="0">
      <pane xSplit="4" ySplit="5" topLeftCell="E94" activePane="bottomRight" state="frozen"/>
      <selection pane="topRight" activeCell="E1" sqref="E1"/>
      <selection pane="bottomLeft" activeCell="A6" sqref="A6"/>
      <selection pane="bottomRight" activeCell="E98" sqref="E98"/>
    </sheetView>
  </sheetViews>
  <sheetFormatPr defaultRowHeight="14.5" x14ac:dyDescent="0.35"/>
  <cols>
    <col min="2" max="2" width="32.90625" customWidth="1"/>
    <col min="3" max="3" width="15.36328125" customWidth="1"/>
    <col min="4" max="4" width="16.6328125" customWidth="1"/>
  </cols>
  <sheetData>
    <row r="2" spans="1:4" ht="18.5" x14ac:dyDescent="0.45">
      <c r="A2" s="20" t="s">
        <v>623</v>
      </c>
    </row>
    <row r="3" spans="1:4" x14ac:dyDescent="0.35">
      <c r="A3" s="37" t="s">
        <v>729</v>
      </c>
    </row>
    <row r="4" spans="1:4" ht="31" customHeight="1" x14ac:dyDescent="0.35">
      <c r="A4" s="25" t="s">
        <v>0</v>
      </c>
      <c r="B4" s="1"/>
      <c r="C4" s="1"/>
    </row>
    <row r="5" spans="1:4" ht="29" x14ac:dyDescent="0.35">
      <c r="A5" s="21" t="s">
        <v>1</v>
      </c>
      <c r="B5" s="23" t="s">
        <v>2</v>
      </c>
      <c r="C5" s="22" t="s">
        <v>3</v>
      </c>
      <c r="D5" s="62" t="s">
        <v>728</v>
      </c>
    </row>
    <row r="6" spans="1:4" x14ac:dyDescent="0.35">
      <c r="A6" s="2" t="s">
        <v>4</v>
      </c>
      <c r="B6" s="2" t="s">
        <v>108</v>
      </c>
      <c r="C6" s="2" t="s">
        <v>109</v>
      </c>
      <c r="D6" s="38"/>
    </row>
    <row r="7" spans="1:4" x14ac:dyDescent="0.35">
      <c r="A7" s="2" t="s">
        <v>5</v>
      </c>
      <c r="B7" s="2" t="s">
        <v>110</v>
      </c>
      <c r="C7" s="2" t="s">
        <v>111</v>
      </c>
      <c r="D7" s="53"/>
    </row>
    <row r="8" spans="1:4" x14ac:dyDescent="0.35">
      <c r="A8" s="2" t="s">
        <v>6</v>
      </c>
      <c r="B8" s="2" t="s">
        <v>112</v>
      </c>
      <c r="C8" s="2" t="s">
        <v>113</v>
      </c>
      <c r="D8" s="19"/>
    </row>
    <row r="9" spans="1:4" x14ac:dyDescent="0.35">
      <c r="A9" s="2" t="s">
        <v>7</v>
      </c>
      <c r="B9" s="2" t="s">
        <v>114</v>
      </c>
      <c r="C9" s="2" t="s">
        <v>113</v>
      </c>
      <c r="D9" s="19"/>
    </row>
    <row r="10" spans="1:4" x14ac:dyDescent="0.35">
      <c r="A10" s="2" t="s">
        <v>8</v>
      </c>
      <c r="B10" s="2" t="s">
        <v>115</v>
      </c>
      <c r="C10" s="2" t="s">
        <v>111</v>
      </c>
      <c r="D10" s="19"/>
    </row>
    <row r="11" spans="1:4" x14ac:dyDescent="0.35">
      <c r="A11" s="2" t="s">
        <v>9</v>
      </c>
      <c r="B11" s="2" t="s">
        <v>116</v>
      </c>
      <c r="C11" s="2" t="s">
        <v>111</v>
      </c>
      <c r="D11" s="19"/>
    </row>
    <row r="12" spans="1:4" x14ac:dyDescent="0.35">
      <c r="A12" s="2" t="s">
        <v>10</v>
      </c>
      <c r="B12" s="2" t="s">
        <v>117</v>
      </c>
      <c r="C12" s="2" t="s">
        <v>111</v>
      </c>
      <c r="D12" s="53"/>
    </row>
    <row r="13" spans="1:4" x14ac:dyDescent="0.35">
      <c r="A13" s="2" t="s">
        <v>11</v>
      </c>
      <c r="B13" s="2" t="s">
        <v>118</v>
      </c>
      <c r="C13" s="2" t="s">
        <v>113</v>
      </c>
      <c r="D13" s="38"/>
    </row>
    <row r="14" spans="1:4" x14ac:dyDescent="0.35">
      <c r="A14" s="2" t="s">
        <v>12</v>
      </c>
      <c r="B14" s="2" t="s">
        <v>119</v>
      </c>
      <c r="C14" s="2" t="s">
        <v>120</v>
      </c>
      <c r="D14" s="19"/>
    </row>
    <row r="15" spans="1:4" x14ac:dyDescent="0.35">
      <c r="A15" s="2" t="s">
        <v>13</v>
      </c>
      <c r="B15" s="2" t="s">
        <v>121</v>
      </c>
      <c r="C15" s="2" t="s">
        <v>122</v>
      </c>
      <c r="D15" s="19"/>
    </row>
    <row r="16" spans="1:4" x14ac:dyDescent="0.35">
      <c r="A16" s="2" t="s">
        <v>14</v>
      </c>
      <c r="B16" s="2" t="s">
        <v>123</v>
      </c>
      <c r="C16" s="2" t="s">
        <v>122</v>
      </c>
      <c r="D16" s="19"/>
    </row>
    <row r="17" spans="1:4" x14ac:dyDescent="0.35">
      <c r="A17" s="2" t="s">
        <v>15</v>
      </c>
      <c r="B17" s="2" t="s">
        <v>124</v>
      </c>
      <c r="C17" s="2" t="s">
        <v>125</v>
      </c>
      <c r="D17">
        <f>0.22/6.25</f>
        <v>3.5200000000000002E-2</v>
      </c>
    </row>
    <row r="18" spans="1:4" x14ac:dyDescent="0.35">
      <c r="A18" s="2" t="s">
        <v>16</v>
      </c>
      <c r="B18" s="2" t="s">
        <v>126</v>
      </c>
      <c r="C18" s="2" t="s">
        <v>127</v>
      </c>
      <c r="D18" s="19"/>
    </row>
    <row r="19" spans="1:4" x14ac:dyDescent="0.35">
      <c r="A19" s="2" t="s">
        <v>17</v>
      </c>
      <c r="B19" s="2" t="s">
        <v>128</v>
      </c>
      <c r="C19" s="2" t="s">
        <v>109</v>
      </c>
      <c r="D19" s="19"/>
    </row>
    <row r="20" spans="1:4" x14ac:dyDescent="0.35">
      <c r="A20" s="2" t="s">
        <v>18</v>
      </c>
      <c r="B20" s="2" t="s">
        <v>129</v>
      </c>
      <c r="C20" s="2" t="s">
        <v>130</v>
      </c>
      <c r="D20" s="60">
        <f>0.25/6.25</f>
        <v>0.04</v>
      </c>
    </row>
    <row r="21" spans="1:4" x14ac:dyDescent="0.35">
      <c r="A21" s="2" t="s">
        <v>19</v>
      </c>
      <c r="B21" s="2" t="s">
        <v>131</v>
      </c>
      <c r="C21" s="2" t="s">
        <v>111</v>
      </c>
      <c r="D21" s="60">
        <f>0.09/6.25</f>
        <v>1.44E-2</v>
      </c>
    </row>
    <row r="22" spans="1:4" x14ac:dyDescent="0.35">
      <c r="A22" s="2" t="s">
        <v>20</v>
      </c>
      <c r="B22" s="2" t="s">
        <v>132</v>
      </c>
      <c r="C22" s="2" t="s">
        <v>111</v>
      </c>
      <c r="D22" s="19"/>
    </row>
    <row r="23" spans="1:4" x14ac:dyDescent="0.35">
      <c r="A23" s="2" t="s">
        <v>21</v>
      </c>
      <c r="B23" s="2" t="s">
        <v>133</v>
      </c>
      <c r="C23" s="2" t="s">
        <v>134</v>
      </c>
      <c r="D23" s="19"/>
    </row>
    <row r="24" spans="1:4" x14ac:dyDescent="0.35">
      <c r="A24" s="2" t="s">
        <v>22</v>
      </c>
      <c r="B24" s="2" t="s">
        <v>135</v>
      </c>
      <c r="C24" s="2" t="s">
        <v>111</v>
      </c>
      <c r="D24" s="19"/>
    </row>
    <row r="25" spans="1:4" x14ac:dyDescent="0.35">
      <c r="A25" s="2" t="s">
        <v>23</v>
      </c>
      <c r="B25" s="2" t="s">
        <v>136</v>
      </c>
      <c r="C25" s="2" t="s">
        <v>113</v>
      </c>
      <c r="D25" s="19"/>
    </row>
    <row r="26" spans="1:4" x14ac:dyDescent="0.35">
      <c r="A26" s="2" t="s">
        <v>24</v>
      </c>
      <c r="B26" s="2" t="s">
        <v>137</v>
      </c>
      <c r="C26" s="2" t="s">
        <v>111</v>
      </c>
      <c r="D26" s="19"/>
    </row>
    <row r="27" spans="1:4" x14ac:dyDescent="0.35">
      <c r="A27" s="2" t="s">
        <v>25</v>
      </c>
      <c r="B27" s="2" t="s">
        <v>138</v>
      </c>
      <c r="C27" s="2" t="s">
        <v>109</v>
      </c>
      <c r="D27" s="19"/>
    </row>
    <row r="28" spans="1:4" x14ac:dyDescent="0.35">
      <c r="A28" s="2" t="s">
        <v>26</v>
      </c>
      <c r="B28" s="2" t="s">
        <v>139</v>
      </c>
      <c r="C28" s="2" t="s">
        <v>111</v>
      </c>
      <c r="D28" s="53"/>
    </row>
    <row r="29" spans="1:4" x14ac:dyDescent="0.35">
      <c r="A29" s="2" t="s">
        <v>27</v>
      </c>
      <c r="B29" s="2" t="s">
        <v>140</v>
      </c>
      <c r="C29" s="2" t="s">
        <v>111</v>
      </c>
      <c r="D29" s="53"/>
    </row>
    <row r="30" spans="1:4" x14ac:dyDescent="0.35">
      <c r="A30" s="2" t="s">
        <v>28</v>
      </c>
      <c r="B30" s="2" t="s">
        <v>141</v>
      </c>
      <c r="C30" s="2" t="s">
        <v>127</v>
      </c>
      <c r="D30" s="19"/>
    </row>
    <row r="31" spans="1:4" x14ac:dyDescent="0.35">
      <c r="A31" s="2" t="s">
        <v>29</v>
      </c>
      <c r="B31" s="2" t="s">
        <v>142</v>
      </c>
      <c r="C31" s="2" t="s">
        <v>109</v>
      </c>
      <c r="D31" s="19"/>
    </row>
    <row r="32" spans="1:4" x14ac:dyDescent="0.35">
      <c r="A32" s="2" t="s">
        <v>30</v>
      </c>
      <c r="B32" s="2" t="s">
        <v>143</v>
      </c>
      <c r="C32" s="2" t="s">
        <v>125</v>
      </c>
      <c r="D32" s="60">
        <f>0.188/6.25</f>
        <v>3.0079999999999999E-2</v>
      </c>
    </row>
    <row r="33" spans="1:4" x14ac:dyDescent="0.35">
      <c r="A33" s="2" t="s">
        <v>31</v>
      </c>
      <c r="B33" s="2" t="s">
        <v>144</v>
      </c>
      <c r="C33" s="2" t="s">
        <v>145</v>
      </c>
      <c r="D33" s="19"/>
    </row>
    <row r="34" spans="1:4" x14ac:dyDescent="0.35">
      <c r="A34" s="2" t="s">
        <v>32</v>
      </c>
      <c r="B34" s="2" t="s">
        <v>146</v>
      </c>
      <c r="C34" s="2" t="s">
        <v>147</v>
      </c>
      <c r="D34" s="38"/>
    </row>
    <row r="35" spans="1:4" x14ac:dyDescent="0.35">
      <c r="A35" s="2" t="s">
        <v>33</v>
      </c>
      <c r="B35" s="2" t="s">
        <v>148</v>
      </c>
      <c r="C35" s="2" t="s">
        <v>109</v>
      </c>
      <c r="D35" s="38"/>
    </row>
    <row r="36" spans="1:4" x14ac:dyDescent="0.35">
      <c r="A36" s="2" t="s">
        <v>34</v>
      </c>
      <c r="B36" s="2" t="s">
        <v>149</v>
      </c>
      <c r="C36" s="2" t="s">
        <v>147</v>
      </c>
      <c r="D36" s="38"/>
    </row>
    <row r="37" spans="1:4" x14ac:dyDescent="0.35">
      <c r="A37" s="2" t="s">
        <v>35</v>
      </c>
      <c r="B37" s="2" t="s">
        <v>150</v>
      </c>
      <c r="C37" s="2" t="s">
        <v>111</v>
      </c>
      <c r="D37" s="19"/>
    </row>
    <row r="38" spans="1:4" x14ac:dyDescent="0.35">
      <c r="A38" s="2" t="s">
        <v>36</v>
      </c>
      <c r="B38" s="2" t="s">
        <v>151</v>
      </c>
      <c r="C38" s="2" t="s">
        <v>111</v>
      </c>
      <c r="D38" s="19"/>
    </row>
    <row r="39" spans="1:4" x14ac:dyDescent="0.35">
      <c r="A39" s="2" t="s">
        <v>37</v>
      </c>
      <c r="B39" s="2" t="s">
        <v>152</v>
      </c>
      <c r="C39" s="2" t="s">
        <v>127</v>
      </c>
      <c r="D39" s="19"/>
    </row>
    <row r="40" spans="1:4" x14ac:dyDescent="0.35">
      <c r="A40" s="2" t="s">
        <v>38</v>
      </c>
      <c r="B40" s="2" t="s">
        <v>153</v>
      </c>
      <c r="C40" s="2" t="s">
        <v>113</v>
      </c>
      <c r="D40" s="19"/>
    </row>
    <row r="41" spans="1:4" x14ac:dyDescent="0.35">
      <c r="A41" s="2" t="s">
        <v>39</v>
      </c>
      <c r="B41" s="2" t="s">
        <v>154</v>
      </c>
      <c r="C41" s="2" t="s">
        <v>155</v>
      </c>
      <c r="D41" s="19"/>
    </row>
    <row r="42" spans="1:4" x14ac:dyDescent="0.35">
      <c r="A42" s="2" t="s">
        <v>40</v>
      </c>
      <c r="B42" s="2" t="s">
        <v>156</v>
      </c>
      <c r="C42" s="2" t="s">
        <v>111</v>
      </c>
      <c r="D42" s="19"/>
    </row>
    <row r="43" spans="1:4" x14ac:dyDescent="0.35">
      <c r="A43" s="2" t="s">
        <v>41</v>
      </c>
      <c r="B43" s="2" t="s">
        <v>157</v>
      </c>
      <c r="C43" s="2" t="s">
        <v>113</v>
      </c>
      <c r="D43" s="19"/>
    </row>
    <row r="44" spans="1:4" x14ac:dyDescent="0.35">
      <c r="A44" s="2" t="s">
        <v>42</v>
      </c>
      <c r="B44" s="2" t="s">
        <v>158</v>
      </c>
      <c r="C44" s="2" t="s">
        <v>127</v>
      </c>
      <c r="D44" s="19"/>
    </row>
    <row r="45" spans="1:4" x14ac:dyDescent="0.35">
      <c r="A45" s="2" t="s">
        <v>43</v>
      </c>
      <c r="B45" s="2" t="s">
        <v>159</v>
      </c>
      <c r="C45" s="2" t="s">
        <v>113</v>
      </c>
      <c r="D45" s="53"/>
    </row>
    <row r="46" spans="1:4" x14ac:dyDescent="0.35">
      <c r="A46" s="2" t="s">
        <v>44</v>
      </c>
      <c r="B46" s="2" t="s">
        <v>160</v>
      </c>
      <c r="C46" s="2" t="s">
        <v>111</v>
      </c>
      <c r="D46" s="19"/>
    </row>
    <row r="47" spans="1:4" x14ac:dyDescent="0.35">
      <c r="A47" s="2" t="s">
        <v>45</v>
      </c>
      <c r="B47" s="2" t="s">
        <v>161</v>
      </c>
      <c r="C47" s="2" t="s">
        <v>111</v>
      </c>
      <c r="D47" s="19"/>
    </row>
    <row r="48" spans="1:4" x14ac:dyDescent="0.35">
      <c r="A48" s="2" t="s">
        <v>46</v>
      </c>
      <c r="B48" s="2" t="s">
        <v>162</v>
      </c>
      <c r="C48" s="2" t="s">
        <v>109</v>
      </c>
      <c r="D48" s="59"/>
    </row>
    <row r="49" spans="1:4" x14ac:dyDescent="0.35">
      <c r="A49" s="2" t="s">
        <v>47</v>
      </c>
      <c r="B49" s="2" t="s">
        <v>163</v>
      </c>
      <c r="C49" s="2" t="s">
        <v>109</v>
      </c>
      <c r="D49" s="19"/>
    </row>
    <row r="50" spans="1:4" x14ac:dyDescent="0.35">
      <c r="A50" s="2" t="s">
        <v>48</v>
      </c>
      <c r="B50" s="2" t="s">
        <v>164</v>
      </c>
      <c r="C50" s="2" t="s">
        <v>113</v>
      </c>
      <c r="D50" s="19"/>
    </row>
    <row r="51" spans="1:4" x14ac:dyDescent="0.35">
      <c r="A51" s="2" t="s">
        <v>49</v>
      </c>
      <c r="B51" s="2" t="s">
        <v>165</v>
      </c>
      <c r="C51" s="2" t="s">
        <v>111</v>
      </c>
      <c r="D51" s="19"/>
    </row>
    <row r="52" spans="1:4" x14ac:dyDescent="0.35">
      <c r="A52" s="2" t="s">
        <v>50</v>
      </c>
      <c r="B52" s="2" t="s">
        <v>166</v>
      </c>
      <c r="C52" s="2" t="s">
        <v>113</v>
      </c>
      <c r="D52" s="19"/>
    </row>
    <row r="53" spans="1:4" x14ac:dyDescent="0.35">
      <c r="A53" s="2" t="s">
        <v>51</v>
      </c>
      <c r="B53" s="2" t="s">
        <v>167</v>
      </c>
      <c r="C53" s="2" t="s">
        <v>125</v>
      </c>
      <c r="D53" s="61">
        <f>0.244/6.25</f>
        <v>3.9039999999999998E-2</v>
      </c>
    </row>
    <row r="54" spans="1:4" x14ac:dyDescent="0.35">
      <c r="A54" s="2" t="s">
        <v>52</v>
      </c>
      <c r="B54" s="2" t="s">
        <v>168</v>
      </c>
      <c r="C54" s="2" t="s">
        <v>111</v>
      </c>
      <c r="D54" s="19"/>
    </row>
    <row r="55" spans="1:4" x14ac:dyDescent="0.35">
      <c r="A55" s="2" t="s">
        <v>53</v>
      </c>
      <c r="B55" s="2" t="s">
        <v>169</v>
      </c>
      <c r="C55" s="2" t="s">
        <v>134</v>
      </c>
      <c r="D55" s="19"/>
    </row>
    <row r="56" spans="1:4" x14ac:dyDescent="0.35">
      <c r="A56" s="2" t="s">
        <v>54</v>
      </c>
      <c r="B56" s="2" t="s">
        <v>170</v>
      </c>
      <c r="C56" s="2" t="s">
        <v>125</v>
      </c>
      <c r="D56" s="61">
        <f>0.22/6.25</f>
        <v>3.5200000000000002E-2</v>
      </c>
    </row>
    <row r="57" spans="1:4" x14ac:dyDescent="0.35">
      <c r="A57" s="2" t="s">
        <v>55</v>
      </c>
      <c r="B57" s="2" t="s">
        <v>171</v>
      </c>
      <c r="C57" s="2" t="s">
        <v>120</v>
      </c>
      <c r="D57" s="19"/>
    </row>
    <row r="58" spans="1:4" x14ac:dyDescent="0.35">
      <c r="A58" s="2" t="s">
        <v>56</v>
      </c>
      <c r="B58" s="2" t="s">
        <v>172</v>
      </c>
      <c r="C58" s="2" t="s">
        <v>113</v>
      </c>
      <c r="D58" s="53"/>
    </row>
    <row r="59" spans="1:4" x14ac:dyDescent="0.35">
      <c r="A59" s="2" t="s">
        <v>57</v>
      </c>
      <c r="B59" s="2" t="s">
        <v>173</v>
      </c>
      <c r="C59" s="2" t="s">
        <v>122</v>
      </c>
      <c r="D59" s="53"/>
    </row>
    <row r="60" spans="1:4" x14ac:dyDescent="0.35">
      <c r="A60" s="2" t="s">
        <v>59</v>
      </c>
      <c r="B60" s="2" t="s">
        <v>176</v>
      </c>
      <c r="C60" s="2" t="s">
        <v>120</v>
      </c>
      <c r="D60" s="19"/>
    </row>
    <row r="61" spans="1:4" x14ac:dyDescent="0.35">
      <c r="A61" s="2" t="s">
        <v>60</v>
      </c>
      <c r="B61" s="2" t="s">
        <v>177</v>
      </c>
      <c r="C61" s="2" t="s">
        <v>178</v>
      </c>
      <c r="D61" s="25"/>
    </row>
    <row r="62" spans="1:4" x14ac:dyDescent="0.35">
      <c r="A62" s="2" t="s">
        <v>61</v>
      </c>
      <c r="B62" s="2" t="s">
        <v>179</v>
      </c>
      <c r="C62" s="2" t="s">
        <v>178</v>
      </c>
      <c r="D62" s="38"/>
    </row>
    <row r="63" spans="1:4" x14ac:dyDescent="0.35">
      <c r="A63" s="2" t="s">
        <v>62</v>
      </c>
      <c r="B63" s="2" t="s">
        <v>180</v>
      </c>
      <c r="C63" s="2" t="s">
        <v>111</v>
      </c>
      <c r="D63" s="19"/>
    </row>
    <row r="64" spans="1:4" x14ac:dyDescent="0.35">
      <c r="A64" s="2" t="s">
        <v>63</v>
      </c>
      <c r="B64" s="2" t="s">
        <v>181</v>
      </c>
      <c r="C64" s="2" t="s">
        <v>113</v>
      </c>
      <c r="D64" s="53"/>
    </row>
    <row r="65" spans="1:4" x14ac:dyDescent="0.35">
      <c r="A65" s="2" t="s">
        <v>64</v>
      </c>
      <c r="B65" s="58" t="s">
        <v>182</v>
      </c>
      <c r="C65" s="2" t="s">
        <v>111</v>
      </c>
      <c r="D65">
        <f>0.021/6.25</f>
        <v>3.3600000000000001E-3</v>
      </c>
    </row>
    <row r="66" spans="1:4" x14ac:dyDescent="0.35">
      <c r="A66" s="2" t="s">
        <v>65</v>
      </c>
      <c r="B66" s="58" t="s">
        <v>183</v>
      </c>
      <c r="C66" s="2" t="s">
        <v>113</v>
      </c>
    </row>
    <row r="67" spans="1:4" x14ac:dyDescent="0.35">
      <c r="A67" s="2" t="s">
        <v>66</v>
      </c>
      <c r="B67" s="58" t="s">
        <v>184</v>
      </c>
      <c r="C67" s="2" t="s">
        <v>185</v>
      </c>
    </row>
    <row r="68" spans="1:4" x14ac:dyDescent="0.35">
      <c r="A68" s="2" t="s">
        <v>67</v>
      </c>
      <c r="B68" s="58" t="s">
        <v>186</v>
      </c>
      <c r="C68" s="2" t="s">
        <v>125</v>
      </c>
      <c r="D68" s="61">
        <f>0.22/6.25</f>
        <v>3.5200000000000002E-2</v>
      </c>
    </row>
    <row r="69" spans="1:4" x14ac:dyDescent="0.35">
      <c r="A69" s="2" t="s">
        <v>68</v>
      </c>
      <c r="B69" s="58" t="s">
        <v>187</v>
      </c>
      <c r="C69" s="2" t="s">
        <v>147</v>
      </c>
    </row>
    <row r="70" spans="1:4" x14ac:dyDescent="0.35">
      <c r="A70" s="2" t="s">
        <v>69</v>
      </c>
      <c r="B70" s="58" t="s">
        <v>188</v>
      </c>
      <c r="C70" s="2" t="s">
        <v>111</v>
      </c>
    </row>
    <row r="71" spans="1:4" x14ac:dyDescent="0.35">
      <c r="A71" s="2" t="s">
        <v>70</v>
      </c>
      <c r="B71" s="2" t="s">
        <v>189</v>
      </c>
      <c r="C71" s="2" t="s">
        <v>113</v>
      </c>
      <c r="D71" s="53"/>
    </row>
    <row r="72" spans="1:4" x14ac:dyDescent="0.35">
      <c r="A72" s="2" t="s">
        <v>71</v>
      </c>
      <c r="B72" s="2" t="s">
        <v>190</v>
      </c>
      <c r="C72" s="2" t="s">
        <v>113</v>
      </c>
      <c r="D72" s="53"/>
    </row>
    <row r="73" spans="1:4" x14ac:dyDescent="0.35">
      <c r="A73" s="2" t="s">
        <v>72</v>
      </c>
      <c r="B73" s="2" t="s">
        <v>191</v>
      </c>
      <c r="C73" s="2" t="s">
        <v>113</v>
      </c>
      <c r="D73" s="19"/>
    </row>
    <row r="74" spans="1:4" x14ac:dyDescent="0.35">
      <c r="A74" s="2" t="s">
        <v>73</v>
      </c>
      <c r="B74" s="2" t="s">
        <v>192</v>
      </c>
      <c r="C74" s="2" t="s">
        <v>130</v>
      </c>
      <c r="D74" s="61">
        <f>0.215/6.25</f>
        <v>3.44E-2</v>
      </c>
    </row>
    <row r="75" spans="1:4" x14ac:dyDescent="0.35">
      <c r="A75" s="2" t="s">
        <v>74</v>
      </c>
      <c r="B75" s="2" t="s">
        <v>193</v>
      </c>
      <c r="C75" s="2" t="s">
        <v>111</v>
      </c>
      <c r="D75">
        <f>0.021/6.25</f>
        <v>3.3600000000000001E-3</v>
      </c>
    </row>
    <row r="76" spans="1:4" x14ac:dyDescent="0.35">
      <c r="A76" s="2" t="s">
        <v>75</v>
      </c>
      <c r="B76" s="2" t="s">
        <v>194</v>
      </c>
      <c r="C76" s="2" t="s">
        <v>113</v>
      </c>
      <c r="D76" s="2"/>
    </row>
    <row r="77" spans="1:4" x14ac:dyDescent="0.35">
      <c r="A77" s="2" t="s">
        <v>76</v>
      </c>
      <c r="B77" s="2" t="s">
        <v>195</v>
      </c>
      <c r="C77" s="2" t="s">
        <v>113</v>
      </c>
    </row>
    <row r="78" spans="1:4" x14ac:dyDescent="0.35">
      <c r="A78" s="2" t="s">
        <v>77</v>
      </c>
      <c r="B78" s="2" t="s">
        <v>196</v>
      </c>
      <c r="C78" s="2" t="s">
        <v>113</v>
      </c>
    </row>
    <row r="79" spans="1:4" x14ac:dyDescent="0.35">
      <c r="A79" s="2" t="s">
        <v>78</v>
      </c>
      <c r="B79" s="2" t="s">
        <v>197</v>
      </c>
      <c r="C79" s="2" t="s">
        <v>134</v>
      </c>
      <c r="D79" s="1"/>
    </row>
    <row r="80" spans="1:4" x14ac:dyDescent="0.35">
      <c r="A80" s="2" t="s">
        <v>79</v>
      </c>
      <c r="B80" s="2" t="s">
        <v>198</v>
      </c>
      <c r="C80" s="2" t="s">
        <v>155</v>
      </c>
    </row>
    <row r="81" spans="1:4" x14ac:dyDescent="0.35">
      <c r="A81" s="2" t="s">
        <v>80</v>
      </c>
      <c r="B81" s="2" t="s">
        <v>199</v>
      </c>
      <c r="C81" s="2" t="s">
        <v>111</v>
      </c>
    </row>
    <row r="82" spans="1:4" x14ac:dyDescent="0.35">
      <c r="A82" s="2" t="s">
        <v>81</v>
      </c>
      <c r="B82" s="2" t="s">
        <v>200</v>
      </c>
      <c r="C82" s="2" t="s">
        <v>201</v>
      </c>
    </row>
    <row r="83" spans="1:4" x14ac:dyDescent="0.35">
      <c r="A83" s="2" t="s">
        <v>82</v>
      </c>
      <c r="B83" s="2" t="s">
        <v>202</v>
      </c>
      <c r="C83" s="2" t="s">
        <v>134</v>
      </c>
      <c r="D83" s="28"/>
    </row>
    <row r="84" spans="1:4" x14ac:dyDescent="0.35">
      <c r="A84" s="2" t="s">
        <v>83</v>
      </c>
      <c r="B84" s="2" t="s">
        <v>203</v>
      </c>
      <c r="C84" s="2" t="s">
        <v>185</v>
      </c>
    </row>
    <row r="85" spans="1:4" x14ac:dyDescent="0.35">
      <c r="A85" s="2" t="s">
        <v>84</v>
      </c>
      <c r="B85" s="2" t="s">
        <v>204</v>
      </c>
      <c r="C85" s="2" t="s">
        <v>185</v>
      </c>
    </row>
    <row r="86" spans="1:4" x14ac:dyDescent="0.35">
      <c r="A86" s="2" t="s">
        <v>85</v>
      </c>
      <c r="B86" s="2" t="s">
        <v>205</v>
      </c>
      <c r="C86" s="2" t="s">
        <v>185</v>
      </c>
    </row>
    <row r="87" spans="1:4" x14ac:dyDescent="0.35">
      <c r="A87" s="2" t="s">
        <v>86</v>
      </c>
      <c r="B87" s="2" t="s">
        <v>206</v>
      </c>
      <c r="C87" s="2" t="s">
        <v>127</v>
      </c>
    </row>
    <row r="88" spans="1:4" x14ac:dyDescent="0.35">
      <c r="A88" s="2" t="s">
        <v>87</v>
      </c>
      <c r="B88" s="2" t="s">
        <v>207</v>
      </c>
      <c r="C88" s="2" t="s">
        <v>122</v>
      </c>
      <c r="D88" s="1"/>
    </row>
    <row r="89" spans="1:4" x14ac:dyDescent="0.35">
      <c r="A89" s="2" t="s">
        <v>88</v>
      </c>
      <c r="B89" s="2" t="s">
        <v>208</v>
      </c>
      <c r="C89" s="2" t="s">
        <v>120</v>
      </c>
    </row>
    <row r="90" spans="1:4" x14ac:dyDescent="0.35">
      <c r="A90" s="2" t="s">
        <v>89</v>
      </c>
      <c r="B90" s="2" t="s">
        <v>209</v>
      </c>
      <c r="C90" s="2" t="s">
        <v>122</v>
      </c>
    </row>
    <row r="91" spans="1:4" x14ac:dyDescent="0.35">
      <c r="A91" s="2" t="s">
        <v>90</v>
      </c>
      <c r="B91" s="2" t="s">
        <v>210</v>
      </c>
      <c r="C91" s="2" t="s">
        <v>113</v>
      </c>
    </row>
    <row r="92" spans="1:4" x14ac:dyDescent="0.35">
      <c r="A92" s="2" t="s">
        <v>91</v>
      </c>
      <c r="B92" s="2" t="s">
        <v>211</v>
      </c>
      <c r="C92" s="2" t="s">
        <v>125</v>
      </c>
      <c r="D92" s="61">
        <f>0.378/6.25</f>
        <v>6.0479999999999999E-2</v>
      </c>
    </row>
    <row r="93" spans="1:4" x14ac:dyDescent="0.35">
      <c r="A93" s="2" t="s">
        <v>92</v>
      </c>
      <c r="B93" s="2" t="s">
        <v>212</v>
      </c>
      <c r="C93" s="2" t="s">
        <v>111</v>
      </c>
    </row>
    <row r="94" spans="1:4" x14ac:dyDescent="0.35">
      <c r="A94" s="2" t="s">
        <v>93</v>
      </c>
      <c r="B94" s="2" t="s">
        <v>213</v>
      </c>
      <c r="C94" s="2" t="s">
        <v>113</v>
      </c>
    </row>
    <row r="95" spans="1:4" x14ac:dyDescent="0.35">
      <c r="A95" s="2" t="s">
        <v>94</v>
      </c>
      <c r="B95" s="2" t="s">
        <v>214</v>
      </c>
      <c r="C95" s="2" t="s">
        <v>215</v>
      </c>
    </row>
    <row r="96" spans="1:4" x14ac:dyDescent="0.35">
      <c r="A96" s="2" t="s">
        <v>95</v>
      </c>
      <c r="B96" s="2" t="s">
        <v>216</v>
      </c>
      <c r="C96" s="2" t="s">
        <v>215</v>
      </c>
    </row>
    <row r="97" spans="1:3" x14ac:dyDescent="0.35">
      <c r="A97" s="2" t="s">
        <v>96</v>
      </c>
      <c r="B97" s="2" t="s">
        <v>217</v>
      </c>
      <c r="C97" s="2" t="s">
        <v>185</v>
      </c>
    </row>
    <row r="98" spans="1:3" x14ac:dyDescent="0.35">
      <c r="A98" s="2" t="s">
        <v>97</v>
      </c>
      <c r="B98" s="2" t="s">
        <v>218</v>
      </c>
      <c r="C98" s="2" t="s">
        <v>155</v>
      </c>
    </row>
    <row r="99" spans="1:3" x14ac:dyDescent="0.35">
      <c r="A99" s="2" t="s">
        <v>98</v>
      </c>
      <c r="B99" s="2" t="s">
        <v>219</v>
      </c>
      <c r="C99" s="2" t="s">
        <v>113</v>
      </c>
    </row>
    <row r="100" spans="1:3" x14ac:dyDescent="0.35">
      <c r="A100" s="2" t="s">
        <v>99</v>
      </c>
      <c r="B100" s="2" t="s">
        <v>220</v>
      </c>
      <c r="C100" s="2" t="s">
        <v>111</v>
      </c>
    </row>
    <row r="101" spans="1:3" x14ac:dyDescent="0.35">
      <c r="A101" s="2" t="s">
        <v>100</v>
      </c>
      <c r="B101" s="2" t="s">
        <v>221</v>
      </c>
      <c r="C101" s="2" t="s">
        <v>111</v>
      </c>
    </row>
    <row r="102" spans="1:3" x14ac:dyDescent="0.35">
      <c r="A102" s="2" t="s">
        <v>101</v>
      </c>
      <c r="B102" s="2" t="s">
        <v>222</v>
      </c>
      <c r="C102" s="2" t="s">
        <v>122</v>
      </c>
    </row>
    <row r="103" spans="1:3" x14ac:dyDescent="0.35">
      <c r="A103" s="2" t="s">
        <v>102</v>
      </c>
      <c r="B103" s="2" t="s">
        <v>223</v>
      </c>
      <c r="C103" s="2" t="s">
        <v>109</v>
      </c>
    </row>
    <row r="104" spans="1:3" x14ac:dyDescent="0.35">
      <c r="A104" s="2" t="s">
        <v>103</v>
      </c>
      <c r="B104" s="2" t="s">
        <v>224</v>
      </c>
      <c r="C104" s="2" t="s">
        <v>113</v>
      </c>
    </row>
    <row r="105" spans="1:3" x14ac:dyDescent="0.35">
      <c r="A105" s="2" t="s">
        <v>104</v>
      </c>
      <c r="B105" s="2" t="s">
        <v>225</v>
      </c>
      <c r="C105" s="2" t="s">
        <v>113</v>
      </c>
    </row>
    <row r="106" spans="1:3" x14ac:dyDescent="0.35">
      <c r="A106" s="2" t="s">
        <v>105</v>
      </c>
      <c r="B106" s="2" t="s">
        <v>226</v>
      </c>
      <c r="C106" s="2" t="s">
        <v>120</v>
      </c>
    </row>
    <row r="107" spans="1:3" x14ac:dyDescent="0.35">
      <c r="A107" s="2" t="s">
        <v>106</v>
      </c>
      <c r="B107" s="2" t="s">
        <v>227</v>
      </c>
      <c r="C107" s="2" t="s">
        <v>122</v>
      </c>
    </row>
    <row r="108" spans="1:3" x14ac:dyDescent="0.35">
      <c r="A108" s="2" t="s">
        <v>107</v>
      </c>
      <c r="B108" s="2" t="s">
        <v>228</v>
      </c>
      <c r="C108" s="2" t="s">
        <v>122</v>
      </c>
    </row>
    <row r="109" spans="1:3" x14ac:dyDescent="0.35">
      <c r="A109" s="2"/>
      <c r="B109" s="2"/>
      <c r="C109" s="2"/>
    </row>
    <row r="110" spans="1:3" x14ac:dyDescent="0.35">
      <c r="A110" s="2"/>
      <c r="B110" s="2"/>
      <c r="C110" s="2"/>
    </row>
    <row r="111" spans="1:3" x14ac:dyDescent="0.35">
      <c r="A111" s="2"/>
      <c r="B111" s="2"/>
      <c r="C111" s="2"/>
    </row>
    <row r="112" spans="1:3"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hyperlinks>
    <hyperlink ref="A3" r:id="rId1" xr:uid="{C879ADC7-81D3-4EBF-86D2-61BB228F73CB}"/>
  </hyperlinks>
  <pageMargins left="0.7" right="0.7" top="0.75" bottom="0.75" header="0.3" footer="0.3"/>
  <pageSetup paperSize="9" orientation="portrait"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433BA-5552-4113-A19A-52B78074BD73}">
  <sheetPr>
    <tabColor theme="6" tint="0.59999389629810485"/>
  </sheetPr>
  <dimension ref="A2:GT115"/>
  <sheetViews>
    <sheetView zoomScale="80" zoomScaleNormal="80" workbookViewId="0">
      <pane xSplit="4" ySplit="5" topLeftCell="AF48" activePane="bottomRight" state="frozen"/>
      <selection pane="topRight" activeCell="E1" sqref="E1"/>
      <selection pane="bottomLeft" activeCell="A6" sqref="A6"/>
      <selection pane="bottomRight" activeCell="A60" sqref="A60:XFD60"/>
    </sheetView>
  </sheetViews>
  <sheetFormatPr defaultRowHeight="14.5" x14ac:dyDescent="0.35"/>
  <cols>
    <col min="2" max="2" width="32.90625" customWidth="1"/>
    <col min="3" max="3" width="15.36328125" customWidth="1"/>
    <col min="4" max="4" width="14.90625" customWidth="1"/>
    <col min="5"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24" t="s">
        <v>433</v>
      </c>
      <c r="K4" s="24" t="s">
        <v>434</v>
      </c>
      <c r="L4" s="24" t="s">
        <v>435</v>
      </c>
      <c r="M4" s="24" t="s">
        <v>436</v>
      </c>
      <c r="N4" s="24" t="s">
        <v>437</v>
      </c>
      <c r="O4" s="24" t="s">
        <v>438</v>
      </c>
      <c r="P4" s="24" t="s">
        <v>439</v>
      </c>
      <c r="Q4" s="24" t="s">
        <v>440</v>
      </c>
      <c r="R4" s="24" t="s">
        <v>441</v>
      </c>
      <c r="S4" s="24" t="s">
        <v>442</v>
      </c>
      <c r="T4" s="24" t="s">
        <v>443</v>
      </c>
      <c r="U4" s="24" t="s">
        <v>444</v>
      </c>
      <c r="V4" s="24" t="s">
        <v>445</v>
      </c>
      <c r="W4" s="24" t="s">
        <v>446</v>
      </c>
      <c r="X4" s="24" t="s">
        <v>447</v>
      </c>
      <c r="Y4" s="24" t="s">
        <v>448</v>
      </c>
      <c r="Z4" s="24" t="s">
        <v>449</v>
      </c>
      <c r="AA4" s="24" t="s">
        <v>450</v>
      </c>
      <c r="AB4" s="24" t="s">
        <v>451</v>
      </c>
      <c r="AC4" s="24"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24" t="s">
        <v>470</v>
      </c>
      <c r="AV4" s="24" t="s">
        <v>471</v>
      </c>
      <c r="AW4" s="24" t="s">
        <v>472</v>
      </c>
      <c r="AX4" s="24" t="s">
        <v>473</v>
      </c>
      <c r="AY4" s="24" t="s">
        <v>474</v>
      </c>
      <c r="AZ4" s="24"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24"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24" t="s">
        <v>594</v>
      </c>
      <c r="FQ4" s="24" t="s">
        <v>595</v>
      </c>
      <c r="FR4" s="24" t="s">
        <v>596</v>
      </c>
      <c r="FS4" s="24" t="s">
        <v>597</v>
      </c>
      <c r="FT4" s="2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26"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26"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t="s">
        <v>669</v>
      </c>
      <c r="L6" s="27"/>
      <c r="AP6" t="s">
        <v>687</v>
      </c>
      <c r="BC6" s="39"/>
      <c r="BD6" s="39"/>
      <c r="GL6" t="s">
        <v>686</v>
      </c>
    </row>
    <row r="7" spans="1:202" x14ac:dyDescent="0.35">
      <c r="A7" s="2" t="s">
        <v>5</v>
      </c>
      <c r="B7" s="2" t="s">
        <v>110</v>
      </c>
      <c r="C7" s="2" t="s">
        <v>111</v>
      </c>
      <c r="D7" t="s">
        <v>690</v>
      </c>
      <c r="AC7" s="29"/>
      <c r="BC7" s="39"/>
      <c r="BD7" s="39"/>
    </row>
    <row r="8" spans="1:202" x14ac:dyDescent="0.35">
      <c r="A8" s="2" t="s">
        <v>6</v>
      </c>
      <c r="B8" s="2" t="s">
        <v>112</v>
      </c>
      <c r="C8" s="2" t="s">
        <v>113</v>
      </c>
      <c r="D8" s="2" t="s">
        <v>401</v>
      </c>
      <c r="BC8" s="40" t="s">
        <v>675</v>
      </c>
      <c r="BD8" s="41" t="s">
        <v>676</v>
      </c>
    </row>
    <row r="9" spans="1:202" x14ac:dyDescent="0.35">
      <c r="A9" s="2" t="s">
        <v>7</v>
      </c>
      <c r="B9" s="2" t="s">
        <v>114</v>
      </c>
      <c r="C9" s="2" t="s">
        <v>113</v>
      </c>
      <c r="D9" s="2" t="s">
        <v>707</v>
      </c>
      <c r="BC9" s="39"/>
      <c r="BD9" s="39"/>
    </row>
    <row r="10" spans="1:202" x14ac:dyDescent="0.35">
      <c r="A10" s="2" t="s">
        <v>8</v>
      </c>
      <c r="B10" s="2" t="s">
        <v>115</v>
      </c>
      <c r="C10" s="2" t="s">
        <v>111</v>
      </c>
      <c r="D10" s="2" t="s">
        <v>691</v>
      </c>
      <c r="BC10" s="40" t="s">
        <v>677</v>
      </c>
      <c r="BD10" s="41" t="s">
        <v>676</v>
      </c>
    </row>
    <row r="11" spans="1:202" x14ac:dyDescent="0.35">
      <c r="A11" s="2" t="s">
        <v>9</v>
      </c>
      <c r="B11" s="2" t="s">
        <v>116</v>
      </c>
      <c r="C11" s="2" t="s">
        <v>111</v>
      </c>
      <c r="D11" s="2" t="s">
        <v>401</v>
      </c>
      <c r="BC11" s="40" t="s">
        <v>677</v>
      </c>
      <c r="BD11" s="41" t="s">
        <v>676</v>
      </c>
    </row>
    <row r="12" spans="1:202" x14ac:dyDescent="0.35">
      <c r="A12" s="2" t="s">
        <v>10</v>
      </c>
      <c r="B12" s="2" t="s">
        <v>117</v>
      </c>
      <c r="C12" s="2" t="s">
        <v>111</v>
      </c>
      <c r="D12" s="2" t="s">
        <v>372</v>
      </c>
      <c r="BC12" s="42"/>
      <c r="BD12" s="42"/>
      <c r="EN12" t="s">
        <v>693</v>
      </c>
    </row>
    <row r="13" spans="1:202" x14ac:dyDescent="0.35">
      <c r="A13" s="2" t="s">
        <v>11</v>
      </c>
      <c r="B13" s="2" t="s">
        <v>118</v>
      </c>
      <c r="C13" s="2" t="s">
        <v>113</v>
      </c>
      <c r="D13" t="s">
        <v>662</v>
      </c>
      <c r="AQ13" t="s">
        <v>652</v>
      </c>
      <c r="AU13" t="s">
        <v>659</v>
      </c>
      <c r="BC13" s="43"/>
      <c r="BD13" s="43"/>
      <c r="BG13" t="s">
        <v>660</v>
      </c>
      <c r="CI13" t="s">
        <v>661</v>
      </c>
    </row>
    <row r="14" spans="1:202" x14ac:dyDescent="0.35">
      <c r="A14" s="2" t="s">
        <v>12</v>
      </c>
      <c r="B14" s="2" t="s">
        <v>119</v>
      </c>
      <c r="C14" s="2" t="s">
        <v>120</v>
      </c>
      <c r="D14" s="2" t="s">
        <v>401</v>
      </c>
      <c r="BC14" s="40"/>
      <c r="BD14" s="41"/>
    </row>
    <row r="15" spans="1:202" x14ac:dyDescent="0.35">
      <c r="A15" s="2" t="s">
        <v>13</v>
      </c>
      <c r="B15" s="2" t="s">
        <v>121</v>
      </c>
      <c r="C15" s="2" t="s">
        <v>122</v>
      </c>
      <c r="D15" s="2" t="s">
        <v>401</v>
      </c>
      <c r="BC15" s="40" t="s">
        <v>677</v>
      </c>
      <c r="BD15" s="41" t="s">
        <v>676</v>
      </c>
    </row>
    <row r="16" spans="1:202" x14ac:dyDescent="0.35">
      <c r="A16" s="2" t="s">
        <v>14</v>
      </c>
      <c r="B16" s="2" t="s">
        <v>123</v>
      </c>
      <c r="C16" s="2" t="s">
        <v>122</v>
      </c>
      <c r="D16" s="2" t="s">
        <v>401</v>
      </c>
      <c r="BC16" s="40" t="s">
        <v>677</v>
      </c>
      <c r="BD16" s="41" t="s">
        <v>676</v>
      </c>
    </row>
    <row r="17" spans="1:172" x14ac:dyDescent="0.35">
      <c r="A17" s="2" t="s">
        <v>15</v>
      </c>
      <c r="B17" s="2" t="s">
        <v>124</v>
      </c>
      <c r="C17" s="2" t="s">
        <v>125</v>
      </c>
      <c r="D17" s="2" t="s">
        <v>401</v>
      </c>
      <c r="BC17" s="40" t="s">
        <v>677</v>
      </c>
      <c r="BD17" s="41" t="s">
        <v>676</v>
      </c>
    </row>
    <row r="18" spans="1:172" x14ac:dyDescent="0.35">
      <c r="A18" s="2" t="s">
        <v>16</v>
      </c>
      <c r="B18" s="2" t="s">
        <v>126</v>
      </c>
      <c r="C18" s="2" t="s">
        <v>127</v>
      </c>
      <c r="D18" s="2" t="s">
        <v>694</v>
      </c>
      <c r="BC18" s="40" t="s">
        <v>675</v>
      </c>
      <c r="BD18" s="41" t="s">
        <v>676</v>
      </c>
    </row>
    <row r="19" spans="1:172" x14ac:dyDescent="0.35">
      <c r="A19" s="2" t="s">
        <v>17</v>
      </c>
      <c r="B19" s="2" t="s">
        <v>128</v>
      </c>
      <c r="C19" s="2" t="s">
        <v>109</v>
      </c>
      <c r="D19" s="2" t="s">
        <v>695</v>
      </c>
      <c r="BC19" s="44"/>
      <c r="BD19" s="44"/>
    </row>
    <row r="20" spans="1:172" x14ac:dyDescent="0.35">
      <c r="A20" s="2" t="s">
        <v>18</v>
      </c>
      <c r="B20" s="2" t="s">
        <v>129</v>
      </c>
      <c r="C20" s="2" t="s">
        <v>130</v>
      </c>
      <c r="D20" s="2" t="s">
        <v>401</v>
      </c>
      <c r="BC20" s="45" t="s">
        <v>678</v>
      </c>
      <c r="BD20" s="46" t="s">
        <v>679</v>
      </c>
    </row>
    <row r="21" spans="1:172" x14ac:dyDescent="0.35">
      <c r="A21" s="2" t="s">
        <v>19</v>
      </c>
      <c r="B21" s="2" t="s">
        <v>131</v>
      </c>
      <c r="C21" s="2" t="s">
        <v>111</v>
      </c>
      <c r="D21" s="2" t="s">
        <v>696</v>
      </c>
      <c r="BC21" s="40" t="s">
        <v>680</v>
      </c>
      <c r="BD21" s="41" t="s">
        <v>676</v>
      </c>
    </row>
    <row r="22" spans="1:172" x14ac:dyDescent="0.35">
      <c r="A22" s="2" t="s">
        <v>20</v>
      </c>
      <c r="B22" s="2" t="s">
        <v>132</v>
      </c>
      <c r="C22" s="2" t="s">
        <v>111</v>
      </c>
      <c r="D22" s="2" t="s">
        <v>401</v>
      </c>
      <c r="BC22" s="40" t="s">
        <v>677</v>
      </c>
      <c r="BD22" s="41" t="s">
        <v>676</v>
      </c>
    </row>
    <row r="23" spans="1:172" x14ac:dyDescent="0.35">
      <c r="A23" s="2" t="s">
        <v>21</v>
      </c>
      <c r="B23" s="2" t="s">
        <v>133</v>
      </c>
      <c r="C23" s="2" t="s">
        <v>134</v>
      </c>
      <c r="D23" s="2" t="s">
        <v>697</v>
      </c>
      <c r="BC23" s="44"/>
      <c r="BD23" s="44"/>
    </row>
    <row r="24" spans="1:172" x14ac:dyDescent="0.35">
      <c r="A24" s="2" t="s">
        <v>22</v>
      </c>
      <c r="B24" s="2" t="s">
        <v>135</v>
      </c>
      <c r="C24" s="2" t="s">
        <v>111</v>
      </c>
      <c r="D24" s="2" t="s">
        <v>401</v>
      </c>
      <c r="BC24" s="40" t="s">
        <v>677</v>
      </c>
      <c r="BD24" s="41" t="s">
        <v>676</v>
      </c>
    </row>
    <row r="25" spans="1:172" x14ac:dyDescent="0.35">
      <c r="A25" s="2" t="s">
        <v>23</v>
      </c>
      <c r="B25" s="2" t="s">
        <v>136</v>
      </c>
      <c r="C25" s="2" t="s">
        <v>113</v>
      </c>
      <c r="D25" s="2" t="s">
        <v>397</v>
      </c>
      <c r="BC25" s="39"/>
      <c r="BD25" s="39"/>
      <c r="FP25" t="s">
        <v>698</v>
      </c>
    </row>
    <row r="26" spans="1:172" x14ac:dyDescent="0.35">
      <c r="A26" s="2" t="s">
        <v>24</v>
      </c>
      <c r="B26" s="2" t="s">
        <v>137</v>
      </c>
      <c r="C26" s="2" t="s">
        <v>111</v>
      </c>
      <c r="D26" s="2" t="s">
        <v>401</v>
      </c>
      <c r="BC26" s="40" t="s">
        <v>677</v>
      </c>
      <c r="BD26" s="41" t="s">
        <v>676</v>
      </c>
    </row>
    <row r="27" spans="1:172" x14ac:dyDescent="0.35">
      <c r="A27" s="2" t="s">
        <v>25</v>
      </c>
      <c r="B27" s="2" t="s">
        <v>138</v>
      </c>
      <c r="C27" s="2" t="s">
        <v>109</v>
      </c>
      <c r="D27" s="2" t="s">
        <v>699</v>
      </c>
      <c r="BC27" s="44"/>
      <c r="BD27" s="44"/>
      <c r="CI27" t="s">
        <v>700</v>
      </c>
    </row>
    <row r="28" spans="1:172" x14ac:dyDescent="0.35">
      <c r="A28" s="2" t="s">
        <v>26</v>
      </c>
      <c r="B28" s="2" t="s">
        <v>139</v>
      </c>
      <c r="C28" s="2" t="s">
        <v>111</v>
      </c>
      <c r="D28" s="2" t="s">
        <v>401</v>
      </c>
      <c r="BC28" s="40" t="s">
        <v>677</v>
      </c>
      <c r="BD28" s="41" t="s">
        <v>676</v>
      </c>
    </row>
    <row r="29" spans="1:172" x14ac:dyDescent="0.35">
      <c r="A29" s="2" t="s">
        <v>27</v>
      </c>
      <c r="B29" s="2" t="s">
        <v>140</v>
      </c>
      <c r="C29" s="2" t="s">
        <v>111</v>
      </c>
      <c r="D29" s="2" t="s">
        <v>401</v>
      </c>
      <c r="BC29" s="39"/>
      <c r="BD29" s="39"/>
    </row>
    <row r="30" spans="1:172" x14ac:dyDescent="0.35">
      <c r="A30" s="2" t="s">
        <v>28</v>
      </c>
      <c r="B30" s="2" t="s">
        <v>141</v>
      </c>
      <c r="C30" s="2" t="s">
        <v>127</v>
      </c>
      <c r="D30" s="2" t="s">
        <v>694</v>
      </c>
      <c r="M30" s="28"/>
      <c r="BC30" s="47"/>
      <c r="BD30" s="47"/>
    </row>
    <row r="31" spans="1:172" x14ac:dyDescent="0.35">
      <c r="A31" s="2" t="s">
        <v>29</v>
      </c>
      <c r="B31" s="2" t="s">
        <v>142</v>
      </c>
      <c r="C31" s="2" t="s">
        <v>109</v>
      </c>
      <c r="D31" s="2" t="s">
        <v>695</v>
      </c>
      <c r="BC31" s="47"/>
      <c r="BD31" s="47"/>
    </row>
    <row r="32" spans="1:172" x14ac:dyDescent="0.35">
      <c r="A32" s="2" t="s">
        <v>30</v>
      </c>
      <c r="B32" s="2" t="s">
        <v>143</v>
      </c>
      <c r="C32" s="2" t="s">
        <v>125</v>
      </c>
      <c r="D32" t="s">
        <v>701</v>
      </c>
      <c r="BC32" s="39"/>
      <c r="BD32" s="39"/>
    </row>
    <row r="33" spans="1:199" x14ac:dyDescent="0.35">
      <c r="A33" s="2" t="s">
        <v>31</v>
      </c>
      <c r="B33" s="2" t="s">
        <v>144</v>
      </c>
      <c r="C33" s="2" t="s">
        <v>145</v>
      </c>
      <c r="D33" s="2" t="s">
        <v>397</v>
      </c>
      <c r="BC33" s="43"/>
      <c r="BD33" s="43"/>
      <c r="FP33" t="s">
        <v>698</v>
      </c>
    </row>
    <row r="34" spans="1:199" x14ac:dyDescent="0.35">
      <c r="A34" s="2" t="s">
        <v>32</v>
      </c>
      <c r="B34" s="2" t="s">
        <v>146</v>
      </c>
      <c r="C34" s="2" t="s">
        <v>147</v>
      </c>
      <c r="D34" s="2" t="s">
        <v>673</v>
      </c>
      <c r="AU34" s="14" t="s">
        <v>643</v>
      </c>
      <c r="AZ34" t="s">
        <v>670</v>
      </c>
      <c r="BC34" s="48"/>
      <c r="BD34" s="48"/>
      <c r="BX34" t="s">
        <v>671</v>
      </c>
      <c r="CJ34" t="s">
        <v>672</v>
      </c>
    </row>
    <row r="35" spans="1:199" x14ac:dyDescent="0.35">
      <c r="A35" s="2" t="s">
        <v>33</v>
      </c>
      <c r="B35" s="2" t="s">
        <v>148</v>
      </c>
      <c r="C35" s="2" t="s">
        <v>109</v>
      </c>
      <c r="D35" t="s">
        <v>674</v>
      </c>
      <c r="BC35" s="48"/>
      <c r="BD35" s="48"/>
    </row>
    <row r="36" spans="1:199" x14ac:dyDescent="0.35">
      <c r="A36" s="2" t="s">
        <v>34</v>
      </c>
      <c r="B36" s="2" t="s">
        <v>149</v>
      </c>
      <c r="C36" s="2" t="s">
        <v>147</v>
      </c>
      <c r="D36" t="s">
        <v>702</v>
      </c>
      <c r="AA36" t="s">
        <v>706</v>
      </c>
      <c r="BC36" s="48"/>
      <c r="BD36" s="48"/>
      <c r="CI36" t="s">
        <v>705</v>
      </c>
      <c r="CJ36" t="s">
        <v>704</v>
      </c>
      <c r="GQ36" t="s">
        <v>703</v>
      </c>
    </row>
    <row r="37" spans="1:199" x14ac:dyDescent="0.35">
      <c r="A37" s="2" t="s">
        <v>35</v>
      </c>
      <c r="B37" s="2" t="s">
        <v>150</v>
      </c>
      <c r="C37" s="2" t="s">
        <v>111</v>
      </c>
      <c r="D37" s="2" t="s">
        <v>401</v>
      </c>
      <c r="BC37" s="40" t="s">
        <v>681</v>
      </c>
      <c r="BD37" s="41" t="s">
        <v>676</v>
      </c>
    </row>
    <row r="38" spans="1:199" x14ac:dyDescent="0.35">
      <c r="A38" s="2" t="s">
        <v>36</v>
      </c>
      <c r="B38" s="2" t="s">
        <v>151</v>
      </c>
      <c r="C38" s="2" t="s">
        <v>111</v>
      </c>
      <c r="D38" s="2" t="s">
        <v>401</v>
      </c>
      <c r="BC38" s="40" t="s">
        <v>677</v>
      </c>
      <c r="BD38" s="41" t="s">
        <v>676</v>
      </c>
    </row>
    <row r="39" spans="1:199" x14ac:dyDescent="0.35">
      <c r="A39" s="2" t="s">
        <v>37</v>
      </c>
      <c r="B39" s="2" t="s">
        <v>152</v>
      </c>
      <c r="C39" s="2" t="s">
        <v>127</v>
      </c>
      <c r="D39" s="2" t="s">
        <v>401</v>
      </c>
      <c r="BC39" s="40" t="s">
        <v>675</v>
      </c>
      <c r="BD39" s="41" t="s">
        <v>676</v>
      </c>
    </row>
    <row r="40" spans="1:199" x14ac:dyDescent="0.35">
      <c r="A40" s="2" t="s">
        <v>38</v>
      </c>
      <c r="B40" s="2" t="s">
        <v>153</v>
      </c>
      <c r="C40" s="2" t="s">
        <v>113</v>
      </c>
      <c r="D40" s="2" t="s">
        <v>709</v>
      </c>
      <c r="BC40" s="39"/>
      <c r="BD40" s="39"/>
    </row>
    <row r="41" spans="1:199" x14ac:dyDescent="0.35">
      <c r="A41" s="2" t="s">
        <v>39</v>
      </c>
      <c r="B41" s="2" t="s">
        <v>154</v>
      </c>
      <c r="C41" s="2" t="s">
        <v>155</v>
      </c>
      <c r="D41" s="2" t="s">
        <v>710</v>
      </c>
      <c r="BC41" s="40" t="s">
        <v>677</v>
      </c>
      <c r="BD41" s="41" t="s">
        <v>676</v>
      </c>
    </row>
    <row r="42" spans="1:199" x14ac:dyDescent="0.35">
      <c r="A42" s="2" t="s">
        <v>40</v>
      </c>
      <c r="B42" s="2" t="s">
        <v>156</v>
      </c>
      <c r="C42" s="2" t="s">
        <v>111</v>
      </c>
      <c r="D42" s="2" t="s">
        <v>691</v>
      </c>
      <c r="BC42" s="39"/>
      <c r="BD42" s="39"/>
    </row>
    <row r="43" spans="1:199" x14ac:dyDescent="0.35">
      <c r="A43" s="2" t="s">
        <v>41</v>
      </c>
      <c r="B43" s="2" t="s">
        <v>157</v>
      </c>
      <c r="C43" s="2" t="s">
        <v>113</v>
      </c>
      <c r="D43" s="2" t="s">
        <v>707</v>
      </c>
      <c r="BC43" s="42"/>
      <c r="BD43" s="42"/>
    </row>
    <row r="44" spans="1:199" x14ac:dyDescent="0.35">
      <c r="A44" s="2" t="s">
        <v>42</v>
      </c>
      <c r="B44" s="2" t="s">
        <v>158</v>
      </c>
      <c r="C44" s="2" t="s">
        <v>127</v>
      </c>
      <c r="D44" s="2" t="s">
        <v>694</v>
      </c>
      <c r="BC44" s="39"/>
      <c r="BD44" s="39"/>
    </row>
    <row r="45" spans="1:199" x14ac:dyDescent="0.35">
      <c r="A45" s="2" t="s">
        <v>43</v>
      </c>
      <c r="B45" s="2" t="s">
        <v>159</v>
      </c>
      <c r="C45" s="2" t="s">
        <v>113</v>
      </c>
      <c r="D45" s="2" t="s">
        <v>712</v>
      </c>
      <c r="BC45" s="39"/>
      <c r="BD45" s="39"/>
    </row>
    <row r="46" spans="1:199" x14ac:dyDescent="0.35">
      <c r="A46" s="2" t="s">
        <v>44</v>
      </c>
      <c r="B46" s="2" t="s">
        <v>160</v>
      </c>
      <c r="C46" s="2" t="s">
        <v>111</v>
      </c>
      <c r="D46" s="2" t="s">
        <v>713</v>
      </c>
      <c r="BC46" s="48"/>
      <c r="BD46" s="48"/>
    </row>
    <row r="47" spans="1:199" x14ac:dyDescent="0.35">
      <c r="A47" s="2" t="s">
        <v>45</v>
      </c>
      <c r="B47" s="2" t="s">
        <v>161</v>
      </c>
      <c r="C47" s="2" t="s">
        <v>111</v>
      </c>
      <c r="D47" s="2" t="s">
        <v>714</v>
      </c>
      <c r="BC47" s="47"/>
      <c r="BD47" s="47"/>
    </row>
    <row r="48" spans="1:199" x14ac:dyDescent="0.35">
      <c r="A48" s="2" t="s">
        <v>46</v>
      </c>
      <c r="B48" s="2" t="s">
        <v>162</v>
      </c>
      <c r="C48" s="2" t="s">
        <v>109</v>
      </c>
      <c r="D48" t="s">
        <v>715</v>
      </c>
      <c r="J48" t="s">
        <v>717</v>
      </c>
      <c r="AP48" t="s">
        <v>716</v>
      </c>
      <c r="BC48" s="47"/>
      <c r="BD48" s="47"/>
      <c r="CI48" t="s">
        <v>718</v>
      </c>
    </row>
    <row r="49" spans="1:176" x14ac:dyDescent="0.35">
      <c r="A49" s="2" t="s">
        <v>47</v>
      </c>
      <c r="B49" s="2" t="s">
        <v>163</v>
      </c>
      <c r="C49" s="2" t="s">
        <v>109</v>
      </c>
      <c r="D49" s="2" t="s">
        <v>695</v>
      </c>
      <c r="BC49" s="47"/>
      <c r="BD49" s="47"/>
    </row>
    <row r="50" spans="1:176" x14ac:dyDescent="0.35">
      <c r="A50" s="2" t="s">
        <v>48</v>
      </c>
      <c r="B50" s="2" t="s">
        <v>164</v>
      </c>
      <c r="C50" s="2" t="s">
        <v>113</v>
      </c>
      <c r="D50" t="s">
        <v>318</v>
      </c>
      <c r="BC50" s="42"/>
      <c r="BD50" s="42"/>
      <c r="CO50" t="s">
        <v>720</v>
      </c>
    </row>
    <row r="51" spans="1:176" x14ac:dyDescent="0.35">
      <c r="A51" s="2" t="s">
        <v>49</v>
      </c>
      <c r="B51" s="2" t="s">
        <v>165</v>
      </c>
      <c r="C51" s="2" t="s">
        <v>111</v>
      </c>
      <c r="D51" s="2" t="s">
        <v>401</v>
      </c>
      <c r="BC51" s="40" t="s">
        <v>677</v>
      </c>
      <c r="BD51" s="41" t="s">
        <v>676</v>
      </c>
    </row>
    <row r="52" spans="1:176" x14ac:dyDescent="0.35">
      <c r="A52" s="2" t="s">
        <v>50</v>
      </c>
      <c r="B52" s="2" t="s">
        <v>166</v>
      </c>
      <c r="C52" s="2" t="s">
        <v>113</v>
      </c>
      <c r="D52" s="2" t="s">
        <v>397</v>
      </c>
      <c r="BC52" s="47"/>
      <c r="BD52" s="47"/>
      <c r="FP52" t="s">
        <v>698</v>
      </c>
    </row>
    <row r="53" spans="1:176" x14ac:dyDescent="0.35">
      <c r="A53" s="2" t="s">
        <v>51</v>
      </c>
      <c r="B53" s="2" t="s">
        <v>167</v>
      </c>
      <c r="C53" s="2" t="s">
        <v>125</v>
      </c>
      <c r="D53" s="2" t="s">
        <v>401</v>
      </c>
      <c r="BC53" s="47"/>
      <c r="BD53" s="47"/>
      <c r="FT53" t="s">
        <v>721</v>
      </c>
    </row>
    <row r="54" spans="1:176" x14ac:dyDescent="0.35">
      <c r="A54" s="2" t="s">
        <v>52</v>
      </c>
      <c r="B54" s="2" t="s">
        <v>168</v>
      </c>
      <c r="C54" s="2" t="s">
        <v>111</v>
      </c>
      <c r="D54" s="2" t="s">
        <v>401</v>
      </c>
      <c r="BC54" s="40" t="s">
        <v>677</v>
      </c>
      <c r="BD54" s="41" t="s">
        <v>676</v>
      </c>
    </row>
    <row r="55" spans="1:176" x14ac:dyDescent="0.35">
      <c r="A55" s="2" t="s">
        <v>53</v>
      </c>
      <c r="B55" s="2" t="s">
        <v>169</v>
      </c>
      <c r="C55" s="2" t="s">
        <v>134</v>
      </c>
      <c r="D55" s="2" t="s">
        <v>401</v>
      </c>
      <c r="BC55" s="47"/>
      <c r="BD55" s="47"/>
    </row>
    <row r="56" spans="1:176" x14ac:dyDescent="0.35">
      <c r="A56" s="2" t="s">
        <v>54</v>
      </c>
      <c r="B56" s="2" t="s">
        <v>170</v>
      </c>
      <c r="C56" s="2" t="s">
        <v>125</v>
      </c>
      <c r="D56" s="2" t="s">
        <v>701</v>
      </c>
      <c r="BC56" s="40" t="s">
        <v>677</v>
      </c>
      <c r="BD56" s="41" t="s">
        <v>676</v>
      </c>
    </row>
    <row r="57" spans="1:176" x14ac:dyDescent="0.35">
      <c r="A57" s="2" t="s">
        <v>55</v>
      </c>
      <c r="B57" s="2" t="s">
        <v>171</v>
      </c>
      <c r="C57" s="2" t="s">
        <v>120</v>
      </c>
      <c r="D57" s="2" t="s">
        <v>401</v>
      </c>
      <c r="BC57" s="45" t="s">
        <v>678</v>
      </c>
      <c r="BD57" s="41" t="s">
        <v>676</v>
      </c>
    </row>
    <row r="58" spans="1:176" x14ac:dyDescent="0.35">
      <c r="A58" s="2" t="s">
        <v>56</v>
      </c>
      <c r="B58" s="2" t="s">
        <v>172</v>
      </c>
      <c r="C58" s="2" t="s">
        <v>113</v>
      </c>
      <c r="D58" s="2" t="s">
        <v>234</v>
      </c>
      <c r="AA58" t="s">
        <v>723</v>
      </c>
      <c r="BC58" s="48"/>
      <c r="BD58" s="48"/>
    </row>
    <row r="59" spans="1:176" x14ac:dyDescent="0.35">
      <c r="A59" s="2" t="s">
        <v>57</v>
      </c>
      <c r="B59" s="2" t="s">
        <v>173</v>
      </c>
      <c r="C59" s="2" t="s">
        <v>122</v>
      </c>
      <c r="D59" t="s">
        <v>312</v>
      </c>
      <c r="BC59" s="47"/>
      <c r="BD59" s="47"/>
      <c r="CI59" t="s">
        <v>724</v>
      </c>
    </row>
    <row r="60" spans="1:176" x14ac:dyDescent="0.35">
      <c r="A60" s="2" t="s">
        <v>59</v>
      </c>
      <c r="B60" s="2" t="s">
        <v>176</v>
      </c>
      <c r="C60" s="2" t="s">
        <v>120</v>
      </c>
      <c r="D60" s="2" t="s">
        <v>401</v>
      </c>
      <c r="BC60" s="40" t="s">
        <v>677</v>
      </c>
      <c r="BD60" s="41" t="s">
        <v>676</v>
      </c>
    </row>
    <row r="61" spans="1:176" x14ac:dyDescent="0.35">
      <c r="A61" s="2" t="s">
        <v>60</v>
      </c>
      <c r="B61" s="2" t="s">
        <v>177</v>
      </c>
      <c r="C61" s="2" t="s">
        <v>178</v>
      </c>
      <c r="D61" s="2" t="s">
        <v>313</v>
      </c>
      <c r="BC61" s="48"/>
      <c r="BD61" s="48"/>
      <c r="CJ61" t="s">
        <v>725</v>
      </c>
    </row>
    <row r="62" spans="1:176" x14ac:dyDescent="0.35">
      <c r="A62" s="2" t="s">
        <v>61</v>
      </c>
      <c r="B62" s="2" t="s">
        <v>179</v>
      </c>
      <c r="C62" s="2" t="s">
        <v>178</v>
      </c>
      <c r="D62" t="s">
        <v>668</v>
      </c>
      <c r="BC62" s="47"/>
      <c r="BD62" s="47"/>
      <c r="CO62" t="s">
        <v>726</v>
      </c>
      <c r="FP62" t="s">
        <v>665</v>
      </c>
    </row>
    <row r="63" spans="1:176" x14ac:dyDescent="0.35">
      <c r="A63" s="2" t="s">
        <v>62</v>
      </c>
      <c r="B63" s="2" t="s">
        <v>180</v>
      </c>
      <c r="C63" s="2" t="s">
        <v>111</v>
      </c>
      <c r="D63" s="2" t="s">
        <v>401</v>
      </c>
      <c r="BC63" s="40" t="s">
        <v>677</v>
      </c>
      <c r="BD63" s="41" t="s">
        <v>676</v>
      </c>
    </row>
    <row r="64" spans="1:176" x14ac:dyDescent="0.35">
      <c r="A64" s="2" t="s">
        <v>63</v>
      </c>
      <c r="B64" s="2" t="s">
        <v>181</v>
      </c>
      <c r="C64" s="2" t="s">
        <v>113</v>
      </c>
      <c r="D64" s="2" t="s">
        <v>397</v>
      </c>
      <c r="BC64" s="47"/>
      <c r="BD64" s="47"/>
      <c r="FP64" t="s">
        <v>698</v>
      </c>
    </row>
    <row r="65" spans="1:176" x14ac:dyDescent="0.35">
      <c r="A65" s="2" t="s">
        <v>64</v>
      </c>
      <c r="B65" s="58" t="s">
        <v>182</v>
      </c>
      <c r="C65" s="2" t="s">
        <v>111</v>
      </c>
      <c r="D65" t="s">
        <v>730</v>
      </c>
      <c r="BC65" s="40" t="s">
        <v>682</v>
      </c>
      <c r="BD65" s="41" t="s">
        <v>676</v>
      </c>
    </row>
    <row r="66" spans="1:176" x14ac:dyDescent="0.35">
      <c r="A66" s="2" t="s">
        <v>65</v>
      </c>
      <c r="B66" s="58" t="s">
        <v>183</v>
      </c>
      <c r="C66" s="2" t="s">
        <v>113</v>
      </c>
      <c r="D66" s="2" t="s">
        <v>731</v>
      </c>
      <c r="BC66" s="40" t="s">
        <v>675</v>
      </c>
      <c r="BD66" s="41" t="s">
        <v>676</v>
      </c>
    </row>
    <row r="67" spans="1:176" x14ac:dyDescent="0.35">
      <c r="A67" s="2" t="s">
        <v>66</v>
      </c>
      <c r="B67" s="58" t="s">
        <v>184</v>
      </c>
      <c r="C67" s="2" t="s">
        <v>185</v>
      </c>
      <c r="D67" s="2" t="s">
        <v>732</v>
      </c>
      <c r="BC67" s="40" t="s">
        <v>683</v>
      </c>
      <c r="BD67" s="41" t="s">
        <v>676</v>
      </c>
    </row>
    <row r="68" spans="1:176" x14ac:dyDescent="0.35">
      <c r="A68" s="2" t="s">
        <v>67</v>
      </c>
      <c r="B68" s="58" t="s">
        <v>186</v>
      </c>
      <c r="C68" s="2" t="s">
        <v>125</v>
      </c>
      <c r="D68" s="2" t="s">
        <v>733</v>
      </c>
      <c r="BC68" s="40" t="s">
        <v>684</v>
      </c>
      <c r="BD68" s="41" t="s">
        <v>676</v>
      </c>
    </row>
    <row r="69" spans="1:176" x14ac:dyDescent="0.35">
      <c r="A69" s="2" t="s">
        <v>68</v>
      </c>
      <c r="B69" s="58" t="s">
        <v>187</v>
      </c>
      <c r="C69" s="2" t="s">
        <v>147</v>
      </c>
      <c r="D69" s="2" t="s">
        <v>735</v>
      </c>
      <c r="BC69" s="39"/>
      <c r="BD69" s="39"/>
    </row>
    <row r="70" spans="1:176" x14ac:dyDescent="0.35">
      <c r="A70" s="2" t="s">
        <v>69</v>
      </c>
      <c r="B70" s="58" t="s">
        <v>188</v>
      </c>
      <c r="C70" s="2" t="s">
        <v>111</v>
      </c>
      <c r="D70" s="2" t="s">
        <v>691</v>
      </c>
      <c r="BC70" s="40" t="s">
        <v>683</v>
      </c>
      <c r="BD70" s="41" t="s">
        <v>676</v>
      </c>
    </row>
    <row r="71" spans="1:176" x14ac:dyDescent="0.35">
      <c r="A71" s="2" t="s">
        <v>70</v>
      </c>
      <c r="B71" s="2" t="s">
        <v>189</v>
      </c>
      <c r="C71" s="2" t="s">
        <v>113</v>
      </c>
      <c r="D71" s="2" t="s">
        <v>234</v>
      </c>
      <c r="AA71" t="s">
        <v>727</v>
      </c>
      <c r="BC71" s="48"/>
      <c r="BD71" s="48"/>
    </row>
    <row r="72" spans="1:176" x14ac:dyDescent="0.35">
      <c r="A72" s="2" t="s">
        <v>71</v>
      </c>
      <c r="B72" s="2" t="s">
        <v>190</v>
      </c>
      <c r="C72" s="2" t="s">
        <v>113</v>
      </c>
      <c r="D72" s="2" t="s">
        <v>397</v>
      </c>
      <c r="BC72" s="49"/>
      <c r="BD72" s="49"/>
      <c r="FP72" t="s">
        <v>698</v>
      </c>
    </row>
    <row r="73" spans="1:176" x14ac:dyDescent="0.35">
      <c r="A73" s="2" t="s">
        <v>72</v>
      </c>
      <c r="B73" s="2" t="s">
        <v>191</v>
      </c>
      <c r="C73" s="2" t="s">
        <v>113</v>
      </c>
      <c r="D73" s="2" t="s">
        <v>401</v>
      </c>
      <c r="BC73" s="40" t="s">
        <v>675</v>
      </c>
      <c r="BD73" s="41" t="s">
        <v>676</v>
      </c>
      <c r="FT73" t="s">
        <v>736</v>
      </c>
    </row>
    <row r="74" spans="1:176" x14ac:dyDescent="0.35">
      <c r="A74" s="2" t="s">
        <v>73</v>
      </c>
      <c r="B74" s="2" t="s">
        <v>192</v>
      </c>
      <c r="C74" s="2" t="s">
        <v>130</v>
      </c>
      <c r="D74" s="2" t="s">
        <v>401</v>
      </c>
      <c r="BC74" s="45" t="s">
        <v>678</v>
      </c>
      <c r="BD74" s="46" t="s">
        <v>679</v>
      </c>
    </row>
    <row r="75" spans="1:176" x14ac:dyDescent="0.35">
      <c r="A75" s="2" t="s">
        <v>74</v>
      </c>
      <c r="B75" s="2" t="s">
        <v>193</v>
      </c>
      <c r="C75" s="2" t="s">
        <v>111</v>
      </c>
      <c r="D75" s="2" t="s">
        <v>401</v>
      </c>
      <c r="BC75" s="40" t="s">
        <v>677</v>
      </c>
      <c r="BD75" s="41" t="s">
        <v>676</v>
      </c>
    </row>
    <row r="76" spans="1:176" x14ac:dyDescent="0.35">
      <c r="A76" s="2" t="s">
        <v>75</v>
      </c>
      <c r="B76" s="2" t="s">
        <v>194</v>
      </c>
      <c r="C76" s="2" t="s">
        <v>113</v>
      </c>
      <c r="D76" s="2" t="s">
        <v>273</v>
      </c>
      <c r="AU76" t="s">
        <v>737</v>
      </c>
      <c r="BC76" s="48"/>
      <c r="BD76" s="48"/>
    </row>
    <row r="77" spans="1:176" x14ac:dyDescent="0.35">
      <c r="A77" s="2" t="s">
        <v>76</v>
      </c>
      <c r="B77" s="2" t="s">
        <v>195</v>
      </c>
      <c r="C77" s="2" t="s">
        <v>113</v>
      </c>
      <c r="D77" s="2" t="s">
        <v>401</v>
      </c>
      <c r="BC77" s="47"/>
      <c r="BD77" s="47"/>
    </row>
    <row r="78" spans="1:176" x14ac:dyDescent="0.35">
      <c r="A78" s="2" t="s">
        <v>77</v>
      </c>
      <c r="B78" s="2" t="s">
        <v>196</v>
      </c>
      <c r="C78" s="2" t="s">
        <v>113</v>
      </c>
      <c r="D78" s="2" t="s">
        <v>707</v>
      </c>
      <c r="BC78" s="47"/>
      <c r="BD78" s="47"/>
    </row>
    <row r="79" spans="1:176" x14ac:dyDescent="0.35">
      <c r="A79" s="2" t="s">
        <v>78</v>
      </c>
      <c r="B79" s="2" t="s">
        <v>197</v>
      </c>
      <c r="C79" s="2" t="s">
        <v>134</v>
      </c>
      <c r="D79" s="2" t="s">
        <v>738</v>
      </c>
      <c r="BC79" s="47"/>
      <c r="BD79" s="47"/>
    </row>
    <row r="80" spans="1:176" x14ac:dyDescent="0.35">
      <c r="A80" s="2" t="s">
        <v>79</v>
      </c>
      <c r="B80" s="2" t="s">
        <v>198</v>
      </c>
      <c r="C80" s="2" t="s">
        <v>155</v>
      </c>
      <c r="D80" s="2" t="s">
        <v>401</v>
      </c>
      <c r="BC80" s="40" t="s">
        <v>677</v>
      </c>
      <c r="BD80" s="41" t="s">
        <v>676</v>
      </c>
    </row>
    <row r="81" spans="1:199" x14ac:dyDescent="0.35">
      <c r="A81" s="2" t="s">
        <v>80</v>
      </c>
      <c r="B81" s="2" t="s">
        <v>199</v>
      </c>
      <c r="C81" s="2" t="s">
        <v>111</v>
      </c>
      <c r="D81" s="2" t="s">
        <v>401</v>
      </c>
      <c r="BC81" s="39"/>
      <c r="BD81" s="39"/>
    </row>
    <row r="82" spans="1:199" x14ac:dyDescent="0.35">
      <c r="A82" s="2" t="s">
        <v>81</v>
      </c>
      <c r="B82" s="2" t="s">
        <v>200</v>
      </c>
      <c r="C82" s="2" t="s">
        <v>201</v>
      </c>
      <c r="D82" s="2" t="s">
        <v>731</v>
      </c>
      <c r="BC82" s="42"/>
      <c r="BD82" s="42"/>
    </row>
    <row r="83" spans="1:199" x14ac:dyDescent="0.35">
      <c r="A83" s="2" t="s">
        <v>82</v>
      </c>
      <c r="B83" s="2" t="s">
        <v>202</v>
      </c>
      <c r="C83" s="2" t="s">
        <v>134</v>
      </c>
      <c r="D83" s="2" t="s">
        <v>740</v>
      </c>
      <c r="BC83" s="48"/>
      <c r="BD83" s="48"/>
    </row>
    <row r="84" spans="1:199" x14ac:dyDescent="0.35">
      <c r="A84" s="2" t="s">
        <v>83</v>
      </c>
      <c r="B84" s="2" t="s">
        <v>203</v>
      </c>
      <c r="C84" s="2" t="s">
        <v>185</v>
      </c>
      <c r="D84" s="2" t="s">
        <v>401</v>
      </c>
      <c r="BC84" s="40"/>
      <c r="BD84" s="41"/>
    </row>
    <row r="85" spans="1:199" x14ac:dyDescent="0.35">
      <c r="A85" s="2" t="s">
        <v>84</v>
      </c>
      <c r="B85" s="2" t="s">
        <v>204</v>
      </c>
      <c r="C85" s="2" t="s">
        <v>185</v>
      </c>
      <c r="D85" s="2" t="s">
        <v>401</v>
      </c>
      <c r="BC85" s="40" t="s">
        <v>677</v>
      </c>
      <c r="BD85" s="41" t="s">
        <v>676</v>
      </c>
    </row>
    <row r="86" spans="1:199" x14ac:dyDescent="0.35">
      <c r="A86" s="2" t="s">
        <v>85</v>
      </c>
      <c r="B86" s="2" t="s">
        <v>205</v>
      </c>
      <c r="C86" s="2" t="s">
        <v>185</v>
      </c>
      <c r="D86" s="2" t="s">
        <v>401</v>
      </c>
      <c r="BC86" s="40" t="s">
        <v>677</v>
      </c>
      <c r="BD86" s="41" t="s">
        <v>676</v>
      </c>
    </row>
    <row r="87" spans="1:199" x14ac:dyDescent="0.35">
      <c r="A87" s="2" t="s">
        <v>86</v>
      </c>
      <c r="B87" s="2" t="s">
        <v>206</v>
      </c>
      <c r="C87" s="2" t="s">
        <v>127</v>
      </c>
      <c r="D87" s="2" t="s">
        <v>401</v>
      </c>
      <c r="BC87" s="39"/>
      <c r="BD87" s="39"/>
    </row>
    <row r="88" spans="1:199" x14ac:dyDescent="0.35">
      <c r="A88" s="2" t="s">
        <v>87</v>
      </c>
      <c r="B88" s="2" t="s">
        <v>207</v>
      </c>
      <c r="C88" s="2" t="s">
        <v>122</v>
      </c>
      <c r="D88" s="2" t="s">
        <v>743</v>
      </c>
      <c r="AA88" t="s">
        <v>742</v>
      </c>
      <c r="AC88" t="s">
        <v>742</v>
      </c>
      <c r="BC88" s="42"/>
      <c r="BD88" s="42"/>
      <c r="BR88" t="s">
        <v>742</v>
      </c>
      <c r="BY88" t="s">
        <v>742</v>
      </c>
      <c r="CI88" t="s">
        <v>742</v>
      </c>
      <c r="CO88" t="s">
        <v>742</v>
      </c>
      <c r="DU88" t="s">
        <v>742</v>
      </c>
      <c r="EI88" t="s">
        <v>742</v>
      </c>
      <c r="EQ88" t="s">
        <v>742</v>
      </c>
      <c r="FP88" t="s">
        <v>742</v>
      </c>
      <c r="FX88" t="s">
        <v>742</v>
      </c>
      <c r="GM88" t="s">
        <v>742</v>
      </c>
      <c r="GQ88" t="s">
        <v>742</v>
      </c>
    </row>
    <row r="89" spans="1:199" x14ac:dyDescent="0.35">
      <c r="A89" s="2" t="s">
        <v>88</v>
      </c>
      <c r="B89" s="2" t="s">
        <v>208</v>
      </c>
      <c r="C89" s="2" t="s">
        <v>120</v>
      </c>
      <c r="D89" s="2" t="s">
        <v>401</v>
      </c>
      <c r="BC89" s="40" t="s">
        <v>677</v>
      </c>
      <c r="BD89" s="41" t="s">
        <v>676</v>
      </c>
    </row>
    <row r="90" spans="1:199" x14ac:dyDescent="0.35">
      <c r="A90" s="2" t="s">
        <v>89</v>
      </c>
      <c r="B90" s="2" t="s">
        <v>209</v>
      </c>
      <c r="C90" s="2" t="s">
        <v>122</v>
      </c>
      <c r="D90" s="2" t="s">
        <v>743</v>
      </c>
      <c r="J90" t="s">
        <v>742</v>
      </c>
      <c r="AC90" t="s">
        <v>744</v>
      </c>
      <c r="BC90" s="47"/>
      <c r="BD90" s="47"/>
      <c r="BR90" t="s">
        <v>744</v>
      </c>
      <c r="CI90" t="s">
        <v>744</v>
      </c>
      <c r="CO90" t="s">
        <v>744</v>
      </c>
      <c r="EV90" t="s">
        <v>744</v>
      </c>
      <c r="EW90" t="s">
        <v>744</v>
      </c>
      <c r="GH90" t="s">
        <v>744</v>
      </c>
      <c r="GL90" t="s">
        <v>744</v>
      </c>
    </row>
    <row r="91" spans="1:199" x14ac:dyDescent="0.35">
      <c r="A91" s="2" t="s">
        <v>90</v>
      </c>
      <c r="B91" s="2" t="s">
        <v>210</v>
      </c>
      <c r="C91" s="2" t="s">
        <v>113</v>
      </c>
      <c r="D91" s="2" t="s">
        <v>745</v>
      </c>
      <c r="BC91" s="45" t="s">
        <v>678</v>
      </c>
      <c r="BD91" s="46" t="s">
        <v>679</v>
      </c>
    </row>
    <row r="92" spans="1:199" x14ac:dyDescent="0.35">
      <c r="A92" s="2" t="s">
        <v>91</v>
      </c>
      <c r="B92" s="2" t="s">
        <v>211</v>
      </c>
      <c r="C92" s="2" t="s">
        <v>125</v>
      </c>
      <c r="D92" s="2" t="s">
        <v>743</v>
      </c>
      <c r="M92" t="s">
        <v>742</v>
      </c>
      <c r="AA92" s="27"/>
      <c r="AI92" t="s">
        <v>742</v>
      </c>
      <c r="AV92" t="s">
        <v>742</v>
      </c>
      <c r="AY92" t="s">
        <v>742</v>
      </c>
      <c r="BC92" s="47"/>
      <c r="BD92" s="47"/>
      <c r="BR92" t="s">
        <v>742</v>
      </c>
      <c r="BW92" t="s">
        <v>742</v>
      </c>
      <c r="CG92" t="s">
        <v>742</v>
      </c>
      <c r="CO92" t="s">
        <v>742</v>
      </c>
      <c r="EP92" t="s">
        <v>742</v>
      </c>
      <c r="EV92" t="s">
        <v>742</v>
      </c>
      <c r="FJ92" t="s">
        <v>742</v>
      </c>
      <c r="GH92" t="s">
        <v>742</v>
      </c>
      <c r="GL92" t="s">
        <v>742</v>
      </c>
    </row>
    <row r="93" spans="1:199" x14ac:dyDescent="0.35">
      <c r="A93" s="2" t="s">
        <v>92</v>
      </c>
      <c r="B93" s="2" t="s">
        <v>212</v>
      </c>
      <c r="C93" s="2" t="s">
        <v>111</v>
      </c>
      <c r="D93" s="2" t="s">
        <v>401</v>
      </c>
      <c r="BC93" s="40" t="s">
        <v>677</v>
      </c>
      <c r="BD93" s="41" t="s">
        <v>676</v>
      </c>
    </row>
    <row r="94" spans="1:199" x14ac:dyDescent="0.35">
      <c r="A94" s="2" t="s">
        <v>93</v>
      </c>
      <c r="B94" s="2" t="s">
        <v>213</v>
      </c>
      <c r="C94" s="2" t="s">
        <v>113</v>
      </c>
      <c r="D94" s="2" t="s">
        <v>401</v>
      </c>
      <c r="BC94" s="40" t="s">
        <v>675</v>
      </c>
      <c r="BD94" s="41" t="s">
        <v>676</v>
      </c>
    </row>
    <row r="95" spans="1:199" x14ac:dyDescent="0.35">
      <c r="A95" s="2" t="s">
        <v>94</v>
      </c>
      <c r="B95" s="2" t="s">
        <v>214</v>
      </c>
      <c r="C95" s="2" t="s">
        <v>215</v>
      </c>
      <c r="D95" s="2" t="s">
        <v>401</v>
      </c>
      <c r="BC95" s="40" t="s">
        <v>677</v>
      </c>
      <c r="BD95" s="41" t="s">
        <v>676</v>
      </c>
    </row>
    <row r="96" spans="1:199" x14ac:dyDescent="0.35">
      <c r="A96" s="2" t="s">
        <v>95</v>
      </c>
      <c r="B96" s="2" t="s">
        <v>216</v>
      </c>
      <c r="C96" s="2" t="s">
        <v>215</v>
      </c>
      <c r="D96" s="2" t="s">
        <v>234</v>
      </c>
      <c r="AA96" t="s">
        <v>742</v>
      </c>
      <c r="BC96" s="47"/>
      <c r="BD96" s="47"/>
    </row>
    <row r="97" spans="1:190" x14ac:dyDescent="0.35">
      <c r="A97" s="2" t="s">
        <v>96</v>
      </c>
      <c r="B97" s="2" t="s">
        <v>217</v>
      </c>
      <c r="C97" s="2" t="s">
        <v>185</v>
      </c>
      <c r="D97" s="2" t="s">
        <v>743</v>
      </c>
      <c r="J97" t="s">
        <v>742</v>
      </c>
      <c r="AC97" t="s">
        <v>742</v>
      </c>
      <c r="BC97" s="40" t="s">
        <v>677</v>
      </c>
      <c r="BD97" s="41" t="s">
        <v>676</v>
      </c>
      <c r="BR97" t="s">
        <v>742</v>
      </c>
      <c r="BW97" t="s">
        <v>742</v>
      </c>
      <c r="CG97" t="s">
        <v>742</v>
      </c>
      <c r="EV97" t="s">
        <v>742</v>
      </c>
      <c r="GH97" t="s">
        <v>742</v>
      </c>
    </row>
    <row r="98" spans="1:190" x14ac:dyDescent="0.35">
      <c r="A98" s="2" t="s">
        <v>97</v>
      </c>
      <c r="B98" s="2" t="s">
        <v>218</v>
      </c>
      <c r="C98" s="2" t="s">
        <v>155</v>
      </c>
      <c r="D98" s="2" t="s">
        <v>402</v>
      </c>
      <c r="AP98" t="s">
        <v>747</v>
      </c>
      <c r="BC98" s="50"/>
      <c r="BD98" s="50"/>
    </row>
    <row r="99" spans="1:190" x14ac:dyDescent="0.35">
      <c r="A99" s="2" t="s">
        <v>98</v>
      </c>
      <c r="B99" s="2" t="s">
        <v>219</v>
      </c>
      <c r="C99" s="2" t="s">
        <v>113</v>
      </c>
      <c r="D99" s="2" t="s">
        <v>707</v>
      </c>
      <c r="BC99" s="47"/>
      <c r="BD99" s="47"/>
    </row>
    <row r="100" spans="1:190" x14ac:dyDescent="0.35">
      <c r="A100" s="2" t="s">
        <v>99</v>
      </c>
      <c r="B100" s="2" t="s">
        <v>220</v>
      </c>
      <c r="C100" s="2" t="s">
        <v>111</v>
      </c>
      <c r="D100" s="2" t="s">
        <v>401</v>
      </c>
      <c r="BC100" s="48" t="s">
        <v>681</v>
      </c>
      <c r="BD100" s="41" t="s">
        <v>676</v>
      </c>
    </row>
    <row r="101" spans="1:190" x14ac:dyDescent="0.35">
      <c r="A101" s="2" t="s">
        <v>100</v>
      </c>
      <c r="B101" s="2" t="s">
        <v>221</v>
      </c>
      <c r="C101" s="2" t="s">
        <v>111</v>
      </c>
      <c r="D101" s="2" t="s">
        <v>749</v>
      </c>
      <c r="BC101" s="40" t="s">
        <v>685</v>
      </c>
      <c r="BD101" s="41" t="s">
        <v>676</v>
      </c>
    </row>
    <row r="102" spans="1:190" x14ac:dyDescent="0.35">
      <c r="A102" s="2" t="s">
        <v>101</v>
      </c>
      <c r="B102" s="2" t="s">
        <v>222</v>
      </c>
      <c r="C102" s="2" t="s">
        <v>122</v>
      </c>
      <c r="D102" s="2" t="s">
        <v>401</v>
      </c>
      <c r="BC102" s="45" t="s">
        <v>678</v>
      </c>
      <c r="BD102" s="46" t="s">
        <v>679</v>
      </c>
    </row>
    <row r="103" spans="1:190" x14ac:dyDescent="0.35">
      <c r="A103" s="2" t="s">
        <v>102</v>
      </c>
      <c r="B103" s="2" t="s">
        <v>223</v>
      </c>
      <c r="C103" s="2" t="s">
        <v>109</v>
      </c>
      <c r="D103" s="2" t="s">
        <v>695</v>
      </c>
      <c r="BC103" s="47"/>
      <c r="BD103" s="47"/>
    </row>
    <row r="104" spans="1:190" x14ac:dyDescent="0.35">
      <c r="A104" s="2" t="s">
        <v>103</v>
      </c>
      <c r="B104" s="2" t="s">
        <v>224</v>
      </c>
      <c r="C104" s="2" t="s">
        <v>113</v>
      </c>
      <c r="D104" s="2" t="s">
        <v>750</v>
      </c>
      <c r="BC104" s="51"/>
      <c r="BD104" s="51"/>
    </row>
    <row r="105" spans="1:190" x14ac:dyDescent="0.35">
      <c r="A105" s="2" t="s">
        <v>104</v>
      </c>
      <c r="B105" s="2" t="s">
        <v>225</v>
      </c>
      <c r="C105" s="2" t="s">
        <v>113</v>
      </c>
      <c r="D105" s="2" t="s">
        <v>750</v>
      </c>
      <c r="BC105" s="52"/>
      <c r="BD105" s="52"/>
    </row>
    <row r="106" spans="1:190" x14ac:dyDescent="0.35">
      <c r="A106" s="2" t="s">
        <v>105</v>
      </c>
      <c r="B106" s="2" t="s">
        <v>226</v>
      </c>
      <c r="C106" s="2" t="s">
        <v>120</v>
      </c>
      <c r="D106" t="s">
        <v>401</v>
      </c>
      <c r="BC106" s="40"/>
      <c r="BD106" s="41"/>
    </row>
    <row r="107" spans="1:190" x14ac:dyDescent="0.35">
      <c r="A107" s="2" t="s">
        <v>106</v>
      </c>
      <c r="B107" s="2" t="s">
        <v>227</v>
      </c>
      <c r="C107" s="2" t="s">
        <v>122</v>
      </c>
      <c r="D107" t="s">
        <v>401</v>
      </c>
      <c r="BC107" s="40" t="s">
        <v>677</v>
      </c>
      <c r="BD107" s="41" t="s">
        <v>676</v>
      </c>
    </row>
    <row r="108" spans="1:190" x14ac:dyDescent="0.35">
      <c r="A108" s="2" t="s">
        <v>107</v>
      </c>
      <c r="B108" s="2" t="s">
        <v>228</v>
      </c>
      <c r="C108" s="2" t="s">
        <v>122</v>
      </c>
      <c r="D108" t="s">
        <v>401</v>
      </c>
      <c r="BC108" s="40" t="s">
        <v>677</v>
      </c>
      <c r="BD108" s="41" t="s">
        <v>676</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hyperlinks>
    <hyperlink ref="BD20" r:id="rId1" xr:uid="{FFEAFC64-4A8C-4932-812B-6627623644CF}"/>
    <hyperlink ref="BD74" r:id="rId2" xr:uid="{82BE7EE5-968A-4328-82D8-BA57101E9D06}"/>
    <hyperlink ref="BD91" r:id="rId3" xr:uid="{B2128144-B4F9-4962-8547-075B1A30DE0E}"/>
    <hyperlink ref="BD102" r:id="rId4" xr:uid="{3774F0CC-0CC4-4B35-9E43-A3EAE2A73672}"/>
    <hyperlink ref="BD8" r:id="rId5" xr:uid="{5A53FA0B-8319-4C72-890F-79901EDBACEC}"/>
    <hyperlink ref="BD66" r:id="rId6" xr:uid="{BFE10E7C-CDC7-4F4F-AECF-E833EE0BF1E1}"/>
    <hyperlink ref="BD73" r:id="rId7" xr:uid="{A1E46CA9-6778-4A1B-A882-2D72EA8A4944}"/>
    <hyperlink ref="BD18" r:id="rId8" xr:uid="{2442E7CD-8EA2-4DEA-9599-F990523F9EF2}"/>
    <hyperlink ref="BD94" r:id="rId9" xr:uid="{DD4BF0D0-24F6-46E9-ABA6-0890B5A7BD5C}"/>
    <hyperlink ref="BD39" r:id="rId10" xr:uid="{003633A5-031D-4042-9DB0-F687BC756B45}"/>
    <hyperlink ref="BD10" r:id="rId11" xr:uid="{E9EDDEC6-C51D-4BDE-B699-9B1695F358AF}"/>
    <hyperlink ref="BD11" r:id="rId12" xr:uid="{3C929FF6-82E1-4C85-A67B-D09EEED917DB}"/>
    <hyperlink ref="BD15" r:id="rId13" xr:uid="{7B40749E-8B44-4DA0-9A13-7C61AE50F3C6}"/>
    <hyperlink ref="BD16" r:id="rId14" xr:uid="{4F8366F7-6061-4DA2-971B-4D80E223229C}"/>
    <hyperlink ref="BD17" r:id="rId15" xr:uid="{B2B30611-A1C6-4594-AF9C-F12E832B4B7D}"/>
    <hyperlink ref="BD21" r:id="rId16" xr:uid="{C503C099-63B7-4748-8D1A-DFEFD71BCFD8}"/>
    <hyperlink ref="BD22" r:id="rId17" xr:uid="{B889F3E3-0B26-4213-B58C-8E7AEAF4CE1D}"/>
    <hyperlink ref="BD24" r:id="rId18" xr:uid="{AE39C433-E2BF-4B34-8B54-637200AC87AD}"/>
    <hyperlink ref="BD26" r:id="rId19" xr:uid="{E9425B00-71F8-46A7-80D3-850FDB49EBDE}"/>
    <hyperlink ref="BD28" r:id="rId20" xr:uid="{942F6427-CCA5-4013-B7F0-F63E107B02AC}"/>
    <hyperlink ref="BD37" r:id="rId21" xr:uid="{4524E0EB-F411-467F-9148-8D0B984F87ED}"/>
    <hyperlink ref="BD38" r:id="rId22" xr:uid="{9B726A21-F207-466D-A1AC-A5DDDB8B3F70}"/>
    <hyperlink ref="BD41" r:id="rId23" xr:uid="{52A6C1FF-8CC3-4578-9289-FC610C1BFD1C}"/>
    <hyperlink ref="BD56" r:id="rId24" xr:uid="{E2103B06-2E22-434D-9BED-1166599F63CC}"/>
    <hyperlink ref="BD57" r:id="rId25" xr:uid="{D6C8C039-C833-4090-82C0-20798B9F8D44}"/>
    <hyperlink ref="BD54" r:id="rId26" xr:uid="{44642380-1C76-4ACC-9291-CBF6ABCBC1F6}"/>
    <hyperlink ref="BD51" r:id="rId27" xr:uid="{C06CD0C8-D983-4C86-AF46-60C4E736172F}"/>
    <hyperlink ref="BD63" r:id="rId28" xr:uid="{C9658D8E-C6B8-4139-8251-45F6CBFF27AC}"/>
    <hyperlink ref="BD65" r:id="rId29" xr:uid="{80CAF803-2342-4A81-A2C3-E9A1C9D6B106}"/>
    <hyperlink ref="BD68" r:id="rId30" xr:uid="{534FEE3C-F401-445B-A251-8F2705ED82C8}"/>
    <hyperlink ref="BD67" r:id="rId31" xr:uid="{593671F2-60E7-4714-82D5-5C9274B87A95}"/>
    <hyperlink ref="BD70" r:id="rId32" xr:uid="{0823B1E2-5F28-4237-9F90-C0E6FFCD477A}"/>
    <hyperlink ref="BD75" r:id="rId33" xr:uid="{CAA71C97-7390-4AB3-A7B0-7D16E4EEF851}"/>
    <hyperlink ref="BD80" r:id="rId34" xr:uid="{2B46A263-2445-4440-8335-FCB3043C1A44}"/>
    <hyperlink ref="BD93" r:id="rId35" xr:uid="{B211AEC0-2EED-411A-87AB-CCF527F7B2B0}"/>
    <hyperlink ref="BD95" r:id="rId36" xr:uid="{C04D1306-9611-4DAB-A710-53DF1D0EE027}"/>
    <hyperlink ref="BD97" r:id="rId37" xr:uid="{878A0DFB-A38E-4D5F-8247-BC775CDCE9FC}"/>
    <hyperlink ref="BD100" r:id="rId38" xr:uid="{BC821367-567D-4FED-981C-FE9425C288BD}"/>
    <hyperlink ref="BD101" r:id="rId39" xr:uid="{4EB965B3-E3D8-4ED3-9C0E-087A58223D41}"/>
    <hyperlink ref="BD107" r:id="rId40" xr:uid="{AEEC034E-231C-47D4-AB97-45213A63E292}"/>
    <hyperlink ref="BD108" r:id="rId41" xr:uid="{5DAAF815-9E06-408B-A959-441A9E9ED4CF}"/>
    <hyperlink ref="BD89" r:id="rId42" xr:uid="{092B42EE-7D02-498B-A9FD-D17AD66A61EC}"/>
    <hyperlink ref="BD85" r:id="rId43" xr:uid="{98CED481-4CF1-4231-BD46-7E83F74908F8}"/>
    <hyperlink ref="BD86" r:id="rId44" xr:uid="{DBFAC96A-DC80-4032-B170-91699730D5B2}"/>
    <hyperlink ref="BD60" r:id="rId45" xr:uid="{7B1A5E79-1F64-48D9-80A7-C6D4614F4078}"/>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249977111117893"/>
  </sheetPr>
  <dimension ref="A2:V42"/>
  <sheetViews>
    <sheetView zoomScale="80" zoomScaleNormal="80" workbookViewId="0">
      <selection activeCell="A11" sqref="A11"/>
    </sheetView>
  </sheetViews>
  <sheetFormatPr defaultColWidth="8.6328125" defaultRowHeight="14.5" x14ac:dyDescent="0.35"/>
  <cols>
    <col min="1" max="1" width="10.36328125" style="4" customWidth="1"/>
    <col min="2" max="4" width="8.6328125" style="4"/>
    <col min="5" max="5" width="12.36328125" style="4" customWidth="1"/>
    <col min="6" max="6" width="8.6328125" style="4"/>
    <col min="7" max="7" width="8.6328125" style="4" customWidth="1"/>
    <col min="8" max="16384" width="8.6328125" style="4"/>
  </cols>
  <sheetData>
    <row r="2" spans="1:22" ht="21" x14ac:dyDescent="0.5">
      <c r="A2" s="12" t="s">
        <v>688</v>
      </c>
    </row>
    <row r="3" spans="1:22" ht="14.25" customHeight="1" x14ac:dyDescent="0.5">
      <c r="A3" s="12"/>
    </row>
    <row r="5" spans="1:22" x14ac:dyDescent="0.35">
      <c r="A5" t="s">
        <v>692</v>
      </c>
    </row>
    <row r="6" spans="1:22" x14ac:dyDescent="0.35">
      <c r="A6" t="s">
        <v>719</v>
      </c>
    </row>
    <row r="7" spans="1:22" x14ac:dyDescent="0.35">
      <c r="A7" t="s">
        <v>722</v>
      </c>
    </row>
    <row r="8" spans="1:22" x14ac:dyDescent="0.35">
      <c r="A8" s="11" t="s">
        <v>711</v>
      </c>
    </row>
    <row r="9" spans="1:22" x14ac:dyDescent="0.35">
      <c r="A9" s="5" t="s">
        <v>689</v>
      </c>
      <c r="R9" s="11"/>
    </row>
    <row r="10" spans="1:22" x14ac:dyDescent="0.35">
      <c r="A10" s="4" t="s">
        <v>741</v>
      </c>
      <c r="V10" s="5"/>
    </row>
    <row r="11" spans="1:22" x14ac:dyDescent="0.35">
      <c r="A11" t="s">
        <v>746</v>
      </c>
    </row>
    <row r="12" spans="1:22" x14ac:dyDescent="0.35">
      <c r="A12" s="5"/>
      <c r="S12" s="9"/>
    </row>
    <row r="13" spans="1:22" x14ac:dyDescent="0.35">
      <c r="A13" s="7"/>
      <c r="S13" s="9"/>
    </row>
    <row r="14" spans="1:22" x14ac:dyDescent="0.35">
      <c r="A14" s="18"/>
      <c r="S14" s="9"/>
    </row>
    <row r="15" spans="1:22" x14ac:dyDescent="0.35">
      <c r="A15" s="5"/>
      <c r="S15" s="9"/>
    </row>
    <row r="16" spans="1:22" x14ac:dyDescent="0.35">
      <c r="A16" s="6"/>
    </row>
    <row r="17" spans="1:22" x14ac:dyDescent="0.35">
      <c r="A17" s="1"/>
    </row>
    <row r="18" spans="1:22" x14ac:dyDescent="0.35">
      <c r="A18" s="1"/>
    </row>
    <row r="19" spans="1:22" x14ac:dyDescent="0.35">
      <c r="A19" s="10"/>
      <c r="S19" s="9"/>
    </row>
    <row r="20" spans="1:22" x14ac:dyDescent="0.35">
      <c r="A20" s="8"/>
      <c r="R20" s="5"/>
    </row>
    <row r="21" spans="1:22" x14ac:dyDescent="0.35">
      <c r="A21" s="10"/>
    </row>
    <row r="22" spans="1:22" x14ac:dyDescent="0.35">
      <c r="A22" s="11"/>
      <c r="R22" s="5"/>
    </row>
    <row r="23" spans="1:22" x14ac:dyDescent="0.35">
      <c r="A23" s="11"/>
    </row>
    <row r="24" spans="1:22" x14ac:dyDescent="0.35">
      <c r="A24" s="5"/>
      <c r="V24" s="15"/>
    </row>
    <row r="25" spans="1:22" x14ac:dyDescent="0.35">
      <c r="A25" s="13"/>
    </row>
    <row r="26" spans="1:22" x14ac:dyDescent="0.35">
      <c r="A26" s="11"/>
    </row>
    <row r="27" spans="1:22" x14ac:dyDescent="0.35">
      <c r="A27" s="5"/>
      <c r="V27" s="5"/>
    </row>
    <row r="28" spans="1:22" x14ac:dyDescent="0.35">
      <c r="A28" s="5"/>
    </row>
    <row r="29" spans="1:22" x14ac:dyDescent="0.35">
      <c r="A29" s="10"/>
    </row>
    <row r="30" spans="1:22" x14ac:dyDescent="0.35">
      <c r="A30" s="10"/>
    </row>
    <row r="31" spans="1:22" x14ac:dyDescent="0.35">
      <c r="A31" s="10"/>
    </row>
    <row r="32" spans="1:22" x14ac:dyDescent="0.35">
      <c r="A32" s="10"/>
    </row>
    <row r="33" spans="1:1" x14ac:dyDescent="0.35">
      <c r="A33" s="10"/>
    </row>
    <row r="34" spans="1:1" x14ac:dyDescent="0.35">
      <c r="A34" s="10"/>
    </row>
    <row r="35" spans="1:1" x14ac:dyDescent="0.35">
      <c r="A35" s="16"/>
    </row>
    <row r="36" spans="1:1" x14ac:dyDescent="0.35">
      <c r="A36" s="5"/>
    </row>
    <row r="37" spans="1:1" x14ac:dyDescent="0.35">
      <c r="A37" s="14"/>
    </row>
    <row r="38" spans="1:1" x14ac:dyDescent="0.35">
      <c r="A38" s="5"/>
    </row>
    <row r="40" spans="1:1" x14ac:dyDescent="0.35">
      <c r="A40" s="10"/>
    </row>
    <row r="42" spans="1:1" x14ac:dyDescent="0.35">
      <c r="A42" s="1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7BF0A1B-B2BC-4159-BD4C-213AA08534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27ED23C-5EEB-4F10-AA20-79B788D8342E}">
  <ds:schemaRefs>
    <ds:schemaRef ds:uri="http://schemas.microsoft.com/office/2006/metadata/properties"/>
    <ds:schemaRef ds:uri="http://schemas.microsoft.com/office/infopath/2007/PartnerControls"/>
    <ds:schemaRef ds:uri="20b5f8f8-e964-4ea5-9bc5-5fa83731a92f"/>
  </ds:schemaRefs>
</ds:datastoreItem>
</file>

<file path=customXml/itemProps3.xml><?xml version="1.0" encoding="utf-8"?>
<ds:datastoreItem xmlns:ds="http://schemas.openxmlformats.org/officeDocument/2006/customXml" ds:itemID="{A16A6EDB-4C6A-433C-9B54-BF88B9AEE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5</vt:i4>
      </vt:variant>
      <vt:variant>
        <vt:lpstr>Namngivna områden</vt:lpstr>
      </vt:variant>
      <vt:variant>
        <vt:i4>8</vt:i4>
      </vt:variant>
    </vt:vector>
  </HeadingPairs>
  <TitlesOfParts>
    <vt:vector size="13" baseType="lpstr">
      <vt:lpstr>INFO</vt:lpstr>
      <vt:lpstr>Data</vt:lpstr>
      <vt:lpstr>N content</vt:lpstr>
      <vt:lpstr>Sources</vt:lpstr>
      <vt:lpstr>References</vt:lpstr>
      <vt:lpstr>'N content'!Crop_data</vt:lpstr>
      <vt:lpstr>Crop_data</vt:lpstr>
      <vt:lpstr>'N content'!Crop_data_codes</vt:lpstr>
      <vt:lpstr>Crop_data_codes</vt:lpstr>
      <vt:lpstr>Density_liquid</vt:lpstr>
      <vt:lpstr>Density_solid</vt:lpstr>
      <vt:lpstr>N_liquid</vt:lpstr>
      <vt:lpstr>N_solid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2026-04-12T14:38:14Z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