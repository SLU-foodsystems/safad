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9"/>
  <workbookPr filterPrivacy="1" updateLinks="never" codeName="ThisWorkbook"/>
  <xr:revisionPtr revIDLastSave="0" documentId="13_ncr:1_{A1BD64D9-6F1C-2C4D-92A1-90062CD1959E}" xr6:coauthVersionLast="47" xr6:coauthVersionMax="47" xr10:uidLastSave="{00000000-0000-0000-0000-000000000000}"/>
  <bookViews>
    <workbookView xWindow="0" yWindow="660" windowWidth="29040" windowHeight="17640" activeTab="11" xr2:uid="{00000000-000D-0000-FFFF-FFFF00000000}"/>
  </bookViews>
  <sheets>
    <sheet name="README" sheetId="117" r:id="rId1"/>
    <sheet name="Crop Data" sheetId="125" r:id="rId2"/>
    <sheet name="Footprints, results per kg" sheetId="116" r:id="rId3"/>
    <sheet name="Crops CO2e" sheetId="115" r:id="rId4"/>
    <sheet name="Crops CO2" sheetId="109" r:id="rId5"/>
    <sheet name="Crops CH4, fossil" sheetId="113" r:id="rId6"/>
    <sheet name="Crops CH4, bio" sheetId="123" r:id="rId7"/>
    <sheet name="Crops N2O" sheetId="114" r:id="rId8"/>
    <sheet name="Energy" sheetId="111" r:id="rId9"/>
    <sheet name="Emission factors" sheetId="91" r:id="rId10"/>
    <sheet name="CF climate" sheetId="110" r:id="rId11"/>
    <sheet name="Reference list" sheetId="122" r:id="rId12"/>
  </sheets>
  <definedNames>
    <definedName name="_xlnm._FilterDatabase" localSheetId="6" hidden="1">'Crops CH4, bio'!$A$5:$N$5</definedName>
    <definedName name="_xlnm._FilterDatabase" localSheetId="5" hidden="1">'Crops CH4, fossil'!$A$5:$N$5</definedName>
    <definedName name="_xlnm._FilterDatabase" localSheetId="4" hidden="1">'Crops CO2'!$A$5:$N$5</definedName>
    <definedName name="_xlnm._FilterDatabase" localSheetId="3" hidden="1">'Crops CO2e'!$A$5:$N$5</definedName>
    <definedName name="_xlnm._FilterDatabase" localSheetId="7" hidden="1">'Crops N2O'!$A$5:$N$5</definedName>
    <definedName name="_xlnm._FilterDatabase" localSheetId="2" hidden="1">'Footprints, results per kg'!$A$5:$S$6</definedName>
    <definedName name="CF_biog_CH4">'CF climate'!$C$5</definedName>
    <definedName name="CF_fossil_CH4">'CF climate'!$D$5</definedName>
    <definedName name="CF_HCFC">'CF climate'!$F$5</definedName>
    <definedName name="CF_N2O">'CF climate'!$E$5</definedName>
    <definedName name="CH4_bio_codes">'Crops CH4, bio'!$A$6:$A$118</definedName>
    <definedName name="CH4_bio_data">'Crops CH4, bio'!$E$6:$N$118</definedName>
    <definedName name="CH4_codes" localSheetId="6">'Crops CH4, bio'!$A$6:$A$118</definedName>
    <definedName name="CH4_codes">'Crops CH4, fossil'!$A$6:$A$118</definedName>
    <definedName name="CH4_data" localSheetId="6">'Crops CH4, bio'!$E$6:$N$118</definedName>
    <definedName name="CH4_data">'Crops CH4, fossil'!$E$6:$N$118</definedName>
    <definedName name="CO2_codes">'Crops CO2'!$A$6:$A$118</definedName>
    <definedName name="CO2_data">'Crops CO2'!$E$6:$N$118</definedName>
    <definedName name="CO2e_codes">'Crops CO2e'!$A$6:$A$118</definedName>
    <definedName name="CO2e_data">'Crops CO2e'!$E$6:$N$118</definedName>
    <definedName name="Crop_codes" localSheetId="2">'Footprints, results per kg'!$A$6:$A$6</definedName>
    <definedName name="Crop_codes">#REF!</definedName>
    <definedName name="Crop_data">#REF!</definedName>
    <definedName name="Crop_data_codes">#REF!</definedName>
    <definedName name="Crops" localSheetId="6">'Crops CH4, bio'!$B:$B</definedName>
    <definedName name="Crops" localSheetId="5">'Crops CH4, fossil'!$B:$B</definedName>
    <definedName name="Crops" localSheetId="3">'Crops CO2e'!$B:$B</definedName>
    <definedName name="Crops" localSheetId="7">'Crops N2O'!$B:$B</definedName>
    <definedName name="Crops">'Crops CO2'!$B:$B</definedName>
    <definedName name="EF_capital_goods_CH4">'Emission factors'!$C$35</definedName>
    <definedName name="EF_capital_goods_CO2">'Emission factors'!$B$35</definedName>
    <definedName name="EF_capital_goods_N2O">'Emission factors'!$D$35</definedName>
    <definedName name="EF_chips_CH4">'Emission factors'!$C$10</definedName>
    <definedName name="EF_chips_CO2">'Emission factors'!$B$10</definedName>
    <definedName name="EF_chips_N2O">'Emission factors'!$D$10</definedName>
    <definedName name="EF_diesel_CH4">'Emission factors'!$C$13</definedName>
    <definedName name="EF_diesel_CO2">'Emission factors'!$B$13</definedName>
    <definedName name="EF_diesel_N2O">'Emission factors'!$D$13</definedName>
    <definedName name="EF_district_heating_CH4">'Emission factors'!$C$14</definedName>
    <definedName name="EF_district_heating_CO2">'Emission factors'!$B$14</definedName>
    <definedName name="EF_district_heating_N2O">'Emission factors'!$D$14</definedName>
    <definedName name="EF_electricity_CH4">'Emission factors'!$C$6</definedName>
    <definedName name="EF_electricity_CO2">'Emission factors'!$B$6</definedName>
    <definedName name="EF_electricity_N2O">'Emission factors'!$D$6</definedName>
    <definedName name="EF_heating_oil_CH4">'Emission factors'!$C$7</definedName>
    <definedName name="EF_heating_oil_CO2">'Emission factors'!$B$7</definedName>
    <definedName name="EF_heating_oil_N2O">'Emission factors'!$D$7</definedName>
    <definedName name="EF_irrigation_CH4">'Emission factors'!$C$28</definedName>
    <definedName name="EF_irrigation_CO2">'Emission factors'!$B$28</definedName>
    <definedName name="EF_irrigation_N2O">'Emission factors'!$D$28</definedName>
    <definedName name="EF_min_fert_AN_CH4">'Emission factors'!$C$21</definedName>
    <definedName name="EF_min_fert_AN_CO2">'Emission factors'!$B$21</definedName>
    <definedName name="EF_min_fert_AN_N2O">'Emission factors'!$D$21</definedName>
    <definedName name="EF_min_fert_BAT_CH4">'Emission factors'!$C$20</definedName>
    <definedName name="EF_min_fert_BAT_CO2">'Emission factors'!$B$20</definedName>
    <definedName name="EF_min_fert_BAT_N2O">'Emission factors'!$D$20</definedName>
    <definedName name="EF_min_fert_CH4">'Emission factors'!$C$20</definedName>
    <definedName name="EF_min_fert_CO2">'Emission factors'!$B$20</definedName>
    <definedName name="EF_N2O_soils_crop_res">'Emission factors'!$B$63</definedName>
    <definedName name="EF_N2O_soils_indirect">'Emission factors'!$B$64</definedName>
    <definedName name="EF_N2O_soils_min_fert">'Emission factors'!$B$62</definedName>
    <definedName name="EF_natural_gas_CH4">'Emission factors'!$C$8</definedName>
    <definedName name="EF_natural_gas_CO2">'Emission factors'!$B$8</definedName>
    <definedName name="EF_natural_gas_N2O">'Emission factors'!$D$8</definedName>
    <definedName name="EF_NH3">'Emission factors'!$B$73</definedName>
    <definedName name="EF_other_fossil_CH4">'Emission factors'!$C$9</definedName>
    <definedName name="EF_other_fossil_CO2">'Emission factors'!$B$9</definedName>
    <definedName name="EF_other_fossil_N2O">'Emission factors'!$D$9</definedName>
    <definedName name="EF_other_renew_CH4">'Emission factors'!$C$12</definedName>
    <definedName name="EF_other_renew_CO2">'Emission factors'!$B$12</definedName>
    <definedName name="EF_other_renew_N2O">'Emission factors'!$D$12</definedName>
    <definedName name="EF_pellets_CH4">'Emission factors'!$C$11</definedName>
    <definedName name="EF_pellets_CO2">'Emission factors'!$B$11</definedName>
    <definedName name="EF_pellets_N2O">'Emission factors'!$D$11</definedName>
    <definedName name="Frac_AN">'Emission factors'!$E$21</definedName>
    <definedName name="Frac_BAT">'Emission factors'!$E$20</definedName>
    <definedName name="Heating_value_diesel">'Emission factors'!$E$13</definedName>
    <definedName name="Heating_value_oil">'Emission factors'!$E$7</definedName>
    <definedName name="N_to_NH3">'Emission factors'!$B$74</definedName>
    <definedName name="N2O_codes">'Crops N2O'!$A$6:$A$118</definedName>
    <definedName name="N2O_data">'Crops N2O'!$E$6:$N$118</definedName>
    <definedName name="No_species">'Emission factors'!$B$69</definedName>
    <definedName name="Post_harvest_energy_categories">Energy!$A$28:$A$44</definedName>
    <definedName name="Post_harvest_energy_data">Energy!$A$28:$D$44</definedName>
    <definedName name="Soil_carbon_categories">'Emission factors'!$A$41:$A$57</definedName>
    <definedName name="Soil_carbon_data">'Emission factors'!$A$41:$B$57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" i="125" l="1"/>
  <c r="K2" i="125"/>
  <c r="N2" i="125"/>
  <c r="O2" i="125"/>
  <c r="P2" i="125"/>
  <c r="Q2" i="125"/>
  <c r="R2" i="125"/>
  <c r="M2" i="125"/>
  <c r="L2" i="125"/>
  <c r="J2" i="125"/>
  <c r="I2" i="125"/>
  <c r="H2" i="125"/>
  <c r="G2" i="125"/>
  <c r="F2" i="125"/>
  <c r="C118" i="123"/>
  <c r="B118" i="123"/>
  <c r="C117" i="123"/>
  <c r="B117" i="123"/>
  <c r="C116" i="123"/>
  <c r="B116" i="123"/>
  <c r="C115" i="123"/>
  <c r="B115" i="123"/>
  <c r="C114" i="123"/>
  <c r="B114" i="123"/>
  <c r="C113" i="123"/>
  <c r="B113" i="123"/>
  <c r="C112" i="123"/>
  <c r="B112" i="123"/>
  <c r="C111" i="123"/>
  <c r="B111" i="123"/>
  <c r="C110" i="123"/>
  <c r="B110" i="123"/>
  <c r="C109" i="123"/>
  <c r="B109" i="123"/>
  <c r="C108" i="123"/>
  <c r="B108" i="123"/>
  <c r="C107" i="123"/>
  <c r="B107" i="123"/>
  <c r="C106" i="123"/>
  <c r="B106" i="123"/>
  <c r="C105" i="123"/>
  <c r="B105" i="123"/>
  <c r="C104" i="123"/>
  <c r="B104" i="123"/>
  <c r="C103" i="123"/>
  <c r="B103" i="123"/>
  <c r="C102" i="123"/>
  <c r="B102" i="123"/>
  <c r="C101" i="123"/>
  <c r="B101" i="123"/>
  <c r="C100" i="123"/>
  <c r="B100" i="123"/>
  <c r="C99" i="123"/>
  <c r="B99" i="123"/>
  <c r="C98" i="123"/>
  <c r="B98" i="123"/>
  <c r="C97" i="123"/>
  <c r="B97" i="123"/>
  <c r="C96" i="123"/>
  <c r="B96" i="123"/>
  <c r="C95" i="123"/>
  <c r="B95" i="123"/>
  <c r="C94" i="123"/>
  <c r="B94" i="123"/>
  <c r="C93" i="123"/>
  <c r="B93" i="123"/>
  <c r="C92" i="123"/>
  <c r="B92" i="123"/>
  <c r="C91" i="123"/>
  <c r="B91" i="123"/>
  <c r="C90" i="123"/>
  <c r="B90" i="123"/>
  <c r="C89" i="123"/>
  <c r="B89" i="123"/>
  <c r="C88" i="123"/>
  <c r="B88" i="123"/>
  <c r="C87" i="123"/>
  <c r="B87" i="123"/>
  <c r="C86" i="123"/>
  <c r="B86" i="123"/>
  <c r="C85" i="123"/>
  <c r="B85" i="123"/>
  <c r="C84" i="123"/>
  <c r="B84" i="123"/>
  <c r="C83" i="123"/>
  <c r="B83" i="123"/>
  <c r="C82" i="123"/>
  <c r="B82" i="123"/>
  <c r="C81" i="123"/>
  <c r="B81" i="123"/>
  <c r="C80" i="123"/>
  <c r="B80" i="123"/>
  <c r="C79" i="123"/>
  <c r="B79" i="123"/>
  <c r="C78" i="123"/>
  <c r="B78" i="123"/>
  <c r="C77" i="123"/>
  <c r="B77" i="123"/>
  <c r="C76" i="123"/>
  <c r="B76" i="123"/>
  <c r="C75" i="123"/>
  <c r="B75" i="123"/>
  <c r="C74" i="123"/>
  <c r="B74" i="123"/>
  <c r="C73" i="123"/>
  <c r="B73" i="123"/>
  <c r="C72" i="123"/>
  <c r="B72" i="123"/>
  <c r="C71" i="123"/>
  <c r="B71" i="123"/>
  <c r="C70" i="123"/>
  <c r="B70" i="123"/>
  <c r="C69" i="123"/>
  <c r="B69" i="123"/>
  <c r="C68" i="123"/>
  <c r="B68" i="123"/>
  <c r="C67" i="123"/>
  <c r="B67" i="123"/>
  <c r="C66" i="123"/>
  <c r="B66" i="123"/>
  <c r="C65" i="123"/>
  <c r="B65" i="123"/>
  <c r="C64" i="123"/>
  <c r="B64" i="123"/>
  <c r="C63" i="123"/>
  <c r="B63" i="123"/>
  <c r="C62" i="123"/>
  <c r="B62" i="123"/>
  <c r="C61" i="123"/>
  <c r="B61" i="123"/>
  <c r="C60" i="123"/>
  <c r="B60" i="123"/>
  <c r="C59" i="123"/>
  <c r="B59" i="123"/>
  <c r="C58" i="123"/>
  <c r="B58" i="123"/>
  <c r="C57" i="123"/>
  <c r="B57" i="123"/>
  <c r="C56" i="123"/>
  <c r="B56" i="123"/>
  <c r="C55" i="123"/>
  <c r="B55" i="123"/>
  <c r="C54" i="123"/>
  <c r="B54" i="123"/>
  <c r="C53" i="123"/>
  <c r="B53" i="123"/>
  <c r="C52" i="123"/>
  <c r="B52" i="123"/>
  <c r="C51" i="123"/>
  <c r="B51" i="123"/>
  <c r="C50" i="123"/>
  <c r="B50" i="123"/>
  <c r="C49" i="123"/>
  <c r="B49" i="123"/>
  <c r="C48" i="123"/>
  <c r="B48" i="123"/>
  <c r="C47" i="123"/>
  <c r="B47" i="123"/>
  <c r="C46" i="123"/>
  <c r="B46" i="123"/>
  <c r="C45" i="123"/>
  <c r="B45" i="123"/>
  <c r="C44" i="123"/>
  <c r="B44" i="123"/>
  <c r="C43" i="123"/>
  <c r="B43" i="123"/>
  <c r="C42" i="123"/>
  <c r="B42" i="123"/>
  <c r="C41" i="123"/>
  <c r="B41" i="123"/>
  <c r="C40" i="123"/>
  <c r="B40" i="123"/>
  <c r="C39" i="123"/>
  <c r="B39" i="123"/>
  <c r="C38" i="123"/>
  <c r="B38" i="123"/>
  <c r="C37" i="123"/>
  <c r="B37" i="123"/>
  <c r="C36" i="123"/>
  <c r="B36" i="123"/>
  <c r="C35" i="123"/>
  <c r="B35" i="123"/>
  <c r="C34" i="123"/>
  <c r="B34" i="123"/>
  <c r="C33" i="123"/>
  <c r="B33" i="123"/>
  <c r="C32" i="123"/>
  <c r="B32" i="123"/>
  <c r="C31" i="123"/>
  <c r="B31" i="123"/>
  <c r="C30" i="123"/>
  <c r="B30" i="123"/>
  <c r="C29" i="123"/>
  <c r="B29" i="123"/>
  <c r="C28" i="123"/>
  <c r="B28" i="123"/>
  <c r="C27" i="123"/>
  <c r="B27" i="123"/>
  <c r="C26" i="123"/>
  <c r="B26" i="123"/>
  <c r="C25" i="123"/>
  <c r="B25" i="123"/>
  <c r="C24" i="123"/>
  <c r="B24" i="123"/>
  <c r="C23" i="123"/>
  <c r="B23" i="123"/>
  <c r="C22" i="123"/>
  <c r="B22" i="123"/>
  <c r="C21" i="123"/>
  <c r="B21" i="123"/>
  <c r="C20" i="123"/>
  <c r="B20" i="123"/>
  <c r="C19" i="123"/>
  <c r="B19" i="123"/>
  <c r="C18" i="123"/>
  <c r="B18" i="123"/>
  <c r="C17" i="123"/>
  <c r="B17" i="123"/>
  <c r="C16" i="123"/>
  <c r="B16" i="123"/>
  <c r="C15" i="123"/>
  <c r="B15" i="123"/>
  <c r="C14" i="123"/>
  <c r="B14" i="123"/>
  <c r="C13" i="123"/>
  <c r="B13" i="123"/>
  <c r="C12" i="123"/>
  <c r="B12" i="123"/>
  <c r="C11" i="123"/>
  <c r="B11" i="123"/>
  <c r="C10" i="123"/>
  <c r="B10" i="123"/>
  <c r="C9" i="123"/>
  <c r="B9" i="123"/>
  <c r="C8" i="123"/>
  <c r="B8" i="123"/>
  <c r="C7" i="123"/>
  <c r="B7" i="123"/>
  <c r="C6" i="123"/>
  <c r="B6" i="123"/>
  <c r="D112" i="123" l="1"/>
  <c r="D113" i="123"/>
  <c r="D114" i="123"/>
  <c r="D115" i="123"/>
  <c r="D116" i="123"/>
  <c r="B114" i="114" l="1"/>
  <c r="C114" i="114"/>
  <c r="B115" i="114"/>
  <c r="C115" i="114"/>
  <c r="B114" i="113"/>
  <c r="C114" i="113"/>
  <c r="B115" i="113"/>
  <c r="C115" i="113"/>
  <c r="C113" i="113"/>
  <c r="B117" i="109"/>
  <c r="C117" i="109"/>
  <c r="B118" i="109"/>
  <c r="C118" i="109"/>
  <c r="B117" i="115"/>
  <c r="C117" i="115"/>
  <c r="B118" i="115"/>
  <c r="C118" i="115"/>
  <c r="D115" i="114"/>
  <c r="D114" i="113"/>
  <c r="F114" i="113" l="1"/>
  <c r="E114" i="113" s="1"/>
  <c r="G115" i="114"/>
  <c r="E115" i="114"/>
  <c r="H115" i="114"/>
  <c r="I115" i="114"/>
  <c r="J115" i="114"/>
  <c r="L115" i="114"/>
  <c r="M115" i="114"/>
  <c r="D115" i="113"/>
  <c r="L115" i="113" s="1"/>
  <c r="D114" i="114"/>
  <c r="F114" i="114" s="1"/>
  <c r="F115" i="114"/>
  <c r="M114" i="113"/>
  <c r="L114" i="113"/>
  <c r="J114" i="113"/>
  <c r="G114" i="113"/>
  <c r="F115" i="113" l="1"/>
  <c r="G115" i="113"/>
  <c r="J115" i="113"/>
  <c r="J114" i="114"/>
  <c r="L114" i="114"/>
  <c r="H114" i="114"/>
  <c r="I114" i="114" s="1"/>
  <c r="M114" i="114"/>
  <c r="E114" i="114"/>
  <c r="M115" i="113"/>
  <c r="E115" i="113"/>
  <c r="G114" i="114"/>
  <c r="C116" i="115"/>
  <c r="B116" i="115"/>
  <c r="C115" i="115"/>
  <c r="B115" i="115"/>
  <c r="C114" i="115"/>
  <c r="B114" i="115"/>
  <c r="C113" i="115"/>
  <c r="B113" i="115"/>
  <c r="C112" i="115"/>
  <c r="B112" i="115"/>
  <c r="C111" i="115"/>
  <c r="B111" i="115"/>
  <c r="C110" i="115"/>
  <c r="B110" i="115"/>
  <c r="C109" i="115"/>
  <c r="B109" i="115"/>
  <c r="C108" i="115"/>
  <c r="B108" i="115"/>
  <c r="C107" i="115"/>
  <c r="B107" i="115"/>
  <c r="C106" i="115"/>
  <c r="B106" i="115"/>
  <c r="C105" i="115"/>
  <c r="B105" i="115"/>
  <c r="C104" i="115"/>
  <c r="B104" i="115"/>
  <c r="C103" i="115"/>
  <c r="B103" i="115"/>
  <c r="C102" i="115"/>
  <c r="B102" i="115"/>
  <c r="C101" i="115"/>
  <c r="B101" i="115"/>
  <c r="C100" i="115"/>
  <c r="B100" i="115"/>
  <c r="C99" i="115"/>
  <c r="B99" i="115"/>
  <c r="C98" i="115"/>
  <c r="B98" i="115"/>
  <c r="C97" i="115"/>
  <c r="B97" i="115"/>
  <c r="C96" i="115"/>
  <c r="B96" i="115"/>
  <c r="C95" i="115"/>
  <c r="B95" i="115"/>
  <c r="C94" i="115"/>
  <c r="B94" i="115"/>
  <c r="C93" i="115"/>
  <c r="B93" i="115"/>
  <c r="C92" i="115"/>
  <c r="B92" i="115"/>
  <c r="C91" i="115"/>
  <c r="B91" i="115"/>
  <c r="C90" i="115"/>
  <c r="B90" i="115"/>
  <c r="C89" i="115"/>
  <c r="B89" i="115"/>
  <c r="C88" i="115"/>
  <c r="B88" i="115"/>
  <c r="C87" i="115"/>
  <c r="B87" i="115"/>
  <c r="C86" i="115"/>
  <c r="B86" i="115"/>
  <c r="C85" i="115"/>
  <c r="B85" i="115"/>
  <c r="C84" i="115"/>
  <c r="B84" i="115"/>
  <c r="C83" i="115"/>
  <c r="B83" i="115"/>
  <c r="C82" i="115"/>
  <c r="B82" i="115"/>
  <c r="C81" i="115"/>
  <c r="B81" i="115"/>
  <c r="C80" i="115"/>
  <c r="B80" i="115"/>
  <c r="C79" i="115"/>
  <c r="B79" i="115"/>
  <c r="C78" i="115"/>
  <c r="B78" i="115"/>
  <c r="C77" i="115"/>
  <c r="B77" i="115"/>
  <c r="C76" i="115"/>
  <c r="B76" i="115"/>
  <c r="C75" i="115"/>
  <c r="B75" i="115"/>
  <c r="C74" i="115"/>
  <c r="B74" i="115"/>
  <c r="C73" i="115"/>
  <c r="B73" i="115"/>
  <c r="C72" i="115"/>
  <c r="B72" i="115"/>
  <c r="C71" i="115"/>
  <c r="B71" i="115"/>
  <c r="C70" i="115"/>
  <c r="B70" i="115"/>
  <c r="C69" i="115"/>
  <c r="B69" i="115"/>
  <c r="C68" i="115"/>
  <c r="B68" i="115"/>
  <c r="C67" i="115"/>
  <c r="B67" i="115"/>
  <c r="C66" i="115"/>
  <c r="B66" i="115"/>
  <c r="C65" i="115"/>
  <c r="B65" i="115"/>
  <c r="C64" i="115"/>
  <c r="B64" i="115"/>
  <c r="C63" i="115"/>
  <c r="B63" i="115"/>
  <c r="C62" i="115"/>
  <c r="B62" i="115"/>
  <c r="C61" i="115"/>
  <c r="B61" i="115"/>
  <c r="C60" i="115"/>
  <c r="B60" i="115"/>
  <c r="C59" i="115"/>
  <c r="B59" i="115"/>
  <c r="C58" i="115"/>
  <c r="B58" i="115"/>
  <c r="C57" i="115"/>
  <c r="B57" i="115"/>
  <c r="C56" i="115"/>
  <c r="B56" i="115"/>
  <c r="C55" i="115"/>
  <c r="B55" i="115"/>
  <c r="C54" i="115"/>
  <c r="B54" i="115"/>
  <c r="C53" i="115"/>
  <c r="B53" i="115"/>
  <c r="C52" i="115"/>
  <c r="B52" i="115"/>
  <c r="C51" i="115"/>
  <c r="B51" i="115"/>
  <c r="C50" i="115"/>
  <c r="B50" i="115"/>
  <c r="C49" i="115"/>
  <c r="B49" i="115"/>
  <c r="C48" i="115"/>
  <c r="B48" i="115"/>
  <c r="C47" i="115"/>
  <c r="B47" i="115"/>
  <c r="C46" i="115"/>
  <c r="B46" i="115"/>
  <c r="C45" i="115"/>
  <c r="B45" i="115"/>
  <c r="C44" i="115"/>
  <c r="B44" i="115"/>
  <c r="C43" i="115"/>
  <c r="B43" i="115"/>
  <c r="C42" i="115"/>
  <c r="B42" i="115"/>
  <c r="C41" i="115"/>
  <c r="B41" i="115"/>
  <c r="C40" i="115"/>
  <c r="B40" i="115"/>
  <c r="C39" i="115"/>
  <c r="B39" i="115"/>
  <c r="C38" i="115"/>
  <c r="B38" i="115"/>
  <c r="C37" i="115"/>
  <c r="B37" i="115"/>
  <c r="C36" i="115"/>
  <c r="B36" i="115"/>
  <c r="C35" i="115"/>
  <c r="B35" i="115"/>
  <c r="C34" i="115"/>
  <c r="B34" i="115"/>
  <c r="C33" i="115"/>
  <c r="B33" i="115"/>
  <c r="C32" i="115"/>
  <c r="B32" i="115"/>
  <c r="C31" i="115"/>
  <c r="B31" i="115"/>
  <c r="C30" i="115"/>
  <c r="B30" i="115"/>
  <c r="C29" i="115"/>
  <c r="B29" i="115"/>
  <c r="C28" i="115"/>
  <c r="B28" i="115"/>
  <c r="C27" i="115"/>
  <c r="B27" i="115"/>
  <c r="C26" i="115"/>
  <c r="B26" i="115"/>
  <c r="C25" i="115"/>
  <c r="B25" i="115"/>
  <c r="C24" i="115"/>
  <c r="B24" i="115"/>
  <c r="C23" i="115"/>
  <c r="B23" i="115"/>
  <c r="C22" i="115"/>
  <c r="B22" i="115"/>
  <c r="C21" i="115"/>
  <c r="B21" i="115"/>
  <c r="C20" i="115"/>
  <c r="B20" i="115"/>
  <c r="C19" i="115"/>
  <c r="B19" i="115"/>
  <c r="C18" i="115"/>
  <c r="B18" i="115"/>
  <c r="C17" i="115"/>
  <c r="B17" i="115"/>
  <c r="C16" i="115"/>
  <c r="B16" i="115"/>
  <c r="C15" i="115"/>
  <c r="B15" i="115"/>
  <c r="C14" i="115"/>
  <c r="B14" i="115"/>
  <c r="C13" i="115"/>
  <c r="B13" i="115"/>
  <c r="C12" i="115"/>
  <c r="B12" i="115"/>
  <c r="C11" i="115"/>
  <c r="B11" i="115"/>
  <c r="C10" i="115"/>
  <c r="B10" i="115"/>
  <c r="C9" i="115"/>
  <c r="B9" i="115"/>
  <c r="C8" i="115"/>
  <c r="B8" i="115"/>
  <c r="C7" i="115"/>
  <c r="B7" i="115"/>
  <c r="C6" i="115"/>
  <c r="B6" i="115"/>
  <c r="C116" i="109"/>
  <c r="B116" i="109"/>
  <c r="C115" i="109"/>
  <c r="B115" i="109"/>
  <c r="C114" i="109"/>
  <c r="B114" i="109"/>
  <c r="C113" i="109"/>
  <c r="B113" i="109"/>
  <c r="C112" i="109"/>
  <c r="B112" i="109"/>
  <c r="C111" i="109"/>
  <c r="B111" i="109"/>
  <c r="C110" i="109"/>
  <c r="B110" i="109"/>
  <c r="C109" i="109"/>
  <c r="B109" i="109"/>
  <c r="C108" i="109"/>
  <c r="B108" i="109"/>
  <c r="C107" i="109"/>
  <c r="B107" i="109"/>
  <c r="C106" i="109"/>
  <c r="B106" i="109"/>
  <c r="C105" i="109"/>
  <c r="B105" i="109"/>
  <c r="C104" i="109"/>
  <c r="B104" i="109"/>
  <c r="C103" i="109"/>
  <c r="B103" i="109"/>
  <c r="C102" i="109"/>
  <c r="B102" i="109"/>
  <c r="C101" i="109"/>
  <c r="B101" i="109"/>
  <c r="C100" i="109"/>
  <c r="B100" i="109"/>
  <c r="C99" i="109"/>
  <c r="B99" i="109"/>
  <c r="C98" i="109"/>
  <c r="B98" i="109"/>
  <c r="C97" i="109"/>
  <c r="B97" i="109"/>
  <c r="C96" i="109"/>
  <c r="B96" i="109"/>
  <c r="C95" i="109"/>
  <c r="B95" i="109"/>
  <c r="C94" i="109"/>
  <c r="B94" i="109"/>
  <c r="C93" i="109"/>
  <c r="B93" i="109"/>
  <c r="C92" i="109"/>
  <c r="B92" i="109"/>
  <c r="C91" i="109"/>
  <c r="B91" i="109"/>
  <c r="C90" i="109"/>
  <c r="B90" i="109"/>
  <c r="C89" i="109"/>
  <c r="B89" i="109"/>
  <c r="C88" i="109"/>
  <c r="B88" i="109"/>
  <c r="C87" i="109"/>
  <c r="B87" i="109"/>
  <c r="C86" i="109"/>
  <c r="B86" i="109"/>
  <c r="C85" i="109"/>
  <c r="B85" i="109"/>
  <c r="C84" i="109"/>
  <c r="B84" i="109"/>
  <c r="C83" i="109"/>
  <c r="B83" i="109"/>
  <c r="C82" i="109"/>
  <c r="B82" i="109"/>
  <c r="C81" i="109"/>
  <c r="B81" i="109"/>
  <c r="C80" i="109"/>
  <c r="B80" i="109"/>
  <c r="C79" i="109"/>
  <c r="B79" i="109"/>
  <c r="C78" i="109"/>
  <c r="B78" i="109"/>
  <c r="C77" i="109"/>
  <c r="B77" i="109"/>
  <c r="C76" i="109"/>
  <c r="B76" i="109"/>
  <c r="C75" i="109"/>
  <c r="B75" i="109"/>
  <c r="C74" i="109"/>
  <c r="B74" i="109"/>
  <c r="C73" i="109"/>
  <c r="B73" i="109"/>
  <c r="C72" i="109"/>
  <c r="B72" i="109"/>
  <c r="C71" i="109"/>
  <c r="B71" i="109"/>
  <c r="C70" i="109"/>
  <c r="B70" i="109"/>
  <c r="C69" i="109"/>
  <c r="B69" i="109"/>
  <c r="C68" i="109"/>
  <c r="B68" i="109"/>
  <c r="C67" i="109"/>
  <c r="B67" i="109"/>
  <c r="C66" i="109"/>
  <c r="B66" i="109"/>
  <c r="C65" i="109"/>
  <c r="B65" i="109"/>
  <c r="C64" i="109"/>
  <c r="B64" i="109"/>
  <c r="C63" i="109"/>
  <c r="B63" i="109"/>
  <c r="C62" i="109"/>
  <c r="B62" i="109"/>
  <c r="C61" i="109"/>
  <c r="B61" i="109"/>
  <c r="C60" i="109"/>
  <c r="B60" i="109"/>
  <c r="C59" i="109"/>
  <c r="B59" i="109"/>
  <c r="C58" i="109"/>
  <c r="B58" i="109"/>
  <c r="C57" i="109"/>
  <c r="B57" i="109"/>
  <c r="C56" i="109"/>
  <c r="B56" i="109"/>
  <c r="C55" i="109"/>
  <c r="B55" i="109"/>
  <c r="C54" i="109"/>
  <c r="B54" i="109"/>
  <c r="C53" i="109"/>
  <c r="B53" i="109"/>
  <c r="C52" i="109"/>
  <c r="B52" i="109"/>
  <c r="C51" i="109"/>
  <c r="B51" i="109"/>
  <c r="C50" i="109"/>
  <c r="B50" i="109"/>
  <c r="C49" i="109"/>
  <c r="B49" i="109"/>
  <c r="C48" i="109"/>
  <c r="B48" i="109"/>
  <c r="C47" i="109"/>
  <c r="B47" i="109"/>
  <c r="C46" i="109"/>
  <c r="B46" i="109"/>
  <c r="C45" i="109"/>
  <c r="B45" i="109"/>
  <c r="C44" i="109"/>
  <c r="B44" i="109"/>
  <c r="C43" i="109"/>
  <c r="B43" i="109"/>
  <c r="C42" i="109"/>
  <c r="B42" i="109"/>
  <c r="C41" i="109"/>
  <c r="B41" i="109"/>
  <c r="C40" i="109"/>
  <c r="B40" i="109"/>
  <c r="C39" i="109"/>
  <c r="B39" i="109"/>
  <c r="C38" i="109"/>
  <c r="B38" i="109"/>
  <c r="C37" i="109"/>
  <c r="B37" i="109"/>
  <c r="C36" i="109"/>
  <c r="B36" i="109"/>
  <c r="C35" i="109"/>
  <c r="B35" i="109"/>
  <c r="C34" i="109"/>
  <c r="B34" i="109"/>
  <c r="C33" i="109"/>
  <c r="B33" i="109"/>
  <c r="C32" i="109"/>
  <c r="B32" i="109"/>
  <c r="C31" i="109"/>
  <c r="B31" i="109"/>
  <c r="C30" i="109"/>
  <c r="B30" i="109"/>
  <c r="C29" i="109"/>
  <c r="B29" i="109"/>
  <c r="C28" i="109"/>
  <c r="B28" i="109"/>
  <c r="C27" i="109"/>
  <c r="B27" i="109"/>
  <c r="C26" i="109"/>
  <c r="B26" i="109"/>
  <c r="C25" i="109"/>
  <c r="B25" i="109"/>
  <c r="C24" i="109"/>
  <c r="B24" i="109"/>
  <c r="C23" i="109"/>
  <c r="B23" i="109"/>
  <c r="C22" i="109"/>
  <c r="B22" i="109"/>
  <c r="C21" i="109"/>
  <c r="B21" i="109"/>
  <c r="C20" i="109"/>
  <c r="B20" i="109"/>
  <c r="C19" i="109"/>
  <c r="B19" i="109"/>
  <c r="C18" i="109"/>
  <c r="B18" i="109"/>
  <c r="C17" i="109"/>
  <c r="B17" i="109"/>
  <c r="C16" i="109"/>
  <c r="B16" i="109"/>
  <c r="C15" i="109"/>
  <c r="B15" i="109"/>
  <c r="C14" i="109"/>
  <c r="B14" i="109"/>
  <c r="C13" i="109"/>
  <c r="B13" i="109"/>
  <c r="C12" i="109"/>
  <c r="B12" i="109"/>
  <c r="C11" i="109"/>
  <c r="B11" i="109"/>
  <c r="C10" i="109"/>
  <c r="B10" i="109"/>
  <c r="C9" i="109"/>
  <c r="B9" i="109"/>
  <c r="C8" i="109"/>
  <c r="B8" i="109"/>
  <c r="C7" i="109"/>
  <c r="B7" i="109"/>
  <c r="C6" i="109"/>
  <c r="B6" i="109"/>
  <c r="C118" i="114"/>
  <c r="B118" i="114"/>
  <c r="C117" i="114"/>
  <c r="B117" i="114"/>
  <c r="C116" i="114"/>
  <c r="B116" i="114"/>
  <c r="C113" i="114"/>
  <c r="B113" i="114"/>
  <c r="C112" i="114"/>
  <c r="B112" i="114"/>
  <c r="C111" i="114"/>
  <c r="B111" i="114"/>
  <c r="C110" i="114"/>
  <c r="B110" i="114"/>
  <c r="C109" i="114"/>
  <c r="B109" i="114"/>
  <c r="C108" i="114"/>
  <c r="B108" i="114"/>
  <c r="C107" i="114"/>
  <c r="B107" i="114"/>
  <c r="C106" i="114"/>
  <c r="B106" i="114"/>
  <c r="C105" i="114"/>
  <c r="B105" i="114"/>
  <c r="C104" i="114"/>
  <c r="B104" i="114"/>
  <c r="C103" i="114"/>
  <c r="B103" i="114"/>
  <c r="C102" i="114"/>
  <c r="B102" i="114"/>
  <c r="C101" i="114"/>
  <c r="B101" i="114"/>
  <c r="C100" i="114"/>
  <c r="B100" i="114"/>
  <c r="C99" i="114"/>
  <c r="B99" i="114"/>
  <c r="C98" i="114"/>
  <c r="B98" i="114"/>
  <c r="C97" i="114"/>
  <c r="B97" i="114"/>
  <c r="C96" i="114"/>
  <c r="B96" i="114"/>
  <c r="C95" i="114"/>
  <c r="B95" i="114"/>
  <c r="C94" i="114"/>
  <c r="B94" i="114"/>
  <c r="C93" i="114"/>
  <c r="B93" i="114"/>
  <c r="C92" i="114"/>
  <c r="B92" i="114"/>
  <c r="C91" i="114"/>
  <c r="B91" i="114"/>
  <c r="C90" i="114"/>
  <c r="B90" i="114"/>
  <c r="C89" i="114"/>
  <c r="B89" i="114"/>
  <c r="C88" i="114"/>
  <c r="B88" i="114"/>
  <c r="C87" i="114"/>
  <c r="B87" i="114"/>
  <c r="C86" i="114"/>
  <c r="B86" i="114"/>
  <c r="C85" i="114"/>
  <c r="B85" i="114"/>
  <c r="C84" i="114"/>
  <c r="B84" i="114"/>
  <c r="C83" i="114"/>
  <c r="B83" i="114"/>
  <c r="C82" i="114"/>
  <c r="B82" i="114"/>
  <c r="C81" i="114"/>
  <c r="B81" i="114"/>
  <c r="C80" i="114"/>
  <c r="B80" i="114"/>
  <c r="C79" i="114"/>
  <c r="B79" i="114"/>
  <c r="C78" i="114"/>
  <c r="B78" i="114"/>
  <c r="C77" i="114"/>
  <c r="B77" i="114"/>
  <c r="C76" i="114"/>
  <c r="B76" i="114"/>
  <c r="C75" i="114"/>
  <c r="B75" i="114"/>
  <c r="C74" i="114"/>
  <c r="B74" i="114"/>
  <c r="C73" i="114"/>
  <c r="B73" i="114"/>
  <c r="C72" i="114"/>
  <c r="B72" i="114"/>
  <c r="C71" i="114"/>
  <c r="B71" i="114"/>
  <c r="C70" i="114"/>
  <c r="B70" i="114"/>
  <c r="C69" i="114"/>
  <c r="B69" i="114"/>
  <c r="C68" i="114"/>
  <c r="B68" i="114"/>
  <c r="C67" i="114"/>
  <c r="B67" i="114"/>
  <c r="C66" i="114"/>
  <c r="B66" i="114"/>
  <c r="C65" i="114"/>
  <c r="B65" i="114"/>
  <c r="C64" i="114"/>
  <c r="B64" i="114"/>
  <c r="C63" i="114"/>
  <c r="B63" i="114"/>
  <c r="C62" i="114"/>
  <c r="B62" i="114"/>
  <c r="C61" i="114"/>
  <c r="B61" i="114"/>
  <c r="C60" i="114"/>
  <c r="B60" i="114"/>
  <c r="C59" i="114"/>
  <c r="B59" i="114"/>
  <c r="C58" i="114"/>
  <c r="B58" i="114"/>
  <c r="C57" i="114"/>
  <c r="B57" i="114"/>
  <c r="C56" i="114"/>
  <c r="B56" i="114"/>
  <c r="C55" i="114"/>
  <c r="B55" i="114"/>
  <c r="C54" i="114"/>
  <c r="B54" i="114"/>
  <c r="C53" i="114"/>
  <c r="B53" i="114"/>
  <c r="C52" i="114"/>
  <c r="B52" i="114"/>
  <c r="C51" i="114"/>
  <c r="B51" i="114"/>
  <c r="C50" i="114"/>
  <c r="B50" i="114"/>
  <c r="C49" i="114"/>
  <c r="B49" i="114"/>
  <c r="C48" i="114"/>
  <c r="B48" i="114"/>
  <c r="C47" i="114"/>
  <c r="B47" i="114"/>
  <c r="C46" i="114"/>
  <c r="B46" i="114"/>
  <c r="C45" i="114"/>
  <c r="B45" i="114"/>
  <c r="C44" i="114"/>
  <c r="B44" i="114"/>
  <c r="C43" i="114"/>
  <c r="B43" i="114"/>
  <c r="C42" i="114"/>
  <c r="B42" i="114"/>
  <c r="C41" i="114"/>
  <c r="B41" i="114"/>
  <c r="C40" i="114"/>
  <c r="B40" i="114"/>
  <c r="C39" i="114"/>
  <c r="B39" i="114"/>
  <c r="C38" i="114"/>
  <c r="B38" i="114"/>
  <c r="C37" i="114"/>
  <c r="B37" i="114"/>
  <c r="C36" i="114"/>
  <c r="B36" i="114"/>
  <c r="C35" i="114"/>
  <c r="B35" i="114"/>
  <c r="C34" i="114"/>
  <c r="B34" i="114"/>
  <c r="C33" i="114"/>
  <c r="B33" i="114"/>
  <c r="C32" i="114"/>
  <c r="B32" i="114"/>
  <c r="C31" i="114"/>
  <c r="B31" i="114"/>
  <c r="C30" i="114"/>
  <c r="B30" i="114"/>
  <c r="C29" i="114"/>
  <c r="B29" i="114"/>
  <c r="C28" i="114"/>
  <c r="B28" i="114"/>
  <c r="C27" i="114"/>
  <c r="B27" i="114"/>
  <c r="C26" i="114"/>
  <c r="B26" i="114"/>
  <c r="C25" i="114"/>
  <c r="B25" i="114"/>
  <c r="C24" i="114"/>
  <c r="B24" i="114"/>
  <c r="C23" i="114"/>
  <c r="B23" i="114"/>
  <c r="C22" i="114"/>
  <c r="B22" i="114"/>
  <c r="C21" i="114"/>
  <c r="B21" i="114"/>
  <c r="C20" i="114"/>
  <c r="B20" i="114"/>
  <c r="C19" i="114"/>
  <c r="B19" i="114"/>
  <c r="C18" i="114"/>
  <c r="B18" i="114"/>
  <c r="C17" i="114"/>
  <c r="B17" i="114"/>
  <c r="C16" i="114"/>
  <c r="B16" i="114"/>
  <c r="C15" i="114"/>
  <c r="B15" i="114"/>
  <c r="C14" i="114"/>
  <c r="B14" i="114"/>
  <c r="C13" i="114"/>
  <c r="B13" i="114"/>
  <c r="C12" i="114"/>
  <c r="B12" i="114"/>
  <c r="C11" i="114"/>
  <c r="B11" i="114"/>
  <c r="C10" i="114"/>
  <c r="B10" i="114"/>
  <c r="C9" i="114"/>
  <c r="B9" i="114"/>
  <c r="C8" i="114"/>
  <c r="B8" i="114"/>
  <c r="C7" i="114"/>
  <c r="B7" i="114"/>
  <c r="C6" i="114"/>
  <c r="B6" i="114"/>
  <c r="C118" i="113"/>
  <c r="B118" i="113"/>
  <c r="C117" i="113"/>
  <c r="B117" i="113"/>
  <c r="C116" i="113"/>
  <c r="B116" i="113"/>
  <c r="B113" i="113"/>
  <c r="C112" i="113"/>
  <c r="B112" i="113"/>
  <c r="C111" i="113"/>
  <c r="B111" i="113"/>
  <c r="C110" i="113"/>
  <c r="B110" i="113"/>
  <c r="C109" i="113"/>
  <c r="B109" i="113"/>
  <c r="C108" i="113"/>
  <c r="B108" i="113"/>
  <c r="C107" i="113"/>
  <c r="B107" i="113"/>
  <c r="C106" i="113"/>
  <c r="B106" i="113"/>
  <c r="C105" i="113"/>
  <c r="B105" i="113"/>
  <c r="C104" i="113"/>
  <c r="B104" i="113"/>
  <c r="C103" i="113"/>
  <c r="B103" i="113"/>
  <c r="C102" i="113"/>
  <c r="B102" i="113"/>
  <c r="C101" i="113"/>
  <c r="B101" i="113"/>
  <c r="C100" i="113"/>
  <c r="B100" i="113"/>
  <c r="C99" i="113"/>
  <c r="B99" i="113"/>
  <c r="C98" i="113"/>
  <c r="B98" i="113"/>
  <c r="C97" i="113"/>
  <c r="B97" i="113"/>
  <c r="C96" i="113"/>
  <c r="B96" i="113"/>
  <c r="C95" i="113"/>
  <c r="B95" i="113"/>
  <c r="C94" i="113"/>
  <c r="B94" i="113"/>
  <c r="C93" i="113"/>
  <c r="B93" i="113"/>
  <c r="C92" i="113"/>
  <c r="B92" i="113"/>
  <c r="C91" i="113"/>
  <c r="B91" i="113"/>
  <c r="C90" i="113"/>
  <c r="B90" i="113"/>
  <c r="C89" i="113"/>
  <c r="B89" i="113"/>
  <c r="C88" i="113"/>
  <c r="B88" i="113"/>
  <c r="C87" i="113"/>
  <c r="B87" i="113"/>
  <c r="C86" i="113"/>
  <c r="B86" i="113"/>
  <c r="C85" i="113"/>
  <c r="B85" i="113"/>
  <c r="C84" i="113"/>
  <c r="B84" i="113"/>
  <c r="C83" i="113"/>
  <c r="B83" i="113"/>
  <c r="C82" i="113"/>
  <c r="B82" i="113"/>
  <c r="C81" i="113"/>
  <c r="B81" i="113"/>
  <c r="C80" i="113"/>
  <c r="B80" i="113"/>
  <c r="C79" i="113"/>
  <c r="B79" i="113"/>
  <c r="C78" i="113"/>
  <c r="B78" i="113"/>
  <c r="C77" i="113"/>
  <c r="B77" i="113"/>
  <c r="C76" i="113"/>
  <c r="B76" i="113"/>
  <c r="C75" i="113"/>
  <c r="B75" i="113"/>
  <c r="C74" i="113"/>
  <c r="B74" i="113"/>
  <c r="C73" i="113"/>
  <c r="B73" i="113"/>
  <c r="C72" i="113"/>
  <c r="B72" i="113"/>
  <c r="C71" i="113"/>
  <c r="B71" i="113"/>
  <c r="C70" i="113"/>
  <c r="B70" i="113"/>
  <c r="C69" i="113"/>
  <c r="B69" i="113"/>
  <c r="C68" i="113"/>
  <c r="B68" i="113"/>
  <c r="C67" i="113"/>
  <c r="B67" i="113"/>
  <c r="C66" i="113"/>
  <c r="B66" i="113"/>
  <c r="C65" i="113"/>
  <c r="B65" i="113"/>
  <c r="C64" i="113"/>
  <c r="B64" i="113"/>
  <c r="C63" i="113"/>
  <c r="B63" i="113"/>
  <c r="C62" i="113"/>
  <c r="B62" i="113"/>
  <c r="C61" i="113"/>
  <c r="B61" i="113"/>
  <c r="C60" i="113"/>
  <c r="B60" i="113"/>
  <c r="C59" i="113"/>
  <c r="B59" i="113"/>
  <c r="C58" i="113"/>
  <c r="B58" i="113"/>
  <c r="C57" i="113"/>
  <c r="B57" i="113"/>
  <c r="C56" i="113"/>
  <c r="B56" i="113"/>
  <c r="C55" i="113"/>
  <c r="B55" i="113"/>
  <c r="C54" i="113"/>
  <c r="B54" i="113"/>
  <c r="C53" i="113"/>
  <c r="B53" i="113"/>
  <c r="C52" i="113"/>
  <c r="B52" i="113"/>
  <c r="C51" i="113"/>
  <c r="B51" i="113"/>
  <c r="C50" i="113"/>
  <c r="B50" i="113"/>
  <c r="C49" i="113"/>
  <c r="B49" i="113"/>
  <c r="C48" i="113"/>
  <c r="B48" i="113"/>
  <c r="C47" i="113"/>
  <c r="B47" i="113"/>
  <c r="C46" i="113"/>
  <c r="B46" i="113"/>
  <c r="C45" i="113"/>
  <c r="B45" i="113"/>
  <c r="C44" i="113"/>
  <c r="B44" i="113"/>
  <c r="C43" i="113"/>
  <c r="B43" i="113"/>
  <c r="C42" i="113"/>
  <c r="B42" i="113"/>
  <c r="C41" i="113"/>
  <c r="B41" i="113"/>
  <c r="C40" i="113"/>
  <c r="B40" i="113"/>
  <c r="C39" i="113"/>
  <c r="B39" i="113"/>
  <c r="C38" i="113"/>
  <c r="B38" i="113"/>
  <c r="C37" i="113"/>
  <c r="B37" i="113"/>
  <c r="C36" i="113"/>
  <c r="B36" i="113"/>
  <c r="C35" i="113"/>
  <c r="B35" i="113"/>
  <c r="C34" i="113"/>
  <c r="B34" i="113"/>
  <c r="C33" i="113"/>
  <c r="B33" i="113"/>
  <c r="C32" i="113"/>
  <c r="B32" i="113"/>
  <c r="C31" i="113"/>
  <c r="B31" i="113"/>
  <c r="C30" i="113"/>
  <c r="B30" i="113"/>
  <c r="C29" i="113"/>
  <c r="B29" i="113"/>
  <c r="C28" i="113"/>
  <c r="B28" i="113"/>
  <c r="C27" i="113"/>
  <c r="B27" i="113"/>
  <c r="C26" i="113"/>
  <c r="B26" i="113"/>
  <c r="C25" i="113"/>
  <c r="B25" i="113"/>
  <c r="C24" i="113"/>
  <c r="B24" i="113"/>
  <c r="C23" i="113"/>
  <c r="B23" i="113"/>
  <c r="C22" i="113"/>
  <c r="B22" i="113"/>
  <c r="C21" i="113"/>
  <c r="B21" i="113"/>
  <c r="C20" i="113"/>
  <c r="B20" i="113"/>
  <c r="C19" i="113"/>
  <c r="B19" i="113"/>
  <c r="C18" i="113"/>
  <c r="B18" i="113"/>
  <c r="C17" i="113"/>
  <c r="B17" i="113"/>
  <c r="C16" i="113"/>
  <c r="B16" i="113"/>
  <c r="C15" i="113"/>
  <c r="B15" i="113"/>
  <c r="C14" i="113"/>
  <c r="B14" i="113"/>
  <c r="C13" i="113"/>
  <c r="B13" i="113"/>
  <c r="C12" i="113"/>
  <c r="B12" i="113"/>
  <c r="C11" i="113"/>
  <c r="B11" i="113"/>
  <c r="C10" i="113"/>
  <c r="B10" i="113"/>
  <c r="C9" i="113"/>
  <c r="B9" i="113"/>
  <c r="C8" i="113"/>
  <c r="B8" i="113"/>
  <c r="C7" i="113"/>
  <c r="B7" i="113"/>
  <c r="C6" i="113"/>
  <c r="B6" i="113"/>
  <c r="D24" i="123" l="1"/>
  <c r="D25" i="123"/>
  <c r="D26" i="123"/>
  <c r="D27" i="123"/>
  <c r="D28" i="123"/>
  <c r="D29" i="123"/>
  <c r="D30" i="123"/>
  <c r="D20" i="123"/>
  <c r="D21" i="123"/>
  <c r="D22" i="123"/>
  <c r="D23" i="123"/>
  <c r="D23" i="115" l="1"/>
  <c r="D23" i="109"/>
  <c r="D23" i="113"/>
  <c r="D23" i="114"/>
  <c r="D26" i="115"/>
  <c r="D26" i="109"/>
  <c r="D26" i="114"/>
  <c r="D26" i="113"/>
  <c r="D21" i="115"/>
  <c r="D21" i="109"/>
  <c r="D21" i="114"/>
  <c r="D21" i="113"/>
  <c r="D24" i="115"/>
  <c r="D24" i="109"/>
  <c r="D24" i="114"/>
  <c r="D24" i="113"/>
  <c r="D20" i="115"/>
  <c r="D20" i="109"/>
  <c r="D20" i="113"/>
  <c r="D20" i="114"/>
  <c r="D22" i="109"/>
  <c r="H22" i="109" s="1"/>
  <c r="D22" i="114"/>
  <c r="D22" i="115"/>
  <c r="D22" i="113"/>
  <c r="D25" i="109"/>
  <c r="D25" i="115"/>
  <c r="D25" i="114"/>
  <c r="D25" i="113"/>
  <c r="D30" i="109"/>
  <c r="D30" i="115"/>
  <c r="D30" i="114"/>
  <c r="D30" i="113"/>
  <c r="D29" i="115"/>
  <c r="D29" i="113"/>
  <c r="D29" i="109"/>
  <c r="D29" i="114"/>
  <c r="D28" i="115"/>
  <c r="D28" i="113"/>
  <c r="D28" i="109"/>
  <c r="D28" i="114"/>
  <c r="D27" i="115"/>
  <c r="D27" i="109"/>
  <c r="D27" i="113"/>
  <c r="D27" i="114"/>
  <c r="J27" i="115" l="1"/>
  <c r="K27" i="115"/>
  <c r="L27" i="115"/>
  <c r="G27" i="115"/>
  <c r="H27" i="115"/>
  <c r="I27" i="115"/>
  <c r="M27" i="115"/>
  <c r="N27" i="115"/>
  <c r="E27" i="115"/>
  <c r="F27" i="115"/>
  <c r="H28" i="115"/>
  <c r="I28" i="115"/>
  <c r="J28" i="115"/>
  <c r="E28" i="115"/>
  <c r="M28" i="115"/>
  <c r="F28" i="115"/>
  <c r="N28" i="115"/>
  <c r="L28" i="115"/>
  <c r="K28" i="115"/>
  <c r="G28" i="115"/>
  <c r="N24" i="115"/>
  <c r="K24" i="115"/>
  <c r="N26" i="115"/>
  <c r="K26" i="115"/>
  <c r="I22" i="115"/>
  <c r="J22" i="115"/>
  <c r="K22" i="115"/>
  <c r="F22" i="115"/>
  <c r="N22" i="115"/>
  <c r="G22" i="115"/>
  <c r="M22" i="115"/>
  <c r="E22" i="115"/>
  <c r="H22" i="115"/>
  <c r="L22" i="115"/>
  <c r="N30" i="115"/>
  <c r="K30" i="115"/>
  <c r="N25" i="115"/>
  <c r="K25" i="115"/>
  <c r="K29" i="115"/>
  <c r="N29" i="115"/>
  <c r="N20" i="115"/>
  <c r="K20" i="115"/>
  <c r="K21" i="115"/>
  <c r="N21" i="115"/>
  <c r="G23" i="115"/>
  <c r="H23" i="115"/>
  <c r="I23" i="115"/>
  <c r="L23" i="115"/>
  <c r="E23" i="115"/>
  <c r="M23" i="115"/>
  <c r="F23" i="115"/>
  <c r="J23" i="115"/>
  <c r="K23" i="115"/>
  <c r="N23" i="115"/>
  <c r="L30" i="113"/>
  <c r="J30" i="113"/>
  <c r="F30" i="113"/>
  <c r="J26" i="113"/>
  <c r="L26" i="113"/>
  <c r="L30" i="114"/>
  <c r="H30" i="114"/>
  <c r="J30" i="114"/>
  <c r="F30" i="114"/>
  <c r="H24" i="114"/>
  <c r="L24" i="114"/>
  <c r="F24" i="114"/>
  <c r="J24" i="114"/>
  <c r="L26" i="114"/>
  <c r="J26" i="114"/>
  <c r="L28" i="114"/>
  <c r="J28" i="114"/>
  <c r="J22" i="113"/>
  <c r="L22" i="113"/>
  <c r="L24" i="113"/>
  <c r="J24" i="113"/>
  <c r="F24" i="113"/>
  <c r="L28" i="113"/>
  <c r="J28" i="113"/>
  <c r="L22" i="114"/>
  <c r="J22" i="114"/>
  <c r="H27" i="114"/>
  <c r="L27" i="114"/>
  <c r="J27" i="114"/>
  <c r="F27" i="114"/>
  <c r="L29" i="114"/>
  <c r="J29" i="114"/>
  <c r="L25" i="113"/>
  <c r="F25" i="113"/>
  <c r="J25" i="113"/>
  <c r="L20" i="114"/>
  <c r="J20" i="114"/>
  <c r="L21" i="113"/>
  <c r="F21" i="113"/>
  <c r="J21" i="113"/>
  <c r="L23" i="114"/>
  <c r="J23" i="114"/>
  <c r="F23" i="114"/>
  <c r="H23" i="114"/>
  <c r="F27" i="113"/>
  <c r="J27" i="113"/>
  <c r="L27" i="113"/>
  <c r="L25" i="114"/>
  <c r="J25" i="114"/>
  <c r="F25" i="114"/>
  <c r="H25" i="114"/>
  <c r="L20" i="113"/>
  <c r="J20" i="113"/>
  <c r="F21" i="114"/>
  <c r="L21" i="114"/>
  <c r="J21" i="114"/>
  <c r="H21" i="114"/>
  <c r="F23" i="113"/>
  <c r="J23" i="113"/>
  <c r="L23" i="113"/>
  <c r="L29" i="113"/>
  <c r="J29" i="113"/>
  <c r="C33" i="111" l="1"/>
  <c r="B33" i="111"/>
  <c r="C41" i="111"/>
  <c r="B41" i="111"/>
  <c r="C40" i="111"/>
  <c r="B40" i="111"/>
  <c r="C35" i="111"/>
  <c r="B35" i="111"/>
  <c r="H29" i="114" l="1"/>
  <c r="F29" i="114"/>
  <c r="F29" i="113"/>
  <c r="F22" i="113"/>
  <c r="F22" i="114"/>
  <c r="F20" i="113"/>
  <c r="F20" i="114"/>
  <c r="F28" i="114"/>
  <c r="F28" i="113"/>
  <c r="F26" i="114"/>
  <c r="F26" i="113"/>
  <c r="C38" i="111" l="1"/>
  <c r="B38" i="111"/>
  <c r="C30" i="111"/>
  <c r="B30" i="111"/>
  <c r="B74" i="91" l="1"/>
  <c r="B37" i="111" l="1"/>
  <c r="B34" i="111"/>
  <c r="B29" i="111"/>
  <c r="C37" i="111"/>
  <c r="C34" i="111"/>
  <c r="C29" i="111"/>
  <c r="G29" i="113" l="1"/>
  <c r="M29" i="113"/>
  <c r="G29" i="114"/>
  <c r="M29" i="114"/>
  <c r="E29" i="113" l="1"/>
  <c r="D38" i="123"/>
  <c r="D108" i="123"/>
  <c r="D106" i="123"/>
  <c r="B23" i="111"/>
  <c r="C22" i="111"/>
  <c r="D90" i="123"/>
  <c r="D14" i="123"/>
  <c r="K106" i="113" l="1"/>
  <c r="K38" i="114"/>
  <c r="K39" i="114"/>
  <c r="D108" i="109"/>
  <c r="D108" i="115"/>
  <c r="D108" i="114"/>
  <c r="D108" i="113"/>
  <c r="D14" i="115"/>
  <c r="D14" i="114"/>
  <c r="D14" i="109"/>
  <c r="D14" i="113"/>
  <c r="D90" i="109"/>
  <c r="D90" i="115"/>
  <c r="D90" i="114"/>
  <c r="D90" i="113"/>
  <c r="D38" i="115"/>
  <c r="D38" i="109"/>
  <c r="D38" i="114"/>
  <c r="D38" i="113"/>
  <c r="D114" i="109"/>
  <c r="D114" i="115"/>
  <c r="D116" i="114"/>
  <c r="D116" i="113"/>
  <c r="D106" i="109"/>
  <c r="D106" i="115"/>
  <c r="D106" i="114"/>
  <c r="D106" i="113"/>
  <c r="C23" i="111"/>
  <c r="B22" i="111"/>
  <c r="B21" i="111"/>
  <c r="C21" i="111"/>
  <c r="N106" i="115" l="1"/>
  <c r="L106" i="115"/>
  <c r="N38" i="115"/>
  <c r="N14" i="115"/>
  <c r="K14" i="115"/>
  <c r="K114" i="115"/>
  <c r="L114" i="115"/>
  <c r="F114" i="115"/>
  <c r="E114" i="115"/>
  <c r="M114" i="115"/>
  <c r="N114" i="115"/>
  <c r="G114" i="115"/>
  <c r="H114" i="115"/>
  <c r="J114" i="115"/>
  <c r="I114" i="115"/>
  <c r="K90" i="115"/>
  <c r="N90" i="115"/>
  <c r="K108" i="115"/>
  <c r="N108" i="115"/>
  <c r="K107" i="114"/>
  <c r="K106" i="114"/>
  <c r="K106" i="109"/>
  <c r="K39" i="109"/>
  <c r="K38" i="109"/>
  <c r="K38" i="113"/>
  <c r="K39" i="113"/>
  <c r="J114" i="109"/>
  <c r="F114" i="109"/>
  <c r="J106" i="113"/>
  <c r="F106" i="113"/>
  <c r="J38" i="113"/>
  <c r="L38" i="113"/>
  <c r="F38" i="113"/>
  <c r="J14" i="113"/>
  <c r="L14" i="113"/>
  <c r="F14" i="113"/>
  <c r="H106" i="114"/>
  <c r="H106" i="115" s="1"/>
  <c r="J106" i="114"/>
  <c r="F106" i="114"/>
  <c r="F38" i="114"/>
  <c r="H38" i="114"/>
  <c r="I38" i="114" s="1"/>
  <c r="I38" i="115" s="1"/>
  <c r="L38" i="114"/>
  <c r="J38" i="114"/>
  <c r="L14" i="114"/>
  <c r="J14" i="114"/>
  <c r="F14" i="114"/>
  <c r="H14" i="114"/>
  <c r="J106" i="109"/>
  <c r="F106" i="109"/>
  <c r="H116" i="114"/>
  <c r="J116" i="114"/>
  <c r="L116" i="114"/>
  <c r="F116" i="114"/>
  <c r="L116" i="113"/>
  <c r="J116" i="113"/>
  <c r="F116" i="113"/>
  <c r="L90" i="113"/>
  <c r="F90" i="113"/>
  <c r="J90" i="113"/>
  <c r="L108" i="113"/>
  <c r="J108" i="113"/>
  <c r="F108" i="113"/>
  <c r="F90" i="114"/>
  <c r="L90" i="114"/>
  <c r="J90" i="114"/>
  <c r="H90" i="114"/>
  <c r="I90" i="114" s="1"/>
  <c r="I90" i="115" s="1"/>
  <c r="L108" i="114"/>
  <c r="F108" i="114"/>
  <c r="H108" i="114"/>
  <c r="J108" i="114"/>
  <c r="J108" i="109"/>
  <c r="F108" i="109"/>
  <c r="M106" i="114"/>
  <c r="G106" i="114"/>
  <c r="G14" i="113"/>
  <c r="M14" i="113"/>
  <c r="G14" i="114"/>
  <c r="M14" i="114"/>
  <c r="M90" i="113"/>
  <c r="G90" i="113"/>
  <c r="M108" i="114"/>
  <c r="G108" i="114"/>
  <c r="M90" i="114"/>
  <c r="G90" i="114"/>
  <c r="G38" i="113"/>
  <c r="M38" i="113"/>
  <c r="M106" i="113"/>
  <c r="G106" i="113"/>
  <c r="M108" i="113"/>
  <c r="G108" i="113"/>
  <c r="M38" i="114"/>
  <c r="G38" i="114"/>
  <c r="F108" i="115" l="1"/>
  <c r="J108" i="115"/>
  <c r="E108" i="113"/>
  <c r="J106" i="115"/>
  <c r="F106" i="115"/>
  <c r="K106" i="115"/>
  <c r="K38" i="115"/>
  <c r="I106" i="114"/>
  <c r="I106" i="115" s="1"/>
  <c r="E90" i="114"/>
  <c r="E90" i="113"/>
  <c r="I14" i="114"/>
  <c r="I14" i="115" s="1"/>
  <c r="I108" i="114"/>
  <c r="E14" i="113"/>
  <c r="E106" i="113"/>
  <c r="E38" i="114"/>
  <c r="E38" i="113"/>
  <c r="H28" i="114"/>
  <c r="H22" i="114"/>
  <c r="H26" i="114"/>
  <c r="H20" i="114"/>
  <c r="E108" i="114" l="1"/>
  <c r="I108" i="115"/>
  <c r="E106" i="114"/>
  <c r="E14" i="114"/>
  <c r="I29" i="114"/>
  <c r="I29" i="115" s="1"/>
  <c r="E29" i="114" l="1"/>
  <c r="D91" i="123"/>
  <c r="D91" i="115" l="1"/>
  <c r="D91" i="109"/>
  <c r="D91" i="113"/>
  <c r="D91" i="114"/>
  <c r="D39" i="123"/>
  <c r="D117" i="123"/>
  <c r="D15" i="123"/>
  <c r="I91" i="115" l="1"/>
  <c r="J91" i="115"/>
  <c r="K91" i="115"/>
  <c r="F91" i="115"/>
  <c r="N91" i="115"/>
  <c r="G91" i="115"/>
  <c r="M91" i="115"/>
  <c r="E91" i="115"/>
  <c r="L91" i="115"/>
  <c r="H91" i="115"/>
  <c r="D117" i="115"/>
  <c r="D117" i="109"/>
  <c r="D15" i="115"/>
  <c r="D15" i="109"/>
  <c r="D15" i="113"/>
  <c r="D15" i="114"/>
  <c r="D115" i="115"/>
  <c r="D115" i="109"/>
  <c r="D117" i="113"/>
  <c r="D117" i="114"/>
  <c r="D39" i="115"/>
  <c r="D39" i="113"/>
  <c r="D39" i="109"/>
  <c r="D39" i="114"/>
  <c r="J91" i="114"/>
  <c r="L91" i="114"/>
  <c r="F91" i="114"/>
  <c r="H91" i="114"/>
  <c r="I91" i="114" s="1"/>
  <c r="F91" i="113"/>
  <c r="J91" i="113"/>
  <c r="L91" i="113"/>
  <c r="G91" i="113"/>
  <c r="M91" i="113"/>
  <c r="G91" i="114"/>
  <c r="M91" i="114"/>
  <c r="M22" i="113"/>
  <c r="G22" i="113"/>
  <c r="M22" i="114"/>
  <c r="G22" i="114"/>
  <c r="D7" i="123"/>
  <c r="D8" i="123"/>
  <c r="D9" i="123"/>
  <c r="D10" i="123"/>
  <c r="D11" i="123"/>
  <c r="D12" i="123"/>
  <c r="D13" i="123"/>
  <c r="D16" i="123"/>
  <c r="D17" i="123"/>
  <c r="D18" i="123"/>
  <c r="D19" i="123"/>
  <c r="D31" i="123"/>
  <c r="D32" i="123"/>
  <c r="D33" i="123"/>
  <c r="D34" i="123"/>
  <c r="D35" i="123"/>
  <c r="D36" i="123"/>
  <c r="D37" i="123"/>
  <c r="D40" i="123"/>
  <c r="D41" i="123"/>
  <c r="D42" i="123"/>
  <c r="D43" i="123"/>
  <c r="D44" i="123"/>
  <c r="D45" i="123"/>
  <c r="D46" i="123"/>
  <c r="D47" i="123"/>
  <c r="D48" i="123"/>
  <c r="D49" i="123"/>
  <c r="D50" i="123"/>
  <c r="D51" i="123"/>
  <c r="D52" i="123"/>
  <c r="D53" i="123"/>
  <c r="D54" i="123"/>
  <c r="D55" i="123"/>
  <c r="D56" i="123"/>
  <c r="D57" i="123"/>
  <c r="D58" i="123"/>
  <c r="D59" i="123"/>
  <c r="D60" i="123"/>
  <c r="D61" i="123"/>
  <c r="D62" i="123"/>
  <c r="D63" i="123"/>
  <c r="D64" i="123"/>
  <c r="D65" i="123"/>
  <c r="D66" i="123"/>
  <c r="D67" i="123"/>
  <c r="D68" i="123"/>
  <c r="D69" i="123"/>
  <c r="D70" i="123"/>
  <c r="D71" i="123"/>
  <c r="D72" i="123"/>
  <c r="D73" i="123"/>
  <c r="D74" i="123"/>
  <c r="D75" i="123"/>
  <c r="D76" i="123"/>
  <c r="D77" i="123"/>
  <c r="D78" i="123"/>
  <c r="D79" i="123"/>
  <c r="D80" i="123"/>
  <c r="D81" i="123"/>
  <c r="D82" i="123"/>
  <c r="D83" i="123"/>
  <c r="D84" i="123"/>
  <c r="D85" i="123"/>
  <c r="D86" i="123"/>
  <c r="D87" i="123"/>
  <c r="D92" i="123"/>
  <c r="D88" i="123"/>
  <c r="D89" i="123"/>
  <c r="D93" i="123"/>
  <c r="D94" i="123"/>
  <c r="E94" i="123" s="1"/>
  <c r="D95" i="123"/>
  <c r="D96" i="123"/>
  <c r="D97" i="123"/>
  <c r="D98" i="123"/>
  <c r="D99" i="123"/>
  <c r="D100" i="123"/>
  <c r="D101" i="123"/>
  <c r="D102" i="123"/>
  <c r="D103" i="123"/>
  <c r="D104" i="123"/>
  <c r="D105" i="123"/>
  <c r="D107" i="123"/>
  <c r="D109" i="123"/>
  <c r="D110" i="123"/>
  <c r="D111" i="123"/>
  <c r="D113" i="113"/>
  <c r="D118" i="123"/>
  <c r="D6" i="123"/>
  <c r="K15" i="115" l="1"/>
  <c r="L15" i="115"/>
  <c r="E15" i="115"/>
  <c r="M15" i="115"/>
  <c r="H15" i="115"/>
  <c r="I15" i="115"/>
  <c r="G15" i="115"/>
  <c r="J15" i="115"/>
  <c r="F15" i="115"/>
  <c r="N15" i="115"/>
  <c r="F117" i="115"/>
  <c r="N117" i="115"/>
  <c r="J117" i="115"/>
  <c r="G117" i="115"/>
  <c r="H117" i="115"/>
  <c r="I117" i="115"/>
  <c r="K117" i="115"/>
  <c r="E117" i="115"/>
  <c r="M117" i="115"/>
  <c r="L117" i="115"/>
  <c r="K39" i="115"/>
  <c r="N39" i="115"/>
  <c r="I115" i="115"/>
  <c r="L115" i="115"/>
  <c r="E115" i="115"/>
  <c r="J115" i="115"/>
  <c r="M115" i="115"/>
  <c r="K115" i="115"/>
  <c r="F115" i="115"/>
  <c r="N115" i="115"/>
  <c r="H115" i="115"/>
  <c r="G115" i="115"/>
  <c r="D118" i="115"/>
  <c r="D118" i="109"/>
  <c r="H117" i="109"/>
  <c r="J117" i="109"/>
  <c r="G117" i="109"/>
  <c r="F117" i="109"/>
  <c r="M117" i="109"/>
  <c r="L117" i="109"/>
  <c r="M113" i="113"/>
  <c r="L113" i="113"/>
  <c r="J113" i="113"/>
  <c r="F113" i="113"/>
  <c r="G113" i="113"/>
  <c r="D103" i="115"/>
  <c r="D103" i="114"/>
  <c r="D103" i="109"/>
  <c r="D103" i="113"/>
  <c r="D77" i="115"/>
  <c r="D77" i="114"/>
  <c r="D77" i="113"/>
  <c r="D77" i="109"/>
  <c r="D53" i="115"/>
  <c r="D53" i="109"/>
  <c r="D53" i="114"/>
  <c r="D53" i="113"/>
  <c r="D16" i="115"/>
  <c r="D16" i="109"/>
  <c r="D16" i="113"/>
  <c r="D16" i="114"/>
  <c r="D116" i="109"/>
  <c r="D116" i="115"/>
  <c r="D118" i="114"/>
  <c r="D118" i="113"/>
  <c r="D104" i="115"/>
  <c r="D104" i="109"/>
  <c r="D104" i="113"/>
  <c r="D104" i="114"/>
  <c r="D96" i="115"/>
  <c r="D96" i="109"/>
  <c r="D96" i="114"/>
  <c r="D96" i="113"/>
  <c r="D86" i="109"/>
  <c r="D86" i="115"/>
  <c r="D86" i="113"/>
  <c r="D86" i="114"/>
  <c r="D78" i="109"/>
  <c r="H78" i="109" s="1"/>
  <c r="D78" i="115"/>
  <c r="D78" i="114"/>
  <c r="D78" i="113"/>
  <c r="D70" i="109"/>
  <c r="D70" i="115"/>
  <c r="D70" i="113"/>
  <c r="D70" i="114"/>
  <c r="D62" i="109"/>
  <c r="D62" i="115"/>
  <c r="D62" i="114"/>
  <c r="D62" i="113"/>
  <c r="D54" i="109"/>
  <c r="D54" i="115"/>
  <c r="D54" i="113"/>
  <c r="D54" i="114"/>
  <c r="D46" i="115"/>
  <c r="D46" i="109"/>
  <c r="D46" i="114"/>
  <c r="D46" i="113"/>
  <c r="D36" i="115"/>
  <c r="D36" i="109"/>
  <c r="D36" i="114"/>
  <c r="D36" i="113"/>
  <c r="D17" i="109"/>
  <c r="D17" i="115"/>
  <c r="D17" i="114"/>
  <c r="D17" i="113"/>
  <c r="D7" i="115"/>
  <c r="D7" i="109"/>
  <c r="D7" i="113"/>
  <c r="D7" i="114"/>
  <c r="J117" i="114"/>
  <c r="L117" i="114"/>
  <c r="H117" i="114"/>
  <c r="F117" i="114"/>
  <c r="J115" i="109"/>
  <c r="F115" i="109"/>
  <c r="F117" i="113"/>
  <c r="J117" i="113"/>
  <c r="L117" i="113"/>
  <c r="D112" i="115"/>
  <c r="D112" i="109"/>
  <c r="D112" i="114"/>
  <c r="D112" i="113"/>
  <c r="D102" i="109"/>
  <c r="D102" i="114"/>
  <c r="D102" i="115"/>
  <c r="D102" i="113"/>
  <c r="D94" i="109"/>
  <c r="D94" i="115"/>
  <c r="D94" i="114"/>
  <c r="D94" i="113"/>
  <c r="D84" i="109"/>
  <c r="D84" i="115"/>
  <c r="D84" i="113"/>
  <c r="D84" i="114"/>
  <c r="D76" i="109"/>
  <c r="D76" i="115"/>
  <c r="D76" i="114"/>
  <c r="D76" i="113"/>
  <c r="D68" i="109"/>
  <c r="D68" i="115"/>
  <c r="D68" i="114"/>
  <c r="D68" i="113"/>
  <c r="D60" i="109"/>
  <c r="D60" i="115"/>
  <c r="D60" i="114"/>
  <c r="D60" i="113"/>
  <c r="D52" i="109"/>
  <c r="D52" i="115"/>
  <c r="D52" i="113"/>
  <c r="D52" i="114"/>
  <c r="D44" i="115"/>
  <c r="D44" i="109"/>
  <c r="D44" i="114"/>
  <c r="D44" i="113"/>
  <c r="D34" i="115"/>
  <c r="D34" i="109"/>
  <c r="D34" i="114"/>
  <c r="D34" i="113"/>
  <c r="D13" i="115"/>
  <c r="D13" i="109"/>
  <c r="D13" i="113"/>
  <c r="D13" i="114"/>
  <c r="D111" i="109"/>
  <c r="D111" i="115"/>
  <c r="D111" i="114"/>
  <c r="D111" i="113"/>
  <c r="D93" i="115"/>
  <c r="D93" i="109"/>
  <c r="D93" i="113"/>
  <c r="D93" i="114"/>
  <c r="D83" i="115"/>
  <c r="D83" i="109"/>
  <c r="D83" i="114"/>
  <c r="D83" i="113"/>
  <c r="D75" i="115"/>
  <c r="D75" i="109"/>
  <c r="D75" i="113"/>
  <c r="D75" i="114"/>
  <c r="D67" i="115"/>
  <c r="D67" i="109"/>
  <c r="D67" i="114"/>
  <c r="D67" i="113"/>
  <c r="D59" i="115"/>
  <c r="D59" i="109"/>
  <c r="D59" i="113"/>
  <c r="D59" i="114"/>
  <c r="D51" i="115"/>
  <c r="D51" i="109"/>
  <c r="D51" i="114"/>
  <c r="D51" i="113"/>
  <c r="D43" i="115"/>
  <c r="D43" i="109"/>
  <c r="D43" i="113"/>
  <c r="D43" i="114"/>
  <c r="D33" i="109"/>
  <c r="D33" i="115"/>
  <c r="D33" i="113"/>
  <c r="D33" i="114"/>
  <c r="D12" i="115"/>
  <c r="D12" i="109"/>
  <c r="D12" i="113"/>
  <c r="D12" i="114"/>
  <c r="D110" i="109"/>
  <c r="D110" i="115"/>
  <c r="D110" i="113"/>
  <c r="D110" i="114"/>
  <c r="D74" i="109"/>
  <c r="D74" i="115"/>
  <c r="D74" i="114"/>
  <c r="D74" i="113"/>
  <c r="F39" i="114"/>
  <c r="H39" i="114"/>
  <c r="I39" i="114" s="1"/>
  <c r="I39" i="115" s="1"/>
  <c r="J39" i="114"/>
  <c r="L15" i="114"/>
  <c r="H15" i="114"/>
  <c r="J15" i="114"/>
  <c r="F15" i="114"/>
  <c r="D113" i="109"/>
  <c r="D113" i="115"/>
  <c r="D113" i="114"/>
  <c r="D85" i="115"/>
  <c r="D85" i="109"/>
  <c r="D85" i="114"/>
  <c r="D85" i="113"/>
  <c r="D61" i="115"/>
  <c r="D61" i="109"/>
  <c r="D61" i="113"/>
  <c r="D61" i="114"/>
  <c r="D35" i="115"/>
  <c r="D35" i="109"/>
  <c r="D35" i="114"/>
  <c r="D35" i="113"/>
  <c r="D100" i="109"/>
  <c r="D100" i="115"/>
  <c r="D100" i="114"/>
  <c r="D100" i="113"/>
  <c r="D89" i="109"/>
  <c r="D89" i="115"/>
  <c r="D89" i="114"/>
  <c r="D89" i="113"/>
  <c r="D82" i="109"/>
  <c r="D82" i="115"/>
  <c r="D82" i="113"/>
  <c r="D82" i="114"/>
  <c r="D66" i="109"/>
  <c r="D66" i="115"/>
  <c r="D66" i="113"/>
  <c r="D66" i="114"/>
  <c r="D58" i="109"/>
  <c r="D58" i="115"/>
  <c r="D58" i="113"/>
  <c r="D58" i="114"/>
  <c r="D50" i="109"/>
  <c r="D50" i="115"/>
  <c r="D50" i="114"/>
  <c r="D50" i="113"/>
  <c r="D42" i="115"/>
  <c r="D42" i="109"/>
  <c r="D42" i="114"/>
  <c r="D42" i="113"/>
  <c r="D32" i="115"/>
  <c r="D32" i="109"/>
  <c r="D32" i="113"/>
  <c r="D32" i="114"/>
  <c r="D11" i="115"/>
  <c r="D11" i="109"/>
  <c r="D11" i="113"/>
  <c r="D11" i="114"/>
  <c r="D73" i="109"/>
  <c r="D73" i="115"/>
  <c r="D73" i="114"/>
  <c r="D73" i="113"/>
  <c r="F15" i="113"/>
  <c r="J15" i="113"/>
  <c r="L15" i="113"/>
  <c r="D95" i="115"/>
  <c r="D95" i="114"/>
  <c r="D95" i="109"/>
  <c r="D95" i="113"/>
  <c r="D69" i="115"/>
  <c r="D69" i="109"/>
  <c r="D69" i="114"/>
  <c r="D69" i="113"/>
  <c r="D45" i="115"/>
  <c r="D45" i="109"/>
  <c r="D45" i="113"/>
  <c r="D45" i="114"/>
  <c r="D101" i="115"/>
  <c r="D101" i="109"/>
  <c r="D101" i="114"/>
  <c r="D101" i="113"/>
  <c r="D109" i="115"/>
  <c r="D109" i="114"/>
  <c r="D109" i="113"/>
  <c r="D109" i="109"/>
  <c r="D99" i="115"/>
  <c r="D99" i="109"/>
  <c r="D99" i="114"/>
  <c r="D99" i="113"/>
  <c r="D88" i="115"/>
  <c r="D88" i="109"/>
  <c r="D88" i="114"/>
  <c r="D88" i="113"/>
  <c r="D81" i="109"/>
  <c r="D81" i="115"/>
  <c r="D81" i="114"/>
  <c r="D81" i="113"/>
  <c r="D65" i="109"/>
  <c r="D65" i="115"/>
  <c r="D65" i="114"/>
  <c r="D65" i="113"/>
  <c r="D57" i="109"/>
  <c r="D57" i="115"/>
  <c r="D57" i="114"/>
  <c r="D57" i="113"/>
  <c r="D49" i="109"/>
  <c r="D49" i="115"/>
  <c r="D49" i="113"/>
  <c r="D49" i="114"/>
  <c r="D41" i="109"/>
  <c r="D41" i="115"/>
  <c r="D41" i="114"/>
  <c r="D41" i="113"/>
  <c r="D31" i="115"/>
  <c r="D31" i="109"/>
  <c r="D31" i="114"/>
  <c r="D31" i="113"/>
  <c r="D10" i="115"/>
  <c r="D10" i="109"/>
  <c r="D10" i="114"/>
  <c r="D10" i="113"/>
  <c r="D107" i="115"/>
  <c r="D107" i="109"/>
  <c r="D107" i="114"/>
  <c r="D107" i="113"/>
  <c r="D98" i="109"/>
  <c r="D98" i="115"/>
  <c r="D98" i="114"/>
  <c r="D98" i="113"/>
  <c r="D92" i="109"/>
  <c r="D92" i="115"/>
  <c r="D92" i="114"/>
  <c r="D92" i="113"/>
  <c r="D80" i="115"/>
  <c r="D80" i="109"/>
  <c r="D80" i="114"/>
  <c r="D80" i="113"/>
  <c r="D72" i="115"/>
  <c r="D72" i="109"/>
  <c r="D72" i="113"/>
  <c r="D72" i="114"/>
  <c r="D64" i="115"/>
  <c r="D64" i="109"/>
  <c r="D64" i="114"/>
  <c r="D64" i="113"/>
  <c r="D56" i="115"/>
  <c r="D56" i="109"/>
  <c r="D56" i="114"/>
  <c r="D56" i="113"/>
  <c r="D48" i="115"/>
  <c r="D48" i="109"/>
  <c r="D48" i="114"/>
  <c r="D48" i="113"/>
  <c r="D40" i="115"/>
  <c r="D40" i="109"/>
  <c r="D40" i="114"/>
  <c r="D40" i="113"/>
  <c r="D19" i="115"/>
  <c r="D19" i="109"/>
  <c r="D19" i="114"/>
  <c r="D19" i="113"/>
  <c r="D9" i="109"/>
  <c r="D9" i="115"/>
  <c r="D9" i="114"/>
  <c r="D9" i="113"/>
  <c r="F39" i="113"/>
  <c r="J39" i="113"/>
  <c r="D6" i="115"/>
  <c r="D6" i="109"/>
  <c r="D6" i="114"/>
  <c r="D6" i="113"/>
  <c r="D105" i="109"/>
  <c r="D105" i="115"/>
  <c r="D105" i="114"/>
  <c r="D105" i="113"/>
  <c r="D97" i="109"/>
  <c r="D97" i="115"/>
  <c r="D97" i="114"/>
  <c r="D97" i="113"/>
  <c r="D87" i="115"/>
  <c r="D87" i="109"/>
  <c r="D87" i="114"/>
  <c r="D87" i="113"/>
  <c r="D79" i="115"/>
  <c r="D79" i="109"/>
  <c r="D79" i="114"/>
  <c r="D79" i="113"/>
  <c r="D71" i="115"/>
  <c r="D71" i="114"/>
  <c r="D71" i="109"/>
  <c r="D71" i="113"/>
  <c r="D63" i="115"/>
  <c r="D63" i="109"/>
  <c r="D63" i="114"/>
  <c r="D63" i="113"/>
  <c r="D55" i="115"/>
  <c r="D55" i="109"/>
  <c r="D55" i="114"/>
  <c r="D55" i="113"/>
  <c r="D47" i="115"/>
  <c r="D47" i="113"/>
  <c r="D47" i="109"/>
  <c r="D47" i="114"/>
  <c r="D37" i="115"/>
  <c r="D37" i="109"/>
  <c r="D37" i="114"/>
  <c r="D37" i="113"/>
  <c r="D18" i="115"/>
  <c r="D18" i="114"/>
  <c r="D18" i="109"/>
  <c r="D18" i="113"/>
  <c r="D8" i="115"/>
  <c r="D8" i="109"/>
  <c r="D8" i="114"/>
  <c r="D8" i="113"/>
  <c r="L114" i="109"/>
  <c r="M114" i="109"/>
  <c r="H114" i="109"/>
  <c r="G114" i="109"/>
  <c r="I22" i="114"/>
  <c r="E91" i="113"/>
  <c r="E91" i="114"/>
  <c r="E22" i="113"/>
  <c r="M39" i="113"/>
  <c r="G39" i="113"/>
  <c r="G15" i="113"/>
  <c r="M15" i="113"/>
  <c r="M39" i="114"/>
  <c r="G39" i="114"/>
  <c r="G15" i="114"/>
  <c r="M15" i="114"/>
  <c r="G117" i="113"/>
  <c r="M117" i="113"/>
  <c r="G117" i="114"/>
  <c r="I117" i="114"/>
  <c r="M117" i="114"/>
  <c r="J39" i="115" l="1"/>
  <c r="N11" i="115"/>
  <c r="K11" i="115"/>
  <c r="F48" i="115"/>
  <c r="N48" i="115"/>
  <c r="G48" i="115"/>
  <c r="H48" i="115"/>
  <c r="K48" i="115"/>
  <c r="L48" i="115"/>
  <c r="E48" i="115"/>
  <c r="I48" i="115"/>
  <c r="J48" i="115"/>
  <c r="M48" i="115"/>
  <c r="N74" i="115"/>
  <c r="K74" i="115"/>
  <c r="N64" i="115"/>
  <c r="K64" i="115"/>
  <c r="N69" i="115"/>
  <c r="K69" i="115"/>
  <c r="K94" i="115"/>
  <c r="N94" i="115"/>
  <c r="K105" i="115"/>
  <c r="N105" i="115"/>
  <c r="N12" i="115"/>
  <c r="K12" i="115"/>
  <c r="N43" i="115"/>
  <c r="K43" i="115"/>
  <c r="K59" i="115"/>
  <c r="N59" i="115"/>
  <c r="F75" i="115"/>
  <c r="N75" i="115"/>
  <c r="G75" i="115"/>
  <c r="H75" i="115"/>
  <c r="K75" i="115"/>
  <c r="L75" i="115"/>
  <c r="M75" i="115"/>
  <c r="E75" i="115"/>
  <c r="J75" i="115"/>
  <c r="I75" i="115"/>
  <c r="N93" i="115"/>
  <c r="K93" i="115"/>
  <c r="N13" i="115"/>
  <c r="K13" i="115"/>
  <c r="K44" i="115"/>
  <c r="N44" i="115"/>
  <c r="K112" i="115"/>
  <c r="N112" i="115"/>
  <c r="N17" i="115"/>
  <c r="K17" i="115"/>
  <c r="N62" i="115"/>
  <c r="K62" i="115"/>
  <c r="K78" i="115"/>
  <c r="N78" i="115"/>
  <c r="K116" i="115"/>
  <c r="N116" i="115"/>
  <c r="F81" i="115"/>
  <c r="N81" i="115"/>
  <c r="G81" i="115"/>
  <c r="H81" i="115"/>
  <c r="K81" i="115"/>
  <c r="L81" i="115"/>
  <c r="I81" i="115"/>
  <c r="E81" i="115"/>
  <c r="J81" i="115"/>
  <c r="M81" i="115"/>
  <c r="N42" i="115"/>
  <c r="K42" i="115"/>
  <c r="E19" i="115"/>
  <c r="M19" i="115"/>
  <c r="F19" i="115"/>
  <c r="N19" i="115"/>
  <c r="G19" i="115"/>
  <c r="J19" i="115"/>
  <c r="K19" i="115"/>
  <c r="L19" i="115"/>
  <c r="I19" i="115"/>
  <c r="H19" i="115"/>
  <c r="K101" i="115"/>
  <c r="N101" i="115"/>
  <c r="N76" i="115"/>
  <c r="K76" i="115"/>
  <c r="L37" i="115"/>
  <c r="E37" i="115"/>
  <c r="M37" i="115"/>
  <c r="F37" i="115"/>
  <c r="N37" i="115"/>
  <c r="I37" i="115"/>
  <c r="J37" i="115"/>
  <c r="G37" i="115"/>
  <c r="K37" i="115"/>
  <c r="H37" i="115"/>
  <c r="K71" i="115"/>
  <c r="N71" i="115"/>
  <c r="N50" i="115"/>
  <c r="K50" i="115"/>
  <c r="L89" i="115"/>
  <c r="E89" i="115"/>
  <c r="M89" i="115"/>
  <c r="F89" i="115"/>
  <c r="N89" i="115"/>
  <c r="I89" i="115"/>
  <c r="J89" i="115"/>
  <c r="K89" i="115"/>
  <c r="H89" i="115"/>
  <c r="G89" i="115"/>
  <c r="K46" i="115"/>
  <c r="N46" i="115"/>
  <c r="K96" i="115"/>
  <c r="N96" i="115"/>
  <c r="K53" i="115"/>
  <c r="N53" i="115"/>
  <c r="N103" i="115"/>
  <c r="K103" i="115"/>
  <c r="N41" i="115"/>
  <c r="K41" i="115"/>
  <c r="K99" i="115"/>
  <c r="N99" i="115"/>
  <c r="I60" i="115"/>
  <c r="J60" i="115"/>
  <c r="K60" i="115"/>
  <c r="G60" i="115"/>
  <c r="E60" i="115"/>
  <c r="L60" i="115"/>
  <c r="M60" i="115"/>
  <c r="H60" i="115"/>
  <c r="N60" i="115"/>
  <c r="F60" i="115"/>
  <c r="K73" i="115"/>
  <c r="N73" i="115"/>
  <c r="K66" i="115"/>
  <c r="N66" i="115"/>
  <c r="K9" i="115"/>
  <c r="N9" i="115"/>
  <c r="G92" i="115"/>
  <c r="H92" i="115"/>
  <c r="I92" i="115"/>
  <c r="L92" i="115"/>
  <c r="E92" i="115"/>
  <c r="M92" i="115"/>
  <c r="F92" i="115"/>
  <c r="N92" i="115"/>
  <c r="J92" i="115"/>
  <c r="K92" i="115"/>
  <c r="N49" i="115"/>
  <c r="K49" i="115"/>
  <c r="J65" i="115"/>
  <c r="K65" i="115"/>
  <c r="L65" i="115"/>
  <c r="H65" i="115"/>
  <c r="E65" i="115"/>
  <c r="F65" i="115"/>
  <c r="M65" i="115"/>
  <c r="N65" i="115"/>
  <c r="G65" i="115"/>
  <c r="I65" i="115"/>
  <c r="N32" i="115"/>
  <c r="K32" i="115"/>
  <c r="H35" i="115"/>
  <c r="I35" i="115"/>
  <c r="J35" i="115"/>
  <c r="E35" i="115"/>
  <c r="M35" i="115"/>
  <c r="F35" i="115"/>
  <c r="N35" i="115"/>
  <c r="L35" i="115"/>
  <c r="G35" i="115"/>
  <c r="K35" i="115"/>
  <c r="K85" i="115"/>
  <c r="N85" i="115"/>
  <c r="K102" i="115"/>
  <c r="N102" i="115"/>
  <c r="K8" i="115"/>
  <c r="N8" i="115"/>
  <c r="N55" i="115"/>
  <c r="K55" i="115"/>
  <c r="N56" i="115"/>
  <c r="K56" i="115"/>
  <c r="K72" i="115"/>
  <c r="N72" i="115"/>
  <c r="L107" i="115"/>
  <c r="K107" i="115"/>
  <c r="N107" i="115"/>
  <c r="N31" i="115"/>
  <c r="K31" i="115"/>
  <c r="N88" i="115"/>
  <c r="K88" i="115"/>
  <c r="N109" i="115"/>
  <c r="K109" i="115"/>
  <c r="K45" i="115"/>
  <c r="N45" i="115"/>
  <c r="N95" i="115"/>
  <c r="K95" i="115"/>
  <c r="K110" i="115"/>
  <c r="N110" i="115"/>
  <c r="K33" i="115"/>
  <c r="N33" i="115"/>
  <c r="N111" i="115"/>
  <c r="K111" i="115"/>
  <c r="K52" i="115"/>
  <c r="N52" i="115"/>
  <c r="N68" i="115"/>
  <c r="K68" i="115"/>
  <c r="K84" i="115"/>
  <c r="N84" i="115"/>
  <c r="H80" i="115"/>
  <c r="I80" i="115"/>
  <c r="J80" i="115"/>
  <c r="E80" i="115"/>
  <c r="M80" i="115"/>
  <c r="F80" i="115"/>
  <c r="N80" i="115"/>
  <c r="K80" i="115"/>
  <c r="L80" i="115"/>
  <c r="G80" i="115"/>
  <c r="K10" i="115"/>
  <c r="N10" i="115"/>
  <c r="K87" i="115"/>
  <c r="N87" i="115"/>
  <c r="N40" i="115"/>
  <c r="K40" i="115"/>
  <c r="N97" i="115"/>
  <c r="K97" i="115"/>
  <c r="N113" i="115"/>
  <c r="K113" i="115"/>
  <c r="K51" i="115"/>
  <c r="N51" i="115"/>
  <c r="N67" i="115"/>
  <c r="K67" i="115"/>
  <c r="K83" i="115"/>
  <c r="N83" i="115"/>
  <c r="K34" i="115"/>
  <c r="N34" i="115"/>
  <c r="N54" i="115"/>
  <c r="K54" i="115"/>
  <c r="N70" i="115"/>
  <c r="K70" i="115"/>
  <c r="N86" i="115"/>
  <c r="K86" i="115"/>
  <c r="N57" i="115"/>
  <c r="K57" i="115"/>
  <c r="K18" i="115"/>
  <c r="N18" i="115"/>
  <c r="N47" i="115"/>
  <c r="K47" i="115"/>
  <c r="E63" i="115"/>
  <c r="M63" i="115"/>
  <c r="F63" i="115"/>
  <c r="N63" i="115"/>
  <c r="G63" i="115"/>
  <c r="K63" i="115"/>
  <c r="H63" i="115"/>
  <c r="I63" i="115"/>
  <c r="J63" i="115"/>
  <c r="L63" i="115"/>
  <c r="K79" i="115"/>
  <c r="N79" i="115"/>
  <c r="N6" i="115"/>
  <c r="K6" i="115"/>
  <c r="N58" i="115"/>
  <c r="K58" i="115"/>
  <c r="L82" i="115"/>
  <c r="E82" i="115"/>
  <c r="M82" i="115"/>
  <c r="F82" i="115"/>
  <c r="N82" i="115"/>
  <c r="I82" i="115"/>
  <c r="J82" i="115"/>
  <c r="K82" i="115"/>
  <c r="H82" i="115"/>
  <c r="G82" i="115"/>
  <c r="K100" i="115"/>
  <c r="N100" i="115"/>
  <c r="N7" i="115"/>
  <c r="K7" i="115"/>
  <c r="F36" i="115"/>
  <c r="N36" i="115"/>
  <c r="G36" i="115"/>
  <c r="H36" i="115"/>
  <c r="K36" i="115"/>
  <c r="L36" i="115"/>
  <c r="J36" i="115"/>
  <c r="M36" i="115"/>
  <c r="E36" i="115"/>
  <c r="I36" i="115"/>
  <c r="N104" i="115"/>
  <c r="K104" i="115"/>
  <c r="I16" i="115"/>
  <c r="J16" i="115"/>
  <c r="K16" i="115"/>
  <c r="F16" i="115"/>
  <c r="N16" i="115"/>
  <c r="G16" i="115"/>
  <c r="E16" i="115"/>
  <c r="H16" i="115"/>
  <c r="L16" i="115"/>
  <c r="M16" i="115"/>
  <c r="N77" i="115"/>
  <c r="K77" i="115"/>
  <c r="K98" i="115"/>
  <c r="N98" i="115"/>
  <c r="N61" i="115"/>
  <c r="K61" i="115"/>
  <c r="L118" i="115"/>
  <c r="G118" i="115"/>
  <c r="E118" i="115"/>
  <c r="M118" i="115"/>
  <c r="F118" i="115"/>
  <c r="N118" i="115"/>
  <c r="H118" i="115"/>
  <c r="I118" i="115"/>
  <c r="K118" i="115"/>
  <c r="J118" i="115"/>
  <c r="E117" i="109"/>
  <c r="E113" i="113"/>
  <c r="L118" i="109"/>
  <c r="G118" i="109"/>
  <c r="F118" i="109"/>
  <c r="H118" i="109"/>
  <c r="J118" i="109"/>
  <c r="M118" i="109"/>
  <c r="E22" i="114"/>
  <c r="L74" i="113"/>
  <c r="F74" i="113"/>
  <c r="J74" i="113"/>
  <c r="H104" i="114"/>
  <c r="F104" i="114"/>
  <c r="L104" i="114"/>
  <c r="J104" i="114"/>
  <c r="L55" i="114"/>
  <c r="H55" i="114"/>
  <c r="I55" i="114" s="1"/>
  <c r="I55" i="115" s="1"/>
  <c r="F55" i="114"/>
  <c r="J55" i="114"/>
  <c r="L87" i="114"/>
  <c r="F87" i="114"/>
  <c r="H87" i="114"/>
  <c r="I87" i="114" s="1"/>
  <c r="I87" i="115" s="1"/>
  <c r="J87" i="114"/>
  <c r="F105" i="114"/>
  <c r="L105" i="114"/>
  <c r="J105" i="114"/>
  <c r="H105" i="114"/>
  <c r="I105" i="114" s="1"/>
  <c r="I105" i="115" s="1"/>
  <c r="L73" i="113"/>
  <c r="J73" i="113"/>
  <c r="F73" i="113"/>
  <c r="H32" i="114"/>
  <c r="I32" i="114" s="1"/>
  <c r="I32" i="115" s="1"/>
  <c r="F32" i="114"/>
  <c r="J32" i="114"/>
  <c r="L32" i="114"/>
  <c r="L50" i="113"/>
  <c r="J50" i="113"/>
  <c r="F50" i="113"/>
  <c r="L66" i="114"/>
  <c r="J66" i="114"/>
  <c r="H66" i="114"/>
  <c r="I66" i="114" s="1"/>
  <c r="I66" i="115" s="1"/>
  <c r="F66" i="114"/>
  <c r="L89" i="113"/>
  <c r="J89" i="113"/>
  <c r="F89" i="113"/>
  <c r="J35" i="113"/>
  <c r="F35" i="113"/>
  <c r="L35" i="113"/>
  <c r="L85" i="113"/>
  <c r="J85" i="113"/>
  <c r="F85" i="113"/>
  <c r="J74" i="114"/>
  <c r="H74" i="114"/>
  <c r="I74" i="114" s="1"/>
  <c r="I74" i="115" s="1"/>
  <c r="F74" i="114"/>
  <c r="L74" i="114"/>
  <c r="L102" i="114"/>
  <c r="F102" i="114"/>
  <c r="J102" i="114"/>
  <c r="H102" i="114"/>
  <c r="F7" i="113"/>
  <c r="J7" i="113"/>
  <c r="L7" i="113"/>
  <c r="F36" i="114"/>
  <c r="L36" i="114"/>
  <c r="J36" i="114"/>
  <c r="H36" i="114"/>
  <c r="L54" i="113"/>
  <c r="F54" i="113"/>
  <c r="J54" i="113"/>
  <c r="L70" i="113"/>
  <c r="F70" i="113"/>
  <c r="J70" i="113"/>
  <c r="L86" i="113"/>
  <c r="F86" i="113"/>
  <c r="J86" i="113"/>
  <c r="L104" i="113"/>
  <c r="J104" i="113"/>
  <c r="F104" i="113"/>
  <c r="L16" i="113"/>
  <c r="J16" i="113"/>
  <c r="F16" i="113"/>
  <c r="L77" i="113"/>
  <c r="F77" i="113"/>
  <c r="J77" i="113"/>
  <c r="J37" i="113"/>
  <c r="F37" i="113"/>
  <c r="L37" i="113"/>
  <c r="F71" i="113"/>
  <c r="J71" i="113"/>
  <c r="L71" i="113"/>
  <c r="H51" i="114"/>
  <c r="J51" i="114"/>
  <c r="L51" i="114"/>
  <c r="F51" i="114"/>
  <c r="F34" i="114"/>
  <c r="L34" i="114"/>
  <c r="H34" i="114"/>
  <c r="I34" i="114" s="1"/>
  <c r="I34" i="115" s="1"/>
  <c r="L84" i="113"/>
  <c r="J84" i="113"/>
  <c r="F84" i="113"/>
  <c r="J36" i="113"/>
  <c r="F36" i="113"/>
  <c r="L36" i="113"/>
  <c r="L86" i="114"/>
  <c r="J86" i="114"/>
  <c r="H86" i="114"/>
  <c r="I86" i="114" s="1"/>
  <c r="I86" i="115" s="1"/>
  <c r="F86" i="114"/>
  <c r="F16" i="114"/>
  <c r="J16" i="114"/>
  <c r="H16" i="114"/>
  <c r="L16" i="114"/>
  <c r="L8" i="114"/>
  <c r="H8" i="114"/>
  <c r="J8" i="114"/>
  <c r="F8" i="114"/>
  <c r="L37" i="114"/>
  <c r="F37" i="114"/>
  <c r="J37" i="114"/>
  <c r="H37" i="114"/>
  <c r="L71" i="114"/>
  <c r="J71" i="114"/>
  <c r="F71" i="114"/>
  <c r="H71" i="114"/>
  <c r="L9" i="113"/>
  <c r="J9" i="113"/>
  <c r="F9" i="113"/>
  <c r="L40" i="113"/>
  <c r="J40" i="113"/>
  <c r="F40" i="113"/>
  <c r="L56" i="113"/>
  <c r="J56" i="113"/>
  <c r="F56" i="113"/>
  <c r="L72" i="114"/>
  <c r="H72" i="114"/>
  <c r="I72" i="114" s="1"/>
  <c r="I72" i="115" s="1"/>
  <c r="F72" i="114"/>
  <c r="J72" i="114"/>
  <c r="L92" i="113"/>
  <c r="J92" i="113"/>
  <c r="F92" i="113"/>
  <c r="F107" i="113"/>
  <c r="J107" i="113"/>
  <c r="F31" i="113"/>
  <c r="J31" i="113"/>
  <c r="L31" i="113"/>
  <c r="L49" i="114"/>
  <c r="J49" i="114"/>
  <c r="H49" i="114"/>
  <c r="I49" i="114" s="1"/>
  <c r="I49" i="115" s="1"/>
  <c r="F49" i="114"/>
  <c r="L65" i="113"/>
  <c r="J65" i="113"/>
  <c r="F65" i="113"/>
  <c r="L88" i="113"/>
  <c r="J88" i="113"/>
  <c r="F88" i="113"/>
  <c r="J109" i="109"/>
  <c r="F109" i="109"/>
  <c r="F45" i="114"/>
  <c r="L45" i="114"/>
  <c r="J45" i="114"/>
  <c r="H45" i="114"/>
  <c r="I45" i="114" s="1"/>
  <c r="I45" i="115" s="1"/>
  <c r="F95" i="113"/>
  <c r="J95" i="113"/>
  <c r="L95" i="113"/>
  <c r="L73" i="114"/>
  <c r="F73" i="114"/>
  <c r="J73" i="114"/>
  <c r="H73" i="114"/>
  <c r="I73" i="114" s="1"/>
  <c r="I73" i="115" s="1"/>
  <c r="L32" i="113"/>
  <c r="J32" i="113"/>
  <c r="F32" i="113"/>
  <c r="L50" i="114"/>
  <c r="J50" i="114"/>
  <c r="F50" i="114"/>
  <c r="H50" i="114"/>
  <c r="I50" i="114" s="1"/>
  <c r="I50" i="115" s="1"/>
  <c r="L66" i="113"/>
  <c r="J66" i="113"/>
  <c r="F66" i="113"/>
  <c r="L89" i="114"/>
  <c r="J89" i="114"/>
  <c r="F89" i="114"/>
  <c r="H89" i="114"/>
  <c r="J35" i="114"/>
  <c r="H35" i="114"/>
  <c r="F35" i="114"/>
  <c r="L35" i="114"/>
  <c r="F85" i="114"/>
  <c r="H85" i="114"/>
  <c r="I85" i="114" s="1"/>
  <c r="I85" i="115" s="1"/>
  <c r="L85" i="114"/>
  <c r="J85" i="114"/>
  <c r="J111" i="109"/>
  <c r="F111" i="109"/>
  <c r="F77" i="114"/>
  <c r="H77" i="114"/>
  <c r="I77" i="114" s="1"/>
  <c r="I77" i="115" s="1"/>
  <c r="L77" i="114"/>
  <c r="J77" i="114"/>
  <c r="F47" i="113"/>
  <c r="J47" i="113"/>
  <c r="L47" i="113"/>
  <c r="L48" i="113"/>
  <c r="J48" i="113"/>
  <c r="F48" i="113"/>
  <c r="F87" i="113"/>
  <c r="J87" i="113"/>
  <c r="L87" i="113"/>
  <c r="F113" i="109"/>
  <c r="J113" i="109"/>
  <c r="L33" i="113"/>
  <c r="J33" i="113"/>
  <c r="F33" i="113"/>
  <c r="J67" i="114"/>
  <c r="L67" i="114"/>
  <c r="H67" i="114"/>
  <c r="I67" i="114" s="1"/>
  <c r="I67" i="115" s="1"/>
  <c r="F67" i="114"/>
  <c r="F68" i="114"/>
  <c r="L68" i="114"/>
  <c r="J68" i="114"/>
  <c r="H68" i="114"/>
  <c r="I68" i="114" s="1"/>
  <c r="I68" i="115" s="1"/>
  <c r="L9" i="114"/>
  <c r="J9" i="114"/>
  <c r="F9" i="114"/>
  <c r="H9" i="114"/>
  <c r="H40" i="114"/>
  <c r="I40" i="114" s="1"/>
  <c r="I40" i="115" s="1"/>
  <c r="F40" i="114"/>
  <c r="L40" i="114"/>
  <c r="J40" i="114"/>
  <c r="L56" i="114"/>
  <c r="F56" i="114"/>
  <c r="H56" i="114"/>
  <c r="I56" i="114" s="1"/>
  <c r="I56" i="115" s="1"/>
  <c r="J56" i="114"/>
  <c r="L72" i="113"/>
  <c r="J72" i="113"/>
  <c r="F72" i="113"/>
  <c r="H92" i="114"/>
  <c r="I92" i="114" s="1"/>
  <c r="L92" i="114"/>
  <c r="J92" i="114"/>
  <c r="F92" i="114"/>
  <c r="J107" i="114"/>
  <c r="F107" i="114"/>
  <c r="H107" i="114"/>
  <c r="H107" i="115" s="1"/>
  <c r="L31" i="114"/>
  <c r="J31" i="114"/>
  <c r="H31" i="114"/>
  <c r="I31" i="114" s="1"/>
  <c r="I31" i="115" s="1"/>
  <c r="F31" i="114"/>
  <c r="L49" i="113"/>
  <c r="F49" i="113"/>
  <c r="J49" i="113"/>
  <c r="L65" i="114"/>
  <c r="H65" i="114"/>
  <c r="F65" i="114"/>
  <c r="J65" i="114"/>
  <c r="L88" i="114"/>
  <c r="H88" i="114"/>
  <c r="I88" i="114" s="1"/>
  <c r="I88" i="115" s="1"/>
  <c r="F88" i="114"/>
  <c r="J88" i="114"/>
  <c r="L109" i="113"/>
  <c r="F109" i="113"/>
  <c r="J109" i="113"/>
  <c r="L45" i="113"/>
  <c r="F45" i="113"/>
  <c r="J45" i="113"/>
  <c r="L12" i="114"/>
  <c r="J12" i="114"/>
  <c r="H12" i="114"/>
  <c r="I12" i="114" s="1"/>
  <c r="I12" i="115" s="1"/>
  <c r="F12" i="114"/>
  <c r="H43" i="114"/>
  <c r="I43" i="114" s="1"/>
  <c r="I43" i="115" s="1"/>
  <c r="L43" i="114"/>
  <c r="J43" i="114"/>
  <c r="F43" i="114"/>
  <c r="H59" i="114"/>
  <c r="I59" i="114" s="1"/>
  <c r="I59" i="115" s="1"/>
  <c r="L59" i="114"/>
  <c r="J59" i="114"/>
  <c r="F59" i="114"/>
  <c r="J75" i="114"/>
  <c r="L75" i="114"/>
  <c r="H75" i="114"/>
  <c r="F75" i="114"/>
  <c r="F93" i="114"/>
  <c r="L93" i="114"/>
  <c r="J93" i="114"/>
  <c r="H93" i="114"/>
  <c r="I93" i="114" s="1"/>
  <c r="I93" i="115" s="1"/>
  <c r="F13" i="114"/>
  <c r="L13" i="114"/>
  <c r="J13" i="114"/>
  <c r="H13" i="114"/>
  <c r="I13" i="114" s="1"/>
  <c r="I13" i="115" s="1"/>
  <c r="L44" i="113"/>
  <c r="J44" i="113"/>
  <c r="F44" i="113"/>
  <c r="L60" i="113"/>
  <c r="J60" i="113"/>
  <c r="F60" i="113"/>
  <c r="L76" i="113"/>
  <c r="J76" i="113"/>
  <c r="F76" i="113"/>
  <c r="L94" i="113"/>
  <c r="J94" i="113"/>
  <c r="F94" i="113"/>
  <c r="L112" i="113"/>
  <c r="J112" i="113"/>
  <c r="F112" i="113"/>
  <c r="F19" i="113"/>
  <c r="J19" i="113"/>
  <c r="L19" i="113"/>
  <c r="L8" i="113"/>
  <c r="J8" i="113"/>
  <c r="F8" i="113"/>
  <c r="F55" i="113"/>
  <c r="J55" i="113"/>
  <c r="L55" i="113"/>
  <c r="L111" i="114"/>
  <c r="F111" i="114"/>
  <c r="J111" i="114"/>
  <c r="H111" i="114"/>
  <c r="I111" i="114" s="1"/>
  <c r="I111" i="115" s="1"/>
  <c r="L52" i="113"/>
  <c r="J52" i="113"/>
  <c r="F52" i="113"/>
  <c r="F7" i="114"/>
  <c r="J7" i="114"/>
  <c r="H7" i="114"/>
  <c r="I7" i="114" s="1"/>
  <c r="I7" i="115" s="1"/>
  <c r="L7" i="114"/>
  <c r="L54" i="114"/>
  <c r="H54" i="114"/>
  <c r="I54" i="114" s="1"/>
  <c r="I54" i="115" s="1"/>
  <c r="J54" i="114"/>
  <c r="F54" i="114"/>
  <c r="L70" i="114"/>
  <c r="J70" i="114"/>
  <c r="H70" i="114"/>
  <c r="I70" i="114" s="1"/>
  <c r="I70" i="115" s="1"/>
  <c r="F70" i="114"/>
  <c r="J18" i="113"/>
  <c r="F18" i="113"/>
  <c r="L18" i="113"/>
  <c r="L47" i="114"/>
  <c r="J47" i="114"/>
  <c r="H47" i="114"/>
  <c r="I47" i="114" s="1"/>
  <c r="I47" i="115" s="1"/>
  <c r="F47" i="114"/>
  <c r="F63" i="113"/>
  <c r="J63" i="113"/>
  <c r="L63" i="113"/>
  <c r="F79" i="113"/>
  <c r="J79" i="113"/>
  <c r="L79" i="113"/>
  <c r="L97" i="113"/>
  <c r="J97" i="113"/>
  <c r="F97" i="113"/>
  <c r="J6" i="113"/>
  <c r="L6" i="113"/>
  <c r="F6" i="113"/>
  <c r="J107" i="109"/>
  <c r="F107" i="109"/>
  <c r="L109" i="114"/>
  <c r="H109" i="114"/>
  <c r="I109" i="114" s="1"/>
  <c r="I109" i="115" s="1"/>
  <c r="F109" i="114"/>
  <c r="J109" i="114"/>
  <c r="L95" i="114"/>
  <c r="J95" i="114"/>
  <c r="H95" i="114"/>
  <c r="I95" i="114" s="1"/>
  <c r="I95" i="115" s="1"/>
  <c r="F95" i="114"/>
  <c r="L110" i="114"/>
  <c r="H110" i="114"/>
  <c r="I110" i="114" s="1"/>
  <c r="I110" i="115" s="1"/>
  <c r="J110" i="114"/>
  <c r="F110" i="114"/>
  <c r="L12" i="113"/>
  <c r="J12" i="113"/>
  <c r="F12" i="113"/>
  <c r="F43" i="113"/>
  <c r="J43" i="113"/>
  <c r="L43" i="113"/>
  <c r="F59" i="113"/>
  <c r="J59" i="113"/>
  <c r="L59" i="113"/>
  <c r="F75" i="113"/>
  <c r="J75" i="113"/>
  <c r="L75" i="113"/>
  <c r="L93" i="113"/>
  <c r="J93" i="113"/>
  <c r="F93" i="113"/>
  <c r="L13" i="113"/>
  <c r="J13" i="113"/>
  <c r="F13" i="113"/>
  <c r="L44" i="114"/>
  <c r="J44" i="114"/>
  <c r="H44" i="114"/>
  <c r="I44" i="114" s="1"/>
  <c r="I44" i="115" s="1"/>
  <c r="F44" i="114"/>
  <c r="H60" i="114"/>
  <c r="F60" i="114"/>
  <c r="L60" i="114"/>
  <c r="J60" i="114"/>
  <c r="L76" i="114"/>
  <c r="J76" i="114"/>
  <c r="F76" i="114"/>
  <c r="H76" i="114"/>
  <c r="L94" i="114"/>
  <c r="J94" i="114"/>
  <c r="F94" i="114"/>
  <c r="H94" i="114"/>
  <c r="I94" i="114" s="1"/>
  <c r="I94" i="115" s="1"/>
  <c r="J112" i="114"/>
  <c r="F112" i="114"/>
  <c r="L112" i="114"/>
  <c r="H112" i="114"/>
  <c r="I112" i="114" s="1"/>
  <c r="I112" i="115" s="1"/>
  <c r="L17" i="113"/>
  <c r="J17" i="113"/>
  <c r="F17" i="113"/>
  <c r="L46" i="113"/>
  <c r="J46" i="113"/>
  <c r="F46" i="113"/>
  <c r="L62" i="113"/>
  <c r="J62" i="113"/>
  <c r="F62" i="113"/>
  <c r="L78" i="113"/>
  <c r="F78" i="113"/>
  <c r="J78" i="113"/>
  <c r="L96" i="113"/>
  <c r="F96" i="113"/>
  <c r="J96" i="113"/>
  <c r="L118" i="113"/>
  <c r="F118" i="113"/>
  <c r="J118" i="113"/>
  <c r="L53" i="113"/>
  <c r="F53" i="113"/>
  <c r="J53" i="113"/>
  <c r="F103" i="113"/>
  <c r="J103" i="113"/>
  <c r="L103" i="113"/>
  <c r="H18" i="114"/>
  <c r="I18" i="114" s="1"/>
  <c r="I18" i="115" s="1"/>
  <c r="F18" i="114"/>
  <c r="L18" i="114"/>
  <c r="J18" i="114"/>
  <c r="L64" i="113"/>
  <c r="J64" i="113"/>
  <c r="F64" i="113"/>
  <c r="L105" i="113"/>
  <c r="F105" i="113"/>
  <c r="J105" i="113"/>
  <c r="J83" i="114"/>
  <c r="L83" i="114"/>
  <c r="H83" i="114"/>
  <c r="I83" i="114" s="1"/>
  <c r="I83" i="115" s="1"/>
  <c r="F83" i="114"/>
  <c r="L63" i="114"/>
  <c r="F63" i="114"/>
  <c r="H63" i="114"/>
  <c r="J63" i="114"/>
  <c r="L79" i="114"/>
  <c r="H79" i="114"/>
  <c r="I79" i="114" s="1"/>
  <c r="I79" i="115" s="1"/>
  <c r="J79" i="114"/>
  <c r="F79" i="114"/>
  <c r="F97" i="114"/>
  <c r="J97" i="114"/>
  <c r="H97" i="114"/>
  <c r="I97" i="114" s="1"/>
  <c r="I97" i="115" s="1"/>
  <c r="L97" i="114"/>
  <c r="L6" i="114"/>
  <c r="H6" i="114"/>
  <c r="I6" i="114" s="1"/>
  <c r="I6" i="115" s="1"/>
  <c r="J6" i="114"/>
  <c r="F6" i="114"/>
  <c r="H11" i="114"/>
  <c r="L11" i="114"/>
  <c r="J11" i="114"/>
  <c r="F11" i="114"/>
  <c r="J42" i="113"/>
  <c r="F42" i="113"/>
  <c r="L42" i="113"/>
  <c r="L58" i="114"/>
  <c r="J58" i="114"/>
  <c r="H58" i="114"/>
  <c r="I58" i="114" s="1"/>
  <c r="I58" i="115" s="1"/>
  <c r="F58" i="114"/>
  <c r="H82" i="114"/>
  <c r="F82" i="114"/>
  <c r="L82" i="114"/>
  <c r="J82" i="114"/>
  <c r="L100" i="113"/>
  <c r="J100" i="113"/>
  <c r="F100" i="113"/>
  <c r="F61" i="114"/>
  <c r="L61" i="114"/>
  <c r="J61" i="114"/>
  <c r="H61" i="114"/>
  <c r="I61" i="114" s="1"/>
  <c r="I61" i="115" s="1"/>
  <c r="L110" i="113"/>
  <c r="F110" i="113"/>
  <c r="J110" i="113"/>
  <c r="J112" i="109"/>
  <c r="F112" i="109"/>
  <c r="L17" i="114"/>
  <c r="J17" i="114"/>
  <c r="F17" i="114"/>
  <c r="H17" i="114"/>
  <c r="L46" i="114"/>
  <c r="H46" i="114"/>
  <c r="I46" i="114" s="1"/>
  <c r="I46" i="115" s="1"/>
  <c r="J46" i="114"/>
  <c r="F46" i="114"/>
  <c r="L62" i="114"/>
  <c r="F62" i="114"/>
  <c r="H62" i="114"/>
  <c r="I62" i="114" s="1"/>
  <c r="I62" i="115" s="1"/>
  <c r="J62" i="114"/>
  <c r="L78" i="114"/>
  <c r="F78" i="114"/>
  <c r="H78" i="114"/>
  <c r="J78" i="114"/>
  <c r="L96" i="114"/>
  <c r="H96" i="114"/>
  <c r="I96" i="114" s="1"/>
  <c r="I96" i="115" s="1"/>
  <c r="F96" i="114"/>
  <c r="J96" i="114"/>
  <c r="L118" i="114"/>
  <c r="J118" i="114"/>
  <c r="H118" i="114"/>
  <c r="F118" i="114"/>
  <c r="F53" i="114"/>
  <c r="L53" i="114"/>
  <c r="J53" i="114"/>
  <c r="H53" i="114"/>
  <c r="I53" i="114" s="1"/>
  <c r="I53" i="115" s="1"/>
  <c r="F11" i="113"/>
  <c r="J11" i="113"/>
  <c r="L11" i="113"/>
  <c r="F42" i="114"/>
  <c r="L42" i="114"/>
  <c r="J42" i="114"/>
  <c r="H42" i="114"/>
  <c r="I42" i="114" s="1"/>
  <c r="I42" i="115" s="1"/>
  <c r="L58" i="113"/>
  <c r="F58" i="113"/>
  <c r="J58" i="113"/>
  <c r="L82" i="113"/>
  <c r="J82" i="113"/>
  <c r="F82" i="113"/>
  <c r="L100" i="114"/>
  <c r="H100" i="114"/>
  <c r="I100" i="114" s="1"/>
  <c r="I100" i="115" s="1"/>
  <c r="J100" i="114"/>
  <c r="F100" i="114"/>
  <c r="L61" i="113"/>
  <c r="J61" i="113"/>
  <c r="F61" i="113"/>
  <c r="F113" i="114"/>
  <c r="J113" i="114"/>
  <c r="H113" i="114"/>
  <c r="I113" i="114" s="1"/>
  <c r="I113" i="115" s="1"/>
  <c r="L113" i="114"/>
  <c r="L103" i="114"/>
  <c r="F103" i="114"/>
  <c r="J103" i="114"/>
  <c r="H103" i="114"/>
  <c r="I103" i="114" s="1"/>
  <c r="I103" i="115" s="1"/>
  <c r="L80" i="113"/>
  <c r="J80" i="113"/>
  <c r="F80" i="113"/>
  <c r="L98" i="113"/>
  <c r="F98" i="113"/>
  <c r="J98" i="113"/>
  <c r="L10" i="113"/>
  <c r="J10" i="113"/>
  <c r="F10" i="113"/>
  <c r="L41" i="113"/>
  <c r="F41" i="113"/>
  <c r="J41" i="113"/>
  <c r="L57" i="113"/>
  <c r="F57" i="113"/>
  <c r="J57" i="113"/>
  <c r="L81" i="113"/>
  <c r="F81" i="113"/>
  <c r="J81" i="113"/>
  <c r="F99" i="113"/>
  <c r="J99" i="113"/>
  <c r="L99" i="113"/>
  <c r="L101" i="113"/>
  <c r="F101" i="113"/>
  <c r="J101" i="113"/>
  <c r="L69" i="113"/>
  <c r="F69" i="113"/>
  <c r="J69" i="113"/>
  <c r="H19" i="114"/>
  <c r="L19" i="114"/>
  <c r="J19" i="114"/>
  <c r="F19" i="114"/>
  <c r="L48" i="114"/>
  <c r="F48" i="114"/>
  <c r="H48" i="114"/>
  <c r="J48" i="114"/>
  <c r="L64" i="114"/>
  <c r="H64" i="114"/>
  <c r="I64" i="114" s="1"/>
  <c r="I64" i="115" s="1"/>
  <c r="F64" i="114"/>
  <c r="J64" i="114"/>
  <c r="L80" i="114"/>
  <c r="H80" i="114"/>
  <c r="F80" i="114"/>
  <c r="J80" i="114"/>
  <c r="H98" i="114"/>
  <c r="I98" i="114" s="1"/>
  <c r="I98" i="115" s="1"/>
  <c r="J98" i="114"/>
  <c r="L98" i="114"/>
  <c r="F98" i="114"/>
  <c r="H10" i="114"/>
  <c r="I10" i="114" s="1"/>
  <c r="I10" i="115" s="1"/>
  <c r="F10" i="114"/>
  <c r="L10" i="114"/>
  <c r="J10" i="114"/>
  <c r="L41" i="114"/>
  <c r="J41" i="114"/>
  <c r="H41" i="114"/>
  <c r="I41" i="114" s="1"/>
  <c r="I41" i="115" s="1"/>
  <c r="F41" i="114"/>
  <c r="L57" i="114"/>
  <c r="J57" i="114"/>
  <c r="H57" i="114"/>
  <c r="I57" i="114" s="1"/>
  <c r="I57" i="115" s="1"/>
  <c r="F57" i="114"/>
  <c r="L81" i="114"/>
  <c r="J81" i="114"/>
  <c r="F81" i="114"/>
  <c r="H81" i="114"/>
  <c r="J99" i="114"/>
  <c r="L99" i="114"/>
  <c r="F99" i="114"/>
  <c r="H99" i="114"/>
  <c r="I99" i="114" s="1"/>
  <c r="I99" i="115" s="1"/>
  <c r="F101" i="114"/>
  <c r="L101" i="114"/>
  <c r="H101" i="114"/>
  <c r="I101" i="114" s="1"/>
  <c r="I101" i="115" s="1"/>
  <c r="J101" i="114"/>
  <c r="F69" i="114"/>
  <c r="J69" i="114"/>
  <c r="H69" i="114"/>
  <c r="I69" i="114" s="1"/>
  <c r="I69" i="115" s="1"/>
  <c r="L69" i="114"/>
  <c r="F110" i="109"/>
  <c r="J110" i="109"/>
  <c r="L33" i="114"/>
  <c r="J33" i="114"/>
  <c r="H33" i="114"/>
  <c r="I33" i="114" s="1"/>
  <c r="I33" i="115" s="1"/>
  <c r="F33" i="114"/>
  <c r="F51" i="113"/>
  <c r="J51" i="113"/>
  <c r="L51" i="113"/>
  <c r="F67" i="113"/>
  <c r="J67" i="113"/>
  <c r="L67" i="113"/>
  <c r="F83" i="113"/>
  <c r="J83" i="113"/>
  <c r="L83" i="113"/>
  <c r="F111" i="113"/>
  <c r="J111" i="113"/>
  <c r="L111" i="113"/>
  <c r="L34" i="113"/>
  <c r="F34" i="113"/>
  <c r="L52" i="114"/>
  <c r="J52" i="114"/>
  <c r="H52" i="114"/>
  <c r="I52" i="114" s="1"/>
  <c r="I52" i="115" s="1"/>
  <c r="F52" i="114"/>
  <c r="L68" i="113"/>
  <c r="J68" i="113"/>
  <c r="F68" i="113"/>
  <c r="J84" i="114"/>
  <c r="L84" i="114"/>
  <c r="H84" i="114"/>
  <c r="I84" i="114" s="1"/>
  <c r="I84" i="115" s="1"/>
  <c r="F84" i="114"/>
  <c r="L102" i="113"/>
  <c r="F102" i="113"/>
  <c r="J102" i="113"/>
  <c r="J116" i="109"/>
  <c r="J116" i="115" s="1"/>
  <c r="F116" i="109"/>
  <c r="F116" i="115" s="1"/>
  <c r="H21" i="109"/>
  <c r="H21" i="115" s="1"/>
  <c r="J21" i="109"/>
  <c r="J21" i="115" s="1"/>
  <c r="F21" i="109"/>
  <c r="F21" i="115" s="1"/>
  <c r="G21" i="109"/>
  <c r="L21" i="109"/>
  <c r="L21" i="115" s="1"/>
  <c r="M21" i="109"/>
  <c r="M12" i="109"/>
  <c r="H12" i="109"/>
  <c r="G12" i="109"/>
  <c r="J12" i="109"/>
  <c r="F12" i="109"/>
  <c r="L12" i="109"/>
  <c r="H110" i="109"/>
  <c r="L110" i="109"/>
  <c r="M110" i="109"/>
  <c r="G110" i="109"/>
  <c r="H50" i="109"/>
  <c r="J50" i="109"/>
  <c r="L50" i="109"/>
  <c r="F50" i="109"/>
  <c r="G50" i="109"/>
  <c r="M50" i="109"/>
  <c r="M82" i="109"/>
  <c r="E82" i="109"/>
  <c r="G82" i="109"/>
  <c r="H82" i="109"/>
  <c r="J82" i="109"/>
  <c r="F82" i="109"/>
  <c r="L82" i="109"/>
  <c r="H19" i="109"/>
  <c r="F19" i="109"/>
  <c r="L19" i="109"/>
  <c r="E19" i="109"/>
  <c r="G19" i="109"/>
  <c r="J19" i="109"/>
  <c r="M19" i="109"/>
  <c r="J25" i="109"/>
  <c r="J25" i="115" s="1"/>
  <c r="F25" i="109"/>
  <c r="F25" i="115" s="1"/>
  <c r="L25" i="109"/>
  <c r="L25" i="115" s="1"/>
  <c r="G25" i="109"/>
  <c r="H25" i="109"/>
  <c r="H25" i="115" s="1"/>
  <c r="M25" i="109"/>
  <c r="F83" i="109"/>
  <c r="H83" i="109"/>
  <c r="G83" i="109"/>
  <c r="J83" i="109"/>
  <c r="L83" i="109"/>
  <c r="M83" i="109"/>
  <c r="G61" i="109"/>
  <c r="H61" i="109"/>
  <c r="J61" i="109"/>
  <c r="M61" i="109"/>
  <c r="L61" i="109"/>
  <c r="F61" i="109"/>
  <c r="F78" i="109"/>
  <c r="G78" i="109"/>
  <c r="L78" i="109"/>
  <c r="J78" i="109"/>
  <c r="M78" i="109"/>
  <c r="J30" i="109"/>
  <c r="J30" i="115" s="1"/>
  <c r="G30" i="109"/>
  <c r="L30" i="109"/>
  <c r="L30" i="115" s="1"/>
  <c r="F30" i="109"/>
  <c r="F30" i="115" s="1"/>
  <c r="H30" i="109"/>
  <c r="H30" i="115" s="1"/>
  <c r="M30" i="109"/>
  <c r="F72" i="109"/>
  <c r="G72" i="109"/>
  <c r="J72" i="109"/>
  <c r="L72" i="109"/>
  <c r="M72" i="109"/>
  <c r="H72" i="109"/>
  <c r="F105" i="109"/>
  <c r="H105" i="109"/>
  <c r="G105" i="109"/>
  <c r="J105" i="109"/>
  <c r="L105" i="109"/>
  <c r="M105" i="109"/>
  <c r="J6" i="109"/>
  <c r="M6" i="109"/>
  <c r="M6" i="115" s="1"/>
  <c r="L6" i="109"/>
  <c r="F6" i="109"/>
  <c r="G116" i="109"/>
  <c r="L116" i="109"/>
  <c r="L116" i="115" s="1"/>
  <c r="M116" i="109"/>
  <c r="H116" i="109"/>
  <c r="H116" i="115" s="1"/>
  <c r="H29" i="109"/>
  <c r="H29" i="115" s="1"/>
  <c r="L29" i="109"/>
  <c r="L29" i="115" s="1"/>
  <c r="F29" i="109"/>
  <c r="F29" i="115" s="1"/>
  <c r="J29" i="109"/>
  <c r="J29" i="115" s="1"/>
  <c r="M29" i="109"/>
  <c r="M29" i="115" s="1"/>
  <c r="G29" i="109"/>
  <c r="G29" i="115" s="1"/>
  <c r="F84" i="109"/>
  <c r="G84" i="109"/>
  <c r="J84" i="109"/>
  <c r="L84" i="109"/>
  <c r="M84" i="109"/>
  <c r="H84" i="109"/>
  <c r="H101" i="109"/>
  <c r="J101" i="109"/>
  <c r="L101" i="109"/>
  <c r="F101" i="109"/>
  <c r="G101" i="109"/>
  <c r="M101" i="109"/>
  <c r="F58" i="109"/>
  <c r="H58" i="109"/>
  <c r="J58" i="109"/>
  <c r="L58" i="109"/>
  <c r="G58" i="109"/>
  <c r="M58" i="109"/>
  <c r="J92" i="109"/>
  <c r="L92" i="109"/>
  <c r="M92" i="109"/>
  <c r="F92" i="109"/>
  <c r="G92" i="109"/>
  <c r="H92" i="109"/>
  <c r="F35" i="109"/>
  <c r="L35" i="109"/>
  <c r="G35" i="109"/>
  <c r="M35" i="109"/>
  <c r="E35" i="109"/>
  <c r="H35" i="109"/>
  <c r="J35" i="109"/>
  <c r="M40" i="109"/>
  <c r="F40" i="109"/>
  <c r="L40" i="109"/>
  <c r="H40" i="109"/>
  <c r="G40" i="109"/>
  <c r="J40" i="109"/>
  <c r="H17" i="109"/>
  <c r="M17" i="109"/>
  <c r="G17" i="109"/>
  <c r="L17" i="109"/>
  <c r="F17" i="109"/>
  <c r="J17" i="109"/>
  <c r="J69" i="109"/>
  <c r="L69" i="109"/>
  <c r="M69" i="109"/>
  <c r="F69" i="109"/>
  <c r="G69" i="109"/>
  <c r="H69" i="109"/>
  <c r="H86" i="109"/>
  <c r="J86" i="109"/>
  <c r="L86" i="109"/>
  <c r="F86" i="109"/>
  <c r="G86" i="109"/>
  <c r="M86" i="109"/>
  <c r="G96" i="109"/>
  <c r="H96" i="109"/>
  <c r="J96" i="109"/>
  <c r="M96" i="109"/>
  <c r="F96" i="109"/>
  <c r="L96" i="109"/>
  <c r="L81" i="109"/>
  <c r="M81" i="109"/>
  <c r="F81" i="109"/>
  <c r="E81" i="109"/>
  <c r="G81" i="109"/>
  <c r="H81" i="109"/>
  <c r="J81" i="109"/>
  <c r="J97" i="109"/>
  <c r="J97" i="115" s="1"/>
  <c r="L97" i="109"/>
  <c r="M97" i="109"/>
  <c r="F97" i="109"/>
  <c r="G97" i="109"/>
  <c r="H97" i="109"/>
  <c r="G113" i="109"/>
  <c r="H113" i="109"/>
  <c r="M113" i="109"/>
  <c r="L113" i="109"/>
  <c r="E89" i="109"/>
  <c r="F89" i="109"/>
  <c r="H89" i="109"/>
  <c r="J89" i="109"/>
  <c r="L89" i="109"/>
  <c r="G89" i="109"/>
  <c r="M89" i="109"/>
  <c r="F10" i="109"/>
  <c r="H10" i="109"/>
  <c r="L10" i="109"/>
  <c r="G10" i="109"/>
  <c r="J10" i="109"/>
  <c r="M10" i="109"/>
  <c r="L11" i="109"/>
  <c r="G11" i="109"/>
  <c r="F11" i="109"/>
  <c r="H11" i="109"/>
  <c r="J11" i="109"/>
  <c r="M11" i="109"/>
  <c r="F42" i="109"/>
  <c r="G42" i="109"/>
  <c r="H42" i="109"/>
  <c r="L42" i="109"/>
  <c r="J42" i="109"/>
  <c r="M42" i="109"/>
  <c r="G68" i="109"/>
  <c r="H68" i="109"/>
  <c r="J68" i="109"/>
  <c r="M68" i="109"/>
  <c r="L68" i="109"/>
  <c r="F68" i="109"/>
  <c r="L28" i="109"/>
  <c r="F28" i="109"/>
  <c r="H28" i="109"/>
  <c r="M28" i="109"/>
  <c r="G28" i="109"/>
  <c r="J28" i="109"/>
  <c r="M88" i="109"/>
  <c r="G88" i="109"/>
  <c r="F88" i="109"/>
  <c r="H88" i="109"/>
  <c r="J88" i="109"/>
  <c r="L88" i="109"/>
  <c r="G36" i="109"/>
  <c r="M36" i="109"/>
  <c r="H36" i="109"/>
  <c r="L36" i="109"/>
  <c r="E36" i="109"/>
  <c r="J36" i="109"/>
  <c r="F36" i="109"/>
  <c r="J56" i="109"/>
  <c r="L56" i="109"/>
  <c r="M56" i="109"/>
  <c r="F56" i="109"/>
  <c r="G56" i="109"/>
  <c r="H56" i="109"/>
  <c r="M71" i="109"/>
  <c r="G71" i="109"/>
  <c r="F71" i="109"/>
  <c r="H71" i="109"/>
  <c r="H71" i="115" s="1"/>
  <c r="J71" i="109"/>
  <c r="L71" i="109"/>
  <c r="J102" i="109"/>
  <c r="L102" i="109"/>
  <c r="M102" i="109"/>
  <c r="F102" i="109"/>
  <c r="G102" i="109"/>
  <c r="H102" i="109"/>
  <c r="H102" i="115" s="1"/>
  <c r="H74" i="109"/>
  <c r="J74" i="109"/>
  <c r="L74" i="109"/>
  <c r="F74" i="109"/>
  <c r="M74" i="109"/>
  <c r="G74" i="109"/>
  <c r="F100" i="109"/>
  <c r="G100" i="109"/>
  <c r="H100" i="109"/>
  <c r="L100" i="109"/>
  <c r="J100" i="109"/>
  <c r="M100" i="109"/>
  <c r="L46" i="109"/>
  <c r="M46" i="109"/>
  <c r="F46" i="109"/>
  <c r="G46" i="109"/>
  <c r="H46" i="109"/>
  <c r="J46" i="109"/>
  <c r="J51" i="109"/>
  <c r="L51" i="109"/>
  <c r="M51" i="109"/>
  <c r="F51" i="109"/>
  <c r="G51" i="109"/>
  <c r="H51" i="109"/>
  <c r="H51" i="115" s="1"/>
  <c r="J34" i="109"/>
  <c r="J34" i="115" s="1"/>
  <c r="M34" i="109"/>
  <c r="G34" i="109"/>
  <c r="H34" i="109"/>
  <c r="L34" i="109"/>
  <c r="F34" i="109"/>
  <c r="L20" i="109"/>
  <c r="L20" i="115" s="1"/>
  <c r="F20" i="109"/>
  <c r="F20" i="115" s="1"/>
  <c r="H20" i="109"/>
  <c r="H20" i="115" s="1"/>
  <c r="M20" i="109"/>
  <c r="G20" i="109"/>
  <c r="J20" i="109"/>
  <c r="J20" i="115" s="1"/>
  <c r="F41" i="109"/>
  <c r="L41" i="109"/>
  <c r="J41" i="109"/>
  <c r="H41" i="109"/>
  <c r="G41" i="109"/>
  <c r="M41" i="109"/>
  <c r="M64" i="109"/>
  <c r="G64" i="109"/>
  <c r="F64" i="109"/>
  <c r="H64" i="109"/>
  <c r="J64" i="109"/>
  <c r="L64" i="109"/>
  <c r="L64" i="115" s="1"/>
  <c r="J45" i="109"/>
  <c r="L45" i="109"/>
  <c r="M45" i="109"/>
  <c r="F45" i="109"/>
  <c r="G45" i="109"/>
  <c r="H45" i="109"/>
  <c r="H15" i="109"/>
  <c r="J15" i="109"/>
  <c r="F15" i="109"/>
  <c r="G15" i="109"/>
  <c r="L15" i="109"/>
  <c r="M15" i="109"/>
  <c r="J8" i="109"/>
  <c r="M8" i="109"/>
  <c r="F8" i="109"/>
  <c r="H8" i="109"/>
  <c r="G8" i="109"/>
  <c r="L8" i="109"/>
  <c r="E114" i="109"/>
  <c r="L103" i="109"/>
  <c r="M103" i="109"/>
  <c r="F103" i="109"/>
  <c r="G103" i="109"/>
  <c r="H103" i="109"/>
  <c r="J103" i="109"/>
  <c r="F73" i="109"/>
  <c r="G73" i="109"/>
  <c r="H73" i="109"/>
  <c r="H73" i="115" s="1"/>
  <c r="L73" i="109"/>
  <c r="J73" i="109"/>
  <c r="M73" i="109"/>
  <c r="H111" i="109"/>
  <c r="M111" i="109"/>
  <c r="G111" i="109"/>
  <c r="L111" i="109"/>
  <c r="G109" i="109"/>
  <c r="M109" i="109"/>
  <c r="H109" i="109"/>
  <c r="L109" i="109"/>
  <c r="F85" i="109"/>
  <c r="G85" i="109"/>
  <c r="H85" i="109"/>
  <c r="H85" i="115" s="1"/>
  <c r="L85" i="109"/>
  <c r="J85" i="109"/>
  <c r="M85" i="109"/>
  <c r="M24" i="109"/>
  <c r="G24" i="109"/>
  <c r="J24" i="109"/>
  <c r="J24" i="115" s="1"/>
  <c r="L24" i="109"/>
  <c r="L24" i="115" s="1"/>
  <c r="F24" i="109"/>
  <c r="F24" i="115" s="1"/>
  <c r="H24" i="109"/>
  <c r="H24" i="115" s="1"/>
  <c r="M32" i="109"/>
  <c r="G32" i="109"/>
  <c r="F32" i="109"/>
  <c r="L32" i="109"/>
  <c r="H32" i="109"/>
  <c r="J32" i="109"/>
  <c r="L31" i="109"/>
  <c r="F31" i="109"/>
  <c r="M31" i="109"/>
  <c r="G31" i="109"/>
  <c r="J31" i="109"/>
  <c r="H31" i="109"/>
  <c r="H31" i="115" s="1"/>
  <c r="H44" i="109"/>
  <c r="J44" i="109"/>
  <c r="L44" i="109"/>
  <c r="M44" i="109"/>
  <c r="F44" i="109"/>
  <c r="G44" i="109"/>
  <c r="M57" i="109"/>
  <c r="G57" i="109"/>
  <c r="F57" i="109"/>
  <c r="H57" i="109"/>
  <c r="J57" i="109"/>
  <c r="L57" i="109"/>
  <c r="F47" i="109"/>
  <c r="H47" i="109"/>
  <c r="G47" i="109"/>
  <c r="J47" i="109"/>
  <c r="L47" i="109"/>
  <c r="M47" i="109"/>
  <c r="M38" i="109"/>
  <c r="M38" i="115" s="1"/>
  <c r="J38" i="109"/>
  <c r="J38" i="115" s="1"/>
  <c r="H38" i="109"/>
  <c r="H38" i="115" s="1"/>
  <c r="L38" i="109"/>
  <c r="L38" i="115" s="1"/>
  <c r="F38" i="109"/>
  <c r="F38" i="115" s="1"/>
  <c r="G38" i="109"/>
  <c r="G38" i="115" s="1"/>
  <c r="F90" i="109"/>
  <c r="F90" i="115" s="1"/>
  <c r="G90" i="109"/>
  <c r="G90" i="115" s="1"/>
  <c r="J90" i="109"/>
  <c r="J90" i="115" s="1"/>
  <c r="H90" i="109"/>
  <c r="H90" i="115" s="1"/>
  <c r="L90" i="109"/>
  <c r="L90" i="115" s="1"/>
  <c r="M90" i="109"/>
  <c r="M90" i="115" s="1"/>
  <c r="F53" i="109"/>
  <c r="H53" i="109"/>
  <c r="J53" i="109"/>
  <c r="L53" i="109"/>
  <c r="G53" i="109"/>
  <c r="M53" i="109"/>
  <c r="F67" i="109"/>
  <c r="G67" i="109"/>
  <c r="H67" i="109"/>
  <c r="L67" i="109"/>
  <c r="M67" i="109"/>
  <c r="J67" i="109"/>
  <c r="F66" i="109"/>
  <c r="G66" i="109"/>
  <c r="J66" i="109"/>
  <c r="H66" i="109"/>
  <c r="L66" i="109"/>
  <c r="M66" i="109"/>
  <c r="G26" i="109"/>
  <c r="M26" i="109"/>
  <c r="H26" i="109"/>
  <c r="H26" i="115" s="1"/>
  <c r="L26" i="109"/>
  <c r="L26" i="115" s="1"/>
  <c r="F26" i="109"/>
  <c r="F26" i="115" s="1"/>
  <c r="J26" i="109"/>
  <c r="J26" i="115" s="1"/>
  <c r="F94" i="109"/>
  <c r="H94" i="109"/>
  <c r="J94" i="109"/>
  <c r="L94" i="109"/>
  <c r="G94" i="109"/>
  <c r="M94" i="109"/>
  <c r="F39" i="109"/>
  <c r="F39" i="115" s="1"/>
  <c r="G39" i="109"/>
  <c r="G39" i="115" s="1"/>
  <c r="L39" i="109"/>
  <c r="L39" i="115" s="1"/>
  <c r="H39" i="109"/>
  <c r="H39" i="115" s="1"/>
  <c r="M39" i="109"/>
  <c r="M39" i="115" s="1"/>
  <c r="G106" i="109"/>
  <c r="G106" i="115" s="1"/>
  <c r="M106" i="109"/>
  <c r="M106" i="115" s="1"/>
  <c r="F54" i="109"/>
  <c r="G54" i="109"/>
  <c r="J54" i="109"/>
  <c r="H54" i="109"/>
  <c r="H54" i="115" s="1"/>
  <c r="L54" i="109"/>
  <c r="M54" i="109"/>
  <c r="F59" i="109"/>
  <c r="G59" i="109"/>
  <c r="J59" i="109"/>
  <c r="H59" i="109"/>
  <c r="L59" i="109"/>
  <c r="M59" i="109"/>
  <c r="F77" i="109"/>
  <c r="H77" i="109"/>
  <c r="J77" i="109"/>
  <c r="L77" i="109"/>
  <c r="G77" i="109"/>
  <c r="M77" i="109"/>
  <c r="G49" i="109"/>
  <c r="H49" i="109"/>
  <c r="H49" i="115" s="1"/>
  <c r="J49" i="109"/>
  <c r="M49" i="109"/>
  <c r="L49" i="109"/>
  <c r="F49" i="109"/>
  <c r="L87" i="109"/>
  <c r="M87" i="109"/>
  <c r="F87" i="109"/>
  <c r="G87" i="109"/>
  <c r="H87" i="109"/>
  <c r="J87" i="109"/>
  <c r="H115" i="109"/>
  <c r="L115" i="109"/>
  <c r="M115" i="109"/>
  <c r="G115" i="109"/>
  <c r="L98" i="109"/>
  <c r="M98" i="109"/>
  <c r="F98" i="109"/>
  <c r="G98" i="109"/>
  <c r="H98" i="109"/>
  <c r="J98" i="109"/>
  <c r="G18" i="109"/>
  <c r="M18" i="109"/>
  <c r="L18" i="109"/>
  <c r="F18" i="109"/>
  <c r="H18" i="109"/>
  <c r="J18" i="109"/>
  <c r="H62" i="109"/>
  <c r="J62" i="109"/>
  <c r="L62" i="109"/>
  <c r="F62" i="109"/>
  <c r="G62" i="109"/>
  <c r="M62" i="109"/>
  <c r="J75" i="109"/>
  <c r="L75" i="109"/>
  <c r="M75" i="109"/>
  <c r="E75" i="109"/>
  <c r="F75" i="109"/>
  <c r="G75" i="109"/>
  <c r="H75" i="109"/>
  <c r="G91" i="109"/>
  <c r="H91" i="109"/>
  <c r="J91" i="109"/>
  <c r="M91" i="109"/>
  <c r="F91" i="109"/>
  <c r="L91" i="109"/>
  <c r="F60" i="109"/>
  <c r="G60" i="109"/>
  <c r="H60" i="109"/>
  <c r="L60" i="109"/>
  <c r="M60" i="109"/>
  <c r="E60" i="109"/>
  <c r="J60" i="109"/>
  <c r="M93" i="109"/>
  <c r="G93" i="109"/>
  <c r="F93" i="109"/>
  <c r="H93" i="109"/>
  <c r="J93" i="109"/>
  <c r="L93" i="109"/>
  <c r="E65" i="109"/>
  <c r="F65" i="109"/>
  <c r="H65" i="109"/>
  <c r="J65" i="109"/>
  <c r="L65" i="109"/>
  <c r="G65" i="109"/>
  <c r="M65" i="109"/>
  <c r="G55" i="109"/>
  <c r="H55" i="109"/>
  <c r="J55" i="109"/>
  <c r="M55" i="109"/>
  <c r="L55" i="109"/>
  <c r="F55" i="109"/>
  <c r="F95" i="109"/>
  <c r="G95" i="109"/>
  <c r="H95" i="109"/>
  <c r="H95" i="115" s="1"/>
  <c r="L95" i="109"/>
  <c r="J95" i="109"/>
  <c r="M95" i="109"/>
  <c r="J9" i="109"/>
  <c r="G9" i="109"/>
  <c r="M9" i="109"/>
  <c r="F9" i="109"/>
  <c r="H9" i="109"/>
  <c r="L9" i="109"/>
  <c r="F13" i="109"/>
  <c r="J13" i="109"/>
  <c r="G13" i="109"/>
  <c r="H13" i="109"/>
  <c r="L13" i="109"/>
  <c r="M13" i="109"/>
  <c r="F22" i="109"/>
  <c r="L22" i="109"/>
  <c r="G22" i="109"/>
  <c r="J22" i="109"/>
  <c r="M22" i="109"/>
  <c r="F99" i="109"/>
  <c r="H99" i="109"/>
  <c r="J99" i="109"/>
  <c r="L99" i="109"/>
  <c r="M99" i="109"/>
  <c r="G99" i="109"/>
  <c r="F16" i="109"/>
  <c r="L16" i="109"/>
  <c r="G16" i="109"/>
  <c r="J16" i="109"/>
  <c r="M16" i="109"/>
  <c r="H16" i="109"/>
  <c r="G7" i="109"/>
  <c r="J7" i="109"/>
  <c r="J7" i="115" s="1"/>
  <c r="F7" i="109"/>
  <c r="H7" i="109"/>
  <c r="L7" i="109"/>
  <c r="M7" i="109"/>
  <c r="M7" i="115" s="1"/>
  <c r="H33" i="109"/>
  <c r="G33" i="109"/>
  <c r="L33" i="109"/>
  <c r="M33" i="109"/>
  <c r="F33" i="109"/>
  <c r="J33" i="109"/>
  <c r="H37" i="109"/>
  <c r="M37" i="109"/>
  <c r="G37" i="109"/>
  <c r="E37" i="109"/>
  <c r="F37" i="109"/>
  <c r="J37" i="109"/>
  <c r="L37" i="109"/>
  <c r="F14" i="109"/>
  <c r="F14" i="115" s="1"/>
  <c r="H14" i="109"/>
  <c r="H14" i="115" s="1"/>
  <c r="M14" i="109"/>
  <c r="M14" i="115" s="1"/>
  <c r="G14" i="109"/>
  <c r="G14" i="115" s="1"/>
  <c r="J14" i="109"/>
  <c r="J14" i="115" s="1"/>
  <c r="L14" i="109"/>
  <c r="L14" i="115" s="1"/>
  <c r="H112" i="109"/>
  <c r="L112" i="109"/>
  <c r="M112" i="109"/>
  <c r="G112" i="109"/>
  <c r="M104" i="109"/>
  <c r="G104" i="109"/>
  <c r="H104" i="109"/>
  <c r="J104" i="109"/>
  <c r="F104" i="109"/>
  <c r="L104" i="109"/>
  <c r="L108" i="109"/>
  <c r="L108" i="115" s="1"/>
  <c r="H108" i="109"/>
  <c r="H108" i="115" s="1"/>
  <c r="M108" i="109"/>
  <c r="M108" i="115" s="1"/>
  <c r="G108" i="109"/>
  <c r="G108" i="115" s="1"/>
  <c r="H27" i="109"/>
  <c r="M27" i="109"/>
  <c r="G27" i="109"/>
  <c r="F27" i="109"/>
  <c r="J27" i="109"/>
  <c r="L27" i="109"/>
  <c r="E27" i="109"/>
  <c r="L70" i="109"/>
  <c r="M70" i="109"/>
  <c r="F70" i="109"/>
  <c r="G70" i="109"/>
  <c r="H70" i="109"/>
  <c r="J70" i="109"/>
  <c r="G43" i="109"/>
  <c r="H43" i="109"/>
  <c r="J43" i="109"/>
  <c r="M43" i="109"/>
  <c r="F43" i="109"/>
  <c r="L43" i="109"/>
  <c r="L52" i="109"/>
  <c r="M52" i="109"/>
  <c r="F52" i="109"/>
  <c r="G52" i="109"/>
  <c r="H52" i="109"/>
  <c r="J52" i="109"/>
  <c r="L76" i="109"/>
  <c r="M76" i="109"/>
  <c r="F76" i="109"/>
  <c r="G76" i="109"/>
  <c r="H76" i="109"/>
  <c r="J76" i="109"/>
  <c r="E48" i="109"/>
  <c r="F48" i="109"/>
  <c r="G48" i="109"/>
  <c r="J48" i="109"/>
  <c r="L48" i="109"/>
  <c r="M48" i="109"/>
  <c r="H48" i="109"/>
  <c r="J23" i="109"/>
  <c r="E23" i="109"/>
  <c r="G23" i="109"/>
  <c r="M23" i="109"/>
  <c r="F23" i="109"/>
  <c r="H23" i="109"/>
  <c r="L23" i="109"/>
  <c r="J80" i="109"/>
  <c r="L80" i="109"/>
  <c r="M80" i="109"/>
  <c r="E80" i="109"/>
  <c r="F80" i="109"/>
  <c r="G80" i="109"/>
  <c r="H80" i="109"/>
  <c r="J63" i="109"/>
  <c r="L63" i="109"/>
  <c r="M63" i="109"/>
  <c r="E63" i="109"/>
  <c r="F63" i="109"/>
  <c r="G63" i="109"/>
  <c r="H63" i="109"/>
  <c r="H79" i="109"/>
  <c r="J79" i="109"/>
  <c r="L79" i="109"/>
  <c r="F79" i="109"/>
  <c r="M79" i="109"/>
  <c r="G79" i="109"/>
  <c r="G107" i="109"/>
  <c r="M107" i="109"/>
  <c r="I15" i="114"/>
  <c r="G20" i="113"/>
  <c r="M20" i="113"/>
  <c r="M20" i="114"/>
  <c r="G20" i="114"/>
  <c r="G6" i="109"/>
  <c r="E117" i="113"/>
  <c r="E39" i="114"/>
  <c r="E39" i="113"/>
  <c r="G7" i="113"/>
  <c r="M26" i="113"/>
  <c r="G26" i="113"/>
  <c r="G69" i="114"/>
  <c r="M69" i="114"/>
  <c r="M85" i="114"/>
  <c r="G85" i="114"/>
  <c r="E37" i="113"/>
  <c r="G37" i="113"/>
  <c r="M37" i="113"/>
  <c r="G79" i="114"/>
  <c r="M79" i="114"/>
  <c r="M105" i="114"/>
  <c r="G105" i="114"/>
  <c r="G112" i="114"/>
  <c r="M112" i="114"/>
  <c r="G8" i="114"/>
  <c r="M8" i="114"/>
  <c r="G54" i="114"/>
  <c r="M54" i="114"/>
  <c r="G78" i="113"/>
  <c r="M78" i="113"/>
  <c r="M24" i="114"/>
  <c r="I24" i="114"/>
  <c r="I24" i="115" s="1"/>
  <c r="G24" i="114"/>
  <c r="G67" i="114"/>
  <c r="M67" i="114"/>
  <c r="G16" i="113"/>
  <c r="M16" i="113"/>
  <c r="M50" i="114"/>
  <c r="G50" i="114"/>
  <c r="E75" i="113"/>
  <c r="M75" i="113"/>
  <c r="G75" i="113"/>
  <c r="G40" i="113"/>
  <c r="M40" i="113"/>
  <c r="G32" i="113"/>
  <c r="M32" i="113"/>
  <c r="G74" i="114"/>
  <c r="M74" i="114"/>
  <c r="M81" i="113"/>
  <c r="G81" i="113"/>
  <c r="E81" i="113" s="1"/>
  <c r="M42" i="113"/>
  <c r="G42" i="113"/>
  <c r="E89" i="114"/>
  <c r="I89" i="114"/>
  <c r="G89" i="114"/>
  <c r="M89" i="114"/>
  <c r="M102" i="114"/>
  <c r="G102" i="114"/>
  <c r="I102" i="114"/>
  <c r="I102" i="115" s="1"/>
  <c r="I26" i="114"/>
  <c r="I26" i="115" s="1"/>
  <c r="M26" i="114"/>
  <c r="G26" i="114"/>
  <c r="M53" i="113"/>
  <c r="G53" i="113"/>
  <c r="G37" i="114"/>
  <c r="E37" i="114"/>
  <c r="I37" i="114"/>
  <c r="M37" i="114"/>
  <c r="E63" i="113"/>
  <c r="G63" i="113"/>
  <c r="M63" i="113"/>
  <c r="G6" i="113"/>
  <c r="M68" i="113"/>
  <c r="G68" i="113"/>
  <c r="M36" i="113"/>
  <c r="G36" i="113"/>
  <c r="E36" i="113"/>
  <c r="G104" i="113"/>
  <c r="M104" i="113"/>
  <c r="G10" i="114"/>
  <c r="M10" i="114"/>
  <c r="G56" i="113"/>
  <c r="M56" i="113"/>
  <c r="G92" i="114"/>
  <c r="M92" i="114"/>
  <c r="M43" i="113"/>
  <c r="G43" i="113"/>
  <c r="G16" i="114"/>
  <c r="M16" i="114"/>
  <c r="G60" i="114"/>
  <c r="E60" i="114"/>
  <c r="M60" i="114"/>
  <c r="I60" i="114"/>
  <c r="M33" i="113"/>
  <c r="G33" i="113"/>
  <c r="M75" i="114"/>
  <c r="E75" i="114"/>
  <c r="G75" i="114"/>
  <c r="I75" i="114"/>
  <c r="G40" i="114"/>
  <c r="M40" i="114"/>
  <c r="G107" i="113"/>
  <c r="M107" i="113"/>
  <c r="M32" i="114"/>
  <c r="G32" i="114"/>
  <c r="M41" i="113"/>
  <c r="G41" i="113"/>
  <c r="M57" i="114"/>
  <c r="G57" i="114"/>
  <c r="G109" i="113"/>
  <c r="M109" i="113"/>
  <c r="G101" i="113"/>
  <c r="M101" i="113"/>
  <c r="G52" i="114"/>
  <c r="M52" i="114"/>
  <c r="E117" i="114"/>
  <c r="G7" i="114"/>
  <c r="G53" i="114"/>
  <c r="M53" i="114"/>
  <c r="G19" i="113"/>
  <c r="E19" i="113"/>
  <c r="M19" i="113"/>
  <c r="I63" i="114"/>
  <c r="E63" i="114"/>
  <c r="G63" i="114"/>
  <c r="M63" i="114"/>
  <c r="M97" i="113"/>
  <c r="G97" i="113"/>
  <c r="G6" i="114"/>
  <c r="G62" i="113"/>
  <c r="M62" i="113"/>
  <c r="G78" i="114"/>
  <c r="M78" i="114"/>
  <c r="G104" i="114"/>
  <c r="M104" i="114"/>
  <c r="M56" i="114"/>
  <c r="G56" i="114"/>
  <c r="M98" i="113"/>
  <c r="G98" i="113"/>
  <c r="G43" i="114"/>
  <c r="M43" i="114"/>
  <c r="M83" i="113"/>
  <c r="G83" i="113"/>
  <c r="G100" i="113"/>
  <c r="M100" i="113"/>
  <c r="M33" i="114"/>
  <c r="G33" i="114"/>
  <c r="G107" i="114"/>
  <c r="M107" i="114"/>
  <c r="E82" i="113"/>
  <c r="M82" i="113"/>
  <c r="G82" i="113"/>
  <c r="M21" i="113"/>
  <c r="G21" i="113"/>
  <c r="M41" i="114"/>
  <c r="G41" i="114"/>
  <c r="M65" i="113"/>
  <c r="G65" i="113"/>
  <c r="E65" i="113"/>
  <c r="I81" i="114"/>
  <c r="M81" i="114"/>
  <c r="G81" i="114"/>
  <c r="E81" i="114"/>
  <c r="G109" i="114"/>
  <c r="M109" i="114"/>
  <c r="M42" i="114"/>
  <c r="G42" i="114"/>
  <c r="M101" i="114"/>
  <c r="G101" i="114"/>
  <c r="M76" i="113"/>
  <c r="G76" i="113"/>
  <c r="G35" i="113"/>
  <c r="M35" i="113"/>
  <c r="E35" i="113"/>
  <c r="G77" i="113"/>
  <c r="M77" i="113"/>
  <c r="G17" i="113"/>
  <c r="M17" i="113"/>
  <c r="M113" i="114"/>
  <c r="G113" i="114"/>
  <c r="M19" i="114"/>
  <c r="I19" i="114"/>
  <c r="G19" i="114"/>
  <c r="E19" i="114"/>
  <c r="M47" i="113"/>
  <c r="G47" i="113"/>
  <c r="M68" i="114"/>
  <c r="G68" i="114"/>
  <c r="M18" i="113"/>
  <c r="G18" i="113"/>
  <c r="I36" i="114"/>
  <c r="M36" i="114"/>
  <c r="G36" i="114"/>
  <c r="E36" i="114"/>
  <c r="G86" i="113"/>
  <c r="M86" i="113"/>
  <c r="G30" i="113"/>
  <c r="M30" i="113"/>
  <c r="M98" i="114"/>
  <c r="G98" i="114"/>
  <c r="M83" i="114"/>
  <c r="G83" i="114"/>
  <c r="G93" i="113"/>
  <c r="M93" i="113"/>
  <c r="G116" i="113"/>
  <c r="M116" i="113"/>
  <c r="I82" i="114"/>
  <c r="G82" i="114"/>
  <c r="M82" i="114"/>
  <c r="E82" i="114"/>
  <c r="I21" i="114"/>
  <c r="I21" i="115" s="1"/>
  <c r="M21" i="114"/>
  <c r="G21" i="114"/>
  <c r="G88" i="113"/>
  <c r="M88" i="113"/>
  <c r="M66" i="113"/>
  <c r="G66" i="113"/>
  <c r="G76" i="114"/>
  <c r="M76" i="114"/>
  <c r="G59" i="113"/>
  <c r="M59" i="113"/>
  <c r="E35" i="114"/>
  <c r="G35" i="114"/>
  <c r="M35" i="114"/>
  <c r="I35" i="114"/>
  <c r="M61" i="113"/>
  <c r="G61" i="113"/>
  <c r="M77" i="114"/>
  <c r="G77" i="114"/>
  <c r="G17" i="114"/>
  <c r="M17" i="114"/>
  <c r="M71" i="113"/>
  <c r="G71" i="113"/>
  <c r="G97" i="114"/>
  <c r="M97" i="114"/>
  <c r="M84" i="113"/>
  <c r="G84" i="113"/>
  <c r="M46" i="113"/>
  <c r="G46" i="113"/>
  <c r="M62" i="114"/>
  <c r="G62" i="114"/>
  <c r="G118" i="113"/>
  <c r="M118" i="113"/>
  <c r="I30" i="114"/>
  <c r="I30" i="115" s="1"/>
  <c r="G30" i="114"/>
  <c r="M30" i="114"/>
  <c r="G72" i="113"/>
  <c r="M72" i="113"/>
  <c r="G51" i="113"/>
  <c r="M51" i="113"/>
  <c r="M34" i="113"/>
  <c r="G34" i="113"/>
  <c r="G87" i="113"/>
  <c r="M87" i="113"/>
  <c r="M100" i="114"/>
  <c r="G100" i="114"/>
  <c r="G95" i="113"/>
  <c r="M95" i="113"/>
  <c r="G93" i="114"/>
  <c r="M93" i="114"/>
  <c r="I116" i="114"/>
  <c r="I116" i="115" s="1"/>
  <c r="G116" i="114"/>
  <c r="M116" i="114"/>
  <c r="M58" i="113"/>
  <c r="G58" i="113"/>
  <c r="G49" i="113"/>
  <c r="M49" i="113"/>
  <c r="G65" i="114"/>
  <c r="M65" i="114"/>
  <c r="E65" i="114"/>
  <c r="I65" i="114"/>
  <c r="M88" i="114"/>
  <c r="G88" i="114"/>
  <c r="M12" i="113"/>
  <c r="G12" i="113"/>
  <c r="M66" i="114"/>
  <c r="G66" i="114"/>
  <c r="G25" i="113"/>
  <c r="M25" i="113"/>
  <c r="G59" i="114"/>
  <c r="M59" i="114"/>
  <c r="M61" i="114"/>
  <c r="G61" i="114"/>
  <c r="M28" i="113"/>
  <c r="G28" i="113"/>
  <c r="M47" i="114"/>
  <c r="G47" i="114"/>
  <c r="I71" i="114"/>
  <c r="I71" i="115" s="1"/>
  <c r="G71" i="114"/>
  <c r="M71" i="114"/>
  <c r="M44" i="113"/>
  <c r="G44" i="113"/>
  <c r="M18" i="114"/>
  <c r="G18" i="114"/>
  <c r="M46" i="114"/>
  <c r="G46" i="114"/>
  <c r="M70" i="113"/>
  <c r="G70" i="113"/>
  <c r="M86" i="114"/>
  <c r="G86" i="114"/>
  <c r="G118" i="114"/>
  <c r="M118" i="114"/>
  <c r="G72" i="114"/>
  <c r="M72" i="114"/>
  <c r="I51" i="114"/>
  <c r="I51" i="115" s="1"/>
  <c r="M51" i="114"/>
  <c r="G51" i="114"/>
  <c r="M111" i="113"/>
  <c r="G111" i="113"/>
  <c r="G87" i="114"/>
  <c r="M87" i="114"/>
  <c r="G13" i="113"/>
  <c r="M13" i="113"/>
  <c r="G95" i="114"/>
  <c r="M95" i="114"/>
  <c r="G64" i="113"/>
  <c r="M64" i="113"/>
  <c r="G23" i="113"/>
  <c r="M23" i="113"/>
  <c r="G58" i="114"/>
  <c r="M58" i="114"/>
  <c r="M110" i="113"/>
  <c r="G110" i="113"/>
  <c r="M31" i="113"/>
  <c r="G31" i="113"/>
  <c r="M49" i="114"/>
  <c r="G49" i="114"/>
  <c r="M73" i="113"/>
  <c r="G73" i="113"/>
  <c r="G12" i="114"/>
  <c r="M12" i="114"/>
  <c r="G25" i="114"/>
  <c r="I25" i="114"/>
  <c r="I25" i="115" s="1"/>
  <c r="M25" i="114"/>
  <c r="M94" i="113"/>
  <c r="G94" i="113"/>
  <c r="G45" i="113"/>
  <c r="M45" i="113"/>
  <c r="M103" i="113"/>
  <c r="G103" i="113"/>
  <c r="M9" i="113"/>
  <c r="G9" i="113"/>
  <c r="I28" i="114"/>
  <c r="M28" i="114"/>
  <c r="G28" i="114"/>
  <c r="G55" i="113"/>
  <c r="M55" i="113"/>
  <c r="M105" i="113"/>
  <c r="G105" i="113"/>
  <c r="G84" i="114"/>
  <c r="M84" i="114"/>
  <c r="M27" i="113"/>
  <c r="G27" i="113"/>
  <c r="G96" i="113"/>
  <c r="M96" i="113"/>
  <c r="G48" i="113"/>
  <c r="E48" i="113"/>
  <c r="M48" i="113"/>
  <c r="G24" i="113"/>
  <c r="M24" i="113"/>
  <c r="G111" i="114"/>
  <c r="M111" i="114"/>
  <c r="M34" i="114"/>
  <c r="G34" i="114"/>
  <c r="G13" i="114"/>
  <c r="M13" i="114"/>
  <c r="G64" i="114"/>
  <c r="M64" i="114"/>
  <c r="G80" i="113"/>
  <c r="M80" i="113"/>
  <c r="E80" i="113"/>
  <c r="M23" i="114"/>
  <c r="G23" i="114"/>
  <c r="I23" i="114"/>
  <c r="G11" i="113"/>
  <c r="M11" i="113"/>
  <c r="M99" i="113"/>
  <c r="G99" i="113"/>
  <c r="M89" i="113"/>
  <c r="E89" i="113"/>
  <c r="G89" i="113"/>
  <c r="G102" i="113"/>
  <c r="M102" i="113"/>
  <c r="G45" i="114"/>
  <c r="M45" i="114"/>
  <c r="G69" i="113"/>
  <c r="M69" i="113"/>
  <c r="G85" i="113"/>
  <c r="M85" i="113"/>
  <c r="G103" i="114"/>
  <c r="M103" i="114"/>
  <c r="M9" i="114"/>
  <c r="G9" i="114"/>
  <c r="G55" i="114"/>
  <c r="M55" i="114"/>
  <c r="M79" i="113"/>
  <c r="G79" i="113"/>
  <c r="G44" i="114"/>
  <c r="M44" i="114"/>
  <c r="G112" i="113"/>
  <c r="M112" i="113"/>
  <c r="M8" i="113"/>
  <c r="G8" i="113"/>
  <c r="G27" i="114"/>
  <c r="I27" i="114"/>
  <c r="M27" i="114"/>
  <c r="G54" i="113"/>
  <c r="M54" i="113"/>
  <c r="G70" i="114"/>
  <c r="M70" i="114"/>
  <c r="M96" i="114"/>
  <c r="G96" i="114"/>
  <c r="M10" i="113"/>
  <c r="G10" i="113"/>
  <c r="E48" i="114"/>
  <c r="I48" i="114"/>
  <c r="M48" i="114"/>
  <c r="G48" i="114"/>
  <c r="G92" i="113"/>
  <c r="M92" i="113"/>
  <c r="M67" i="113"/>
  <c r="G67" i="113"/>
  <c r="M60" i="113"/>
  <c r="E60" i="113"/>
  <c r="G60" i="113"/>
  <c r="M50" i="113"/>
  <c r="G50" i="113"/>
  <c r="G80" i="114"/>
  <c r="M80" i="114"/>
  <c r="I80" i="114"/>
  <c r="E80" i="114"/>
  <c r="G74" i="113"/>
  <c r="M74" i="113"/>
  <c r="M110" i="114"/>
  <c r="G110" i="114"/>
  <c r="M11" i="114"/>
  <c r="G11" i="114"/>
  <c r="G31" i="114"/>
  <c r="M31" i="114"/>
  <c r="M57" i="113"/>
  <c r="G57" i="113"/>
  <c r="G73" i="114"/>
  <c r="M73" i="114"/>
  <c r="M99" i="114"/>
  <c r="G99" i="114"/>
  <c r="M52" i="113"/>
  <c r="G52" i="113"/>
  <c r="M94" i="114"/>
  <c r="G94" i="114"/>
  <c r="H6" i="109"/>
  <c r="F104" i="115" l="1"/>
  <c r="F107" i="115"/>
  <c r="J107" i="115"/>
  <c r="J49" i="115"/>
  <c r="M107" i="115"/>
  <c r="G107" i="115"/>
  <c r="E108" i="109"/>
  <c r="E108" i="115"/>
  <c r="L76" i="115"/>
  <c r="H40" i="115"/>
  <c r="F40" i="115"/>
  <c r="L105" i="115"/>
  <c r="M40" i="115"/>
  <c r="J40" i="115"/>
  <c r="G40" i="115"/>
  <c r="L40" i="115"/>
  <c r="E39" i="115"/>
  <c r="H33" i="115"/>
  <c r="J93" i="115"/>
  <c r="H87" i="115"/>
  <c r="L67" i="115"/>
  <c r="H18" i="115"/>
  <c r="H43" i="115"/>
  <c r="F8" i="115"/>
  <c r="H68" i="115"/>
  <c r="J99" i="115"/>
  <c r="H53" i="115"/>
  <c r="H83" i="115"/>
  <c r="J79" i="115"/>
  <c r="H94" i="115"/>
  <c r="L41" i="115"/>
  <c r="F77" i="115"/>
  <c r="L54" i="115"/>
  <c r="L32" i="115"/>
  <c r="H104" i="115"/>
  <c r="L109" i="115"/>
  <c r="J56" i="115"/>
  <c r="F50" i="115"/>
  <c r="J70" i="115"/>
  <c r="H47" i="115"/>
  <c r="F76" i="115"/>
  <c r="J9" i="115"/>
  <c r="H59" i="115"/>
  <c r="H74" i="115"/>
  <c r="J43" i="115"/>
  <c r="H9" i="115"/>
  <c r="H44" i="115"/>
  <c r="H76" i="115"/>
  <c r="H109" i="115"/>
  <c r="J73" i="115"/>
  <c r="F51" i="115"/>
  <c r="J88" i="115"/>
  <c r="L93" i="115"/>
  <c r="L47" i="115"/>
  <c r="L66" i="115"/>
  <c r="J31" i="115"/>
  <c r="J11" i="115"/>
  <c r="F97" i="115"/>
  <c r="J96" i="115"/>
  <c r="H70" i="115"/>
  <c r="H112" i="115"/>
  <c r="L7" i="115"/>
  <c r="F93" i="115"/>
  <c r="H10" i="115"/>
  <c r="F72" i="115"/>
  <c r="H12" i="115"/>
  <c r="F70" i="115"/>
  <c r="F73" i="115"/>
  <c r="L33" i="115"/>
  <c r="J45" i="115"/>
  <c r="F61" i="115"/>
  <c r="H77" i="115"/>
  <c r="H103" i="115"/>
  <c r="H97" i="115"/>
  <c r="J47" i="115"/>
  <c r="J76" i="115"/>
  <c r="L79" i="115"/>
  <c r="E7" i="113"/>
  <c r="F98" i="115"/>
  <c r="J64" i="115"/>
  <c r="F46" i="115"/>
  <c r="F79" i="115"/>
  <c r="F9" i="115"/>
  <c r="L104" i="115"/>
  <c r="F43" i="115"/>
  <c r="J55" i="115"/>
  <c r="J98" i="115"/>
  <c r="F49" i="115"/>
  <c r="J74" i="115"/>
  <c r="L70" i="115"/>
  <c r="L49" i="115"/>
  <c r="J71" i="115"/>
  <c r="H93" i="115"/>
  <c r="F18" i="115"/>
  <c r="F94" i="115"/>
  <c r="F45" i="115"/>
  <c r="L113" i="115"/>
  <c r="H17" i="115"/>
  <c r="F54" i="115"/>
  <c r="F31" i="115"/>
  <c r="J62" i="115"/>
  <c r="L44" i="115"/>
  <c r="H98" i="115"/>
  <c r="J77" i="115"/>
  <c r="J86" i="115"/>
  <c r="F71" i="115"/>
  <c r="L88" i="115"/>
  <c r="H96" i="115"/>
  <c r="H69" i="115"/>
  <c r="L17" i="115"/>
  <c r="F84" i="115"/>
  <c r="J72" i="115"/>
  <c r="L12" i="115"/>
  <c r="L101" i="115"/>
  <c r="J41" i="115"/>
  <c r="H67" i="115"/>
  <c r="F103" i="115"/>
  <c r="H64" i="115"/>
  <c r="L58" i="115"/>
  <c r="L50" i="115"/>
  <c r="H13" i="115"/>
  <c r="L73" i="115"/>
  <c r="H88" i="115"/>
  <c r="J50" i="115"/>
  <c r="F100" i="115"/>
  <c r="F95" i="115"/>
  <c r="L55" i="115"/>
  <c r="F67" i="115"/>
  <c r="H56" i="115"/>
  <c r="H105" i="115"/>
  <c r="F7" i="115"/>
  <c r="L87" i="115"/>
  <c r="L57" i="115"/>
  <c r="L85" i="115"/>
  <c r="F56" i="115"/>
  <c r="F102" i="115"/>
  <c r="L51" i="115"/>
  <c r="L68" i="115"/>
  <c r="L98" i="115"/>
  <c r="L112" i="115"/>
  <c r="J13" i="115"/>
  <c r="J100" i="115"/>
  <c r="L95" i="115"/>
  <c r="L53" i="115"/>
  <c r="H46" i="115"/>
  <c r="H41" i="115"/>
  <c r="L111" i="115"/>
  <c r="F58" i="115"/>
  <c r="H66" i="115"/>
  <c r="L52" i="115"/>
  <c r="F62" i="115"/>
  <c r="H34" i="115"/>
  <c r="J42" i="115"/>
  <c r="L6" i="115"/>
  <c r="F105" i="115"/>
  <c r="L100" i="115"/>
  <c r="F78" i="115"/>
  <c r="H57" i="115"/>
  <c r="H52" i="115"/>
  <c r="H8" i="115"/>
  <c r="H45" i="115"/>
  <c r="J105" i="115"/>
  <c r="F12" i="115"/>
  <c r="J66" i="115"/>
  <c r="F11" i="115"/>
  <c r="F10" i="115"/>
  <c r="L97" i="115"/>
  <c r="H84" i="115"/>
  <c r="F33" i="115"/>
  <c r="L62" i="115"/>
  <c r="J59" i="115"/>
  <c r="L42" i="115"/>
  <c r="L96" i="115"/>
  <c r="L8" i="115"/>
  <c r="L86" i="115"/>
  <c r="L31" i="115"/>
  <c r="J104" i="115"/>
  <c r="F59" i="115"/>
  <c r="J17" i="115"/>
  <c r="J6" i="115"/>
  <c r="J83" i="115"/>
  <c r="L99" i="115"/>
  <c r="J87" i="115"/>
  <c r="J94" i="115"/>
  <c r="H32" i="115"/>
  <c r="H111" i="115"/>
  <c r="L78" i="115"/>
  <c r="F112" i="115"/>
  <c r="E106" i="115"/>
  <c r="J68" i="115"/>
  <c r="F110" i="115"/>
  <c r="F83" i="115"/>
  <c r="H6" i="115"/>
  <c r="F64" i="115"/>
  <c r="H11" i="115"/>
  <c r="J58" i="115"/>
  <c r="F68" i="115"/>
  <c r="L61" i="115"/>
  <c r="L10" i="115"/>
  <c r="J101" i="115"/>
  <c r="J61" i="115"/>
  <c r="F34" i="115"/>
  <c r="L59" i="115"/>
  <c r="J33" i="115"/>
  <c r="H7" i="115"/>
  <c r="F47" i="115"/>
  <c r="F44" i="115"/>
  <c r="L103" i="115"/>
  <c r="F74" i="115"/>
  <c r="H58" i="115"/>
  <c r="H50" i="115"/>
  <c r="J57" i="115"/>
  <c r="J46" i="115"/>
  <c r="L11" i="115"/>
  <c r="H72" i="115"/>
  <c r="L94" i="115"/>
  <c r="J44" i="115"/>
  <c r="J103" i="115"/>
  <c r="J84" i="115"/>
  <c r="F101" i="115"/>
  <c r="L72" i="115"/>
  <c r="H110" i="115"/>
  <c r="F69" i="115"/>
  <c r="F52" i="115"/>
  <c r="F53" i="115"/>
  <c r="F32" i="115"/>
  <c r="H99" i="115"/>
  <c r="L13" i="115"/>
  <c r="F99" i="115"/>
  <c r="F55" i="115"/>
  <c r="L18" i="115"/>
  <c r="F87" i="115"/>
  <c r="J8" i="115"/>
  <c r="L34" i="115"/>
  <c r="L46" i="115"/>
  <c r="H101" i="115"/>
  <c r="J78" i="115"/>
  <c r="H61" i="115"/>
  <c r="J12" i="115"/>
  <c r="M74" i="115"/>
  <c r="H79" i="115"/>
  <c r="L102" i="115"/>
  <c r="F6" i="115"/>
  <c r="L43" i="115"/>
  <c r="J51" i="115"/>
  <c r="L74" i="115"/>
  <c r="J102" i="115"/>
  <c r="F86" i="115"/>
  <c r="L69" i="115"/>
  <c r="J95" i="115"/>
  <c r="L45" i="115"/>
  <c r="L71" i="115"/>
  <c r="H42" i="115"/>
  <c r="H113" i="115"/>
  <c r="J69" i="115"/>
  <c r="L84" i="115"/>
  <c r="L83" i="115"/>
  <c r="F13" i="115"/>
  <c r="L77" i="115"/>
  <c r="F66" i="115"/>
  <c r="J52" i="115"/>
  <c r="H55" i="115"/>
  <c r="H62" i="115"/>
  <c r="J67" i="115"/>
  <c r="J32" i="115"/>
  <c r="H100" i="115"/>
  <c r="L110" i="115"/>
  <c r="J110" i="115"/>
  <c r="J18" i="115"/>
  <c r="J53" i="115"/>
  <c r="F57" i="115"/>
  <c r="F85" i="115"/>
  <c r="L56" i="115"/>
  <c r="F42" i="115"/>
  <c r="J10" i="115"/>
  <c r="F17" i="115"/>
  <c r="M88" i="115"/>
  <c r="G76" i="115"/>
  <c r="G98" i="115"/>
  <c r="M41" i="115"/>
  <c r="G6" i="115"/>
  <c r="G79" i="115"/>
  <c r="M79" i="115"/>
  <c r="M76" i="115"/>
  <c r="G52" i="115"/>
  <c r="M52" i="115"/>
  <c r="M43" i="115"/>
  <c r="G43" i="115"/>
  <c r="G70" i="115"/>
  <c r="M70" i="115"/>
  <c r="G104" i="115"/>
  <c r="M104" i="115"/>
  <c r="G112" i="115"/>
  <c r="M112" i="115"/>
  <c r="M33" i="115"/>
  <c r="G33" i="115"/>
  <c r="G7" i="115"/>
  <c r="G99" i="115"/>
  <c r="M99" i="115"/>
  <c r="M13" i="115"/>
  <c r="G13" i="115"/>
  <c r="M9" i="115"/>
  <c r="G9" i="115"/>
  <c r="M95" i="115"/>
  <c r="G95" i="115"/>
  <c r="M55" i="115"/>
  <c r="G55" i="115"/>
  <c r="G93" i="115"/>
  <c r="M93" i="115"/>
  <c r="M62" i="115"/>
  <c r="G62" i="115"/>
  <c r="M18" i="115"/>
  <c r="G18" i="115"/>
  <c r="M98" i="115"/>
  <c r="G87" i="115"/>
  <c r="M87" i="115"/>
  <c r="M49" i="115"/>
  <c r="G49" i="115"/>
  <c r="M77" i="115"/>
  <c r="G77" i="115"/>
  <c r="M59" i="115"/>
  <c r="G59" i="115"/>
  <c r="M54" i="115"/>
  <c r="G54" i="115"/>
  <c r="M94" i="115"/>
  <c r="G94" i="115"/>
  <c r="M26" i="115"/>
  <c r="M66" i="115"/>
  <c r="G66" i="115"/>
  <c r="M67" i="115"/>
  <c r="G67" i="115"/>
  <c r="M53" i="115"/>
  <c r="G53" i="115"/>
  <c r="M47" i="115"/>
  <c r="G47" i="115"/>
  <c r="G57" i="115"/>
  <c r="M57" i="115"/>
  <c r="G44" i="115"/>
  <c r="M44" i="115"/>
  <c r="G31" i="115"/>
  <c r="M31" i="115"/>
  <c r="G32" i="115"/>
  <c r="M32" i="115"/>
  <c r="M85" i="115"/>
  <c r="G85" i="115"/>
  <c r="M109" i="115"/>
  <c r="G109" i="115"/>
  <c r="G111" i="115"/>
  <c r="M111" i="115"/>
  <c r="M73" i="115"/>
  <c r="G73" i="115"/>
  <c r="G103" i="115"/>
  <c r="M103" i="115"/>
  <c r="G8" i="115"/>
  <c r="M8" i="115"/>
  <c r="G45" i="115"/>
  <c r="M45" i="115"/>
  <c r="G64" i="115"/>
  <c r="M64" i="115"/>
  <c r="G41" i="115"/>
  <c r="G34" i="115"/>
  <c r="M34" i="115"/>
  <c r="G51" i="115"/>
  <c r="M51" i="115"/>
  <c r="G46" i="115"/>
  <c r="M46" i="115"/>
  <c r="M100" i="115"/>
  <c r="G100" i="115"/>
  <c r="G74" i="115"/>
  <c r="G102" i="115"/>
  <c r="M102" i="115"/>
  <c r="G71" i="115"/>
  <c r="M71" i="115"/>
  <c r="G56" i="115"/>
  <c r="M56" i="115"/>
  <c r="G88" i="115"/>
  <c r="M68" i="115"/>
  <c r="G68" i="115"/>
  <c r="M42" i="115"/>
  <c r="G42" i="115"/>
  <c r="M11" i="115"/>
  <c r="G11" i="115"/>
  <c r="M10" i="115"/>
  <c r="G10" i="115"/>
  <c r="M113" i="115"/>
  <c r="G113" i="115"/>
  <c r="G97" i="115"/>
  <c r="M97" i="115"/>
  <c r="M96" i="115"/>
  <c r="G96" i="115"/>
  <c r="M86" i="115"/>
  <c r="G86" i="115"/>
  <c r="G69" i="115"/>
  <c r="M69" i="115"/>
  <c r="G17" i="115"/>
  <c r="M17" i="115"/>
  <c r="M58" i="115"/>
  <c r="G58" i="115"/>
  <c r="M101" i="115"/>
  <c r="G101" i="115"/>
  <c r="M84" i="115"/>
  <c r="G84" i="115"/>
  <c r="E29" i="115"/>
  <c r="M116" i="115"/>
  <c r="G116" i="115"/>
  <c r="M105" i="115"/>
  <c r="G105" i="115"/>
  <c r="M72" i="115"/>
  <c r="G72" i="115"/>
  <c r="M78" i="115"/>
  <c r="G78" i="115"/>
  <c r="M61" i="115"/>
  <c r="G61" i="115"/>
  <c r="M83" i="115"/>
  <c r="G83" i="115"/>
  <c r="M50" i="115"/>
  <c r="G50" i="115"/>
  <c r="G110" i="115"/>
  <c r="M110" i="115"/>
  <c r="G12" i="115"/>
  <c r="M12" i="115"/>
  <c r="G21" i="115"/>
  <c r="F41" i="115"/>
  <c r="F96" i="115"/>
  <c r="I78" i="114"/>
  <c r="I78" i="115" s="1"/>
  <c r="H78" i="115"/>
  <c r="J54" i="115"/>
  <c r="J112" i="115"/>
  <c r="L9" i="115"/>
  <c r="J113" i="115"/>
  <c r="F113" i="115"/>
  <c r="F111" i="115"/>
  <c r="J111" i="115"/>
  <c r="F109" i="115"/>
  <c r="J109" i="115"/>
  <c r="F88" i="115"/>
  <c r="J85" i="115"/>
  <c r="G26" i="115"/>
  <c r="G30" i="115"/>
  <c r="H86" i="115"/>
  <c r="E14" i="115"/>
  <c r="M24" i="115"/>
  <c r="E90" i="115"/>
  <c r="M25" i="115"/>
  <c r="M30" i="115"/>
  <c r="G20" i="115"/>
  <c r="G25" i="115"/>
  <c r="G24" i="115"/>
  <c r="E38" i="115"/>
  <c r="M20" i="115"/>
  <c r="M21" i="115"/>
  <c r="E6" i="113"/>
  <c r="E98" i="113"/>
  <c r="E30" i="113"/>
  <c r="E32" i="114"/>
  <c r="E13" i="114"/>
  <c r="E46" i="113"/>
  <c r="E98" i="114"/>
  <c r="E102" i="113"/>
  <c r="E112" i="113"/>
  <c r="E88" i="114"/>
  <c r="E110" i="114"/>
  <c r="E9" i="113"/>
  <c r="E10" i="114"/>
  <c r="E105" i="113"/>
  <c r="E88" i="109"/>
  <c r="E111" i="114"/>
  <c r="E111" i="113"/>
  <c r="E111" i="109"/>
  <c r="E51" i="114"/>
  <c r="E21" i="113"/>
  <c r="E94" i="113"/>
  <c r="E45" i="114"/>
  <c r="E10" i="113"/>
  <c r="E44" i="113"/>
  <c r="E84" i="114"/>
  <c r="E85" i="113"/>
  <c r="E58" i="113"/>
  <c r="E51" i="113"/>
  <c r="E61" i="113"/>
  <c r="E42" i="114"/>
  <c r="E104" i="109"/>
  <c r="E31" i="114"/>
  <c r="E118" i="109"/>
  <c r="E52" i="113"/>
  <c r="E62" i="114"/>
  <c r="E62" i="113"/>
  <c r="E33" i="113"/>
  <c r="E43" i="113"/>
  <c r="E85" i="114"/>
  <c r="E45" i="113"/>
  <c r="E110" i="113"/>
  <c r="E113" i="109"/>
  <c r="E52" i="114"/>
  <c r="E104" i="113"/>
  <c r="E6" i="109"/>
  <c r="E7" i="109"/>
  <c r="E12" i="109"/>
  <c r="E68" i="113"/>
  <c r="E54" i="113"/>
  <c r="E103" i="113"/>
  <c r="E31" i="113"/>
  <c r="E18" i="113"/>
  <c r="E7" i="114"/>
  <c r="E102" i="114"/>
  <c r="E70" i="109"/>
  <c r="E31" i="109"/>
  <c r="E32" i="109"/>
  <c r="E85" i="109"/>
  <c r="E42" i="109"/>
  <c r="E70" i="114"/>
  <c r="E6" i="114"/>
  <c r="E54" i="114"/>
  <c r="E112" i="109"/>
  <c r="E105" i="109"/>
  <c r="E110" i="109"/>
  <c r="E34" i="114"/>
  <c r="E61" i="114"/>
  <c r="E103" i="114"/>
  <c r="E12" i="114"/>
  <c r="E46" i="114"/>
  <c r="E71" i="114"/>
  <c r="E71" i="113"/>
  <c r="E43" i="114"/>
  <c r="E98" i="109"/>
  <c r="E54" i="109"/>
  <c r="E71" i="109"/>
  <c r="E18" i="114"/>
  <c r="E66" i="113"/>
  <c r="E113" i="114"/>
  <c r="E50" i="114"/>
  <c r="E18" i="109"/>
  <c r="E34" i="109"/>
  <c r="E61" i="109"/>
  <c r="E13" i="109"/>
  <c r="E9" i="109"/>
  <c r="E94" i="109"/>
  <c r="E73" i="113"/>
  <c r="E30" i="114"/>
  <c r="E96" i="109"/>
  <c r="E58" i="114"/>
  <c r="E32" i="113"/>
  <c r="E50" i="113"/>
  <c r="E70" i="113"/>
  <c r="E34" i="113"/>
  <c r="E84" i="113"/>
  <c r="E88" i="113"/>
  <c r="E76" i="113"/>
  <c r="E42" i="113"/>
  <c r="E112" i="114"/>
  <c r="E52" i="109"/>
  <c r="E33" i="109"/>
  <c r="E10" i="109"/>
  <c r="E50" i="109"/>
  <c r="E45" i="109"/>
  <c r="E51" i="109"/>
  <c r="E68" i="109"/>
  <c r="E96" i="113"/>
  <c r="E44" i="109"/>
  <c r="E44" i="114"/>
  <c r="E43" i="109"/>
  <c r="E96" i="114"/>
  <c r="E73" i="109"/>
  <c r="E102" i="109"/>
  <c r="E84" i="109"/>
  <c r="E68" i="114"/>
  <c r="E62" i="109"/>
  <c r="E66" i="109"/>
  <c r="E12" i="113"/>
  <c r="E30" i="109"/>
  <c r="E13" i="113"/>
  <c r="E76" i="109"/>
  <c r="E103" i="109"/>
  <c r="E21" i="109"/>
  <c r="E33" i="114"/>
  <c r="E46" i="109"/>
  <c r="E58" i="109"/>
  <c r="E25" i="109"/>
  <c r="I118" i="114"/>
  <c r="I107" i="114"/>
  <c r="I107" i="115" s="1"/>
  <c r="E90" i="109"/>
  <c r="E39" i="109"/>
  <c r="E38" i="109"/>
  <c r="E116" i="109"/>
  <c r="E83" i="109"/>
  <c r="E106" i="109"/>
  <c r="E59" i="109"/>
  <c r="E79" i="109"/>
  <c r="E16" i="109"/>
  <c r="E95" i="109"/>
  <c r="E115" i="109"/>
  <c r="E78" i="109"/>
  <c r="E100" i="109"/>
  <c r="E11" i="109"/>
  <c r="E97" i="109"/>
  <c r="E29" i="109"/>
  <c r="E109" i="109"/>
  <c r="E107" i="109"/>
  <c r="E67" i="109"/>
  <c r="E22" i="109"/>
  <c r="E24" i="109"/>
  <c r="E55" i="109"/>
  <c r="E15" i="109"/>
  <c r="E86" i="109"/>
  <c r="E93" i="109"/>
  <c r="E53" i="109"/>
  <c r="E47" i="109"/>
  <c r="E40" i="109"/>
  <c r="E101" i="109"/>
  <c r="E72" i="109"/>
  <c r="E8" i="109"/>
  <c r="E20" i="109"/>
  <c r="E91" i="109"/>
  <c r="E77" i="109"/>
  <c r="E57" i="109"/>
  <c r="E28" i="109"/>
  <c r="E69" i="109"/>
  <c r="E17" i="109"/>
  <c r="E14" i="109"/>
  <c r="E49" i="109"/>
  <c r="E74" i="109"/>
  <c r="E56" i="109"/>
  <c r="E92" i="109"/>
  <c r="E99" i="109"/>
  <c r="E87" i="109"/>
  <c r="E26" i="109"/>
  <c r="E64" i="109"/>
  <c r="E41" i="109"/>
  <c r="I17" i="114"/>
  <c r="I17" i="115" s="1"/>
  <c r="I16" i="114"/>
  <c r="I11" i="114"/>
  <c r="I11" i="115" s="1"/>
  <c r="I8" i="114"/>
  <c r="I8" i="115" s="1"/>
  <c r="I20" i="114"/>
  <c r="I20" i="115" s="1"/>
  <c r="E21" i="114"/>
  <c r="E27" i="113"/>
  <c r="E27" i="114"/>
  <c r="E23" i="114"/>
  <c r="E73" i="114"/>
  <c r="E66" i="114"/>
  <c r="E105" i="114"/>
  <c r="E94" i="114"/>
  <c r="I9" i="114"/>
  <c r="I9" i="115" s="1"/>
  <c r="E25" i="113"/>
  <c r="I104" i="114"/>
  <c r="I104" i="115" s="1"/>
  <c r="E23" i="113"/>
  <c r="I76" i="114"/>
  <c r="I76" i="115" s="1"/>
  <c r="E25" i="114"/>
  <c r="E20" i="113"/>
  <c r="E100" i="114"/>
  <c r="E74" i="113"/>
  <c r="E41" i="113"/>
  <c r="E28" i="114"/>
  <c r="E49" i="114"/>
  <c r="E49" i="113"/>
  <c r="E26" i="113"/>
  <c r="E64" i="114"/>
  <c r="E24" i="113"/>
  <c r="E97" i="114"/>
  <c r="E77" i="114"/>
  <c r="E93" i="113"/>
  <c r="E69" i="114"/>
  <c r="E57" i="113"/>
  <c r="E86" i="114"/>
  <c r="E47" i="114"/>
  <c r="E28" i="113"/>
  <c r="E59" i="114"/>
  <c r="E17" i="113"/>
  <c r="E56" i="114"/>
  <c r="E69" i="113"/>
  <c r="E87" i="114"/>
  <c r="E118" i="113"/>
  <c r="E86" i="113"/>
  <c r="E101" i="113"/>
  <c r="E26" i="114"/>
  <c r="E24" i="114"/>
  <c r="E55" i="114"/>
  <c r="E87" i="113"/>
  <c r="E40" i="114"/>
  <c r="E93" i="114"/>
  <c r="E41" i="114"/>
  <c r="E100" i="113"/>
  <c r="E57" i="114"/>
  <c r="E79" i="114"/>
  <c r="E95" i="113"/>
  <c r="E47" i="113"/>
  <c r="E101" i="114"/>
  <c r="E83" i="114"/>
  <c r="E92" i="113"/>
  <c r="E79" i="113"/>
  <c r="E16" i="113"/>
  <c r="E67" i="114"/>
  <c r="E67" i="113"/>
  <c r="E55" i="113"/>
  <c r="E95" i="114"/>
  <c r="E109" i="114"/>
  <c r="E83" i="113"/>
  <c r="E8" i="113"/>
  <c r="E64" i="113"/>
  <c r="E97" i="113"/>
  <c r="E107" i="113"/>
  <c r="E40" i="113"/>
  <c r="E78" i="113"/>
  <c r="E99" i="113"/>
  <c r="E72" i="113"/>
  <c r="E59" i="113"/>
  <c r="E56" i="113"/>
  <c r="E53" i="113"/>
  <c r="E99" i="114"/>
  <c r="E11" i="113"/>
  <c r="E72" i="114"/>
  <c r="E118" i="114"/>
  <c r="E109" i="113"/>
  <c r="E92" i="114"/>
  <c r="E116" i="114"/>
  <c r="E116" i="113"/>
  <c r="E77" i="113"/>
  <c r="E53" i="114"/>
  <c r="E74" i="114"/>
  <c r="E107" i="115" l="1"/>
  <c r="E107" i="114"/>
  <c r="E40" i="115"/>
  <c r="E73" i="115"/>
  <c r="E26" i="115"/>
  <c r="E97" i="115"/>
  <c r="E54" i="115"/>
  <c r="E59" i="115"/>
  <c r="E79" i="115"/>
  <c r="E87" i="115"/>
  <c r="E84" i="115"/>
  <c r="E95" i="115"/>
  <c r="E32" i="115"/>
  <c r="E103" i="115"/>
  <c r="E17" i="115"/>
  <c r="E66" i="115"/>
  <c r="E70" i="115"/>
  <c r="E24" i="115"/>
  <c r="E85" i="115"/>
  <c r="E42" i="115"/>
  <c r="E7" i="115"/>
  <c r="E83" i="115"/>
  <c r="E56" i="115"/>
  <c r="E64" i="115"/>
  <c r="E49" i="115"/>
  <c r="E53" i="115"/>
  <c r="E55" i="115"/>
  <c r="E68" i="115"/>
  <c r="E101" i="115"/>
  <c r="E10" i="115"/>
  <c r="E100" i="115"/>
  <c r="E77" i="115"/>
  <c r="E21" i="115"/>
  <c r="E61" i="115"/>
  <c r="E116" i="115"/>
  <c r="E58" i="115"/>
  <c r="E71" i="115"/>
  <c r="E46" i="115"/>
  <c r="E31" i="115"/>
  <c r="E112" i="115"/>
  <c r="E9" i="115"/>
  <c r="E34" i="115"/>
  <c r="E74" i="115"/>
  <c r="E96" i="115"/>
  <c r="E76" i="115"/>
  <c r="E62" i="115"/>
  <c r="E105" i="115"/>
  <c r="E94" i="115"/>
  <c r="E67" i="115"/>
  <c r="E47" i="115"/>
  <c r="E33" i="115"/>
  <c r="E43" i="115"/>
  <c r="E98" i="115"/>
  <c r="E57" i="115"/>
  <c r="E12" i="115"/>
  <c r="E109" i="115"/>
  <c r="E110" i="115"/>
  <c r="E88" i="115"/>
  <c r="E18" i="115"/>
  <c r="E52" i="115"/>
  <c r="E51" i="115"/>
  <c r="E99" i="115"/>
  <c r="E11" i="115"/>
  <c r="E25" i="115"/>
  <c r="E69" i="115"/>
  <c r="E113" i="115"/>
  <c r="E102" i="115"/>
  <c r="E44" i="115"/>
  <c r="E93" i="115"/>
  <c r="E13" i="115"/>
  <c r="E111" i="115"/>
  <c r="E50" i="115"/>
  <c r="E72" i="115"/>
  <c r="E41" i="115"/>
  <c r="E78" i="114"/>
  <c r="E8" i="115"/>
  <c r="E104" i="115"/>
  <c r="E86" i="115"/>
  <c r="E45" i="115"/>
  <c r="E20" i="115"/>
  <c r="E78" i="115"/>
  <c r="E30" i="115"/>
  <c r="E6" i="115"/>
  <c r="E9" i="114"/>
  <c r="E76" i="114"/>
  <c r="E104" i="114"/>
  <c r="E20" i="114"/>
  <c r="E11" i="114"/>
  <c r="E17" i="114"/>
  <c r="E8" i="114"/>
  <c r="E16" i="114"/>
  <c r="E15" i="114" l="1"/>
  <c r="E15" i="11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O6" authorId="0" shapeId="0" xr:uid="{6A3E1EB1-111D-4DEC-836F-DA81C14E6C1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Only on site water use considered, 3.3 in the article
</t>
        </r>
      </text>
    </comment>
  </commentList>
</comments>
</file>

<file path=xl/sharedStrings.xml><?xml version="1.0" encoding="utf-8"?>
<sst xmlns="http://schemas.openxmlformats.org/spreadsheetml/2006/main" count="952" uniqueCount="365">
  <si>
    <t>Introduction to the dataset</t>
  </si>
  <si>
    <t>This is a dataset that includes data on the environmental and social indicators for crops for Spain.</t>
  </si>
  <si>
    <t>Results are presented in the tab "Crops, results per kg"</t>
  </si>
  <si>
    <t>These are calculated from the input data in tab "Crops, input data per kg"</t>
  </si>
  <si>
    <t>Footprints (per kg of crop)</t>
  </si>
  <si>
    <t>Crops</t>
  </si>
  <si>
    <t>Climate</t>
  </si>
  <si>
    <t>Land</t>
  </si>
  <si>
    <t>Nitrogen</t>
  </si>
  <si>
    <t>Phosphorus</t>
  </si>
  <si>
    <t>Water</t>
  </si>
  <si>
    <t>Pesticides</t>
  </si>
  <si>
    <t>Biodiversity</t>
  </si>
  <si>
    <t>Ammonia</t>
  </si>
  <si>
    <t>Labour</t>
  </si>
  <si>
    <t>Crop code</t>
  </si>
  <si>
    <t>Crop</t>
  </si>
  <si>
    <t>Category</t>
  </si>
  <si>
    <t>Grown in country</t>
  </si>
  <si>
    <t>Share</t>
  </si>
  <si>
    <t>Carbon footprint, kg CO2e/kg</t>
  </si>
  <si>
    <t>Carbon dioxide, kg CO2/kg</t>
  </si>
  <si>
    <t>Methane fossil, kg CH4/kg</t>
  </si>
  <si>
    <t>Methane biogenic, kg CH4/kg</t>
  </si>
  <si>
    <t>Nitrous oxide, kg N2O/kg</t>
  </si>
  <si>
    <t>HFCs, kg HFCs/kg</t>
  </si>
  <si>
    <t>Cropland use, m2/kg</t>
  </si>
  <si>
    <t>New N input, kg N/kg</t>
  </si>
  <si>
    <t>New P input, kg P/kg</t>
  </si>
  <si>
    <t>Blue freshwater use, m3/kg</t>
  </si>
  <si>
    <t>Pesticide use,               g a.i./kg</t>
  </si>
  <si>
    <t>Extinction rate, E/MSY/kg</t>
  </si>
  <si>
    <t>Ammonia emission, kg NH3/kg</t>
  </si>
  <si>
    <t>Labour requirements, h/kg</t>
  </si>
  <si>
    <t>Source</t>
  </si>
  <si>
    <t>Mushrooms and truffles</t>
  </si>
  <si>
    <t>Mushrooms</t>
  </si>
  <si>
    <t>Yes</t>
  </si>
  <si>
    <t>Robinson et. al (2019</t>
  </si>
  <si>
    <t>Emissions of CO2e per kg of crop [kg CO2e per kg of crop harvested]</t>
  </si>
  <si>
    <t>Sum</t>
  </si>
  <si>
    <t>Inputs</t>
  </si>
  <si>
    <t>Soil emissions</t>
  </si>
  <si>
    <t>Energy use</t>
  </si>
  <si>
    <t>Land use change</t>
  </si>
  <si>
    <t>Code</t>
  </si>
  <si>
    <t xml:space="preserve">Categories </t>
  </si>
  <si>
    <t xml:space="preserve">Cultivated in country </t>
  </si>
  <si>
    <t>Production of mineral fertilizer</t>
  </si>
  <si>
    <t xml:space="preserve">Production of capital goods </t>
  </si>
  <si>
    <t>Direct emissions</t>
  </si>
  <si>
    <t>Indirect emissions</t>
  </si>
  <si>
    <t>Diesel use field mach</t>
  </si>
  <si>
    <t>Energy use in greenhouses</t>
  </si>
  <si>
    <t>Energy use for irrigation</t>
  </si>
  <si>
    <t>Energy use for post-harvest proc</t>
  </si>
  <si>
    <t>LUC emissions</t>
  </si>
  <si>
    <t>01371</t>
  </si>
  <si>
    <t>01654</t>
  </si>
  <si>
    <t>01341</t>
  </si>
  <si>
    <t>01343</t>
  </si>
  <si>
    <t>01216</t>
  </si>
  <si>
    <t>01211</t>
  </si>
  <si>
    <t>01311</t>
  </si>
  <si>
    <t>01312</t>
  </si>
  <si>
    <t>0115</t>
  </si>
  <si>
    <t>0115_s</t>
  </si>
  <si>
    <t>0115_w</t>
  </si>
  <si>
    <t>01701</t>
  </si>
  <si>
    <t>01355.01</t>
  </si>
  <si>
    <t>01377</t>
  </si>
  <si>
    <t>01702</t>
  </si>
  <si>
    <t>01243</t>
  </si>
  <si>
    <t>01213_b</t>
  </si>
  <si>
    <t>01192</t>
  </si>
  <si>
    <t>01212</t>
  </si>
  <si>
    <t>01229</t>
  </si>
  <si>
    <t>01251</t>
  </si>
  <si>
    <t>01372</t>
  </si>
  <si>
    <t>01213_cf</t>
  </si>
  <si>
    <t>01213</t>
  </si>
  <si>
    <t>01199.90</t>
  </si>
  <si>
    <t>01344.02</t>
  </si>
  <si>
    <t>01373</t>
  </si>
  <si>
    <t>01703</t>
  </si>
  <si>
    <t>01231</t>
  </si>
  <si>
    <t>01640</t>
  </si>
  <si>
    <t>01460</t>
  </si>
  <si>
    <t>01610</t>
  </si>
  <si>
    <t>01232</t>
  </si>
  <si>
    <t>01232_gh</t>
  </si>
  <si>
    <t>01232_of</t>
  </si>
  <si>
    <t>01351.01</t>
  </si>
  <si>
    <t>01314</t>
  </si>
  <si>
    <t>01599.10</t>
  </si>
  <si>
    <t>01233</t>
  </si>
  <si>
    <t>01315</t>
  </si>
  <si>
    <t>01351.02</t>
  </si>
  <si>
    <t>01330</t>
  </si>
  <si>
    <t>01290.01</t>
  </si>
  <si>
    <t>01252</t>
  </si>
  <si>
    <t>0142</t>
  </si>
  <si>
    <t>01374</t>
  </si>
  <si>
    <t>01352</t>
  </si>
  <si>
    <t>01254</t>
  </si>
  <si>
    <t>01322</t>
  </si>
  <si>
    <t>01704</t>
  </si>
  <si>
    <t>01214</t>
  </si>
  <si>
    <t>01441</t>
  </si>
  <si>
    <t>01709.02</t>
  </si>
  <si>
    <t>0112</t>
  </si>
  <si>
    <t>01316</t>
  </si>
  <si>
    <t>0118</t>
  </si>
  <si>
    <t>01199.02</t>
  </si>
  <si>
    <t>01270</t>
  </si>
  <si>
    <t>0117</t>
  </si>
  <si>
    <t>01491.01</t>
  </si>
  <si>
    <t>01450</t>
  </si>
  <si>
    <t>01253.02</t>
  </si>
  <si>
    <t>01323</t>
  </si>
  <si>
    <t>01241.90</t>
  </si>
  <si>
    <t>01359.90</t>
  </si>
  <si>
    <t>01449.90</t>
  </si>
  <si>
    <t>01709.90</t>
  </si>
  <si>
    <t>01699</t>
  </si>
  <si>
    <t>01290.90</t>
  </si>
  <si>
    <t>01317</t>
  </si>
  <si>
    <t>01345</t>
  </si>
  <si>
    <t>01342.01</t>
  </si>
  <si>
    <t>01705</t>
  </si>
  <si>
    <t>01242</t>
  </si>
  <si>
    <t>01651</t>
  </si>
  <si>
    <t>01318</t>
  </si>
  <si>
    <t>01313</t>
  </si>
  <si>
    <t>01346</t>
  </si>
  <si>
    <t>01321</t>
  </si>
  <si>
    <t>01448</t>
  </si>
  <si>
    <t>01510</t>
  </si>
  <si>
    <t>01235</t>
  </si>
  <si>
    <t>01342.02</t>
  </si>
  <si>
    <t>01194</t>
  </si>
  <si>
    <t>01443</t>
  </si>
  <si>
    <t>01443_s</t>
  </si>
  <si>
    <t>01443_w</t>
  </si>
  <si>
    <t>01353.01</t>
  </si>
  <si>
    <t>0113</t>
  </si>
  <si>
    <t>0116</t>
  </si>
  <si>
    <t>0114</t>
  </si>
  <si>
    <t>01344.01</t>
  </si>
  <si>
    <t>0141</t>
  </si>
  <si>
    <t>01215</t>
  </si>
  <si>
    <t>01354</t>
  </si>
  <si>
    <t>01801</t>
  </si>
  <si>
    <t>01802</t>
  </si>
  <si>
    <t>01445</t>
  </si>
  <si>
    <t>01530</t>
  </si>
  <si>
    <t>01324</t>
  </si>
  <si>
    <t>01234</t>
  </si>
  <si>
    <t>01234_gh</t>
  </si>
  <si>
    <t>01234_of</t>
  </si>
  <si>
    <t>01191</t>
  </si>
  <si>
    <t>01929.02</t>
  </si>
  <si>
    <t>01709.01</t>
  </si>
  <si>
    <t>01376</t>
  </si>
  <si>
    <t>01221</t>
  </si>
  <si>
    <t>01221_gh</t>
  </si>
  <si>
    <t>01221_of</t>
  </si>
  <si>
    <t>0111</t>
  </si>
  <si>
    <t>0111_s</t>
  </si>
  <si>
    <t>0111_w</t>
  </si>
  <si>
    <t>Emissions of CO2 per kg of crop [kg CO2 per kg of crop harvested]</t>
  </si>
  <si>
    <t>Cultivated in country</t>
  </si>
  <si>
    <t>Emissions of CH4 (fossil) per kg of crop [kg CH4 per kg of crop harvested]</t>
  </si>
  <si>
    <t>Emissions of CH4 (biogenic) per kg of crop [kg CH4 per kg of crop harvested]</t>
  </si>
  <si>
    <t>Emissions of N2O per kg of crop [kg N2O per kg of crop harvested]</t>
  </si>
  <si>
    <t>Energy use and emissions for crops grown in greenhouses</t>
  </si>
  <si>
    <t>Cucumber</t>
  </si>
  <si>
    <t>Tomato</t>
  </si>
  <si>
    <t>Source:</t>
  </si>
  <si>
    <t>Most greenhouses in Spain not heated</t>
  </si>
  <si>
    <t>https://european-seed.com/2019/04/greenhouse-horticulture-in-spain-well-on-its-way-to-sustainability/ </t>
  </si>
  <si>
    <t>Energy use unheated greenhouse Spain</t>
  </si>
  <si>
    <t>Energy use in greenhouse, MJ/ha</t>
  </si>
  <si>
    <t>Neira et al, 2018</t>
  </si>
  <si>
    <t>https://reader.elsevier.com/reader/sd/pii/S0048969718305175?token=C4B083554F2E20336C85F98934870ED94CEEE031ED4F12FB6B1D95E5FE0949CBC345EC0A9F54E529A3D89CC4646603DF&amp;originRegion=eu-west-1&amp;originCreation=20230505121444</t>
  </si>
  <si>
    <t>Share of different fuels:</t>
  </si>
  <si>
    <t xml:space="preserve">Wood chips </t>
  </si>
  <si>
    <t xml:space="preserve">Pellets and briquettes </t>
  </si>
  <si>
    <t xml:space="preserve">Other renewable sources </t>
  </si>
  <si>
    <t xml:space="preserve">District heating </t>
  </si>
  <si>
    <t xml:space="preserve">Electrical energy </t>
  </si>
  <si>
    <t>Natural gas</t>
  </si>
  <si>
    <t xml:space="preserve">Heating oil </t>
  </si>
  <si>
    <t>Other fossil sources</t>
  </si>
  <si>
    <t>Emission per hectare:</t>
  </si>
  <si>
    <t>Emissions, kg CO2 per ha</t>
  </si>
  <si>
    <t>Emissions, kg CH4 per ha</t>
  </si>
  <si>
    <t>Emissions, kg N2O per ha</t>
  </si>
  <si>
    <t>Energy requirement for on-farm post-harvest processing</t>
  </si>
  <si>
    <t>Heating oil, MJ/kg of product</t>
  </si>
  <si>
    <t>Electricity, MJ/kg of product</t>
  </si>
  <si>
    <t>Wood chips, MJ/kg of product</t>
  </si>
  <si>
    <t>Process</t>
  </si>
  <si>
    <t>Berries</t>
  </si>
  <si>
    <t>Cereals</t>
  </si>
  <si>
    <t>Drying</t>
  </si>
  <si>
    <t>SBA 2010, Edström et al. 2005, Flysjö et al. 2008</t>
  </si>
  <si>
    <t>Cereals, incl feed</t>
  </si>
  <si>
    <t>Fruits</t>
  </si>
  <si>
    <t>Washing&amp;packaging</t>
  </si>
  <si>
    <t>Vinsmo et al.2001</t>
  </si>
  <si>
    <t>Nuts</t>
  </si>
  <si>
    <t>Oil crops</t>
  </si>
  <si>
    <t>Oil crops, tree</t>
  </si>
  <si>
    <t>Other</t>
  </si>
  <si>
    <t>Pulses</t>
  </si>
  <si>
    <t>Pulses, incl feed</t>
  </si>
  <si>
    <t>Roots</t>
  </si>
  <si>
    <t>Seeds</t>
  </si>
  <si>
    <t>Spices</t>
  </si>
  <si>
    <t>Stimulants</t>
  </si>
  <si>
    <t>Sugar crops</t>
  </si>
  <si>
    <t>Vegetables</t>
  </si>
  <si>
    <t>Emission factors</t>
  </si>
  <si>
    <t>Emissions from production and use of electricity (ecoinvent version 3.9.1, market for electricity ES, low voltage) and fuels (Gode et al. 2011)</t>
  </si>
  <si>
    <t>kg CO2 per MJ</t>
  </si>
  <si>
    <t>kg CH4 per MJ</t>
  </si>
  <si>
    <t>kg N2O per MJ</t>
  </si>
  <si>
    <t>Heating value, MJ/l</t>
  </si>
  <si>
    <t xml:space="preserve">Electricity </t>
  </si>
  <si>
    <t>Heating oil</t>
  </si>
  <si>
    <t>Other fossil energy sources</t>
  </si>
  <si>
    <t>Average of heating oil and natural gas</t>
  </si>
  <si>
    <t>Bark and chips</t>
  </si>
  <si>
    <t>Pellets and briquettes</t>
  </si>
  <si>
    <t>Other renewable energy sources</t>
  </si>
  <si>
    <t>Average of bark and chips; pellets and briquettes</t>
  </si>
  <si>
    <t>Diesel fuel</t>
  </si>
  <si>
    <t>District heating</t>
  </si>
  <si>
    <t>Representative for Sweden</t>
  </si>
  <si>
    <t xml:space="preserve">Emissions from the production of N mineral fertilizer </t>
  </si>
  <si>
    <t>kg CO2 per kg N</t>
  </si>
  <si>
    <t>kg CH4 per kg N</t>
  </si>
  <si>
    <t>kg N2O per kg N</t>
  </si>
  <si>
    <t>Fraction of tech*</t>
  </si>
  <si>
    <t>Best Available Technology (BAT)</t>
  </si>
  <si>
    <t>Yara International 2010</t>
  </si>
  <si>
    <t>Ammonium nitrate**</t>
  </si>
  <si>
    <t>Ecoinvent Centre, 2021, Activity name: “Ammonium nitrate production", Rest of the world, adjusted to N content in fertilizer (33.5%)</t>
  </si>
  <si>
    <t>*Swedish Agency for Public Management (2010)</t>
  </si>
  <si>
    <t>**Ammonium nitrate is commonly used as nitrogen mineral fertilizer (Berglund et al., 2009)</t>
  </si>
  <si>
    <t>Emissions from irrigation (ecoinvent version 3.9.1, Allocation cut-of by classification)</t>
  </si>
  <si>
    <t>kg CO2 per m3</t>
  </si>
  <si>
    <t>kg CH4 per m3</t>
  </si>
  <si>
    <t>kg N2O per m3</t>
  </si>
  <si>
    <t>Irrigation*</t>
  </si>
  <si>
    <t>*ecoinvent process used: "market for irrigation, FR", as value from SE not available</t>
  </si>
  <si>
    <t>Emissions from the production of capital goods (Frischknecht et al. 2007)</t>
  </si>
  <si>
    <t>kg CO2 per kg product</t>
  </si>
  <si>
    <t>kg CH4 per kg product</t>
  </si>
  <si>
    <t>kg N2O per kg product</t>
  </si>
  <si>
    <t>Emission or sequestration due to soil carbon changes (IPCC, 2006, Tier 1, 100 years)</t>
  </si>
  <si>
    <t>* Values &lt; 0 indicates a sequestration of CO2; Includes fruits, olives, coffee and cocoa as these as for ley have great potential to store carbon in soils depending on management practices (Vicente-Vicente et al., 2016). For both methods, we used the same potential as for ley based on the Tier 1 approach in the IPCC Guidelines, which considers the soil sequestration potential of perennial crops to be similar to that of ley or fallow (IPCC, 2006)</t>
  </si>
  <si>
    <t>Nitrous oxide emissions from soil (IPCC, 2019, Table 11.1)</t>
  </si>
  <si>
    <t>Direct emissions from mineral fertiliser, dry climate</t>
  </si>
  <si>
    <t>Change to factors for either wet or dry climates</t>
  </si>
  <si>
    <t>Direct emissions from crop residues, dry climate</t>
  </si>
  <si>
    <t>Indirect emissions, share of direct emissions*</t>
  </si>
  <si>
    <t>*Assumption due to data limitations regarding nitrogen leaching and volatilization from soils in different regions.</t>
  </si>
  <si>
    <t>Number of species in baseline</t>
  </si>
  <si>
    <t>Number of recognised species</t>
  </si>
  <si>
    <t>Ammonia emissions (Hutchings 2019)</t>
  </si>
  <si>
    <t>Nitrogen in inorganic fertilizer that volatiles*</t>
  </si>
  <si>
    <t>Conversion from N to NH3</t>
  </si>
  <si>
    <t>* Generic value for N inorganic fertilisers, Table 3.1</t>
  </si>
  <si>
    <t>Characterisation factors (CF) climate change</t>
  </si>
  <si>
    <t>Carbon dioxide (CO2)</t>
  </si>
  <si>
    <t>Biogenic methane (CH4)</t>
  </si>
  <si>
    <t>Fossil methane (CH4)</t>
  </si>
  <si>
    <t>Nitrous oxide (N2O)</t>
  </si>
  <si>
    <t>Chlorodifluoromethane (HCFC-22)</t>
  </si>
  <si>
    <t>IPCC, 2021</t>
  </si>
  <si>
    <t>Reference list</t>
  </si>
  <si>
    <t>Specific for this worksheet</t>
  </si>
  <si>
    <t>Robinson, B., Winans, K., Kendall, A. et al. A life cycle assessment of Agaricus bisporus mushroom production in the USA. Int J Life Cycle Assess 24, 456–467 (2019).</t>
  </si>
  <si>
    <t>General References</t>
  </si>
  <si>
    <t>Baky, A., Sundberg, M., Brown, N. 2010. Kartläggning av jordbrukets energianvändning. Ett projekt utfört på uppdrag av Jordbruksverket. JTI – Institutet för jordbruks- och miljöteknik, Uppsala, Sweden.</t>
  </si>
  <si>
    <t>Berglund, M., Cederberg, C., Clason, C., Henriksson, M., Törner, L. 2009. Jordbrukets klimatpåverkan – underlag för att beräkna växthusgasutsläpp på gårdsnivå och nulägesanalyser av exempelgårdar. Delrapport i JoKer-proJeKtet, Hushållningssällskapet Halland, Sweden.</t>
  </si>
  <si>
    <t>Chaudhary, A., Brooks, T.M. 2018. Land use intensity-specific global characterization factors to assess product biodiversity footprints. Environmental Science Technology 52, 5094–5104.</t>
  </si>
  <si>
    <t>Davis, J. Wallman, M., Sund, V., Emanuelsson, A., Cederberg, C., Sonesson, U. 2011. Emissions of greenhouse gases from production of horticultural products: analysis of 17 products cultivated in Sweden, SIK Institutet för livsmedel och bioteknik, Gothenburg, Sweden.</t>
  </si>
  <si>
    <t>Ecoinvent centre. 2023. Ecoinvent Database Version 3.9.1. Dübendorf, Switzerland: Swiss Centre for Life Cycle Inventories.</t>
  </si>
  <si>
    <t>Edström, M., Pettersson, O., Nilsson, L., Hörndahl, T. 2005. Jordbrukssektorns energianvändning. JTI-rapport Lantbruk &amp; Industri 342. JTI – Institutet för jordbruks- och miljöteknik, Uppsala, Sweden.</t>
  </si>
  <si>
    <t xml:space="preserve">SS. 2020. Gödselmedel i jordbruket 2018/19. Mineral- och stallgödsel till olika grödor samt hantering och lagring av stallgödsel. Use of fertilisers and animal manure in agriculture in 2018/19. MI 30 SM 2002. Statistics Sweden, Örebro, Sweden. </t>
  </si>
  <si>
    <t>EU. 2023. Eurostat Statistical Database. European Union.</t>
  </si>
  <si>
    <t>FAO. 2023. FAOSTAT Statistical Database. Food and Agricultural Organization of the United Nations.</t>
  </si>
  <si>
    <r>
      <t xml:space="preserve">Flysjö, A., Cederberg, C., Strid, I. 2008. </t>
    </r>
    <r>
      <rPr>
        <i/>
        <sz val="11"/>
        <rFont val="Calibri"/>
        <family val="2"/>
        <scheme val="minor"/>
      </rPr>
      <t>LCA-databas för konventionella fodermedel: miljöpåverkan i samband med produktion</t>
    </r>
    <r>
      <rPr>
        <sz val="11"/>
        <rFont val="Calibri"/>
        <family val="2"/>
        <scheme val="minor"/>
      </rPr>
      <t>, SIK Institutet för livsmedel och bioteknik, Gothenburg, Sweden.</t>
    </r>
  </si>
  <si>
    <r>
      <t>Frischknecht, R., Althaus, H.-J., Bauer, C., Doka, G., Heck, T., Jungbluth, N., Kellenberger, D., Nemecek, T. 2007. The environmental relevance of capital goods in life cycle assessments of products and services. International Journal of Life Cycle Assessment 12</t>
    </r>
    <r>
      <rPr>
        <b/>
        <sz val="11"/>
        <color rgb="FF000000"/>
        <rFont val="Calibri"/>
        <family val="2"/>
      </rPr>
      <t>,</t>
    </r>
    <r>
      <rPr>
        <sz val="11"/>
        <color rgb="FF000000"/>
        <rFont val="Calibri"/>
        <family val="2"/>
      </rPr>
      <t xml:space="preserve"> 7-17.</t>
    </r>
  </si>
  <si>
    <t>Hutchings, N., Webb, J., Amon, B., Dämmgen, U., Van Der Hoek, K., Steinbrecher, R., Dore, C., Wiltshire, J., Sánchez Jiménez, B., Haenel, H.-D., Röseman, C., Misselbrook, T., Hayashi, K., Freibauer, Annette, Cellier, P., Butterbach-Bahl, K., Sutton, M., Skiba, U., Kroeze, C., … Mikkelsen, M. H. (2019). 3D Crop production and agricultural soils. In EMEP/EEA air pollutant emission inventory guidebook 2019. Publications Office of the European Union.</t>
  </si>
  <si>
    <t>IPCC. 2006. IPCC Guidelines for National Greenhouse Gas Inventories. Volume 4. Agriculture, Forestry and Other Land Use. The Intergovernmental Panel of Climate Change. Geneva, Switzerland.</t>
  </si>
  <si>
    <t>IPCC. 2019. 2019 Refinement to the 2006 IPCC Guidelines for National Greenhouse Gas Inventories. The Intergovernmental Panel of Climate Change. Geneva, Switzerland.</t>
  </si>
  <si>
    <t>IPCC. 2021. Climate change 2021: The physical science basis. Contribution of working group I to the sixth assessment report. Cambridge University Press.</t>
  </si>
  <si>
    <t xml:space="preserve">Jensen, K. 2013.Ekologisk odling av sparris. Länsstyrelsen i Västra Götalands Län. https://www.yumpu.com/sv/document/read/19707719/ekologisk-odling-av-sparris-lansstyrelserna </t>
  </si>
  <si>
    <t xml:space="preserve">Karlsson-Potter, H. 2023. N-use in the Mistra Food Future model. Unpublised data. </t>
  </si>
  <si>
    <t>Lassaletta, L.; Billen, G.; Grizzetti, B.; Anglade, J.; Garnier, J. 2014. 50 year trends in nitrogen use efficiency of world cropping systems: The relationship between yield and nitrogen input to cropland. Environmental Research Letters 9, 105011.</t>
  </si>
  <si>
    <t>SBA. 2011. Ekonomi i bärodling. Kalkyler för jordgubbar och hallon. Jordbruksinformation 13 – 2011. Swedish Board of Agriculture, Jönköping, Sweden.</t>
  </si>
  <si>
    <t>Marmolin, C., Björkholm, A.-M. n.d. Växtnäringsrekommendationer till frilandsgrönsaker. En sammanställning av rekommendationer som ges i Sverige, Norge, Finland, Tyskland, Holland och UK. Hushållningssällskapet Skaraborg och Kristianstad, Sweden.</t>
  </si>
  <si>
    <t xml:space="preserve">Mekonnen, M., Hoekstra, A. 2011. National water footprint accounts: The green, blue and grey water
footprint of production and consumption. Volume 2: Appendices. https://core.ac.uk/download/pdf/323867109.pdf </t>
  </si>
  <si>
    <t>SS. 2022. Växtskyddsmedel i jord- och trädgårdsbruket 2021 Användning i grödor. Plant protection products in agriculture and horticulture. Use in crops. MI 31 SM 2202. Statistics Sweden, Örebro, Sweden</t>
  </si>
  <si>
    <t xml:space="preserve">Muller, A., Schader, C., Scialabba, N., Bruggemann, J., Isensee, A., Erb, K-H., Smith, P., Klocke, P, Leiber, F., Stolze, M., Niggli, U. 2017. Strategies for feed the world sustainably with organic agriculture. Nature Communications 8, 1290. </t>
  </si>
  <si>
    <r>
      <t>Nilsson, T. 2011. Gödsling av hallon. LTJ-fakultetens faktablad. Fakta från Tillväxt Trädgård, nr 8.</t>
    </r>
    <r>
      <rPr>
        <i/>
        <sz val="11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>Fakulteten för landskapsplanering, trädgårds- och jordbruksvetenskap 2011. Swedish University of Agricultural Sciences, Alnarp, Sweden.</t>
    </r>
  </si>
  <si>
    <t>NIR. 2020. Swedish National Inventory Report. Swedish Environmental Protection Agency, Stockholm, Sweden.</t>
  </si>
  <si>
    <t>Pérez Neira, D., Soler Montiel, M., Delgado Cabeza, M., Reigada, A. 2018. Energy use and carbon footprint of the tomato production in heated multi-tunnel greenhouses in Almeria within an exporting agri-food system context. Science of the Total Environment 628-629, 1627-1636.</t>
  </si>
  <si>
    <r>
      <t>Röös, E., Karlsson, H. 2013. Effect of eating seasonal on the carbon footprint of Swedish vegetable consumption. Journal of Cleaner Production 59</t>
    </r>
    <r>
      <rPr>
        <b/>
        <sz val="11"/>
        <color theme="1"/>
        <rFont val="Calibri"/>
        <family val="2"/>
        <scheme val="minor"/>
      </rPr>
      <t>,</t>
    </r>
    <r>
      <rPr>
        <sz val="11"/>
        <color theme="1"/>
        <rFont val="Calibri"/>
        <family val="2"/>
        <scheme val="minor"/>
      </rPr>
      <t xml:space="preserve"> 63-72.</t>
    </r>
  </si>
  <si>
    <t>SBA 2004. Gödslings- och kalkningsråd för fruktodling 2004. Jordbruksinformation 5 – 2004. Swedish Board of Agriculture, Jönköping, Sweden.</t>
  </si>
  <si>
    <t>SBA. 2010. Energikartläggning av de areella näringarna. Regeringsuppdrag Jo 2009/1596. Rapport 2010:16. Swedish Board of Agriculture. Jönköping, Sweden.</t>
  </si>
  <si>
    <t>SBA. 2022. Energianvändning i växthus 2020. Tomat, gurka och prydnadsväxter. Swedish Board of Agriculture, Jönköping, Sweden.</t>
  </si>
  <si>
    <t>SBA. 2023. Trädgårdsproduktion 2022. The 2022 Horticultural Census. JO0607. Swedish Board of Agriculture.</t>
  </si>
  <si>
    <t>SBA. 2013. Kalkyler för svarta vinbär. Swedish Board of Agriculture. https://www2.jordbruksverket.se/webdav/files/SJV/trycksaker/Pdf_ovrigt/ovr291_4.pdf</t>
  </si>
  <si>
    <t xml:space="preserve">SS. 2020. Gödselmedel i jordbruket. Statistics Sweden. https://www.scb.se/contentassets/e6fdbf100cab433798eeae49cc857632/mi1001_2018b19_sm_mi30sm2002.pdf </t>
  </si>
  <si>
    <t xml:space="preserve">Swedish Agency for Public Management. 2010. Effekter på priset för handelsgödsel när skatten på kväve i handelsgödsel avskaffas. Stockholm, Sweden. </t>
  </si>
  <si>
    <r>
      <t xml:space="preserve">Tidåker, P., Karlsson Potter, H., Carlsson, G. &amp; Röös, E. 2021. Towards sustainable consumption of legumes: How origin, processing and transport affect the environmental impact of pulses. </t>
    </r>
    <r>
      <rPr>
        <i/>
        <sz val="11"/>
        <color theme="1"/>
        <rFont val="Calibri"/>
        <family val="2"/>
        <scheme val="minor"/>
      </rPr>
      <t>Sustainable Production and Consumption</t>
    </r>
    <r>
      <rPr>
        <sz val="11"/>
        <color theme="1"/>
        <rFont val="Calibri"/>
        <family val="2"/>
        <scheme val="minor"/>
      </rPr>
      <t xml:space="preserve">, 27, 496–508. </t>
    </r>
  </si>
  <si>
    <t>Vicente-Vicente, J.L., García-Ruiz, R., Francaviglia, R., Aguilera, E.,  Smith, P. 2016. Soil carbon sequestration rates under Mediterranean woody crops using recommended management practices: A meta-analysis. Agriculture, Ecosystems and Environment. 235, 204-214.</t>
  </si>
  <si>
    <t>Vinsmo L-G, Olsson P., Reimers R. 2001. Miljöinventering av packerier och skalerier för potatis. (Environmental inventory of packaging and peeling plants for potatoes). Swedish Institute of Food and Biotechnoloy, Gothenburg, Sweden.</t>
  </si>
  <si>
    <t>Yara International. 2010. Klimatavtryck. Gödslingens klimatpåverkan och möjliga förbättringar.</t>
  </si>
  <si>
    <t>Landqvist, B. and A. Woodhouse, Klimatavtryck av rotfrukter, grönsaker och kryddor: analys av 10 produkter odlade i Sverige. 2015, SIK Institutet för livsmedel och bioteknik.</t>
  </si>
  <si>
    <t>Eurostat, avg 2017-2021. Crop production in EU standard humidity [APRO_CPSH1). General and  Under Glass or High Accesible Counter, Production Area + Harvested Production</t>
  </si>
  <si>
    <t>Personal Communication:</t>
  </si>
  <si>
    <t>Björkholm, A-M. 2019. Rådgivning grönsaker, bär och frukt, växtodling/Advisor vegetables, berries and fruits, plant production. Hushållningssällskapet.</t>
  </si>
  <si>
    <t>Antibiotics</t>
  </si>
  <si>
    <t>Rest of World</t>
  </si>
  <si>
    <t>RoW</t>
  </si>
  <si>
    <t>Name</t>
  </si>
  <si>
    <t>Country_name</t>
  </si>
  <si>
    <t>Country_code</t>
  </si>
  <si>
    <t>Carbon_Footprint</t>
  </si>
  <si>
    <t>Carbon_Dioxide</t>
  </si>
  <si>
    <t>Methane_fossil</t>
  </si>
  <si>
    <t>Methane_bio</t>
  </si>
  <si>
    <t>Nitrous_Oxide</t>
  </si>
  <si>
    <t>HFC</t>
  </si>
  <si>
    <t>N_input</t>
  </si>
  <si>
    <t>P_input</t>
  </si>
  <si>
    <t>Animal_Welfare</t>
  </si>
  <si>
    <t>CO2e_rm_fert_prod</t>
  </si>
  <si>
    <t>CO2e_rm_cap_goods</t>
  </si>
  <si>
    <t>CO2e_rm_soils</t>
  </si>
  <si>
    <t>CO2e_rm_energy</t>
  </si>
  <si>
    <t>CO2e_rm_LUC</t>
  </si>
  <si>
    <t>CO2e_rm_ent_ferm</t>
  </si>
  <si>
    <t>CO2e_rm_manure</t>
  </si>
  <si>
    <t>CO2_rm_fert_prod</t>
  </si>
  <si>
    <t>CO2_rm_cap_goods</t>
  </si>
  <si>
    <t>CO2_rm_energy</t>
  </si>
  <si>
    <t>CO2_rm_LUC</t>
  </si>
  <si>
    <t>CH4_fossil_rm_fert_prod</t>
  </si>
  <si>
    <t>CH4_fossil_rm_cap_goods</t>
  </si>
  <si>
    <t>CH4_fossil_rm_energy</t>
  </si>
  <si>
    <t>CH4_bio_rm_soils_dir</t>
  </si>
  <si>
    <t>CH4_bio_rm_ent_ferm</t>
  </si>
  <si>
    <t>CH4_bio_rm_manure</t>
  </si>
  <si>
    <t>N2O_rm_fert_prod</t>
  </si>
  <si>
    <t>N2O_rm_cap_goods</t>
  </si>
  <si>
    <t>N2O_rm_soils</t>
  </si>
  <si>
    <t>N2O_rm_energy</t>
  </si>
  <si>
    <t>N2O_rm_manure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</si>
</sst>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"/>
    <numFmt numFmtId="165" formatCode="0.000"/>
    <numFmt numFmtId="166" formatCode="0.0000"/>
    <numFmt numFmtId="167" formatCode="0.0E+00"/>
    <numFmt numFmtId="168" formatCode="0.000E+00"/>
    <numFmt numFmtId="169" formatCode="0E+00"/>
    <numFmt numFmtId="170" formatCode="0.0000000"/>
    <numFmt numFmtId="171" formatCode="0.0000E+00"/>
    <numFmt numFmtId="172" formatCode="0.000.E+00"/>
  </numFmts>
  <fonts count="4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i/>
      <sz val="11"/>
      <name val="Calibri"/>
      <family val="2"/>
      <scheme val="minor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8"/>
      <color theme="0" tint="-0.499984740745262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000000"/>
      <name val="Trebuchet MS"/>
      <family val="2"/>
    </font>
    <font>
      <sz val="9"/>
      <color rgb="FF000000"/>
      <name val="Calibri"/>
      <family val="2"/>
      <scheme val="minor"/>
    </font>
    <font>
      <sz val="10"/>
      <color rgb="FFFF0000"/>
      <name val="Trebuchet MS"/>
      <family val="2"/>
    </font>
    <font>
      <b/>
      <sz val="11"/>
      <color rgb="FF000000"/>
      <name val="Calibri"/>
      <family val="2"/>
    </font>
    <font>
      <sz val="10"/>
      <color theme="4" tint="-0.249977111117893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9"/>
      <color theme="4" tint="-0.249977111117893"/>
      <name val="Calibri"/>
      <family val="2"/>
      <scheme val="minor"/>
    </font>
    <font>
      <sz val="16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1"/>
      <color theme="10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1"/>
      <color rgb="FF000000"/>
      <name val="Calibri"/>
      <family val="2"/>
      <charset val="1"/>
    </font>
    <font>
      <sz val="8"/>
      <color rgb="FF222222"/>
      <name val="Arial"/>
      <family val="2"/>
    </font>
    <font>
      <sz val="14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DDDD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0" fontId="2" fillId="0" borderId="0" applyNumberFormat="0" applyBorder="0" applyAlignment="0"/>
    <xf numFmtId="0" fontId="2" fillId="0" borderId="0" applyNumberFormat="0" applyBorder="0" applyAlignment="0"/>
    <xf numFmtId="0" fontId="11" fillId="0" borderId="0"/>
    <xf numFmtId="0" fontId="12" fillId="0" borderId="0"/>
    <xf numFmtId="0" fontId="4" fillId="2" borderId="0" applyNumberFormat="0" applyBorder="0" applyAlignment="0" applyProtection="0">
      <alignment horizontal="right"/>
    </xf>
    <xf numFmtId="0" fontId="17" fillId="0" borderId="0"/>
    <xf numFmtId="0" fontId="18" fillId="0" borderId="0"/>
    <xf numFmtId="0" fontId="1" fillId="0" borderId="0"/>
    <xf numFmtId="0" fontId="17" fillId="0" borderId="0"/>
    <xf numFmtId="0" fontId="1" fillId="0" borderId="0"/>
    <xf numFmtId="0" fontId="37" fillId="0" borderId="0" applyNumberFormat="0" applyFill="0" applyBorder="0" applyAlignment="0" applyProtection="0"/>
  </cellStyleXfs>
  <cellXfs count="266">
    <xf numFmtId="0" fontId="0" fillId="0" borderId="0" xfId="0"/>
    <xf numFmtId="0" fontId="9" fillId="0" borderId="6" xfId="0" applyFont="1" applyBorder="1" applyAlignment="1">
      <alignment horizontal="center" vertical="center"/>
    </xf>
    <xf numFmtId="0" fontId="4" fillId="0" borderId="0" xfId="0" applyFont="1"/>
    <xf numFmtId="0" fontId="0" fillId="0" borderId="0" xfId="0" applyAlignment="1">
      <alignment horizontal="left"/>
    </xf>
    <xf numFmtId="0" fontId="9" fillId="0" borderId="0" xfId="0" applyFont="1" applyAlignment="1">
      <alignment horizontal="left" vertical="center"/>
    </xf>
    <xf numFmtId="0" fontId="0" fillId="0" borderId="4" xfId="0" applyBorder="1"/>
    <xf numFmtId="0" fontId="0" fillId="0" borderId="7" xfId="0" applyBorder="1"/>
    <xf numFmtId="0" fontId="9" fillId="0" borderId="4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9" fillId="0" borderId="0" xfId="0" applyFont="1" applyAlignment="1">
      <alignment vertical="center" wrapText="1"/>
    </xf>
    <xf numFmtId="0" fontId="15" fillId="0" borderId="0" xfId="0" applyFont="1" applyAlignment="1">
      <alignment vertical="center"/>
    </xf>
    <xf numFmtId="0" fontId="9" fillId="0" borderId="3" xfId="0" applyFont="1" applyBorder="1" applyAlignment="1">
      <alignment vertical="center"/>
    </xf>
    <xf numFmtId="0" fontId="9" fillId="0" borderId="5" xfId="0" applyFont="1" applyBorder="1" applyAlignment="1">
      <alignment vertical="center"/>
    </xf>
    <xf numFmtId="0" fontId="9" fillId="0" borderId="7" xfId="0" applyFont="1" applyBorder="1" applyAlignment="1">
      <alignment horizontal="center" vertical="center"/>
    </xf>
    <xf numFmtId="2" fontId="10" fillId="0" borderId="6" xfId="0" applyNumberFormat="1" applyFont="1" applyBorder="1" applyAlignment="1">
      <alignment horizontal="center" vertical="center" wrapText="1"/>
    </xf>
    <xf numFmtId="166" fontId="9" fillId="0" borderId="0" xfId="0" applyNumberFormat="1" applyFont="1" applyAlignment="1">
      <alignment vertical="center"/>
    </xf>
    <xf numFmtId="0" fontId="9" fillId="0" borderId="1" xfId="0" applyFont="1" applyBorder="1" applyAlignment="1">
      <alignment vertical="center"/>
    </xf>
    <xf numFmtId="0" fontId="19" fillId="0" borderId="0" xfId="0" applyFont="1" applyAlignment="1">
      <alignment vertical="center"/>
    </xf>
    <xf numFmtId="0" fontId="9" fillId="0" borderId="8" xfId="0" applyFont="1" applyBorder="1" applyAlignment="1">
      <alignment horizontal="center" vertical="center"/>
    </xf>
    <xf numFmtId="11" fontId="5" fillId="0" borderId="0" xfId="0" applyNumberFormat="1" applyFont="1" applyAlignment="1">
      <alignment horizontal="left" vertical="center"/>
    </xf>
    <xf numFmtId="2" fontId="0" fillId="0" borderId="0" xfId="0" applyNumberFormat="1" applyAlignment="1">
      <alignment horizontal="left" vertical="center"/>
    </xf>
    <xf numFmtId="2" fontId="9" fillId="0" borderId="7" xfId="0" applyNumberFormat="1" applyFont="1" applyBorder="1" applyAlignment="1">
      <alignment vertical="center"/>
    </xf>
    <xf numFmtId="11" fontId="0" fillId="0" borderId="0" xfId="0" applyNumberFormat="1" applyAlignment="1">
      <alignment horizontal="left" vertical="center"/>
    </xf>
    <xf numFmtId="0" fontId="9" fillId="0" borderId="4" xfId="0" applyFont="1" applyBorder="1" applyAlignment="1">
      <alignment vertical="center"/>
    </xf>
    <xf numFmtId="0" fontId="9" fillId="0" borderId="7" xfId="0" applyFont="1" applyBorder="1" applyAlignment="1">
      <alignment vertical="center"/>
    </xf>
    <xf numFmtId="1" fontId="0" fillId="0" borderId="0" xfId="0" applyNumberFormat="1" applyAlignment="1">
      <alignment horizontal="left" vertical="center"/>
    </xf>
    <xf numFmtId="2" fontId="0" fillId="0" borderId="0" xfId="0" applyNumberFormat="1" applyAlignment="1">
      <alignment horizontal="left" wrapText="1"/>
    </xf>
    <xf numFmtId="11" fontId="5" fillId="0" borderId="0" xfId="0" applyNumberFormat="1" applyFont="1" applyAlignment="1">
      <alignment horizontal="left" vertical="center" wrapText="1"/>
    </xf>
    <xf numFmtId="2" fontId="5" fillId="0" borderId="0" xfId="0" applyNumberFormat="1" applyFont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4" fillId="0" borderId="7" xfId="0" applyFont="1" applyBorder="1" applyAlignment="1">
      <alignment horizontal="left"/>
    </xf>
    <xf numFmtId="49" fontId="20" fillId="0" borderId="0" xfId="0" applyNumberFormat="1" applyFont="1" applyAlignment="1">
      <alignment horizontal="left" vertical="center"/>
    </xf>
    <xf numFmtId="49" fontId="0" fillId="0" borderId="0" xfId="0" applyNumberFormat="1"/>
    <xf numFmtId="0" fontId="0" fillId="0" borderId="0" xfId="0" applyAlignment="1">
      <alignment horizontal="left" wrapText="1"/>
    </xf>
    <xf numFmtId="1" fontId="0" fillId="0" borderId="0" xfId="0" applyNumberFormat="1" applyAlignment="1">
      <alignment horizontal="right" vertical="center"/>
    </xf>
    <xf numFmtId="0" fontId="0" fillId="0" borderId="0" xfId="0" applyAlignment="1">
      <alignment horizontal="right"/>
    </xf>
    <xf numFmtId="0" fontId="20" fillId="0" borderId="0" xfId="0" applyFont="1"/>
    <xf numFmtId="49" fontId="0" fillId="0" borderId="3" xfId="0" applyNumberFormat="1" applyBorder="1"/>
    <xf numFmtId="0" fontId="4" fillId="0" borderId="4" xfId="0" applyFont="1" applyBorder="1" applyAlignment="1">
      <alignment horizontal="left"/>
    </xf>
    <xf numFmtId="49" fontId="0" fillId="0" borderId="5" xfId="0" applyNumberFormat="1" applyBorder="1"/>
    <xf numFmtId="0" fontId="0" fillId="0" borderId="9" xfId="0" applyBorder="1"/>
    <xf numFmtId="0" fontId="0" fillId="0" borderId="11" xfId="0" applyBorder="1"/>
    <xf numFmtId="0" fontId="20" fillId="0" borderId="0" xfId="0" applyFont="1" applyAlignment="1">
      <alignment vertical="center"/>
    </xf>
    <xf numFmtId="0" fontId="4" fillId="0" borderId="6" xfId="0" applyFont="1" applyBorder="1"/>
    <xf numFmtId="0" fontId="0" fillId="0" borderId="4" xfId="0" applyBorder="1" applyAlignment="1">
      <alignment horizontal="left" vertical="center"/>
    </xf>
    <xf numFmtId="11" fontId="0" fillId="0" borderId="0" xfId="0" applyNumberFormat="1" applyAlignment="1">
      <alignment horizontal="right" vertical="center"/>
    </xf>
    <xf numFmtId="11" fontId="0" fillId="0" borderId="4" xfId="0" applyNumberFormat="1" applyBorder="1" applyAlignment="1">
      <alignment horizontal="right" vertical="center"/>
    </xf>
    <xf numFmtId="1" fontId="13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/>
    </xf>
    <xf numFmtId="1" fontId="23" fillId="0" borderId="0" xfId="0" applyNumberFormat="1" applyFont="1" applyAlignment="1">
      <alignment horizontal="left" vertical="center"/>
    </xf>
    <xf numFmtId="1" fontId="23" fillId="0" borderId="0" xfId="0" applyNumberFormat="1" applyFont="1"/>
    <xf numFmtId="165" fontId="0" fillId="0" borderId="0" xfId="0" applyNumberFormat="1"/>
    <xf numFmtId="0" fontId="10" fillId="0" borderId="1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/>
    </xf>
    <xf numFmtId="0" fontId="22" fillId="0" borderId="0" xfId="0" applyFont="1" applyAlignment="1">
      <alignment vertical="center"/>
    </xf>
    <xf numFmtId="0" fontId="10" fillId="0" borderId="8" xfId="0" applyFont="1" applyBorder="1" applyAlignment="1">
      <alignment horizontal="center" vertical="center"/>
    </xf>
    <xf numFmtId="0" fontId="10" fillId="0" borderId="4" xfId="0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/>
    </xf>
    <xf numFmtId="165" fontId="10" fillId="0" borderId="0" xfId="0" applyNumberFormat="1" applyFont="1" applyAlignment="1">
      <alignment horizontal="center" vertical="center" wrapText="1"/>
    </xf>
    <xf numFmtId="167" fontId="10" fillId="0" borderId="0" xfId="0" applyNumberFormat="1" applyFont="1" applyAlignment="1">
      <alignment horizontal="center" vertical="center" wrapText="1"/>
    </xf>
    <xf numFmtId="167" fontId="9" fillId="0" borderId="6" xfId="0" applyNumberFormat="1" applyFont="1" applyBorder="1" applyAlignment="1">
      <alignment horizontal="center" vertical="center"/>
    </xf>
    <xf numFmtId="167" fontId="9" fillId="0" borderId="0" xfId="0" applyNumberFormat="1" applyFont="1" applyAlignment="1">
      <alignment horizontal="center" vertical="center"/>
    </xf>
    <xf numFmtId="0" fontId="0" fillId="0" borderId="1" xfId="0" applyBorder="1" applyAlignment="1">
      <alignment horizontal="left" vertical="center"/>
    </xf>
    <xf numFmtId="2" fontId="0" fillId="0" borderId="3" xfId="0" applyNumberForma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/>
    </xf>
    <xf numFmtId="1" fontId="0" fillId="0" borderId="3" xfId="0" applyNumberFormat="1" applyBorder="1" applyAlignment="1">
      <alignment horizontal="left" vertical="center" wrapText="1"/>
    </xf>
    <xf numFmtId="11" fontId="0" fillId="0" borderId="3" xfId="0" applyNumberFormat="1" applyBorder="1" applyAlignment="1">
      <alignment horizontal="left" vertical="center" wrapText="1"/>
    </xf>
    <xf numFmtId="11" fontId="3" fillId="0" borderId="3" xfId="0" applyNumberFormat="1" applyFont="1" applyBorder="1" applyAlignment="1">
      <alignment horizontal="left" vertical="center" wrapText="1"/>
    </xf>
    <xf numFmtId="11" fontId="0" fillId="0" borderId="5" xfId="0" applyNumberFormat="1" applyBorder="1" applyAlignment="1">
      <alignment horizontal="left" vertical="center" wrapText="1"/>
    </xf>
    <xf numFmtId="11" fontId="0" fillId="0" borderId="6" xfId="0" applyNumberFormat="1" applyBorder="1" applyAlignment="1">
      <alignment horizontal="right" vertical="center"/>
    </xf>
    <xf numFmtId="11" fontId="0" fillId="0" borderId="7" xfId="0" applyNumberFormat="1" applyBorder="1" applyAlignment="1">
      <alignment horizontal="right" vertical="center"/>
    </xf>
    <xf numFmtId="2" fontId="9" fillId="0" borderId="0" xfId="0" applyNumberFormat="1" applyFont="1" applyAlignment="1">
      <alignment horizontal="center"/>
    </xf>
    <xf numFmtId="0" fontId="21" fillId="0" borderId="0" xfId="0" applyFont="1" applyAlignment="1">
      <alignment horizontal="left" vertical="center"/>
    </xf>
    <xf numFmtId="2" fontId="0" fillId="0" borderId="0" xfId="0" applyNumberFormat="1"/>
    <xf numFmtId="0" fontId="21" fillId="0" borderId="0" xfId="0" applyFont="1" applyAlignment="1">
      <alignment vertical="center"/>
    </xf>
    <xf numFmtId="167" fontId="9" fillId="0" borderId="0" xfId="0" applyNumberFormat="1" applyFont="1" applyAlignment="1">
      <alignment horizontal="center"/>
    </xf>
    <xf numFmtId="0" fontId="9" fillId="0" borderId="8" xfId="0" applyFont="1" applyBorder="1" applyAlignment="1">
      <alignment vertical="center"/>
    </xf>
    <xf numFmtId="2" fontId="9" fillId="0" borderId="4" xfId="0" applyNumberFormat="1" applyFont="1" applyBorder="1" applyAlignment="1">
      <alignment horizontal="right" vertical="center" wrapText="1"/>
    </xf>
    <xf numFmtId="0" fontId="9" fillId="0" borderId="4" xfId="0" applyFont="1" applyBorder="1" applyAlignment="1">
      <alignment horizontal="right" vertical="center"/>
    </xf>
    <xf numFmtId="2" fontId="9" fillId="0" borderId="7" xfId="0" applyNumberFormat="1" applyFont="1" applyBorder="1" applyAlignment="1">
      <alignment horizontal="right" vertical="center" wrapText="1"/>
    </xf>
    <xf numFmtId="164" fontId="0" fillId="0" borderId="0" xfId="0" applyNumberFormat="1"/>
    <xf numFmtId="0" fontId="10" fillId="0" borderId="5" xfId="0" applyFont="1" applyBorder="1" applyAlignment="1">
      <alignment horizontal="left" vertical="center" wrapText="1"/>
    </xf>
    <xf numFmtId="165" fontId="10" fillId="0" borderId="6" xfId="0" applyNumberFormat="1" applyFont="1" applyBorder="1" applyAlignment="1">
      <alignment horizontal="center" vertical="center" wrapText="1"/>
    </xf>
    <xf numFmtId="167" fontId="10" fillId="0" borderId="6" xfId="0" applyNumberFormat="1" applyFont="1" applyBorder="1" applyAlignment="1">
      <alignment horizontal="center" vertical="center" wrapText="1"/>
    </xf>
    <xf numFmtId="167" fontId="10" fillId="0" borderId="7" xfId="0" applyNumberFormat="1" applyFont="1" applyBorder="1" applyAlignment="1">
      <alignment horizontal="center" vertical="center" wrapText="1"/>
    </xf>
    <xf numFmtId="11" fontId="9" fillId="0" borderId="0" xfId="0" applyNumberFormat="1" applyFont="1" applyAlignment="1">
      <alignment vertical="center"/>
    </xf>
    <xf numFmtId="0" fontId="26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24" fillId="0" borderId="0" xfId="0" applyFont="1"/>
    <xf numFmtId="0" fontId="27" fillId="0" borderId="0" xfId="0" applyFont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0" fillId="0" borderId="8" xfId="0" applyNumberForma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11" fontId="26" fillId="0" borderId="0" xfId="0" applyNumberFormat="1" applyFont="1" applyAlignment="1">
      <alignment horizontal="left" vertical="center" wrapText="1"/>
    </xf>
    <xf numFmtId="0" fontId="21" fillId="0" borderId="0" xfId="0" applyFont="1" applyAlignment="1">
      <alignment horizontal="left"/>
    </xf>
    <xf numFmtId="0" fontId="9" fillId="0" borderId="3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 wrapText="1"/>
    </xf>
    <xf numFmtId="167" fontId="9" fillId="0" borderId="6" xfId="0" applyNumberFormat="1" applyFont="1" applyBorder="1" applyAlignment="1">
      <alignment horizontal="center"/>
    </xf>
    <xf numFmtId="0" fontId="28" fillId="0" borderId="0" xfId="0" applyFont="1" applyAlignment="1">
      <alignment horizontal="left" vertical="center" wrapText="1"/>
    </xf>
    <xf numFmtId="0" fontId="9" fillId="0" borderId="2" xfId="0" applyFont="1" applyBorder="1" applyAlignment="1">
      <alignment horizontal="center" vertical="center"/>
    </xf>
    <xf numFmtId="2" fontId="0" fillId="0" borderId="3" xfId="0" applyNumberFormat="1" applyBorder="1"/>
    <xf numFmtId="2" fontId="0" fillId="0" borderId="5" xfId="0" applyNumberFormat="1" applyBorder="1"/>
    <xf numFmtId="0" fontId="0" fillId="0" borderId="2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2" fontId="9" fillId="0" borderId="0" xfId="0" applyNumberFormat="1" applyFont="1" applyAlignment="1">
      <alignment vertical="center"/>
    </xf>
    <xf numFmtId="11" fontId="0" fillId="0" borderId="3" xfId="0" applyNumberFormat="1" applyBorder="1"/>
    <xf numFmtId="11" fontId="0" fillId="0" borderId="5" xfId="0" applyNumberFormat="1" applyBorder="1"/>
    <xf numFmtId="167" fontId="0" fillId="0" borderId="3" xfId="0" applyNumberFormat="1" applyBorder="1"/>
    <xf numFmtId="167" fontId="0" fillId="0" borderId="5" xfId="0" applyNumberFormat="1" applyBorder="1"/>
    <xf numFmtId="11" fontId="0" fillId="0" borderId="4" xfId="0" applyNumberFormat="1" applyBorder="1"/>
    <xf numFmtId="11" fontId="0" fillId="0" borderId="7" xfId="0" applyNumberFormat="1" applyBorder="1"/>
    <xf numFmtId="169" fontId="0" fillId="0" borderId="4" xfId="0" applyNumberFormat="1" applyBorder="1"/>
    <xf numFmtId="169" fontId="0" fillId="0" borderId="7" xfId="0" applyNumberFormat="1" applyBorder="1"/>
    <xf numFmtId="11" fontId="0" fillId="0" borderId="0" xfId="0" applyNumberFormat="1"/>
    <xf numFmtId="11" fontId="0" fillId="0" borderId="6" xfId="0" applyNumberFormat="1" applyBorder="1"/>
    <xf numFmtId="11" fontId="4" fillId="0" borderId="9" xfId="0" applyNumberFormat="1" applyFont="1" applyBorder="1" applyAlignment="1">
      <alignment horizontal="right"/>
    </xf>
    <xf numFmtId="11" fontId="4" fillId="0" borderId="11" xfId="0" applyNumberFormat="1" applyFont="1" applyBorder="1" applyAlignment="1">
      <alignment horizontal="right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vertical="center"/>
    </xf>
    <xf numFmtId="2" fontId="0" fillId="0" borderId="6" xfId="0" applyNumberFormat="1" applyBorder="1" applyAlignment="1">
      <alignment horizontal="left" vertical="center"/>
    </xf>
    <xf numFmtId="0" fontId="14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2" fontId="0" fillId="0" borderId="0" xfId="0" applyNumberFormat="1" applyAlignment="1">
      <alignment horizontal="right" vertical="center"/>
    </xf>
    <xf numFmtId="165" fontId="30" fillId="0" borderId="8" xfId="0" applyNumberFormat="1" applyFont="1" applyBorder="1" applyAlignment="1">
      <alignment vertical="center"/>
    </xf>
    <xf numFmtId="165" fontId="30" fillId="0" borderId="4" xfId="0" applyNumberFormat="1" applyFont="1" applyBorder="1" applyAlignment="1">
      <alignment vertical="center"/>
    </xf>
    <xf numFmtId="2" fontId="31" fillId="0" borderId="0" xfId="0" applyNumberFormat="1" applyFont="1" applyAlignment="1">
      <alignment horizontal="right" vertical="center"/>
    </xf>
    <xf numFmtId="2" fontId="31" fillId="0" borderId="4" xfId="0" applyNumberFormat="1" applyFont="1" applyBorder="1" applyAlignment="1">
      <alignment horizontal="right" vertical="center"/>
    </xf>
    <xf numFmtId="1" fontId="31" fillId="0" borderId="0" xfId="0" applyNumberFormat="1" applyFont="1" applyAlignment="1">
      <alignment horizontal="right" vertical="center"/>
    </xf>
    <xf numFmtId="1" fontId="31" fillId="0" borderId="4" xfId="0" applyNumberFormat="1" applyFont="1" applyBorder="1" applyAlignment="1">
      <alignment horizontal="right" vertical="center"/>
    </xf>
    <xf numFmtId="0" fontId="30" fillId="0" borderId="6" xfId="0" applyFont="1" applyBorder="1" applyAlignment="1">
      <alignment horizontal="center" vertical="center"/>
    </xf>
    <xf numFmtId="0" fontId="30" fillId="0" borderId="7" xfId="0" applyFont="1" applyBorder="1" applyAlignment="1">
      <alignment horizontal="center" vertical="center"/>
    </xf>
    <xf numFmtId="11" fontId="13" fillId="0" borderId="0" xfId="0" applyNumberFormat="1" applyFont="1" applyAlignment="1">
      <alignment horizontal="left" vertical="center"/>
    </xf>
    <xf numFmtId="0" fontId="32" fillId="0" borderId="0" xfId="0" applyFont="1" applyAlignment="1">
      <alignment vertical="center"/>
    </xf>
    <xf numFmtId="0" fontId="9" fillId="0" borderId="12" xfId="0" applyFont="1" applyBorder="1" applyAlignment="1">
      <alignment vertical="center"/>
    </xf>
    <xf numFmtId="1" fontId="9" fillId="0" borderId="13" xfId="0" applyNumberFormat="1" applyFont="1" applyBorder="1" applyAlignment="1">
      <alignment vertical="center"/>
    </xf>
    <xf numFmtId="0" fontId="12" fillId="0" borderId="0" xfId="4"/>
    <xf numFmtId="0" fontId="4" fillId="0" borderId="0" xfId="8" applyFont="1" applyAlignment="1">
      <alignment horizontal="left" vertical="top"/>
    </xf>
    <xf numFmtId="0" fontId="6" fillId="0" borderId="0" xfId="4" applyFont="1" applyAlignment="1">
      <alignment horizontal="left"/>
    </xf>
    <xf numFmtId="0" fontId="2" fillId="0" borderId="0" xfId="8" applyFont="1" applyAlignment="1">
      <alignment horizontal="left" vertical="top"/>
    </xf>
    <xf numFmtId="0" fontId="4" fillId="0" borderId="0" xfId="8" applyFont="1" applyAlignment="1">
      <alignment horizontal="left"/>
    </xf>
    <xf numFmtId="1" fontId="12" fillId="0" borderId="0" xfId="4" applyNumberFormat="1"/>
    <xf numFmtId="0" fontId="0" fillId="0" borderId="0" xfId="4" applyFont="1"/>
    <xf numFmtId="0" fontId="0" fillId="0" borderId="0" xfId="8" applyFont="1" applyAlignment="1">
      <alignment horizontal="left" vertical="top"/>
    </xf>
    <xf numFmtId="0" fontId="33" fillId="0" borderId="0" xfId="0" applyFont="1" applyAlignment="1">
      <alignment horizontal="left"/>
    </xf>
    <xf numFmtId="165" fontId="0" fillId="0" borderId="0" xfId="4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1" fontId="9" fillId="0" borderId="0" xfId="0" applyNumberFormat="1" applyFont="1" applyAlignment="1">
      <alignment horizontal="left" vertical="center"/>
    </xf>
    <xf numFmtId="170" fontId="0" fillId="0" borderId="0" xfId="0" applyNumberFormat="1"/>
    <xf numFmtId="165" fontId="9" fillId="0" borderId="6" xfId="0" applyNumberFormat="1" applyFont="1" applyBorder="1" applyAlignment="1">
      <alignment horizontal="center" vertical="center"/>
    </xf>
    <xf numFmtId="0" fontId="0" fillId="3" borderId="3" xfId="0" applyFill="1" applyBorder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5" fillId="3" borderId="9" xfId="0" applyFont="1" applyFill="1" applyBorder="1" applyAlignment="1">
      <alignment horizontal="left" vertical="center" wrapText="1"/>
    </xf>
    <xf numFmtId="167" fontId="0" fillId="3" borderId="0" xfId="0" applyNumberFormat="1" applyFill="1" applyAlignment="1">
      <alignment horizontal="center" vertical="center" wrapText="1"/>
    </xf>
    <xf numFmtId="167" fontId="0" fillId="3" borderId="4" xfId="0" applyNumberFormat="1" applyFill="1" applyBorder="1" applyAlignment="1">
      <alignment horizontal="center" vertical="center" wrapText="1"/>
    </xf>
    <xf numFmtId="0" fontId="5" fillId="5" borderId="1" xfId="0" applyFont="1" applyFill="1" applyBorder="1"/>
    <xf numFmtId="0" fontId="0" fillId="5" borderId="2" xfId="0" applyFill="1" applyBorder="1"/>
    <xf numFmtId="167" fontId="5" fillId="5" borderId="10" xfId="0" applyNumberFormat="1" applyFont="1" applyFill="1" applyBorder="1" applyAlignment="1">
      <alignment horizontal="left" vertical="center"/>
    </xf>
    <xf numFmtId="167" fontId="5" fillId="5" borderId="2" xfId="0" applyNumberFormat="1" applyFont="1" applyFill="1" applyBorder="1" applyAlignment="1">
      <alignment horizontal="left" vertical="center"/>
    </xf>
    <xf numFmtId="167" fontId="0" fillId="5" borderId="8" xfId="0" applyNumberFormat="1" applyFill="1" applyBorder="1" applyAlignment="1">
      <alignment horizontal="center" vertical="center" wrapText="1"/>
    </xf>
    <xf numFmtId="167" fontId="0" fillId="5" borderId="8" xfId="0" applyNumberFormat="1" applyFill="1" applyBorder="1"/>
    <xf numFmtId="167" fontId="0" fillId="5" borderId="2" xfId="0" applyNumberFormat="1" applyFill="1" applyBorder="1"/>
    <xf numFmtId="0" fontId="0" fillId="5" borderId="8" xfId="0" applyFill="1" applyBorder="1"/>
    <xf numFmtId="167" fontId="5" fillId="5" borderId="1" xfId="0" applyNumberFormat="1" applyFont="1" applyFill="1" applyBorder="1" applyAlignment="1">
      <alignment horizontal="left" vertical="center"/>
    </xf>
    <xf numFmtId="167" fontId="5" fillId="5" borderId="1" xfId="0" applyNumberFormat="1" applyFont="1" applyFill="1" applyBorder="1"/>
    <xf numFmtId="167" fontId="5" fillId="5" borderId="10" xfId="0" applyNumberFormat="1" applyFont="1" applyFill="1" applyBorder="1"/>
    <xf numFmtId="0" fontId="0" fillId="3" borderId="4" xfId="0" applyFill="1" applyBorder="1" applyAlignment="1">
      <alignment horizontal="left" vertical="top" wrapText="1"/>
    </xf>
    <xf numFmtId="167" fontId="0" fillId="3" borderId="3" xfId="0" applyNumberFormat="1" applyFill="1" applyBorder="1" applyAlignment="1">
      <alignment horizontal="center" vertical="center" wrapText="1"/>
    </xf>
    <xf numFmtId="167" fontId="0" fillId="3" borderId="9" xfId="0" applyNumberFormat="1" applyFill="1" applyBorder="1" applyAlignment="1">
      <alignment horizontal="center" vertical="center" wrapText="1"/>
    </xf>
    <xf numFmtId="0" fontId="6" fillId="0" borderId="0" xfId="0" applyFont="1"/>
    <xf numFmtId="2" fontId="34" fillId="0" borderId="0" xfId="0" applyNumberFormat="1" applyFont="1" applyAlignment="1">
      <alignment horizontal="right" vertical="center"/>
    </xf>
    <xf numFmtId="0" fontId="34" fillId="0" borderId="0" xfId="0" applyFont="1" applyAlignment="1">
      <alignment horizontal="right" vertical="center"/>
    </xf>
    <xf numFmtId="0" fontId="34" fillId="0" borderId="0" xfId="0" applyFont="1" applyAlignment="1">
      <alignment horizontal="right" vertical="center" wrapText="1"/>
    </xf>
    <xf numFmtId="165" fontId="12" fillId="0" borderId="0" xfId="4" applyNumberFormat="1" applyAlignment="1">
      <alignment horizontal="left" vertical="center"/>
    </xf>
    <xf numFmtId="0" fontId="0" fillId="0" borderId="0" xfId="0" applyAlignment="1">
      <alignment horizontal="right" vertical="center"/>
    </xf>
    <xf numFmtId="0" fontId="0" fillId="0" borderId="0" xfId="8" applyFont="1" applyAlignment="1">
      <alignment vertical="center"/>
    </xf>
    <xf numFmtId="0" fontId="4" fillId="0" borderId="0" xfId="8" applyFont="1" applyAlignment="1">
      <alignment horizontal="left" vertical="center"/>
    </xf>
    <xf numFmtId="0" fontId="34" fillId="0" borderId="6" xfId="0" applyFont="1" applyBorder="1" applyAlignment="1">
      <alignment horizontal="right" vertical="center"/>
    </xf>
    <xf numFmtId="2" fontId="34" fillId="0" borderId="6" xfId="0" applyNumberFormat="1" applyFont="1" applyBorder="1" applyAlignment="1">
      <alignment horizontal="right" vertical="center"/>
    </xf>
    <xf numFmtId="0" fontId="14" fillId="0" borderId="0" xfId="0" applyFont="1" applyAlignment="1">
      <alignment horizontal="left" vertical="center"/>
    </xf>
    <xf numFmtId="2" fontId="8" fillId="0" borderId="0" xfId="0" applyNumberFormat="1" applyFont="1" applyAlignment="1">
      <alignment horizontal="left" vertical="center"/>
    </xf>
    <xf numFmtId="0" fontId="9" fillId="0" borderId="4" xfId="0" applyFont="1" applyBorder="1" applyAlignment="1">
      <alignment horizontal="left"/>
    </xf>
    <xf numFmtId="1" fontId="9" fillId="0" borderId="4" xfId="0" applyNumberFormat="1" applyFont="1" applyBorder="1" applyAlignment="1">
      <alignment horizontal="left" vertical="center"/>
    </xf>
    <xf numFmtId="1" fontId="9" fillId="0" borderId="7" xfId="0" applyNumberFormat="1" applyFont="1" applyBorder="1" applyAlignment="1">
      <alignment horizontal="left" vertical="center"/>
    </xf>
    <xf numFmtId="2" fontId="9" fillId="0" borderId="8" xfId="0" applyNumberFormat="1" applyFont="1" applyBorder="1" applyAlignment="1">
      <alignment vertical="center"/>
    </xf>
    <xf numFmtId="0" fontId="0" fillId="0" borderId="0" xfId="0" applyAlignment="1">
      <alignment vertical="center"/>
    </xf>
    <xf numFmtId="0" fontId="25" fillId="0" borderId="0" xfId="0" applyFont="1" applyAlignment="1">
      <alignment horizontal="left" vertical="center"/>
    </xf>
    <xf numFmtId="167" fontId="9" fillId="0" borderId="6" xfId="0" applyNumberFormat="1" applyFont="1" applyBorder="1" applyAlignment="1">
      <alignment vertical="center"/>
    </xf>
    <xf numFmtId="167" fontId="9" fillId="0" borderId="7" xfId="0" applyNumberFormat="1" applyFont="1" applyBorder="1" applyAlignment="1">
      <alignment vertical="center"/>
    </xf>
    <xf numFmtId="166" fontId="0" fillId="0" borderId="0" xfId="0" applyNumberFormat="1" applyAlignment="1">
      <alignment horizontal="left" vertical="center"/>
    </xf>
    <xf numFmtId="171" fontId="4" fillId="0" borderId="0" xfId="0" applyNumberFormat="1" applyFont="1" applyAlignment="1">
      <alignment horizontal="left" vertical="center"/>
    </xf>
    <xf numFmtId="172" fontId="4" fillId="0" borderId="0" xfId="0" applyNumberFormat="1" applyFont="1"/>
    <xf numFmtId="165" fontId="0" fillId="0" borderId="0" xfId="0" applyNumberFormat="1" applyAlignment="1">
      <alignment horizontal="right" vertical="center"/>
    </xf>
    <xf numFmtId="168" fontId="0" fillId="0" borderId="0" xfId="0" applyNumberFormat="1" applyAlignment="1">
      <alignment horizontal="right" vertical="center" wrapText="1"/>
    </xf>
    <xf numFmtId="166" fontId="0" fillId="0" borderId="0" xfId="0" applyNumberFormat="1"/>
    <xf numFmtId="1" fontId="0" fillId="0" borderId="4" xfId="0" applyNumberFormat="1" applyBorder="1" applyAlignment="1">
      <alignment horizontal="left" vertical="center" wrapText="1"/>
    </xf>
    <xf numFmtId="2" fontId="0" fillId="0" borderId="4" xfId="0" applyNumberFormat="1" applyBorder="1" applyAlignment="1">
      <alignment horizontal="left" vertical="center" wrapText="1"/>
    </xf>
    <xf numFmtId="165" fontId="0" fillId="0" borderId="3" xfId="0" applyNumberFormat="1" applyBorder="1"/>
    <xf numFmtId="49" fontId="5" fillId="4" borderId="1" xfId="0" applyNumberFormat="1" applyFont="1" applyFill="1" applyBorder="1"/>
    <xf numFmtId="0" fontId="4" fillId="4" borderId="2" xfId="0" applyFont="1" applyFill="1" applyBorder="1"/>
    <xf numFmtId="2" fontId="0" fillId="4" borderId="8" xfId="0" applyNumberFormat="1" applyFill="1" applyBorder="1" applyAlignment="1">
      <alignment horizontal="left" vertical="center"/>
    </xf>
    <xf numFmtId="49" fontId="0" fillId="3" borderId="3" xfId="0" applyNumberFormat="1" applyFill="1" applyBorder="1" applyAlignment="1">
      <alignment horizontal="center" vertical="top" wrapText="1"/>
    </xf>
    <xf numFmtId="2" fontId="0" fillId="3" borderId="4" xfId="0" applyNumberFormat="1" applyFill="1" applyBorder="1" applyAlignment="1">
      <alignment horizontal="left" vertical="top" wrapText="1"/>
    </xf>
    <xf numFmtId="2" fontId="0" fillId="4" borderId="2" xfId="0" applyNumberFormat="1" applyFill="1" applyBorder="1" applyAlignment="1">
      <alignment horizontal="left" vertical="center"/>
    </xf>
    <xf numFmtId="1" fontId="0" fillId="4" borderId="2" xfId="0" applyNumberFormat="1" applyFill="1" applyBorder="1" applyAlignment="1">
      <alignment horizontal="left" vertical="center"/>
    </xf>
    <xf numFmtId="1" fontId="0" fillId="3" borderId="3" xfId="0" applyNumberFormat="1" applyFill="1" applyBorder="1" applyAlignment="1">
      <alignment horizontal="left" vertical="top" wrapText="1"/>
    </xf>
    <xf numFmtId="11" fontId="0" fillId="3" borderId="4" xfId="0" applyNumberFormat="1" applyFill="1" applyBorder="1" applyAlignment="1">
      <alignment horizontal="left" vertical="top" wrapText="1"/>
    </xf>
    <xf numFmtId="165" fontId="0" fillId="0" borderId="5" xfId="0" applyNumberFormat="1" applyBorder="1"/>
    <xf numFmtId="165" fontId="0" fillId="0" borderId="4" xfId="0" applyNumberFormat="1" applyBorder="1"/>
    <xf numFmtId="165" fontId="0" fillId="0" borderId="7" xfId="0" applyNumberFormat="1" applyBorder="1"/>
    <xf numFmtId="165" fontId="0" fillId="0" borderId="6" xfId="0" applyNumberFormat="1" applyBorder="1"/>
    <xf numFmtId="1" fontId="5" fillId="4" borderId="1" xfId="0" applyNumberFormat="1" applyFont="1" applyFill="1" applyBorder="1" applyAlignment="1">
      <alignment vertical="center"/>
    </xf>
    <xf numFmtId="2" fontId="5" fillId="4" borderId="1" xfId="0" applyNumberFormat="1" applyFont="1" applyFill="1" applyBorder="1" applyAlignment="1">
      <alignment horizontal="left" vertical="center"/>
    </xf>
    <xf numFmtId="11" fontId="5" fillId="4" borderId="2" xfId="0" applyNumberFormat="1" applyFont="1" applyFill="1" applyBorder="1" applyAlignment="1">
      <alignment horizontal="left" vertical="center"/>
    </xf>
    <xf numFmtId="2" fontId="5" fillId="4" borderId="2" xfId="0" applyNumberFormat="1" applyFont="1" applyFill="1" applyBorder="1" applyAlignment="1">
      <alignment horizontal="left" vertical="center"/>
    </xf>
    <xf numFmtId="11" fontId="5" fillId="4" borderId="8" xfId="0" applyNumberFormat="1" applyFont="1" applyFill="1" applyBorder="1" applyAlignment="1">
      <alignment horizontal="left" vertical="center"/>
    </xf>
    <xf numFmtId="1" fontId="4" fillId="3" borderId="3" xfId="0" applyNumberFormat="1" applyFont="1" applyFill="1" applyBorder="1" applyAlignment="1">
      <alignment horizontal="left" vertical="top" wrapText="1"/>
    </xf>
    <xf numFmtId="167" fontId="5" fillId="5" borderId="8" xfId="0" applyNumberFormat="1" applyFont="1" applyFill="1" applyBorder="1"/>
    <xf numFmtId="165" fontId="0" fillId="0" borderId="0" xfId="0" applyNumberFormat="1" applyAlignment="1">
      <alignment horizontal="right"/>
    </xf>
    <xf numFmtId="11" fontId="0" fillId="0" borderId="0" xfId="0" applyNumberFormat="1" applyAlignment="1">
      <alignment horizontal="right"/>
    </xf>
    <xf numFmtId="1" fontId="0" fillId="3" borderId="0" xfId="0" applyNumberFormat="1" applyFill="1" applyAlignment="1">
      <alignment horizontal="left" vertical="top" wrapText="1"/>
    </xf>
    <xf numFmtId="0" fontId="4" fillId="3" borderId="0" xfId="0" applyFont="1" applyFill="1" applyAlignment="1">
      <alignment horizontal="center" vertical="top" wrapText="1"/>
    </xf>
    <xf numFmtId="1" fontId="4" fillId="3" borderId="0" xfId="0" applyNumberFormat="1" applyFont="1" applyFill="1" applyAlignment="1">
      <alignment horizontal="left" vertical="top" wrapText="1"/>
    </xf>
    <xf numFmtId="1" fontId="0" fillId="4" borderId="8" xfId="0" applyNumberFormat="1" applyFill="1" applyBorder="1" applyAlignment="1">
      <alignment horizontal="left" vertical="center"/>
    </xf>
    <xf numFmtId="1" fontId="4" fillId="3" borderId="4" xfId="0" applyNumberFormat="1" applyFont="1" applyFill="1" applyBorder="1" applyAlignment="1">
      <alignment horizontal="left" vertical="top" wrapText="1"/>
    </xf>
    <xf numFmtId="2" fontId="4" fillId="3" borderId="0" xfId="0" applyNumberFormat="1" applyFont="1" applyFill="1" applyAlignment="1">
      <alignment horizontal="left" vertical="top" wrapText="1"/>
    </xf>
    <xf numFmtId="168" fontId="0" fillId="3" borderId="0" xfId="0" applyNumberFormat="1" applyFill="1" applyAlignment="1">
      <alignment horizontal="left" vertical="top" wrapText="1"/>
    </xf>
    <xf numFmtId="11" fontId="0" fillId="3" borderId="0" xfId="0" applyNumberFormat="1" applyFill="1" applyAlignment="1">
      <alignment horizontal="left" vertical="top" wrapText="1"/>
    </xf>
    <xf numFmtId="11" fontId="5" fillId="4" borderId="10" xfId="0" applyNumberFormat="1" applyFont="1" applyFill="1" applyBorder="1" applyAlignment="1">
      <alignment horizontal="left" vertical="center"/>
    </xf>
    <xf numFmtId="11" fontId="0" fillId="3" borderId="9" xfId="0" applyNumberFormat="1" applyFill="1" applyBorder="1" applyAlignment="1">
      <alignment horizontal="left" vertical="top" wrapText="1"/>
    </xf>
    <xf numFmtId="11" fontId="0" fillId="0" borderId="9" xfId="0" applyNumberFormat="1" applyBorder="1" applyAlignment="1">
      <alignment horizontal="right"/>
    </xf>
    <xf numFmtId="165" fontId="4" fillId="0" borderId="0" xfId="0" applyNumberFormat="1" applyFont="1" applyAlignment="1">
      <alignment horizontal="right"/>
    </xf>
    <xf numFmtId="0" fontId="5" fillId="3" borderId="0" xfId="0" applyFont="1" applyFill="1" applyAlignment="1">
      <alignment horizontal="left" vertical="center" wrapText="1"/>
    </xf>
    <xf numFmtId="165" fontId="4" fillId="0" borderId="6" xfId="0" applyNumberFormat="1" applyFont="1" applyBorder="1" applyAlignment="1">
      <alignment horizontal="right"/>
    </xf>
    <xf numFmtId="167" fontId="0" fillId="5" borderId="2" xfId="0" applyNumberFormat="1" applyFill="1" applyBorder="1" applyAlignment="1">
      <alignment horizontal="center" vertical="center" wrapText="1"/>
    </xf>
    <xf numFmtId="165" fontId="4" fillId="0" borderId="0" xfId="0" applyNumberFormat="1" applyFont="1"/>
    <xf numFmtId="1" fontId="38" fillId="0" borderId="0" xfId="11" applyNumberFormat="1" applyFont="1" applyAlignment="1">
      <alignment horizontal="left" vertical="center"/>
    </xf>
    <xf numFmtId="165" fontId="30" fillId="0" borderId="0" xfId="0" applyNumberFormat="1" applyFont="1" applyAlignment="1">
      <alignment horizontal="center"/>
    </xf>
    <xf numFmtId="167" fontId="30" fillId="0" borderId="0" xfId="0" applyNumberFormat="1" applyFont="1" applyAlignment="1">
      <alignment horizontal="center"/>
    </xf>
    <xf numFmtId="2" fontId="4" fillId="0" borderId="9" xfId="0" applyNumberFormat="1" applyFont="1" applyBorder="1" applyAlignment="1">
      <alignment horizontal="right"/>
    </xf>
    <xf numFmtId="2" fontId="4" fillId="0" borderId="11" xfId="0" applyNumberFormat="1" applyFont="1" applyBorder="1" applyAlignment="1">
      <alignment horizontal="right"/>
    </xf>
    <xf numFmtId="0" fontId="39" fillId="0" borderId="0" xfId="0" applyFont="1"/>
    <xf numFmtId="0" fontId="37" fillId="0" borderId="0" xfId="11" applyBorder="1" applyAlignment="1"/>
    <xf numFmtId="2" fontId="0" fillId="6" borderId="0" xfId="0" applyNumberFormat="1" applyFill="1"/>
    <xf numFmtId="0" fontId="40" fillId="0" borderId="0" xfId="0" applyFont="1"/>
    <xf numFmtId="0" fontId="41" fillId="0" borderId="0" xfId="0" applyFont="1" applyAlignment="1">
      <alignment horizontal="left"/>
    </xf>
    <xf numFmtId="49" fontId="6" fillId="0" borderId="3" xfId="0" applyNumberFormat="1" applyFont="1" applyBorder="1"/>
    <xf numFmtId="0" fontId="5" fillId="0" borderId="0" xfId="0" applyFont="1"/>
    <xf numFmtId="0" fontId="4" fillId="6" borderId="0" xfId="8" applyFont="1" applyFill="1" applyAlignment="1">
      <alignment horizontal="left" vertical="top"/>
    </xf>
    <xf numFmtId="0" fontId="12" fillId="6" borderId="0" xfId="4" applyFill="1"/>
  </cellXfs>
  <cellStyles count="12">
    <cellStyle name="Hyperlink" xfId="11" xr:uid="{00000000-0005-0000-0000-000000000000}"/>
    <cellStyle name="Normal" xfId="0" builtinId="0"/>
    <cellStyle name="Normal 2" xfId="4" xr:uid="{00000000-0005-0000-0000-000002000000}"/>
    <cellStyle name="Normal 2 2" xfId="2" xr:uid="{00000000-0005-0000-0000-000003000000}"/>
    <cellStyle name="Normal 2 3" xfId="10" xr:uid="{00000000-0005-0000-0000-000004000000}"/>
    <cellStyle name="Normal 3" xfId="3" xr:uid="{00000000-0005-0000-0000-000005000000}"/>
    <cellStyle name="Normal 4" xfId="1" xr:uid="{00000000-0005-0000-0000-000006000000}"/>
    <cellStyle name="Normal 5" xfId="6" xr:uid="{00000000-0005-0000-0000-000007000000}"/>
    <cellStyle name="Normal 6" xfId="7" xr:uid="{00000000-0005-0000-0000-000008000000}"/>
    <cellStyle name="Normal 6 2" xfId="9" xr:uid="{00000000-0005-0000-0000-000009000000}"/>
    <cellStyle name="Normal 7" xfId="8" xr:uid="{00000000-0005-0000-0000-00000A000000}"/>
    <cellStyle name="Validate" xfId="5" xr:uid="{00000000-0005-0000-0000-00000B000000}"/>
  </cellStyles>
  <dxfs count="0"/>
  <tableStyles count="0" defaultTableStyle="TableStyleMedium2" defaultPivotStyle="PivotStyleLight16"/>
  <colors>
    <mruColors>
      <color rgb="FFC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.bin"/><Relationship Id="rId2" Type="http://schemas.openxmlformats.org/officeDocument/2006/relationships/hyperlink" Target="https://european-seed.com/2019/04/greenhouse-horticulture-in-spain-well-on-its-way-to-sustainability/" TargetMode="External"/><Relationship Id="rId1" Type="http://schemas.openxmlformats.org/officeDocument/2006/relationships/hyperlink" Target="https://reader.elsevier.com/reader/sd/pii/S0048969718305175?token=C4B083554F2E20336C85F98934870ED94CEEE031ED4F12FB6B1D95E5FE0949CBC345EC0A9F54E529A3D89CC4646603DF&amp;originRegion=eu-west-1&amp;originCreation=20230505121444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1"/>
  </sheetPr>
  <dimension ref="A2:A7"/>
  <sheetViews>
    <sheetView workbookViewId="0">
      <selection activeCell="A8" sqref="A8"/>
    </sheetView>
  </sheetViews>
  <sheetFormatPr baseColWidth="10" defaultColWidth="8.6640625" defaultRowHeight="15" x14ac:dyDescent="0.2"/>
  <sheetData>
    <row r="2" spans="1:1" ht="21" x14ac:dyDescent="0.25">
      <c r="A2" s="38" t="s">
        <v>0</v>
      </c>
    </row>
    <row r="4" spans="1:1" x14ac:dyDescent="0.2">
      <c r="A4" t="s">
        <v>1</v>
      </c>
    </row>
    <row r="6" spans="1:1" x14ac:dyDescent="0.2">
      <c r="A6" t="s">
        <v>2</v>
      </c>
    </row>
    <row r="7" spans="1:1" x14ac:dyDescent="0.2">
      <c r="A7" t="s">
        <v>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1AAE5-0563-9047-AAB0-A535685E4E93}">
  <dimension ref="A1:AQ2"/>
  <sheetViews>
    <sheetView workbookViewId="0">
      <selection activeCell="B10" sqref="B10"/>
    </sheetView>
  </sheetViews>
  <sheetFormatPr baseColWidth="10" defaultRowHeight="15" x14ac:dyDescent="0.2"/>
  <sheetData>
    <row r="1" spans="1:43" s="263" customFormat="1" x14ac:dyDescent="0.2">
      <c r="A1" s="263" t="s">
        <v>45</v>
      </c>
      <c r="B1" s="263" t="s">
        <v>331</v>
      </c>
      <c r="C1" s="263" t="s">
        <v>17</v>
      </c>
      <c r="D1" s="263" t="s">
        <v>332</v>
      </c>
      <c r="E1" s="263" t="s">
        <v>333</v>
      </c>
      <c r="F1" s="263" t="s">
        <v>334</v>
      </c>
      <c r="G1" s="263" t="s">
        <v>335</v>
      </c>
      <c r="H1" s="263" t="s">
        <v>336</v>
      </c>
      <c r="I1" s="263" t="s">
        <v>337</v>
      </c>
      <c r="J1" s="263" t="s">
        <v>338</v>
      </c>
      <c r="K1" s="263" t="s">
        <v>339</v>
      </c>
      <c r="L1" s="263" t="s">
        <v>7</v>
      </c>
      <c r="M1" s="263" t="s">
        <v>340</v>
      </c>
      <c r="N1" s="263" t="s">
        <v>341</v>
      </c>
      <c r="O1" s="263" t="s">
        <v>10</v>
      </c>
      <c r="P1" s="263" t="s">
        <v>11</v>
      </c>
      <c r="Q1" s="263" t="s">
        <v>12</v>
      </c>
      <c r="R1" s="263" t="s">
        <v>13</v>
      </c>
      <c r="S1" s="263" t="s">
        <v>14</v>
      </c>
      <c r="T1" s="263" t="s">
        <v>342</v>
      </c>
      <c r="U1" s="263" t="s">
        <v>328</v>
      </c>
      <c r="V1" s="263" t="s">
        <v>343</v>
      </c>
      <c r="W1" s="263" t="s">
        <v>344</v>
      </c>
      <c r="X1" s="263" t="s">
        <v>345</v>
      </c>
      <c r="Y1" s="263" t="s">
        <v>346</v>
      </c>
      <c r="Z1" s="263" t="s">
        <v>347</v>
      </c>
      <c r="AA1" s="263" t="s">
        <v>348</v>
      </c>
      <c r="AB1" s="263" t="s">
        <v>349</v>
      </c>
      <c r="AC1" s="263" t="s">
        <v>350</v>
      </c>
      <c r="AD1" s="263" t="s">
        <v>351</v>
      </c>
      <c r="AE1" s="263" t="s">
        <v>352</v>
      </c>
      <c r="AF1" s="263" t="s">
        <v>353</v>
      </c>
      <c r="AG1" s="263" t="s">
        <v>354</v>
      </c>
      <c r="AH1" s="263" t="s">
        <v>355</v>
      </c>
      <c r="AI1" s="263" t="s">
        <v>356</v>
      </c>
      <c r="AJ1" s="263" t="s">
        <v>357</v>
      </c>
      <c r="AK1" s="263" t="s">
        <v>358</v>
      </c>
      <c r="AL1" s="263" t="s">
        <v>359</v>
      </c>
      <c r="AM1" s="263" t="s">
        <v>360</v>
      </c>
      <c r="AN1" s="263" t="s">
        <v>361</v>
      </c>
      <c r="AO1" s="263" t="s">
        <v>362</v>
      </c>
      <c r="AP1" s="263" t="s">
        <v>363</v>
      </c>
      <c r="AQ1" s="263" t="s">
        <v>364</v>
      </c>
    </row>
    <row r="2" spans="1:43" x14ac:dyDescent="0.2">
      <c r="A2" s="262" t="s">
        <v>114</v>
      </c>
      <c r="B2" t="s">
        <v>35</v>
      </c>
      <c r="C2" t="s">
        <v>36</v>
      </c>
      <c r="D2" t="s">
        <v>329</v>
      </c>
      <c r="E2" t="s">
        <v>330</v>
      </c>
      <c r="F2">
        <f>'Footprints, results per kg'!F6</f>
        <v>2.38</v>
      </c>
      <c r="G2">
        <f>'Footprints, results per kg'!G6</f>
        <v>0</v>
      </c>
      <c r="H2">
        <f>'Footprints, results per kg'!H6</f>
        <v>0</v>
      </c>
      <c r="I2">
        <f>'Footprints, results per kg'!I6</f>
        <v>0</v>
      </c>
      <c r="J2">
        <f>'Footprints, results per kg'!J6</f>
        <v>0</v>
      </c>
      <c r="K2">
        <f>'Footprints, results per kg'!K6</f>
        <v>0</v>
      </c>
      <c r="L2" s="78">
        <f>'Footprints, results per kg'!L6</f>
        <v>0</v>
      </c>
      <c r="M2">
        <f>'Footprints, results per kg'!M6</f>
        <v>0</v>
      </c>
      <c r="N2" s="78">
        <f>'Footprints, results per kg'!N6</f>
        <v>0</v>
      </c>
      <c r="O2">
        <f>'Footprints, results per kg'!O6</f>
        <v>9</v>
      </c>
      <c r="P2" s="78">
        <f>'Footprints, results per kg'!P6</f>
        <v>0</v>
      </c>
      <c r="Q2">
        <f>'Footprints, results per kg'!Q6</f>
        <v>0</v>
      </c>
      <c r="R2" s="78">
        <f>'Footprints, results per kg'!R6</f>
        <v>0</v>
      </c>
      <c r="S2" s="78">
        <f>'Footprints, results per kg'!S6</f>
        <v>0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9" tint="0.59999389629810485"/>
  </sheetPr>
  <dimension ref="A2:U7"/>
  <sheetViews>
    <sheetView zoomScale="68" zoomScaleNormal="80" workbookViewId="0">
      <selection activeCell="F6" sqref="F6"/>
    </sheetView>
  </sheetViews>
  <sheetFormatPr baseColWidth="10" defaultColWidth="8.6640625" defaultRowHeight="15" x14ac:dyDescent="0.2"/>
  <cols>
    <col min="1" max="1" width="8.6640625" style="34"/>
    <col min="2" max="2" width="22.33203125" style="2" customWidth="1"/>
    <col min="3" max="3" width="15.33203125" style="2" customWidth="1"/>
    <col min="4" max="4" width="9.6640625" style="2" customWidth="1"/>
    <col min="5" max="5" width="6.33203125" customWidth="1"/>
    <col min="6" max="6" width="9.33203125" style="37" customWidth="1"/>
    <col min="7" max="7" width="10.33203125" bestFit="1" customWidth="1"/>
    <col min="8" max="9" width="10.6640625" customWidth="1"/>
    <col min="10" max="10" width="10.33203125" bestFit="1" customWidth="1"/>
    <col min="12" max="12" width="10.33203125" customWidth="1"/>
    <col min="13" max="13" width="12.5" customWidth="1"/>
    <col min="14" max="14" width="13.5" customWidth="1"/>
    <col min="15" max="15" width="11.6640625" customWidth="1"/>
    <col min="16" max="16" width="11.33203125" customWidth="1"/>
    <col min="17" max="17" width="14.6640625" customWidth="1"/>
    <col min="18" max="19" width="13.6640625" customWidth="1"/>
  </cols>
  <sheetData>
    <row r="2" spans="1:21" ht="21" x14ac:dyDescent="0.2">
      <c r="A2" s="33" t="s">
        <v>4</v>
      </c>
      <c r="E2" s="22"/>
      <c r="F2" s="36"/>
      <c r="G2" s="206"/>
      <c r="H2" s="27"/>
      <c r="I2" s="27"/>
      <c r="J2" s="27"/>
      <c r="K2" s="27"/>
      <c r="L2" s="22"/>
      <c r="M2" s="205"/>
      <c r="O2" s="22"/>
      <c r="P2" s="24"/>
      <c r="Q2" s="10"/>
      <c r="R2" s="145"/>
      <c r="S2" s="22"/>
    </row>
    <row r="3" spans="1:21" x14ac:dyDescent="0.2">
      <c r="A3" s="52"/>
      <c r="B3" s="52"/>
      <c r="C3" s="52"/>
      <c r="D3" s="52"/>
      <c r="E3" s="52"/>
      <c r="F3" s="52"/>
      <c r="G3" s="207"/>
      <c r="H3" s="51"/>
      <c r="I3" s="51"/>
      <c r="J3" s="51"/>
      <c r="K3" s="52"/>
      <c r="L3" s="52"/>
      <c r="M3" s="52"/>
      <c r="O3" s="52"/>
      <c r="P3" s="51"/>
      <c r="Q3" s="52"/>
      <c r="R3" s="52"/>
      <c r="S3" s="52"/>
    </row>
    <row r="4" spans="1:21" x14ac:dyDescent="0.2">
      <c r="A4" s="214" t="s">
        <v>5</v>
      </c>
      <c r="B4" s="215"/>
      <c r="C4" s="215"/>
      <c r="D4" s="215"/>
      <c r="E4" s="216"/>
      <c r="F4" s="227" t="s">
        <v>6</v>
      </c>
      <c r="G4" s="219"/>
      <c r="H4" s="220"/>
      <c r="I4" s="220"/>
      <c r="J4" s="220"/>
      <c r="K4" s="239"/>
      <c r="L4" s="228" t="s">
        <v>7</v>
      </c>
      <c r="M4" s="230" t="s">
        <v>8</v>
      </c>
      <c r="N4" s="230" t="s">
        <v>9</v>
      </c>
      <c r="O4" s="230" t="s">
        <v>10</v>
      </c>
      <c r="P4" s="229" t="s">
        <v>11</v>
      </c>
      <c r="Q4" s="229" t="s">
        <v>12</v>
      </c>
      <c r="R4" s="231" t="s">
        <v>13</v>
      </c>
      <c r="S4" s="244" t="s">
        <v>14</v>
      </c>
    </row>
    <row r="5" spans="1:21" s="35" customFormat="1" ht="68" customHeight="1" x14ac:dyDescent="0.2">
      <c r="A5" s="217" t="s">
        <v>15</v>
      </c>
      <c r="B5" s="237" t="s">
        <v>16</v>
      </c>
      <c r="C5" s="237" t="s">
        <v>17</v>
      </c>
      <c r="D5" s="237" t="s">
        <v>18</v>
      </c>
      <c r="E5" s="218" t="s">
        <v>19</v>
      </c>
      <c r="F5" s="221" t="s">
        <v>20</v>
      </c>
      <c r="G5" s="238" t="s">
        <v>21</v>
      </c>
      <c r="H5" s="236" t="s">
        <v>22</v>
      </c>
      <c r="I5" s="236" t="s">
        <v>23</v>
      </c>
      <c r="J5" s="236" t="s">
        <v>24</v>
      </c>
      <c r="K5" s="240" t="s">
        <v>25</v>
      </c>
      <c r="L5" s="232" t="s">
        <v>26</v>
      </c>
      <c r="M5" s="238" t="s">
        <v>27</v>
      </c>
      <c r="N5" s="238" t="s">
        <v>28</v>
      </c>
      <c r="O5" s="241" t="s">
        <v>29</v>
      </c>
      <c r="P5" s="242" t="s">
        <v>30</v>
      </c>
      <c r="Q5" s="243" t="s">
        <v>31</v>
      </c>
      <c r="R5" s="222" t="s">
        <v>32</v>
      </c>
      <c r="S5" s="245" t="s">
        <v>33</v>
      </c>
      <c r="U5" s="35" t="s">
        <v>34</v>
      </c>
    </row>
    <row r="6" spans="1:21" ht="15" customHeight="1" x14ac:dyDescent="0.2">
      <c r="A6" s="262" t="s">
        <v>114</v>
      </c>
      <c r="B6" s="50" t="s">
        <v>35</v>
      </c>
      <c r="C6" s="50" t="s">
        <v>36</v>
      </c>
      <c r="D6" s="2" t="s">
        <v>37</v>
      </c>
      <c r="E6" s="212"/>
      <c r="F6">
        <v>2.38</v>
      </c>
      <c r="G6" s="208"/>
      <c r="H6" s="209"/>
      <c r="I6" s="209"/>
      <c r="J6" s="209"/>
      <c r="K6" s="211"/>
      <c r="L6" s="110"/>
      <c r="M6" s="53"/>
      <c r="N6" s="210"/>
      <c r="O6" s="208">
        <v>9</v>
      </c>
      <c r="P6" s="136"/>
      <c r="Q6" s="47"/>
      <c r="R6" s="48"/>
      <c r="S6" s="246"/>
      <c r="U6" t="s">
        <v>38</v>
      </c>
    </row>
    <row r="7" spans="1:21" x14ac:dyDescent="0.2">
      <c r="E7" s="2"/>
      <c r="F7" s="234"/>
      <c r="G7" s="208"/>
      <c r="H7" s="209"/>
      <c r="I7" s="209"/>
      <c r="J7" s="209"/>
      <c r="K7" s="36"/>
      <c r="L7" s="78"/>
      <c r="M7" s="53"/>
      <c r="N7" s="210"/>
      <c r="O7" s="208"/>
      <c r="P7" s="136"/>
      <c r="Q7" s="47"/>
      <c r="R7" s="47"/>
      <c r="S7" s="235"/>
    </row>
  </sheetData>
  <autoFilter ref="A5:S6" xr:uid="{00000000-0009-0000-0000-000001000000}">
    <sortState xmlns:xlrd2="http://schemas.microsoft.com/office/spreadsheetml/2017/richdata2" ref="A6:U6">
      <sortCondition ref="B5:B6"/>
    </sortState>
  </autoFilter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tabColor theme="9" tint="0.79998168889431442"/>
  </sheetPr>
  <dimension ref="A2:O118"/>
  <sheetViews>
    <sheetView zoomScale="70" zoomScaleNormal="70" workbookViewId="0">
      <pane ySplit="1700" activePane="bottomLeft"/>
      <selection pane="bottomLeft" activeCell="F6" sqref="F6"/>
    </sheetView>
  </sheetViews>
  <sheetFormatPr baseColWidth="10" defaultColWidth="8.6640625" defaultRowHeight="15" x14ac:dyDescent="0.2"/>
  <cols>
    <col min="1" max="1" width="9.6640625" customWidth="1"/>
    <col min="2" max="2" width="29.5" customWidth="1"/>
    <col min="3" max="3" width="18.33203125" customWidth="1"/>
    <col min="4" max="4" width="10.33203125" customWidth="1"/>
    <col min="5" max="5" width="9.5" customWidth="1"/>
    <col min="6" max="6" width="12.6640625" customWidth="1"/>
    <col min="7" max="7" width="14.5" customWidth="1"/>
    <col min="8" max="9" width="12.6640625" customWidth="1"/>
    <col min="10" max="10" width="10.5" customWidth="1"/>
    <col min="11" max="11" width="12.5" customWidth="1"/>
    <col min="12" max="12" width="12.33203125" customWidth="1"/>
    <col min="13" max="13" width="12.5" customWidth="1"/>
    <col min="14" max="14" width="16.5" customWidth="1"/>
  </cols>
  <sheetData>
    <row r="2" spans="1:15" ht="21" x14ac:dyDescent="0.25">
      <c r="A2" s="38" t="s">
        <v>39</v>
      </c>
    </row>
    <row r="4" spans="1:15" x14ac:dyDescent="0.2">
      <c r="A4" s="171" t="s">
        <v>5</v>
      </c>
      <c r="B4" s="172"/>
      <c r="C4" s="172"/>
      <c r="D4" s="178"/>
      <c r="E4" s="173" t="s">
        <v>40</v>
      </c>
      <c r="F4" s="179" t="s">
        <v>41</v>
      </c>
      <c r="G4" s="175"/>
      <c r="H4" s="179" t="s">
        <v>42</v>
      </c>
      <c r="I4" s="176"/>
      <c r="J4" s="180" t="s">
        <v>43</v>
      </c>
      <c r="K4" s="177"/>
      <c r="L4" s="177"/>
      <c r="M4" s="176"/>
      <c r="N4" s="233" t="s">
        <v>44</v>
      </c>
    </row>
    <row r="5" spans="1:15" ht="48" x14ac:dyDescent="0.2">
      <c r="A5" s="166" t="s">
        <v>45</v>
      </c>
      <c r="B5" s="167" t="s">
        <v>5</v>
      </c>
      <c r="C5" s="167" t="s">
        <v>46</v>
      </c>
      <c r="D5" s="182" t="s">
        <v>47</v>
      </c>
      <c r="E5" s="168"/>
      <c r="F5" s="183" t="s">
        <v>48</v>
      </c>
      <c r="G5" s="170" t="s">
        <v>49</v>
      </c>
      <c r="H5" s="183" t="s">
        <v>50</v>
      </c>
      <c r="I5" s="170" t="s">
        <v>51</v>
      </c>
      <c r="J5" s="183" t="s">
        <v>52</v>
      </c>
      <c r="K5" s="169" t="s">
        <v>53</v>
      </c>
      <c r="L5" s="169" t="s">
        <v>54</v>
      </c>
      <c r="M5" s="170" t="s">
        <v>55</v>
      </c>
      <c r="N5" s="170" t="s">
        <v>56</v>
      </c>
    </row>
    <row r="6" spans="1:15" x14ac:dyDescent="0.2">
      <c r="A6" s="39" t="s">
        <v>57</v>
      </c>
      <c r="B6" s="2" t="e">
        <f t="shared" ref="B6:B37" si="0">INDEX(Crop_data,MATCH(A6,Crop_data_codes,0),2)</f>
        <v>#REF!</v>
      </c>
      <c r="C6" s="2" t="e">
        <f t="shared" ref="C6:C37" si="1">INDEX(Crop_data,MATCH(A6,Crop_data_codes,0),3)</f>
        <v>#REF!</v>
      </c>
      <c r="D6" s="40" t="e">
        <f t="shared" ref="D6:D37" si="2">INDEX(Crop_data,MATCH(A6,Crop_data_codes,0),4)</f>
        <v>#REF!</v>
      </c>
      <c r="E6" s="255" t="e">
        <f t="shared" ref="E6" si="3">IF(D6="Yes", SUM(F6:N6),"")</f>
        <v>#REF!</v>
      </c>
      <c r="F6" s="213" t="e">
        <f>IF(D6="YES",INDEX(CO2_data,MATCH(A6,CO2_codes,0),2)+INDEX(CH4_data,MATCH(A6,CH4_codes,0),2)*CF_fossil_CH4+INDEX(CH4_bio_data,MATCH(A6,CH4_bio_codes,0),2)*CF_biog_CH4+INDEX(N2O_data,MATCH(A6,N2O_codes,0),2)*CF_N2O,"")</f>
        <v>#REF!</v>
      </c>
      <c r="G6" s="224" t="e">
        <f t="shared" ref="G6:G37" si="4">IF(D6="YES",INDEX(CO2_data,MATCH(A6,CO2_codes,0),3)+INDEX(CH4_data,MATCH(A6,CH4_codes,0),3)*CF_fossil_CH4+INDEX(CH4_bio_data,MATCH(A6,CH4_bio_codes,0),3)*CF_biog_CH4+INDEX(N2O_data,MATCH(A6,N2O_codes,0),3)*CF_N2O,"")</f>
        <v>#REF!</v>
      </c>
      <c r="H6" s="213" t="e">
        <f t="shared" ref="H6:H37" si="5">IF(D6="YES",INDEX(CO2_data,MATCH(A6,CO2_codes,0),4)+INDEX(CH4_data,MATCH(A6,CH4_codes,0),4)*CF_fossil_CH4+INDEX(CH4_bio_data,MATCH(A6,CH4_bio_codes,0),4)*CF_biog_CH4+INDEX(N2O_data,MATCH(A6,N2O_codes,0),4)*CF_N2O,"")</f>
        <v>#REF!</v>
      </c>
      <c r="I6" s="224" t="e">
        <f t="shared" ref="I6:I37" si="6">IF(D6="YES",INDEX(CO2_data,MATCH(A6,CO2_codes,0),5)+INDEX(CH4_data,MATCH(A6,CH4_codes,0),5)*CF_fossil_CH4+INDEX(CH4_bio_data,MATCH(A6,CH4_bio_codes,0),5)*CF_biog_CH4+INDEX(N2O_data,MATCH(A6,N2O_codes,0),5)*CF_N2O,"")</f>
        <v>#REF!</v>
      </c>
      <c r="J6" s="213" t="e">
        <f t="shared" ref="J6:J37" si="7">IF(D6="YES",INDEX(CO2_data,MATCH(A6,CO2_codes,0),6)+INDEX(CH4_data,MATCH(A6,CH4_codes,0),6)*CF_fossil_CH4+INDEX(CH4_bio_data,MATCH(A6,CH4_bio_codes,0),6)*CF_biog_CH4+INDEX(N2O_data,MATCH(A6,N2O_codes,0),6)*CF_N2O,"")</f>
        <v>#REF!</v>
      </c>
      <c r="K6" s="53" t="e">
        <f t="shared" ref="K6:K37" si="8">IF(D6="YES",INDEX(CO2_data,MATCH(A6,CO2_codes,0),7)+INDEX(CH4_data,MATCH(A6,CH4_codes,0),7)*CF_fossil_CH4+INDEX(CH4_bio_data,MATCH(A6,CH4_bio_codes,0),7)*CF_biog_CH4+INDEX(N2O_data,MATCH(A6,N2O_codes,0),7)*CF_N2O,"")</f>
        <v>#REF!</v>
      </c>
      <c r="L6" s="53" t="e">
        <f>IF(D6="YES",INDEX(CO2_data,MATCH(A6,CO2_codes,0),8)+INDEX(CH4_data,MATCH(A6,CH4_codes,0),8)*CF_fossil_CH4+INDEX(CH4_bio_data,MATCH(A6,CH4_bio_codes,0),8)*CF_biog_CH4+INDEX(N2O_data,MATCH(A6,N2O_codes,0),8)*CF_N2O,"")</f>
        <v>#REF!</v>
      </c>
      <c r="M6" s="224" t="e">
        <f t="shared" ref="M6:M37" si="9">IF(D6="YES",INDEX(CO2_data,MATCH(A6,CO2_codes,0),9)+INDEX(CH4_data,MATCH(A6,CH4_codes,0),9)*CF_fossil_CH4+INDEX(CH4_bio_data,MATCH(A6,CH4_bio_codes,0),9)*CF_biog_CH4+INDEX(N2O_data,MATCH(A6,N2O_codes,0),9)*CF_N2O,"")</f>
        <v>#REF!</v>
      </c>
      <c r="N6" s="224" t="e">
        <f t="shared" ref="N6:N37" si="10">IF(D6="YES",INDEX(CO2_data,MATCH(A6,CO2_codes,0),10)+INDEX(CH4_data,MATCH(A6,CH4_codes,0),10)*CF_fossil_CH4+INDEX(CH4_bio_data,MATCH(A6,CH4_bio_codes,0),10)*CF_biog_CH4+INDEX(N2O_data,MATCH(A6,N2O_codes,0),10)*CF_N2O,"")</f>
        <v>#REF!</v>
      </c>
    </row>
    <row r="7" spans="1:15" x14ac:dyDescent="0.2">
      <c r="A7" s="39" t="s">
        <v>58</v>
      </c>
      <c r="B7" s="2" t="e">
        <f t="shared" si="0"/>
        <v>#REF!</v>
      </c>
      <c r="C7" s="2" t="e">
        <f t="shared" si="1"/>
        <v>#REF!</v>
      </c>
      <c r="D7" s="40" t="e">
        <f t="shared" si="2"/>
        <v>#REF!</v>
      </c>
      <c r="E7" s="255" t="e">
        <f t="shared" ref="E7:E70" si="11">IF(D7="Yes", SUM(F7:N7),"")</f>
        <v>#REF!</v>
      </c>
      <c r="F7" s="213" t="e">
        <f t="shared" ref="F7:F37" si="12">IF(D7="YES",INDEX(CO2_data,MATCH(A7,CO2_codes,0),2)+INDEX(CH4_data,MATCH(A7,CH4_codes,0),2)*CF_fossil_CH4+INDEX(CH4_bio_data,MATCH(A7,CH4_bio_codes,0),2)*CF_biog_CH4+INDEX(N2O_data,MATCH(A7,N2O_codes,0),2)*CF_N2O,"")</f>
        <v>#REF!</v>
      </c>
      <c r="G7" s="224" t="e">
        <f t="shared" si="4"/>
        <v>#REF!</v>
      </c>
      <c r="H7" s="213" t="e">
        <f t="shared" si="5"/>
        <v>#REF!</v>
      </c>
      <c r="I7" s="224" t="e">
        <f t="shared" si="6"/>
        <v>#REF!</v>
      </c>
      <c r="J7" s="213" t="e">
        <f t="shared" si="7"/>
        <v>#REF!</v>
      </c>
      <c r="K7" s="53" t="e">
        <f t="shared" si="8"/>
        <v>#REF!</v>
      </c>
      <c r="L7" s="53" t="e">
        <f t="shared" ref="L7:L37" si="13">IF(D7="YES",INDEX(CO2_data,MATCH(A7,CO2_codes,0),8)+INDEX(CH4_data,MATCH(A7,CH4_codes,0),8)*CF_fossil_CH4+INDEX(CH4_bio_data,MATCH(A7,CH4_bio_codes,0),8)*CF_biog_CH4+INDEX(N2O_data,MATCH(A7,N2O_codes,0),8)*CF_N2O,"")</f>
        <v>#REF!</v>
      </c>
      <c r="M7" s="224" t="e">
        <f t="shared" si="9"/>
        <v>#REF!</v>
      </c>
      <c r="N7" s="224" t="e">
        <f t="shared" si="10"/>
        <v>#REF!</v>
      </c>
    </row>
    <row r="8" spans="1:15" x14ac:dyDescent="0.2">
      <c r="A8" s="39" t="s">
        <v>59</v>
      </c>
      <c r="B8" s="2" t="e">
        <f t="shared" si="0"/>
        <v>#REF!</v>
      </c>
      <c r="C8" s="2" t="e">
        <f t="shared" si="1"/>
        <v>#REF!</v>
      </c>
      <c r="D8" s="40" t="e">
        <f t="shared" si="2"/>
        <v>#REF!</v>
      </c>
      <c r="E8" s="255" t="e">
        <f t="shared" si="11"/>
        <v>#REF!</v>
      </c>
      <c r="F8" s="213" t="e">
        <f t="shared" si="12"/>
        <v>#REF!</v>
      </c>
      <c r="G8" s="224" t="e">
        <f t="shared" si="4"/>
        <v>#REF!</v>
      </c>
      <c r="H8" s="213" t="e">
        <f t="shared" si="5"/>
        <v>#REF!</v>
      </c>
      <c r="I8" s="224" t="e">
        <f t="shared" si="6"/>
        <v>#REF!</v>
      </c>
      <c r="J8" s="213" t="e">
        <f t="shared" si="7"/>
        <v>#REF!</v>
      </c>
      <c r="K8" s="53" t="e">
        <f t="shared" si="8"/>
        <v>#REF!</v>
      </c>
      <c r="L8" s="53" t="e">
        <f t="shared" si="13"/>
        <v>#REF!</v>
      </c>
      <c r="M8" s="224" t="e">
        <f t="shared" si="9"/>
        <v>#REF!</v>
      </c>
      <c r="N8" s="224" t="e">
        <f t="shared" si="10"/>
        <v>#REF!</v>
      </c>
      <c r="O8" s="53"/>
    </row>
    <row r="9" spans="1:15" x14ac:dyDescent="0.2">
      <c r="A9" s="39" t="s">
        <v>60</v>
      </c>
      <c r="B9" s="2" t="e">
        <f t="shared" si="0"/>
        <v>#REF!</v>
      </c>
      <c r="C9" s="2" t="e">
        <f t="shared" si="1"/>
        <v>#REF!</v>
      </c>
      <c r="D9" s="40" t="e">
        <f t="shared" si="2"/>
        <v>#REF!</v>
      </c>
      <c r="E9" s="255" t="e">
        <f t="shared" si="11"/>
        <v>#REF!</v>
      </c>
      <c r="F9" s="213" t="e">
        <f t="shared" si="12"/>
        <v>#REF!</v>
      </c>
      <c r="G9" s="224" t="e">
        <f t="shared" si="4"/>
        <v>#REF!</v>
      </c>
      <c r="H9" s="213" t="e">
        <f t="shared" si="5"/>
        <v>#REF!</v>
      </c>
      <c r="I9" s="224" t="e">
        <f t="shared" si="6"/>
        <v>#REF!</v>
      </c>
      <c r="J9" s="213" t="e">
        <f t="shared" si="7"/>
        <v>#REF!</v>
      </c>
      <c r="K9" s="53" t="e">
        <f t="shared" si="8"/>
        <v>#REF!</v>
      </c>
      <c r="L9" s="53" t="e">
        <f t="shared" si="13"/>
        <v>#REF!</v>
      </c>
      <c r="M9" s="224" t="e">
        <f t="shared" si="9"/>
        <v>#REF!</v>
      </c>
      <c r="N9" s="224" t="e">
        <f t="shared" si="10"/>
        <v>#REF!</v>
      </c>
      <c r="O9" s="53"/>
    </row>
    <row r="10" spans="1:15" x14ac:dyDescent="0.2">
      <c r="A10" s="39" t="s">
        <v>61</v>
      </c>
      <c r="B10" s="2" t="e">
        <f t="shared" si="0"/>
        <v>#REF!</v>
      </c>
      <c r="C10" s="2" t="e">
        <f t="shared" si="1"/>
        <v>#REF!</v>
      </c>
      <c r="D10" s="40" t="e">
        <f t="shared" si="2"/>
        <v>#REF!</v>
      </c>
      <c r="E10" s="255" t="e">
        <f t="shared" si="11"/>
        <v>#REF!</v>
      </c>
      <c r="F10" s="213" t="e">
        <f t="shared" si="12"/>
        <v>#REF!</v>
      </c>
      <c r="G10" s="224" t="e">
        <f t="shared" si="4"/>
        <v>#REF!</v>
      </c>
      <c r="H10" s="213" t="e">
        <f t="shared" si="5"/>
        <v>#REF!</v>
      </c>
      <c r="I10" s="224" t="e">
        <f t="shared" si="6"/>
        <v>#REF!</v>
      </c>
      <c r="J10" s="213" t="e">
        <f t="shared" si="7"/>
        <v>#REF!</v>
      </c>
      <c r="K10" s="53" t="e">
        <f t="shared" si="8"/>
        <v>#REF!</v>
      </c>
      <c r="L10" s="53" t="e">
        <f t="shared" si="13"/>
        <v>#REF!</v>
      </c>
      <c r="M10" s="224" t="e">
        <f t="shared" si="9"/>
        <v>#REF!</v>
      </c>
      <c r="N10" s="224" t="e">
        <f t="shared" si="10"/>
        <v>#REF!</v>
      </c>
      <c r="O10" s="53"/>
    </row>
    <row r="11" spans="1:15" x14ac:dyDescent="0.2">
      <c r="A11" s="39" t="s">
        <v>62</v>
      </c>
      <c r="B11" s="2" t="e">
        <f t="shared" si="0"/>
        <v>#REF!</v>
      </c>
      <c r="C11" s="2" t="e">
        <f t="shared" si="1"/>
        <v>#REF!</v>
      </c>
      <c r="D11" s="40" t="e">
        <f t="shared" si="2"/>
        <v>#REF!</v>
      </c>
      <c r="E11" s="255" t="e">
        <f t="shared" si="11"/>
        <v>#REF!</v>
      </c>
      <c r="F11" s="213" t="e">
        <f t="shared" si="12"/>
        <v>#REF!</v>
      </c>
      <c r="G11" s="224" t="e">
        <f t="shared" si="4"/>
        <v>#REF!</v>
      </c>
      <c r="H11" s="213" t="e">
        <f t="shared" si="5"/>
        <v>#REF!</v>
      </c>
      <c r="I11" s="224" t="e">
        <f t="shared" si="6"/>
        <v>#REF!</v>
      </c>
      <c r="J11" s="213" t="e">
        <f t="shared" si="7"/>
        <v>#REF!</v>
      </c>
      <c r="K11" s="53" t="e">
        <f t="shared" si="8"/>
        <v>#REF!</v>
      </c>
      <c r="L11" s="53" t="e">
        <f t="shared" si="13"/>
        <v>#REF!</v>
      </c>
      <c r="M11" s="224" t="e">
        <f t="shared" si="9"/>
        <v>#REF!</v>
      </c>
      <c r="N11" s="224" t="e">
        <f t="shared" si="10"/>
        <v>#REF!</v>
      </c>
      <c r="O11" s="53"/>
    </row>
    <row r="12" spans="1:15" x14ac:dyDescent="0.2">
      <c r="A12" s="39" t="s">
        <v>63</v>
      </c>
      <c r="B12" s="2" t="e">
        <f t="shared" si="0"/>
        <v>#REF!</v>
      </c>
      <c r="C12" s="2" t="e">
        <f t="shared" si="1"/>
        <v>#REF!</v>
      </c>
      <c r="D12" s="40" t="e">
        <f t="shared" si="2"/>
        <v>#REF!</v>
      </c>
      <c r="E12" s="255" t="e">
        <f t="shared" si="11"/>
        <v>#REF!</v>
      </c>
      <c r="F12" s="213" t="e">
        <f t="shared" si="12"/>
        <v>#REF!</v>
      </c>
      <c r="G12" s="224" t="e">
        <f t="shared" si="4"/>
        <v>#REF!</v>
      </c>
      <c r="H12" s="213" t="e">
        <f t="shared" si="5"/>
        <v>#REF!</v>
      </c>
      <c r="I12" s="224" t="e">
        <f t="shared" si="6"/>
        <v>#REF!</v>
      </c>
      <c r="J12" s="213" t="e">
        <f t="shared" si="7"/>
        <v>#REF!</v>
      </c>
      <c r="K12" s="53" t="e">
        <f t="shared" si="8"/>
        <v>#REF!</v>
      </c>
      <c r="L12" s="53" t="e">
        <f t="shared" si="13"/>
        <v>#REF!</v>
      </c>
      <c r="M12" s="224" t="e">
        <f t="shared" si="9"/>
        <v>#REF!</v>
      </c>
      <c r="N12" s="224" t="e">
        <f t="shared" si="10"/>
        <v>#REF!</v>
      </c>
      <c r="O12" s="53"/>
    </row>
    <row r="13" spans="1:15" x14ac:dyDescent="0.2">
      <c r="A13" s="39" t="s">
        <v>64</v>
      </c>
      <c r="B13" s="2" t="e">
        <f t="shared" si="0"/>
        <v>#REF!</v>
      </c>
      <c r="C13" s="2" t="e">
        <f t="shared" si="1"/>
        <v>#REF!</v>
      </c>
      <c r="D13" s="40" t="e">
        <f t="shared" si="2"/>
        <v>#REF!</v>
      </c>
      <c r="E13" s="255" t="e">
        <f t="shared" si="11"/>
        <v>#REF!</v>
      </c>
      <c r="F13" s="213" t="e">
        <f t="shared" si="12"/>
        <v>#REF!</v>
      </c>
      <c r="G13" s="224" t="e">
        <f t="shared" si="4"/>
        <v>#REF!</v>
      </c>
      <c r="H13" s="213" t="e">
        <f t="shared" si="5"/>
        <v>#REF!</v>
      </c>
      <c r="I13" s="224" t="e">
        <f t="shared" si="6"/>
        <v>#REF!</v>
      </c>
      <c r="J13" s="213" t="e">
        <f t="shared" si="7"/>
        <v>#REF!</v>
      </c>
      <c r="K13" s="53" t="e">
        <f t="shared" si="8"/>
        <v>#REF!</v>
      </c>
      <c r="L13" s="53" t="e">
        <f t="shared" si="13"/>
        <v>#REF!</v>
      </c>
      <c r="M13" s="224" t="e">
        <f t="shared" si="9"/>
        <v>#REF!</v>
      </c>
      <c r="N13" s="224" t="e">
        <f t="shared" si="10"/>
        <v>#REF!</v>
      </c>
      <c r="O13" s="53"/>
    </row>
    <row r="14" spans="1:15" x14ac:dyDescent="0.2">
      <c r="A14" s="39" t="s">
        <v>65</v>
      </c>
      <c r="B14" s="2" t="e">
        <f t="shared" si="0"/>
        <v>#REF!</v>
      </c>
      <c r="C14" s="2" t="e">
        <f t="shared" si="1"/>
        <v>#REF!</v>
      </c>
      <c r="D14" s="40" t="e">
        <f t="shared" si="2"/>
        <v>#REF!</v>
      </c>
      <c r="E14" s="255" t="e">
        <f t="shared" si="11"/>
        <v>#REF!</v>
      </c>
      <c r="F14" s="213" t="e">
        <f t="shared" si="12"/>
        <v>#REF!</v>
      </c>
      <c r="G14" s="224" t="e">
        <f t="shared" si="4"/>
        <v>#REF!</v>
      </c>
      <c r="H14" s="213" t="e">
        <f t="shared" si="5"/>
        <v>#REF!</v>
      </c>
      <c r="I14" s="224" t="e">
        <f t="shared" si="6"/>
        <v>#REF!</v>
      </c>
      <c r="J14" s="213" t="e">
        <f t="shared" si="7"/>
        <v>#REF!</v>
      </c>
      <c r="K14" s="53" t="e">
        <f t="shared" si="8"/>
        <v>#REF!</v>
      </c>
      <c r="L14" s="53" t="e">
        <f t="shared" si="13"/>
        <v>#REF!</v>
      </c>
      <c r="M14" s="224" t="e">
        <f t="shared" si="9"/>
        <v>#REF!</v>
      </c>
      <c r="N14" s="224" t="e">
        <f t="shared" si="10"/>
        <v>#REF!</v>
      </c>
      <c r="O14" s="53"/>
    </row>
    <row r="15" spans="1:15" x14ac:dyDescent="0.2">
      <c r="A15" s="39" t="s">
        <v>66</v>
      </c>
      <c r="B15" s="2" t="e">
        <f t="shared" si="0"/>
        <v>#REF!</v>
      </c>
      <c r="C15" s="2" t="e">
        <f t="shared" si="1"/>
        <v>#REF!</v>
      </c>
      <c r="D15" s="40" t="e">
        <f t="shared" si="2"/>
        <v>#REF!</v>
      </c>
      <c r="E15" s="255" t="e">
        <f t="shared" si="11"/>
        <v>#REF!</v>
      </c>
      <c r="F15" s="213" t="e">
        <f t="shared" si="12"/>
        <v>#REF!</v>
      </c>
      <c r="G15" s="224" t="e">
        <f t="shared" si="4"/>
        <v>#REF!</v>
      </c>
      <c r="H15" s="213" t="e">
        <f t="shared" si="5"/>
        <v>#REF!</v>
      </c>
      <c r="I15" s="224" t="e">
        <f t="shared" si="6"/>
        <v>#REF!</v>
      </c>
      <c r="J15" s="213" t="e">
        <f t="shared" si="7"/>
        <v>#REF!</v>
      </c>
      <c r="K15" s="53" t="e">
        <f t="shared" si="8"/>
        <v>#REF!</v>
      </c>
      <c r="L15" s="53" t="e">
        <f t="shared" si="13"/>
        <v>#REF!</v>
      </c>
      <c r="M15" s="224" t="e">
        <f t="shared" si="9"/>
        <v>#REF!</v>
      </c>
      <c r="N15" s="224" t="e">
        <f t="shared" si="10"/>
        <v>#REF!</v>
      </c>
      <c r="O15" s="53"/>
    </row>
    <row r="16" spans="1:15" x14ac:dyDescent="0.2">
      <c r="A16" s="39" t="s">
        <v>67</v>
      </c>
      <c r="B16" s="2" t="e">
        <f t="shared" si="0"/>
        <v>#REF!</v>
      </c>
      <c r="C16" s="2" t="e">
        <f t="shared" si="1"/>
        <v>#REF!</v>
      </c>
      <c r="D16" s="40" t="e">
        <f t="shared" si="2"/>
        <v>#REF!</v>
      </c>
      <c r="E16" s="255" t="e">
        <f t="shared" si="11"/>
        <v>#REF!</v>
      </c>
      <c r="F16" s="213" t="e">
        <f t="shared" si="12"/>
        <v>#REF!</v>
      </c>
      <c r="G16" s="224" t="e">
        <f t="shared" si="4"/>
        <v>#REF!</v>
      </c>
      <c r="H16" s="213" t="e">
        <f t="shared" si="5"/>
        <v>#REF!</v>
      </c>
      <c r="I16" s="224" t="e">
        <f t="shared" si="6"/>
        <v>#REF!</v>
      </c>
      <c r="J16" s="213" t="e">
        <f t="shared" si="7"/>
        <v>#REF!</v>
      </c>
      <c r="K16" s="53" t="e">
        <f t="shared" si="8"/>
        <v>#REF!</v>
      </c>
      <c r="L16" s="53" t="e">
        <f t="shared" si="13"/>
        <v>#REF!</v>
      </c>
      <c r="M16" s="224" t="e">
        <f t="shared" si="9"/>
        <v>#REF!</v>
      </c>
      <c r="N16" s="224" t="e">
        <f t="shared" si="10"/>
        <v>#REF!</v>
      </c>
      <c r="O16" s="53"/>
    </row>
    <row r="17" spans="1:15" x14ac:dyDescent="0.2">
      <c r="A17" s="39" t="s">
        <v>68</v>
      </c>
      <c r="B17" s="2" t="e">
        <f t="shared" si="0"/>
        <v>#REF!</v>
      </c>
      <c r="C17" s="2" t="e">
        <f t="shared" si="1"/>
        <v>#REF!</v>
      </c>
      <c r="D17" s="40" t="e">
        <f t="shared" si="2"/>
        <v>#REF!</v>
      </c>
      <c r="E17" s="255" t="e">
        <f t="shared" si="11"/>
        <v>#REF!</v>
      </c>
      <c r="F17" s="213" t="e">
        <f t="shared" si="12"/>
        <v>#REF!</v>
      </c>
      <c r="G17" s="224" t="e">
        <f t="shared" si="4"/>
        <v>#REF!</v>
      </c>
      <c r="H17" s="213" t="e">
        <f t="shared" si="5"/>
        <v>#REF!</v>
      </c>
      <c r="I17" s="224" t="e">
        <f t="shared" si="6"/>
        <v>#REF!</v>
      </c>
      <c r="J17" s="213" t="e">
        <f t="shared" si="7"/>
        <v>#REF!</v>
      </c>
      <c r="K17" s="53" t="e">
        <f t="shared" si="8"/>
        <v>#REF!</v>
      </c>
      <c r="L17" s="53" t="e">
        <f t="shared" si="13"/>
        <v>#REF!</v>
      </c>
      <c r="M17" s="224" t="e">
        <f t="shared" si="9"/>
        <v>#REF!</v>
      </c>
      <c r="N17" s="224" t="e">
        <f t="shared" si="10"/>
        <v>#REF!</v>
      </c>
      <c r="O17" s="53"/>
    </row>
    <row r="18" spans="1:15" x14ac:dyDescent="0.2">
      <c r="A18" s="39" t="s">
        <v>69</v>
      </c>
      <c r="B18" s="2" t="e">
        <f t="shared" si="0"/>
        <v>#REF!</v>
      </c>
      <c r="C18" s="2" t="e">
        <f t="shared" si="1"/>
        <v>#REF!</v>
      </c>
      <c r="D18" s="40" t="e">
        <f t="shared" si="2"/>
        <v>#REF!</v>
      </c>
      <c r="E18" s="255" t="e">
        <f t="shared" si="11"/>
        <v>#REF!</v>
      </c>
      <c r="F18" s="213" t="e">
        <f t="shared" si="12"/>
        <v>#REF!</v>
      </c>
      <c r="G18" s="224" t="e">
        <f t="shared" si="4"/>
        <v>#REF!</v>
      </c>
      <c r="H18" s="213" t="e">
        <f t="shared" si="5"/>
        <v>#REF!</v>
      </c>
      <c r="I18" s="224" t="e">
        <f t="shared" si="6"/>
        <v>#REF!</v>
      </c>
      <c r="J18" s="213" t="e">
        <f t="shared" si="7"/>
        <v>#REF!</v>
      </c>
      <c r="K18" s="53" t="e">
        <f t="shared" si="8"/>
        <v>#REF!</v>
      </c>
      <c r="L18" s="53" t="e">
        <f t="shared" si="13"/>
        <v>#REF!</v>
      </c>
      <c r="M18" s="224" t="e">
        <f t="shared" si="9"/>
        <v>#REF!</v>
      </c>
      <c r="N18" s="224" t="e">
        <f t="shared" si="10"/>
        <v>#REF!</v>
      </c>
      <c r="O18" s="53"/>
    </row>
    <row r="19" spans="1:15" x14ac:dyDescent="0.2">
      <c r="A19" s="39" t="s">
        <v>70</v>
      </c>
      <c r="B19" s="2" t="e">
        <f t="shared" si="0"/>
        <v>#REF!</v>
      </c>
      <c r="C19" s="2" t="e">
        <f t="shared" si="1"/>
        <v>#REF!</v>
      </c>
      <c r="D19" s="40" t="e">
        <f t="shared" si="2"/>
        <v>#REF!</v>
      </c>
      <c r="E19" s="255" t="e">
        <f t="shared" si="11"/>
        <v>#REF!</v>
      </c>
      <c r="F19" s="213" t="e">
        <f t="shared" si="12"/>
        <v>#REF!</v>
      </c>
      <c r="G19" s="224" t="e">
        <f t="shared" si="4"/>
        <v>#REF!</v>
      </c>
      <c r="H19" s="213" t="e">
        <f t="shared" si="5"/>
        <v>#REF!</v>
      </c>
      <c r="I19" s="224" t="e">
        <f t="shared" si="6"/>
        <v>#REF!</v>
      </c>
      <c r="J19" s="213" t="e">
        <f t="shared" si="7"/>
        <v>#REF!</v>
      </c>
      <c r="K19" s="53" t="e">
        <f t="shared" si="8"/>
        <v>#REF!</v>
      </c>
      <c r="L19" s="53" t="e">
        <f t="shared" si="13"/>
        <v>#REF!</v>
      </c>
      <c r="M19" s="224" t="e">
        <f t="shared" si="9"/>
        <v>#REF!</v>
      </c>
      <c r="N19" s="224" t="e">
        <f t="shared" si="10"/>
        <v>#REF!</v>
      </c>
      <c r="O19" s="53"/>
    </row>
    <row r="20" spans="1:15" x14ac:dyDescent="0.2">
      <c r="A20" s="39" t="s">
        <v>71</v>
      </c>
      <c r="B20" s="2" t="e">
        <f t="shared" si="0"/>
        <v>#REF!</v>
      </c>
      <c r="C20" s="2" t="e">
        <f t="shared" si="1"/>
        <v>#REF!</v>
      </c>
      <c r="D20" s="40" t="e">
        <f t="shared" si="2"/>
        <v>#REF!</v>
      </c>
      <c r="E20" s="255" t="e">
        <f t="shared" si="11"/>
        <v>#REF!</v>
      </c>
      <c r="F20" s="213" t="e">
        <f t="shared" si="12"/>
        <v>#REF!</v>
      </c>
      <c r="G20" s="224" t="e">
        <f t="shared" si="4"/>
        <v>#REF!</v>
      </c>
      <c r="H20" s="213" t="e">
        <f t="shared" si="5"/>
        <v>#REF!</v>
      </c>
      <c r="I20" s="224" t="e">
        <f t="shared" si="6"/>
        <v>#REF!</v>
      </c>
      <c r="J20" s="213" t="e">
        <f t="shared" si="7"/>
        <v>#REF!</v>
      </c>
      <c r="K20" s="53" t="e">
        <f t="shared" si="8"/>
        <v>#REF!</v>
      </c>
      <c r="L20" s="53" t="e">
        <f t="shared" si="13"/>
        <v>#REF!</v>
      </c>
      <c r="M20" s="224" t="e">
        <f t="shared" si="9"/>
        <v>#REF!</v>
      </c>
      <c r="N20" s="224" t="e">
        <f t="shared" si="10"/>
        <v>#REF!</v>
      </c>
      <c r="O20" s="53"/>
    </row>
    <row r="21" spans="1:15" x14ac:dyDescent="0.2">
      <c r="A21" s="39" t="s">
        <v>72</v>
      </c>
      <c r="B21" s="2" t="e">
        <f t="shared" si="0"/>
        <v>#REF!</v>
      </c>
      <c r="C21" s="2" t="e">
        <f t="shared" si="1"/>
        <v>#REF!</v>
      </c>
      <c r="D21" s="40" t="e">
        <f t="shared" si="2"/>
        <v>#REF!</v>
      </c>
      <c r="E21" s="255" t="e">
        <f t="shared" si="11"/>
        <v>#REF!</v>
      </c>
      <c r="F21" s="213" t="e">
        <f t="shared" si="12"/>
        <v>#REF!</v>
      </c>
      <c r="G21" s="224" t="e">
        <f t="shared" si="4"/>
        <v>#REF!</v>
      </c>
      <c r="H21" s="213" t="e">
        <f t="shared" si="5"/>
        <v>#REF!</v>
      </c>
      <c r="I21" s="224" t="e">
        <f t="shared" si="6"/>
        <v>#REF!</v>
      </c>
      <c r="J21" s="213" t="e">
        <f t="shared" si="7"/>
        <v>#REF!</v>
      </c>
      <c r="K21" s="53" t="e">
        <f t="shared" si="8"/>
        <v>#REF!</v>
      </c>
      <c r="L21" s="53" t="e">
        <f t="shared" si="13"/>
        <v>#REF!</v>
      </c>
      <c r="M21" s="224" t="e">
        <f t="shared" si="9"/>
        <v>#REF!</v>
      </c>
      <c r="N21" s="224" t="e">
        <f t="shared" si="10"/>
        <v>#REF!</v>
      </c>
      <c r="O21" s="53"/>
    </row>
    <row r="22" spans="1:15" x14ac:dyDescent="0.2">
      <c r="A22" s="39" t="s">
        <v>73</v>
      </c>
      <c r="B22" s="2" t="e">
        <f t="shared" si="0"/>
        <v>#REF!</v>
      </c>
      <c r="C22" s="2" t="e">
        <f t="shared" si="1"/>
        <v>#REF!</v>
      </c>
      <c r="D22" s="40" t="e">
        <f t="shared" si="2"/>
        <v>#REF!</v>
      </c>
      <c r="E22" s="255" t="e">
        <f t="shared" si="11"/>
        <v>#REF!</v>
      </c>
      <c r="F22" s="213" t="e">
        <f t="shared" si="12"/>
        <v>#REF!</v>
      </c>
      <c r="G22" s="224" t="e">
        <f t="shared" si="4"/>
        <v>#REF!</v>
      </c>
      <c r="H22" s="213" t="e">
        <f t="shared" si="5"/>
        <v>#REF!</v>
      </c>
      <c r="I22" s="224" t="e">
        <f t="shared" si="6"/>
        <v>#REF!</v>
      </c>
      <c r="J22" s="213" t="e">
        <f t="shared" si="7"/>
        <v>#REF!</v>
      </c>
      <c r="K22" s="53" t="e">
        <f t="shared" si="8"/>
        <v>#REF!</v>
      </c>
      <c r="L22" s="53" t="e">
        <f t="shared" si="13"/>
        <v>#REF!</v>
      </c>
      <c r="M22" s="224" t="e">
        <f t="shared" si="9"/>
        <v>#REF!</v>
      </c>
      <c r="N22" s="224" t="e">
        <f t="shared" si="10"/>
        <v>#REF!</v>
      </c>
      <c r="O22" s="53"/>
    </row>
    <row r="23" spans="1:15" x14ac:dyDescent="0.2">
      <c r="A23" s="39" t="s">
        <v>74</v>
      </c>
      <c r="B23" s="2" t="e">
        <f t="shared" si="0"/>
        <v>#REF!</v>
      </c>
      <c r="C23" s="2" t="e">
        <f t="shared" si="1"/>
        <v>#REF!</v>
      </c>
      <c r="D23" s="40" t="e">
        <f t="shared" si="2"/>
        <v>#REF!</v>
      </c>
      <c r="E23" s="255" t="e">
        <f t="shared" si="11"/>
        <v>#REF!</v>
      </c>
      <c r="F23" s="213" t="e">
        <f t="shared" si="12"/>
        <v>#REF!</v>
      </c>
      <c r="G23" s="224" t="e">
        <f t="shared" si="4"/>
        <v>#REF!</v>
      </c>
      <c r="H23" s="213" t="e">
        <f t="shared" si="5"/>
        <v>#REF!</v>
      </c>
      <c r="I23" s="224" t="e">
        <f t="shared" si="6"/>
        <v>#REF!</v>
      </c>
      <c r="J23" s="213" t="e">
        <f t="shared" si="7"/>
        <v>#REF!</v>
      </c>
      <c r="K23" s="53" t="e">
        <f t="shared" si="8"/>
        <v>#REF!</v>
      </c>
      <c r="L23" s="53" t="e">
        <f t="shared" si="13"/>
        <v>#REF!</v>
      </c>
      <c r="M23" s="224" t="e">
        <f t="shared" si="9"/>
        <v>#REF!</v>
      </c>
      <c r="N23" s="224" t="e">
        <f t="shared" si="10"/>
        <v>#REF!</v>
      </c>
      <c r="O23" s="53"/>
    </row>
    <row r="24" spans="1:15" x14ac:dyDescent="0.2">
      <c r="A24" s="39" t="s">
        <v>75</v>
      </c>
      <c r="B24" s="2" t="e">
        <f t="shared" si="0"/>
        <v>#REF!</v>
      </c>
      <c r="C24" s="2" t="e">
        <f t="shared" si="1"/>
        <v>#REF!</v>
      </c>
      <c r="D24" s="40" t="e">
        <f t="shared" si="2"/>
        <v>#REF!</v>
      </c>
      <c r="E24" s="255" t="e">
        <f t="shared" si="11"/>
        <v>#REF!</v>
      </c>
      <c r="F24" s="213" t="e">
        <f t="shared" si="12"/>
        <v>#REF!</v>
      </c>
      <c r="G24" s="224" t="e">
        <f t="shared" si="4"/>
        <v>#REF!</v>
      </c>
      <c r="H24" s="213" t="e">
        <f t="shared" si="5"/>
        <v>#REF!</v>
      </c>
      <c r="I24" s="224" t="e">
        <f t="shared" si="6"/>
        <v>#REF!</v>
      </c>
      <c r="J24" s="213" t="e">
        <f t="shared" si="7"/>
        <v>#REF!</v>
      </c>
      <c r="K24" s="53" t="e">
        <f t="shared" si="8"/>
        <v>#REF!</v>
      </c>
      <c r="L24" s="53" t="e">
        <f t="shared" si="13"/>
        <v>#REF!</v>
      </c>
      <c r="M24" s="224" t="e">
        <f t="shared" si="9"/>
        <v>#REF!</v>
      </c>
      <c r="N24" s="224" t="e">
        <f t="shared" si="10"/>
        <v>#REF!</v>
      </c>
      <c r="O24" s="53"/>
    </row>
    <row r="25" spans="1:15" x14ac:dyDescent="0.2">
      <c r="A25" s="39" t="s">
        <v>76</v>
      </c>
      <c r="B25" s="2" t="e">
        <f t="shared" si="0"/>
        <v>#REF!</v>
      </c>
      <c r="C25" s="2" t="e">
        <f t="shared" si="1"/>
        <v>#REF!</v>
      </c>
      <c r="D25" s="40" t="e">
        <f t="shared" si="2"/>
        <v>#REF!</v>
      </c>
      <c r="E25" s="255" t="e">
        <f t="shared" si="11"/>
        <v>#REF!</v>
      </c>
      <c r="F25" s="213" t="e">
        <f t="shared" si="12"/>
        <v>#REF!</v>
      </c>
      <c r="G25" s="224" t="e">
        <f t="shared" si="4"/>
        <v>#REF!</v>
      </c>
      <c r="H25" s="213" t="e">
        <f t="shared" si="5"/>
        <v>#REF!</v>
      </c>
      <c r="I25" s="224" t="e">
        <f t="shared" si="6"/>
        <v>#REF!</v>
      </c>
      <c r="J25" s="213" t="e">
        <f t="shared" si="7"/>
        <v>#REF!</v>
      </c>
      <c r="K25" s="53" t="e">
        <f t="shared" si="8"/>
        <v>#REF!</v>
      </c>
      <c r="L25" s="53" t="e">
        <f t="shared" si="13"/>
        <v>#REF!</v>
      </c>
      <c r="M25" s="224" t="e">
        <f t="shared" si="9"/>
        <v>#REF!</v>
      </c>
      <c r="N25" s="224" t="e">
        <f t="shared" si="10"/>
        <v>#REF!</v>
      </c>
      <c r="O25" s="53"/>
    </row>
    <row r="26" spans="1:15" x14ac:dyDescent="0.2">
      <c r="A26" s="39" t="s">
        <v>77</v>
      </c>
      <c r="B26" s="2" t="e">
        <f t="shared" si="0"/>
        <v>#REF!</v>
      </c>
      <c r="C26" s="2" t="e">
        <f t="shared" si="1"/>
        <v>#REF!</v>
      </c>
      <c r="D26" s="40" t="e">
        <f t="shared" si="2"/>
        <v>#REF!</v>
      </c>
      <c r="E26" s="255" t="e">
        <f t="shared" si="11"/>
        <v>#REF!</v>
      </c>
      <c r="F26" s="213" t="e">
        <f t="shared" si="12"/>
        <v>#REF!</v>
      </c>
      <c r="G26" s="224" t="e">
        <f t="shared" si="4"/>
        <v>#REF!</v>
      </c>
      <c r="H26" s="213" t="e">
        <f t="shared" si="5"/>
        <v>#REF!</v>
      </c>
      <c r="I26" s="224" t="e">
        <f t="shared" si="6"/>
        <v>#REF!</v>
      </c>
      <c r="J26" s="213" t="e">
        <f t="shared" si="7"/>
        <v>#REF!</v>
      </c>
      <c r="K26" s="53" t="e">
        <f t="shared" si="8"/>
        <v>#REF!</v>
      </c>
      <c r="L26" s="53" t="e">
        <f t="shared" si="13"/>
        <v>#REF!</v>
      </c>
      <c r="M26" s="224" t="e">
        <f t="shared" si="9"/>
        <v>#REF!</v>
      </c>
      <c r="N26" s="224" t="e">
        <f t="shared" si="10"/>
        <v>#REF!</v>
      </c>
      <c r="O26" s="53"/>
    </row>
    <row r="27" spans="1:15" x14ac:dyDescent="0.2">
      <c r="A27" s="39" t="s">
        <v>78</v>
      </c>
      <c r="B27" s="2" t="e">
        <f t="shared" si="0"/>
        <v>#REF!</v>
      </c>
      <c r="C27" s="2" t="e">
        <f t="shared" si="1"/>
        <v>#REF!</v>
      </c>
      <c r="D27" s="40" t="e">
        <f t="shared" si="2"/>
        <v>#REF!</v>
      </c>
      <c r="E27" s="255" t="e">
        <f t="shared" si="11"/>
        <v>#REF!</v>
      </c>
      <c r="F27" s="213" t="e">
        <f t="shared" si="12"/>
        <v>#REF!</v>
      </c>
      <c r="G27" s="224" t="e">
        <f t="shared" si="4"/>
        <v>#REF!</v>
      </c>
      <c r="H27" s="213" t="e">
        <f t="shared" si="5"/>
        <v>#REF!</v>
      </c>
      <c r="I27" s="224" t="e">
        <f t="shared" si="6"/>
        <v>#REF!</v>
      </c>
      <c r="J27" s="213" t="e">
        <f t="shared" si="7"/>
        <v>#REF!</v>
      </c>
      <c r="K27" s="53" t="e">
        <f t="shared" si="8"/>
        <v>#REF!</v>
      </c>
      <c r="L27" s="53" t="e">
        <f t="shared" si="13"/>
        <v>#REF!</v>
      </c>
      <c r="M27" s="224" t="e">
        <f t="shared" si="9"/>
        <v>#REF!</v>
      </c>
      <c r="N27" s="224" t="e">
        <f t="shared" si="10"/>
        <v>#REF!</v>
      </c>
      <c r="O27" s="53"/>
    </row>
    <row r="28" spans="1:15" x14ac:dyDescent="0.2">
      <c r="A28" s="39" t="s">
        <v>79</v>
      </c>
      <c r="B28" s="2" t="e">
        <f t="shared" si="0"/>
        <v>#REF!</v>
      </c>
      <c r="C28" s="2" t="e">
        <f t="shared" si="1"/>
        <v>#REF!</v>
      </c>
      <c r="D28" s="40" t="e">
        <f t="shared" si="2"/>
        <v>#REF!</v>
      </c>
      <c r="E28" s="255" t="e">
        <f t="shared" si="11"/>
        <v>#REF!</v>
      </c>
      <c r="F28" s="213" t="e">
        <f t="shared" si="12"/>
        <v>#REF!</v>
      </c>
      <c r="G28" s="224" t="e">
        <f t="shared" si="4"/>
        <v>#REF!</v>
      </c>
      <c r="H28" s="213" t="e">
        <f t="shared" si="5"/>
        <v>#REF!</v>
      </c>
      <c r="I28" s="224" t="e">
        <f t="shared" si="6"/>
        <v>#REF!</v>
      </c>
      <c r="J28" s="213" t="e">
        <f t="shared" si="7"/>
        <v>#REF!</v>
      </c>
      <c r="K28" s="53" t="e">
        <f t="shared" si="8"/>
        <v>#REF!</v>
      </c>
      <c r="L28" s="53" t="e">
        <f t="shared" si="13"/>
        <v>#REF!</v>
      </c>
      <c r="M28" s="224" t="e">
        <f t="shared" si="9"/>
        <v>#REF!</v>
      </c>
      <c r="N28" s="224" t="e">
        <f t="shared" si="10"/>
        <v>#REF!</v>
      </c>
      <c r="O28" s="53"/>
    </row>
    <row r="29" spans="1:15" x14ac:dyDescent="0.2">
      <c r="A29" s="39" t="s">
        <v>80</v>
      </c>
      <c r="B29" s="2" t="e">
        <f t="shared" si="0"/>
        <v>#REF!</v>
      </c>
      <c r="C29" s="2" t="e">
        <f t="shared" si="1"/>
        <v>#REF!</v>
      </c>
      <c r="D29" s="40" t="e">
        <f t="shared" si="2"/>
        <v>#REF!</v>
      </c>
      <c r="E29" s="255" t="e">
        <f t="shared" si="11"/>
        <v>#REF!</v>
      </c>
      <c r="F29" s="213" t="e">
        <f t="shared" si="12"/>
        <v>#REF!</v>
      </c>
      <c r="G29" s="224" t="e">
        <f t="shared" si="4"/>
        <v>#REF!</v>
      </c>
      <c r="H29" s="213" t="e">
        <f t="shared" si="5"/>
        <v>#REF!</v>
      </c>
      <c r="I29" s="224" t="e">
        <f t="shared" si="6"/>
        <v>#REF!</v>
      </c>
      <c r="J29" s="213" t="e">
        <f t="shared" si="7"/>
        <v>#REF!</v>
      </c>
      <c r="K29" s="53" t="e">
        <f t="shared" si="8"/>
        <v>#REF!</v>
      </c>
      <c r="L29" s="53" t="e">
        <f t="shared" si="13"/>
        <v>#REF!</v>
      </c>
      <c r="M29" s="224" t="e">
        <f t="shared" si="9"/>
        <v>#REF!</v>
      </c>
      <c r="N29" s="224" t="e">
        <f t="shared" si="10"/>
        <v>#REF!</v>
      </c>
      <c r="O29" s="53"/>
    </row>
    <row r="30" spans="1:15" x14ac:dyDescent="0.2">
      <c r="A30" s="39" t="s">
        <v>81</v>
      </c>
      <c r="B30" s="2" t="e">
        <f t="shared" si="0"/>
        <v>#REF!</v>
      </c>
      <c r="C30" s="2" t="e">
        <f t="shared" si="1"/>
        <v>#REF!</v>
      </c>
      <c r="D30" s="40" t="e">
        <f t="shared" si="2"/>
        <v>#REF!</v>
      </c>
      <c r="E30" s="255" t="e">
        <f t="shared" si="11"/>
        <v>#REF!</v>
      </c>
      <c r="F30" s="213" t="e">
        <f t="shared" si="12"/>
        <v>#REF!</v>
      </c>
      <c r="G30" s="224" t="e">
        <f t="shared" si="4"/>
        <v>#REF!</v>
      </c>
      <c r="H30" s="213" t="e">
        <f t="shared" si="5"/>
        <v>#REF!</v>
      </c>
      <c r="I30" s="224" t="e">
        <f t="shared" si="6"/>
        <v>#REF!</v>
      </c>
      <c r="J30" s="213" t="e">
        <f t="shared" si="7"/>
        <v>#REF!</v>
      </c>
      <c r="K30" s="53" t="e">
        <f t="shared" si="8"/>
        <v>#REF!</v>
      </c>
      <c r="L30" s="53" t="e">
        <f t="shared" si="13"/>
        <v>#REF!</v>
      </c>
      <c r="M30" s="224" t="e">
        <f t="shared" si="9"/>
        <v>#REF!</v>
      </c>
      <c r="N30" s="224" t="e">
        <f t="shared" si="10"/>
        <v>#REF!</v>
      </c>
      <c r="O30" s="53"/>
    </row>
    <row r="31" spans="1:15" x14ac:dyDescent="0.2">
      <c r="A31" s="39" t="s">
        <v>82</v>
      </c>
      <c r="B31" s="2" t="e">
        <f t="shared" si="0"/>
        <v>#REF!</v>
      </c>
      <c r="C31" s="2" t="e">
        <f t="shared" si="1"/>
        <v>#REF!</v>
      </c>
      <c r="D31" s="40" t="e">
        <f t="shared" si="2"/>
        <v>#REF!</v>
      </c>
      <c r="E31" s="255" t="e">
        <f t="shared" si="11"/>
        <v>#REF!</v>
      </c>
      <c r="F31" s="213" t="e">
        <f t="shared" si="12"/>
        <v>#REF!</v>
      </c>
      <c r="G31" s="224" t="e">
        <f t="shared" si="4"/>
        <v>#REF!</v>
      </c>
      <c r="H31" s="213" t="e">
        <f t="shared" si="5"/>
        <v>#REF!</v>
      </c>
      <c r="I31" s="224" t="e">
        <f t="shared" si="6"/>
        <v>#REF!</v>
      </c>
      <c r="J31" s="213" t="e">
        <f t="shared" si="7"/>
        <v>#REF!</v>
      </c>
      <c r="K31" s="53" t="e">
        <f t="shared" si="8"/>
        <v>#REF!</v>
      </c>
      <c r="L31" s="53" t="e">
        <f t="shared" si="13"/>
        <v>#REF!</v>
      </c>
      <c r="M31" s="224" t="e">
        <f t="shared" si="9"/>
        <v>#REF!</v>
      </c>
      <c r="N31" s="224" t="e">
        <f t="shared" si="10"/>
        <v>#REF!</v>
      </c>
      <c r="O31" s="53"/>
    </row>
    <row r="32" spans="1:15" x14ac:dyDescent="0.2">
      <c r="A32" s="39" t="s">
        <v>83</v>
      </c>
      <c r="B32" s="2" t="e">
        <f t="shared" si="0"/>
        <v>#REF!</v>
      </c>
      <c r="C32" s="2" t="e">
        <f t="shared" si="1"/>
        <v>#REF!</v>
      </c>
      <c r="D32" s="40" t="e">
        <f t="shared" si="2"/>
        <v>#REF!</v>
      </c>
      <c r="E32" s="255" t="e">
        <f t="shared" si="11"/>
        <v>#REF!</v>
      </c>
      <c r="F32" s="213" t="e">
        <f t="shared" si="12"/>
        <v>#REF!</v>
      </c>
      <c r="G32" s="224" t="e">
        <f t="shared" si="4"/>
        <v>#REF!</v>
      </c>
      <c r="H32" s="213" t="e">
        <f t="shared" si="5"/>
        <v>#REF!</v>
      </c>
      <c r="I32" s="224" t="e">
        <f t="shared" si="6"/>
        <v>#REF!</v>
      </c>
      <c r="J32" s="213" t="e">
        <f t="shared" si="7"/>
        <v>#REF!</v>
      </c>
      <c r="K32" s="53" t="e">
        <f t="shared" si="8"/>
        <v>#REF!</v>
      </c>
      <c r="L32" s="53" t="e">
        <f t="shared" si="13"/>
        <v>#REF!</v>
      </c>
      <c r="M32" s="224" t="e">
        <f t="shared" si="9"/>
        <v>#REF!</v>
      </c>
      <c r="N32" s="224" t="e">
        <f t="shared" si="10"/>
        <v>#REF!</v>
      </c>
      <c r="O32" s="53"/>
    </row>
    <row r="33" spans="1:15" x14ac:dyDescent="0.2">
      <c r="A33" s="39" t="s">
        <v>84</v>
      </c>
      <c r="B33" s="2" t="e">
        <f t="shared" si="0"/>
        <v>#REF!</v>
      </c>
      <c r="C33" s="2" t="e">
        <f t="shared" si="1"/>
        <v>#REF!</v>
      </c>
      <c r="D33" s="40" t="e">
        <f t="shared" si="2"/>
        <v>#REF!</v>
      </c>
      <c r="E33" s="255" t="e">
        <f t="shared" si="11"/>
        <v>#REF!</v>
      </c>
      <c r="F33" s="213" t="e">
        <f t="shared" si="12"/>
        <v>#REF!</v>
      </c>
      <c r="G33" s="224" t="e">
        <f t="shared" si="4"/>
        <v>#REF!</v>
      </c>
      <c r="H33" s="213" t="e">
        <f t="shared" si="5"/>
        <v>#REF!</v>
      </c>
      <c r="I33" s="224" t="e">
        <f t="shared" si="6"/>
        <v>#REF!</v>
      </c>
      <c r="J33" s="213" t="e">
        <f t="shared" si="7"/>
        <v>#REF!</v>
      </c>
      <c r="K33" s="53" t="e">
        <f t="shared" si="8"/>
        <v>#REF!</v>
      </c>
      <c r="L33" s="53" t="e">
        <f t="shared" si="13"/>
        <v>#REF!</v>
      </c>
      <c r="M33" s="224" t="e">
        <f t="shared" si="9"/>
        <v>#REF!</v>
      </c>
      <c r="N33" s="224" t="e">
        <f t="shared" si="10"/>
        <v>#REF!</v>
      </c>
      <c r="O33" s="53"/>
    </row>
    <row r="34" spans="1:15" x14ac:dyDescent="0.2">
      <c r="A34" s="39" t="s">
        <v>85</v>
      </c>
      <c r="B34" s="2" t="e">
        <f t="shared" si="0"/>
        <v>#REF!</v>
      </c>
      <c r="C34" s="2" t="e">
        <f t="shared" si="1"/>
        <v>#REF!</v>
      </c>
      <c r="D34" s="40" t="e">
        <f t="shared" si="2"/>
        <v>#REF!</v>
      </c>
      <c r="E34" s="255" t="e">
        <f t="shared" si="11"/>
        <v>#REF!</v>
      </c>
      <c r="F34" s="213" t="e">
        <f t="shared" si="12"/>
        <v>#REF!</v>
      </c>
      <c r="G34" s="224" t="e">
        <f t="shared" si="4"/>
        <v>#REF!</v>
      </c>
      <c r="H34" s="213" t="e">
        <f t="shared" si="5"/>
        <v>#REF!</v>
      </c>
      <c r="I34" s="224" t="e">
        <f t="shared" si="6"/>
        <v>#REF!</v>
      </c>
      <c r="J34" s="213" t="e">
        <f t="shared" si="7"/>
        <v>#REF!</v>
      </c>
      <c r="K34" s="53" t="e">
        <f t="shared" si="8"/>
        <v>#REF!</v>
      </c>
      <c r="L34" s="53" t="e">
        <f t="shared" si="13"/>
        <v>#REF!</v>
      </c>
      <c r="M34" s="224" t="e">
        <f t="shared" si="9"/>
        <v>#REF!</v>
      </c>
      <c r="N34" s="224" t="e">
        <f t="shared" si="10"/>
        <v>#REF!</v>
      </c>
      <c r="O34" s="53"/>
    </row>
    <row r="35" spans="1:15" x14ac:dyDescent="0.2">
      <c r="A35" s="39" t="s">
        <v>86</v>
      </c>
      <c r="B35" s="2" t="e">
        <f t="shared" si="0"/>
        <v>#REF!</v>
      </c>
      <c r="C35" s="2" t="e">
        <f t="shared" si="1"/>
        <v>#REF!</v>
      </c>
      <c r="D35" s="40" t="e">
        <f t="shared" si="2"/>
        <v>#REF!</v>
      </c>
      <c r="E35" s="255" t="e">
        <f t="shared" si="11"/>
        <v>#REF!</v>
      </c>
      <c r="F35" s="213" t="e">
        <f t="shared" si="12"/>
        <v>#REF!</v>
      </c>
      <c r="G35" s="224" t="e">
        <f t="shared" si="4"/>
        <v>#REF!</v>
      </c>
      <c r="H35" s="213" t="e">
        <f t="shared" si="5"/>
        <v>#REF!</v>
      </c>
      <c r="I35" s="224" t="e">
        <f t="shared" si="6"/>
        <v>#REF!</v>
      </c>
      <c r="J35" s="213" t="e">
        <f t="shared" si="7"/>
        <v>#REF!</v>
      </c>
      <c r="K35" s="53" t="e">
        <f t="shared" si="8"/>
        <v>#REF!</v>
      </c>
      <c r="L35" s="53" t="e">
        <f t="shared" si="13"/>
        <v>#REF!</v>
      </c>
      <c r="M35" s="224" t="e">
        <f t="shared" si="9"/>
        <v>#REF!</v>
      </c>
      <c r="N35" s="224" t="e">
        <f t="shared" si="10"/>
        <v>#REF!</v>
      </c>
      <c r="O35" s="53"/>
    </row>
    <row r="36" spans="1:15" x14ac:dyDescent="0.2">
      <c r="A36" s="39" t="s">
        <v>87</v>
      </c>
      <c r="B36" s="2" t="e">
        <f t="shared" si="0"/>
        <v>#REF!</v>
      </c>
      <c r="C36" s="2" t="e">
        <f t="shared" si="1"/>
        <v>#REF!</v>
      </c>
      <c r="D36" s="40" t="e">
        <f t="shared" si="2"/>
        <v>#REF!</v>
      </c>
      <c r="E36" s="255" t="e">
        <f t="shared" si="11"/>
        <v>#REF!</v>
      </c>
      <c r="F36" s="213" t="e">
        <f t="shared" si="12"/>
        <v>#REF!</v>
      </c>
      <c r="G36" s="224" t="e">
        <f t="shared" si="4"/>
        <v>#REF!</v>
      </c>
      <c r="H36" s="213" t="e">
        <f t="shared" si="5"/>
        <v>#REF!</v>
      </c>
      <c r="I36" s="224" t="e">
        <f t="shared" si="6"/>
        <v>#REF!</v>
      </c>
      <c r="J36" s="213" t="e">
        <f t="shared" si="7"/>
        <v>#REF!</v>
      </c>
      <c r="K36" s="53" t="e">
        <f t="shared" si="8"/>
        <v>#REF!</v>
      </c>
      <c r="L36" s="53" t="e">
        <f t="shared" si="13"/>
        <v>#REF!</v>
      </c>
      <c r="M36" s="224" t="e">
        <f t="shared" si="9"/>
        <v>#REF!</v>
      </c>
      <c r="N36" s="224" t="e">
        <f t="shared" si="10"/>
        <v>#REF!</v>
      </c>
      <c r="O36" s="53"/>
    </row>
    <row r="37" spans="1:15" x14ac:dyDescent="0.2">
      <c r="A37" s="39" t="s">
        <v>88</v>
      </c>
      <c r="B37" s="2" t="e">
        <f t="shared" si="0"/>
        <v>#REF!</v>
      </c>
      <c r="C37" s="2" t="e">
        <f t="shared" si="1"/>
        <v>#REF!</v>
      </c>
      <c r="D37" s="40" t="e">
        <f t="shared" si="2"/>
        <v>#REF!</v>
      </c>
      <c r="E37" s="255" t="e">
        <f t="shared" si="11"/>
        <v>#REF!</v>
      </c>
      <c r="F37" s="213" t="e">
        <f t="shared" si="12"/>
        <v>#REF!</v>
      </c>
      <c r="G37" s="224" t="e">
        <f t="shared" si="4"/>
        <v>#REF!</v>
      </c>
      <c r="H37" s="213" t="e">
        <f t="shared" si="5"/>
        <v>#REF!</v>
      </c>
      <c r="I37" s="224" t="e">
        <f t="shared" si="6"/>
        <v>#REF!</v>
      </c>
      <c r="J37" s="213" t="e">
        <f t="shared" si="7"/>
        <v>#REF!</v>
      </c>
      <c r="K37" s="53" t="e">
        <f t="shared" si="8"/>
        <v>#REF!</v>
      </c>
      <c r="L37" s="53" t="e">
        <f t="shared" si="13"/>
        <v>#REF!</v>
      </c>
      <c r="M37" s="224" t="e">
        <f t="shared" si="9"/>
        <v>#REF!</v>
      </c>
      <c r="N37" s="224" t="e">
        <f t="shared" si="10"/>
        <v>#REF!</v>
      </c>
      <c r="O37" s="53"/>
    </row>
    <row r="38" spans="1:15" x14ac:dyDescent="0.2">
      <c r="A38" s="39" t="s">
        <v>89</v>
      </c>
      <c r="B38" s="2" t="e">
        <f t="shared" ref="B38:B69" si="14">INDEX(Crop_data,MATCH(A38,Crop_data_codes,0),2)</f>
        <v>#REF!</v>
      </c>
      <c r="C38" s="2" t="e">
        <f t="shared" ref="C38:C69" si="15">INDEX(Crop_data,MATCH(A38,Crop_data_codes,0),3)</f>
        <v>#REF!</v>
      </c>
      <c r="D38" s="40" t="e">
        <f t="shared" ref="D38:D69" si="16">INDEX(Crop_data,MATCH(A38,Crop_data_codes,0),4)</f>
        <v>#REF!</v>
      </c>
      <c r="E38" s="255" t="e">
        <f t="shared" si="11"/>
        <v>#REF!</v>
      </c>
      <c r="F38" s="213" t="e">
        <f t="shared" ref="F38:F69" si="17">IF(D38="YES",INDEX(CO2_data,MATCH(A38,CO2_codes,0),2)+INDEX(CH4_data,MATCH(A38,CH4_codes,0),2)*CF_fossil_CH4+INDEX(CH4_bio_data,MATCH(A38,CH4_bio_codes,0),2)*CF_biog_CH4+INDEX(N2O_data,MATCH(A38,N2O_codes,0),2)*CF_N2O,"")</f>
        <v>#REF!</v>
      </c>
      <c r="G38" s="224" t="e">
        <f t="shared" ref="G38:G69" si="18">IF(D38="YES",INDEX(CO2_data,MATCH(A38,CO2_codes,0),3)+INDEX(CH4_data,MATCH(A38,CH4_codes,0),3)*CF_fossil_CH4+INDEX(CH4_bio_data,MATCH(A38,CH4_bio_codes,0),3)*CF_biog_CH4+INDEX(N2O_data,MATCH(A38,N2O_codes,0),3)*CF_N2O,"")</f>
        <v>#REF!</v>
      </c>
      <c r="H38" s="213" t="e">
        <f t="shared" ref="H38:H69" si="19">IF(D38="YES",INDEX(CO2_data,MATCH(A38,CO2_codes,0),4)+INDEX(CH4_data,MATCH(A38,CH4_codes,0),4)*CF_fossil_CH4+INDEX(CH4_bio_data,MATCH(A38,CH4_bio_codes,0),4)*CF_biog_CH4+INDEX(N2O_data,MATCH(A38,N2O_codes,0),4)*CF_N2O,"")</f>
        <v>#REF!</v>
      </c>
      <c r="I38" s="224" t="e">
        <f t="shared" ref="I38:I69" si="20">IF(D38="YES",INDEX(CO2_data,MATCH(A38,CO2_codes,0),5)+INDEX(CH4_data,MATCH(A38,CH4_codes,0),5)*CF_fossil_CH4+INDEX(CH4_bio_data,MATCH(A38,CH4_bio_codes,0),5)*CF_biog_CH4+INDEX(N2O_data,MATCH(A38,N2O_codes,0),5)*CF_N2O,"")</f>
        <v>#REF!</v>
      </c>
      <c r="J38" s="213" t="e">
        <f t="shared" ref="J38:J69" si="21">IF(D38="YES",INDEX(CO2_data,MATCH(A38,CO2_codes,0),6)+INDEX(CH4_data,MATCH(A38,CH4_codes,0),6)*CF_fossil_CH4+INDEX(CH4_bio_data,MATCH(A38,CH4_bio_codes,0),6)*CF_biog_CH4+INDEX(N2O_data,MATCH(A38,N2O_codes,0),6)*CF_N2O,"")</f>
        <v>#REF!</v>
      </c>
      <c r="K38" s="53" t="e">
        <f t="shared" ref="K38:K69" si="22">IF(D38="YES",INDEX(CO2_data,MATCH(A38,CO2_codes,0),7)+INDEX(CH4_data,MATCH(A38,CH4_codes,0),7)*CF_fossil_CH4+INDEX(CH4_bio_data,MATCH(A38,CH4_bio_codes,0),7)*CF_biog_CH4+INDEX(N2O_data,MATCH(A38,N2O_codes,0),7)*CF_N2O,"")</f>
        <v>#REF!</v>
      </c>
      <c r="L38" s="53" t="e">
        <f t="shared" ref="L38:L69" si="23">IF(D38="YES",INDEX(CO2_data,MATCH(A38,CO2_codes,0),8)+INDEX(CH4_data,MATCH(A38,CH4_codes,0),8)*CF_fossil_CH4+INDEX(CH4_bio_data,MATCH(A38,CH4_bio_codes,0),8)*CF_biog_CH4+INDEX(N2O_data,MATCH(A38,N2O_codes,0),8)*CF_N2O,"")</f>
        <v>#REF!</v>
      </c>
      <c r="M38" s="224" t="e">
        <f t="shared" ref="M38:M69" si="24">IF(D38="YES",INDEX(CO2_data,MATCH(A38,CO2_codes,0),9)+INDEX(CH4_data,MATCH(A38,CH4_codes,0),9)*CF_fossil_CH4+INDEX(CH4_bio_data,MATCH(A38,CH4_bio_codes,0),9)*CF_biog_CH4+INDEX(N2O_data,MATCH(A38,N2O_codes,0),9)*CF_N2O,"")</f>
        <v>#REF!</v>
      </c>
      <c r="N38" s="224" t="e">
        <f t="shared" ref="N38:N69" si="25">IF(D38="YES",INDEX(CO2_data,MATCH(A38,CO2_codes,0),10)+INDEX(CH4_data,MATCH(A38,CH4_codes,0),10)*CF_fossil_CH4+INDEX(CH4_bio_data,MATCH(A38,CH4_bio_codes,0),10)*CF_biog_CH4+INDEX(N2O_data,MATCH(A38,N2O_codes,0),10)*CF_N2O,"")</f>
        <v>#REF!</v>
      </c>
      <c r="O38" s="53"/>
    </row>
    <row r="39" spans="1:15" x14ac:dyDescent="0.2">
      <c r="A39" s="39" t="s">
        <v>90</v>
      </c>
      <c r="B39" s="2" t="e">
        <f t="shared" si="14"/>
        <v>#REF!</v>
      </c>
      <c r="C39" s="2" t="e">
        <f t="shared" si="15"/>
        <v>#REF!</v>
      </c>
      <c r="D39" s="40" t="e">
        <f t="shared" si="16"/>
        <v>#REF!</v>
      </c>
      <c r="E39" s="255" t="e">
        <f t="shared" si="11"/>
        <v>#REF!</v>
      </c>
      <c r="F39" s="213" t="e">
        <f t="shared" si="17"/>
        <v>#REF!</v>
      </c>
      <c r="G39" s="224" t="e">
        <f t="shared" si="18"/>
        <v>#REF!</v>
      </c>
      <c r="H39" s="213" t="e">
        <f t="shared" si="19"/>
        <v>#REF!</v>
      </c>
      <c r="I39" s="224" t="e">
        <f t="shared" si="20"/>
        <v>#REF!</v>
      </c>
      <c r="J39" s="213" t="e">
        <f t="shared" si="21"/>
        <v>#REF!</v>
      </c>
      <c r="K39" s="53" t="e">
        <f t="shared" si="22"/>
        <v>#REF!</v>
      </c>
      <c r="L39" s="53" t="e">
        <f t="shared" si="23"/>
        <v>#REF!</v>
      </c>
      <c r="M39" s="224" t="e">
        <f t="shared" si="24"/>
        <v>#REF!</v>
      </c>
      <c r="N39" s="224" t="e">
        <f t="shared" si="25"/>
        <v>#REF!</v>
      </c>
      <c r="O39" s="53"/>
    </row>
    <row r="40" spans="1:15" x14ac:dyDescent="0.2">
      <c r="A40" s="39" t="s">
        <v>91</v>
      </c>
      <c r="B40" s="2" t="e">
        <f t="shared" si="14"/>
        <v>#REF!</v>
      </c>
      <c r="C40" s="2" t="e">
        <f t="shared" si="15"/>
        <v>#REF!</v>
      </c>
      <c r="D40" s="40" t="e">
        <f t="shared" si="16"/>
        <v>#REF!</v>
      </c>
      <c r="E40" s="255" t="e">
        <f t="shared" si="11"/>
        <v>#REF!</v>
      </c>
      <c r="F40" s="213" t="e">
        <f t="shared" si="17"/>
        <v>#REF!</v>
      </c>
      <c r="G40" s="224" t="e">
        <f t="shared" si="18"/>
        <v>#REF!</v>
      </c>
      <c r="H40" s="213" t="e">
        <f t="shared" si="19"/>
        <v>#REF!</v>
      </c>
      <c r="I40" s="224" t="e">
        <f t="shared" si="20"/>
        <v>#REF!</v>
      </c>
      <c r="J40" s="213" t="e">
        <f t="shared" si="21"/>
        <v>#REF!</v>
      </c>
      <c r="K40" s="53" t="e">
        <f t="shared" si="22"/>
        <v>#REF!</v>
      </c>
      <c r="L40" s="53" t="e">
        <f t="shared" si="23"/>
        <v>#REF!</v>
      </c>
      <c r="M40" s="224" t="e">
        <f t="shared" si="24"/>
        <v>#REF!</v>
      </c>
      <c r="N40" s="224" t="e">
        <f t="shared" si="25"/>
        <v>#REF!</v>
      </c>
      <c r="O40" s="53"/>
    </row>
    <row r="41" spans="1:15" x14ac:dyDescent="0.2">
      <c r="A41" s="39" t="s">
        <v>92</v>
      </c>
      <c r="B41" s="2" t="e">
        <f t="shared" si="14"/>
        <v>#REF!</v>
      </c>
      <c r="C41" s="2" t="e">
        <f t="shared" si="15"/>
        <v>#REF!</v>
      </c>
      <c r="D41" s="40" t="e">
        <f t="shared" si="16"/>
        <v>#REF!</v>
      </c>
      <c r="E41" s="255" t="e">
        <f t="shared" si="11"/>
        <v>#REF!</v>
      </c>
      <c r="F41" s="213" t="e">
        <f t="shared" si="17"/>
        <v>#REF!</v>
      </c>
      <c r="G41" s="224" t="e">
        <f t="shared" si="18"/>
        <v>#REF!</v>
      </c>
      <c r="H41" s="213" t="e">
        <f t="shared" si="19"/>
        <v>#REF!</v>
      </c>
      <c r="I41" s="224" t="e">
        <f t="shared" si="20"/>
        <v>#REF!</v>
      </c>
      <c r="J41" s="213" t="e">
        <f t="shared" si="21"/>
        <v>#REF!</v>
      </c>
      <c r="K41" s="53" t="e">
        <f t="shared" si="22"/>
        <v>#REF!</v>
      </c>
      <c r="L41" s="53" t="e">
        <f t="shared" si="23"/>
        <v>#REF!</v>
      </c>
      <c r="M41" s="224" t="e">
        <f t="shared" si="24"/>
        <v>#REF!</v>
      </c>
      <c r="N41" s="224" t="e">
        <f t="shared" si="25"/>
        <v>#REF!</v>
      </c>
      <c r="O41" s="53"/>
    </row>
    <row r="42" spans="1:15" x14ac:dyDescent="0.2">
      <c r="A42" s="39" t="s">
        <v>93</v>
      </c>
      <c r="B42" s="2" t="e">
        <f t="shared" si="14"/>
        <v>#REF!</v>
      </c>
      <c r="C42" s="2" t="e">
        <f t="shared" si="15"/>
        <v>#REF!</v>
      </c>
      <c r="D42" s="40" t="e">
        <f t="shared" si="16"/>
        <v>#REF!</v>
      </c>
      <c r="E42" s="255" t="e">
        <f t="shared" si="11"/>
        <v>#REF!</v>
      </c>
      <c r="F42" s="213" t="e">
        <f t="shared" si="17"/>
        <v>#REF!</v>
      </c>
      <c r="G42" s="224" t="e">
        <f t="shared" si="18"/>
        <v>#REF!</v>
      </c>
      <c r="H42" s="213" t="e">
        <f t="shared" si="19"/>
        <v>#REF!</v>
      </c>
      <c r="I42" s="224" t="e">
        <f t="shared" si="20"/>
        <v>#REF!</v>
      </c>
      <c r="J42" s="213" t="e">
        <f t="shared" si="21"/>
        <v>#REF!</v>
      </c>
      <c r="K42" s="53" t="e">
        <f t="shared" si="22"/>
        <v>#REF!</v>
      </c>
      <c r="L42" s="53" t="e">
        <f t="shared" si="23"/>
        <v>#REF!</v>
      </c>
      <c r="M42" s="224" t="e">
        <f t="shared" si="24"/>
        <v>#REF!</v>
      </c>
      <c r="N42" s="224" t="e">
        <f t="shared" si="25"/>
        <v>#REF!</v>
      </c>
      <c r="O42" s="53"/>
    </row>
    <row r="43" spans="1:15" x14ac:dyDescent="0.2">
      <c r="A43" s="39" t="s">
        <v>94</v>
      </c>
      <c r="B43" s="2" t="e">
        <f t="shared" si="14"/>
        <v>#REF!</v>
      </c>
      <c r="C43" s="2" t="e">
        <f t="shared" si="15"/>
        <v>#REF!</v>
      </c>
      <c r="D43" s="40" t="e">
        <f t="shared" si="16"/>
        <v>#REF!</v>
      </c>
      <c r="E43" s="255" t="e">
        <f t="shared" si="11"/>
        <v>#REF!</v>
      </c>
      <c r="F43" s="213" t="e">
        <f t="shared" si="17"/>
        <v>#REF!</v>
      </c>
      <c r="G43" s="224" t="e">
        <f t="shared" si="18"/>
        <v>#REF!</v>
      </c>
      <c r="H43" s="213" t="e">
        <f t="shared" si="19"/>
        <v>#REF!</v>
      </c>
      <c r="I43" s="224" t="e">
        <f t="shared" si="20"/>
        <v>#REF!</v>
      </c>
      <c r="J43" s="213" t="e">
        <f t="shared" si="21"/>
        <v>#REF!</v>
      </c>
      <c r="K43" s="53" t="e">
        <f t="shared" si="22"/>
        <v>#REF!</v>
      </c>
      <c r="L43" s="53" t="e">
        <f t="shared" si="23"/>
        <v>#REF!</v>
      </c>
      <c r="M43" s="224" t="e">
        <f t="shared" si="24"/>
        <v>#REF!</v>
      </c>
      <c r="N43" s="224" t="e">
        <f t="shared" si="25"/>
        <v>#REF!</v>
      </c>
      <c r="O43" s="53"/>
    </row>
    <row r="44" spans="1:15" x14ac:dyDescent="0.2">
      <c r="A44" s="39" t="s">
        <v>95</v>
      </c>
      <c r="B44" s="2" t="e">
        <f t="shared" si="14"/>
        <v>#REF!</v>
      </c>
      <c r="C44" s="2" t="e">
        <f t="shared" si="15"/>
        <v>#REF!</v>
      </c>
      <c r="D44" s="40" t="e">
        <f t="shared" si="16"/>
        <v>#REF!</v>
      </c>
      <c r="E44" s="255" t="e">
        <f t="shared" si="11"/>
        <v>#REF!</v>
      </c>
      <c r="F44" s="213" t="e">
        <f t="shared" si="17"/>
        <v>#REF!</v>
      </c>
      <c r="G44" s="224" t="e">
        <f t="shared" si="18"/>
        <v>#REF!</v>
      </c>
      <c r="H44" s="213" t="e">
        <f t="shared" si="19"/>
        <v>#REF!</v>
      </c>
      <c r="I44" s="224" t="e">
        <f t="shared" si="20"/>
        <v>#REF!</v>
      </c>
      <c r="J44" s="213" t="e">
        <f t="shared" si="21"/>
        <v>#REF!</v>
      </c>
      <c r="K44" s="53" t="e">
        <f t="shared" si="22"/>
        <v>#REF!</v>
      </c>
      <c r="L44" s="53" t="e">
        <f t="shared" si="23"/>
        <v>#REF!</v>
      </c>
      <c r="M44" s="224" t="e">
        <f t="shared" si="24"/>
        <v>#REF!</v>
      </c>
      <c r="N44" s="224" t="e">
        <f t="shared" si="25"/>
        <v>#REF!</v>
      </c>
      <c r="O44" s="53"/>
    </row>
    <row r="45" spans="1:15" x14ac:dyDescent="0.2">
      <c r="A45" s="39" t="s">
        <v>96</v>
      </c>
      <c r="B45" s="2" t="e">
        <f t="shared" si="14"/>
        <v>#REF!</v>
      </c>
      <c r="C45" s="2" t="e">
        <f t="shared" si="15"/>
        <v>#REF!</v>
      </c>
      <c r="D45" s="40" t="e">
        <f t="shared" si="16"/>
        <v>#REF!</v>
      </c>
      <c r="E45" s="255" t="e">
        <f t="shared" si="11"/>
        <v>#REF!</v>
      </c>
      <c r="F45" s="213" t="e">
        <f t="shared" si="17"/>
        <v>#REF!</v>
      </c>
      <c r="G45" s="224" t="e">
        <f t="shared" si="18"/>
        <v>#REF!</v>
      </c>
      <c r="H45" s="213" t="e">
        <f t="shared" si="19"/>
        <v>#REF!</v>
      </c>
      <c r="I45" s="224" t="e">
        <f t="shared" si="20"/>
        <v>#REF!</v>
      </c>
      <c r="J45" s="213" t="e">
        <f t="shared" si="21"/>
        <v>#REF!</v>
      </c>
      <c r="K45" s="53" t="e">
        <f t="shared" si="22"/>
        <v>#REF!</v>
      </c>
      <c r="L45" s="53" t="e">
        <f t="shared" si="23"/>
        <v>#REF!</v>
      </c>
      <c r="M45" s="224" t="e">
        <f t="shared" si="24"/>
        <v>#REF!</v>
      </c>
      <c r="N45" s="224" t="e">
        <f t="shared" si="25"/>
        <v>#REF!</v>
      </c>
      <c r="O45" s="53"/>
    </row>
    <row r="46" spans="1:15" x14ac:dyDescent="0.2">
      <c r="A46" s="39" t="s">
        <v>97</v>
      </c>
      <c r="B46" s="2" t="e">
        <f t="shared" si="14"/>
        <v>#REF!</v>
      </c>
      <c r="C46" s="2" t="e">
        <f t="shared" si="15"/>
        <v>#REF!</v>
      </c>
      <c r="D46" s="40" t="e">
        <f t="shared" si="16"/>
        <v>#REF!</v>
      </c>
      <c r="E46" s="255" t="e">
        <f t="shared" si="11"/>
        <v>#REF!</v>
      </c>
      <c r="F46" s="213" t="e">
        <f t="shared" si="17"/>
        <v>#REF!</v>
      </c>
      <c r="G46" s="224" t="e">
        <f t="shared" si="18"/>
        <v>#REF!</v>
      </c>
      <c r="H46" s="213" t="e">
        <f t="shared" si="19"/>
        <v>#REF!</v>
      </c>
      <c r="I46" s="224" t="e">
        <f t="shared" si="20"/>
        <v>#REF!</v>
      </c>
      <c r="J46" s="213" t="e">
        <f t="shared" si="21"/>
        <v>#REF!</v>
      </c>
      <c r="K46" s="53" t="e">
        <f t="shared" si="22"/>
        <v>#REF!</v>
      </c>
      <c r="L46" s="53" t="e">
        <f t="shared" si="23"/>
        <v>#REF!</v>
      </c>
      <c r="M46" s="224" t="e">
        <f t="shared" si="24"/>
        <v>#REF!</v>
      </c>
      <c r="N46" s="224" t="e">
        <f t="shared" si="25"/>
        <v>#REF!</v>
      </c>
      <c r="O46" s="53"/>
    </row>
    <row r="47" spans="1:15" x14ac:dyDescent="0.2">
      <c r="A47" s="39" t="s">
        <v>98</v>
      </c>
      <c r="B47" s="2" t="e">
        <f t="shared" si="14"/>
        <v>#REF!</v>
      </c>
      <c r="C47" s="2" t="e">
        <f t="shared" si="15"/>
        <v>#REF!</v>
      </c>
      <c r="D47" s="40" t="e">
        <f t="shared" si="16"/>
        <v>#REF!</v>
      </c>
      <c r="E47" s="255" t="e">
        <f t="shared" si="11"/>
        <v>#REF!</v>
      </c>
      <c r="F47" s="213" t="e">
        <f t="shared" si="17"/>
        <v>#REF!</v>
      </c>
      <c r="G47" s="224" t="e">
        <f t="shared" si="18"/>
        <v>#REF!</v>
      </c>
      <c r="H47" s="213" t="e">
        <f t="shared" si="19"/>
        <v>#REF!</v>
      </c>
      <c r="I47" s="224" t="e">
        <f t="shared" si="20"/>
        <v>#REF!</v>
      </c>
      <c r="J47" s="213" t="e">
        <f t="shared" si="21"/>
        <v>#REF!</v>
      </c>
      <c r="K47" s="53" t="e">
        <f t="shared" si="22"/>
        <v>#REF!</v>
      </c>
      <c r="L47" s="53" t="e">
        <f t="shared" si="23"/>
        <v>#REF!</v>
      </c>
      <c r="M47" s="224" t="e">
        <f t="shared" si="24"/>
        <v>#REF!</v>
      </c>
      <c r="N47" s="224" t="e">
        <f t="shared" si="25"/>
        <v>#REF!</v>
      </c>
      <c r="O47" s="53"/>
    </row>
    <row r="48" spans="1:15" x14ac:dyDescent="0.2">
      <c r="A48" s="39" t="s">
        <v>99</v>
      </c>
      <c r="B48" s="2" t="e">
        <f t="shared" si="14"/>
        <v>#REF!</v>
      </c>
      <c r="C48" s="2" t="e">
        <f t="shared" si="15"/>
        <v>#REF!</v>
      </c>
      <c r="D48" s="40" t="e">
        <f t="shared" si="16"/>
        <v>#REF!</v>
      </c>
      <c r="E48" s="255" t="e">
        <f t="shared" si="11"/>
        <v>#REF!</v>
      </c>
      <c r="F48" s="213" t="e">
        <f t="shared" si="17"/>
        <v>#REF!</v>
      </c>
      <c r="G48" s="224" t="e">
        <f t="shared" si="18"/>
        <v>#REF!</v>
      </c>
      <c r="H48" s="213" t="e">
        <f t="shared" si="19"/>
        <v>#REF!</v>
      </c>
      <c r="I48" s="224" t="e">
        <f t="shared" si="20"/>
        <v>#REF!</v>
      </c>
      <c r="J48" s="213" t="e">
        <f t="shared" si="21"/>
        <v>#REF!</v>
      </c>
      <c r="K48" s="53" t="e">
        <f t="shared" si="22"/>
        <v>#REF!</v>
      </c>
      <c r="L48" s="53" t="e">
        <f t="shared" si="23"/>
        <v>#REF!</v>
      </c>
      <c r="M48" s="224" t="e">
        <f t="shared" si="24"/>
        <v>#REF!</v>
      </c>
      <c r="N48" s="224" t="e">
        <f t="shared" si="25"/>
        <v>#REF!</v>
      </c>
      <c r="O48" s="53"/>
    </row>
    <row r="49" spans="1:15" x14ac:dyDescent="0.2">
      <c r="A49" s="39" t="s">
        <v>100</v>
      </c>
      <c r="B49" s="2" t="e">
        <f t="shared" si="14"/>
        <v>#REF!</v>
      </c>
      <c r="C49" s="2" t="e">
        <f t="shared" si="15"/>
        <v>#REF!</v>
      </c>
      <c r="D49" s="40" t="e">
        <f t="shared" si="16"/>
        <v>#REF!</v>
      </c>
      <c r="E49" s="255" t="e">
        <f t="shared" si="11"/>
        <v>#REF!</v>
      </c>
      <c r="F49" s="213" t="e">
        <f t="shared" si="17"/>
        <v>#REF!</v>
      </c>
      <c r="G49" s="224" t="e">
        <f t="shared" si="18"/>
        <v>#REF!</v>
      </c>
      <c r="H49" s="213" t="e">
        <f t="shared" si="19"/>
        <v>#REF!</v>
      </c>
      <c r="I49" s="224" t="e">
        <f t="shared" si="20"/>
        <v>#REF!</v>
      </c>
      <c r="J49" s="213" t="e">
        <f t="shared" si="21"/>
        <v>#REF!</v>
      </c>
      <c r="K49" s="53" t="e">
        <f t="shared" si="22"/>
        <v>#REF!</v>
      </c>
      <c r="L49" s="53" t="e">
        <f t="shared" si="23"/>
        <v>#REF!</v>
      </c>
      <c r="M49" s="224" t="e">
        <f t="shared" si="24"/>
        <v>#REF!</v>
      </c>
      <c r="N49" s="224" t="e">
        <f t="shared" si="25"/>
        <v>#REF!</v>
      </c>
      <c r="O49" s="53"/>
    </row>
    <row r="50" spans="1:15" x14ac:dyDescent="0.2">
      <c r="A50" s="39" t="s">
        <v>101</v>
      </c>
      <c r="B50" s="2" t="e">
        <f t="shared" si="14"/>
        <v>#REF!</v>
      </c>
      <c r="C50" s="2" t="e">
        <f t="shared" si="15"/>
        <v>#REF!</v>
      </c>
      <c r="D50" s="40" t="e">
        <f t="shared" si="16"/>
        <v>#REF!</v>
      </c>
      <c r="E50" s="255" t="e">
        <f t="shared" si="11"/>
        <v>#REF!</v>
      </c>
      <c r="F50" s="213" t="e">
        <f t="shared" si="17"/>
        <v>#REF!</v>
      </c>
      <c r="G50" s="224" t="e">
        <f t="shared" si="18"/>
        <v>#REF!</v>
      </c>
      <c r="H50" s="213" t="e">
        <f t="shared" si="19"/>
        <v>#REF!</v>
      </c>
      <c r="I50" s="224" t="e">
        <f t="shared" si="20"/>
        <v>#REF!</v>
      </c>
      <c r="J50" s="213" t="e">
        <f t="shared" si="21"/>
        <v>#REF!</v>
      </c>
      <c r="K50" s="53" t="e">
        <f t="shared" si="22"/>
        <v>#REF!</v>
      </c>
      <c r="L50" s="53" t="e">
        <f t="shared" si="23"/>
        <v>#REF!</v>
      </c>
      <c r="M50" s="224" t="e">
        <f t="shared" si="24"/>
        <v>#REF!</v>
      </c>
      <c r="N50" s="224" t="e">
        <f t="shared" si="25"/>
        <v>#REF!</v>
      </c>
      <c r="O50" s="53"/>
    </row>
    <row r="51" spans="1:15" x14ac:dyDescent="0.2">
      <c r="A51" s="39" t="s">
        <v>102</v>
      </c>
      <c r="B51" s="2" t="e">
        <f t="shared" si="14"/>
        <v>#REF!</v>
      </c>
      <c r="C51" s="2" t="e">
        <f t="shared" si="15"/>
        <v>#REF!</v>
      </c>
      <c r="D51" s="40" t="e">
        <f t="shared" si="16"/>
        <v>#REF!</v>
      </c>
      <c r="E51" s="255" t="e">
        <f t="shared" si="11"/>
        <v>#REF!</v>
      </c>
      <c r="F51" s="213" t="e">
        <f t="shared" si="17"/>
        <v>#REF!</v>
      </c>
      <c r="G51" s="224" t="e">
        <f t="shared" si="18"/>
        <v>#REF!</v>
      </c>
      <c r="H51" s="213" t="e">
        <f t="shared" si="19"/>
        <v>#REF!</v>
      </c>
      <c r="I51" s="224" t="e">
        <f t="shared" si="20"/>
        <v>#REF!</v>
      </c>
      <c r="J51" s="213" t="e">
        <f t="shared" si="21"/>
        <v>#REF!</v>
      </c>
      <c r="K51" s="53" t="e">
        <f t="shared" si="22"/>
        <v>#REF!</v>
      </c>
      <c r="L51" s="53" t="e">
        <f t="shared" si="23"/>
        <v>#REF!</v>
      </c>
      <c r="M51" s="224" t="e">
        <f t="shared" si="24"/>
        <v>#REF!</v>
      </c>
      <c r="N51" s="224" t="e">
        <f t="shared" si="25"/>
        <v>#REF!</v>
      </c>
      <c r="O51" s="53"/>
    </row>
    <row r="52" spans="1:15" x14ac:dyDescent="0.2">
      <c r="A52" s="39" t="s">
        <v>103</v>
      </c>
      <c r="B52" s="2" t="e">
        <f t="shared" si="14"/>
        <v>#REF!</v>
      </c>
      <c r="C52" s="2" t="e">
        <f t="shared" si="15"/>
        <v>#REF!</v>
      </c>
      <c r="D52" s="40" t="e">
        <f t="shared" si="16"/>
        <v>#REF!</v>
      </c>
      <c r="E52" s="255" t="e">
        <f t="shared" si="11"/>
        <v>#REF!</v>
      </c>
      <c r="F52" s="213" t="e">
        <f t="shared" si="17"/>
        <v>#REF!</v>
      </c>
      <c r="G52" s="224" t="e">
        <f t="shared" si="18"/>
        <v>#REF!</v>
      </c>
      <c r="H52" s="213" t="e">
        <f t="shared" si="19"/>
        <v>#REF!</v>
      </c>
      <c r="I52" s="224" t="e">
        <f t="shared" si="20"/>
        <v>#REF!</v>
      </c>
      <c r="J52" s="213" t="e">
        <f t="shared" si="21"/>
        <v>#REF!</v>
      </c>
      <c r="K52" s="53" t="e">
        <f t="shared" si="22"/>
        <v>#REF!</v>
      </c>
      <c r="L52" s="53" t="e">
        <f t="shared" si="23"/>
        <v>#REF!</v>
      </c>
      <c r="M52" s="224" t="e">
        <f t="shared" si="24"/>
        <v>#REF!</v>
      </c>
      <c r="N52" s="224" t="e">
        <f t="shared" si="25"/>
        <v>#REF!</v>
      </c>
      <c r="O52" s="53"/>
    </row>
    <row r="53" spans="1:15" x14ac:dyDescent="0.2">
      <c r="A53" s="39" t="s">
        <v>104</v>
      </c>
      <c r="B53" s="2" t="e">
        <f t="shared" si="14"/>
        <v>#REF!</v>
      </c>
      <c r="C53" s="2" t="e">
        <f t="shared" si="15"/>
        <v>#REF!</v>
      </c>
      <c r="D53" s="40" t="e">
        <f t="shared" si="16"/>
        <v>#REF!</v>
      </c>
      <c r="E53" s="255" t="e">
        <f t="shared" si="11"/>
        <v>#REF!</v>
      </c>
      <c r="F53" s="213" t="e">
        <f t="shared" si="17"/>
        <v>#REF!</v>
      </c>
      <c r="G53" s="224" t="e">
        <f t="shared" si="18"/>
        <v>#REF!</v>
      </c>
      <c r="H53" s="213" t="e">
        <f t="shared" si="19"/>
        <v>#REF!</v>
      </c>
      <c r="I53" s="224" t="e">
        <f t="shared" si="20"/>
        <v>#REF!</v>
      </c>
      <c r="J53" s="213" t="e">
        <f t="shared" si="21"/>
        <v>#REF!</v>
      </c>
      <c r="K53" s="53" t="e">
        <f t="shared" si="22"/>
        <v>#REF!</v>
      </c>
      <c r="L53" s="53" t="e">
        <f t="shared" si="23"/>
        <v>#REF!</v>
      </c>
      <c r="M53" s="224" t="e">
        <f t="shared" si="24"/>
        <v>#REF!</v>
      </c>
      <c r="N53" s="224" t="e">
        <f t="shared" si="25"/>
        <v>#REF!</v>
      </c>
      <c r="O53" s="53"/>
    </row>
    <row r="54" spans="1:15" x14ac:dyDescent="0.2">
      <c r="A54" s="39" t="s">
        <v>105</v>
      </c>
      <c r="B54" s="2" t="e">
        <f t="shared" si="14"/>
        <v>#REF!</v>
      </c>
      <c r="C54" s="2" t="e">
        <f t="shared" si="15"/>
        <v>#REF!</v>
      </c>
      <c r="D54" s="40" t="e">
        <f t="shared" si="16"/>
        <v>#REF!</v>
      </c>
      <c r="E54" s="255" t="e">
        <f t="shared" si="11"/>
        <v>#REF!</v>
      </c>
      <c r="F54" s="213" t="e">
        <f t="shared" si="17"/>
        <v>#REF!</v>
      </c>
      <c r="G54" s="224" t="e">
        <f t="shared" si="18"/>
        <v>#REF!</v>
      </c>
      <c r="H54" s="213" t="e">
        <f t="shared" si="19"/>
        <v>#REF!</v>
      </c>
      <c r="I54" s="224" t="e">
        <f t="shared" si="20"/>
        <v>#REF!</v>
      </c>
      <c r="J54" s="213" t="e">
        <f t="shared" si="21"/>
        <v>#REF!</v>
      </c>
      <c r="K54" s="53" t="e">
        <f t="shared" si="22"/>
        <v>#REF!</v>
      </c>
      <c r="L54" s="53" t="e">
        <f t="shared" si="23"/>
        <v>#REF!</v>
      </c>
      <c r="M54" s="224" t="e">
        <f t="shared" si="24"/>
        <v>#REF!</v>
      </c>
      <c r="N54" s="224" t="e">
        <f t="shared" si="25"/>
        <v>#REF!</v>
      </c>
      <c r="O54" s="53"/>
    </row>
    <row r="55" spans="1:15" x14ac:dyDescent="0.2">
      <c r="A55" s="39" t="s">
        <v>106</v>
      </c>
      <c r="B55" s="2" t="e">
        <f t="shared" si="14"/>
        <v>#REF!</v>
      </c>
      <c r="C55" s="2" t="e">
        <f t="shared" si="15"/>
        <v>#REF!</v>
      </c>
      <c r="D55" s="40" t="e">
        <f t="shared" si="16"/>
        <v>#REF!</v>
      </c>
      <c r="E55" s="255" t="e">
        <f t="shared" si="11"/>
        <v>#REF!</v>
      </c>
      <c r="F55" s="213" t="e">
        <f t="shared" si="17"/>
        <v>#REF!</v>
      </c>
      <c r="G55" s="224" t="e">
        <f t="shared" si="18"/>
        <v>#REF!</v>
      </c>
      <c r="H55" s="213" t="e">
        <f t="shared" si="19"/>
        <v>#REF!</v>
      </c>
      <c r="I55" s="224" t="e">
        <f t="shared" si="20"/>
        <v>#REF!</v>
      </c>
      <c r="J55" s="213" t="e">
        <f t="shared" si="21"/>
        <v>#REF!</v>
      </c>
      <c r="K55" s="53" t="e">
        <f t="shared" si="22"/>
        <v>#REF!</v>
      </c>
      <c r="L55" s="53" t="e">
        <f t="shared" si="23"/>
        <v>#REF!</v>
      </c>
      <c r="M55" s="224" t="e">
        <f t="shared" si="24"/>
        <v>#REF!</v>
      </c>
      <c r="N55" s="224" t="e">
        <f t="shared" si="25"/>
        <v>#REF!</v>
      </c>
      <c r="O55" s="53"/>
    </row>
    <row r="56" spans="1:15" x14ac:dyDescent="0.2">
      <c r="A56" s="39" t="s">
        <v>107</v>
      </c>
      <c r="B56" s="2" t="e">
        <f t="shared" si="14"/>
        <v>#REF!</v>
      </c>
      <c r="C56" s="2" t="e">
        <f t="shared" si="15"/>
        <v>#REF!</v>
      </c>
      <c r="D56" s="40" t="e">
        <f t="shared" si="16"/>
        <v>#REF!</v>
      </c>
      <c r="E56" s="255" t="e">
        <f t="shared" si="11"/>
        <v>#REF!</v>
      </c>
      <c r="F56" s="213" t="e">
        <f t="shared" si="17"/>
        <v>#REF!</v>
      </c>
      <c r="G56" s="224" t="e">
        <f t="shared" si="18"/>
        <v>#REF!</v>
      </c>
      <c r="H56" s="213" t="e">
        <f t="shared" si="19"/>
        <v>#REF!</v>
      </c>
      <c r="I56" s="224" t="e">
        <f t="shared" si="20"/>
        <v>#REF!</v>
      </c>
      <c r="J56" s="213" t="e">
        <f t="shared" si="21"/>
        <v>#REF!</v>
      </c>
      <c r="K56" s="53" t="e">
        <f t="shared" si="22"/>
        <v>#REF!</v>
      </c>
      <c r="L56" s="53" t="e">
        <f t="shared" si="23"/>
        <v>#REF!</v>
      </c>
      <c r="M56" s="224" t="e">
        <f t="shared" si="24"/>
        <v>#REF!</v>
      </c>
      <c r="N56" s="224" t="e">
        <f t="shared" si="25"/>
        <v>#REF!</v>
      </c>
      <c r="O56" s="53"/>
    </row>
    <row r="57" spans="1:15" x14ac:dyDescent="0.2">
      <c r="A57" s="39" t="s">
        <v>108</v>
      </c>
      <c r="B57" s="2" t="e">
        <f t="shared" si="14"/>
        <v>#REF!</v>
      </c>
      <c r="C57" s="2" t="e">
        <f t="shared" si="15"/>
        <v>#REF!</v>
      </c>
      <c r="D57" s="40" t="e">
        <f t="shared" si="16"/>
        <v>#REF!</v>
      </c>
      <c r="E57" s="255" t="e">
        <f t="shared" si="11"/>
        <v>#REF!</v>
      </c>
      <c r="F57" s="213" t="e">
        <f t="shared" si="17"/>
        <v>#REF!</v>
      </c>
      <c r="G57" s="224" t="e">
        <f t="shared" si="18"/>
        <v>#REF!</v>
      </c>
      <c r="H57" s="213" t="e">
        <f t="shared" si="19"/>
        <v>#REF!</v>
      </c>
      <c r="I57" s="224" t="e">
        <f t="shared" si="20"/>
        <v>#REF!</v>
      </c>
      <c r="J57" s="213" t="e">
        <f t="shared" si="21"/>
        <v>#REF!</v>
      </c>
      <c r="K57" s="53" t="e">
        <f t="shared" si="22"/>
        <v>#REF!</v>
      </c>
      <c r="L57" s="53" t="e">
        <f t="shared" si="23"/>
        <v>#REF!</v>
      </c>
      <c r="M57" s="224" t="e">
        <f t="shared" si="24"/>
        <v>#REF!</v>
      </c>
      <c r="N57" s="224" t="e">
        <f t="shared" si="25"/>
        <v>#REF!</v>
      </c>
      <c r="O57" s="53"/>
    </row>
    <row r="58" spans="1:15" x14ac:dyDescent="0.2">
      <c r="A58" s="39" t="s">
        <v>109</v>
      </c>
      <c r="B58" s="2" t="e">
        <f t="shared" si="14"/>
        <v>#REF!</v>
      </c>
      <c r="C58" s="2" t="e">
        <f t="shared" si="15"/>
        <v>#REF!</v>
      </c>
      <c r="D58" s="40" t="e">
        <f t="shared" si="16"/>
        <v>#REF!</v>
      </c>
      <c r="E58" s="255" t="e">
        <f t="shared" si="11"/>
        <v>#REF!</v>
      </c>
      <c r="F58" s="213" t="e">
        <f t="shared" si="17"/>
        <v>#REF!</v>
      </c>
      <c r="G58" s="224" t="e">
        <f t="shared" si="18"/>
        <v>#REF!</v>
      </c>
      <c r="H58" s="213" t="e">
        <f t="shared" si="19"/>
        <v>#REF!</v>
      </c>
      <c r="I58" s="224" t="e">
        <f t="shared" si="20"/>
        <v>#REF!</v>
      </c>
      <c r="J58" s="213" t="e">
        <f t="shared" si="21"/>
        <v>#REF!</v>
      </c>
      <c r="K58" s="53" t="e">
        <f t="shared" si="22"/>
        <v>#REF!</v>
      </c>
      <c r="L58" s="53" t="e">
        <f t="shared" si="23"/>
        <v>#REF!</v>
      </c>
      <c r="M58" s="224" t="e">
        <f t="shared" si="24"/>
        <v>#REF!</v>
      </c>
      <c r="N58" s="224" t="e">
        <f t="shared" si="25"/>
        <v>#REF!</v>
      </c>
      <c r="O58" s="53"/>
    </row>
    <row r="59" spans="1:15" x14ac:dyDescent="0.2">
      <c r="A59" s="39" t="s">
        <v>110</v>
      </c>
      <c r="B59" s="2" t="e">
        <f t="shared" si="14"/>
        <v>#REF!</v>
      </c>
      <c r="C59" s="2" t="e">
        <f t="shared" si="15"/>
        <v>#REF!</v>
      </c>
      <c r="D59" s="40" t="e">
        <f t="shared" si="16"/>
        <v>#REF!</v>
      </c>
      <c r="E59" s="255" t="e">
        <f t="shared" si="11"/>
        <v>#REF!</v>
      </c>
      <c r="F59" s="213" t="e">
        <f t="shared" si="17"/>
        <v>#REF!</v>
      </c>
      <c r="G59" s="224" t="e">
        <f t="shared" si="18"/>
        <v>#REF!</v>
      </c>
      <c r="H59" s="213" t="e">
        <f t="shared" si="19"/>
        <v>#REF!</v>
      </c>
      <c r="I59" s="224" t="e">
        <f t="shared" si="20"/>
        <v>#REF!</v>
      </c>
      <c r="J59" s="213" t="e">
        <f t="shared" si="21"/>
        <v>#REF!</v>
      </c>
      <c r="K59" s="53" t="e">
        <f t="shared" si="22"/>
        <v>#REF!</v>
      </c>
      <c r="L59" s="53" t="e">
        <f t="shared" si="23"/>
        <v>#REF!</v>
      </c>
      <c r="M59" s="224" t="e">
        <f t="shared" si="24"/>
        <v>#REF!</v>
      </c>
      <c r="N59" s="224" t="e">
        <f t="shared" si="25"/>
        <v>#REF!</v>
      </c>
      <c r="O59" s="53"/>
    </row>
    <row r="60" spans="1:15" x14ac:dyDescent="0.2">
      <c r="A60" s="39" t="s">
        <v>111</v>
      </c>
      <c r="B60" s="2" t="e">
        <f t="shared" si="14"/>
        <v>#REF!</v>
      </c>
      <c r="C60" s="2" t="e">
        <f t="shared" si="15"/>
        <v>#REF!</v>
      </c>
      <c r="D60" s="40" t="e">
        <f t="shared" si="16"/>
        <v>#REF!</v>
      </c>
      <c r="E60" s="255" t="e">
        <f t="shared" si="11"/>
        <v>#REF!</v>
      </c>
      <c r="F60" s="213" t="e">
        <f t="shared" si="17"/>
        <v>#REF!</v>
      </c>
      <c r="G60" s="224" t="e">
        <f t="shared" si="18"/>
        <v>#REF!</v>
      </c>
      <c r="H60" s="213" t="e">
        <f t="shared" si="19"/>
        <v>#REF!</v>
      </c>
      <c r="I60" s="224" t="e">
        <f t="shared" si="20"/>
        <v>#REF!</v>
      </c>
      <c r="J60" s="213" t="e">
        <f t="shared" si="21"/>
        <v>#REF!</v>
      </c>
      <c r="K60" s="53" t="e">
        <f t="shared" si="22"/>
        <v>#REF!</v>
      </c>
      <c r="L60" s="53" t="e">
        <f t="shared" si="23"/>
        <v>#REF!</v>
      </c>
      <c r="M60" s="224" t="e">
        <f t="shared" si="24"/>
        <v>#REF!</v>
      </c>
      <c r="N60" s="224" t="e">
        <f t="shared" si="25"/>
        <v>#REF!</v>
      </c>
      <c r="O60" s="53"/>
    </row>
    <row r="61" spans="1:15" x14ac:dyDescent="0.2">
      <c r="A61" s="39" t="s">
        <v>112</v>
      </c>
      <c r="B61" s="2" t="e">
        <f t="shared" si="14"/>
        <v>#REF!</v>
      </c>
      <c r="C61" s="2" t="e">
        <f t="shared" si="15"/>
        <v>#REF!</v>
      </c>
      <c r="D61" s="40" t="e">
        <f t="shared" si="16"/>
        <v>#REF!</v>
      </c>
      <c r="E61" s="255" t="e">
        <f t="shared" si="11"/>
        <v>#REF!</v>
      </c>
      <c r="F61" s="213" t="e">
        <f t="shared" si="17"/>
        <v>#REF!</v>
      </c>
      <c r="G61" s="224" t="e">
        <f t="shared" si="18"/>
        <v>#REF!</v>
      </c>
      <c r="H61" s="213" t="e">
        <f t="shared" si="19"/>
        <v>#REF!</v>
      </c>
      <c r="I61" s="224" t="e">
        <f t="shared" si="20"/>
        <v>#REF!</v>
      </c>
      <c r="J61" s="213" t="e">
        <f t="shared" si="21"/>
        <v>#REF!</v>
      </c>
      <c r="K61" s="53" t="e">
        <f t="shared" si="22"/>
        <v>#REF!</v>
      </c>
      <c r="L61" s="53" t="e">
        <f t="shared" si="23"/>
        <v>#REF!</v>
      </c>
      <c r="M61" s="224" t="e">
        <f t="shared" si="24"/>
        <v>#REF!</v>
      </c>
      <c r="N61" s="224" t="e">
        <f t="shared" si="25"/>
        <v>#REF!</v>
      </c>
      <c r="O61" s="53"/>
    </row>
    <row r="62" spans="1:15" x14ac:dyDescent="0.2">
      <c r="A62" s="39" t="s">
        <v>113</v>
      </c>
      <c r="B62" s="2" t="e">
        <f t="shared" si="14"/>
        <v>#REF!</v>
      </c>
      <c r="C62" s="2" t="e">
        <f t="shared" si="15"/>
        <v>#REF!</v>
      </c>
      <c r="D62" s="40" t="e">
        <f t="shared" si="16"/>
        <v>#REF!</v>
      </c>
      <c r="E62" s="255" t="e">
        <f t="shared" si="11"/>
        <v>#REF!</v>
      </c>
      <c r="F62" s="213" t="e">
        <f t="shared" si="17"/>
        <v>#REF!</v>
      </c>
      <c r="G62" s="224" t="e">
        <f t="shared" si="18"/>
        <v>#REF!</v>
      </c>
      <c r="H62" s="213" t="e">
        <f t="shared" si="19"/>
        <v>#REF!</v>
      </c>
      <c r="I62" s="224" t="e">
        <f t="shared" si="20"/>
        <v>#REF!</v>
      </c>
      <c r="J62" s="213" t="e">
        <f t="shared" si="21"/>
        <v>#REF!</v>
      </c>
      <c r="K62" s="53" t="e">
        <f t="shared" si="22"/>
        <v>#REF!</v>
      </c>
      <c r="L62" s="53" t="e">
        <f t="shared" si="23"/>
        <v>#REF!</v>
      </c>
      <c r="M62" s="224" t="e">
        <f t="shared" si="24"/>
        <v>#REF!</v>
      </c>
      <c r="N62" s="224" t="e">
        <f t="shared" si="25"/>
        <v>#REF!</v>
      </c>
      <c r="O62" s="53"/>
    </row>
    <row r="63" spans="1:15" x14ac:dyDescent="0.2">
      <c r="A63" s="39" t="s">
        <v>114</v>
      </c>
      <c r="B63" s="2" t="e">
        <f t="shared" si="14"/>
        <v>#REF!</v>
      </c>
      <c r="C63" s="2" t="e">
        <f t="shared" si="15"/>
        <v>#REF!</v>
      </c>
      <c r="D63" s="40" t="e">
        <f t="shared" si="16"/>
        <v>#REF!</v>
      </c>
      <c r="E63" s="255" t="e">
        <f t="shared" si="11"/>
        <v>#REF!</v>
      </c>
      <c r="F63" s="213" t="e">
        <f t="shared" si="17"/>
        <v>#REF!</v>
      </c>
      <c r="G63" s="224" t="e">
        <f t="shared" si="18"/>
        <v>#REF!</v>
      </c>
      <c r="H63" s="213" t="e">
        <f t="shared" si="19"/>
        <v>#REF!</v>
      </c>
      <c r="I63" s="224" t="e">
        <f t="shared" si="20"/>
        <v>#REF!</v>
      </c>
      <c r="J63" s="213" t="e">
        <f t="shared" si="21"/>
        <v>#REF!</v>
      </c>
      <c r="K63" s="53" t="e">
        <f t="shared" si="22"/>
        <v>#REF!</v>
      </c>
      <c r="L63" s="53" t="e">
        <f t="shared" si="23"/>
        <v>#REF!</v>
      </c>
      <c r="M63" s="224" t="e">
        <f t="shared" si="24"/>
        <v>#REF!</v>
      </c>
      <c r="N63" s="224" t="e">
        <f t="shared" si="25"/>
        <v>#REF!</v>
      </c>
      <c r="O63" s="53"/>
    </row>
    <row r="64" spans="1:15" x14ac:dyDescent="0.2">
      <c r="A64" s="39" t="s">
        <v>115</v>
      </c>
      <c r="B64" s="2" t="e">
        <f t="shared" si="14"/>
        <v>#REF!</v>
      </c>
      <c r="C64" s="2" t="e">
        <f t="shared" si="15"/>
        <v>#REF!</v>
      </c>
      <c r="D64" s="40" t="e">
        <f t="shared" si="16"/>
        <v>#REF!</v>
      </c>
      <c r="E64" s="255" t="e">
        <f t="shared" si="11"/>
        <v>#REF!</v>
      </c>
      <c r="F64" s="213" t="e">
        <f t="shared" si="17"/>
        <v>#REF!</v>
      </c>
      <c r="G64" s="224" t="e">
        <f t="shared" si="18"/>
        <v>#REF!</v>
      </c>
      <c r="H64" s="213" t="e">
        <f t="shared" si="19"/>
        <v>#REF!</v>
      </c>
      <c r="I64" s="224" t="e">
        <f t="shared" si="20"/>
        <v>#REF!</v>
      </c>
      <c r="J64" s="213" t="e">
        <f t="shared" si="21"/>
        <v>#REF!</v>
      </c>
      <c r="K64" s="53" t="e">
        <f t="shared" si="22"/>
        <v>#REF!</v>
      </c>
      <c r="L64" s="53" t="e">
        <f t="shared" si="23"/>
        <v>#REF!</v>
      </c>
      <c r="M64" s="224" t="e">
        <f t="shared" si="24"/>
        <v>#REF!</v>
      </c>
      <c r="N64" s="224" t="e">
        <f t="shared" si="25"/>
        <v>#REF!</v>
      </c>
      <c r="O64" s="53"/>
    </row>
    <row r="65" spans="1:15" x14ac:dyDescent="0.2">
      <c r="A65" s="39" t="s">
        <v>116</v>
      </c>
      <c r="B65" s="2" t="e">
        <f t="shared" si="14"/>
        <v>#REF!</v>
      </c>
      <c r="C65" s="2" t="e">
        <f t="shared" si="15"/>
        <v>#REF!</v>
      </c>
      <c r="D65" s="40" t="e">
        <f t="shared" si="16"/>
        <v>#REF!</v>
      </c>
      <c r="E65" s="255" t="e">
        <f t="shared" si="11"/>
        <v>#REF!</v>
      </c>
      <c r="F65" s="213" t="e">
        <f t="shared" si="17"/>
        <v>#REF!</v>
      </c>
      <c r="G65" s="224" t="e">
        <f t="shared" si="18"/>
        <v>#REF!</v>
      </c>
      <c r="H65" s="213" t="e">
        <f t="shared" si="19"/>
        <v>#REF!</v>
      </c>
      <c r="I65" s="224" t="e">
        <f t="shared" si="20"/>
        <v>#REF!</v>
      </c>
      <c r="J65" s="213" t="e">
        <f t="shared" si="21"/>
        <v>#REF!</v>
      </c>
      <c r="K65" s="53" t="e">
        <f t="shared" si="22"/>
        <v>#REF!</v>
      </c>
      <c r="L65" s="53" t="e">
        <f t="shared" si="23"/>
        <v>#REF!</v>
      </c>
      <c r="M65" s="224" t="e">
        <f t="shared" si="24"/>
        <v>#REF!</v>
      </c>
      <c r="N65" s="224" t="e">
        <f t="shared" si="25"/>
        <v>#REF!</v>
      </c>
      <c r="O65" s="53"/>
    </row>
    <row r="66" spans="1:15" x14ac:dyDescent="0.2">
      <c r="A66" s="39" t="s">
        <v>117</v>
      </c>
      <c r="B66" s="2" t="e">
        <f t="shared" si="14"/>
        <v>#REF!</v>
      </c>
      <c r="C66" s="2" t="e">
        <f t="shared" si="15"/>
        <v>#REF!</v>
      </c>
      <c r="D66" s="40" t="e">
        <f t="shared" si="16"/>
        <v>#REF!</v>
      </c>
      <c r="E66" s="255" t="e">
        <f t="shared" si="11"/>
        <v>#REF!</v>
      </c>
      <c r="F66" s="213" t="e">
        <f t="shared" si="17"/>
        <v>#REF!</v>
      </c>
      <c r="G66" s="224" t="e">
        <f t="shared" si="18"/>
        <v>#REF!</v>
      </c>
      <c r="H66" s="213" t="e">
        <f t="shared" si="19"/>
        <v>#REF!</v>
      </c>
      <c r="I66" s="224" t="e">
        <f t="shared" si="20"/>
        <v>#REF!</v>
      </c>
      <c r="J66" s="213" t="e">
        <f t="shared" si="21"/>
        <v>#REF!</v>
      </c>
      <c r="K66" s="53" t="e">
        <f t="shared" si="22"/>
        <v>#REF!</v>
      </c>
      <c r="L66" s="53" t="e">
        <f t="shared" si="23"/>
        <v>#REF!</v>
      </c>
      <c r="M66" s="224" t="e">
        <f t="shared" si="24"/>
        <v>#REF!</v>
      </c>
      <c r="N66" s="224" t="e">
        <f t="shared" si="25"/>
        <v>#REF!</v>
      </c>
      <c r="O66" s="53"/>
    </row>
    <row r="67" spans="1:15" x14ac:dyDescent="0.2">
      <c r="A67" s="39" t="s">
        <v>118</v>
      </c>
      <c r="B67" s="2" t="e">
        <f t="shared" si="14"/>
        <v>#REF!</v>
      </c>
      <c r="C67" s="2" t="e">
        <f t="shared" si="15"/>
        <v>#REF!</v>
      </c>
      <c r="D67" s="40" t="e">
        <f t="shared" si="16"/>
        <v>#REF!</v>
      </c>
      <c r="E67" s="255" t="e">
        <f t="shared" si="11"/>
        <v>#REF!</v>
      </c>
      <c r="F67" s="213" t="e">
        <f t="shared" si="17"/>
        <v>#REF!</v>
      </c>
      <c r="G67" s="224" t="e">
        <f t="shared" si="18"/>
        <v>#REF!</v>
      </c>
      <c r="H67" s="213" t="e">
        <f t="shared" si="19"/>
        <v>#REF!</v>
      </c>
      <c r="I67" s="224" t="e">
        <f t="shared" si="20"/>
        <v>#REF!</v>
      </c>
      <c r="J67" s="213" t="e">
        <f t="shared" si="21"/>
        <v>#REF!</v>
      </c>
      <c r="K67" s="53" t="e">
        <f t="shared" si="22"/>
        <v>#REF!</v>
      </c>
      <c r="L67" s="53" t="e">
        <f t="shared" si="23"/>
        <v>#REF!</v>
      </c>
      <c r="M67" s="224" t="e">
        <f t="shared" si="24"/>
        <v>#REF!</v>
      </c>
      <c r="N67" s="224" t="e">
        <f t="shared" si="25"/>
        <v>#REF!</v>
      </c>
      <c r="O67" s="53"/>
    </row>
    <row r="68" spans="1:15" x14ac:dyDescent="0.2">
      <c r="A68" s="39" t="s">
        <v>119</v>
      </c>
      <c r="B68" s="2" t="e">
        <f t="shared" si="14"/>
        <v>#REF!</v>
      </c>
      <c r="C68" s="2" t="e">
        <f t="shared" si="15"/>
        <v>#REF!</v>
      </c>
      <c r="D68" s="40" t="e">
        <f t="shared" si="16"/>
        <v>#REF!</v>
      </c>
      <c r="E68" s="255" t="e">
        <f t="shared" si="11"/>
        <v>#REF!</v>
      </c>
      <c r="F68" s="213" t="e">
        <f t="shared" si="17"/>
        <v>#REF!</v>
      </c>
      <c r="G68" s="224" t="e">
        <f t="shared" si="18"/>
        <v>#REF!</v>
      </c>
      <c r="H68" s="213" t="e">
        <f t="shared" si="19"/>
        <v>#REF!</v>
      </c>
      <c r="I68" s="224" t="e">
        <f t="shared" si="20"/>
        <v>#REF!</v>
      </c>
      <c r="J68" s="213" t="e">
        <f t="shared" si="21"/>
        <v>#REF!</v>
      </c>
      <c r="K68" s="53" t="e">
        <f t="shared" si="22"/>
        <v>#REF!</v>
      </c>
      <c r="L68" s="53" t="e">
        <f t="shared" si="23"/>
        <v>#REF!</v>
      </c>
      <c r="M68" s="224" t="e">
        <f t="shared" si="24"/>
        <v>#REF!</v>
      </c>
      <c r="N68" s="224" t="e">
        <f t="shared" si="25"/>
        <v>#REF!</v>
      </c>
      <c r="O68" s="53"/>
    </row>
    <row r="69" spans="1:15" x14ac:dyDescent="0.2">
      <c r="A69" s="39" t="s">
        <v>120</v>
      </c>
      <c r="B69" s="2" t="e">
        <f t="shared" si="14"/>
        <v>#REF!</v>
      </c>
      <c r="C69" s="2" t="e">
        <f t="shared" si="15"/>
        <v>#REF!</v>
      </c>
      <c r="D69" s="40" t="e">
        <f t="shared" si="16"/>
        <v>#REF!</v>
      </c>
      <c r="E69" s="255" t="e">
        <f t="shared" si="11"/>
        <v>#REF!</v>
      </c>
      <c r="F69" s="213" t="e">
        <f t="shared" si="17"/>
        <v>#REF!</v>
      </c>
      <c r="G69" s="224" t="e">
        <f t="shared" si="18"/>
        <v>#REF!</v>
      </c>
      <c r="H69" s="213" t="e">
        <f t="shared" si="19"/>
        <v>#REF!</v>
      </c>
      <c r="I69" s="224" t="e">
        <f t="shared" si="20"/>
        <v>#REF!</v>
      </c>
      <c r="J69" s="213" t="e">
        <f t="shared" si="21"/>
        <v>#REF!</v>
      </c>
      <c r="K69" s="53" t="e">
        <f t="shared" si="22"/>
        <v>#REF!</v>
      </c>
      <c r="L69" s="53" t="e">
        <f t="shared" si="23"/>
        <v>#REF!</v>
      </c>
      <c r="M69" s="224" t="e">
        <f t="shared" si="24"/>
        <v>#REF!</v>
      </c>
      <c r="N69" s="224" t="e">
        <f t="shared" si="25"/>
        <v>#REF!</v>
      </c>
      <c r="O69" s="53"/>
    </row>
    <row r="70" spans="1:15" x14ac:dyDescent="0.2">
      <c r="A70" s="39" t="s">
        <v>121</v>
      </c>
      <c r="B70" s="2" t="e">
        <f t="shared" ref="B70:B101" si="26">INDEX(Crop_data,MATCH(A70,Crop_data_codes,0),2)</f>
        <v>#REF!</v>
      </c>
      <c r="C70" s="2" t="e">
        <f t="shared" ref="C70:C101" si="27">INDEX(Crop_data,MATCH(A70,Crop_data_codes,0),3)</f>
        <v>#REF!</v>
      </c>
      <c r="D70" s="40" t="e">
        <f t="shared" ref="D70:D101" si="28">INDEX(Crop_data,MATCH(A70,Crop_data_codes,0),4)</f>
        <v>#REF!</v>
      </c>
      <c r="E70" s="255" t="e">
        <f t="shared" si="11"/>
        <v>#REF!</v>
      </c>
      <c r="F70" s="213" t="e">
        <f t="shared" ref="F70:F101" si="29">IF(D70="YES",INDEX(CO2_data,MATCH(A70,CO2_codes,0),2)+INDEX(CH4_data,MATCH(A70,CH4_codes,0),2)*CF_fossil_CH4+INDEX(CH4_bio_data,MATCH(A70,CH4_bio_codes,0),2)*CF_biog_CH4+INDEX(N2O_data,MATCH(A70,N2O_codes,0),2)*CF_N2O,"")</f>
        <v>#REF!</v>
      </c>
      <c r="G70" s="224" t="e">
        <f t="shared" ref="G70:G101" si="30">IF(D70="YES",INDEX(CO2_data,MATCH(A70,CO2_codes,0),3)+INDEX(CH4_data,MATCH(A70,CH4_codes,0),3)*CF_fossil_CH4+INDEX(CH4_bio_data,MATCH(A70,CH4_bio_codes,0),3)*CF_biog_CH4+INDEX(N2O_data,MATCH(A70,N2O_codes,0),3)*CF_N2O,"")</f>
        <v>#REF!</v>
      </c>
      <c r="H70" s="213" t="e">
        <f t="shared" ref="H70:H101" si="31">IF(D70="YES",INDEX(CO2_data,MATCH(A70,CO2_codes,0),4)+INDEX(CH4_data,MATCH(A70,CH4_codes,0),4)*CF_fossil_CH4+INDEX(CH4_bio_data,MATCH(A70,CH4_bio_codes,0),4)*CF_biog_CH4+INDEX(N2O_data,MATCH(A70,N2O_codes,0),4)*CF_N2O,"")</f>
        <v>#REF!</v>
      </c>
      <c r="I70" s="224" t="e">
        <f t="shared" ref="I70:I101" si="32">IF(D70="YES",INDEX(CO2_data,MATCH(A70,CO2_codes,0),5)+INDEX(CH4_data,MATCH(A70,CH4_codes,0),5)*CF_fossil_CH4+INDEX(CH4_bio_data,MATCH(A70,CH4_bio_codes,0),5)*CF_biog_CH4+INDEX(N2O_data,MATCH(A70,N2O_codes,0),5)*CF_N2O,"")</f>
        <v>#REF!</v>
      </c>
      <c r="J70" s="213" t="e">
        <f t="shared" ref="J70:J101" si="33">IF(D70="YES",INDEX(CO2_data,MATCH(A70,CO2_codes,0),6)+INDEX(CH4_data,MATCH(A70,CH4_codes,0),6)*CF_fossil_CH4+INDEX(CH4_bio_data,MATCH(A70,CH4_bio_codes,0),6)*CF_biog_CH4+INDEX(N2O_data,MATCH(A70,N2O_codes,0),6)*CF_N2O,"")</f>
        <v>#REF!</v>
      </c>
      <c r="K70" s="53" t="e">
        <f t="shared" ref="K70:K101" si="34">IF(D70="YES",INDEX(CO2_data,MATCH(A70,CO2_codes,0),7)+INDEX(CH4_data,MATCH(A70,CH4_codes,0),7)*CF_fossil_CH4+INDEX(CH4_bio_data,MATCH(A70,CH4_bio_codes,0),7)*CF_biog_CH4+INDEX(N2O_data,MATCH(A70,N2O_codes,0),7)*CF_N2O,"")</f>
        <v>#REF!</v>
      </c>
      <c r="L70" s="53" t="e">
        <f t="shared" ref="L70:L101" si="35">IF(D70="YES",INDEX(CO2_data,MATCH(A70,CO2_codes,0),8)+INDEX(CH4_data,MATCH(A70,CH4_codes,0),8)*CF_fossil_CH4+INDEX(CH4_bio_data,MATCH(A70,CH4_bio_codes,0),8)*CF_biog_CH4+INDEX(N2O_data,MATCH(A70,N2O_codes,0),8)*CF_N2O,"")</f>
        <v>#REF!</v>
      </c>
      <c r="M70" s="224" t="e">
        <f t="shared" ref="M70:M101" si="36">IF(D70="YES",INDEX(CO2_data,MATCH(A70,CO2_codes,0),9)+INDEX(CH4_data,MATCH(A70,CH4_codes,0),9)*CF_fossil_CH4+INDEX(CH4_bio_data,MATCH(A70,CH4_bio_codes,0),9)*CF_biog_CH4+INDEX(N2O_data,MATCH(A70,N2O_codes,0),9)*CF_N2O,"")</f>
        <v>#REF!</v>
      </c>
      <c r="N70" s="224" t="e">
        <f t="shared" ref="N70:N101" si="37">IF(D70="YES",INDEX(CO2_data,MATCH(A70,CO2_codes,0),10)+INDEX(CH4_data,MATCH(A70,CH4_codes,0),10)*CF_fossil_CH4+INDEX(CH4_bio_data,MATCH(A70,CH4_bio_codes,0),10)*CF_biog_CH4+INDEX(N2O_data,MATCH(A70,N2O_codes,0),10)*CF_N2O,"")</f>
        <v>#REF!</v>
      </c>
      <c r="O70" s="53"/>
    </row>
    <row r="71" spans="1:15" x14ac:dyDescent="0.2">
      <c r="A71" s="39" t="s">
        <v>122</v>
      </c>
      <c r="B71" s="2" t="e">
        <f t="shared" si="26"/>
        <v>#REF!</v>
      </c>
      <c r="C71" s="2" t="e">
        <f t="shared" si="27"/>
        <v>#REF!</v>
      </c>
      <c r="D71" s="40" t="e">
        <f t="shared" si="28"/>
        <v>#REF!</v>
      </c>
      <c r="E71" s="255" t="e">
        <f t="shared" ref="E71:E118" si="38">IF(D71="Yes", SUM(F71:N71),"")</f>
        <v>#REF!</v>
      </c>
      <c r="F71" s="213" t="e">
        <f t="shared" si="29"/>
        <v>#REF!</v>
      </c>
      <c r="G71" s="224" t="e">
        <f t="shared" si="30"/>
        <v>#REF!</v>
      </c>
      <c r="H71" s="213" t="e">
        <f t="shared" si="31"/>
        <v>#REF!</v>
      </c>
      <c r="I71" s="224" t="e">
        <f t="shared" si="32"/>
        <v>#REF!</v>
      </c>
      <c r="J71" s="213" t="e">
        <f t="shared" si="33"/>
        <v>#REF!</v>
      </c>
      <c r="K71" s="53" t="e">
        <f t="shared" si="34"/>
        <v>#REF!</v>
      </c>
      <c r="L71" s="53" t="e">
        <f t="shared" si="35"/>
        <v>#REF!</v>
      </c>
      <c r="M71" s="224" t="e">
        <f t="shared" si="36"/>
        <v>#REF!</v>
      </c>
      <c r="N71" s="224" t="e">
        <f t="shared" si="37"/>
        <v>#REF!</v>
      </c>
      <c r="O71" s="53"/>
    </row>
    <row r="72" spans="1:15" x14ac:dyDescent="0.2">
      <c r="A72" s="39" t="s">
        <v>123</v>
      </c>
      <c r="B72" s="2" t="e">
        <f t="shared" si="26"/>
        <v>#REF!</v>
      </c>
      <c r="C72" s="2" t="e">
        <f t="shared" si="27"/>
        <v>#REF!</v>
      </c>
      <c r="D72" s="40" t="e">
        <f t="shared" si="28"/>
        <v>#REF!</v>
      </c>
      <c r="E72" s="255" t="e">
        <f t="shared" si="38"/>
        <v>#REF!</v>
      </c>
      <c r="F72" s="213" t="e">
        <f t="shared" si="29"/>
        <v>#REF!</v>
      </c>
      <c r="G72" s="224" t="e">
        <f t="shared" si="30"/>
        <v>#REF!</v>
      </c>
      <c r="H72" s="213" t="e">
        <f t="shared" si="31"/>
        <v>#REF!</v>
      </c>
      <c r="I72" s="224" t="e">
        <f t="shared" si="32"/>
        <v>#REF!</v>
      </c>
      <c r="J72" s="213" t="e">
        <f t="shared" si="33"/>
        <v>#REF!</v>
      </c>
      <c r="K72" s="53" t="e">
        <f t="shared" si="34"/>
        <v>#REF!</v>
      </c>
      <c r="L72" s="53" t="e">
        <f t="shared" si="35"/>
        <v>#REF!</v>
      </c>
      <c r="M72" s="224" t="e">
        <f t="shared" si="36"/>
        <v>#REF!</v>
      </c>
      <c r="N72" s="224" t="e">
        <f t="shared" si="37"/>
        <v>#REF!</v>
      </c>
      <c r="O72" s="53"/>
    </row>
    <row r="73" spans="1:15" x14ac:dyDescent="0.2">
      <c r="A73" s="39" t="s">
        <v>124</v>
      </c>
      <c r="B73" s="2" t="e">
        <f t="shared" si="26"/>
        <v>#REF!</v>
      </c>
      <c r="C73" s="2" t="e">
        <f t="shared" si="27"/>
        <v>#REF!</v>
      </c>
      <c r="D73" s="40" t="e">
        <f t="shared" si="28"/>
        <v>#REF!</v>
      </c>
      <c r="E73" s="255" t="e">
        <f t="shared" si="38"/>
        <v>#REF!</v>
      </c>
      <c r="F73" s="213" t="e">
        <f t="shared" si="29"/>
        <v>#REF!</v>
      </c>
      <c r="G73" s="224" t="e">
        <f t="shared" si="30"/>
        <v>#REF!</v>
      </c>
      <c r="H73" s="213" t="e">
        <f t="shared" si="31"/>
        <v>#REF!</v>
      </c>
      <c r="I73" s="224" t="e">
        <f t="shared" si="32"/>
        <v>#REF!</v>
      </c>
      <c r="J73" s="213" t="e">
        <f t="shared" si="33"/>
        <v>#REF!</v>
      </c>
      <c r="K73" s="53" t="e">
        <f t="shared" si="34"/>
        <v>#REF!</v>
      </c>
      <c r="L73" s="53" t="e">
        <f t="shared" si="35"/>
        <v>#REF!</v>
      </c>
      <c r="M73" s="224" t="e">
        <f t="shared" si="36"/>
        <v>#REF!</v>
      </c>
      <c r="N73" s="224" t="e">
        <f t="shared" si="37"/>
        <v>#REF!</v>
      </c>
      <c r="O73" s="53"/>
    </row>
    <row r="74" spans="1:15" x14ac:dyDescent="0.2">
      <c r="A74" s="39" t="s">
        <v>125</v>
      </c>
      <c r="B74" s="2" t="e">
        <f t="shared" si="26"/>
        <v>#REF!</v>
      </c>
      <c r="C74" s="2" t="e">
        <f t="shared" si="27"/>
        <v>#REF!</v>
      </c>
      <c r="D74" s="40" t="e">
        <f t="shared" si="28"/>
        <v>#REF!</v>
      </c>
      <c r="E74" s="255" t="e">
        <f t="shared" si="38"/>
        <v>#REF!</v>
      </c>
      <c r="F74" s="213" t="e">
        <f t="shared" si="29"/>
        <v>#REF!</v>
      </c>
      <c r="G74" s="224" t="e">
        <f t="shared" si="30"/>
        <v>#REF!</v>
      </c>
      <c r="H74" s="213" t="e">
        <f t="shared" si="31"/>
        <v>#REF!</v>
      </c>
      <c r="I74" s="224" t="e">
        <f t="shared" si="32"/>
        <v>#REF!</v>
      </c>
      <c r="J74" s="213" t="e">
        <f t="shared" si="33"/>
        <v>#REF!</v>
      </c>
      <c r="K74" s="53" t="e">
        <f t="shared" si="34"/>
        <v>#REF!</v>
      </c>
      <c r="L74" s="53" t="e">
        <f t="shared" si="35"/>
        <v>#REF!</v>
      </c>
      <c r="M74" s="224" t="e">
        <f t="shared" si="36"/>
        <v>#REF!</v>
      </c>
      <c r="N74" s="224" t="e">
        <f t="shared" si="37"/>
        <v>#REF!</v>
      </c>
      <c r="O74" s="53"/>
    </row>
    <row r="75" spans="1:15" x14ac:dyDescent="0.2">
      <c r="A75" s="39" t="s">
        <v>126</v>
      </c>
      <c r="B75" s="2" t="e">
        <f t="shared" si="26"/>
        <v>#REF!</v>
      </c>
      <c r="C75" s="2" t="e">
        <f t="shared" si="27"/>
        <v>#REF!</v>
      </c>
      <c r="D75" s="40" t="e">
        <f t="shared" si="28"/>
        <v>#REF!</v>
      </c>
      <c r="E75" s="255" t="e">
        <f t="shared" si="38"/>
        <v>#REF!</v>
      </c>
      <c r="F75" s="213" t="e">
        <f t="shared" si="29"/>
        <v>#REF!</v>
      </c>
      <c r="G75" s="224" t="e">
        <f t="shared" si="30"/>
        <v>#REF!</v>
      </c>
      <c r="H75" s="213" t="e">
        <f t="shared" si="31"/>
        <v>#REF!</v>
      </c>
      <c r="I75" s="224" t="e">
        <f t="shared" si="32"/>
        <v>#REF!</v>
      </c>
      <c r="J75" s="213" t="e">
        <f t="shared" si="33"/>
        <v>#REF!</v>
      </c>
      <c r="K75" s="53" t="e">
        <f t="shared" si="34"/>
        <v>#REF!</v>
      </c>
      <c r="L75" s="53" t="e">
        <f t="shared" si="35"/>
        <v>#REF!</v>
      </c>
      <c r="M75" s="224" t="e">
        <f t="shared" si="36"/>
        <v>#REF!</v>
      </c>
      <c r="N75" s="224" t="e">
        <f t="shared" si="37"/>
        <v>#REF!</v>
      </c>
      <c r="O75" s="53"/>
    </row>
    <row r="76" spans="1:15" x14ac:dyDescent="0.2">
      <c r="A76" s="39" t="s">
        <v>127</v>
      </c>
      <c r="B76" s="2" t="e">
        <f t="shared" si="26"/>
        <v>#REF!</v>
      </c>
      <c r="C76" s="2" t="e">
        <f t="shared" si="27"/>
        <v>#REF!</v>
      </c>
      <c r="D76" s="40" t="e">
        <f t="shared" si="28"/>
        <v>#REF!</v>
      </c>
      <c r="E76" s="255" t="e">
        <f t="shared" si="38"/>
        <v>#REF!</v>
      </c>
      <c r="F76" s="213" t="e">
        <f t="shared" si="29"/>
        <v>#REF!</v>
      </c>
      <c r="G76" s="224" t="e">
        <f t="shared" si="30"/>
        <v>#REF!</v>
      </c>
      <c r="H76" s="213" t="e">
        <f t="shared" si="31"/>
        <v>#REF!</v>
      </c>
      <c r="I76" s="224" t="e">
        <f t="shared" si="32"/>
        <v>#REF!</v>
      </c>
      <c r="J76" s="213" t="e">
        <f t="shared" si="33"/>
        <v>#REF!</v>
      </c>
      <c r="K76" s="53" t="e">
        <f t="shared" si="34"/>
        <v>#REF!</v>
      </c>
      <c r="L76" s="53" t="e">
        <f t="shared" si="35"/>
        <v>#REF!</v>
      </c>
      <c r="M76" s="224" t="e">
        <f t="shared" si="36"/>
        <v>#REF!</v>
      </c>
      <c r="N76" s="224" t="e">
        <f t="shared" si="37"/>
        <v>#REF!</v>
      </c>
      <c r="O76" s="53"/>
    </row>
    <row r="77" spans="1:15" x14ac:dyDescent="0.2">
      <c r="A77" s="39" t="s">
        <v>128</v>
      </c>
      <c r="B77" s="2" t="e">
        <f t="shared" si="26"/>
        <v>#REF!</v>
      </c>
      <c r="C77" s="2" t="e">
        <f t="shared" si="27"/>
        <v>#REF!</v>
      </c>
      <c r="D77" s="40" t="e">
        <f t="shared" si="28"/>
        <v>#REF!</v>
      </c>
      <c r="E77" s="255" t="e">
        <f t="shared" si="38"/>
        <v>#REF!</v>
      </c>
      <c r="F77" s="213" t="e">
        <f t="shared" si="29"/>
        <v>#REF!</v>
      </c>
      <c r="G77" s="224" t="e">
        <f t="shared" si="30"/>
        <v>#REF!</v>
      </c>
      <c r="H77" s="213" t="e">
        <f t="shared" si="31"/>
        <v>#REF!</v>
      </c>
      <c r="I77" s="224" t="e">
        <f t="shared" si="32"/>
        <v>#REF!</v>
      </c>
      <c r="J77" s="213" t="e">
        <f t="shared" si="33"/>
        <v>#REF!</v>
      </c>
      <c r="K77" s="53" t="e">
        <f t="shared" si="34"/>
        <v>#REF!</v>
      </c>
      <c r="L77" s="53" t="e">
        <f t="shared" si="35"/>
        <v>#REF!</v>
      </c>
      <c r="M77" s="224" t="e">
        <f t="shared" si="36"/>
        <v>#REF!</v>
      </c>
      <c r="N77" s="224" t="e">
        <f t="shared" si="37"/>
        <v>#REF!</v>
      </c>
      <c r="O77" s="53"/>
    </row>
    <row r="78" spans="1:15" x14ac:dyDescent="0.2">
      <c r="A78" s="39" t="s">
        <v>129</v>
      </c>
      <c r="B78" s="2" t="e">
        <f t="shared" si="26"/>
        <v>#REF!</v>
      </c>
      <c r="C78" s="2" t="e">
        <f t="shared" si="27"/>
        <v>#REF!</v>
      </c>
      <c r="D78" s="40" t="e">
        <f t="shared" si="28"/>
        <v>#REF!</v>
      </c>
      <c r="E78" s="255" t="e">
        <f t="shared" si="38"/>
        <v>#REF!</v>
      </c>
      <c r="F78" s="213" t="e">
        <f t="shared" si="29"/>
        <v>#REF!</v>
      </c>
      <c r="G78" s="224" t="e">
        <f t="shared" si="30"/>
        <v>#REF!</v>
      </c>
      <c r="H78" s="213" t="e">
        <f t="shared" si="31"/>
        <v>#REF!</v>
      </c>
      <c r="I78" s="224" t="e">
        <f t="shared" si="32"/>
        <v>#REF!</v>
      </c>
      <c r="J78" s="213" t="e">
        <f t="shared" si="33"/>
        <v>#REF!</v>
      </c>
      <c r="K78" s="53" t="e">
        <f t="shared" si="34"/>
        <v>#REF!</v>
      </c>
      <c r="L78" s="53" t="e">
        <f t="shared" si="35"/>
        <v>#REF!</v>
      </c>
      <c r="M78" s="224" t="e">
        <f t="shared" si="36"/>
        <v>#REF!</v>
      </c>
      <c r="N78" s="224" t="e">
        <f t="shared" si="37"/>
        <v>#REF!</v>
      </c>
      <c r="O78" s="53"/>
    </row>
    <row r="79" spans="1:15" x14ac:dyDescent="0.2">
      <c r="A79" s="39" t="s">
        <v>130</v>
      </c>
      <c r="B79" s="2" t="e">
        <f t="shared" si="26"/>
        <v>#REF!</v>
      </c>
      <c r="C79" s="2" t="e">
        <f t="shared" si="27"/>
        <v>#REF!</v>
      </c>
      <c r="D79" s="40" t="e">
        <f t="shared" si="28"/>
        <v>#REF!</v>
      </c>
      <c r="E79" s="255" t="e">
        <f t="shared" si="38"/>
        <v>#REF!</v>
      </c>
      <c r="F79" s="213" t="e">
        <f t="shared" si="29"/>
        <v>#REF!</v>
      </c>
      <c r="G79" s="224" t="e">
        <f t="shared" si="30"/>
        <v>#REF!</v>
      </c>
      <c r="H79" s="213" t="e">
        <f t="shared" si="31"/>
        <v>#REF!</v>
      </c>
      <c r="I79" s="224" t="e">
        <f t="shared" si="32"/>
        <v>#REF!</v>
      </c>
      <c r="J79" s="213" t="e">
        <f t="shared" si="33"/>
        <v>#REF!</v>
      </c>
      <c r="K79" s="53" t="e">
        <f t="shared" si="34"/>
        <v>#REF!</v>
      </c>
      <c r="L79" s="53" t="e">
        <f t="shared" si="35"/>
        <v>#REF!</v>
      </c>
      <c r="M79" s="224" t="e">
        <f t="shared" si="36"/>
        <v>#REF!</v>
      </c>
      <c r="N79" s="224" t="e">
        <f t="shared" si="37"/>
        <v>#REF!</v>
      </c>
      <c r="O79" s="53"/>
    </row>
    <row r="80" spans="1:15" x14ac:dyDescent="0.2">
      <c r="A80" s="39" t="s">
        <v>131</v>
      </c>
      <c r="B80" s="2" t="e">
        <f t="shared" si="26"/>
        <v>#REF!</v>
      </c>
      <c r="C80" s="2" t="e">
        <f t="shared" si="27"/>
        <v>#REF!</v>
      </c>
      <c r="D80" s="40" t="e">
        <f t="shared" si="28"/>
        <v>#REF!</v>
      </c>
      <c r="E80" s="255" t="e">
        <f t="shared" si="38"/>
        <v>#REF!</v>
      </c>
      <c r="F80" s="213" t="e">
        <f t="shared" si="29"/>
        <v>#REF!</v>
      </c>
      <c r="G80" s="224" t="e">
        <f t="shared" si="30"/>
        <v>#REF!</v>
      </c>
      <c r="H80" s="213" t="e">
        <f t="shared" si="31"/>
        <v>#REF!</v>
      </c>
      <c r="I80" s="224" t="e">
        <f t="shared" si="32"/>
        <v>#REF!</v>
      </c>
      <c r="J80" s="213" t="e">
        <f t="shared" si="33"/>
        <v>#REF!</v>
      </c>
      <c r="K80" s="53" t="e">
        <f t="shared" si="34"/>
        <v>#REF!</v>
      </c>
      <c r="L80" s="53" t="e">
        <f t="shared" si="35"/>
        <v>#REF!</v>
      </c>
      <c r="M80" s="224" t="e">
        <f t="shared" si="36"/>
        <v>#REF!</v>
      </c>
      <c r="N80" s="224" t="e">
        <f t="shared" si="37"/>
        <v>#REF!</v>
      </c>
      <c r="O80" s="53"/>
    </row>
    <row r="81" spans="1:15" x14ac:dyDescent="0.2">
      <c r="A81" s="39" t="s">
        <v>132</v>
      </c>
      <c r="B81" s="2" t="e">
        <f t="shared" si="26"/>
        <v>#REF!</v>
      </c>
      <c r="C81" s="2" t="e">
        <f t="shared" si="27"/>
        <v>#REF!</v>
      </c>
      <c r="D81" s="40" t="e">
        <f t="shared" si="28"/>
        <v>#REF!</v>
      </c>
      <c r="E81" s="255" t="e">
        <f t="shared" si="38"/>
        <v>#REF!</v>
      </c>
      <c r="F81" s="213" t="e">
        <f t="shared" si="29"/>
        <v>#REF!</v>
      </c>
      <c r="G81" s="224" t="e">
        <f t="shared" si="30"/>
        <v>#REF!</v>
      </c>
      <c r="H81" s="213" t="e">
        <f t="shared" si="31"/>
        <v>#REF!</v>
      </c>
      <c r="I81" s="224" t="e">
        <f t="shared" si="32"/>
        <v>#REF!</v>
      </c>
      <c r="J81" s="213" t="e">
        <f t="shared" si="33"/>
        <v>#REF!</v>
      </c>
      <c r="K81" s="53" t="e">
        <f t="shared" si="34"/>
        <v>#REF!</v>
      </c>
      <c r="L81" s="53" t="e">
        <f t="shared" si="35"/>
        <v>#REF!</v>
      </c>
      <c r="M81" s="224" t="e">
        <f t="shared" si="36"/>
        <v>#REF!</v>
      </c>
      <c r="N81" s="224" t="e">
        <f t="shared" si="37"/>
        <v>#REF!</v>
      </c>
      <c r="O81" s="53"/>
    </row>
    <row r="82" spans="1:15" x14ac:dyDescent="0.2">
      <c r="A82" s="39" t="s">
        <v>133</v>
      </c>
      <c r="B82" s="2" t="e">
        <f t="shared" si="26"/>
        <v>#REF!</v>
      </c>
      <c r="C82" s="2" t="e">
        <f t="shared" si="27"/>
        <v>#REF!</v>
      </c>
      <c r="D82" s="40" t="e">
        <f t="shared" si="28"/>
        <v>#REF!</v>
      </c>
      <c r="E82" s="255" t="e">
        <f t="shared" si="38"/>
        <v>#REF!</v>
      </c>
      <c r="F82" s="213" t="e">
        <f t="shared" si="29"/>
        <v>#REF!</v>
      </c>
      <c r="G82" s="224" t="e">
        <f t="shared" si="30"/>
        <v>#REF!</v>
      </c>
      <c r="H82" s="213" t="e">
        <f t="shared" si="31"/>
        <v>#REF!</v>
      </c>
      <c r="I82" s="224" t="e">
        <f t="shared" si="32"/>
        <v>#REF!</v>
      </c>
      <c r="J82" s="213" t="e">
        <f t="shared" si="33"/>
        <v>#REF!</v>
      </c>
      <c r="K82" s="53" t="e">
        <f t="shared" si="34"/>
        <v>#REF!</v>
      </c>
      <c r="L82" s="53" t="e">
        <f t="shared" si="35"/>
        <v>#REF!</v>
      </c>
      <c r="M82" s="224" t="e">
        <f t="shared" si="36"/>
        <v>#REF!</v>
      </c>
      <c r="N82" s="224" t="e">
        <f t="shared" si="37"/>
        <v>#REF!</v>
      </c>
      <c r="O82" s="53"/>
    </row>
    <row r="83" spans="1:15" x14ac:dyDescent="0.2">
      <c r="A83" s="39" t="s">
        <v>134</v>
      </c>
      <c r="B83" s="2" t="e">
        <f t="shared" si="26"/>
        <v>#REF!</v>
      </c>
      <c r="C83" s="2" t="e">
        <f t="shared" si="27"/>
        <v>#REF!</v>
      </c>
      <c r="D83" s="40" t="e">
        <f t="shared" si="28"/>
        <v>#REF!</v>
      </c>
      <c r="E83" s="255" t="e">
        <f t="shared" si="38"/>
        <v>#REF!</v>
      </c>
      <c r="F83" s="213" t="e">
        <f t="shared" si="29"/>
        <v>#REF!</v>
      </c>
      <c r="G83" s="224" t="e">
        <f t="shared" si="30"/>
        <v>#REF!</v>
      </c>
      <c r="H83" s="213" t="e">
        <f t="shared" si="31"/>
        <v>#REF!</v>
      </c>
      <c r="I83" s="224" t="e">
        <f t="shared" si="32"/>
        <v>#REF!</v>
      </c>
      <c r="J83" s="213" t="e">
        <f t="shared" si="33"/>
        <v>#REF!</v>
      </c>
      <c r="K83" s="53" t="e">
        <f t="shared" si="34"/>
        <v>#REF!</v>
      </c>
      <c r="L83" s="53" t="e">
        <f t="shared" si="35"/>
        <v>#REF!</v>
      </c>
      <c r="M83" s="224" t="e">
        <f t="shared" si="36"/>
        <v>#REF!</v>
      </c>
      <c r="N83" s="224" t="e">
        <f t="shared" si="37"/>
        <v>#REF!</v>
      </c>
      <c r="O83" s="53"/>
    </row>
    <row r="84" spans="1:15" x14ac:dyDescent="0.2">
      <c r="A84" s="39" t="s">
        <v>135</v>
      </c>
      <c r="B84" s="2" t="e">
        <f t="shared" si="26"/>
        <v>#REF!</v>
      </c>
      <c r="C84" s="2" t="e">
        <f t="shared" si="27"/>
        <v>#REF!</v>
      </c>
      <c r="D84" s="40" t="e">
        <f t="shared" si="28"/>
        <v>#REF!</v>
      </c>
      <c r="E84" s="255" t="e">
        <f t="shared" si="38"/>
        <v>#REF!</v>
      </c>
      <c r="F84" s="213" t="e">
        <f t="shared" si="29"/>
        <v>#REF!</v>
      </c>
      <c r="G84" s="224" t="e">
        <f t="shared" si="30"/>
        <v>#REF!</v>
      </c>
      <c r="H84" s="213" t="e">
        <f t="shared" si="31"/>
        <v>#REF!</v>
      </c>
      <c r="I84" s="224" t="e">
        <f t="shared" si="32"/>
        <v>#REF!</v>
      </c>
      <c r="J84" s="213" t="e">
        <f t="shared" si="33"/>
        <v>#REF!</v>
      </c>
      <c r="K84" s="53" t="e">
        <f t="shared" si="34"/>
        <v>#REF!</v>
      </c>
      <c r="L84" s="53" t="e">
        <f t="shared" si="35"/>
        <v>#REF!</v>
      </c>
      <c r="M84" s="224" t="e">
        <f t="shared" si="36"/>
        <v>#REF!</v>
      </c>
      <c r="N84" s="224" t="e">
        <f t="shared" si="37"/>
        <v>#REF!</v>
      </c>
      <c r="O84" s="53"/>
    </row>
    <row r="85" spans="1:15" x14ac:dyDescent="0.2">
      <c r="A85" s="39" t="s">
        <v>136</v>
      </c>
      <c r="B85" s="2" t="e">
        <f t="shared" si="26"/>
        <v>#REF!</v>
      </c>
      <c r="C85" s="2" t="e">
        <f t="shared" si="27"/>
        <v>#REF!</v>
      </c>
      <c r="D85" s="40" t="e">
        <f t="shared" si="28"/>
        <v>#REF!</v>
      </c>
      <c r="E85" s="255" t="e">
        <f t="shared" si="38"/>
        <v>#REF!</v>
      </c>
      <c r="F85" s="213" t="e">
        <f t="shared" si="29"/>
        <v>#REF!</v>
      </c>
      <c r="G85" s="224" t="e">
        <f t="shared" si="30"/>
        <v>#REF!</v>
      </c>
      <c r="H85" s="213" t="e">
        <f t="shared" si="31"/>
        <v>#REF!</v>
      </c>
      <c r="I85" s="224" t="e">
        <f t="shared" si="32"/>
        <v>#REF!</v>
      </c>
      <c r="J85" s="213" t="e">
        <f t="shared" si="33"/>
        <v>#REF!</v>
      </c>
      <c r="K85" s="53" t="e">
        <f t="shared" si="34"/>
        <v>#REF!</v>
      </c>
      <c r="L85" s="53" t="e">
        <f t="shared" si="35"/>
        <v>#REF!</v>
      </c>
      <c r="M85" s="224" t="e">
        <f t="shared" si="36"/>
        <v>#REF!</v>
      </c>
      <c r="N85" s="224" t="e">
        <f t="shared" si="37"/>
        <v>#REF!</v>
      </c>
      <c r="O85" s="53"/>
    </row>
    <row r="86" spans="1:15" x14ac:dyDescent="0.2">
      <c r="A86" s="39" t="s">
        <v>137</v>
      </c>
      <c r="B86" s="2" t="e">
        <f t="shared" si="26"/>
        <v>#REF!</v>
      </c>
      <c r="C86" s="2" t="e">
        <f t="shared" si="27"/>
        <v>#REF!</v>
      </c>
      <c r="D86" s="40" t="e">
        <f t="shared" si="28"/>
        <v>#REF!</v>
      </c>
      <c r="E86" s="255" t="e">
        <f t="shared" si="38"/>
        <v>#REF!</v>
      </c>
      <c r="F86" s="213" t="e">
        <f t="shared" si="29"/>
        <v>#REF!</v>
      </c>
      <c r="G86" s="224" t="e">
        <f t="shared" si="30"/>
        <v>#REF!</v>
      </c>
      <c r="H86" s="213" t="e">
        <f t="shared" si="31"/>
        <v>#REF!</v>
      </c>
      <c r="I86" s="224" t="e">
        <f t="shared" si="32"/>
        <v>#REF!</v>
      </c>
      <c r="J86" s="213" t="e">
        <f t="shared" si="33"/>
        <v>#REF!</v>
      </c>
      <c r="K86" s="53" t="e">
        <f t="shared" si="34"/>
        <v>#REF!</v>
      </c>
      <c r="L86" s="53" t="e">
        <f t="shared" si="35"/>
        <v>#REF!</v>
      </c>
      <c r="M86" s="224" t="e">
        <f t="shared" si="36"/>
        <v>#REF!</v>
      </c>
      <c r="N86" s="224" t="e">
        <f t="shared" si="37"/>
        <v>#REF!</v>
      </c>
      <c r="O86" s="53"/>
    </row>
    <row r="87" spans="1:15" x14ac:dyDescent="0.2">
      <c r="A87" s="39" t="s">
        <v>138</v>
      </c>
      <c r="B87" s="2" t="e">
        <f t="shared" si="26"/>
        <v>#REF!</v>
      </c>
      <c r="C87" s="2" t="e">
        <f t="shared" si="27"/>
        <v>#REF!</v>
      </c>
      <c r="D87" s="40" t="e">
        <f t="shared" si="28"/>
        <v>#REF!</v>
      </c>
      <c r="E87" s="255" t="e">
        <f t="shared" si="38"/>
        <v>#REF!</v>
      </c>
      <c r="F87" s="213" t="e">
        <f t="shared" si="29"/>
        <v>#REF!</v>
      </c>
      <c r="G87" s="224" t="e">
        <f t="shared" si="30"/>
        <v>#REF!</v>
      </c>
      <c r="H87" s="213" t="e">
        <f t="shared" si="31"/>
        <v>#REF!</v>
      </c>
      <c r="I87" s="224" t="e">
        <f t="shared" si="32"/>
        <v>#REF!</v>
      </c>
      <c r="J87" s="213" t="e">
        <f t="shared" si="33"/>
        <v>#REF!</v>
      </c>
      <c r="K87" s="53" t="e">
        <f t="shared" si="34"/>
        <v>#REF!</v>
      </c>
      <c r="L87" s="53" t="e">
        <f t="shared" si="35"/>
        <v>#REF!</v>
      </c>
      <c r="M87" s="224" t="e">
        <f t="shared" si="36"/>
        <v>#REF!</v>
      </c>
      <c r="N87" s="224" t="e">
        <f t="shared" si="37"/>
        <v>#REF!</v>
      </c>
      <c r="O87" s="53"/>
    </row>
    <row r="88" spans="1:15" x14ac:dyDescent="0.2">
      <c r="A88" s="39" t="s">
        <v>139</v>
      </c>
      <c r="B88" s="2" t="e">
        <f t="shared" si="26"/>
        <v>#REF!</v>
      </c>
      <c r="C88" s="2" t="e">
        <f t="shared" si="27"/>
        <v>#REF!</v>
      </c>
      <c r="D88" s="40" t="e">
        <f t="shared" si="28"/>
        <v>#REF!</v>
      </c>
      <c r="E88" s="255" t="e">
        <f t="shared" si="38"/>
        <v>#REF!</v>
      </c>
      <c r="F88" s="213" t="e">
        <f t="shared" si="29"/>
        <v>#REF!</v>
      </c>
      <c r="G88" s="224" t="e">
        <f t="shared" si="30"/>
        <v>#REF!</v>
      </c>
      <c r="H88" s="213" t="e">
        <f t="shared" si="31"/>
        <v>#REF!</v>
      </c>
      <c r="I88" s="224" t="e">
        <f t="shared" si="32"/>
        <v>#REF!</v>
      </c>
      <c r="J88" s="213" t="e">
        <f t="shared" si="33"/>
        <v>#REF!</v>
      </c>
      <c r="K88" s="53" t="e">
        <f t="shared" si="34"/>
        <v>#REF!</v>
      </c>
      <c r="L88" s="53" t="e">
        <f t="shared" si="35"/>
        <v>#REF!</v>
      </c>
      <c r="M88" s="224" t="e">
        <f t="shared" si="36"/>
        <v>#REF!</v>
      </c>
      <c r="N88" s="224" t="e">
        <f t="shared" si="37"/>
        <v>#REF!</v>
      </c>
      <c r="O88" s="53"/>
    </row>
    <row r="89" spans="1:15" x14ac:dyDescent="0.2">
      <c r="A89" s="39" t="s">
        <v>140</v>
      </c>
      <c r="B89" s="2" t="e">
        <f t="shared" si="26"/>
        <v>#REF!</v>
      </c>
      <c r="C89" s="2" t="e">
        <f t="shared" si="27"/>
        <v>#REF!</v>
      </c>
      <c r="D89" s="40" t="e">
        <f t="shared" si="28"/>
        <v>#REF!</v>
      </c>
      <c r="E89" s="255" t="e">
        <f t="shared" si="38"/>
        <v>#REF!</v>
      </c>
      <c r="F89" s="213" t="e">
        <f t="shared" si="29"/>
        <v>#REF!</v>
      </c>
      <c r="G89" s="224" t="e">
        <f t="shared" si="30"/>
        <v>#REF!</v>
      </c>
      <c r="H89" s="213" t="e">
        <f t="shared" si="31"/>
        <v>#REF!</v>
      </c>
      <c r="I89" s="224" t="e">
        <f t="shared" si="32"/>
        <v>#REF!</v>
      </c>
      <c r="J89" s="213" t="e">
        <f t="shared" si="33"/>
        <v>#REF!</v>
      </c>
      <c r="K89" s="53" t="e">
        <f t="shared" si="34"/>
        <v>#REF!</v>
      </c>
      <c r="L89" s="53" t="e">
        <f t="shared" si="35"/>
        <v>#REF!</v>
      </c>
      <c r="M89" s="224" t="e">
        <f t="shared" si="36"/>
        <v>#REF!</v>
      </c>
      <c r="N89" s="224" t="e">
        <f t="shared" si="37"/>
        <v>#REF!</v>
      </c>
      <c r="O89" s="53"/>
    </row>
    <row r="90" spans="1:15" x14ac:dyDescent="0.2">
      <c r="A90" s="39" t="s">
        <v>141</v>
      </c>
      <c r="B90" s="2" t="e">
        <f t="shared" si="26"/>
        <v>#REF!</v>
      </c>
      <c r="C90" s="2" t="e">
        <f t="shared" si="27"/>
        <v>#REF!</v>
      </c>
      <c r="D90" s="40" t="e">
        <f t="shared" si="28"/>
        <v>#REF!</v>
      </c>
      <c r="E90" s="255" t="e">
        <f t="shared" si="38"/>
        <v>#REF!</v>
      </c>
      <c r="F90" s="213" t="e">
        <f t="shared" si="29"/>
        <v>#REF!</v>
      </c>
      <c r="G90" s="224" t="e">
        <f t="shared" si="30"/>
        <v>#REF!</v>
      </c>
      <c r="H90" s="213" t="e">
        <f t="shared" si="31"/>
        <v>#REF!</v>
      </c>
      <c r="I90" s="224" t="e">
        <f t="shared" si="32"/>
        <v>#REF!</v>
      </c>
      <c r="J90" s="213" t="e">
        <f t="shared" si="33"/>
        <v>#REF!</v>
      </c>
      <c r="K90" s="53" t="e">
        <f t="shared" si="34"/>
        <v>#REF!</v>
      </c>
      <c r="L90" s="53" t="e">
        <f t="shared" si="35"/>
        <v>#REF!</v>
      </c>
      <c r="M90" s="224" t="e">
        <f t="shared" si="36"/>
        <v>#REF!</v>
      </c>
      <c r="N90" s="224" t="e">
        <f t="shared" si="37"/>
        <v>#REF!</v>
      </c>
      <c r="O90" s="53"/>
    </row>
    <row r="91" spans="1:15" x14ac:dyDescent="0.2">
      <c r="A91" s="39" t="s">
        <v>142</v>
      </c>
      <c r="B91" s="2" t="e">
        <f t="shared" si="26"/>
        <v>#REF!</v>
      </c>
      <c r="C91" s="2" t="e">
        <f t="shared" si="27"/>
        <v>#REF!</v>
      </c>
      <c r="D91" s="40" t="e">
        <f t="shared" si="28"/>
        <v>#REF!</v>
      </c>
      <c r="E91" s="255" t="e">
        <f t="shared" si="38"/>
        <v>#REF!</v>
      </c>
      <c r="F91" s="213" t="e">
        <f t="shared" si="29"/>
        <v>#REF!</v>
      </c>
      <c r="G91" s="224" t="e">
        <f t="shared" si="30"/>
        <v>#REF!</v>
      </c>
      <c r="H91" s="213" t="e">
        <f t="shared" si="31"/>
        <v>#REF!</v>
      </c>
      <c r="I91" s="224" t="e">
        <f t="shared" si="32"/>
        <v>#REF!</v>
      </c>
      <c r="J91" s="213" t="e">
        <f t="shared" si="33"/>
        <v>#REF!</v>
      </c>
      <c r="K91" s="53" t="e">
        <f t="shared" si="34"/>
        <v>#REF!</v>
      </c>
      <c r="L91" s="53" t="e">
        <f t="shared" si="35"/>
        <v>#REF!</v>
      </c>
      <c r="M91" s="224" t="e">
        <f t="shared" si="36"/>
        <v>#REF!</v>
      </c>
      <c r="N91" s="224" t="e">
        <f t="shared" si="37"/>
        <v>#REF!</v>
      </c>
      <c r="O91" s="53"/>
    </row>
    <row r="92" spans="1:15" x14ac:dyDescent="0.2">
      <c r="A92" s="39" t="s">
        <v>143</v>
      </c>
      <c r="B92" s="2" t="e">
        <f t="shared" si="26"/>
        <v>#REF!</v>
      </c>
      <c r="C92" s="2" t="e">
        <f t="shared" si="27"/>
        <v>#REF!</v>
      </c>
      <c r="D92" s="40" t="e">
        <f t="shared" si="28"/>
        <v>#REF!</v>
      </c>
      <c r="E92" s="255" t="e">
        <f t="shared" si="38"/>
        <v>#REF!</v>
      </c>
      <c r="F92" s="213" t="e">
        <f t="shared" si="29"/>
        <v>#REF!</v>
      </c>
      <c r="G92" s="224" t="e">
        <f t="shared" si="30"/>
        <v>#REF!</v>
      </c>
      <c r="H92" s="213" t="e">
        <f t="shared" si="31"/>
        <v>#REF!</v>
      </c>
      <c r="I92" s="224" t="e">
        <f t="shared" si="32"/>
        <v>#REF!</v>
      </c>
      <c r="J92" s="213" t="e">
        <f t="shared" si="33"/>
        <v>#REF!</v>
      </c>
      <c r="K92" s="53" t="e">
        <f t="shared" si="34"/>
        <v>#REF!</v>
      </c>
      <c r="L92" s="53" t="e">
        <f t="shared" si="35"/>
        <v>#REF!</v>
      </c>
      <c r="M92" s="224" t="e">
        <f t="shared" si="36"/>
        <v>#REF!</v>
      </c>
      <c r="N92" s="224" t="e">
        <f t="shared" si="37"/>
        <v>#REF!</v>
      </c>
      <c r="O92" s="53"/>
    </row>
    <row r="93" spans="1:15" x14ac:dyDescent="0.2">
      <c r="A93" s="39" t="s">
        <v>144</v>
      </c>
      <c r="B93" s="2" t="e">
        <f t="shared" si="26"/>
        <v>#REF!</v>
      </c>
      <c r="C93" s="2" t="e">
        <f t="shared" si="27"/>
        <v>#REF!</v>
      </c>
      <c r="D93" s="40" t="e">
        <f t="shared" si="28"/>
        <v>#REF!</v>
      </c>
      <c r="E93" s="255" t="e">
        <f t="shared" si="38"/>
        <v>#REF!</v>
      </c>
      <c r="F93" s="213" t="e">
        <f t="shared" si="29"/>
        <v>#REF!</v>
      </c>
      <c r="G93" s="224" t="e">
        <f t="shared" si="30"/>
        <v>#REF!</v>
      </c>
      <c r="H93" s="213" t="e">
        <f t="shared" si="31"/>
        <v>#REF!</v>
      </c>
      <c r="I93" s="224" t="e">
        <f t="shared" si="32"/>
        <v>#REF!</v>
      </c>
      <c r="J93" s="213" t="e">
        <f t="shared" si="33"/>
        <v>#REF!</v>
      </c>
      <c r="K93" s="53" t="e">
        <f t="shared" si="34"/>
        <v>#REF!</v>
      </c>
      <c r="L93" s="53" t="e">
        <f t="shared" si="35"/>
        <v>#REF!</v>
      </c>
      <c r="M93" s="224" t="e">
        <f t="shared" si="36"/>
        <v>#REF!</v>
      </c>
      <c r="N93" s="224" t="e">
        <f t="shared" si="37"/>
        <v>#REF!</v>
      </c>
      <c r="O93" s="53"/>
    </row>
    <row r="94" spans="1:15" x14ac:dyDescent="0.2">
      <c r="A94" s="39" t="s">
        <v>145</v>
      </c>
      <c r="B94" s="2" t="e">
        <f t="shared" si="26"/>
        <v>#REF!</v>
      </c>
      <c r="C94" s="2" t="e">
        <f t="shared" si="27"/>
        <v>#REF!</v>
      </c>
      <c r="D94" s="40" t="e">
        <f t="shared" si="28"/>
        <v>#REF!</v>
      </c>
      <c r="E94" s="255" t="e">
        <f t="shared" si="38"/>
        <v>#REF!</v>
      </c>
      <c r="F94" s="213" t="e">
        <f t="shared" si="29"/>
        <v>#REF!</v>
      </c>
      <c r="G94" s="224" t="e">
        <f t="shared" si="30"/>
        <v>#REF!</v>
      </c>
      <c r="H94" s="213" t="e">
        <f t="shared" si="31"/>
        <v>#REF!</v>
      </c>
      <c r="I94" s="224" t="e">
        <f t="shared" si="32"/>
        <v>#REF!</v>
      </c>
      <c r="J94" s="213" t="e">
        <f t="shared" si="33"/>
        <v>#REF!</v>
      </c>
      <c r="K94" s="53" t="e">
        <f t="shared" si="34"/>
        <v>#REF!</v>
      </c>
      <c r="L94" s="53" t="e">
        <f t="shared" si="35"/>
        <v>#REF!</v>
      </c>
      <c r="M94" s="224" t="e">
        <f t="shared" si="36"/>
        <v>#REF!</v>
      </c>
      <c r="N94" s="224" t="e">
        <f t="shared" si="37"/>
        <v>#REF!</v>
      </c>
      <c r="O94" s="53"/>
    </row>
    <row r="95" spans="1:15" x14ac:dyDescent="0.2">
      <c r="A95" s="39" t="s">
        <v>146</v>
      </c>
      <c r="B95" s="2" t="e">
        <f t="shared" si="26"/>
        <v>#REF!</v>
      </c>
      <c r="C95" s="2" t="e">
        <f t="shared" si="27"/>
        <v>#REF!</v>
      </c>
      <c r="D95" s="40" t="e">
        <f t="shared" si="28"/>
        <v>#REF!</v>
      </c>
      <c r="E95" s="255" t="e">
        <f t="shared" si="38"/>
        <v>#REF!</v>
      </c>
      <c r="F95" s="213" t="e">
        <f t="shared" si="29"/>
        <v>#REF!</v>
      </c>
      <c r="G95" s="224" t="e">
        <f t="shared" si="30"/>
        <v>#REF!</v>
      </c>
      <c r="H95" s="213" t="e">
        <f t="shared" si="31"/>
        <v>#REF!</v>
      </c>
      <c r="I95" s="224" t="e">
        <f t="shared" si="32"/>
        <v>#REF!</v>
      </c>
      <c r="J95" s="213" t="e">
        <f t="shared" si="33"/>
        <v>#REF!</v>
      </c>
      <c r="K95" s="53" t="e">
        <f t="shared" si="34"/>
        <v>#REF!</v>
      </c>
      <c r="L95" s="53" t="e">
        <f t="shared" si="35"/>
        <v>#REF!</v>
      </c>
      <c r="M95" s="224" t="e">
        <f t="shared" si="36"/>
        <v>#REF!</v>
      </c>
      <c r="N95" s="224" t="e">
        <f t="shared" si="37"/>
        <v>#REF!</v>
      </c>
      <c r="O95" s="53"/>
    </row>
    <row r="96" spans="1:15" x14ac:dyDescent="0.2">
      <c r="A96" s="39" t="s">
        <v>147</v>
      </c>
      <c r="B96" s="2" t="e">
        <f t="shared" si="26"/>
        <v>#REF!</v>
      </c>
      <c r="C96" s="2" t="e">
        <f t="shared" si="27"/>
        <v>#REF!</v>
      </c>
      <c r="D96" s="40" t="e">
        <f t="shared" si="28"/>
        <v>#REF!</v>
      </c>
      <c r="E96" s="255" t="e">
        <f t="shared" si="38"/>
        <v>#REF!</v>
      </c>
      <c r="F96" s="213" t="e">
        <f t="shared" si="29"/>
        <v>#REF!</v>
      </c>
      <c r="G96" s="224" t="e">
        <f t="shared" si="30"/>
        <v>#REF!</v>
      </c>
      <c r="H96" s="213" t="e">
        <f t="shared" si="31"/>
        <v>#REF!</v>
      </c>
      <c r="I96" s="224" t="e">
        <f t="shared" si="32"/>
        <v>#REF!</v>
      </c>
      <c r="J96" s="213" t="e">
        <f t="shared" si="33"/>
        <v>#REF!</v>
      </c>
      <c r="K96" s="53" t="e">
        <f t="shared" si="34"/>
        <v>#REF!</v>
      </c>
      <c r="L96" s="53" t="e">
        <f t="shared" si="35"/>
        <v>#REF!</v>
      </c>
      <c r="M96" s="224" t="e">
        <f t="shared" si="36"/>
        <v>#REF!</v>
      </c>
      <c r="N96" s="224" t="e">
        <f t="shared" si="37"/>
        <v>#REF!</v>
      </c>
      <c r="O96" s="53"/>
    </row>
    <row r="97" spans="1:15" x14ac:dyDescent="0.2">
      <c r="A97" s="39" t="s">
        <v>148</v>
      </c>
      <c r="B97" s="2" t="e">
        <f t="shared" si="26"/>
        <v>#REF!</v>
      </c>
      <c r="C97" s="2" t="e">
        <f t="shared" si="27"/>
        <v>#REF!</v>
      </c>
      <c r="D97" s="40" t="e">
        <f t="shared" si="28"/>
        <v>#REF!</v>
      </c>
      <c r="E97" s="255" t="e">
        <f t="shared" si="38"/>
        <v>#REF!</v>
      </c>
      <c r="F97" s="213" t="e">
        <f t="shared" si="29"/>
        <v>#REF!</v>
      </c>
      <c r="G97" s="224" t="e">
        <f t="shared" si="30"/>
        <v>#REF!</v>
      </c>
      <c r="H97" s="213" t="e">
        <f t="shared" si="31"/>
        <v>#REF!</v>
      </c>
      <c r="I97" s="224" t="e">
        <f t="shared" si="32"/>
        <v>#REF!</v>
      </c>
      <c r="J97" s="213" t="e">
        <f t="shared" si="33"/>
        <v>#REF!</v>
      </c>
      <c r="K97" s="53" t="e">
        <f t="shared" si="34"/>
        <v>#REF!</v>
      </c>
      <c r="L97" s="53" t="e">
        <f t="shared" si="35"/>
        <v>#REF!</v>
      </c>
      <c r="M97" s="224" t="e">
        <f t="shared" si="36"/>
        <v>#REF!</v>
      </c>
      <c r="N97" s="224" t="e">
        <f t="shared" si="37"/>
        <v>#REF!</v>
      </c>
      <c r="O97" s="53"/>
    </row>
    <row r="98" spans="1:15" x14ac:dyDescent="0.2">
      <c r="A98" s="39" t="s">
        <v>149</v>
      </c>
      <c r="B98" s="2" t="e">
        <f t="shared" si="26"/>
        <v>#REF!</v>
      </c>
      <c r="C98" s="2" t="e">
        <f t="shared" si="27"/>
        <v>#REF!</v>
      </c>
      <c r="D98" s="40" t="e">
        <f t="shared" si="28"/>
        <v>#REF!</v>
      </c>
      <c r="E98" s="255" t="e">
        <f t="shared" si="38"/>
        <v>#REF!</v>
      </c>
      <c r="F98" s="213" t="e">
        <f t="shared" si="29"/>
        <v>#REF!</v>
      </c>
      <c r="G98" s="224" t="e">
        <f t="shared" si="30"/>
        <v>#REF!</v>
      </c>
      <c r="H98" s="213" t="e">
        <f t="shared" si="31"/>
        <v>#REF!</v>
      </c>
      <c r="I98" s="224" t="e">
        <f t="shared" si="32"/>
        <v>#REF!</v>
      </c>
      <c r="J98" s="213" t="e">
        <f t="shared" si="33"/>
        <v>#REF!</v>
      </c>
      <c r="K98" s="53" t="e">
        <f t="shared" si="34"/>
        <v>#REF!</v>
      </c>
      <c r="L98" s="53" t="e">
        <f t="shared" si="35"/>
        <v>#REF!</v>
      </c>
      <c r="M98" s="224" t="e">
        <f t="shared" si="36"/>
        <v>#REF!</v>
      </c>
      <c r="N98" s="224" t="e">
        <f t="shared" si="37"/>
        <v>#REF!</v>
      </c>
      <c r="O98" s="53"/>
    </row>
    <row r="99" spans="1:15" x14ac:dyDescent="0.2">
      <c r="A99" s="39" t="s">
        <v>150</v>
      </c>
      <c r="B99" s="2" t="e">
        <f t="shared" si="26"/>
        <v>#REF!</v>
      </c>
      <c r="C99" s="2" t="e">
        <f t="shared" si="27"/>
        <v>#REF!</v>
      </c>
      <c r="D99" s="40" t="e">
        <f t="shared" si="28"/>
        <v>#REF!</v>
      </c>
      <c r="E99" s="255" t="e">
        <f t="shared" si="38"/>
        <v>#REF!</v>
      </c>
      <c r="F99" s="213" t="e">
        <f t="shared" si="29"/>
        <v>#REF!</v>
      </c>
      <c r="G99" s="224" t="e">
        <f t="shared" si="30"/>
        <v>#REF!</v>
      </c>
      <c r="H99" s="213" t="e">
        <f t="shared" si="31"/>
        <v>#REF!</v>
      </c>
      <c r="I99" s="224" t="e">
        <f t="shared" si="32"/>
        <v>#REF!</v>
      </c>
      <c r="J99" s="213" t="e">
        <f t="shared" si="33"/>
        <v>#REF!</v>
      </c>
      <c r="K99" s="53" t="e">
        <f t="shared" si="34"/>
        <v>#REF!</v>
      </c>
      <c r="L99" s="53" t="e">
        <f t="shared" si="35"/>
        <v>#REF!</v>
      </c>
      <c r="M99" s="224" t="e">
        <f t="shared" si="36"/>
        <v>#REF!</v>
      </c>
      <c r="N99" s="224" t="e">
        <f t="shared" si="37"/>
        <v>#REF!</v>
      </c>
      <c r="O99" s="53"/>
    </row>
    <row r="100" spans="1:15" x14ac:dyDescent="0.2">
      <c r="A100" s="39" t="s">
        <v>151</v>
      </c>
      <c r="B100" s="2" t="e">
        <f t="shared" si="26"/>
        <v>#REF!</v>
      </c>
      <c r="C100" s="2" t="e">
        <f t="shared" si="27"/>
        <v>#REF!</v>
      </c>
      <c r="D100" s="40" t="e">
        <f t="shared" si="28"/>
        <v>#REF!</v>
      </c>
      <c r="E100" s="255" t="e">
        <f t="shared" si="38"/>
        <v>#REF!</v>
      </c>
      <c r="F100" s="213" t="e">
        <f t="shared" si="29"/>
        <v>#REF!</v>
      </c>
      <c r="G100" s="224" t="e">
        <f t="shared" si="30"/>
        <v>#REF!</v>
      </c>
      <c r="H100" s="213" t="e">
        <f t="shared" si="31"/>
        <v>#REF!</v>
      </c>
      <c r="I100" s="224" t="e">
        <f t="shared" si="32"/>
        <v>#REF!</v>
      </c>
      <c r="J100" s="213" t="e">
        <f t="shared" si="33"/>
        <v>#REF!</v>
      </c>
      <c r="K100" s="53" t="e">
        <f t="shared" si="34"/>
        <v>#REF!</v>
      </c>
      <c r="L100" s="53" t="e">
        <f t="shared" si="35"/>
        <v>#REF!</v>
      </c>
      <c r="M100" s="224" t="e">
        <f t="shared" si="36"/>
        <v>#REF!</v>
      </c>
      <c r="N100" s="224" t="e">
        <f t="shared" si="37"/>
        <v>#REF!</v>
      </c>
      <c r="O100" s="53"/>
    </row>
    <row r="101" spans="1:15" x14ac:dyDescent="0.2">
      <c r="A101" s="39" t="s">
        <v>152</v>
      </c>
      <c r="B101" s="2" t="e">
        <f t="shared" si="26"/>
        <v>#REF!</v>
      </c>
      <c r="C101" s="2" t="e">
        <f t="shared" si="27"/>
        <v>#REF!</v>
      </c>
      <c r="D101" s="40" t="e">
        <f t="shared" si="28"/>
        <v>#REF!</v>
      </c>
      <c r="E101" s="255" t="e">
        <f t="shared" si="38"/>
        <v>#REF!</v>
      </c>
      <c r="F101" s="213" t="e">
        <f t="shared" si="29"/>
        <v>#REF!</v>
      </c>
      <c r="G101" s="224" t="e">
        <f t="shared" si="30"/>
        <v>#REF!</v>
      </c>
      <c r="H101" s="213" t="e">
        <f t="shared" si="31"/>
        <v>#REF!</v>
      </c>
      <c r="I101" s="224" t="e">
        <f t="shared" si="32"/>
        <v>#REF!</v>
      </c>
      <c r="J101" s="213" t="e">
        <f t="shared" si="33"/>
        <v>#REF!</v>
      </c>
      <c r="K101" s="53" t="e">
        <f t="shared" si="34"/>
        <v>#REF!</v>
      </c>
      <c r="L101" s="53" t="e">
        <f t="shared" si="35"/>
        <v>#REF!</v>
      </c>
      <c r="M101" s="224" t="e">
        <f t="shared" si="36"/>
        <v>#REF!</v>
      </c>
      <c r="N101" s="224" t="e">
        <f t="shared" si="37"/>
        <v>#REF!</v>
      </c>
      <c r="O101" s="53"/>
    </row>
    <row r="102" spans="1:15" x14ac:dyDescent="0.2">
      <c r="A102" s="39" t="s">
        <v>153</v>
      </c>
      <c r="B102" s="2" t="e">
        <f t="shared" ref="B102:B118" si="39">INDEX(Crop_data,MATCH(A102,Crop_data_codes,0),2)</f>
        <v>#REF!</v>
      </c>
      <c r="C102" s="2" t="e">
        <f t="shared" ref="C102:C118" si="40">INDEX(Crop_data,MATCH(A102,Crop_data_codes,0),3)</f>
        <v>#REF!</v>
      </c>
      <c r="D102" s="40" t="e">
        <f t="shared" ref="D102:D118" si="41">INDEX(Crop_data,MATCH(A102,Crop_data_codes,0),4)</f>
        <v>#REF!</v>
      </c>
      <c r="E102" s="255" t="e">
        <f t="shared" si="38"/>
        <v>#REF!</v>
      </c>
      <c r="F102" s="213" t="e">
        <f t="shared" ref="F102:F118" si="42">IF(D102="YES",INDEX(CO2_data,MATCH(A102,CO2_codes,0),2)+INDEX(CH4_data,MATCH(A102,CH4_codes,0),2)*CF_fossil_CH4+INDEX(CH4_bio_data,MATCH(A102,CH4_bio_codes,0),2)*CF_biog_CH4+INDEX(N2O_data,MATCH(A102,N2O_codes,0),2)*CF_N2O,"")</f>
        <v>#REF!</v>
      </c>
      <c r="G102" s="224" t="e">
        <f t="shared" ref="G102:G118" si="43">IF(D102="YES",INDEX(CO2_data,MATCH(A102,CO2_codes,0),3)+INDEX(CH4_data,MATCH(A102,CH4_codes,0),3)*CF_fossil_CH4+INDEX(CH4_bio_data,MATCH(A102,CH4_bio_codes,0),3)*CF_biog_CH4+INDEX(N2O_data,MATCH(A102,N2O_codes,0),3)*CF_N2O,"")</f>
        <v>#REF!</v>
      </c>
      <c r="H102" s="213" t="e">
        <f t="shared" ref="H102:H118" si="44">IF(D102="YES",INDEX(CO2_data,MATCH(A102,CO2_codes,0),4)+INDEX(CH4_data,MATCH(A102,CH4_codes,0),4)*CF_fossil_CH4+INDEX(CH4_bio_data,MATCH(A102,CH4_bio_codes,0),4)*CF_biog_CH4+INDEX(N2O_data,MATCH(A102,N2O_codes,0),4)*CF_N2O,"")</f>
        <v>#REF!</v>
      </c>
      <c r="I102" s="224" t="e">
        <f t="shared" ref="I102:I118" si="45">IF(D102="YES",INDEX(CO2_data,MATCH(A102,CO2_codes,0),5)+INDEX(CH4_data,MATCH(A102,CH4_codes,0),5)*CF_fossil_CH4+INDEX(CH4_bio_data,MATCH(A102,CH4_bio_codes,0),5)*CF_biog_CH4+INDEX(N2O_data,MATCH(A102,N2O_codes,0),5)*CF_N2O,"")</f>
        <v>#REF!</v>
      </c>
      <c r="J102" s="213" t="e">
        <f t="shared" ref="J102:J118" si="46">IF(D102="YES",INDEX(CO2_data,MATCH(A102,CO2_codes,0),6)+INDEX(CH4_data,MATCH(A102,CH4_codes,0),6)*CF_fossil_CH4+INDEX(CH4_bio_data,MATCH(A102,CH4_bio_codes,0),6)*CF_biog_CH4+INDEX(N2O_data,MATCH(A102,N2O_codes,0),6)*CF_N2O,"")</f>
        <v>#REF!</v>
      </c>
      <c r="K102" s="53" t="e">
        <f t="shared" ref="K102:K118" si="47">IF(D102="YES",INDEX(CO2_data,MATCH(A102,CO2_codes,0),7)+INDEX(CH4_data,MATCH(A102,CH4_codes,0),7)*CF_fossil_CH4+INDEX(CH4_bio_data,MATCH(A102,CH4_bio_codes,0),7)*CF_biog_CH4+INDEX(N2O_data,MATCH(A102,N2O_codes,0),7)*CF_N2O,"")</f>
        <v>#REF!</v>
      </c>
      <c r="L102" s="53" t="e">
        <f t="shared" ref="L102:L118" si="48">IF(D102="YES",INDEX(CO2_data,MATCH(A102,CO2_codes,0),8)+INDEX(CH4_data,MATCH(A102,CH4_codes,0),8)*CF_fossil_CH4+INDEX(CH4_bio_data,MATCH(A102,CH4_bio_codes,0),8)*CF_biog_CH4+INDEX(N2O_data,MATCH(A102,N2O_codes,0),8)*CF_N2O,"")</f>
        <v>#REF!</v>
      </c>
      <c r="M102" s="224" t="e">
        <f t="shared" ref="M102:M118" si="49">IF(D102="YES",INDEX(CO2_data,MATCH(A102,CO2_codes,0),9)+INDEX(CH4_data,MATCH(A102,CH4_codes,0),9)*CF_fossil_CH4+INDEX(CH4_bio_data,MATCH(A102,CH4_bio_codes,0),9)*CF_biog_CH4+INDEX(N2O_data,MATCH(A102,N2O_codes,0),9)*CF_N2O,"")</f>
        <v>#REF!</v>
      </c>
      <c r="N102" s="224" t="e">
        <f t="shared" ref="N102:N118" si="50">IF(D102="YES",INDEX(CO2_data,MATCH(A102,CO2_codes,0),10)+INDEX(CH4_data,MATCH(A102,CH4_codes,0),10)*CF_fossil_CH4+INDEX(CH4_bio_data,MATCH(A102,CH4_bio_codes,0),10)*CF_biog_CH4+INDEX(N2O_data,MATCH(A102,N2O_codes,0),10)*CF_N2O,"")</f>
        <v>#REF!</v>
      </c>
      <c r="O102" s="53"/>
    </row>
    <row r="103" spans="1:15" x14ac:dyDescent="0.2">
      <c r="A103" s="39" t="s">
        <v>154</v>
      </c>
      <c r="B103" s="2" t="e">
        <f t="shared" si="39"/>
        <v>#REF!</v>
      </c>
      <c r="C103" s="2" t="e">
        <f t="shared" si="40"/>
        <v>#REF!</v>
      </c>
      <c r="D103" s="40" t="e">
        <f t="shared" si="41"/>
        <v>#REF!</v>
      </c>
      <c r="E103" s="255" t="e">
        <f t="shared" si="38"/>
        <v>#REF!</v>
      </c>
      <c r="F103" s="213" t="e">
        <f t="shared" si="42"/>
        <v>#REF!</v>
      </c>
      <c r="G103" s="224" t="e">
        <f t="shared" si="43"/>
        <v>#REF!</v>
      </c>
      <c r="H103" s="213" t="e">
        <f t="shared" si="44"/>
        <v>#REF!</v>
      </c>
      <c r="I103" s="224" t="e">
        <f t="shared" si="45"/>
        <v>#REF!</v>
      </c>
      <c r="J103" s="213" t="e">
        <f t="shared" si="46"/>
        <v>#REF!</v>
      </c>
      <c r="K103" s="53" t="e">
        <f t="shared" si="47"/>
        <v>#REF!</v>
      </c>
      <c r="L103" s="53" t="e">
        <f t="shared" si="48"/>
        <v>#REF!</v>
      </c>
      <c r="M103" s="224" t="e">
        <f t="shared" si="49"/>
        <v>#REF!</v>
      </c>
      <c r="N103" s="224" t="e">
        <f t="shared" si="50"/>
        <v>#REF!</v>
      </c>
      <c r="O103" s="53"/>
    </row>
    <row r="104" spans="1:15" x14ac:dyDescent="0.2">
      <c r="A104" s="39" t="s">
        <v>155</v>
      </c>
      <c r="B104" s="2" t="e">
        <f t="shared" si="39"/>
        <v>#REF!</v>
      </c>
      <c r="C104" s="2" t="e">
        <f t="shared" si="40"/>
        <v>#REF!</v>
      </c>
      <c r="D104" s="40" t="e">
        <f t="shared" si="41"/>
        <v>#REF!</v>
      </c>
      <c r="E104" s="255" t="e">
        <f t="shared" si="38"/>
        <v>#REF!</v>
      </c>
      <c r="F104" s="213" t="e">
        <f t="shared" si="42"/>
        <v>#REF!</v>
      </c>
      <c r="G104" s="224" t="e">
        <f t="shared" si="43"/>
        <v>#REF!</v>
      </c>
      <c r="H104" s="213" t="e">
        <f t="shared" si="44"/>
        <v>#REF!</v>
      </c>
      <c r="I104" s="224" t="e">
        <f t="shared" si="45"/>
        <v>#REF!</v>
      </c>
      <c r="J104" s="213" t="e">
        <f t="shared" si="46"/>
        <v>#REF!</v>
      </c>
      <c r="K104" s="53" t="e">
        <f t="shared" si="47"/>
        <v>#REF!</v>
      </c>
      <c r="L104" s="53" t="e">
        <f t="shared" si="48"/>
        <v>#REF!</v>
      </c>
      <c r="M104" s="224" t="e">
        <f t="shared" si="49"/>
        <v>#REF!</v>
      </c>
      <c r="N104" s="224" t="e">
        <f t="shared" si="50"/>
        <v>#REF!</v>
      </c>
      <c r="O104" s="53"/>
    </row>
    <row r="105" spans="1:15" x14ac:dyDescent="0.2">
      <c r="A105" s="39" t="s">
        <v>156</v>
      </c>
      <c r="B105" s="2" t="e">
        <f t="shared" si="39"/>
        <v>#REF!</v>
      </c>
      <c r="C105" s="2" t="e">
        <f t="shared" si="40"/>
        <v>#REF!</v>
      </c>
      <c r="D105" s="40" t="e">
        <f t="shared" si="41"/>
        <v>#REF!</v>
      </c>
      <c r="E105" s="255" t="e">
        <f t="shared" si="38"/>
        <v>#REF!</v>
      </c>
      <c r="F105" s="213" t="e">
        <f t="shared" si="42"/>
        <v>#REF!</v>
      </c>
      <c r="G105" s="224" t="e">
        <f t="shared" si="43"/>
        <v>#REF!</v>
      </c>
      <c r="H105" s="213" t="e">
        <f t="shared" si="44"/>
        <v>#REF!</v>
      </c>
      <c r="I105" s="224" t="e">
        <f t="shared" si="45"/>
        <v>#REF!</v>
      </c>
      <c r="J105" s="213" t="e">
        <f t="shared" si="46"/>
        <v>#REF!</v>
      </c>
      <c r="K105" s="53" t="e">
        <f t="shared" si="47"/>
        <v>#REF!</v>
      </c>
      <c r="L105" s="53" t="e">
        <f t="shared" si="48"/>
        <v>#REF!</v>
      </c>
      <c r="M105" s="224" t="e">
        <f t="shared" si="49"/>
        <v>#REF!</v>
      </c>
      <c r="N105" s="224" t="e">
        <f t="shared" si="50"/>
        <v>#REF!</v>
      </c>
      <c r="O105" s="53"/>
    </row>
    <row r="106" spans="1:15" x14ac:dyDescent="0.2">
      <c r="A106" s="39" t="s">
        <v>157</v>
      </c>
      <c r="B106" s="2" t="e">
        <f t="shared" si="39"/>
        <v>#REF!</v>
      </c>
      <c r="C106" s="2" t="e">
        <f t="shared" si="40"/>
        <v>#REF!</v>
      </c>
      <c r="D106" s="40" t="e">
        <f t="shared" si="41"/>
        <v>#REF!</v>
      </c>
      <c r="E106" s="255" t="e">
        <f t="shared" si="38"/>
        <v>#REF!</v>
      </c>
      <c r="F106" s="213" t="e">
        <f t="shared" si="42"/>
        <v>#REF!</v>
      </c>
      <c r="G106" s="224" t="e">
        <f t="shared" si="43"/>
        <v>#REF!</v>
      </c>
      <c r="H106" s="213" t="e">
        <f t="shared" si="44"/>
        <v>#REF!</v>
      </c>
      <c r="I106" s="224" t="e">
        <f t="shared" si="45"/>
        <v>#REF!</v>
      </c>
      <c r="J106" s="213" t="e">
        <f t="shared" si="46"/>
        <v>#REF!</v>
      </c>
      <c r="K106" s="53" t="e">
        <f t="shared" si="47"/>
        <v>#REF!</v>
      </c>
      <c r="L106" s="53" t="e">
        <f t="shared" si="48"/>
        <v>#REF!</v>
      </c>
      <c r="M106" s="224" t="e">
        <f t="shared" si="49"/>
        <v>#REF!</v>
      </c>
      <c r="N106" s="224" t="e">
        <f t="shared" si="50"/>
        <v>#REF!</v>
      </c>
      <c r="O106" s="53"/>
    </row>
    <row r="107" spans="1:15" x14ac:dyDescent="0.2">
      <c r="A107" s="39" t="s">
        <v>158</v>
      </c>
      <c r="B107" s="2" t="e">
        <f t="shared" si="39"/>
        <v>#REF!</v>
      </c>
      <c r="C107" s="2" t="e">
        <f t="shared" si="40"/>
        <v>#REF!</v>
      </c>
      <c r="D107" s="40" t="e">
        <f t="shared" si="41"/>
        <v>#REF!</v>
      </c>
      <c r="E107" s="255" t="e">
        <f t="shared" si="38"/>
        <v>#REF!</v>
      </c>
      <c r="F107" s="213" t="e">
        <f t="shared" si="42"/>
        <v>#REF!</v>
      </c>
      <c r="G107" s="224" t="e">
        <f t="shared" si="43"/>
        <v>#REF!</v>
      </c>
      <c r="H107" s="213" t="e">
        <f t="shared" si="44"/>
        <v>#REF!</v>
      </c>
      <c r="I107" s="224" t="e">
        <f t="shared" si="45"/>
        <v>#REF!</v>
      </c>
      <c r="J107" s="213" t="e">
        <f t="shared" si="46"/>
        <v>#REF!</v>
      </c>
      <c r="K107" s="53" t="e">
        <f t="shared" si="47"/>
        <v>#REF!</v>
      </c>
      <c r="L107" s="53" t="e">
        <f t="shared" si="48"/>
        <v>#REF!</v>
      </c>
      <c r="M107" s="224" t="e">
        <f t="shared" si="49"/>
        <v>#REF!</v>
      </c>
      <c r="N107" s="224" t="e">
        <f t="shared" si="50"/>
        <v>#REF!</v>
      </c>
      <c r="O107" s="53"/>
    </row>
    <row r="108" spans="1:15" x14ac:dyDescent="0.2">
      <c r="A108" s="39" t="s">
        <v>159</v>
      </c>
      <c r="B108" s="2" t="e">
        <f t="shared" si="39"/>
        <v>#REF!</v>
      </c>
      <c r="C108" s="2" t="e">
        <f t="shared" si="40"/>
        <v>#REF!</v>
      </c>
      <c r="D108" s="40" t="e">
        <f t="shared" si="41"/>
        <v>#REF!</v>
      </c>
      <c r="E108" s="255" t="e">
        <f t="shared" si="38"/>
        <v>#REF!</v>
      </c>
      <c r="F108" s="213" t="e">
        <f t="shared" si="42"/>
        <v>#REF!</v>
      </c>
      <c r="G108" s="224" t="e">
        <f t="shared" si="43"/>
        <v>#REF!</v>
      </c>
      <c r="H108" s="213" t="e">
        <f t="shared" si="44"/>
        <v>#REF!</v>
      </c>
      <c r="I108" s="224" t="e">
        <f t="shared" si="45"/>
        <v>#REF!</v>
      </c>
      <c r="J108" s="213" t="e">
        <f t="shared" si="46"/>
        <v>#REF!</v>
      </c>
      <c r="K108" s="53" t="e">
        <f t="shared" si="47"/>
        <v>#REF!</v>
      </c>
      <c r="L108" s="53" t="e">
        <f t="shared" si="48"/>
        <v>#REF!</v>
      </c>
      <c r="M108" s="224" t="e">
        <f t="shared" si="49"/>
        <v>#REF!</v>
      </c>
      <c r="N108" s="224" t="e">
        <f t="shared" si="50"/>
        <v>#REF!</v>
      </c>
      <c r="O108" s="53"/>
    </row>
    <row r="109" spans="1:15" x14ac:dyDescent="0.2">
      <c r="A109" s="39" t="s">
        <v>160</v>
      </c>
      <c r="B109" s="2" t="e">
        <f t="shared" si="39"/>
        <v>#REF!</v>
      </c>
      <c r="C109" s="2" t="e">
        <f t="shared" si="40"/>
        <v>#REF!</v>
      </c>
      <c r="D109" s="40" t="e">
        <f t="shared" si="41"/>
        <v>#REF!</v>
      </c>
      <c r="E109" s="255" t="e">
        <f t="shared" si="38"/>
        <v>#REF!</v>
      </c>
      <c r="F109" s="213" t="e">
        <f t="shared" si="42"/>
        <v>#REF!</v>
      </c>
      <c r="G109" s="224" t="e">
        <f t="shared" si="43"/>
        <v>#REF!</v>
      </c>
      <c r="H109" s="213" t="e">
        <f t="shared" si="44"/>
        <v>#REF!</v>
      </c>
      <c r="I109" s="224" t="e">
        <f t="shared" si="45"/>
        <v>#REF!</v>
      </c>
      <c r="J109" s="213" t="e">
        <f t="shared" si="46"/>
        <v>#REF!</v>
      </c>
      <c r="K109" s="53" t="e">
        <f t="shared" si="47"/>
        <v>#REF!</v>
      </c>
      <c r="L109" s="53" t="e">
        <f t="shared" si="48"/>
        <v>#REF!</v>
      </c>
      <c r="M109" s="224" t="e">
        <f t="shared" si="49"/>
        <v>#REF!</v>
      </c>
      <c r="N109" s="224" t="e">
        <f t="shared" si="50"/>
        <v>#REF!</v>
      </c>
      <c r="O109" s="53"/>
    </row>
    <row r="110" spans="1:15" x14ac:dyDescent="0.2">
      <c r="A110" s="39" t="s">
        <v>161</v>
      </c>
      <c r="B110" s="2" t="e">
        <f t="shared" si="39"/>
        <v>#REF!</v>
      </c>
      <c r="C110" s="2" t="e">
        <f t="shared" si="40"/>
        <v>#REF!</v>
      </c>
      <c r="D110" s="40" t="e">
        <f t="shared" si="41"/>
        <v>#REF!</v>
      </c>
      <c r="E110" s="255" t="e">
        <f t="shared" si="38"/>
        <v>#REF!</v>
      </c>
      <c r="F110" s="213" t="e">
        <f t="shared" si="42"/>
        <v>#REF!</v>
      </c>
      <c r="G110" s="224" t="e">
        <f t="shared" si="43"/>
        <v>#REF!</v>
      </c>
      <c r="H110" s="213" t="e">
        <f t="shared" si="44"/>
        <v>#REF!</v>
      </c>
      <c r="I110" s="224" t="e">
        <f t="shared" si="45"/>
        <v>#REF!</v>
      </c>
      <c r="J110" s="213" t="e">
        <f t="shared" si="46"/>
        <v>#REF!</v>
      </c>
      <c r="K110" s="53" t="e">
        <f t="shared" si="47"/>
        <v>#REF!</v>
      </c>
      <c r="L110" s="53" t="e">
        <f t="shared" si="48"/>
        <v>#REF!</v>
      </c>
      <c r="M110" s="224" t="e">
        <f t="shared" si="49"/>
        <v>#REF!</v>
      </c>
      <c r="N110" s="224" t="e">
        <f t="shared" si="50"/>
        <v>#REF!</v>
      </c>
      <c r="O110" s="53"/>
    </row>
    <row r="111" spans="1:15" x14ac:dyDescent="0.2">
      <c r="A111" s="39" t="s">
        <v>162</v>
      </c>
      <c r="B111" s="2" t="e">
        <f t="shared" si="39"/>
        <v>#REF!</v>
      </c>
      <c r="C111" s="2" t="e">
        <f t="shared" si="40"/>
        <v>#REF!</v>
      </c>
      <c r="D111" s="40" t="e">
        <f t="shared" si="41"/>
        <v>#REF!</v>
      </c>
      <c r="E111" s="255" t="e">
        <f t="shared" si="38"/>
        <v>#REF!</v>
      </c>
      <c r="F111" s="213" t="e">
        <f t="shared" si="42"/>
        <v>#REF!</v>
      </c>
      <c r="G111" s="224" t="e">
        <f t="shared" si="43"/>
        <v>#REF!</v>
      </c>
      <c r="H111" s="213" t="e">
        <f t="shared" si="44"/>
        <v>#REF!</v>
      </c>
      <c r="I111" s="224" t="e">
        <f t="shared" si="45"/>
        <v>#REF!</v>
      </c>
      <c r="J111" s="213" t="e">
        <f t="shared" si="46"/>
        <v>#REF!</v>
      </c>
      <c r="K111" s="53" t="e">
        <f t="shared" si="47"/>
        <v>#REF!</v>
      </c>
      <c r="L111" s="53" t="e">
        <f t="shared" si="48"/>
        <v>#REF!</v>
      </c>
      <c r="M111" s="224" t="e">
        <f t="shared" si="49"/>
        <v>#REF!</v>
      </c>
      <c r="N111" s="224" t="e">
        <f t="shared" si="50"/>
        <v>#REF!</v>
      </c>
      <c r="O111" s="53"/>
    </row>
    <row r="112" spans="1:15" x14ac:dyDescent="0.2">
      <c r="A112" s="39" t="s">
        <v>163</v>
      </c>
      <c r="B112" s="2" t="e">
        <f t="shared" si="39"/>
        <v>#REF!</v>
      </c>
      <c r="C112" s="2" t="e">
        <f t="shared" si="40"/>
        <v>#REF!</v>
      </c>
      <c r="D112" s="40" t="e">
        <f t="shared" si="41"/>
        <v>#REF!</v>
      </c>
      <c r="E112" s="255" t="e">
        <f t="shared" si="38"/>
        <v>#REF!</v>
      </c>
      <c r="F112" s="213" t="e">
        <f t="shared" si="42"/>
        <v>#REF!</v>
      </c>
      <c r="G112" s="224" t="e">
        <f t="shared" si="43"/>
        <v>#REF!</v>
      </c>
      <c r="H112" s="213" t="e">
        <f t="shared" si="44"/>
        <v>#REF!</v>
      </c>
      <c r="I112" s="224" t="e">
        <f t="shared" si="45"/>
        <v>#REF!</v>
      </c>
      <c r="J112" s="213" t="e">
        <f t="shared" si="46"/>
        <v>#REF!</v>
      </c>
      <c r="K112" s="53" t="e">
        <f t="shared" si="47"/>
        <v>#REF!</v>
      </c>
      <c r="L112" s="53" t="e">
        <f t="shared" si="48"/>
        <v>#REF!</v>
      </c>
      <c r="M112" s="224" t="e">
        <f t="shared" si="49"/>
        <v>#REF!</v>
      </c>
      <c r="N112" s="224" t="e">
        <f t="shared" si="50"/>
        <v>#REF!</v>
      </c>
      <c r="O112" s="53"/>
    </row>
    <row r="113" spans="1:15" x14ac:dyDescent="0.2">
      <c r="A113" s="39" t="s">
        <v>164</v>
      </c>
      <c r="B113" s="2" t="e">
        <f t="shared" si="39"/>
        <v>#REF!</v>
      </c>
      <c r="C113" s="2" t="e">
        <f t="shared" si="40"/>
        <v>#REF!</v>
      </c>
      <c r="D113" s="40" t="e">
        <f t="shared" si="41"/>
        <v>#REF!</v>
      </c>
      <c r="E113" s="255" t="e">
        <f t="shared" si="38"/>
        <v>#REF!</v>
      </c>
      <c r="F113" s="213" t="e">
        <f t="shared" si="42"/>
        <v>#REF!</v>
      </c>
      <c r="G113" s="224" t="e">
        <f t="shared" si="43"/>
        <v>#REF!</v>
      </c>
      <c r="H113" s="213" t="e">
        <f t="shared" si="44"/>
        <v>#REF!</v>
      </c>
      <c r="I113" s="224" t="e">
        <f t="shared" si="45"/>
        <v>#REF!</v>
      </c>
      <c r="J113" s="213" t="e">
        <f t="shared" si="46"/>
        <v>#REF!</v>
      </c>
      <c r="K113" s="53" t="e">
        <f t="shared" si="47"/>
        <v>#REF!</v>
      </c>
      <c r="L113" s="53" t="e">
        <f t="shared" si="48"/>
        <v>#REF!</v>
      </c>
      <c r="M113" s="224" t="e">
        <f t="shared" si="49"/>
        <v>#REF!</v>
      </c>
      <c r="N113" s="224" t="e">
        <f t="shared" si="50"/>
        <v>#REF!</v>
      </c>
      <c r="O113" s="53"/>
    </row>
    <row r="114" spans="1:15" x14ac:dyDescent="0.2">
      <c r="A114" s="39" t="s">
        <v>165</v>
      </c>
      <c r="B114" s="2" t="e">
        <f t="shared" si="39"/>
        <v>#REF!</v>
      </c>
      <c r="C114" s="2" t="e">
        <f t="shared" si="40"/>
        <v>#REF!</v>
      </c>
      <c r="D114" s="40" t="e">
        <f t="shared" si="41"/>
        <v>#REF!</v>
      </c>
      <c r="E114" s="255" t="e">
        <f t="shared" si="38"/>
        <v>#REF!</v>
      </c>
      <c r="F114" s="213" t="e">
        <f t="shared" si="42"/>
        <v>#REF!</v>
      </c>
      <c r="G114" s="224" t="e">
        <f t="shared" si="43"/>
        <v>#REF!</v>
      </c>
      <c r="H114" s="213" t="e">
        <f t="shared" si="44"/>
        <v>#REF!</v>
      </c>
      <c r="I114" s="224" t="e">
        <f t="shared" si="45"/>
        <v>#REF!</v>
      </c>
      <c r="J114" s="213" t="e">
        <f t="shared" si="46"/>
        <v>#REF!</v>
      </c>
      <c r="K114" s="53" t="e">
        <f t="shared" si="47"/>
        <v>#REF!</v>
      </c>
      <c r="L114" s="53" t="e">
        <f t="shared" si="48"/>
        <v>#REF!</v>
      </c>
      <c r="M114" s="224" t="e">
        <f t="shared" si="49"/>
        <v>#REF!</v>
      </c>
      <c r="N114" s="224" t="e">
        <f t="shared" si="50"/>
        <v>#REF!</v>
      </c>
      <c r="O114" s="53"/>
    </row>
    <row r="115" spans="1:15" x14ac:dyDescent="0.2">
      <c r="A115" s="39" t="s">
        <v>166</v>
      </c>
      <c r="B115" s="2" t="e">
        <f t="shared" si="39"/>
        <v>#REF!</v>
      </c>
      <c r="C115" s="2" t="e">
        <f t="shared" si="40"/>
        <v>#REF!</v>
      </c>
      <c r="D115" s="40" t="e">
        <f t="shared" si="41"/>
        <v>#REF!</v>
      </c>
      <c r="E115" s="255" t="e">
        <f t="shared" si="38"/>
        <v>#REF!</v>
      </c>
      <c r="F115" s="213" t="e">
        <f t="shared" si="42"/>
        <v>#REF!</v>
      </c>
      <c r="G115" s="224" t="e">
        <f t="shared" si="43"/>
        <v>#REF!</v>
      </c>
      <c r="H115" s="213" t="e">
        <f t="shared" si="44"/>
        <v>#REF!</v>
      </c>
      <c r="I115" s="224" t="e">
        <f t="shared" si="45"/>
        <v>#REF!</v>
      </c>
      <c r="J115" s="213" t="e">
        <f t="shared" si="46"/>
        <v>#REF!</v>
      </c>
      <c r="K115" s="53" t="e">
        <f t="shared" si="47"/>
        <v>#REF!</v>
      </c>
      <c r="L115" s="53" t="e">
        <f t="shared" si="48"/>
        <v>#REF!</v>
      </c>
      <c r="M115" s="224" t="e">
        <f t="shared" si="49"/>
        <v>#REF!</v>
      </c>
      <c r="N115" s="224" t="e">
        <f t="shared" si="50"/>
        <v>#REF!</v>
      </c>
      <c r="O115" s="53"/>
    </row>
    <row r="116" spans="1:15" x14ac:dyDescent="0.2">
      <c r="A116" s="39" t="s">
        <v>167</v>
      </c>
      <c r="B116" s="2" t="e">
        <f t="shared" si="39"/>
        <v>#REF!</v>
      </c>
      <c r="C116" s="2" t="e">
        <f t="shared" si="40"/>
        <v>#REF!</v>
      </c>
      <c r="D116" s="40" t="e">
        <f t="shared" si="41"/>
        <v>#REF!</v>
      </c>
      <c r="E116" s="255" t="e">
        <f t="shared" si="38"/>
        <v>#REF!</v>
      </c>
      <c r="F116" s="213" t="e">
        <f t="shared" si="42"/>
        <v>#REF!</v>
      </c>
      <c r="G116" s="224" t="e">
        <f t="shared" si="43"/>
        <v>#REF!</v>
      </c>
      <c r="H116" s="213" t="e">
        <f t="shared" si="44"/>
        <v>#REF!</v>
      </c>
      <c r="I116" s="224" t="e">
        <f t="shared" si="45"/>
        <v>#REF!</v>
      </c>
      <c r="J116" s="213" t="e">
        <f t="shared" si="46"/>
        <v>#REF!</v>
      </c>
      <c r="K116" s="53" t="e">
        <f t="shared" si="47"/>
        <v>#REF!</v>
      </c>
      <c r="L116" s="53" t="e">
        <f t="shared" si="48"/>
        <v>#REF!</v>
      </c>
      <c r="M116" s="224" t="e">
        <f t="shared" si="49"/>
        <v>#REF!</v>
      </c>
      <c r="N116" s="224" t="e">
        <f t="shared" si="50"/>
        <v>#REF!</v>
      </c>
      <c r="O116" s="53"/>
    </row>
    <row r="117" spans="1:15" x14ac:dyDescent="0.2">
      <c r="A117" s="39" t="s">
        <v>168</v>
      </c>
      <c r="B117" s="2" t="e">
        <f t="shared" si="39"/>
        <v>#REF!</v>
      </c>
      <c r="C117" s="2" t="e">
        <f t="shared" si="40"/>
        <v>#REF!</v>
      </c>
      <c r="D117" s="40" t="e">
        <f t="shared" si="41"/>
        <v>#REF!</v>
      </c>
      <c r="E117" s="255" t="e">
        <f t="shared" si="38"/>
        <v>#REF!</v>
      </c>
      <c r="F117" s="213" t="e">
        <f t="shared" si="42"/>
        <v>#REF!</v>
      </c>
      <c r="G117" s="224" t="e">
        <f t="shared" si="43"/>
        <v>#REF!</v>
      </c>
      <c r="H117" s="213" t="e">
        <f t="shared" si="44"/>
        <v>#REF!</v>
      </c>
      <c r="I117" s="224" t="e">
        <f t="shared" si="45"/>
        <v>#REF!</v>
      </c>
      <c r="J117" s="213" t="e">
        <f t="shared" si="46"/>
        <v>#REF!</v>
      </c>
      <c r="K117" s="53" t="e">
        <f t="shared" si="47"/>
        <v>#REF!</v>
      </c>
      <c r="L117" s="53" t="e">
        <f t="shared" si="48"/>
        <v>#REF!</v>
      </c>
      <c r="M117" s="224" t="e">
        <f t="shared" si="49"/>
        <v>#REF!</v>
      </c>
      <c r="N117" s="224" t="e">
        <f t="shared" si="50"/>
        <v>#REF!</v>
      </c>
    </row>
    <row r="118" spans="1:15" x14ac:dyDescent="0.2">
      <c r="A118" s="41" t="s">
        <v>169</v>
      </c>
      <c r="B118" s="45" t="e">
        <f t="shared" si="39"/>
        <v>#REF!</v>
      </c>
      <c r="C118" s="45" t="e">
        <f t="shared" si="40"/>
        <v>#REF!</v>
      </c>
      <c r="D118" s="32" t="e">
        <f t="shared" si="41"/>
        <v>#REF!</v>
      </c>
      <c r="E118" s="256" t="e">
        <f t="shared" si="38"/>
        <v>#REF!</v>
      </c>
      <c r="F118" s="223" t="e">
        <f t="shared" si="42"/>
        <v>#REF!</v>
      </c>
      <c r="G118" s="225" t="e">
        <f t="shared" si="43"/>
        <v>#REF!</v>
      </c>
      <c r="H118" s="223" t="e">
        <f t="shared" si="44"/>
        <v>#REF!</v>
      </c>
      <c r="I118" s="225" t="e">
        <f t="shared" si="45"/>
        <v>#REF!</v>
      </c>
      <c r="J118" s="223" t="e">
        <f t="shared" si="46"/>
        <v>#REF!</v>
      </c>
      <c r="K118" s="226" t="e">
        <f t="shared" si="47"/>
        <v>#REF!</v>
      </c>
      <c r="L118" s="226" t="e">
        <f t="shared" si="48"/>
        <v>#REF!</v>
      </c>
      <c r="M118" s="225" t="e">
        <f t="shared" si="49"/>
        <v>#REF!</v>
      </c>
      <c r="N118" s="225" t="e">
        <f t="shared" si="50"/>
        <v>#REF!</v>
      </c>
    </row>
  </sheetData>
  <autoFilter ref="A5:N118" xr:uid="{00000000-0009-0000-0000-000003000000}">
    <sortState xmlns:xlrd2="http://schemas.microsoft.com/office/spreadsheetml/2017/richdata2" ref="A6:P116">
      <sortCondition ref="B5"/>
    </sortState>
  </autoFilter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tabColor theme="9" tint="0.79998168889431442"/>
  </sheetPr>
  <dimension ref="A2:N120"/>
  <sheetViews>
    <sheetView zoomScale="80" zoomScaleNormal="80" workbookViewId="0">
      <selection activeCell="D22" sqref="D22"/>
    </sheetView>
  </sheetViews>
  <sheetFormatPr baseColWidth="10" defaultColWidth="8.6640625" defaultRowHeight="15" x14ac:dyDescent="0.2"/>
  <cols>
    <col min="1" max="1" width="9.6640625" customWidth="1"/>
    <col min="2" max="2" width="29.5" customWidth="1"/>
    <col min="3" max="3" width="18.33203125" customWidth="1"/>
    <col min="4" max="4" width="10.5" customWidth="1"/>
    <col min="5" max="5" width="9.5" customWidth="1"/>
    <col min="6" max="6" width="12.6640625" customWidth="1"/>
    <col min="7" max="7" width="14.5" customWidth="1"/>
    <col min="8" max="9" width="12.6640625" customWidth="1"/>
    <col min="10" max="10" width="10.5" customWidth="1"/>
    <col min="11" max="11" width="12.5" customWidth="1"/>
    <col min="12" max="12" width="12.33203125" customWidth="1"/>
    <col min="13" max="13" width="12.5" customWidth="1"/>
    <col min="14" max="14" width="16.5" customWidth="1"/>
    <col min="17" max="17" width="10" bestFit="1" customWidth="1"/>
  </cols>
  <sheetData>
    <row r="2" spans="1:14" ht="21" x14ac:dyDescent="0.25">
      <c r="A2" s="38" t="s">
        <v>170</v>
      </c>
    </row>
    <row r="4" spans="1:14" x14ac:dyDescent="0.2">
      <c r="A4" s="171" t="s">
        <v>5</v>
      </c>
      <c r="B4" s="172"/>
      <c r="C4" s="172"/>
      <c r="D4" s="178"/>
      <c r="E4" s="174" t="s">
        <v>40</v>
      </c>
      <c r="F4" s="179" t="s">
        <v>41</v>
      </c>
      <c r="G4" s="250"/>
      <c r="H4" s="179" t="s">
        <v>42</v>
      </c>
      <c r="I4" s="177"/>
      <c r="J4" s="180" t="s">
        <v>43</v>
      </c>
      <c r="K4" s="177"/>
      <c r="L4" s="177"/>
      <c r="M4" s="177"/>
      <c r="N4" s="181" t="s">
        <v>44</v>
      </c>
    </row>
    <row r="5" spans="1:14" ht="48" x14ac:dyDescent="0.2">
      <c r="A5" s="166" t="s">
        <v>45</v>
      </c>
      <c r="B5" s="167" t="s">
        <v>5</v>
      </c>
      <c r="C5" s="167" t="s">
        <v>46</v>
      </c>
      <c r="D5" s="182" t="s">
        <v>171</v>
      </c>
      <c r="E5" s="248"/>
      <c r="F5" s="183" t="s">
        <v>48</v>
      </c>
      <c r="G5" s="169" t="s">
        <v>49</v>
      </c>
      <c r="H5" s="183" t="s">
        <v>50</v>
      </c>
      <c r="I5" s="169" t="s">
        <v>51</v>
      </c>
      <c r="J5" s="183" t="s">
        <v>52</v>
      </c>
      <c r="K5" s="169" t="s">
        <v>53</v>
      </c>
      <c r="L5" s="169" t="s">
        <v>54</v>
      </c>
      <c r="M5" s="169" t="s">
        <v>55</v>
      </c>
      <c r="N5" s="184" t="s">
        <v>56</v>
      </c>
    </row>
    <row r="6" spans="1:14" x14ac:dyDescent="0.2">
      <c r="A6" s="39" t="s">
        <v>57</v>
      </c>
      <c r="B6" s="2" t="e">
        <f t="shared" ref="B6:B37" si="0">INDEX(Crop_data,MATCH(A6,Crop_data_codes,0),2)</f>
        <v>#REF!</v>
      </c>
      <c r="C6" s="2" t="e">
        <f t="shared" ref="C6:C37" si="1">INDEX(Crop_data,MATCH(A6,Crop_data_codes,0),3)</f>
        <v>#REF!</v>
      </c>
      <c r="D6" s="40" t="e">
        <f t="shared" ref="D6:D37" si="2">INDEX(Crop_data,MATCH(A6,Crop_data_codes,0),4)</f>
        <v>#REF!</v>
      </c>
      <c r="E6" s="247" t="e">
        <f t="shared" ref="E6:E37" si="3">IF(D6="Yes", SUM(F6:N6),"")</f>
        <v>#REF!</v>
      </c>
      <c r="F6" s="213" t="e">
        <f t="shared" ref="F6:F37" si="4">IF(D6="YES",INDEX(Crop_data,MATCH(A6,Crop_data_codes,0),7)*(Frac_BAT*EF_min_fert_BAT_CO2+Frac_AN*EF_min_fert_AN_CO2)/INDEX(Crop_data,MATCH(A6,Crop_data_codes,0),6),"")</f>
        <v>#REF!</v>
      </c>
      <c r="G6" s="53" t="e">
        <f t="shared" ref="G6:G37" si="5">IF(D6="YES",EF_capital_goods_CO2,"")</f>
        <v>#REF!</v>
      </c>
      <c r="H6" s="213" t="e">
        <f t="shared" ref="H6:H37" si="6">IF(D6="Yes",INDEX(Soil_carbon_data,MATCH(C6,Soil_carbon_categories,0),2),"")</f>
        <v>#REF!</v>
      </c>
      <c r="I6" s="53"/>
      <c r="J6" s="213" t="e">
        <f t="shared" ref="J6:J38" si="7">IF(D6="YES",INDEX(Crop_data,MATCH(A6,Crop_data_codes,0),11)*Heating_value_diesel*EF_diesel_CO2/INDEX(Crop_data,MATCH(A6,Crop_data_codes,0),6),"")</f>
        <v>#REF!</v>
      </c>
      <c r="K6" s="53"/>
      <c r="L6" s="53" t="e">
        <f t="shared" ref="L6:L37" si="8">IF(D6="YES",INDEX(Crop_data,MATCH(A6,Crop_data_codes,0),12)*EF_irrigation_CO2/INDEX(Crop_data,MATCH(A6,Crop_data_codes,0),6),"")</f>
        <v>#REF!</v>
      </c>
      <c r="M6" s="53" t="e">
        <f t="shared" ref="M6:M37" si="9">IF(D6="Yes",INDEX(Post_harvest_energy_data,MATCH(C6,Post_harvest_energy_categories,0),2)*EF_heating_oil_CO2+INDEX(Post_harvest_energy_data,MATCH(C6,Post_harvest_energy_categories,0),3)*EF_electricity_CO2+INDEX(Post_harvest_energy_data,MATCH(C6,Post_harvest_energy_categories,0),4)*EF_chips_CO2,"")</f>
        <v>#REF!</v>
      </c>
      <c r="N6" s="42"/>
    </row>
    <row r="7" spans="1:14" x14ac:dyDescent="0.2">
      <c r="A7" s="39" t="s">
        <v>58</v>
      </c>
      <c r="B7" s="2" t="e">
        <f t="shared" si="0"/>
        <v>#REF!</v>
      </c>
      <c r="C7" s="2" t="e">
        <f t="shared" si="1"/>
        <v>#REF!</v>
      </c>
      <c r="D7" s="40" t="e">
        <f t="shared" si="2"/>
        <v>#REF!</v>
      </c>
      <c r="E7" s="247" t="e">
        <f t="shared" si="3"/>
        <v>#REF!</v>
      </c>
      <c r="F7" s="213" t="e">
        <f t="shared" si="4"/>
        <v>#REF!</v>
      </c>
      <c r="G7" s="53" t="e">
        <f t="shared" si="5"/>
        <v>#REF!</v>
      </c>
      <c r="H7" s="213" t="e">
        <f t="shared" si="6"/>
        <v>#REF!</v>
      </c>
      <c r="I7" s="53"/>
      <c r="J7" s="213" t="e">
        <f t="shared" si="7"/>
        <v>#REF!</v>
      </c>
      <c r="K7" s="53"/>
      <c r="L7" s="53" t="e">
        <f t="shared" si="8"/>
        <v>#REF!</v>
      </c>
      <c r="M7" s="53" t="e">
        <f t="shared" si="9"/>
        <v>#REF!</v>
      </c>
      <c r="N7" s="42"/>
    </row>
    <row r="8" spans="1:14" x14ac:dyDescent="0.2">
      <c r="A8" s="39" t="s">
        <v>59</v>
      </c>
      <c r="B8" s="2" t="e">
        <f t="shared" si="0"/>
        <v>#REF!</v>
      </c>
      <c r="C8" s="2" t="e">
        <f t="shared" si="1"/>
        <v>#REF!</v>
      </c>
      <c r="D8" s="40" t="e">
        <f t="shared" si="2"/>
        <v>#REF!</v>
      </c>
      <c r="E8" s="247" t="e">
        <f t="shared" si="3"/>
        <v>#REF!</v>
      </c>
      <c r="F8" s="213" t="e">
        <f t="shared" si="4"/>
        <v>#REF!</v>
      </c>
      <c r="G8" s="53" t="e">
        <f t="shared" si="5"/>
        <v>#REF!</v>
      </c>
      <c r="H8" s="213" t="e">
        <f t="shared" si="6"/>
        <v>#REF!</v>
      </c>
      <c r="I8" s="53"/>
      <c r="J8" s="213" t="e">
        <f t="shared" si="7"/>
        <v>#REF!</v>
      </c>
      <c r="K8" s="53"/>
      <c r="L8" s="53" t="e">
        <f t="shared" si="8"/>
        <v>#REF!</v>
      </c>
      <c r="M8" s="53" t="e">
        <f t="shared" si="9"/>
        <v>#REF!</v>
      </c>
      <c r="N8" s="42"/>
    </row>
    <row r="9" spans="1:14" x14ac:dyDescent="0.2">
      <c r="A9" s="39" t="s">
        <v>60</v>
      </c>
      <c r="B9" s="2" t="e">
        <f t="shared" si="0"/>
        <v>#REF!</v>
      </c>
      <c r="C9" s="2" t="e">
        <f t="shared" si="1"/>
        <v>#REF!</v>
      </c>
      <c r="D9" s="40" t="e">
        <f t="shared" si="2"/>
        <v>#REF!</v>
      </c>
      <c r="E9" s="247" t="e">
        <f t="shared" si="3"/>
        <v>#REF!</v>
      </c>
      <c r="F9" s="213" t="e">
        <f t="shared" si="4"/>
        <v>#REF!</v>
      </c>
      <c r="G9" s="53" t="e">
        <f t="shared" si="5"/>
        <v>#REF!</v>
      </c>
      <c r="H9" s="213" t="e">
        <f t="shared" si="6"/>
        <v>#REF!</v>
      </c>
      <c r="I9" s="53"/>
      <c r="J9" s="213" t="e">
        <f t="shared" si="7"/>
        <v>#REF!</v>
      </c>
      <c r="K9" s="53"/>
      <c r="L9" s="53" t="e">
        <f t="shared" si="8"/>
        <v>#REF!</v>
      </c>
      <c r="M9" s="53" t="e">
        <f t="shared" si="9"/>
        <v>#REF!</v>
      </c>
      <c r="N9" s="42"/>
    </row>
    <row r="10" spans="1:14" x14ac:dyDescent="0.2">
      <c r="A10" s="39" t="s">
        <v>61</v>
      </c>
      <c r="B10" s="2" t="e">
        <f t="shared" si="0"/>
        <v>#REF!</v>
      </c>
      <c r="C10" s="2" t="e">
        <f t="shared" si="1"/>
        <v>#REF!</v>
      </c>
      <c r="D10" s="40" t="e">
        <f t="shared" si="2"/>
        <v>#REF!</v>
      </c>
      <c r="E10" s="247" t="e">
        <f t="shared" si="3"/>
        <v>#REF!</v>
      </c>
      <c r="F10" s="213" t="e">
        <f t="shared" si="4"/>
        <v>#REF!</v>
      </c>
      <c r="G10" s="53" t="e">
        <f t="shared" si="5"/>
        <v>#REF!</v>
      </c>
      <c r="H10" s="213" t="e">
        <f t="shared" si="6"/>
        <v>#REF!</v>
      </c>
      <c r="I10" s="53"/>
      <c r="J10" s="213" t="e">
        <f t="shared" si="7"/>
        <v>#REF!</v>
      </c>
      <c r="K10" s="53"/>
      <c r="L10" s="53" t="e">
        <f t="shared" si="8"/>
        <v>#REF!</v>
      </c>
      <c r="M10" s="53" t="e">
        <f t="shared" si="9"/>
        <v>#REF!</v>
      </c>
      <c r="N10" s="42"/>
    </row>
    <row r="11" spans="1:14" x14ac:dyDescent="0.2">
      <c r="A11" s="39" t="s">
        <v>62</v>
      </c>
      <c r="B11" s="2" t="e">
        <f t="shared" si="0"/>
        <v>#REF!</v>
      </c>
      <c r="C11" s="2" t="e">
        <f t="shared" si="1"/>
        <v>#REF!</v>
      </c>
      <c r="D11" s="40" t="e">
        <f t="shared" si="2"/>
        <v>#REF!</v>
      </c>
      <c r="E11" s="247" t="e">
        <f t="shared" si="3"/>
        <v>#REF!</v>
      </c>
      <c r="F11" s="213" t="e">
        <f t="shared" si="4"/>
        <v>#REF!</v>
      </c>
      <c r="G11" s="53" t="e">
        <f t="shared" si="5"/>
        <v>#REF!</v>
      </c>
      <c r="H11" s="213" t="e">
        <f t="shared" si="6"/>
        <v>#REF!</v>
      </c>
      <c r="I11" s="53"/>
      <c r="J11" s="213" t="e">
        <f t="shared" si="7"/>
        <v>#REF!</v>
      </c>
      <c r="K11" s="53"/>
      <c r="L11" s="53" t="e">
        <f t="shared" si="8"/>
        <v>#REF!</v>
      </c>
      <c r="M11" s="53" t="e">
        <f t="shared" si="9"/>
        <v>#REF!</v>
      </c>
      <c r="N11" s="42"/>
    </row>
    <row r="12" spans="1:14" x14ac:dyDescent="0.2">
      <c r="A12" s="39" t="s">
        <v>63</v>
      </c>
      <c r="B12" s="2" t="e">
        <f t="shared" si="0"/>
        <v>#REF!</v>
      </c>
      <c r="C12" s="2" t="e">
        <f t="shared" si="1"/>
        <v>#REF!</v>
      </c>
      <c r="D12" s="40" t="e">
        <f t="shared" si="2"/>
        <v>#REF!</v>
      </c>
      <c r="E12" s="247" t="e">
        <f t="shared" si="3"/>
        <v>#REF!</v>
      </c>
      <c r="F12" s="213" t="e">
        <f t="shared" si="4"/>
        <v>#REF!</v>
      </c>
      <c r="G12" s="53" t="e">
        <f t="shared" si="5"/>
        <v>#REF!</v>
      </c>
      <c r="H12" s="213" t="e">
        <f t="shared" si="6"/>
        <v>#REF!</v>
      </c>
      <c r="I12" s="53"/>
      <c r="J12" s="213" t="e">
        <f t="shared" si="7"/>
        <v>#REF!</v>
      </c>
      <c r="K12" s="53"/>
      <c r="L12" s="53" t="e">
        <f t="shared" si="8"/>
        <v>#REF!</v>
      </c>
      <c r="M12" s="53" t="e">
        <f t="shared" si="9"/>
        <v>#REF!</v>
      </c>
      <c r="N12" s="42"/>
    </row>
    <row r="13" spans="1:14" x14ac:dyDescent="0.2">
      <c r="A13" s="39" t="s">
        <v>64</v>
      </c>
      <c r="B13" s="2" t="e">
        <f t="shared" si="0"/>
        <v>#REF!</v>
      </c>
      <c r="C13" s="2" t="e">
        <f t="shared" si="1"/>
        <v>#REF!</v>
      </c>
      <c r="D13" s="40" t="e">
        <f t="shared" si="2"/>
        <v>#REF!</v>
      </c>
      <c r="E13" s="247" t="e">
        <f t="shared" si="3"/>
        <v>#REF!</v>
      </c>
      <c r="F13" s="213" t="e">
        <f t="shared" si="4"/>
        <v>#REF!</v>
      </c>
      <c r="G13" s="53" t="e">
        <f t="shared" si="5"/>
        <v>#REF!</v>
      </c>
      <c r="H13" s="213" t="e">
        <f t="shared" si="6"/>
        <v>#REF!</v>
      </c>
      <c r="I13" s="53"/>
      <c r="J13" s="213" t="e">
        <f t="shared" si="7"/>
        <v>#REF!</v>
      </c>
      <c r="K13" s="53"/>
      <c r="L13" s="53" t="e">
        <f t="shared" si="8"/>
        <v>#REF!</v>
      </c>
      <c r="M13" s="53" t="e">
        <f t="shared" si="9"/>
        <v>#REF!</v>
      </c>
      <c r="N13" s="42"/>
    </row>
    <row r="14" spans="1:14" x14ac:dyDescent="0.2">
      <c r="A14" s="39" t="s">
        <v>65</v>
      </c>
      <c r="B14" s="2" t="e">
        <f t="shared" si="0"/>
        <v>#REF!</v>
      </c>
      <c r="C14" s="2" t="e">
        <f t="shared" si="1"/>
        <v>#REF!</v>
      </c>
      <c r="D14" s="40" t="e">
        <f t="shared" si="2"/>
        <v>#REF!</v>
      </c>
      <c r="E14" s="247" t="e">
        <f t="shared" si="3"/>
        <v>#REF!</v>
      </c>
      <c r="F14" s="213" t="e">
        <f t="shared" si="4"/>
        <v>#REF!</v>
      </c>
      <c r="G14" s="53" t="e">
        <f t="shared" si="5"/>
        <v>#REF!</v>
      </c>
      <c r="H14" s="213" t="e">
        <f t="shared" si="6"/>
        <v>#REF!</v>
      </c>
      <c r="I14" s="53"/>
      <c r="J14" s="213" t="e">
        <f t="shared" si="7"/>
        <v>#REF!</v>
      </c>
      <c r="K14" s="53"/>
      <c r="L14" s="53" t="e">
        <f t="shared" si="8"/>
        <v>#REF!</v>
      </c>
      <c r="M14" s="53" t="e">
        <f t="shared" si="9"/>
        <v>#REF!</v>
      </c>
      <c r="N14" s="42"/>
    </row>
    <row r="15" spans="1:14" x14ac:dyDescent="0.2">
      <c r="A15" s="39" t="s">
        <v>66</v>
      </c>
      <c r="B15" s="2" t="e">
        <f t="shared" si="0"/>
        <v>#REF!</v>
      </c>
      <c r="C15" s="2" t="e">
        <f t="shared" si="1"/>
        <v>#REF!</v>
      </c>
      <c r="D15" s="40" t="e">
        <f t="shared" si="2"/>
        <v>#REF!</v>
      </c>
      <c r="E15" s="247" t="e">
        <f t="shared" si="3"/>
        <v>#REF!</v>
      </c>
      <c r="F15" s="213" t="e">
        <f t="shared" si="4"/>
        <v>#REF!</v>
      </c>
      <c r="G15" s="53" t="e">
        <f t="shared" si="5"/>
        <v>#REF!</v>
      </c>
      <c r="H15" s="213" t="e">
        <f t="shared" si="6"/>
        <v>#REF!</v>
      </c>
      <c r="I15" s="53"/>
      <c r="J15" s="213" t="e">
        <f t="shared" si="7"/>
        <v>#REF!</v>
      </c>
      <c r="K15" s="53"/>
      <c r="L15" s="53" t="e">
        <f t="shared" si="8"/>
        <v>#REF!</v>
      </c>
      <c r="M15" s="53" t="e">
        <f t="shared" si="9"/>
        <v>#REF!</v>
      </c>
      <c r="N15" s="42"/>
    </row>
    <row r="16" spans="1:14" x14ac:dyDescent="0.2">
      <c r="A16" s="39" t="s">
        <v>67</v>
      </c>
      <c r="B16" s="2" t="e">
        <f t="shared" si="0"/>
        <v>#REF!</v>
      </c>
      <c r="C16" s="2" t="e">
        <f t="shared" si="1"/>
        <v>#REF!</v>
      </c>
      <c r="D16" s="40" t="e">
        <f t="shared" si="2"/>
        <v>#REF!</v>
      </c>
      <c r="E16" s="247" t="e">
        <f t="shared" si="3"/>
        <v>#REF!</v>
      </c>
      <c r="F16" s="213" t="e">
        <f t="shared" si="4"/>
        <v>#REF!</v>
      </c>
      <c r="G16" s="53" t="e">
        <f t="shared" si="5"/>
        <v>#REF!</v>
      </c>
      <c r="H16" s="213" t="e">
        <f t="shared" si="6"/>
        <v>#REF!</v>
      </c>
      <c r="I16" s="53"/>
      <c r="J16" s="213" t="e">
        <f t="shared" si="7"/>
        <v>#REF!</v>
      </c>
      <c r="K16" s="53"/>
      <c r="L16" s="53" t="e">
        <f t="shared" si="8"/>
        <v>#REF!</v>
      </c>
      <c r="M16" s="53" t="e">
        <f t="shared" si="9"/>
        <v>#REF!</v>
      </c>
      <c r="N16" s="42"/>
    </row>
    <row r="17" spans="1:14" x14ac:dyDescent="0.2">
      <c r="A17" s="39" t="s">
        <v>68</v>
      </c>
      <c r="B17" s="2" t="e">
        <f t="shared" si="0"/>
        <v>#REF!</v>
      </c>
      <c r="C17" s="2" t="e">
        <f t="shared" si="1"/>
        <v>#REF!</v>
      </c>
      <c r="D17" s="40" t="e">
        <f t="shared" si="2"/>
        <v>#REF!</v>
      </c>
      <c r="E17" s="247" t="e">
        <f t="shared" si="3"/>
        <v>#REF!</v>
      </c>
      <c r="F17" s="213" t="e">
        <f t="shared" si="4"/>
        <v>#REF!</v>
      </c>
      <c r="G17" s="53" t="e">
        <f t="shared" si="5"/>
        <v>#REF!</v>
      </c>
      <c r="H17" s="213" t="e">
        <f t="shared" si="6"/>
        <v>#REF!</v>
      </c>
      <c r="I17" s="53"/>
      <c r="J17" s="213" t="e">
        <f t="shared" si="7"/>
        <v>#REF!</v>
      </c>
      <c r="K17" s="53"/>
      <c r="L17" s="53" t="e">
        <f t="shared" si="8"/>
        <v>#REF!</v>
      </c>
      <c r="M17" s="53" t="e">
        <f t="shared" si="9"/>
        <v>#REF!</v>
      </c>
      <c r="N17" s="42"/>
    </row>
    <row r="18" spans="1:14" x14ac:dyDescent="0.2">
      <c r="A18" s="39" t="s">
        <v>69</v>
      </c>
      <c r="B18" s="2" t="e">
        <f t="shared" si="0"/>
        <v>#REF!</v>
      </c>
      <c r="C18" s="2" t="e">
        <f t="shared" si="1"/>
        <v>#REF!</v>
      </c>
      <c r="D18" s="40" t="e">
        <f t="shared" si="2"/>
        <v>#REF!</v>
      </c>
      <c r="E18" s="247" t="e">
        <f t="shared" si="3"/>
        <v>#REF!</v>
      </c>
      <c r="F18" s="213" t="e">
        <f t="shared" si="4"/>
        <v>#REF!</v>
      </c>
      <c r="G18" s="53" t="e">
        <f t="shared" si="5"/>
        <v>#REF!</v>
      </c>
      <c r="H18" s="213" t="e">
        <f t="shared" si="6"/>
        <v>#REF!</v>
      </c>
      <c r="I18" s="53"/>
      <c r="J18" s="213" t="e">
        <f t="shared" si="7"/>
        <v>#REF!</v>
      </c>
      <c r="K18" s="53"/>
      <c r="L18" s="53" t="e">
        <f t="shared" si="8"/>
        <v>#REF!</v>
      </c>
      <c r="M18" s="53" t="e">
        <f t="shared" si="9"/>
        <v>#REF!</v>
      </c>
      <c r="N18" s="42"/>
    </row>
    <row r="19" spans="1:14" x14ac:dyDescent="0.2">
      <c r="A19" s="39" t="s">
        <v>70</v>
      </c>
      <c r="B19" s="2" t="e">
        <f t="shared" si="0"/>
        <v>#REF!</v>
      </c>
      <c r="C19" s="2" t="e">
        <f t="shared" si="1"/>
        <v>#REF!</v>
      </c>
      <c r="D19" s="40" t="e">
        <f t="shared" si="2"/>
        <v>#REF!</v>
      </c>
      <c r="E19" s="247" t="e">
        <f t="shared" si="3"/>
        <v>#REF!</v>
      </c>
      <c r="F19" s="213" t="e">
        <f t="shared" si="4"/>
        <v>#REF!</v>
      </c>
      <c r="G19" s="53" t="e">
        <f t="shared" si="5"/>
        <v>#REF!</v>
      </c>
      <c r="H19" s="213" t="e">
        <f t="shared" si="6"/>
        <v>#REF!</v>
      </c>
      <c r="I19" s="53"/>
      <c r="J19" s="213" t="e">
        <f t="shared" si="7"/>
        <v>#REF!</v>
      </c>
      <c r="K19" s="53"/>
      <c r="L19" s="53" t="e">
        <f t="shared" si="8"/>
        <v>#REF!</v>
      </c>
      <c r="M19" s="53" t="e">
        <f t="shared" si="9"/>
        <v>#REF!</v>
      </c>
      <c r="N19" s="42"/>
    </row>
    <row r="20" spans="1:14" x14ac:dyDescent="0.2">
      <c r="A20" s="39" t="s">
        <v>71</v>
      </c>
      <c r="B20" s="2" t="e">
        <f t="shared" si="0"/>
        <v>#REF!</v>
      </c>
      <c r="C20" s="2" t="e">
        <f t="shared" si="1"/>
        <v>#REF!</v>
      </c>
      <c r="D20" s="40" t="e">
        <f t="shared" si="2"/>
        <v>#REF!</v>
      </c>
      <c r="E20" s="247" t="e">
        <f t="shared" si="3"/>
        <v>#REF!</v>
      </c>
      <c r="F20" s="213" t="e">
        <f t="shared" si="4"/>
        <v>#REF!</v>
      </c>
      <c r="G20" s="53" t="e">
        <f t="shared" si="5"/>
        <v>#REF!</v>
      </c>
      <c r="H20" s="213" t="e">
        <f t="shared" si="6"/>
        <v>#REF!</v>
      </c>
      <c r="I20" s="53"/>
      <c r="J20" s="213" t="e">
        <f t="shared" si="7"/>
        <v>#REF!</v>
      </c>
      <c r="K20" s="53"/>
      <c r="L20" s="53" t="e">
        <f t="shared" si="8"/>
        <v>#REF!</v>
      </c>
      <c r="M20" s="53" t="e">
        <f t="shared" si="9"/>
        <v>#REF!</v>
      </c>
      <c r="N20" s="42"/>
    </row>
    <row r="21" spans="1:14" x14ac:dyDescent="0.2">
      <c r="A21" s="39" t="s">
        <v>72</v>
      </c>
      <c r="B21" s="2" t="e">
        <f t="shared" si="0"/>
        <v>#REF!</v>
      </c>
      <c r="C21" s="2" t="e">
        <f t="shared" si="1"/>
        <v>#REF!</v>
      </c>
      <c r="D21" s="40" t="e">
        <f t="shared" si="2"/>
        <v>#REF!</v>
      </c>
      <c r="E21" s="247" t="e">
        <f t="shared" si="3"/>
        <v>#REF!</v>
      </c>
      <c r="F21" s="213" t="e">
        <f t="shared" si="4"/>
        <v>#REF!</v>
      </c>
      <c r="G21" s="53" t="e">
        <f t="shared" si="5"/>
        <v>#REF!</v>
      </c>
      <c r="H21" s="213" t="e">
        <f t="shared" si="6"/>
        <v>#REF!</v>
      </c>
      <c r="I21" s="53"/>
      <c r="J21" s="213" t="e">
        <f t="shared" si="7"/>
        <v>#REF!</v>
      </c>
      <c r="K21" s="53"/>
      <c r="L21" s="53" t="e">
        <f t="shared" si="8"/>
        <v>#REF!</v>
      </c>
      <c r="M21" s="53" t="e">
        <f t="shared" si="9"/>
        <v>#REF!</v>
      </c>
      <c r="N21" s="42"/>
    </row>
    <row r="22" spans="1:14" x14ac:dyDescent="0.2">
      <c r="A22" s="39" t="s">
        <v>73</v>
      </c>
      <c r="B22" s="2" t="e">
        <f t="shared" si="0"/>
        <v>#REF!</v>
      </c>
      <c r="C22" s="2" t="e">
        <f t="shared" si="1"/>
        <v>#REF!</v>
      </c>
      <c r="D22" s="40" t="e">
        <f t="shared" si="2"/>
        <v>#REF!</v>
      </c>
      <c r="E22" s="247" t="e">
        <f t="shared" si="3"/>
        <v>#REF!</v>
      </c>
      <c r="F22" s="213" t="e">
        <f t="shared" si="4"/>
        <v>#REF!</v>
      </c>
      <c r="G22" s="53" t="e">
        <f t="shared" si="5"/>
        <v>#REF!</v>
      </c>
      <c r="H22" s="213" t="e">
        <f t="shared" si="6"/>
        <v>#REF!</v>
      </c>
      <c r="I22" s="53"/>
      <c r="J22" s="213" t="e">
        <f t="shared" si="7"/>
        <v>#REF!</v>
      </c>
      <c r="K22" s="53"/>
      <c r="L22" s="53" t="e">
        <f t="shared" si="8"/>
        <v>#REF!</v>
      </c>
      <c r="M22" s="53" t="e">
        <f t="shared" si="9"/>
        <v>#REF!</v>
      </c>
      <c r="N22" s="42"/>
    </row>
    <row r="23" spans="1:14" x14ac:dyDescent="0.2">
      <c r="A23" s="39" t="s">
        <v>74</v>
      </c>
      <c r="B23" s="2" t="e">
        <f t="shared" si="0"/>
        <v>#REF!</v>
      </c>
      <c r="C23" s="2" t="e">
        <f t="shared" si="1"/>
        <v>#REF!</v>
      </c>
      <c r="D23" s="40" t="e">
        <f t="shared" si="2"/>
        <v>#REF!</v>
      </c>
      <c r="E23" s="247" t="e">
        <f t="shared" si="3"/>
        <v>#REF!</v>
      </c>
      <c r="F23" s="213" t="e">
        <f t="shared" si="4"/>
        <v>#REF!</v>
      </c>
      <c r="G23" s="53" t="e">
        <f t="shared" si="5"/>
        <v>#REF!</v>
      </c>
      <c r="H23" s="213" t="e">
        <f t="shared" si="6"/>
        <v>#REF!</v>
      </c>
      <c r="I23" s="53"/>
      <c r="J23" s="213" t="e">
        <f t="shared" si="7"/>
        <v>#REF!</v>
      </c>
      <c r="K23" s="53"/>
      <c r="L23" s="53" t="e">
        <f t="shared" si="8"/>
        <v>#REF!</v>
      </c>
      <c r="M23" s="53" t="e">
        <f t="shared" si="9"/>
        <v>#REF!</v>
      </c>
      <c r="N23" s="42"/>
    </row>
    <row r="24" spans="1:14" x14ac:dyDescent="0.2">
      <c r="A24" s="39" t="s">
        <v>75</v>
      </c>
      <c r="B24" s="2" t="e">
        <f t="shared" si="0"/>
        <v>#REF!</v>
      </c>
      <c r="C24" s="2" t="e">
        <f t="shared" si="1"/>
        <v>#REF!</v>
      </c>
      <c r="D24" s="40" t="e">
        <f t="shared" si="2"/>
        <v>#REF!</v>
      </c>
      <c r="E24" s="247" t="e">
        <f t="shared" si="3"/>
        <v>#REF!</v>
      </c>
      <c r="F24" s="213" t="e">
        <f t="shared" si="4"/>
        <v>#REF!</v>
      </c>
      <c r="G24" s="53" t="e">
        <f t="shared" si="5"/>
        <v>#REF!</v>
      </c>
      <c r="H24" s="213" t="e">
        <f t="shared" si="6"/>
        <v>#REF!</v>
      </c>
      <c r="I24" s="53"/>
      <c r="J24" s="213" t="e">
        <f t="shared" si="7"/>
        <v>#REF!</v>
      </c>
      <c r="K24" s="53"/>
      <c r="L24" s="53" t="e">
        <f t="shared" si="8"/>
        <v>#REF!</v>
      </c>
      <c r="M24" s="53" t="e">
        <f t="shared" si="9"/>
        <v>#REF!</v>
      </c>
      <c r="N24" s="42"/>
    </row>
    <row r="25" spans="1:14" x14ac:dyDescent="0.2">
      <c r="A25" s="39" t="s">
        <v>76</v>
      </c>
      <c r="B25" s="2" t="e">
        <f t="shared" si="0"/>
        <v>#REF!</v>
      </c>
      <c r="C25" s="2" t="e">
        <f t="shared" si="1"/>
        <v>#REF!</v>
      </c>
      <c r="D25" s="40" t="e">
        <f t="shared" si="2"/>
        <v>#REF!</v>
      </c>
      <c r="E25" s="247" t="e">
        <f t="shared" si="3"/>
        <v>#REF!</v>
      </c>
      <c r="F25" s="213" t="e">
        <f t="shared" si="4"/>
        <v>#REF!</v>
      </c>
      <c r="G25" s="53" t="e">
        <f t="shared" si="5"/>
        <v>#REF!</v>
      </c>
      <c r="H25" s="213" t="e">
        <f t="shared" si="6"/>
        <v>#REF!</v>
      </c>
      <c r="I25" s="53"/>
      <c r="J25" s="213" t="e">
        <f t="shared" si="7"/>
        <v>#REF!</v>
      </c>
      <c r="K25" s="53"/>
      <c r="L25" s="53" t="e">
        <f t="shared" si="8"/>
        <v>#REF!</v>
      </c>
      <c r="M25" s="53" t="e">
        <f t="shared" si="9"/>
        <v>#REF!</v>
      </c>
      <c r="N25" s="42"/>
    </row>
    <row r="26" spans="1:14" x14ac:dyDescent="0.2">
      <c r="A26" s="39" t="s">
        <v>77</v>
      </c>
      <c r="B26" s="2" t="e">
        <f t="shared" si="0"/>
        <v>#REF!</v>
      </c>
      <c r="C26" s="2" t="e">
        <f t="shared" si="1"/>
        <v>#REF!</v>
      </c>
      <c r="D26" s="40" t="e">
        <f t="shared" si="2"/>
        <v>#REF!</v>
      </c>
      <c r="E26" s="247" t="e">
        <f t="shared" si="3"/>
        <v>#REF!</v>
      </c>
      <c r="F26" s="213" t="e">
        <f t="shared" si="4"/>
        <v>#REF!</v>
      </c>
      <c r="G26" s="53" t="e">
        <f t="shared" si="5"/>
        <v>#REF!</v>
      </c>
      <c r="H26" s="213" t="e">
        <f t="shared" si="6"/>
        <v>#REF!</v>
      </c>
      <c r="I26" s="53"/>
      <c r="J26" s="213" t="e">
        <f t="shared" si="7"/>
        <v>#REF!</v>
      </c>
      <c r="K26" s="53"/>
      <c r="L26" s="53" t="e">
        <f t="shared" si="8"/>
        <v>#REF!</v>
      </c>
      <c r="M26" s="53" t="e">
        <f t="shared" si="9"/>
        <v>#REF!</v>
      </c>
      <c r="N26" s="42"/>
    </row>
    <row r="27" spans="1:14" x14ac:dyDescent="0.2">
      <c r="A27" s="39" t="s">
        <v>78</v>
      </c>
      <c r="B27" s="2" t="e">
        <f t="shared" si="0"/>
        <v>#REF!</v>
      </c>
      <c r="C27" s="2" t="e">
        <f t="shared" si="1"/>
        <v>#REF!</v>
      </c>
      <c r="D27" s="40" t="e">
        <f t="shared" si="2"/>
        <v>#REF!</v>
      </c>
      <c r="E27" s="247" t="e">
        <f t="shared" si="3"/>
        <v>#REF!</v>
      </c>
      <c r="F27" s="213" t="e">
        <f t="shared" si="4"/>
        <v>#REF!</v>
      </c>
      <c r="G27" s="53" t="e">
        <f t="shared" si="5"/>
        <v>#REF!</v>
      </c>
      <c r="H27" s="213" t="e">
        <f t="shared" si="6"/>
        <v>#REF!</v>
      </c>
      <c r="I27" s="53"/>
      <c r="J27" s="213" t="e">
        <f t="shared" si="7"/>
        <v>#REF!</v>
      </c>
      <c r="K27" s="53"/>
      <c r="L27" s="53" t="e">
        <f t="shared" si="8"/>
        <v>#REF!</v>
      </c>
      <c r="M27" s="53" t="e">
        <f t="shared" si="9"/>
        <v>#REF!</v>
      </c>
      <c r="N27" s="42"/>
    </row>
    <row r="28" spans="1:14" x14ac:dyDescent="0.2">
      <c r="A28" s="39" t="s">
        <v>79</v>
      </c>
      <c r="B28" s="2" t="e">
        <f t="shared" si="0"/>
        <v>#REF!</v>
      </c>
      <c r="C28" s="2" t="e">
        <f t="shared" si="1"/>
        <v>#REF!</v>
      </c>
      <c r="D28" s="40" t="e">
        <f t="shared" si="2"/>
        <v>#REF!</v>
      </c>
      <c r="E28" s="247" t="e">
        <f t="shared" si="3"/>
        <v>#REF!</v>
      </c>
      <c r="F28" s="213" t="e">
        <f t="shared" si="4"/>
        <v>#REF!</v>
      </c>
      <c r="G28" s="53" t="e">
        <f t="shared" si="5"/>
        <v>#REF!</v>
      </c>
      <c r="H28" s="213" t="e">
        <f t="shared" si="6"/>
        <v>#REF!</v>
      </c>
      <c r="I28" s="53"/>
      <c r="J28" s="213" t="e">
        <f t="shared" si="7"/>
        <v>#REF!</v>
      </c>
      <c r="K28" s="53"/>
      <c r="L28" s="53" t="e">
        <f t="shared" si="8"/>
        <v>#REF!</v>
      </c>
      <c r="M28" s="53" t="e">
        <f t="shared" si="9"/>
        <v>#REF!</v>
      </c>
      <c r="N28" s="42"/>
    </row>
    <row r="29" spans="1:14" x14ac:dyDescent="0.2">
      <c r="A29" s="39" t="s">
        <v>80</v>
      </c>
      <c r="B29" s="2" t="e">
        <f t="shared" si="0"/>
        <v>#REF!</v>
      </c>
      <c r="C29" s="2" t="e">
        <f t="shared" si="1"/>
        <v>#REF!</v>
      </c>
      <c r="D29" s="40" t="e">
        <f t="shared" si="2"/>
        <v>#REF!</v>
      </c>
      <c r="E29" s="247" t="e">
        <f t="shared" si="3"/>
        <v>#REF!</v>
      </c>
      <c r="F29" s="213" t="e">
        <f t="shared" si="4"/>
        <v>#REF!</v>
      </c>
      <c r="G29" s="53" t="e">
        <f t="shared" si="5"/>
        <v>#REF!</v>
      </c>
      <c r="H29" s="213" t="e">
        <f t="shared" si="6"/>
        <v>#REF!</v>
      </c>
      <c r="I29" s="53"/>
      <c r="J29" s="213" t="e">
        <f t="shared" si="7"/>
        <v>#REF!</v>
      </c>
      <c r="K29" s="53"/>
      <c r="L29" s="53" t="e">
        <f t="shared" si="8"/>
        <v>#REF!</v>
      </c>
      <c r="M29" s="53" t="e">
        <f t="shared" si="9"/>
        <v>#REF!</v>
      </c>
      <c r="N29" s="42"/>
    </row>
    <row r="30" spans="1:14" x14ac:dyDescent="0.2">
      <c r="A30" s="39" t="s">
        <v>81</v>
      </c>
      <c r="B30" s="2" t="e">
        <f t="shared" si="0"/>
        <v>#REF!</v>
      </c>
      <c r="C30" s="2" t="e">
        <f t="shared" si="1"/>
        <v>#REF!</v>
      </c>
      <c r="D30" s="40" t="e">
        <f t="shared" si="2"/>
        <v>#REF!</v>
      </c>
      <c r="E30" s="247" t="e">
        <f t="shared" si="3"/>
        <v>#REF!</v>
      </c>
      <c r="F30" s="213" t="e">
        <f t="shared" si="4"/>
        <v>#REF!</v>
      </c>
      <c r="G30" s="53" t="e">
        <f t="shared" si="5"/>
        <v>#REF!</v>
      </c>
      <c r="H30" s="213" t="e">
        <f t="shared" si="6"/>
        <v>#REF!</v>
      </c>
      <c r="I30" s="53"/>
      <c r="J30" s="213" t="e">
        <f t="shared" si="7"/>
        <v>#REF!</v>
      </c>
      <c r="K30" s="53"/>
      <c r="L30" s="53" t="e">
        <f t="shared" si="8"/>
        <v>#REF!</v>
      </c>
      <c r="M30" s="53" t="e">
        <f t="shared" si="9"/>
        <v>#REF!</v>
      </c>
      <c r="N30" s="42"/>
    </row>
    <row r="31" spans="1:14" x14ac:dyDescent="0.2">
      <c r="A31" s="39" t="s">
        <v>82</v>
      </c>
      <c r="B31" s="2" t="e">
        <f t="shared" si="0"/>
        <v>#REF!</v>
      </c>
      <c r="C31" s="2" t="e">
        <f t="shared" si="1"/>
        <v>#REF!</v>
      </c>
      <c r="D31" s="40" t="e">
        <f t="shared" si="2"/>
        <v>#REF!</v>
      </c>
      <c r="E31" s="247" t="e">
        <f t="shared" si="3"/>
        <v>#REF!</v>
      </c>
      <c r="F31" s="213" t="e">
        <f t="shared" si="4"/>
        <v>#REF!</v>
      </c>
      <c r="G31" s="53" t="e">
        <f t="shared" si="5"/>
        <v>#REF!</v>
      </c>
      <c r="H31" s="213" t="e">
        <f t="shared" si="6"/>
        <v>#REF!</v>
      </c>
      <c r="I31" s="53"/>
      <c r="J31" s="213" t="e">
        <f t="shared" si="7"/>
        <v>#REF!</v>
      </c>
      <c r="K31" s="53"/>
      <c r="L31" s="53" t="e">
        <f t="shared" si="8"/>
        <v>#REF!</v>
      </c>
      <c r="M31" s="53" t="e">
        <f t="shared" si="9"/>
        <v>#REF!</v>
      </c>
      <c r="N31" s="42"/>
    </row>
    <row r="32" spans="1:14" x14ac:dyDescent="0.2">
      <c r="A32" s="39" t="s">
        <v>83</v>
      </c>
      <c r="B32" s="2" t="e">
        <f t="shared" si="0"/>
        <v>#REF!</v>
      </c>
      <c r="C32" s="2" t="e">
        <f t="shared" si="1"/>
        <v>#REF!</v>
      </c>
      <c r="D32" s="40" t="e">
        <f t="shared" si="2"/>
        <v>#REF!</v>
      </c>
      <c r="E32" s="247" t="e">
        <f t="shared" si="3"/>
        <v>#REF!</v>
      </c>
      <c r="F32" s="213" t="e">
        <f t="shared" si="4"/>
        <v>#REF!</v>
      </c>
      <c r="G32" s="53" t="e">
        <f t="shared" si="5"/>
        <v>#REF!</v>
      </c>
      <c r="H32" s="213" t="e">
        <f t="shared" si="6"/>
        <v>#REF!</v>
      </c>
      <c r="I32" s="53"/>
      <c r="J32" s="213" t="e">
        <f t="shared" si="7"/>
        <v>#REF!</v>
      </c>
      <c r="K32" s="53"/>
      <c r="L32" s="53" t="e">
        <f t="shared" si="8"/>
        <v>#REF!</v>
      </c>
      <c r="M32" s="53" t="e">
        <f t="shared" si="9"/>
        <v>#REF!</v>
      </c>
      <c r="N32" s="42"/>
    </row>
    <row r="33" spans="1:14" x14ac:dyDescent="0.2">
      <c r="A33" s="39" t="s">
        <v>84</v>
      </c>
      <c r="B33" s="2" t="e">
        <f t="shared" si="0"/>
        <v>#REF!</v>
      </c>
      <c r="C33" s="2" t="e">
        <f t="shared" si="1"/>
        <v>#REF!</v>
      </c>
      <c r="D33" s="40" t="e">
        <f t="shared" si="2"/>
        <v>#REF!</v>
      </c>
      <c r="E33" s="247" t="e">
        <f t="shared" si="3"/>
        <v>#REF!</v>
      </c>
      <c r="F33" s="213" t="e">
        <f t="shared" si="4"/>
        <v>#REF!</v>
      </c>
      <c r="G33" s="53" t="e">
        <f t="shared" si="5"/>
        <v>#REF!</v>
      </c>
      <c r="H33" s="213" t="e">
        <f t="shared" si="6"/>
        <v>#REF!</v>
      </c>
      <c r="I33" s="53"/>
      <c r="J33" s="213" t="e">
        <f t="shared" si="7"/>
        <v>#REF!</v>
      </c>
      <c r="K33" s="53"/>
      <c r="L33" s="53" t="e">
        <f t="shared" si="8"/>
        <v>#REF!</v>
      </c>
      <c r="M33" s="53" t="e">
        <f t="shared" si="9"/>
        <v>#REF!</v>
      </c>
      <c r="N33" s="42"/>
    </row>
    <row r="34" spans="1:14" x14ac:dyDescent="0.2">
      <c r="A34" s="39" t="s">
        <v>85</v>
      </c>
      <c r="B34" s="2" t="e">
        <f t="shared" si="0"/>
        <v>#REF!</v>
      </c>
      <c r="C34" s="2" t="e">
        <f t="shared" si="1"/>
        <v>#REF!</v>
      </c>
      <c r="D34" s="40" t="e">
        <f t="shared" si="2"/>
        <v>#REF!</v>
      </c>
      <c r="E34" s="247" t="e">
        <f t="shared" si="3"/>
        <v>#REF!</v>
      </c>
      <c r="F34" s="213" t="e">
        <f t="shared" si="4"/>
        <v>#REF!</v>
      </c>
      <c r="G34" s="53" t="e">
        <f t="shared" si="5"/>
        <v>#REF!</v>
      </c>
      <c r="H34" s="213" t="e">
        <f t="shared" si="6"/>
        <v>#REF!</v>
      </c>
      <c r="I34" s="53"/>
      <c r="J34" s="213" t="e">
        <f t="shared" si="7"/>
        <v>#REF!</v>
      </c>
      <c r="K34" s="53"/>
      <c r="L34" s="53" t="e">
        <f t="shared" si="8"/>
        <v>#REF!</v>
      </c>
      <c r="M34" s="53" t="e">
        <f t="shared" si="9"/>
        <v>#REF!</v>
      </c>
      <c r="N34" s="42"/>
    </row>
    <row r="35" spans="1:14" x14ac:dyDescent="0.2">
      <c r="A35" s="39" t="s">
        <v>86</v>
      </c>
      <c r="B35" s="2" t="e">
        <f t="shared" si="0"/>
        <v>#REF!</v>
      </c>
      <c r="C35" s="2" t="e">
        <f t="shared" si="1"/>
        <v>#REF!</v>
      </c>
      <c r="D35" s="40" t="e">
        <f t="shared" si="2"/>
        <v>#REF!</v>
      </c>
      <c r="E35" s="247" t="e">
        <f t="shared" si="3"/>
        <v>#REF!</v>
      </c>
      <c r="F35" s="213" t="e">
        <f t="shared" si="4"/>
        <v>#REF!</v>
      </c>
      <c r="G35" s="53" t="e">
        <f t="shared" si="5"/>
        <v>#REF!</v>
      </c>
      <c r="H35" s="213" t="e">
        <f t="shared" si="6"/>
        <v>#REF!</v>
      </c>
      <c r="I35" s="53"/>
      <c r="J35" s="213" t="e">
        <f t="shared" si="7"/>
        <v>#REF!</v>
      </c>
      <c r="K35" s="53"/>
      <c r="L35" s="53" t="e">
        <f t="shared" si="8"/>
        <v>#REF!</v>
      </c>
      <c r="M35" s="53" t="e">
        <f t="shared" si="9"/>
        <v>#REF!</v>
      </c>
      <c r="N35" s="42"/>
    </row>
    <row r="36" spans="1:14" x14ac:dyDescent="0.2">
      <c r="A36" s="39" t="s">
        <v>87</v>
      </c>
      <c r="B36" s="2" t="e">
        <f t="shared" si="0"/>
        <v>#REF!</v>
      </c>
      <c r="C36" s="2" t="e">
        <f t="shared" si="1"/>
        <v>#REF!</v>
      </c>
      <c r="D36" s="40" t="e">
        <f t="shared" si="2"/>
        <v>#REF!</v>
      </c>
      <c r="E36" s="247" t="e">
        <f t="shared" si="3"/>
        <v>#REF!</v>
      </c>
      <c r="F36" s="213" t="e">
        <f t="shared" si="4"/>
        <v>#REF!</v>
      </c>
      <c r="G36" s="53" t="e">
        <f t="shared" si="5"/>
        <v>#REF!</v>
      </c>
      <c r="H36" s="213" t="e">
        <f t="shared" si="6"/>
        <v>#REF!</v>
      </c>
      <c r="I36" s="53"/>
      <c r="J36" s="213" t="e">
        <f t="shared" si="7"/>
        <v>#REF!</v>
      </c>
      <c r="K36" s="53"/>
      <c r="L36" s="53" t="e">
        <f t="shared" si="8"/>
        <v>#REF!</v>
      </c>
      <c r="M36" s="53" t="e">
        <f t="shared" si="9"/>
        <v>#REF!</v>
      </c>
      <c r="N36" s="42"/>
    </row>
    <row r="37" spans="1:14" x14ac:dyDescent="0.2">
      <c r="A37" s="39" t="s">
        <v>88</v>
      </c>
      <c r="B37" s="2" t="e">
        <f t="shared" si="0"/>
        <v>#REF!</v>
      </c>
      <c r="C37" s="2" t="e">
        <f t="shared" si="1"/>
        <v>#REF!</v>
      </c>
      <c r="D37" s="40" t="e">
        <f t="shared" si="2"/>
        <v>#REF!</v>
      </c>
      <c r="E37" s="247" t="e">
        <f t="shared" si="3"/>
        <v>#REF!</v>
      </c>
      <c r="F37" s="213" t="e">
        <f t="shared" si="4"/>
        <v>#REF!</v>
      </c>
      <c r="G37" s="53" t="e">
        <f t="shared" si="5"/>
        <v>#REF!</v>
      </c>
      <c r="H37" s="213" t="e">
        <f t="shared" si="6"/>
        <v>#REF!</v>
      </c>
      <c r="I37" s="53"/>
      <c r="J37" s="213" t="e">
        <f t="shared" si="7"/>
        <v>#REF!</v>
      </c>
      <c r="K37" s="53"/>
      <c r="L37" s="53" t="e">
        <f t="shared" si="8"/>
        <v>#REF!</v>
      </c>
      <c r="M37" s="53" t="e">
        <f t="shared" si="9"/>
        <v>#REF!</v>
      </c>
      <c r="N37" s="42"/>
    </row>
    <row r="38" spans="1:14" x14ac:dyDescent="0.2">
      <c r="A38" s="39" t="s">
        <v>89</v>
      </c>
      <c r="B38" s="2" t="e">
        <f t="shared" ref="B38:B69" si="10">INDEX(Crop_data,MATCH(A38,Crop_data_codes,0),2)</f>
        <v>#REF!</v>
      </c>
      <c r="C38" s="2" t="e">
        <f t="shared" ref="C38:C69" si="11">INDEX(Crop_data,MATCH(A38,Crop_data_codes,0),3)</f>
        <v>#REF!</v>
      </c>
      <c r="D38" s="40" t="e">
        <f t="shared" ref="D38:D69" si="12">INDEX(Crop_data,MATCH(A38,Crop_data_codes,0),4)</f>
        <v>#REF!</v>
      </c>
      <c r="E38" s="247" t="e">
        <f t="shared" ref="E38:E69" si="13">IF(D38="Yes", SUM(F38:N38),"")</f>
        <v>#REF!</v>
      </c>
      <c r="F38" s="213" t="e">
        <f t="shared" ref="F38:F69" si="14">IF(D38="YES",INDEX(Crop_data,MATCH(A38,Crop_data_codes,0),7)*(Frac_BAT*EF_min_fert_BAT_CO2+Frac_AN*EF_min_fert_AN_CO2)/INDEX(Crop_data,MATCH(A38,Crop_data_codes,0),6),"")</f>
        <v>#REF!</v>
      </c>
      <c r="G38" s="53" t="e">
        <f t="shared" ref="G38:G69" si="15">IF(D38="YES",EF_capital_goods_CO2,"")</f>
        <v>#REF!</v>
      </c>
      <c r="H38" s="213" t="e">
        <f t="shared" ref="H38:H69" si="16">IF(D38="Yes",INDEX(Soil_carbon_data,MATCH(C38,Soil_carbon_categories,0),2),"")</f>
        <v>#REF!</v>
      </c>
      <c r="I38" s="53"/>
      <c r="J38" s="213" t="e">
        <f t="shared" si="7"/>
        <v>#REF!</v>
      </c>
      <c r="K38" s="251" t="e">
        <f>Energy!B21/INDEX(Crop_data,MATCH(A38,Crop_data_codes,0),6)*INDEX(Crop_data,MATCH(A38,Crop_data_codes,0),5)/100</f>
        <v>#REF!</v>
      </c>
      <c r="L38" s="53" t="e">
        <f t="shared" ref="L38:L69" si="17">IF(D38="YES",INDEX(Crop_data,MATCH(A38,Crop_data_codes,0),12)*EF_irrigation_CO2/INDEX(Crop_data,MATCH(A38,Crop_data_codes,0),6),"")</f>
        <v>#REF!</v>
      </c>
      <c r="M38" s="53" t="e">
        <f t="shared" ref="M38:M69" si="18">IF(D38="Yes",INDEX(Post_harvest_energy_data,MATCH(C38,Post_harvest_energy_categories,0),2)*EF_heating_oil_CO2+INDEX(Post_harvest_energy_data,MATCH(C38,Post_harvest_energy_categories,0),3)*EF_electricity_CO2+INDEX(Post_harvest_energy_data,MATCH(C38,Post_harvest_energy_categories,0),4)*EF_chips_CO2,"")</f>
        <v>#REF!</v>
      </c>
      <c r="N38" s="42"/>
    </row>
    <row r="39" spans="1:14" x14ac:dyDescent="0.2">
      <c r="A39" s="39" t="s">
        <v>90</v>
      </c>
      <c r="B39" s="2" t="e">
        <f t="shared" si="10"/>
        <v>#REF!</v>
      </c>
      <c r="C39" s="2" t="e">
        <f t="shared" si="11"/>
        <v>#REF!</v>
      </c>
      <c r="D39" s="40" t="e">
        <f t="shared" si="12"/>
        <v>#REF!</v>
      </c>
      <c r="E39" s="247" t="e">
        <f t="shared" si="13"/>
        <v>#REF!</v>
      </c>
      <c r="F39" s="213" t="e">
        <f t="shared" si="14"/>
        <v>#REF!</v>
      </c>
      <c r="G39" s="53" t="e">
        <f t="shared" si="15"/>
        <v>#REF!</v>
      </c>
      <c r="H39" s="213" t="e">
        <f t="shared" si="16"/>
        <v>#REF!</v>
      </c>
      <c r="I39" s="53"/>
      <c r="J39" s="213"/>
      <c r="K39" s="251" t="e">
        <f>Energy!B21/INDEX(Crop_data,MATCH(A38,Crop_data_codes,0),6)</f>
        <v>#REF!</v>
      </c>
      <c r="L39" s="53" t="e">
        <f t="shared" si="17"/>
        <v>#REF!</v>
      </c>
      <c r="M39" s="53" t="e">
        <f t="shared" si="18"/>
        <v>#REF!</v>
      </c>
      <c r="N39" s="42"/>
    </row>
    <row r="40" spans="1:14" x14ac:dyDescent="0.2">
      <c r="A40" s="39" t="s">
        <v>91</v>
      </c>
      <c r="B40" s="2" t="e">
        <f t="shared" si="10"/>
        <v>#REF!</v>
      </c>
      <c r="C40" s="2" t="e">
        <f t="shared" si="11"/>
        <v>#REF!</v>
      </c>
      <c r="D40" s="40" t="e">
        <f t="shared" si="12"/>
        <v>#REF!</v>
      </c>
      <c r="E40" s="247" t="e">
        <f t="shared" si="13"/>
        <v>#REF!</v>
      </c>
      <c r="F40" s="213" t="e">
        <f t="shared" si="14"/>
        <v>#REF!</v>
      </c>
      <c r="G40" s="53" t="e">
        <f t="shared" si="15"/>
        <v>#REF!</v>
      </c>
      <c r="H40" s="213" t="e">
        <f t="shared" si="16"/>
        <v>#REF!</v>
      </c>
      <c r="I40" s="53"/>
      <c r="J40" s="213" t="e">
        <f t="shared" ref="J40:J71" si="19">IF(D40="YES",INDEX(Crop_data,MATCH(A40,Crop_data_codes,0),11)*Heating_value_diesel*EF_diesel_CO2/INDEX(Crop_data,MATCH(A40,Crop_data_codes,0),6),"")</f>
        <v>#REF!</v>
      </c>
      <c r="K40" s="251"/>
      <c r="L40" s="53" t="e">
        <f t="shared" si="17"/>
        <v>#REF!</v>
      </c>
      <c r="M40" s="53" t="e">
        <f t="shared" si="18"/>
        <v>#REF!</v>
      </c>
      <c r="N40" s="42"/>
    </row>
    <row r="41" spans="1:14" x14ac:dyDescent="0.2">
      <c r="A41" s="39" t="s">
        <v>92</v>
      </c>
      <c r="B41" s="2" t="e">
        <f t="shared" si="10"/>
        <v>#REF!</v>
      </c>
      <c r="C41" s="2" t="e">
        <f t="shared" si="11"/>
        <v>#REF!</v>
      </c>
      <c r="D41" s="40" t="e">
        <f t="shared" si="12"/>
        <v>#REF!</v>
      </c>
      <c r="E41" s="247" t="e">
        <f t="shared" si="13"/>
        <v>#REF!</v>
      </c>
      <c r="F41" s="213" t="e">
        <f t="shared" si="14"/>
        <v>#REF!</v>
      </c>
      <c r="G41" s="53" t="e">
        <f t="shared" si="15"/>
        <v>#REF!</v>
      </c>
      <c r="H41" s="213" t="e">
        <f t="shared" si="16"/>
        <v>#REF!</v>
      </c>
      <c r="I41" s="53"/>
      <c r="J41" s="213" t="e">
        <f t="shared" si="19"/>
        <v>#REF!</v>
      </c>
      <c r="K41" s="53"/>
      <c r="L41" s="53" t="e">
        <f t="shared" si="17"/>
        <v>#REF!</v>
      </c>
      <c r="M41" s="53" t="e">
        <f t="shared" si="18"/>
        <v>#REF!</v>
      </c>
      <c r="N41" s="42"/>
    </row>
    <row r="42" spans="1:14" x14ac:dyDescent="0.2">
      <c r="A42" s="39" t="s">
        <v>93</v>
      </c>
      <c r="B42" s="2" t="e">
        <f t="shared" si="10"/>
        <v>#REF!</v>
      </c>
      <c r="C42" s="2" t="e">
        <f t="shared" si="11"/>
        <v>#REF!</v>
      </c>
      <c r="D42" s="40" t="e">
        <f t="shared" si="12"/>
        <v>#REF!</v>
      </c>
      <c r="E42" s="247" t="e">
        <f t="shared" si="13"/>
        <v>#REF!</v>
      </c>
      <c r="F42" s="213" t="e">
        <f t="shared" si="14"/>
        <v>#REF!</v>
      </c>
      <c r="G42" s="53" t="e">
        <f t="shared" si="15"/>
        <v>#REF!</v>
      </c>
      <c r="H42" s="213" t="e">
        <f t="shared" si="16"/>
        <v>#REF!</v>
      </c>
      <c r="I42" s="53"/>
      <c r="J42" s="213" t="e">
        <f t="shared" si="19"/>
        <v>#REF!</v>
      </c>
      <c r="K42" s="53"/>
      <c r="L42" s="53" t="e">
        <f t="shared" si="17"/>
        <v>#REF!</v>
      </c>
      <c r="M42" s="53" t="e">
        <f t="shared" si="18"/>
        <v>#REF!</v>
      </c>
      <c r="N42" s="42"/>
    </row>
    <row r="43" spans="1:14" x14ac:dyDescent="0.2">
      <c r="A43" s="39" t="s">
        <v>94</v>
      </c>
      <c r="B43" s="2" t="e">
        <f t="shared" si="10"/>
        <v>#REF!</v>
      </c>
      <c r="C43" s="2" t="e">
        <f t="shared" si="11"/>
        <v>#REF!</v>
      </c>
      <c r="D43" s="40" t="e">
        <f t="shared" si="12"/>
        <v>#REF!</v>
      </c>
      <c r="E43" s="247" t="e">
        <f t="shared" si="13"/>
        <v>#REF!</v>
      </c>
      <c r="F43" s="213" t="e">
        <f t="shared" si="14"/>
        <v>#REF!</v>
      </c>
      <c r="G43" s="53" t="e">
        <f t="shared" si="15"/>
        <v>#REF!</v>
      </c>
      <c r="H43" s="213" t="e">
        <f t="shared" si="16"/>
        <v>#REF!</v>
      </c>
      <c r="I43" s="53"/>
      <c r="J43" s="213" t="e">
        <f t="shared" si="19"/>
        <v>#REF!</v>
      </c>
      <c r="K43" s="53"/>
      <c r="L43" s="53" t="e">
        <f t="shared" si="17"/>
        <v>#REF!</v>
      </c>
      <c r="M43" s="53" t="e">
        <f t="shared" si="18"/>
        <v>#REF!</v>
      </c>
      <c r="N43" s="42"/>
    </row>
    <row r="44" spans="1:14" x14ac:dyDescent="0.2">
      <c r="A44" s="39" t="s">
        <v>95</v>
      </c>
      <c r="B44" s="2" t="e">
        <f t="shared" si="10"/>
        <v>#REF!</v>
      </c>
      <c r="C44" s="2" t="e">
        <f t="shared" si="11"/>
        <v>#REF!</v>
      </c>
      <c r="D44" s="40" t="e">
        <f t="shared" si="12"/>
        <v>#REF!</v>
      </c>
      <c r="E44" s="247" t="e">
        <f t="shared" si="13"/>
        <v>#REF!</v>
      </c>
      <c r="F44" s="213" t="e">
        <f t="shared" si="14"/>
        <v>#REF!</v>
      </c>
      <c r="G44" s="53" t="e">
        <f t="shared" si="15"/>
        <v>#REF!</v>
      </c>
      <c r="H44" s="213" t="e">
        <f t="shared" si="16"/>
        <v>#REF!</v>
      </c>
      <c r="I44" s="53"/>
      <c r="J44" s="213" t="e">
        <f t="shared" si="19"/>
        <v>#REF!</v>
      </c>
      <c r="K44" s="53"/>
      <c r="L44" s="53" t="e">
        <f t="shared" si="17"/>
        <v>#REF!</v>
      </c>
      <c r="M44" s="53" t="e">
        <f t="shared" si="18"/>
        <v>#REF!</v>
      </c>
      <c r="N44" s="42"/>
    </row>
    <row r="45" spans="1:14" x14ac:dyDescent="0.2">
      <c r="A45" s="39" t="s">
        <v>96</v>
      </c>
      <c r="B45" s="2" t="e">
        <f t="shared" si="10"/>
        <v>#REF!</v>
      </c>
      <c r="C45" s="2" t="e">
        <f t="shared" si="11"/>
        <v>#REF!</v>
      </c>
      <c r="D45" s="40" t="e">
        <f t="shared" si="12"/>
        <v>#REF!</v>
      </c>
      <c r="E45" s="247" t="e">
        <f t="shared" si="13"/>
        <v>#REF!</v>
      </c>
      <c r="F45" s="213" t="e">
        <f t="shared" si="14"/>
        <v>#REF!</v>
      </c>
      <c r="G45" s="53" t="e">
        <f t="shared" si="15"/>
        <v>#REF!</v>
      </c>
      <c r="H45" s="213" t="e">
        <f t="shared" si="16"/>
        <v>#REF!</v>
      </c>
      <c r="I45" s="53"/>
      <c r="J45" s="213" t="e">
        <f t="shared" si="19"/>
        <v>#REF!</v>
      </c>
      <c r="K45" s="53"/>
      <c r="L45" s="53" t="e">
        <f t="shared" si="17"/>
        <v>#REF!</v>
      </c>
      <c r="M45" s="53" t="e">
        <f t="shared" si="18"/>
        <v>#REF!</v>
      </c>
      <c r="N45" s="42"/>
    </row>
    <row r="46" spans="1:14" x14ac:dyDescent="0.2">
      <c r="A46" s="39" t="s">
        <v>97</v>
      </c>
      <c r="B46" s="2" t="e">
        <f t="shared" si="10"/>
        <v>#REF!</v>
      </c>
      <c r="C46" s="2" t="e">
        <f t="shared" si="11"/>
        <v>#REF!</v>
      </c>
      <c r="D46" s="40" t="e">
        <f t="shared" si="12"/>
        <v>#REF!</v>
      </c>
      <c r="E46" s="247" t="e">
        <f t="shared" si="13"/>
        <v>#REF!</v>
      </c>
      <c r="F46" s="213" t="e">
        <f t="shared" si="14"/>
        <v>#REF!</v>
      </c>
      <c r="G46" s="53" t="e">
        <f t="shared" si="15"/>
        <v>#REF!</v>
      </c>
      <c r="H46" s="213" t="e">
        <f t="shared" si="16"/>
        <v>#REF!</v>
      </c>
      <c r="I46" s="53"/>
      <c r="J46" s="213" t="e">
        <f t="shared" si="19"/>
        <v>#REF!</v>
      </c>
      <c r="K46" s="53"/>
      <c r="L46" s="53" t="e">
        <f t="shared" si="17"/>
        <v>#REF!</v>
      </c>
      <c r="M46" s="53" t="e">
        <f t="shared" si="18"/>
        <v>#REF!</v>
      </c>
      <c r="N46" s="42"/>
    </row>
    <row r="47" spans="1:14" x14ac:dyDescent="0.2">
      <c r="A47" s="39" t="s">
        <v>98</v>
      </c>
      <c r="B47" s="2" t="e">
        <f t="shared" si="10"/>
        <v>#REF!</v>
      </c>
      <c r="C47" s="2" t="e">
        <f t="shared" si="11"/>
        <v>#REF!</v>
      </c>
      <c r="D47" s="40" t="e">
        <f t="shared" si="12"/>
        <v>#REF!</v>
      </c>
      <c r="E47" s="247" t="e">
        <f t="shared" si="13"/>
        <v>#REF!</v>
      </c>
      <c r="F47" s="213" t="e">
        <f t="shared" si="14"/>
        <v>#REF!</v>
      </c>
      <c r="G47" s="53" t="e">
        <f t="shared" si="15"/>
        <v>#REF!</v>
      </c>
      <c r="H47" s="213" t="e">
        <f t="shared" si="16"/>
        <v>#REF!</v>
      </c>
      <c r="I47" s="53"/>
      <c r="J47" s="213" t="e">
        <f t="shared" si="19"/>
        <v>#REF!</v>
      </c>
      <c r="K47" s="53"/>
      <c r="L47" s="53" t="e">
        <f t="shared" si="17"/>
        <v>#REF!</v>
      </c>
      <c r="M47" s="53" t="e">
        <f t="shared" si="18"/>
        <v>#REF!</v>
      </c>
      <c r="N47" s="42"/>
    </row>
    <row r="48" spans="1:14" x14ac:dyDescent="0.2">
      <c r="A48" s="39" t="s">
        <v>99</v>
      </c>
      <c r="B48" s="2" t="e">
        <f t="shared" si="10"/>
        <v>#REF!</v>
      </c>
      <c r="C48" s="2" t="e">
        <f t="shared" si="11"/>
        <v>#REF!</v>
      </c>
      <c r="D48" s="40" t="e">
        <f t="shared" si="12"/>
        <v>#REF!</v>
      </c>
      <c r="E48" s="247" t="e">
        <f t="shared" si="13"/>
        <v>#REF!</v>
      </c>
      <c r="F48" s="213" t="e">
        <f t="shared" si="14"/>
        <v>#REF!</v>
      </c>
      <c r="G48" s="53" t="e">
        <f t="shared" si="15"/>
        <v>#REF!</v>
      </c>
      <c r="H48" s="213" t="e">
        <f t="shared" si="16"/>
        <v>#REF!</v>
      </c>
      <c r="I48" s="53"/>
      <c r="J48" s="213" t="e">
        <f t="shared" si="19"/>
        <v>#REF!</v>
      </c>
      <c r="K48" s="53"/>
      <c r="L48" s="53" t="e">
        <f t="shared" si="17"/>
        <v>#REF!</v>
      </c>
      <c r="M48" s="53" t="e">
        <f t="shared" si="18"/>
        <v>#REF!</v>
      </c>
      <c r="N48" s="42"/>
    </row>
    <row r="49" spans="1:14" x14ac:dyDescent="0.2">
      <c r="A49" s="39" t="s">
        <v>100</v>
      </c>
      <c r="B49" s="2" t="e">
        <f t="shared" si="10"/>
        <v>#REF!</v>
      </c>
      <c r="C49" s="2" t="e">
        <f t="shared" si="11"/>
        <v>#REF!</v>
      </c>
      <c r="D49" s="40" t="e">
        <f t="shared" si="12"/>
        <v>#REF!</v>
      </c>
      <c r="E49" s="247" t="e">
        <f t="shared" si="13"/>
        <v>#REF!</v>
      </c>
      <c r="F49" s="213" t="e">
        <f t="shared" si="14"/>
        <v>#REF!</v>
      </c>
      <c r="G49" s="53" t="e">
        <f t="shared" si="15"/>
        <v>#REF!</v>
      </c>
      <c r="H49" s="213" t="e">
        <f t="shared" si="16"/>
        <v>#REF!</v>
      </c>
      <c r="I49" s="53"/>
      <c r="J49" s="213" t="e">
        <f t="shared" si="19"/>
        <v>#REF!</v>
      </c>
      <c r="K49" s="53"/>
      <c r="L49" s="53" t="e">
        <f t="shared" si="17"/>
        <v>#REF!</v>
      </c>
      <c r="M49" s="53" t="e">
        <f t="shared" si="18"/>
        <v>#REF!</v>
      </c>
      <c r="N49" s="42"/>
    </row>
    <row r="50" spans="1:14" x14ac:dyDescent="0.2">
      <c r="A50" s="39" t="s">
        <v>101</v>
      </c>
      <c r="B50" s="2" t="e">
        <f t="shared" si="10"/>
        <v>#REF!</v>
      </c>
      <c r="C50" s="2" t="e">
        <f t="shared" si="11"/>
        <v>#REF!</v>
      </c>
      <c r="D50" s="40" t="e">
        <f t="shared" si="12"/>
        <v>#REF!</v>
      </c>
      <c r="E50" s="247" t="e">
        <f t="shared" si="13"/>
        <v>#REF!</v>
      </c>
      <c r="F50" s="213" t="e">
        <f t="shared" si="14"/>
        <v>#REF!</v>
      </c>
      <c r="G50" s="53" t="e">
        <f t="shared" si="15"/>
        <v>#REF!</v>
      </c>
      <c r="H50" s="213" t="e">
        <f t="shared" si="16"/>
        <v>#REF!</v>
      </c>
      <c r="I50" s="53"/>
      <c r="J50" s="213" t="e">
        <f t="shared" si="19"/>
        <v>#REF!</v>
      </c>
      <c r="K50" s="53"/>
      <c r="L50" s="53" t="e">
        <f t="shared" si="17"/>
        <v>#REF!</v>
      </c>
      <c r="M50" s="53" t="e">
        <f t="shared" si="18"/>
        <v>#REF!</v>
      </c>
      <c r="N50" s="42"/>
    </row>
    <row r="51" spans="1:14" x14ac:dyDescent="0.2">
      <c r="A51" s="39" t="s">
        <v>102</v>
      </c>
      <c r="B51" s="2" t="e">
        <f t="shared" si="10"/>
        <v>#REF!</v>
      </c>
      <c r="C51" s="2" t="e">
        <f t="shared" si="11"/>
        <v>#REF!</v>
      </c>
      <c r="D51" s="40" t="e">
        <f t="shared" si="12"/>
        <v>#REF!</v>
      </c>
      <c r="E51" s="247" t="e">
        <f t="shared" si="13"/>
        <v>#REF!</v>
      </c>
      <c r="F51" s="213" t="e">
        <f t="shared" si="14"/>
        <v>#REF!</v>
      </c>
      <c r="G51" s="53" t="e">
        <f t="shared" si="15"/>
        <v>#REF!</v>
      </c>
      <c r="H51" s="213" t="e">
        <f t="shared" si="16"/>
        <v>#REF!</v>
      </c>
      <c r="I51" s="53"/>
      <c r="J51" s="213" t="e">
        <f t="shared" si="19"/>
        <v>#REF!</v>
      </c>
      <c r="K51" s="53"/>
      <c r="L51" s="53" t="e">
        <f t="shared" si="17"/>
        <v>#REF!</v>
      </c>
      <c r="M51" s="53" t="e">
        <f t="shared" si="18"/>
        <v>#REF!</v>
      </c>
      <c r="N51" s="42"/>
    </row>
    <row r="52" spans="1:14" x14ac:dyDescent="0.2">
      <c r="A52" s="39" t="s">
        <v>103</v>
      </c>
      <c r="B52" s="2" t="e">
        <f t="shared" si="10"/>
        <v>#REF!</v>
      </c>
      <c r="C52" s="2" t="e">
        <f t="shared" si="11"/>
        <v>#REF!</v>
      </c>
      <c r="D52" s="40" t="e">
        <f t="shared" si="12"/>
        <v>#REF!</v>
      </c>
      <c r="E52" s="247" t="e">
        <f t="shared" si="13"/>
        <v>#REF!</v>
      </c>
      <c r="F52" s="213" t="e">
        <f t="shared" si="14"/>
        <v>#REF!</v>
      </c>
      <c r="G52" s="53" t="e">
        <f t="shared" si="15"/>
        <v>#REF!</v>
      </c>
      <c r="H52" s="213" t="e">
        <f t="shared" si="16"/>
        <v>#REF!</v>
      </c>
      <c r="I52" s="53"/>
      <c r="J52" s="213" t="e">
        <f t="shared" si="19"/>
        <v>#REF!</v>
      </c>
      <c r="K52" s="53"/>
      <c r="L52" s="53" t="e">
        <f t="shared" si="17"/>
        <v>#REF!</v>
      </c>
      <c r="M52" s="53" t="e">
        <f t="shared" si="18"/>
        <v>#REF!</v>
      </c>
      <c r="N52" s="42"/>
    </row>
    <row r="53" spans="1:14" x14ac:dyDescent="0.2">
      <c r="A53" s="39" t="s">
        <v>104</v>
      </c>
      <c r="B53" s="2" t="e">
        <f t="shared" si="10"/>
        <v>#REF!</v>
      </c>
      <c r="C53" s="2" t="e">
        <f t="shared" si="11"/>
        <v>#REF!</v>
      </c>
      <c r="D53" s="40" t="e">
        <f t="shared" si="12"/>
        <v>#REF!</v>
      </c>
      <c r="E53" s="247" t="e">
        <f t="shared" si="13"/>
        <v>#REF!</v>
      </c>
      <c r="F53" s="213" t="e">
        <f t="shared" si="14"/>
        <v>#REF!</v>
      </c>
      <c r="G53" s="53" t="e">
        <f t="shared" si="15"/>
        <v>#REF!</v>
      </c>
      <c r="H53" s="213" t="e">
        <f t="shared" si="16"/>
        <v>#REF!</v>
      </c>
      <c r="I53" s="53"/>
      <c r="J53" s="213" t="e">
        <f t="shared" si="19"/>
        <v>#REF!</v>
      </c>
      <c r="K53" s="53"/>
      <c r="L53" s="53" t="e">
        <f t="shared" si="17"/>
        <v>#REF!</v>
      </c>
      <c r="M53" s="53" t="e">
        <f t="shared" si="18"/>
        <v>#REF!</v>
      </c>
      <c r="N53" s="42"/>
    </row>
    <row r="54" spans="1:14" x14ac:dyDescent="0.2">
      <c r="A54" s="39" t="s">
        <v>105</v>
      </c>
      <c r="B54" s="2" t="e">
        <f t="shared" si="10"/>
        <v>#REF!</v>
      </c>
      <c r="C54" s="2" t="e">
        <f t="shared" si="11"/>
        <v>#REF!</v>
      </c>
      <c r="D54" s="40" t="e">
        <f t="shared" si="12"/>
        <v>#REF!</v>
      </c>
      <c r="E54" s="247" t="e">
        <f t="shared" si="13"/>
        <v>#REF!</v>
      </c>
      <c r="F54" s="213" t="e">
        <f t="shared" si="14"/>
        <v>#REF!</v>
      </c>
      <c r="G54" s="53" t="e">
        <f t="shared" si="15"/>
        <v>#REF!</v>
      </c>
      <c r="H54" s="213" t="e">
        <f t="shared" si="16"/>
        <v>#REF!</v>
      </c>
      <c r="I54" s="53"/>
      <c r="J54" s="213" t="e">
        <f t="shared" si="19"/>
        <v>#REF!</v>
      </c>
      <c r="K54" s="53"/>
      <c r="L54" s="53" t="e">
        <f t="shared" si="17"/>
        <v>#REF!</v>
      </c>
      <c r="M54" s="53" t="e">
        <f t="shared" si="18"/>
        <v>#REF!</v>
      </c>
      <c r="N54" s="42"/>
    </row>
    <row r="55" spans="1:14" x14ac:dyDescent="0.2">
      <c r="A55" s="39" t="s">
        <v>106</v>
      </c>
      <c r="B55" s="2" t="e">
        <f t="shared" si="10"/>
        <v>#REF!</v>
      </c>
      <c r="C55" s="2" t="e">
        <f t="shared" si="11"/>
        <v>#REF!</v>
      </c>
      <c r="D55" s="40" t="e">
        <f t="shared" si="12"/>
        <v>#REF!</v>
      </c>
      <c r="E55" s="247" t="e">
        <f t="shared" si="13"/>
        <v>#REF!</v>
      </c>
      <c r="F55" s="213" t="e">
        <f t="shared" si="14"/>
        <v>#REF!</v>
      </c>
      <c r="G55" s="53" t="e">
        <f t="shared" si="15"/>
        <v>#REF!</v>
      </c>
      <c r="H55" s="213" t="e">
        <f t="shared" si="16"/>
        <v>#REF!</v>
      </c>
      <c r="I55" s="53"/>
      <c r="J55" s="213" t="e">
        <f t="shared" si="19"/>
        <v>#REF!</v>
      </c>
      <c r="K55" s="53"/>
      <c r="L55" s="53" t="e">
        <f t="shared" si="17"/>
        <v>#REF!</v>
      </c>
      <c r="M55" s="53" t="e">
        <f t="shared" si="18"/>
        <v>#REF!</v>
      </c>
      <c r="N55" s="42"/>
    </row>
    <row r="56" spans="1:14" x14ac:dyDescent="0.2">
      <c r="A56" s="39" t="s">
        <v>107</v>
      </c>
      <c r="B56" s="2" t="e">
        <f t="shared" si="10"/>
        <v>#REF!</v>
      </c>
      <c r="C56" s="2" t="e">
        <f t="shared" si="11"/>
        <v>#REF!</v>
      </c>
      <c r="D56" s="40" t="e">
        <f t="shared" si="12"/>
        <v>#REF!</v>
      </c>
      <c r="E56" s="247" t="e">
        <f t="shared" si="13"/>
        <v>#REF!</v>
      </c>
      <c r="F56" s="213" t="e">
        <f t="shared" si="14"/>
        <v>#REF!</v>
      </c>
      <c r="G56" s="53" t="e">
        <f t="shared" si="15"/>
        <v>#REF!</v>
      </c>
      <c r="H56" s="213" t="e">
        <f t="shared" si="16"/>
        <v>#REF!</v>
      </c>
      <c r="I56" s="53"/>
      <c r="J56" s="213" t="e">
        <f t="shared" si="19"/>
        <v>#REF!</v>
      </c>
      <c r="K56" s="53"/>
      <c r="L56" s="53" t="e">
        <f t="shared" si="17"/>
        <v>#REF!</v>
      </c>
      <c r="M56" s="53" t="e">
        <f t="shared" si="18"/>
        <v>#REF!</v>
      </c>
      <c r="N56" s="42"/>
    </row>
    <row r="57" spans="1:14" x14ac:dyDescent="0.2">
      <c r="A57" s="39" t="s">
        <v>108</v>
      </c>
      <c r="B57" s="2" t="e">
        <f t="shared" si="10"/>
        <v>#REF!</v>
      </c>
      <c r="C57" s="2" t="e">
        <f t="shared" si="11"/>
        <v>#REF!</v>
      </c>
      <c r="D57" s="40" t="e">
        <f t="shared" si="12"/>
        <v>#REF!</v>
      </c>
      <c r="E57" s="247" t="e">
        <f t="shared" si="13"/>
        <v>#REF!</v>
      </c>
      <c r="F57" s="213" t="e">
        <f t="shared" si="14"/>
        <v>#REF!</v>
      </c>
      <c r="G57" s="53" t="e">
        <f t="shared" si="15"/>
        <v>#REF!</v>
      </c>
      <c r="H57" s="213" t="e">
        <f t="shared" si="16"/>
        <v>#REF!</v>
      </c>
      <c r="I57" s="53"/>
      <c r="J57" s="213" t="e">
        <f t="shared" si="19"/>
        <v>#REF!</v>
      </c>
      <c r="K57" s="53"/>
      <c r="L57" s="53" t="e">
        <f t="shared" si="17"/>
        <v>#REF!</v>
      </c>
      <c r="M57" s="53" t="e">
        <f t="shared" si="18"/>
        <v>#REF!</v>
      </c>
      <c r="N57" s="42"/>
    </row>
    <row r="58" spans="1:14" x14ac:dyDescent="0.2">
      <c r="A58" s="39" t="s">
        <v>109</v>
      </c>
      <c r="B58" s="2" t="e">
        <f t="shared" si="10"/>
        <v>#REF!</v>
      </c>
      <c r="C58" s="2" t="e">
        <f t="shared" si="11"/>
        <v>#REF!</v>
      </c>
      <c r="D58" s="40" t="e">
        <f t="shared" si="12"/>
        <v>#REF!</v>
      </c>
      <c r="E58" s="247" t="e">
        <f t="shared" si="13"/>
        <v>#REF!</v>
      </c>
      <c r="F58" s="213" t="e">
        <f t="shared" si="14"/>
        <v>#REF!</v>
      </c>
      <c r="G58" s="53" t="e">
        <f t="shared" si="15"/>
        <v>#REF!</v>
      </c>
      <c r="H58" s="213" t="e">
        <f t="shared" si="16"/>
        <v>#REF!</v>
      </c>
      <c r="I58" s="53"/>
      <c r="J58" s="213" t="e">
        <f t="shared" si="19"/>
        <v>#REF!</v>
      </c>
      <c r="K58" s="53"/>
      <c r="L58" s="53" t="e">
        <f t="shared" si="17"/>
        <v>#REF!</v>
      </c>
      <c r="M58" s="53" t="e">
        <f t="shared" si="18"/>
        <v>#REF!</v>
      </c>
      <c r="N58" s="42"/>
    </row>
    <row r="59" spans="1:14" x14ac:dyDescent="0.2">
      <c r="A59" s="39" t="s">
        <v>110</v>
      </c>
      <c r="B59" s="2" t="e">
        <f t="shared" si="10"/>
        <v>#REF!</v>
      </c>
      <c r="C59" s="2" t="e">
        <f t="shared" si="11"/>
        <v>#REF!</v>
      </c>
      <c r="D59" s="40" t="e">
        <f t="shared" si="12"/>
        <v>#REF!</v>
      </c>
      <c r="E59" s="247" t="e">
        <f t="shared" si="13"/>
        <v>#REF!</v>
      </c>
      <c r="F59" s="213" t="e">
        <f t="shared" si="14"/>
        <v>#REF!</v>
      </c>
      <c r="G59" s="53" t="e">
        <f t="shared" si="15"/>
        <v>#REF!</v>
      </c>
      <c r="H59" s="213" t="e">
        <f t="shared" si="16"/>
        <v>#REF!</v>
      </c>
      <c r="I59" s="53"/>
      <c r="J59" s="213" t="e">
        <f t="shared" si="19"/>
        <v>#REF!</v>
      </c>
      <c r="K59" s="53"/>
      <c r="L59" s="53" t="e">
        <f t="shared" si="17"/>
        <v>#REF!</v>
      </c>
      <c r="M59" s="53" t="e">
        <f t="shared" si="18"/>
        <v>#REF!</v>
      </c>
      <c r="N59" s="42"/>
    </row>
    <row r="60" spans="1:14" x14ac:dyDescent="0.2">
      <c r="A60" s="39" t="s">
        <v>111</v>
      </c>
      <c r="B60" s="2" t="e">
        <f t="shared" si="10"/>
        <v>#REF!</v>
      </c>
      <c r="C60" s="2" t="e">
        <f t="shared" si="11"/>
        <v>#REF!</v>
      </c>
      <c r="D60" s="40" t="e">
        <f t="shared" si="12"/>
        <v>#REF!</v>
      </c>
      <c r="E60" s="247" t="e">
        <f t="shared" si="13"/>
        <v>#REF!</v>
      </c>
      <c r="F60" s="213" t="e">
        <f t="shared" si="14"/>
        <v>#REF!</v>
      </c>
      <c r="G60" s="53" t="e">
        <f t="shared" si="15"/>
        <v>#REF!</v>
      </c>
      <c r="H60" s="213" t="e">
        <f t="shared" si="16"/>
        <v>#REF!</v>
      </c>
      <c r="I60" s="53"/>
      <c r="J60" s="213" t="e">
        <f t="shared" si="19"/>
        <v>#REF!</v>
      </c>
      <c r="K60" s="53"/>
      <c r="L60" s="53" t="e">
        <f t="shared" si="17"/>
        <v>#REF!</v>
      </c>
      <c r="M60" s="53" t="e">
        <f t="shared" si="18"/>
        <v>#REF!</v>
      </c>
      <c r="N60" s="42"/>
    </row>
    <row r="61" spans="1:14" x14ac:dyDescent="0.2">
      <c r="A61" s="39" t="s">
        <v>112</v>
      </c>
      <c r="B61" s="2" t="e">
        <f t="shared" si="10"/>
        <v>#REF!</v>
      </c>
      <c r="C61" s="2" t="e">
        <f t="shared" si="11"/>
        <v>#REF!</v>
      </c>
      <c r="D61" s="40" t="e">
        <f t="shared" si="12"/>
        <v>#REF!</v>
      </c>
      <c r="E61" s="247" t="e">
        <f t="shared" si="13"/>
        <v>#REF!</v>
      </c>
      <c r="F61" s="213" t="e">
        <f t="shared" si="14"/>
        <v>#REF!</v>
      </c>
      <c r="G61" s="53" t="e">
        <f t="shared" si="15"/>
        <v>#REF!</v>
      </c>
      <c r="H61" s="213" t="e">
        <f t="shared" si="16"/>
        <v>#REF!</v>
      </c>
      <c r="I61" s="53"/>
      <c r="J61" s="213" t="e">
        <f t="shared" si="19"/>
        <v>#REF!</v>
      </c>
      <c r="K61" s="53"/>
      <c r="L61" s="53" t="e">
        <f t="shared" si="17"/>
        <v>#REF!</v>
      </c>
      <c r="M61" s="53" t="e">
        <f t="shared" si="18"/>
        <v>#REF!</v>
      </c>
      <c r="N61" s="42"/>
    </row>
    <row r="62" spans="1:14" x14ac:dyDescent="0.2">
      <c r="A62" s="39" t="s">
        <v>113</v>
      </c>
      <c r="B62" s="2" t="e">
        <f t="shared" si="10"/>
        <v>#REF!</v>
      </c>
      <c r="C62" s="2" t="e">
        <f t="shared" si="11"/>
        <v>#REF!</v>
      </c>
      <c r="D62" s="40" t="e">
        <f t="shared" si="12"/>
        <v>#REF!</v>
      </c>
      <c r="E62" s="247" t="e">
        <f t="shared" si="13"/>
        <v>#REF!</v>
      </c>
      <c r="F62" s="213" t="e">
        <f t="shared" si="14"/>
        <v>#REF!</v>
      </c>
      <c r="G62" s="53" t="e">
        <f t="shared" si="15"/>
        <v>#REF!</v>
      </c>
      <c r="H62" s="213" t="e">
        <f t="shared" si="16"/>
        <v>#REF!</v>
      </c>
      <c r="I62" s="53"/>
      <c r="J62" s="213" t="e">
        <f t="shared" si="19"/>
        <v>#REF!</v>
      </c>
      <c r="K62" s="53"/>
      <c r="L62" s="53" t="e">
        <f t="shared" si="17"/>
        <v>#REF!</v>
      </c>
      <c r="M62" s="53" t="e">
        <f t="shared" si="18"/>
        <v>#REF!</v>
      </c>
      <c r="N62" s="42"/>
    </row>
    <row r="63" spans="1:14" x14ac:dyDescent="0.2">
      <c r="A63" s="39" t="s">
        <v>114</v>
      </c>
      <c r="B63" s="2" t="e">
        <f t="shared" si="10"/>
        <v>#REF!</v>
      </c>
      <c r="C63" s="2" t="e">
        <f t="shared" si="11"/>
        <v>#REF!</v>
      </c>
      <c r="D63" s="40" t="e">
        <f t="shared" si="12"/>
        <v>#REF!</v>
      </c>
      <c r="E63" s="247" t="e">
        <f t="shared" si="13"/>
        <v>#REF!</v>
      </c>
      <c r="F63" s="213" t="e">
        <f t="shared" si="14"/>
        <v>#REF!</v>
      </c>
      <c r="G63" s="53" t="e">
        <f t="shared" si="15"/>
        <v>#REF!</v>
      </c>
      <c r="H63" s="213" t="e">
        <f t="shared" si="16"/>
        <v>#REF!</v>
      </c>
      <c r="I63" s="53"/>
      <c r="J63" s="213" t="e">
        <f t="shared" si="19"/>
        <v>#REF!</v>
      </c>
      <c r="K63" s="53"/>
      <c r="L63" s="53" t="e">
        <f t="shared" si="17"/>
        <v>#REF!</v>
      </c>
      <c r="M63" s="53" t="e">
        <f t="shared" si="18"/>
        <v>#REF!</v>
      </c>
      <c r="N63" s="42"/>
    </row>
    <row r="64" spans="1:14" x14ac:dyDescent="0.2">
      <c r="A64" s="39" t="s">
        <v>115</v>
      </c>
      <c r="B64" s="2" t="e">
        <f t="shared" si="10"/>
        <v>#REF!</v>
      </c>
      <c r="C64" s="2" t="e">
        <f t="shared" si="11"/>
        <v>#REF!</v>
      </c>
      <c r="D64" s="40" t="e">
        <f t="shared" si="12"/>
        <v>#REF!</v>
      </c>
      <c r="E64" s="247" t="e">
        <f t="shared" si="13"/>
        <v>#REF!</v>
      </c>
      <c r="F64" s="213" t="e">
        <f t="shared" si="14"/>
        <v>#REF!</v>
      </c>
      <c r="G64" s="53" t="e">
        <f t="shared" si="15"/>
        <v>#REF!</v>
      </c>
      <c r="H64" s="213" t="e">
        <f t="shared" si="16"/>
        <v>#REF!</v>
      </c>
      <c r="I64" s="53"/>
      <c r="J64" s="213" t="e">
        <f t="shared" si="19"/>
        <v>#REF!</v>
      </c>
      <c r="K64" s="53"/>
      <c r="L64" s="53" t="e">
        <f t="shared" si="17"/>
        <v>#REF!</v>
      </c>
      <c r="M64" s="53" t="e">
        <f t="shared" si="18"/>
        <v>#REF!</v>
      </c>
      <c r="N64" s="42"/>
    </row>
    <row r="65" spans="1:14" x14ac:dyDescent="0.2">
      <c r="A65" s="39" t="s">
        <v>116</v>
      </c>
      <c r="B65" s="2" t="e">
        <f t="shared" si="10"/>
        <v>#REF!</v>
      </c>
      <c r="C65" s="2" t="e">
        <f t="shared" si="11"/>
        <v>#REF!</v>
      </c>
      <c r="D65" s="40" t="e">
        <f t="shared" si="12"/>
        <v>#REF!</v>
      </c>
      <c r="E65" s="247" t="e">
        <f t="shared" si="13"/>
        <v>#REF!</v>
      </c>
      <c r="F65" s="213" t="e">
        <f t="shared" si="14"/>
        <v>#REF!</v>
      </c>
      <c r="G65" s="53" t="e">
        <f t="shared" si="15"/>
        <v>#REF!</v>
      </c>
      <c r="H65" s="213" t="e">
        <f t="shared" si="16"/>
        <v>#REF!</v>
      </c>
      <c r="I65" s="53"/>
      <c r="J65" s="213" t="e">
        <f t="shared" si="19"/>
        <v>#REF!</v>
      </c>
      <c r="K65" s="53"/>
      <c r="L65" s="53" t="e">
        <f t="shared" si="17"/>
        <v>#REF!</v>
      </c>
      <c r="M65" s="53" t="e">
        <f t="shared" si="18"/>
        <v>#REF!</v>
      </c>
      <c r="N65" s="42"/>
    </row>
    <row r="66" spans="1:14" x14ac:dyDescent="0.2">
      <c r="A66" s="39" t="s">
        <v>117</v>
      </c>
      <c r="B66" s="2" t="e">
        <f t="shared" si="10"/>
        <v>#REF!</v>
      </c>
      <c r="C66" s="2" t="e">
        <f t="shared" si="11"/>
        <v>#REF!</v>
      </c>
      <c r="D66" s="40" t="e">
        <f t="shared" si="12"/>
        <v>#REF!</v>
      </c>
      <c r="E66" s="247" t="e">
        <f t="shared" si="13"/>
        <v>#REF!</v>
      </c>
      <c r="F66" s="213" t="e">
        <f t="shared" si="14"/>
        <v>#REF!</v>
      </c>
      <c r="G66" s="53" t="e">
        <f t="shared" si="15"/>
        <v>#REF!</v>
      </c>
      <c r="H66" s="213" t="e">
        <f t="shared" si="16"/>
        <v>#REF!</v>
      </c>
      <c r="I66" s="53"/>
      <c r="J66" s="213" t="e">
        <f t="shared" si="19"/>
        <v>#REF!</v>
      </c>
      <c r="K66" s="53"/>
      <c r="L66" s="53" t="e">
        <f t="shared" si="17"/>
        <v>#REF!</v>
      </c>
      <c r="M66" s="53" t="e">
        <f t="shared" si="18"/>
        <v>#REF!</v>
      </c>
      <c r="N66" s="42"/>
    </row>
    <row r="67" spans="1:14" x14ac:dyDescent="0.2">
      <c r="A67" s="39" t="s">
        <v>118</v>
      </c>
      <c r="B67" s="2" t="e">
        <f t="shared" si="10"/>
        <v>#REF!</v>
      </c>
      <c r="C67" s="2" t="e">
        <f t="shared" si="11"/>
        <v>#REF!</v>
      </c>
      <c r="D67" s="40" t="e">
        <f t="shared" si="12"/>
        <v>#REF!</v>
      </c>
      <c r="E67" s="247" t="e">
        <f t="shared" si="13"/>
        <v>#REF!</v>
      </c>
      <c r="F67" s="213" t="e">
        <f t="shared" si="14"/>
        <v>#REF!</v>
      </c>
      <c r="G67" s="53" t="e">
        <f t="shared" si="15"/>
        <v>#REF!</v>
      </c>
      <c r="H67" s="213" t="e">
        <f t="shared" si="16"/>
        <v>#REF!</v>
      </c>
      <c r="I67" s="53"/>
      <c r="J67" s="213" t="e">
        <f t="shared" si="19"/>
        <v>#REF!</v>
      </c>
      <c r="K67" s="53"/>
      <c r="L67" s="53" t="e">
        <f t="shared" si="17"/>
        <v>#REF!</v>
      </c>
      <c r="M67" s="53" t="e">
        <f t="shared" si="18"/>
        <v>#REF!</v>
      </c>
      <c r="N67" s="42"/>
    </row>
    <row r="68" spans="1:14" x14ac:dyDescent="0.2">
      <c r="A68" s="39" t="s">
        <v>119</v>
      </c>
      <c r="B68" s="2" t="e">
        <f t="shared" si="10"/>
        <v>#REF!</v>
      </c>
      <c r="C68" s="2" t="e">
        <f t="shared" si="11"/>
        <v>#REF!</v>
      </c>
      <c r="D68" s="40" t="e">
        <f t="shared" si="12"/>
        <v>#REF!</v>
      </c>
      <c r="E68" s="247" t="e">
        <f t="shared" si="13"/>
        <v>#REF!</v>
      </c>
      <c r="F68" s="213" t="e">
        <f t="shared" si="14"/>
        <v>#REF!</v>
      </c>
      <c r="G68" s="53" t="e">
        <f t="shared" si="15"/>
        <v>#REF!</v>
      </c>
      <c r="H68" s="213" t="e">
        <f t="shared" si="16"/>
        <v>#REF!</v>
      </c>
      <c r="I68" s="53"/>
      <c r="J68" s="213" t="e">
        <f t="shared" si="19"/>
        <v>#REF!</v>
      </c>
      <c r="K68" s="53"/>
      <c r="L68" s="53" t="e">
        <f t="shared" si="17"/>
        <v>#REF!</v>
      </c>
      <c r="M68" s="53" t="e">
        <f t="shared" si="18"/>
        <v>#REF!</v>
      </c>
      <c r="N68" s="42"/>
    </row>
    <row r="69" spans="1:14" x14ac:dyDescent="0.2">
      <c r="A69" s="39" t="s">
        <v>120</v>
      </c>
      <c r="B69" s="2" t="e">
        <f t="shared" si="10"/>
        <v>#REF!</v>
      </c>
      <c r="C69" s="2" t="e">
        <f t="shared" si="11"/>
        <v>#REF!</v>
      </c>
      <c r="D69" s="40" t="e">
        <f t="shared" si="12"/>
        <v>#REF!</v>
      </c>
      <c r="E69" s="247" t="e">
        <f t="shared" si="13"/>
        <v>#REF!</v>
      </c>
      <c r="F69" s="213" t="e">
        <f t="shared" si="14"/>
        <v>#REF!</v>
      </c>
      <c r="G69" s="53" t="e">
        <f t="shared" si="15"/>
        <v>#REF!</v>
      </c>
      <c r="H69" s="213" t="e">
        <f t="shared" si="16"/>
        <v>#REF!</v>
      </c>
      <c r="I69" s="53"/>
      <c r="J69" s="213" t="e">
        <f t="shared" si="19"/>
        <v>#REF!</v>
      </c>
      <c r="K69" s="53"/>
      <c r="L69" s="53" t="e">
        <f t="shared" si="17"/>
        <v>#REF!</v>
      </c>
      <c r="M69" s="53" t="e">
        <f t="shared" si="18"/>
        <v>#REF!</v>
      </c>
      <c r="N69" s="42"/>
    </row>
    <row r="70" spans="1:14" x14ac:dyDescent="0.2">
      <c r="A70" s="39" t="s">
        <v>121</v>
      </c>
      <c r="B70" s="2" t="e">
        <f t="shared" ref="B70:B101" si="20">INDEX(Crop_data,MATCH(A70,Crop_data_codes,0),2)</f>
        <v>#REF!</v>
      </c>
      <c r="C70" s="2" t="e">
        <f t="shared" ref="C70:C101" si="21">INDEX(Crop_data,MATCH(A70,Crop_data_codes,0),3)</f>
        <v>#REF!</v>
      </c>
      <c r="D70" s="40" t="e">
        <f t="shared" ref="D70:D101" si="22">INDEX(Crop_data,MATCH(A70,Crop_data_codes,0),4)</f>
        <v>#REF!</v>
      </c>
      <c r="E70" s="247" t="e">
        <f t="shared" ref="E70:E101" si="23">IF(D70="Yes", SUM(F70:N70),"")</f>
        <v>#REF!</v>
      </c>
      <c r="F70" s="213" t="e">
        <f t="shared" ref="F70:F101" si="24">IF(D70="YES",INDEX(Crop_data,MATCH(A70,Crop_data_codes,0),7)*(Frac_BAT*EF_min_fert_BAT_CO2+Frac_AN*EF_min_fert_AN_CO2)/INDEX(Crop_data,MATCH(A70,Crop_data_codes,0),6),"")</f>
        <v>#REF!</v>
      </c>
      <c r="G70" s="53" t="e">
        <f t="shared" ref="G70:G101" si="25">IF(D70="YES",EF_capital_goods_CO2,"")</f>
        <v>#REF!</v>
      </c>
      <c r="H70" s="213" t="e">
        <f t="shared" ref="H70:H105" si="26">IF(D70="Yes",INDEX(Soil_carbon_data,MATCH(C70,Soil_carbon_categories,0),2),"")</f>
        <v>#REF!</v>
      </c>
      <c r="I70" s="53"/>
      <c r="J70" s="213" t="e">
        <f t="shared" si="19"/>
        <v>#REF!</v>
      </c>
      <c r="K70" s="53"/>
      <c r="L70" s="53" t="e">
        <f t="shared" ref="L70:L105" si="27">IF(D70="YES",INDEX(Crop_data,MATCH(A70,Crop_data_codes,0),12)*EF_irrigation_CO2/INDEX(Crop_data,MATCH(A70,Crop_data_codes,0),6),"")</f>
        <v>#REF!</v>
      </c>
      <c r="M70" s="53" t="e">
        <f t="shared" ref="M70:M101" si="28">IF(D70="Yes",INDEX(Post_harvest_energy_data,MATCH(C70,Post_harvest_energy_categories,0),2)*EF_heating_oil_CO2+INDEX(Post_harvest_energy_data,MATCH(C70,Post_harvest_energy_categories,0),3)*EF_electricity_CO2+INDEX(Post_harvest_energy_data,MATCH(C70,Post_harvest_energy_categories,0),4)*EF_chips_CO2,"")</f>
        <v>#REF!</v>
      </c>
      <c r="N70" s="42"/>
    </row>
    <row r="71" spans="1:14" x14ac:dyDescent="0.2">
      <c r="A71" s="39" t="s">
        <v>122</v>
      </c>
      <c r="B71" s="2" t="e">
        <f t="shared" si="20"/>
        <v>#REF!</v>
      </c>
      <c r="C71" s="2" t="e">
        <f t="shared" si="21"/>
        <v>#REF!</v>
      </c>
      <c r="D71" s="40" t="e">
        <f t="shared" si="22"/>
        <v>#REF!</v>
      </c>
      <c r="E71" s="247" t="e">
        <f t="shared" si="23"/>
        <v>#REF!</v>
      </c>
      <c r="F71" s="213" t="e">
        <f t="shared" si="24"/>
        <v>#REF!</v>
      </c>
      <c r="G71" s="53" t="e">
        <f t="shared" si="25"/>
        <v>#REF!</v>
      </c>
      <c r="H71" s="213" t="e">
        <f t="shared" si="26"/>
        <v>#REF!</v>
      </c>
      <c r="I71" s="53"/>
      <c r="J71" s="213" t="e">
        <f t="shared" si="19"/>
        <v>#REF!</v>
      </c>
      <c r="K71" s="53"/>
      <c r="L71" s="53" t="e">
        <f t="shared" si="27"/>
        <v>#REF!</v>
      </c>
      <c r="M71" s="53" t="e">
        <f t="shared" si="28"/>
        <v>#REF!</v>
      </c>
      <c r="N71" s="42"/>
    </row>
    <row r="72" spans="1:14" x14ac:dyDescent="0.2">
      <c r="A72" s="39" t="s">
        <v>123</v>
      </c>
      <c r="B72" s="2" t="e">
        <f t="shared" si="20"/>
        <v>#REF!</v>
      </c>
      <c r="C72" s="2" t="e">
        <f t="shared" si="21"/>
        <v>#REF!</v>
      </c>
      <c r="D72" s="40" t="e">
        <f t="shared" si="22"/>
        <v>#REF!</v>
      </c>
      <c r="E72" s="247" t="e">
        <f t="shared" si="23"/>
        <v>#REF!</v>
      </c>
      <c r="F72" s="213" t="e">
        <f t="shared" si="24"/>
        <v>#REF!</v>
      </c>
      <c r="G72" s="53" t="e">
        <f t="shared" si="25"/>
        <v>#REF!</v>
      </c>
      <c r="H72" s="213" t="e">
        <f t="shared" si="26"/>
        <v>#REF!</v>
      </c>
      <c r="I72" s="53"/>
      <c r="J72" s="213" t="e">
        <f t="shared" ref="J72:J103" si="29">IF(D72="YES",INDEX(Crop_data,MATCH(A72,Crop_data_codes,0),11)*Heating_value_diesel*EF_diesel_CO2/INDEX(Crop_data,MATCH(A72,Crop_data_codes,0),6),"")</f>
        <v>#REF!</v>
      </c>
      <c r="K72" s="53"/>
      <c r="L72" s="53" t="e">
        <f t="shared" si="27"/>
        <v>#REF!</v>
      </c>
      <c r="M72" s="53" t="e">
        <f t="shared" si="28"/>
        <v>#REF!</v>
      </c>
      <c r="N72" s="42"/>
    </row>
    <row r="73" spans="1:14" x14ac:dyDescent="0.2">
      <c r="A73" s="39" t="s">
        <v>124</v>
      </c>
      <c r="B73" s="2" t="e">
        <f t="shared" si="20"/>
        <v>#REF!</v>
      </c>
      <c r="C73" s="2" t="e">
        <f t="shared" si="21"/>
        <v>#REF!</v>
      </c>
      <c r="D73" s="40" t="e">
        <f t="shared" si="22"/>
        <v>#REF!</v>
      </c>
      <c r="E73" s="247" t="e">
        <f t="shared" si="23"/>
        <v>#REF!</v>
      </c>
      <c r="F73" s="213" t="e">
        <f t="shared" si="24"/>
        <v>#REF!</v>
      </c>
      <c r="G73" s="53" t="e">
        <f t="shared" si="25"/>
        <v>#REF!</v>
      </c>
      <c r="H73" s="213" t="e">
        <f t="shared" si="26"/>
        <v>#REF!</v>
      </c>
      <c r="I73" s="53"/>
      <c r="J73" s="213" t="e">
        <f t="shared" si="29"/>
        <v>#REF!</v>
      </c>
      <c r="K73" s="53"/>
      <c r="L73" s="53" t="e">
        <f t="shared" si="27"/>
        <v>#REF!</v>
      </c>
      <c r="M73" s="53" t="e">
        <f t="shared" si="28"/>
        <v>#REF!</v>
      </c>
      <c r="N73" s="42"/>
    </row>
    <row r="74" spans="1:14" x14ac:dyDescent="0.2">
      <c r="A74" s="39" t="s">
        <v>125</v>
      </c>
      <c r="B74" s="2" t="e">
        <f t="shared" si="20"/>
        <v>#REF!</v>
      </c>
      <c r="C74" s="2" t="e">
        <f t="shared" si="21"/>
        <v>#REF!</v>
      </c>
      <c r="D74" s="40" t="e">
        <f t="shared" si="22"/>
        <v>#REF!</v>
      </c>
      <c r="E74" s="247" t="e">
        <f t="shared" si="23"/>
        <v>#REF!</v>
      </c>
      <c r="F74" s="213" t="e">
        <f t="shared" si="24"/>
        <v>#REF!</v>
      </c>
      <c r="G74" s="53" t="e">
        <f t="shared" si="25"/>
        <v>#REF!</v>
      </c>
      <c r="H74" s="213" t="e">
        <f t="shared" si="26"/>
        <v>#REF!</v>
      </c>
      <c r="I74" s="53"/>
      <c r="J74" s="213" t="e">
        <f t="shared" si="29"/>
        <v>#REF!</v>
      </c>
      <c r="K74" s="53"/>
      <c r="L74" s="53" t="e">
        <f t="shared" si="27"/>
        <v>#REF!</v>
      </c>
      <c r="M74" s="53" t="e">
        <f t="shared" si="28"/>
        <v>#REF!</v>
      </c>
      <c r="N74" s="42"/>
    </row>
    <row r="75" spans="1:14" x14ac:dyDescent="0.2">
      <c r="A75" s="39" t="s">
        <v>126</v>
      </c>
      <c r="B75" s="2" t="e">
        <f t="shared" si="20"/>
        <v>#REF!</v>
      </c>
      <c r="C75" s="2" t="e">
        <f t="shared" si="21"/>
        <v>#REF!</v>
      </c>
      <c r="D75" s="40" t="e">
        <f t="shared" si="22"/>
        <v>#REF!</v>
      </c>
      <c r="E75" s="247" t="e">
        <f t="shared" si="23"/>
        <v>#REF!</v>
      </c>
      <c r="F75" s="213" t="e">
        <f t="shared" si="24"/>
        <v>#REF!</v>
      </c>
      <c r="G75" s="53" t="e">
        <f t="shared" si="25"/>
        <v>#REF!</v>
      </c>
      <c r="H75" s="213" t="e">
        <f t="shared" si="26"/>
        <v>#REF!</v>
      </c>
      <c r="I75" s="53"/>
      <c r="J75" s="213" t="e">
        <f t="shared" si="29"/>
        <v>#REF!</v>
      </c>
      <c r="K75" s="53"/>
      <c r="L75" s="53" t="e">
        <f t="shared" si="27"/>
        <v>#REF!</v>
      </c>
      <c r="M75" s="53" t="e">
        <f t="shared" si="28"/>
        <v>#REF!</v>
      </c>
      <c r="N75" s="42"/>
    </row>
    <row r="76" spans="1:14" x14ac:dyDescent="0.2">
      <c r="A76" s="39" t="s">
        <v>127</v>
      </c>
      <c r="B76" s="2" t="e">
        <f t="shared" si="20"/>
        <v>#REF!</v>
      </c>
      <c r="C76" s="2" t="e">
        <f t="shared" si="21"/>
        <v>#REF!</v>
      </c>
      <c r="D76" s="40" t="e">
        <f t="shared" si="22"/>
        <v>#REF!</v>
      </c>
      <c r="E76" s="247" t="e">
        <f t="shared" si="23"/>
        <v>#REF!</v>
      </c>
      <c r="F76" s="213" t="e">
        <f t="shared" si="24"/>
        <v>#REF!</v>
      </c>
      <c r="G76" s="53" t="e">
        <f t="shared" si="25"/>
        <v>#REF!</v>
      </c>
      <c r="H76" s="213" t="e">
        <f t="shared" si="26"/>
        <v>#REF!</v>
      </c>
      <c r="I76" s="53"/>
      <c r="J76" s="213" t="e">
        <f t="shared" si="29"/>
        <v>#REF!</v>
      </c>
      <c r="K76" s="53"/>
      <c r="L76" s="53" t="e">
        <f t="shared" si="27"/>
        <v>#REF!</v>
      </c>
      <c r="M76" s="53" t="e">
        <f t="shared" si="28"/>
        <v>#REF!</v>
      </c>
      <c r="N76" s="42"/>
    </row>
    <row r="77" spans="1:14" x14ac:dyDescent="0.2">
      <c r="A77" s="39" t="s">
        <v>128</v>
      </c>
      <c r="B77" s="2" t="e">
        <f t="shared" si="20"/>
        <v>#REF!</v>
      </c>
      <c r="C77" s="2" t="e">
        <f t="shared" si="21"/>
        <v>#REF!</v>
      </c>
      <c r="D77" s="40" t="e">
        <f t="shared" si="22"/>
        <v>#REF!</v>
      </c>
      <c r="E77" s="247" t="e">
        <f t="shared" si="23"/>
        <v>#REF!</v>
      </c>
      <c r="F77" s="213" t="e">
        <f t="shared" si="24"/>
        <v>#REF!</v>
      </c>
      <c r="G77" s="53" t="e">
        <f t="shared" si="25"/>
        <v>#REF!</v>
      </c>
      <c r="H77" s="213" t="e">
        <f t="shared" si="26"/>
        <v>#REF!</v>
      </c>
      <c r="I77" s="53"/>
      <c r="J77" s="213" t="e">
        <f t="shared" si="29"/>
        <v>#REF!</v>
      </c>
      <c r="K77" s="53"/>
      <c r="L77" s="53" t="e">
        <f t="shared" si="27"/>
        <v>#REF!</v>
      </c>
      <c r="M77" s="53" t="e">
        <f t="shared" si="28"/>
        <v>#REF!</v>
      </c>
      <c r="N77" s="42"/>
    </row>
    <row r="78" spans="1:14" x14ac:dyDescent="0.2">
      <c r="A78" s="39" t="s">
        <v>129</v>
      </c>
      <c r="B78" s="2" t="e">
        <f t="shared" si="20"/>
        <v>#REF!</v>
      </c>
      <c r="C78" s="2" t="e">
        <f t="shared" si="21"/>
        <v>#REF!</v>
      </c>
      <c r="D78" s="40" t="e">
        <f t="shared" si="22"/>
        <v>#REF!</v>
      </c>
      <c r="E78" s="247" t="e">
        <f t="shared" si="23"/>
        <v>#REF!</v>
      </c>
      <c r="F78" s="213" t="e">
        <f t="shared" si="24"/>
        <v>#REF!</v>
      </c>
      <c r="G78" s="53" t="e">
        <f t="shared" si="25"/>
        <v>#REF!</v>
      </c>
      <c r="H78" s="213" t="e">
        <f t="shared" si="26"/>
        <v>#REF!</v>
      </c>
      <c r="I78" s="53"/>
      <c r="J78" s="213" t="e">
        <f t="shared" si="29"/>
        <v>#REF!</v>
      </c>
      <c r="K78" s="53"/>
      <c r="L78" s="53" t="e">
        <f t="shared" si="27"/>
        <v>#REF!</v>
      </c>
      <c r="M78" s="53" t="e">
        <f t="shared" si="28"/>
        <v>#REF!</v>
      </c>
      <c r="N78" s="42"/>
    </row>
    <row r="79" spans="1:14" x14ac:dyDescent="0.2">
      <c r="A79" s="39" t="s">
        <v>130</v>
      </c>
      <c r="B79" s="2" t="e">
        <f t="shared" si="20"/>
        <v>#REF!</v>
      </c>
      <c r="C79" s="2" t="e">
        <f t="shared" si="21"/>
        <v>#REF!</v>
      </c>
      <c r="D79" s="40" t="e">
        <f t="shared" si="22"/>
        <v>#REF!</v>
      </c>
      <c r="E79" s="247" t="e">
        <f t="shared" si="23"/>
        <v>#REF!</v>
      </c>
      <c r="F79" s="213" t="e">
        <f t="shared" si="24"/>
        <v>#REF!</v>
      </c>
      <c r="G79" s="53" t="e">
        <f t="shared" si="25"/>
        <v>#REF!</v>
      </c>
      <c r="H79" s="213" t="e">
        <f t="shared" si="26"/>
        <v>#REF!</v>
      </c>
      <c r="I79" s="53"/>
      <c r="J79" s="213" t="e">
        <f t="shared" si="29"/>
        <v>#REF!</v>
      </c>
      <c r="K79" s="53"/>
      <c r="L79" s="53" t="e">
        <f t="shared" si="27"/>
        <v>#REF!</v>
      </c>
      <c r="M79" s="53" t="e">
        <f t="shared" si="28"/>
        <v>#REF!</v>
      </c>
      <c r="N79" s="42"/>
    </row>
    <row r="80" spans="1:14" x14ac:dyDescent="0.2">
      <c r="A80" s="39" t="s">
        <v>131</v>
      </c>
      <c r="B80" s="2" t="e">
        <f t="shared" si="20"/>
        <v>#REF!</v>
      </c>
      <c r="C80" s="2" t="e">
        <f t="shared" si="21"/>
        <v>#REF!</v>
      </c>
      <c r="D80" s="40" t="e">
        <f t="shared" si="22"/>
        <v>#REF!</v>
      </c>
      <c r="E80" s="247" t="e">
        <f t="shared" si="23"/>
        <v>#REF!</v>
      </c>
      <c r="F80" s="213" t="e">
        <f t="shared" si="24"/>
        <v>#REF!</v>
      </c>
      <c r="G80" s="53" t="e">
        <f t="shared" si="25"/>
        <v>#REF!</v>
      </c>
      <c r="H80" s="213" t="e">
        <f t="shared" si="26"/>
        <v>#REF!</v>
      </c>
      <c r="I80" s="53"/>
      <c r="J80" s="213" t="e">
        <f t="shared" si="29"/>
        <v>#REF!</v>
      </c>
      <c r="K80" s="53"/>
      <c r="L80" s="53" t="e">
        <f t="shared" si="27"/>
        <v>#REF!</v>
      </c>
      <c r="M80" s="53" t="e">
        <f t="shared" si="28"/>
        <v>#REF!</v>
      </c>
      <c r="N80" s="42"/>
    </row>
    <row r="81" spans="1:14" x14ac:dyDescent="0.2">
      <c r="A81" s="39" t="s">
        <v>132</v>
      </c>
      <c r="B81" s="2" t="e">
        <f t="shared" si="20"/>
        <v>#REF!</v>
      </c>
      <c r="C81" s="2" t="e">
        <f t="shared" si="21"/>
        <v>#REF!</v>
      </c>
      <c r="D81" s="40" t="e">
        <f t="shared" si="22"/>
        <v>#REF!</v>
      </c>
      <c r="E81" s="247" t="e">
        <f t="shared" si="23"/>
        <v>#REF!</v>
      </c>
      <c r="F81" s="213" t="e">
        <f t="shared" si="24"/>
        <v>#REF!</v>
      </c>
      <c r="G81" s="53" t="e">
        <f t="shared" si="25"/>
        <v>#REF!</v>
      </c>
      <c r="H81" s="213" t="e">
        <f t="shared" si="26"/>
        <v>#REF!</v>
      </c>
      <c r="I81" s="53"/>
      <c r="J81" s="213" t="e">
        <f t="shared" si="29"/>
        <v>#REF!</v>
      </c>
      <c r="K81" s="53"/>
      <c r="L81" s="53" t="e">
        <f t="shared" si="27"/>
        <v>#REF!</v>
      </c>
      <c r="M81" s="53" t="e">
        <f t="shared" si="28"/>
        <v>#REF!</v>
      </c>
      <c r="N81" s="42"/>
    </row>
    <row r="82" spans="1:14" x14ac:dyDescent="0.2">
      <c r="A82" s="39" t="s">
        <v>133</v>
      </c>
      <c r="B82" s="2" t="e">
        <f t="shared" si="20"/>
        <v>#REF!</v>
      </c>
      <c r="C82" s="2" t="e">
        <f t="shared" si="21"/>
        <v>#REF!</v>
      </c>
      <c r="D82" s="40" t="e">
        <f t="shared" si="22"/>
        <v>#REF!</v>
      </c>
      <c r="E82" s="247" t="e">
        <f t="shared" si="23"/>
        <v>#REF!</v>
      </c>
      <c r="F82" s="213" t="e">
        <f t="shared" si="24"/>
        <v>#REF!</v>
      </c>
      <c r="G82" s="53" t="e">
        <f t="shared" si="25"/>
        <v>#REF!</v>
      </c>
      <c r="H82" s="213" t="e">
        <f t="shared" si="26"/>
        <v>#REF!</v>
      </c>
      <c r="I82" s="53"/>
      <c r="J82" s="213" t="e">
        <f t="shared" si="29"/>
        <v>#REF!</v>
      </c>
      <c r="K82" s="53"/>
      <c r="L82" s="53" t="e">
        <f t="shared" si="27"/>
        <v>#REF!</v>
      </c>
      <c r="M82" s="53" t="e">
        <f t="shared" si="28"/>
        <v>#REF!</v>
      </c>
      <c r="N82" s="42"/>
    </row>
    <row r="83" spans="1:14" x14ac:dyDescent="0.2">
      <c r="A83" s="39" t="s">
        <v>134</v>
      </c>
      <c r="B83" s="2" t="e">
        <f t="shared" si="20"/>
        <v>#REF!</v>
      </c>
      <c r="C83" s="2" t="e">
        <f t="shared" si="21"/>
        <v>#REF!</v>
      </c>
      <c r="D83" s="40" t="e">
        <f t="shared" si="22"/>
        <v>#REF!</v>
      </c>
      <c r="E83" s="247" t="e">
        <f t="shared" si="23"/>
        <v>#REF!</v>
      </c>
      <c r="F83" s="213" t="e">
        <f t="shared" si="24"/>
        <v>#REF!</v>
      </c>
      <c r="G83" s="53" t="e">
        <f t="shared" si="25"/>
        <v>#REF!</v>
      </c>
      <c r="H83" s="213" t="e">
        <f t="shared" si="26"/>
        <v>#REF!</v>
      </c>
      <c r="I83" s="53"/>
      <c r="J83" s="213" t="e">
        <f t="shared" si="29"/>
        <v>#REF!</v>
      </c>
      <c r="K83" s="53"/>
      <c r="L83" s="53" t="e">
        <f t="shared" si="27"/>
        <v>#REF!</v>
      </c>
      <c r="M83" s="53" t="e">
        <f t="shared" si="28"/>
        <v>#REF!</v>
      </c>
      <c r="N83" s="42"/>
    </row>
    <row r="84" spans="1:14" x14ac:dyDescent="0.2">
      <c r="A84" s="39" t="s">
        <v>135</v>
      </c>
      <c r="B84" s="2" t="e">
        <f t="shared" si="20"/>
        <v>#REF!</v>
      </c>
      <c r="C84" s="2" t="e">
        <f t="shared" si="21"/>
        <v>#REF!</v>
      </c>
      <c r="D84" s="40" t="e">
        <f t="shared" si="22"/>
        <v>#REF!</v>
      </c>
      <c r="E84" s="247" t="e">
        <f t="shared" si="23"/>
        <v>#REF!</v>
      </c>
      <c r="F84" s="213" t="e">
        <f t="shared" si="24"/>
        <v>#REF!</v>
      </c>
      <c r="G84" s="53" t="e">
        <f t="shared" si="25"/>
        <v>#REF!</v>
      </c>
      <c r="H84" s="213" t="e">
        <f t="shared" si="26"/>
        <v>#REF!</v>
      </c>
      <c r="I84" s="53"/>
      <c r="J84" s="213" t="e">
        <f t="shared" si="29"/>
        <v>#REF!</v>
      </c>
      <c r="K84" s="53"/>
      <c r="L84" s="53" t="e">
        <f t="shared" si="27"/>
        <v>#REF!</v>
      </c>
      <c r="M84" s="53" t="e">
        <f t="shared" si="28"/>
        <v>#REF!</v>
      </c>
      <c r="N84" s="42"/>
    </row>
    <row r="85" spans="1:14" x14ac:dyDescent="0.2">
      <c r="A85" s="39" t="s">
        <v>136</v>
      </c>
      <c r="B85" s="2" t="e">
        <f t="shared" si="20"/>
        <v>#REF!</v>
      </c>
      <c r="C85" s="2" t="e">
        <f t="shared" si="21"/>
        <v>#REF!</v>
      </c>
      <c r="D85" s="40" t="e">
        <f t="shared" si="22"/>
        <v>#REF!</v>
      </c>
      <c r="E85" s="247" t="e">
        <f t="shared" si="23"/>
        <v>#REF!</v>
      </c>
      <c r="F85" s="213" t="e">
        <f t="shared" si="24"/>
        <v>#REF!</v>
      </c>
      <c r="G85" s="53" t="e">
        <f t="shared" si="25"/>
        <v>#REF!</v>
      </c>
      <c r="H85" s="213" t="e">
        <f t="shared" si="26"/>
        <v>#REF!</v>
      </c>
      <c r="I85" s="53"/>
      <c r="J85" s="213" t="e">
        <f t="shared" si="29"/>
        <v>#REF!</v>
      </c>
      <c r="K85" s="53"/>
      <c r="L85" s="53" t="e">
        <f t="shared" si="27"/>
        <v>#REF!</v>
      </c>
      <c r="M85" s="53" t="e">
        <f t="shared" si="28"/>
        <v>#REF!</v>
      </c>
      <c r="N85" s="42"/>
    </row>
    <row r="86" spans="1:14" x14ac:dyDescent="0.2">
      <c r="A86" s="39" t="s">
        <v>137</v>
      </c>
      <c r="B86" s="2" t="e">
        <f t="shared" si="20"/>
        <v>#REF!</v>
      </c>
      <c r="C86" s="2" t="e">
        <f t="shared" si="21"/>
        <v>#REF!</v>
      </c>
      <c r="D86" s="40" t="e">
        <f t="shared" si="22"/>
        <v>#REF!</v>
      </c>
      <c r="E86" s="247" t="e">
        <f t="shared" si="23"/>
        <v>#REF!</v>
      </c>
      <c r="F86" s="213" t="e">
        <f t="shared" si="24"/>
        <v>#REF!</v>
      </c>
      <c r="G86" s="53" t="e">
        <f t="shared" si="25"/>
        <v>#REF!</v>
      </c>
      <c r="H86" s="213" t="e">
        <f t="shared" si="26"/>
        <v>#REF!</v>
      </c>
      <c r="I86" s="53"/>
      <c r="J86" s="213" t="e">
        <f t="shared" si="29"/>
        <v>#REF!</v>
      </c>
      <c r="K86" s="53"/>
      <c r="L86" s="53" t="e">
        <f t="shared" si="27"/>
        <v>#REF!</v>
      </c>
      <c r="M86" s="53" t="e">
        <f t="shared" si="28"/>
        <v>#REF!</v>
      </c>
      <c r="N86" s="42"/>
    </row>
    <row r="87" spans="1:14" x14ac:dyDescent="0.2">
      <c r="A87" s="39" t="s">
        <v>138</v>
      </c>
      <c r="B87" s="2" t="e">
        <f t="shared" si="20"/>
        <v>#REF!</v>
      </c>
      <c r="C87" s="2" t="e">
        <f t="shared" si="21"/>
        <v>#REF!</v>
      </c>
      <c r="D87" s="40" t="e">
        <f t="shared" si="22"/>
        <v>#REF!</v>
      </c>
      <c r="E87" s="247" t="e">
        <f t="shared" si="23"/>
        <v>#REF!</v>
      </c>
      <c r="F87" s="213" t="e">
        <f t="shared" si="24"/>
        <v>#REF!</v>
      </c>
      <c r="G87" s="53" t="e">
        <f t="shared" si="25"/>
        <v>#REF!</v>
      </c>
      <c r="H87" s="213" t="e">
        <f t="shared" si="26"/>
        <v>#REF!</v>
      </c>
      <c r="I87" s="53"/>
      <c r="J87" s="213" t="e">
        <f t="shared" si="29"/>
        <v>#REF!</v>
      </c>
      <c r="K87" s="53"/>
      <c r="L87" s="53" t="e">
        <f t="shared" si="27"/>
        <v>#REF!</v>
      </c>
      <c r="M87" s="53" t="e">
        <f t="shared" si="28"/>
        <v>#REF!</v>
      </c>
      <c r="N87" s="42"/>
    </row>
    <row r="88" spans="1:14" x14ac:dyDescent="0.2">
      <c r="A88" s="39" t="s">
        <v>139</v>
      </c>
      <c r="B88" s="2" t="e">
        <f t="shared" si="20"/>
        <v>#REF!</v>
      </c>
      <c r="C88" s="2" t="e">
        <f t="shared" si="21"/>
        <v>#REF!</v>
      </c>
      <c r="D88" s="40" t="e">
        <f t="shared" si="22"/>
        <v>#REF!</v>
      </c>
      <c r="E88" s="247" t="e">
        <f t="shared" si="23"/>
        <v>#REF!</v>
      </c>
      <c r="F88" s="213" t="e">
        <f t="shared" si="24"/>
        <v>#REF!</v>
      </c>
      <c r="G88" s="53" t="e">
        <f t="shared" si="25"/>
        <v>#REF!</v>
      </c>
      <c r="H88" s="213" t="e">
        <f t="shared" si="26"/>
        <v>#REF!</v>
      </c>
      <c r="I88" s="53"/>
      <c r="J88" s="213" t="e">
        <f t="shared" si="29"/>
        <v>#REF!</v>
      </c>
      <c r="K88" s="53"/>
      <c r="L88" s="53" t="e">
        <f t="shared" si="27"/>
        <v>#REF!</v>
      </c>
      <c r="M88" s="53" t="e">
        <f t="shared" si="28"/>
        <v>#REF!</v>
      </c>
      <c r="N88" s="42"/>
    </row>
    <row r="89" spans="1:14" x14ac:dyDescent="0.2">
      <c r="A89" s="39" t="s">
        <v>140</v>
      </c>
      <c r="B89" s="2" t="e">
        <f t="shared" si="20"/>
        <v>#REF!</v>
      </c>
      <c r="C89" s="2" t="e">
        <f t="shared" si="21"/>
        <v>#REF!</v>
      </c>
      <c r="D89" s="40" t="e">
        <f t="shared" si="22"/>
        <v>#REF!</v>
      </c>
      <c r="E89" s="247" t="e">
        <f t="shared" si="23"/>
        <v>#REF!</v>
      </c>
      <c r="F89" s="213" t="e">
        <f t="shared" si="24"/>
        <v>#REF!</v>
      </c>
      <c r="G89" s="53" t="e">
        <f t="shared" si="25"/>
        <v>#REF!</v>
      </c>
      <c r="H89" s="213" t="e">
        <f t="shared" si="26"/>
        <v>#REF!</v>
      </c>
      <c r="I89" s="53"/>
      <c r="J89" s="213" t="e">
        <f t="shared" si="29"/>
        <v>#REF!</v>
      </c>
      <c r="K89" s="53"/>
      <c r="L89" s="53" t="e">
        <f t="shared" si="27"/>
        <v>#REF!</v>
      </c>
      <c r="M89" s="53" t="e">
        <f t="shared" si="28"/>
        <v>#REF!</v>
      </c>
      <c r="N89" s="42"/>
    </row>
    <row r="90" spans="1:14" x14ac:dyDescent="0.2">
      <c r="A90" s="39" t="s">
        <v>141</v>
      </c>
      <c r="B90" s="2" t="e">
        <f t="shared" si="20"/>
        <v>#REF!</v>
      </c>
      <c r="C90" s="2" t="e">
        <f t="shared" si="21"/>
        <v>#REF!</v>
      </c>
      <c r="D90" s="40" t="e">
        <f t="shared" si="22"/>
        <v>#REF!</v>
      </c>
      <c r="E90" s="247" t="e">
        <f t="shared" si="23"/>
        <v>#REF!</v>
      </c>
      <c r="F90" s="213" t="e">
        <f t="shared" si="24"/>
        <v>#REF!</v>
      </c>
      <c r="G90" s="53" t="e">
        <f t="shared" si="25"/>
        <v>#REF!</v>
      </c>
      <c r="H90" s="213" t="e">
        <f t="shared" si="26"/>
        <v>#REF!</v>
      </c>
      <c r="I90" s="53"/>
      <c r="J90" s="213" t="e">
        <f t="shared" si="29"/>
        <v>#REF!</v>
      </c>
      <c r="K90" s="53"/>
      <c r="L90" s="53" t="e">
        <f t="shared" si="27"/>
        <v>#REF!</v>
      </c>
      <c r="M90" s="53" t="e">
        <f t="shared" si="28"/>
        <v>#REF!</v>
      </c>
      <c r="N90" s="42"/>
    </row>
    <row r="91" spans="1:14" x14ac:dyDescent="0.2">
      <c r="A91" s="39" t="s">
        <v>142</v>
      </c>
      <c r="B91" s="2" t="e">
        <f t="shared" si="20"/>
        <v>#REF!</v>
      </c>
      <c r="C91" s="2" t="e">
        <f t="shared" si="21"/>
        <v>#REF!</v>
      </c>
      <c r="D91" s="40" t="e">
        <f t="shared" si="22"/>
        <v>#REF!</v>
      </c>
      <c r="E91" s="247" t="e">
        <f t="shared" si="23"/>
        <v>#REF!</v>
      </c>
      <c r="F91" s="213" t="e">
        <f t="shared" si="24"/>
        <v>#REF!</v>
      </c>
      <c r="G91" s="53" t="e">
        <f t="shared" si="25"/>
        <v>#REF!</v>
      </c>
      <c r="H91" s="213" t="e">
        <f t="shared" si="26"/>
        <v>#REF!</v>
      </c>
      <c r="I91" s="53"/>
      <c r="J91" s="213" t="e">
        <f t="shared" si="29"/>
        <v>#REF!</v>
      </c>
      <c r="K91" s="53"/>
      <c r="L91" s="53" t="e">
        <f t="shared" si="27"/>
        <v>#REF!</v>
      </c>
      <c r="M91" s="53" t="e">
        <f t="shared" si="28"/>
        <v>#REF!</v>
      </c>
      <c r="N91" s="42"/>
    </row>
    <row r="92" spans="1:14" x14ac:dyDescent="0.2">
      <c r="A92" s="39" t="s">
        <v>143</v>
      </c>
      <c r="B92" s="2" t="e">
        <f t="shared" si="20"/>
        <v>#REF!</v>
      </c>
      <c r="C92" s="2" t="e">
        <f t="shared" si="21"/>
        <v>#REF!</v>
      </c>
      <c r="D92" s="40" t="e">
        <f t="shared" si="22"/>
        <v>#REF!</v>
      </c>
      <c r="E92" s="247" t="e">
        <f t="shared" si="23"/>
        <v>#REF!</v>
      </c>
      <c r="F92" s="213" t="e">
        <f t="shared" si="24"/>
        <v>#REF!</v>
      </c>
      <c r="G92" s="53" t="e">
        <f t="shared" si="25"/>
        <v>#REF!</v>
      </c>
      <c r="H92" s="213" t="e">
        <f t="shared" si="26"/>
        <v>#REF!</v>
      </c>
      <c r="I92" s="53"/>
      <c r="J92" s="213" t="e">
        <f t="shared" si="29"/>
        <v>#REF!</v>
      </c>
      <c r="K92" s="53"/>
      <c r="L92" s="53" t="e">
        <f t="shared" si="27"/>
        <v>#REF!</v>
      </c>
      <c r="M92" s="53" t="e">
        <f t="shared" si="28"/>
        <v>#REF!</v>
      </c>
      <c r="N92" s="42"/>
    </row>
    <row r="93" spans="1:14" x14ac:dyDescent="0.2">
      <c r="A93" s="39" t="s">
        <v>144</v>
      </c>
      <c r="B93" s="2" t="e">
        <f t="shared" si="20"/>
        <v>#REF!</v>
      </c>
      <c r="C93" s="2" t="e">
        <f t="shared" si="21"/>
        <v>#REF!</v>
      </c>
      <c r="D93" s="40" t="e">
        <f t="shared" si="22"/>
        <v>#REF!</v>
      </c>
      <c r="E93" s="247" t="e">
        <f t="shared" si="23"/>
        <v>#REF!</v>
      </c>
      <c r="F93" s="213" t="e">
        <f t="shared" si="24"/>
        <v>#REF!</v>
      </c>
      <c r="G93" s="53" t="e">
        <f t="shared" si="25"/>
        <v>#REF!</v>
      </c>
      <c r="H93" s="213" t="e">
        <f t="shared" si="26"/>
        <v>#REF!</v>
      </c>
      <c r="I93" s="53"/>
      <c r="J93" s="213" t="e">
        <f t="shared" si="29"/>
        <v>#REF!</v>
      </c>
      <c r="K93" s="53"/>
      <c r="L93" s="53" t="e">
        <f t="shared" si="27"/>
        <v>#REF!</v>
      </c>
      <c r="M93" s="53" t="e">
        <f t="shared" si="28"/>
        <v>#REF!</v>
      </c>
      <c r="N93" s="42"/>
    </row>
    <row r="94" spans="1:14" x14ac:dyDescent="0.2">
      <c r="A94" s="39" t="s">
        <v>145</v>
      </c>
      <c r="B94" s="2" t="e">
        <f t="shared" si="20"/>
        <v>#REF!</v>
      </c>
      <c r="C94" s="2" t="e">
        <f t="shared" si="21"/>
        <v>#REF!</v>
      </c>
      <c r="D94" s="40" t="e">
        <f t="shared" si="22"/>
        <v>#REF!</v>
      </c>
      <c r="E94" s="247" t="e">
        <f t="shared" si="23"/>
        <v>#REF!</v>
      </c>
      <c r="F94" s="213" t="e">
        <f t="shared" si="24"/>
        <v>#REF!</v>
      </c>
      <c r="G94" s="53" t="e">
        <f t="shared" si="25"/>
        <v>#REF!</v>
      </c>
      <c r="H94" s="213" t="e">
        <f t="shared" si="26"/>
        <v>#REF!</v>
      </c>
      <c r="I94" s="53"/>
      <c r="J94" s="213" t="e">
        <f t="shared" si="29"/>
        <v>#REF!</v>
      </c>
      <c r="K94" s="53"/>
      <c r="L94" s="53" t="e">
        <f t="shared" si="27"/>
        <v>#REF!</v>
      </c>
      <c r="M94" s="53" t="e">
        <f t="shared" si="28"/>
        <v>#REF!</v>
      </c>
      <c r="N94" s="42"/>
    </row>
    <row r="95" spans="1:14" x14ac:dyDescent="0.2">
      <c r="A95" s="39" t="s">
        <v>146</v>
      </c>
      <c r="B95" s="2" t="e">
        <f t="shared" si="20"/>
        <v>#REF!</v>
      </c>
      <c r="C95" s="2" t="e">
        <f t="shared" si="21"/>
        <v>#REF!</v>
      </c>
      <c r="D95" s="40" t="e">
        <f t="shared" si="22"/>
        <v>#REF!</v>
      </c>
      <c r="E95" s="247" t="e">
        <f t="shared" si="23"/>
        <v>#REF!</v>
      </c>
      <c r="F95" s="213" t="e">
        <f t="shared" si="24"/>
        <v>#REF!</v>
      </c>
      <c r="G95" s="53" t="e">
        <f t="shared" si="25"/>
        <v>#REF!</v>
      </c>
      <c r="H95" s="213" t="e">
        <f t="shared" si="26"/>
        <v>#REF!</v>
      </c>
      <c r="I95" s="53"/>
      <c r="J95" s="213" t="e">
        <f t="shared" si="29"/>
        <v>#REF!</v>
      </c>
      <c r="K95" s="53"/>
      <c r="L95" s="53" t="e">
        <f t="shared" si="27"/>
        <v>#REF!</v>
      </c>
      <c r="M95" s="53" t="e">
        <f t="shared" si="28"/>
        <v>#REF!</v>
      </c>
      <c r="N95" s="42"/>
    </row>
    <row r="96" spans="1:14" x14ac:dyDescent="0.2">
      <c r="A96" s="39" t="s">
        <v>147</v>
      </c>
      <c r="B96" s="2" t="e">
        <f t="shared" si="20"/>
        <v>#REF!</v>
      </c>
      <c r="C96" s="2" t="e">
        <f t="shared" si="21"/>
        <v>#REF!</v>
      </c>
      <c r="D96" s="40" t="e">
        <f t="shared" si="22"/>
        <v>#REF!</v>
      </c>
      <c r="E96" s="247" t="e">
        <f t="shared" si="23"/>
        <v>#REF!</v>
      </c>
      <c r="F96" s="213" t="e">
        <f t="shared" si="24"/>
        <v>#REF!</v>
      </c>
      <c r="G96" s="53" t="e">
        <f t="shared" si="25"/>
        <v>#REF!</v>
      </c>
      <c r="H96" s="213" t="e">
        <f t="shared" si="26"/>
        <v>#REF!</v>
      </c>
      <c r="I96" s="53"/>
      <c r="J96" s="213" t="e">
        <f t="shared" si="29"/>
        <v>#REF!</v>
      </c>
      <c r="K96" s="53"/>
      <c r="L96" s="53" t="e">
        <f t="shared" si="27"/>
        <v>#REF!</v>
      </c>
      <c r="M96" s="53" t="e">
        <f t="shared" si="28"/>
        <v>#REF!</v>
      </c>
      <c r="N96" s="42"/>
    </row>
    <row r="97" spans="1:14" x14ac:dyDescent="0.2">
      <c r="A97" s="39" t="s">
        <v>148</v>
      </c>
      <c r="B97" s="2" t="e">
        <f t="shared" si="20"/>
        <v>#REF!</v>
      </c>
      <c r="C97" s="2" t="e">
        <f t="shared" si="21"/>
        <v>#REF!</v>
      </c>
      <c r="D97" s="40" t="e">
        <f t="shared" si="22"/>
        <v>#REF!</v>
      </c>
      <c r="E97" s="247" t="e">
        <f t="shared" si="23"/>
        <v>#REF!</v>
      </c>
      <c r="F97" s="213" t="e">
        <f t="shared" si="24"/>
        <v>#REF!</v>
      </c>
      <c r="G97" s="53" t="e">
        <f t="shared" si="25"/>
        <v>#REF!</v>
      </c>
      <c r="H97" s="213" t="e">
        <f t="shared" si="26"/>
        <v>#REF!</v>
      </c>
      <c r="I97" s="53"/>
      <c r="J97" s="213" t="e">
        <f t="shared" si="29"/>
        <v>#REF!</v>
      </c>
      <c r="K97" s="53"/>
      <c r="L97" s="53" t="e">
        <f t="shared" si="27"/>
        <v>#REF!</v>
      </c>
      <c r="M97" s="53" t="e">
        <f t="shared" si="28"/>
        <v>#REF!</v>
      </c>
      <c r="N97" s="42"/>
    </row>
    <row r="98" spans="1:14" x14ac:dyDescent="0.2">
      <c r="A98" s="39" t="s">
        <v>149</v>
      </c>
      <c r="B98" s="2" t="e">
        <f t="shared" si="20"/>
        <v>#REF!</v>
      </c>
      <c r="C98" s="2" t="e">
        <f t="shared" si="21"/>
        <v>#REF!</v>
      </c>
      <c r="D98" s="40" t="e">
        <f t="shared" si="22"/>
        <v>#REF!</v>
      </c>
      <c r="E98" s="247" t="e">
        <f t="shared" si="23"/>
        <v>#REF!</v>
      </c>
      <c r="F98" s="213" t="e">
        <f t="shared" si="24"/>
        <v>#REF!</v>
      </c>
      <c r="G98" s="53" t="e">
        <f t="shared" si="25"/>
        <v>#REF!</v>
      </c>
      <c r="H98" s="213" t="e">
        <f t="shared" si="26"/>
        <v>#REF!</v>
      </c>
      <c r="I98" s="53"/>
      <c r="J98" s="213" t="e">
        <f t="shared" si="29"/>
        <v>#REF!</v>
      </c>
      <c r="K98" s="53"/>
      <c r="L98" s="53" t="e">
        <f t="shared" si="27"/>
        <v>#REF!</v>
      </c>
      <c r="M98" s="53" t="e">
        <f t="shared" si="28"/>
        <v>#REF!</v>
      </c>
      <c r="N98" s="42"/>
    </row>
    <row r="99" spans="1:14" x14ac:dyDescent="0.2">
      <c r="A99" s="39" t="s">
        <v>150</v>
      </c>
      <c r="B99" s="2" t="e">
        <f t="shared" si="20"/>
        <v>#REF!</v>
      </c>
      <c r="C99" s="2" t="e">
        <f t="shared" si="21"/>
        <v>#REF!</v>
      </c>
      <c r="D99" s="40" t="e">
        <f t="shared" si="22"/>
        <v>#REF!</v>
      </c>
      <c r="E99" s="247" t="e">
        <f t="shared" si="23"/>
        <v>#REF!</v>
      </c>
      <c r="F99" s="213" t="e">
        <f t="shared" si="24"/>
        <v>#REF!</v>
      </c>
      <c r="G99" s="53" t="e">
        <f t="shared" si="25"/>
        <v>#REF!</v>
      </c>
      <c r="H99" s="213" t="e">
        <f t="shared" si="26"/>
        <v>#REF!</v>
      </c>
      <c r="I99" s="53"/>
      <c r="J99" s="213" t="e">
        <f t="shared" si="29"/>
        <v>#REF!</v>
      </c>
      <c r="K99" s="53"/>
      <c r="L99" s="53" t="e">
        <f t="shared" si="27"/>
        <v>#REF!</v>
      </c>
      <c r="M99" s="53" t="e">
        <f t="shared" si="28"/>
        <v>#REF!</v>
      </c>
      <c r="N99" s="42"/>
    </row>
    <row r="100" spans="1:14" x14ac:dyDescent="0.2">
      <c r="A100" s="39" t="s">
        <v>151</v>
      </c>
      <c r="B100" s="2" t="e">
        <f t="shared" si="20"/>
        <v>#REF!</v>
      </c>
      <c r="C100" s="2" t="e">
        <f t="shared" si="21"/>
        <v>#REF!</v>
      </c>
      <c r="D100" s="40" t="e">
        <f t="shared" si="22"/>
        <v>#REF!</v>
      </c>
      <c r="E100" s="247" t="e">
        <f t="shared" si="23"/>
        <v>#REF!</v>
      </c>
      <c r="F100" s="213" t="e">
        <f t="shared" si="24"/>
        <v>#REF!</v>
      </c>
      <c r="G100" s="53" t="e">
        <f t="shared" si="25"/>
        <v>#REF!</v>
      </c>
      <c r="H100" s="213" t="e">
        <f t="shared" si="26"/>
        <v>#REF!</v>
      </c>
      <c r="I100" s="53"/>
      <c r="J100" s="213" t="e">
        <f t="shared" si="29"/>
        <v>#REF!</v>
      </c>
      <c r="K100" s="53"/>
      <c r="L100" s="53" t="e">
        <f t="shared" si="27"/>
        <v>#REF!</v>
      </c>
      <c r="M100" s="53" t="e">
        <f t="shared" si="28"/>
        <v>#REF!</v>
      </c>
      <c r="N100" s="42"/>
    </row>
    <row r="101" spans="1:14" x14ac:dyDescent="0.2">
      <c r="A101" s="39" t="s">
        <v>152</v>
      </c>
      <c r="B101" s="2" t="e">
        <f t="shared" si="20"/>
        <v>#REF!</v>
      </c>
      <c r="C101" s="2" t="e">
        <f t="shared" si="21"/>
        <v>#REF!</v>
      </c>
      <c r="D101" s="40" t="e">
        <f t="shared" si="22"/>
        <v>#REF!</v>
      </c>
      <c r="E101" s="247" t="e">
        <f t="shared" si="23"/>
        <v>#REF!</v>
      </c>
      <c r="F101" s="213" t="e">
        <f t="shared" si="24"/>
        <v>#REF!</v>
      </c>
      <c r="G101" s="53" t="e">
        <f t="shared" si="25"/>
        <v>#REF!</v>
      </c>
      <c r="H101" s="213" t="e">
        <f t="shared" si="26"/>
        <v>#REF!</v>
      </c>
      <c r="I101" s="53"/>
      <c r="J101" s="213" t="e">
        <f t="shared" si="29"/>
        <v>#REF!</v>
      </c>
      <c r="K101" s="53"/>
      <c r="L101" s="53" t="e">
        <f t="shared" si="27"/>
        <v>#REF!</v>
      </c>
      <c r="M101" s="53" t="e">
        <f t="shared" si="28"/>
        <v>#REF!</v>
      </c>
      <c r="N101" s="42"/>
    </row>
    <row r="102" spans="1:14" x14ac:dyDescent="0.2">
      <c r="A102" s="39" t="s">
        <v>153</v>
      </c>
      <c r="B102" s="2" t="e">
        <f t="shared" ref="B102:B118" si="30">INDEX(Crop_data,MATCH(A102,Crop_data_codes,0),2)</f>
        <v>#REF!</v>
      </c>
      <c r="C102" s="2" t="e">
        <f t="shared" ref="C102:C118" si="31">INDEX(Crop_data,MATCH(A102,Crop_data_codes,0),3)</f>
        <v>#REF!</v>
      </c>
      <c r="D102" s="40" t="e">
        <f t="shared" ref="D102:D118" si="32">INDEX(Crop_data,MATCH(A102,Crop_data_codes,0),4)</f>
        <v>#REF!</v>
      </c>
      <c r="E102" s="247" t="e">
        <f t="shared" ref="E102:E118" si="33">IF(D102="Yes", SUM(F102:N102),"")</f>
        <v>#REF!</v>
      </c>
      <c r="F102" s="213" t="e">
        <f t="shared" ref="F102:F118" si="34">IF(D102="YES",INDEX(Crop_data,MATCH(A102,Crop_data_codes,0),7)*(Frac_BAT*EF_min_fert_BAT_CO2+Frac_AN*EF_min_fert_AN_CO2)/INDEX(Crop_data,MATCH(A102,Crop_data_codes,0),6),"")</f>
        <v>#REF!</v>
      </c>
      <c r="G102" s="53" t="e">
        <f t="shared" ref="G102:G118" si="35">IF(D102="YES",EF_capital_goods_CO2,"")</f>
        <v>#REF!</v>
      </c>
      <c r="H102" s="213" t="e">
        <f t="shared" si="26"/>
        <v>#REF!</v>
      </c>
      <c r="I102" s="53"/>
      <c r="J102" s="213" t="e">
        <f t="shared" si="29"/>
        <v>#REF!</v>
      </c>
      <c r="K102" s="53"/>
      <c r="L102" s="53" t="e">
        <f t="shared" si="27"/>
        <v>#REF!</v>
      </c>
      <c r="M102" s="53" t="e">
        <f t="shared" ref="M102:M118" si="36">IF(D102="Yes",INDEX(Post_harvest_energy_data,MATCH(C102,Post_harvest_energy_categories,0),2)*EF_heating_oil_CO2+INDEX(Post_harvest_energy_data,MATCH(C102,Post_harvest_energy_categories,0),3)*EF_electricity_CO2+INDEX(Post_harvest_energy_data,MATCH(C102,Post_harvest_energy_categories,0),4)*EF_chips_CO2,"")</f>
        <v>#REF!</v>
      </c>
      <c r="N102" s="42"/>
    </row>
    <row r="103" spans="1:14" x14ac:dyDescent="0.2">
      <c r="A103" s="39" t="s">
        <v>154</v>
      </c>
      <c r="B103" s="2" t="e">
        <f t="shared" si="30"/>
        <v>#REF!</v>
      </c>
      <c r="C103" s="2" t="e">
        <f t="shared" si="31"/>
        <v>#REF!</v>
      </c>
      <c r="D103" s="40" t="e">
        <f t="shared" si="32"/>
        <v>#REF!</v>
      </c>
      <c r="E103" s="247" t="e">
        <f t="shared" si="33"/>
        <v>#REF!</v>
      </c>
      <c r="F103" s="213" t="e">
        <f t="shared" si="34"/>
        <v>#REF!</v>
      </c>
      <c r="G103" s="53" t="e">
        <f t="shared" si="35"/>
        <v>#REF!</v>
      </c>
      <c r="H103" s="213" t="e">
        <f t="shared" si="26"/>
        <v>#REF!</v>
      </c>
      <c r="I103" s="53"/>
      <c r="J103" s="213" t="e">
        <f t="shared" si="29"/>
        <v>#REF!</v>
      </c>
      <c r="K103" s="53"/>
      <c r="L103" s="53" t="e">
        <f t="shared" si="27"/>
        <v>#REF!</v>
      </c>
      <c r="M103" s="53" t="e">
        <f t="shared" si="36"/>
        <v>#REF!</v>
      </c>
      <c r="N103" s="42"/>
    </row>
    <row r="104" spans="1:14" x14ac:dyDescent="0.2">
      <c r="A104" s="39" t="s">
        <v>155</v>
      </c>
      <c r="B104" s="2" t="e">
        <f t="shared" si="30"/>
        <v>#REF!</v>
      </c>
      <c r="C104" s="2" t="e">
        <f t="shared" si="31"/>
        <v>#REF!</v>
      </c>
      <c r="D104" s="40" t="e">
        <f t="shared" si="32"/>
        <v>#REF!</v>
      </c>
      <c r="E104" s="247" t="e">
        <f t="shared" si="33"/>
        <v>#REF!</v>
      </c>
      <c r="F104" s="213" t="e">
        <f t="shared" si="34"/>
        <v>#REF!</v>
      </c>
      <c r="G104" s="53" t="e">
        <f t="shared" si="35"/>
        <v>#REF!</v>
      </c>
      <c r="H104" s="213" t="e">
        <f t="shared" si="26"/>
        <v>#REF!</v>
      </c>
      <c r="I104" s="53"/>
      <c r="J104" s="213" t="e">
        <f t="shared" ref="J104:J118" si="37">IF(D104="YES",INDEX(Crop_data,MATCH(A104,Crop_data_codes,0),11)*Heating_value_diesel*EF_diesel_CO2/INDEX(Crop_data,MATCH(A104,Crop_data_codes,0),6),"")</f>
        <v>#REF!</v>
      </c>
      <c r="K104" s="53"/>
      <c r="L104" s="53" t="e">
        <f t="shared" si="27"/>
        <v>#REF!</v>
      </c>
      <c r="M104" s="53" t="e">
        <f t="shared" si="36"/>
        <v>#REF!</v>
      </c>
      <c r="N104" s="42"/>
    </row>
    <row r="105" spans="1:14" x14ac:dyDescent="0.2">
      <c r="A105" s="39" t="s">
        <v>156</v>
      </c>
      <c r="B105" s="2" t="e">
        <f t="shared" si="30"/>
        <v>#REF!</v>
      </c>
      <c r="C105" s="2" t="e">
        <f t="shared" si="31"/>
        <v>#REF!</v>
      </c>
      <c r="D105" s="40" t="e">
        <f t="shared" si="32"/>
        <v>#REF!</v>
      </c>
      <c r="E105" s="247" t="e">
        <f t="shared" si="33"/>
        <v>#REF!</v>
      </c>
      <c r="F105" s="213" t="e">
        <f t="shared" si="34"/>
        <v>#REF!</v>
      </c>
      <c r="G105" s="53" t="e">
        <f t="shared" si="35"/>
        <v>#REF!</v>
      </c>
      <c r="H105" s="213" t="e">
        <f t="shared" si="26"/>
        <v>#REF!</v>
      </c>
      <c r="I105" s="53"/>
      <c r="J105" s="213" t="e">
        <f t="shared" si="37"/>
        <v>#REF!</v>
      </c>
      <c r="K105" s="53"/>
      <c r="L105" s="53" t="e">
        <f t="shared" si="27"/>
        <v>#REF!</v>
      </c>
      <c r="M105" s="53" t="e">
        <f t="shared" si="36"/>
        <v>#REF!</v>
      </c>
      <c r="N105" s="42"/>
    </row>
    <row r="106" spans="1:14" x14ac:dyDescent="0.2">
      <c r="A106" s="39" t="s">
        <v>157</v>
      </c>
      <c r="B106" s="2" t="e">
        <f t="shared" si="30"/>
        <v>#REF!</v>
      </c>
      <c r="C106" s="2" t="e">
        <f t="shared" si="31"/>
        <v>#REF!</v>
      </c>
      <c r="D106" s="40" t="e">
        <f t="shared" si="32"/>
        <v>#REF!</v>
      </c>
      <c r="E106" s="247" t="e">
        <f t="shared" si="33"/>
        <v>#REF!</v>
      </c>
      <c r="F106" s="213" t="e">
        <f t="shared" si="34"/>
        <v>#REF!</v>
      </c>
      <c r="G106" s="53" t="e">
        <f t="shared" si="35"/>
        <v>#REF!</v>
      </c>
      <c r="H106" s="213"/>
      <c r="I106" s="53"/>
      <c r="J106" s="213" t="e">
        <f t="shared" si="37"/>
        <v>#REF!</v>
      </c>
      <c r="K106" s="53" t="e">
        <f>Energy!C21/INDEX(Crop_data,MATCH(A106,Crop_data_codes,0),6)*INDEX(Crop_data,MATCH(A106,Crop_data_codes,0),5)/100</f>
        <v>#REF!</v>
      </c>
      <c r="L106" s="53"/>
      <c r="M106" s="53" t="e">
        <f t="shared" si="36"/>
        <v>#REF!</v>
      </c>
      <c r="N106" s="42"/>
    </row>
    <row r="107" spans="1:14" x14ac:dyDescent="0.2">
      <c r="A107" s="39" t="s">
        <v>158</v>
      </c>
      <c r="B107" s="2" t="e">
        <f t="shared" si="30"/>
        <v>#REF!</v>
      </c>
      <c r="C107" s="2" t="e">
        <f t="shared" si="31"/>
        <v>#REF!</v>
      </c>
      <c r="D107" s="40" t="e">
        <f t="shared" si="32"/>
        <v>#REF!</v>
      </c>
      <c r="E107" s="247" t="e">
        <f t="shared" si="33"/>
        <v>#REF!</v>
      </c>
      <c r="F107" s="213" t="e">
        <f t="shared" si="34"/>
        <v>#REF!</v>
      </c>
      <c r="G107" s="53" t="e">
        <f t="shared" si="35"/>
        <v>#REF!</v>
      </c>
      <c r="H107" s="213"/>
      <c r="I107" s="53"/>
      <c r="J107" s="213" t="e">
        <f t="shared" si="37"/>
        <v>#REF!</v>
      </c>
      <c r="K107" s="53"/>
      <c r="L107" s="53"/>
      <c r="M107" s="53" t="e">
        <f t="shared" si="36"/>
        <v>#REF!</v>
      </c>
      <c r="N107" s="42"/>
    </row>
    <row r="108" spans="1:14" x14ac:dyDescent="0.2">
      <c r="A108" s="39" t="s">
        <v>159</v>
      </c>
      <c r="B108" s="2" t="e">
        <f t="shared" si="30"/>
        <v>#REF!</v>
      </c>
      <c r="C108" s="2" t="e">
        <f t="shared" si="31"/>
        <v>#REF!</v>
      </c>
      <c r="D108" s="40" t="e">
        <f t="shared" si="32"/>
        <v>#REF!</v>
      </c>
      <c r="E108" s="247" t="e">
        <f t="shared" si="33"/>
        <v>#REF!</v>
      </c>
      <c r="F108" s="213" t="e">
        <f t="shared" si="34"/>
        <v>#REF!</v>
      </c>
      <c r="G108" s="53" t="e">
        <f t="shared" si="35"/>
        <v>#REF!</v>
      </c>
      <c r="H108" s="213" t="e">
        <f t="shared" ref="H108:H118" si="38">IF(D108="Yes",INDEX(Soil_carbon_data,MATCH(C108,Soil_carbon_categories,0),2),"")</f>
        <v>#REF!</v>
      </c>
      <c r="I108" s="53"/>
      <c r="J108" s="213" t="e">
        <f t="shared" si="37"/>
        <v>#REF!</v>
      </c>
      <c r="K108" s="53"/>
      <c r="L108" s="53" t="e">
        <f t="shared" ref="L108:L118" si="39">IF(D108="YES",INDEX(Crop_data,MATCH(A108,Crop_data_codes,0),12)*EF_irrigation_CO2/INDEX(Crop_data,MATCH(A108,Crop_data_codes,0),6),"")</f>
        <v>#REF!</v>
      </c>
      <c r="M108" s="53" t="e">
        <f t="shared" si="36"/>
        <v>#REF!</v>
      </c>
      <c r="N108" s="42"/>
    </row>
    <row r="109" spans="1:14" x14ac:dyDescent="0.2">
      <c r="A109" s="39" t="s">
        <v>160</v>
      </c>
      <c r="B109" s="2" t="e">
        <f t="shared" si="30"/>
        <v>#REF!</v>
      </c>
      <c r="C109" s="2" t="e">
        <f t="shared" si="31"/>
        <v>#REF!</v>
      </c>
      <c r="D109" s="40" t="e">
        <f t="shared" si="32"/>
        <v>#REF!</v>
      </c>
      <c r="E109" s="247" t="e">
        <f t="shared" si="33"/>
        <v>#REF!</v>
      </c>
      <c r="F109" s="213" t="e">
        <f t="shared" si="34"/>
        <v>#REF!</v>
      </c>
      <c r="G109" s="53" t="e">
        <f t="shared" si="35"/>
        <v>#REF!</v>
      </c>
      <c r="H109" s="213" t="e">
        <f t="shared" si="38"/>
        <v>#REF!</v>
      </c>
      <c r="I109" s="53"/>
      <c r="J109" s="213" t="e">
        <f t="shared" si="37"/>
        <v>#REF!</v>
      </c>
      <c r="K109" s="53"/>
      <c r="L109" s="53" t="e">
        <f t="shared" si="39"/>
        <v>#REF!</v>
      </c>
      <c r="M109" s="53" t="e">
        <f t="shared" si="36"/>
        <v>#REF!</v>
      </c>
      <c r="N109" s="42"/>
    </row>
    <row r="110" spans="1:14" x14ac:dyDescent="0.2">
      <c r="A110" s="39" t="s">
        <v>161</v>
      </c>
      <c r="B110" s="2" t="e">
        <f t="shared" si="30"/>
        <v>#REF!</v>
      </c>
      <c r="C110" s="2" t="e">
        <f t="shared" si="31"/>
        <v>#REF!</v>
      </c>
      <c r="D110" s="40" t="e">
        <f t="shared" si="32"/>
        <v>#REF!</v>
      </c>
      <c r="E110" s="247" t="e">
        <f t="shared" si="33"/>
        <v>#REF!</v>
      </c>
      <c r="F110" s="213" t="e">
        <f t="shared" si="34"/>
        <v>#REF!</v>
      </c>
      <c r="G110" s="53" t="e">
        <f t="shared" si="35"/>
        <v>#REF!</v>
      </c>
      <c r="H110" s="213" t="e">
        <f t="shared" si="38"/>
        <v>#REF!</v>
      </c>
      <c r="I110" s="53"/>
      <c r="J110" s="213" t="e">
        <f t="shared" si="37"/>
        <v>#REF!</v>
      </c>
      <c r="K110" s="53"/>
      <c r="L110" s="53" t="e">
        <f t="shared" si="39"/>
        <v>#REF!</v>
      </c>
      <c r="M110" s="53" t="e">
        <f t="shared" si="36"/>
        <v>#REF!</v>
      </c>
      <c r="N110" s="42"/>
    </row>
    <row r="111" spans="1:14" x14ac:dyDescent="0.2">
      <c r="A111" s="39" t="s">
        <v>162</v>
      </c>
      <c r="B111" s="2" t="e">
        <f t="shared" si="30"/>
        <v>#REF!</v>
      </c>
      <c r="C111" s="2" t="e">
        <f t="shared" si="31"/>
        <v>#REF!</v>
      </c>
      <c r="D111" s="40" t="e">
        <f t="shared" si="32"/>
        <v>#REF!</v>
      </c>
      <c r="E111" s="247" t="e">
        <f t="shared" si="33"/>
        <v>#REF!</v>
      </c>
      <c r="F111" s="213" t="e">
        <f t="shared" si="34"/>
        <v>#REF!</v>
      </c>
      <c r="G111" s="53" t="e">
        <f t="shared" si="35"/>
        <v>#REF!</v>
      </c>
      <c r="H111" s="213" t="e">
        <f t="shared" si="38"/>
        <v>#REF!</v>
      </c>
      <c r="I111" s="53"/>
      <c r="J111" s="213" t="e">
        <f t="shared" si="37"/>
        <v>#REF!</v>
      </c>
      <c r="K111" s="53"/>
      <c r="L111" s="53" t="e">
        <f t="shared" si="39"/>
        <v>#REF!</v>
      </c>
      <c r="M111" s="53" t="e">
        <f t="shared" si="36"/>
        <v>#REF!</v>
      </c>
      <c r="N111" s="42"/>
    </row>
    <row r="112" spans="1:14" x14ac:dyDescent="0.2">
      <c r="A112" s="39" t="s">
        <v>163</v>
      </c>
      <c r="B112" s="2" t="e">
        <f t="shared" si="30"/>
        <v>#REF!</v>
      </c>
      <c r="C112" s="2" t="e">
        <f t="shared" si="31"/>
        <v>#REF!</v>
      </c>
      <c r="D112" s="40" t="e">
        <f t="shared" si="32"/>
        <v>#REF!</v>
      </c>
      <c r="E112" s="247" t="e">
        <f t="shared" si="33"/>
        <v>#REF!</v>
      </c>
      <c r="F112" s="213" t="e">
        <f t="shared" si="34"/>
        <v>#REF!</v>
      </c>
      <c r="G112" s="53" t="e">
        <f t="shared" si="35"/>
        <v>#REF!</v>
      </c>
      <c r="H112" s="213" t="e">
        <f t="shared" si="38"/>
        <v>#REF!</v>
      </c>
      <c r="I112" s="53"/>
      <c r="J112" s="213" t="e">
        <f t="shared" si="37"/>
        <v>#REF!</v>
      </c>
      <c r="K112" s="53"/>
      <c r="L112" s="53" t="e">
        <f t="shared" si="39"/>
        <v>#REF!</v>
      </c>
      <c r="M112" s="53" t="e">
        <f t="shared" si="36"/>
        <v>#REF!</v>
      </c>
      <c r="N112" s="42"/>
    </row>
    <row r="113" spans="1:14" x14ac:dyDescent="0.2">
      <c r="A113" s="39" t="s">
        <v>164</v>
      </c>
      <c r="B113" s="2" t="e">
        <f t="shared" si="30"/>
        <v>#REF!</v>
      </c>
      <c r="C113" s="2" t="e">
        <f t="shared" si="31"/>
        <v>#REF!</v>
      </c>
      <c r="D113" s="40" t="e">
        <f t="shared" si="32"/>
        <v>#REF!</v>
      </c>
      <c r="E113" s="247" t="e">
        <f t="shared" si="33"/>
        <v>#REF!</v>
      </c>
      <c r="F113" s="213" t="e">
        <f t="shared" si="34"/>
        <v>#REF!</v>
      </c>
      <c r="G113" s="53" t="e">
        <f t="shared" si="35"/>
        <v>#REF!</v>
      </c>
      <c r="H113" s="213" t="e">
        <f t="shared" si="38"/>
        <v>#REF!</v>
      </c>
      <c r="I113" s="53"/>
      <c r="J113" s="213" t="e">
        <f t="shared" si="37"/>
        <v>#REF!</v>
      </c>
      <c r="K113" s="53"/>
      <c r="L113" s="53" t="e">
        <f t="shared" si="39"/>
        <v>#REF!</v>
      </c>
      <c r="M113" s="53" t="e">
        <f t="shared" si="36"/>
        <v>#REF!</v>
      </c>
      <c r="N113" s="42"/>
    </row>
    <row r="114" spans="1:14" x14ac:dyDescent="0.2">
      <c r="A114" s="39" t="s">
        <v>165</v>
      </c>
      <c r="B114" s="2" t="e">
        <f t="shared" si="30"/>
        <v>#REF!</v>
      </c>
      <c r="C114" s="2" t="e">
        <f t="shared" si="31"/>
        <v>#REF!</v>
      </c>
      <c r="D114" s="40" t="e">
        <f t="shared" si="32"/>
        <v>#REF!</v>
      </c>
      <c r="E114" s="247" t="e">
        <f t="shared" si="33"/>
        <v>#REF!</v>
      </c>
      <c r="F114" s="213" t="e">
        <f t="shared" si="34"/>
        <v>#REF!</v>
      </c>
      <c r="G114" s="53" t="e">
        <f t="shared" si="35"/>
        <v>#REF!</v>
      </c>
      <c r="H114" s="213" t="e">
        <f t="shared" si="38"/>
        <v>#REF!</v>
      </c>
      <c r="I114" s="53"/>
      <c r="J114" s="213" t="e">
        <f t="shared" si="37"/>
        <v>#REF!</v>
      </c>
      <c r="K114" s="53"/>
      <c r="L114" s="53" t="e">
        <f t="shared" si="39"/>
        <v>#REF!</v>
      </c>
      <c r="M114" s="53" t="e">
        <f t="shared" si="36"/>
        <v>#REF!</v>
      </c>
      <c r="N114" s="42"/>
    </row>
    <row r="115" spans="1:14" x14ac:dyDescent="0.2">
      <c r="A115" s="39" t="s">
        <v>166</v>
      </c>
      <c r="B115" s="2" t="e">
        <f t="shared" si="30"/>
        <v>#REF!</v>
      </c>
      <c r="C115" s="2" t="e">
        <f t="shared" si="31"/>
        <v>#REF!</v>
      </c>
      <c r="D115" s="40" t="e">
        <f t="shared" si="32"/>
        <v>#REF!</v>
      </c>
      <c r="E115" s="247" t="e">
        <f t="shared" si="33"/>
        <v>#REF!</v>
      </c>
      <c r="F115" s="213" t="e">
        <f t="shared" si="34"/>
        <v>#REF!</v>
      </c>
      <c r="G115" s="53" t="e">
        <f t="shared" si="35"/>
        <v>#REF!</v>
      </c>
      <c r="H115" s="213" t="e">
        <f t="shared" si="38"/>
        <v>#REF!</v>
      </c>
      <c r="I115" s="53"/>
      <c r="J115" s="213" t="e">
        <f t="shared" si="37"/>
        <v>#REF!</v>
      </c>
      <c r="K115" s="53"/>
      <c r="L115" s="53" t="e">
        <f t="shared" si="39"/>
        <v>#REF!</v>
      </c>
      <c r="M115" s="53" t="e">
        <f t="shared" si="36"/>
        <v>#REF!</v>
      </c>
      <c r="N115" s="42"/>
    </row>
    <row r="116" spans="1:14" x14ac:dyDescent="0.2">
      <c r="A116" s="39" t="s">
        <v>167</v>
      </c>
      <c r="B116" s="2" t="e">
        <f t="shared" si="30"/>
        <v>#REF!</v>
      </c>
      <c r="C116" s="2" t="e">
        <f t="shared" si="31"/>
        <v>#REF!</v>
      </c>
      <c r="D116" s="40" t="e">
        <f t="shared" si="32"/>
        <v>#REF!</v>
      </c>
      <c r="E116" s="247" t="e">
        <f t="shared" si="33"/>
        <v>#REF!</v>
      </c>
      <c r="F116" s="213" t="e">
        <f t="shared" si="34"/>
        <v>#REF!</v>
      </c>
      <c r="G116" s="53" t="e">
        <f t="shared" si="35"/>
        <v>#REF!</v>
      </c>
      <c r="H116" s="213" t="e">
        <f t="shared" si="38"/>
        <v>#REF!</v>
      </c>
      <c r="I116" s="53"/>
      <c r="J116" s="213" t="e">
        <f t="shared" si="37"/>
        <v>#REF!</v>
      </c>
      <c r="K116" s="53"/>
      <c r="L116" s="53" t="e">
        <f t="shared" si="39"/>
        <v>#REF!</v>
      </c>
      <c r="M116" s="53" t="e">
        <f t="shared" si="36"/>
        <v>#REF!</v>
      </c>
      <c r="N116" s="42"/>
    </row>
    <row r="117" spans="1:14" x14ac:dyDescent="0.2">
      <c r="A117" s="39" t="s">
        <v>168</v>
      </c>
      <c r="B117" s="2" t="e">
        <f t="shared" si="30"/>
        <v>#REF!</v>
      </c>
      <c r="C117" s="2" t="e">
        <f t="shared" si="31"/>
        <v>#REF!</v>
      </c>
      <c r="D117" s="40" t="e">
        <f t="shared" si="32"/>
        <v>#REF!</v>
      </c>
      <c r="E117" s="247" t="e">
        <f t="shared" si="33"/>
        <v>#REF!</v>
      </c>
      <c r="F117" s="213" t="e">
        <f t="shared" si="34"/>
        <v>#REF!</v>
      </c>
      <c r="G117" s="53" t="e">
        <f t="shared" si="35"/>
        <v>#REF!</v>
      </c>
      <c r="H117" s="213" t="e">
        <f t="shared" si="38"/>
        <v>#REF!</v>
      </c>
      <c r="I117" s="53"/>
      <c r="J117" s="213" t="e">
        <f t="shared" si="37"/>
        <v>#REF!</v>
      </c>
      <c r="K117" s="53"/>
      <c r="L117" s="53" t="e">
        <f t="shared" si="39"/>
        <v>#REF!</v>
      </c>
      <c r="M117" s="53" t="e">
        <f t="shared" si="36"/>
        <v>#REF!</v>
      </c>
      <c r="N117" s="42"/>
    </row>
    <row r="118" spans="1:14" x14ac:dyDescent="0.2">
      <c r="A118" s="41" t="s">
        <v>169</v>
      </c>
      <c r="B118" s="45" t="e">
        <f t="shared" si="30"/>
        <v>#REF!</v>
      </c>
      <c r="C118" s="45" t="e">
        <f t="shared" si="31"/>
        <v>#REF!</v>
      </c>
      <c r="D118" s="32" t="e">
        <f t="shared" si="32"/>
        <v>#REF!</v>
      </c>
      <c r="E118" s="249" t="e">
        <f t="shared" si="33"/>
        <v>#REF!</v>
      </c>
      <c r="F118" s="223" t="e">
        <f t="shared" si="34"/>
        <v>#REF!</v>
      </c>
      <c r="G118" s="226" t="e">
        <f t="shared" si="35"/>
        <v>#REF!</v>
      </c>
      <c r="H118" s="223" t="e">
        <f t="shared" si="38"/>
        <v>#REF!</v>
      </c>
      <c r="I118" s="226"/>
      <c r="J118" s="223" t="e">
        <f t="shared" si="37"/>
        <v>#REF!</v>
      </c>
      <c r="K118" s="226"/>
      <c r="L118" s="226" t="e">
        <f t="shared" si="39"/>
        <v>#REF!</v>
      </c>
      <c r="M118" s="226" t="e">
        <f t="shared" si="36"/>
        <v>#REF!</v>
      </c>
      <c r="N118" s="43"/>
    </row>
    <row r="119" spans="1:14" x14ac:dyDescent="0.2">
      <c r="B119" s="2"/>
      <c r="C119" s="2"/>
      <c r="D119" s="50"/>
      <c r="E119" s="247"/>
      <c r="F119" s="53"/>
      <c r="G119" s="53"/>
      <c r="H119" s="53"/>
      <c r="I119" s="53"/>
      <c r="J119" s="53"/>
      <c r="K119" s="53"/>
      <c r="L119" s="53"/>
      <c r="M119" s="53"/>
    </row>
    <row r="120" spans="1:14" x14ac:dyDescent="0.2">
      <c r="E120" s="53"/>
      <c r="F120" s="53"/>
      <c r="G120" s="53"/>
      <c r="H120" s="53"/>
      <c r="I120" s="53"/>
      <c r="J120" s="53"/>
      <c r="K120" s="53"/>
      <c r="L120" s="53"/>
      <c r="M120" s="53"/>
    </row>
  </sheetData>
  <autoFilter ref="A5:N118" xr:uid="{00000000-0009-0000-0000-000004000000}">
    <sortState xmlns:xlrd2="http://schemas.microsoft.com/office/spreadsheetml/2017/richdata2" ref="A6:N118">
      <sortCondition ref="B5"/>
    </sortState>
  </autoFilter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 filterMode="1">
    <tabColor theme="9" tint="0.79998168889431442"/>
  </sheetPr>
  <dimension ref="A2:N118"/>
  <sheetViews>
    <sheetView zoomScale="70" zoomScaleNormal="70" workbookViewId="0">
      <selection activeCell="F20" sqref="F20"/>
    </sheetView>
  </sheetViews>
  <sheetFormatPr baseColWidth="10" defaultColWidth="8.6640625" defaultRowHeight="15" x14ac:dyDescent="0.2"/>
  <cols>
    <col min="1" max="1" width="9.6640625" customWidth="1"/>
    <col min="2" max="2" width="29.5" customWidth="1"/>
    <col min="3" max="3" width="18.33203125" customWidth="1"/>
    <col min="4" max="4" width="10.33203125" customWidth="1"/>
    <col min="5" max="5" width="9.5" customWidth="1"/>
    <col min="6" max="6" width="12.6640625" customWidth="1"/>
    <col min="7" max="7" width="14.5" customWidth="1"/>
    <col min="8" max="9" width="12.6640625" customWidth="1"/>
    <col min="10" max="10" width="10.5" customWidth="1"/>
    <col min="11" max="11" width="12.5" customWidth="1"/>
    <col min="12" max="12" width="12.33203125" customWidth="1"/>
    <col min="13" max="13" width="12.5" customWidth="1"/>
    <col min="14" max="14" width="16.5" customWidth="1"/>
  </cols>
  <sheetData>
    <row r="2" spans="1:14" ht="21" x14ac:dyDescent="0.25">
      <c r="A2" s="38" t="s">
        <v>172</v>
      </c>
    </row>
    <row r="4" spans="1:14" x14ac:dyDescent="0.2">
      <c r="A4" s="171" t="s">
        <v>5</v>
      </c>
      <c r="B4" s="172"/>
      <c r="C4" s="172"/>
      <c r="D4" s="178"/>
      <c r="E4" s="173" t="s">
        <v>40</v>
      </c>
      <c r="F4" s="179" t="s">
        <v>41</v>
      </c>
      <c r="G4" s="175"/>
      <c r="H4" s="174" t="s">
        <v>42</v>
      </c>
      <c r="I4" s="176"/>
      <c r="J4" s="180" t="s">
        <v>43</v>
      </c>
      <c r="K4" s="177"/>
      <c r="L4" s="177"/>
      <c r="M4" s="177"/>
      <c r="N4" s="181" t="s">
        <v>44</v>
      </c>
    </row>
    <row r="5" spans="1:14" ht="48" x14ac:dyDescent="0.2">
      <c r="A5" s="166" t="s">
        <v>45</v>
      </c>
      <c r="B5" s="167" t="s">
        <v>5</v>
      </c>
      <c r="C5" s="167" t="s">
        <v>46</v>
      </c>
      <c r="D5" s="182" t="s">
        <v>47</v>
      </c>
      <c r="E5" s="168"/>
      <c r="F5" s="183" t="s">
        <v>48</v>
      </c>
      <c r="G5" s="170" t="s">
        <v>49</v>
      </c>
      <c r="H5" s="169" t="s">
        <v>50</v>
      </c>
      <c r="I5" s="170" t="s">
        <v>51</v>
      </c>
      <c r="J5" s="183" t="s">
        <v>52</v>
      </c>
      <c r="K5" s="169" t="s">
        <v>53</v>
      </c>
      <c r="L5" s="169" t="s">
        <v>54</v>
      </c>
      <c r="M5" s="169" t="s">
        <v>55</v>
      </c>
      <c r="N5" s="184" t="s">
        <v>56</v>
      </c>
    </row>
    <row r="6" spans="1:14" hidden="1" x14ac:dyDescent="0.2">
      <c r="A6" s="39" t="s">
        <v>57</v>
      </c>
      <c r="B6" s="2" t="e">
        <f t="shared" ref="B6:B37" si="0">INDEX(Crop_data,MATCH(A6,Crop_data_codes,0),2)</f>
        <v>#REF!</v>
      </c>
      <c r="C6" s="2" t="e">
        <f t="shared" ref="C6:C37" si="1">INDEX(Crop_data,MATCH(A6,Crop_data_codes,0),3)</f>
        <v>#REF!</v>
      </c>
      <c r="D6" s="40" t="e">
        <f t="shared" ref="D6:D37" si="2">INDEX(Crop_data,MATCH(A6,Crop_data_codes,0),4)</f>
        <v>#REF!</v>
      </c>
      <c r="E6" s="127" t="e">
        <f t="shared" ref="E6:E37" si="3">IF(D6="Yes", SUM(F6:N6),"")</f>
        <v>#REF!</v>
      </c>
      <c r="F6" s="119" t="e">
        <f t="shared" ref="F6:F37" si="4">IF(D6="YES",INDEX(Crop_data,MATCH(A6,Crop_data_codes,0),7)*(Frac_BAT*EF_min_fert_BAT_CH4+Frac_AN*EF_min_fert_AN_CH4)/INDEX(Crop_data,MATCH(A6,Crop_data_codes,0),6),"")</f>
        <v>#REF!</v>
      </c>
      <c r="G6" s="123" t="e">
        <f t="shared" ref="G6:G37" si="5">IF(D6="YES",EF_capital_goods_CH4,"")</f>
        <v>#REF!</v>
      </c>
      <c r="I6" s="5"/>
      <c r="J6" s="117" t="e">
        <f t="shared" ref="J6:J33" si="6">IF(D6="YES",INDEX(Crop_data,MATCH(A6,Crop_data_codes,0),11)*Heating_value_diesel*EF_diesel_CH4/INDEX(Crop_data,MATCH(A6,Crop_data_codes,0),6),"")</f>
        <v>#REF!</v>
      </c>
      <c r="K6" s="125"/>
      <c r="L6" s="125" t="e">
        <f t="shared" ref="L6:L38" si="7">IF(D6="YES",INDEX(Crop_data,MATCH(A6,Crop_data_codes,0),12)*EF_irrigation_CH4/INDEX(Crop_data,MATCH(A6,Crop_data_codes,0),6),"")</f>
        <v>#REF!</v>
      </c>
      <c r="M6" s="125"/>
      <c r="N6" s="42"/>
    </row>
    <row r="7" spans="1:14" hidden="1" x14ac:dyDescent="0.2">
      <c r="A7" s="39" t="s">
        <v>58</v>
      </c>
      <c r="B7" s="2" t="e">
        <f t="shared" si="0"/>
        <v>#REF!</v>
      </c>
      <c r="C7" s="2" t="e">
        <f t="shared" si="1"/>
        <v>#REF!</v>
      </c>
      <c r="D7" s="40" t="e">
        <f t="shared" si="2"/>
        <v>#REF!</v>
      </c>
      <c r="E7" s="127" t="e">
        <f t="shared" si="3"/>
        <v>#REF!</v>
      </c>
      <c r="F7" s="119" t="e">
        <f t="shared" si="4"/>
        <v>#REF!</v>
      </c>
      <c r="G7" s="123" t="e">
        <f t="shared" si="5"/>
        <v>#REF!</v>
      </c>
      <c r="I7" s="5"/>
      <c r="J7" s="117" t="e">
        <f t="shared" si="6"/>
        <v>#REF!</v>
      </c>
      <c r="K7" s="125"/>
      <c r="L7" s="125" t="e">
        <f t="shared" si="7"/>
        <v>#REF!</v>
      </c>
      <c r="M7" s="125"/>
      <c r="N7" s="42"/>
    </row>
    <row r="8" spans="1:14" hidden="1" x14ac:dyDescent="0.2">
      <c r="A8" s="39" t="s">
        <v>59</v>
      </c>
      <c r="B8" s="2" t="e">
        <f t="shared" si="0"/>
        <v>#REF!</v>
      </c>
      <c r="C8" s="2" t="e">
        <f t="shared" si="1"/>
        <v>#REF!</v>
      </c>
      <c r="D8" s="40" t="e">
        <f t="shared" si="2"/>
        <v>#REF!</v>
      </c>
      <c r="E8" s="127" t="e">
        <f t="shared" si="3"/>
        <v>#REF!</v>
      </c>
      <c r="F8" s="119" t="e">
        <f t="shared" si="4"/>
        <v>#REF!</v>
      </c>
      <c r="G8" s="123" t="e">
        <f t="shared" si="5"/>
        <v>#REF!</v>
      </c>
      <c r="H8" s="78"/>
      <c r="I8" s="5"/>
      <c r="J8" s="117" t="e">
        <f t="shared" si="6"/>
        <v>#REF!</v>
      </c>
      <c r="K8" s="125"/>
      <c r="L8" s="125" t="e">
        <f t="shared" si="7"/>
        <v>#REF!</v>
      </c>
      <c r="M8" s="125" t="e">
        <f t="shared" ref="M8:M39" si="8">IF(D8="Yes",INDEX(Post_harvest_energy_data,MATCH(C8,Post_harvest_energy_categories,0),2)*EF_heating_oil_CH4+INDEX(Post_harvest_energy_data,MATCH(C8,Post_harvest_energy_categories,0),3)*EF_electricity_CH4+INDEX(Post_harvest_energy_data,MATCH(C8,Post_harvest_energy_categories,0),4)*EF_chips_CH4,"")</f>
        <v>#REF!</v>
      </c>
      <c r="N8" s="42"/>
    </row>
    <row r="9" spans="1:14" hidden="1" x14ac:dyDescent="0.2">
      <c r="A9" s="39" t="s">
        <v>60</v>
      </c>
      <c r="B9" s="2" t="e">
        <f t="shared" si="0"/>
        <v>#REF!</v>
      </c>
      <c r="C9" s="2" t="e">
        <f t="shared" si="1"/>
        <v>#REF!</v>
      </c>
      <c r="D9" s="40" t="e">
        <f t="shared" si="2"/>
        <v>#REF!</v>
      </c>
      <c r="E9" s="127" t="e">
        <f t="shared" si="3"/>
        <v>#REF!</v>
      </c>
      <c r="F9" s="119" t="e">
        <f t="shared" si="4"/>
        <v>#REF!</v>
      </c>
      <c r="G9" s="123" t="e">
        <f t="shared" si="5"/>
        <v>#REF!</v>
      </c>
      <c r="H9" s="78"/>
      <c r="I9" s="5"/>
      <c r="J9" s="117" t="e">
        <f t="shared" si="6"/>
        <v>#REF!</v>
      </c>
      <c r="K9" s="125"/>
      <c r="L9" s="125" t="e">
        <f t="shared" si="7"/>
        <v>#REF!</v>
      </c>
      <c r="M9" s="125" t="e">
        <f t="shared" si="8"/>
        <v>#REF!</v>
      </c>
      <c r="N9" s="42"/>
    </row>
    <row r="10" spans="1:14" hidden="1" x14ac:dyDescent="0.2">
      <c r="A10" s="39" t="s">
        <v>61</v>
      </c>
      <c r="B10" s="2" t="e">
        <f t="shared" si="0"/>
        <v>#REF!</v>
      </c>
      <c r="C10" s="2" t="e">
        <f t="shared" si="1"/>
        <v>#REF!</v>
      </c>
      <c r="D10" s="40" t="e">
        <f t="shared" si="2"/>
        <v>#REF!</v>
      </c>
      <c r="E10" s="127" t="e">
        <f t="shared" si="3"/>
        <v>#REF!</v>
      </c>
      <c r="F10" s="119" t="e">
        <f t="shared" si="4"/>
        <v>#REF!</v>
      </c>
      <c r="G10" s="123" t="e">
        <f t="shared" si="5"/>
        <v>#REF!</v>
      </c>
      <c r="H10" s="78"/>
      <c r="I10" s="5"/>
      <c r="J10" s="117" t="e">
        <f t="shared" si="6"/>
        <v>#REF!</v>
      </c>
      <c r="K10" s="125"/>
      <c r="L10" s="125" t="e">
        <f t="shared" si="7"/>
        <v>#REF!</v>
      </c>
      <c r="M10" s="125" t="e">
        <f t="shared" si="8"/>
        <v>#REF!</v>
      </c>
      <c r="N10" s="42"/>
    </row>
    <row r="11" spans="1:14" hidden="1" x14ac:dyDescent="0.2">
      <c r="A11" s="39" t="s">
        <v>62</v>
      </c>
      <c r="B11" s="2" t="e">
        <f t="shared" si="0"/>
        <v>#REF!</v>
      </c>
      <c r="C11" s="2" t="e">
        <f t="shared" si="1"/>
        <v>#REF!</v>
      </c>
      <c r="D11" s="40" t="e">
        <f t="shared" si="2"/>
        <v>#REF!</v>
      </c>
      <c r="E11" s="127" t="e">
        <f t="shared" si="3"/>
        <v>#REF!</v>
      </c>
      <c r="F11" s="119" t="e">
        <f t="shared" si="4"/>
        <v>#REF!</v>
      </c>
      <c r="G11" s="123" t="e">
        <f t="shared" si="5"/>
        <v>#REF!</v>
      </c>
      <c r="H11" s="78"/>
      <c r="I11" s="5"/>
      <c r="J11" s="117" t="e">
        <f t="shared" si="6"/>
        <v>#REF!</v>
      </c>
      <c r="K11" s="125"/>
      <c r="L11" s="125" t="e">
        <f t="shared" si="7"/>
        <v>#REF!</v>
      </c>
      <c r="M11" s="125" t="e">
        <f t="shared" si="8"/>
        <v>#REF!</v>
      </c>
      <c r="N11" s="42"/>
    </row>
    <row r="12" spans="1:14" hidden="1" x14ac:dyDescent="0.2">
      <c r="A12" s="39" t="s">
        <v>63</v>
      </c>
      <c r="B12" s="2" t="e">
        <f t="shared" si="0"/>
        <v>#REF!</v>
      </c>
      <c r="C12" s="2" t="e">
        <f t="shared" si="1"/>
        <v>#REF!</v>
      </c>
      <c r="D12" s="40" t="e">
        <f t="shared" si="2"/>
        <v>#REF!</v>
      </c>
      <c r="E12" s="127" t="e">
        <f t="shared" si="3"/>
        <v>#REF!</v>
      </c>
      <c r="F12" s="119" t="e">
        <f t="shared" si="4"/>
        <v>#REF!</v>
      </c>
      <c r="G12" s="123" t="e">
        <f t="shared" si="5"/>
        <v>#REF!</v>
      </c>
      <c r="H12" s="78"/>
      <c r="I12" s="5"/>
      <c r="J12" s="117" t="e">
        <f t="shared" si="6"/>
        <v>#REF!</v>
      </c>
      <c r="K12" s="125"/>
      <c r="L12" s="125" t="e">
        <f t="shared" si="7"/>
        <v>#REF!</v>
      </c>
      <c r="M12" s="125" t="e">
        <f t="shared" si="8"/>
        <v>#REF!</v>
      </c>
      <c r="N12" s="42"/>
    </row>
    <row r="13" spans="1:14" hidden="1" x14ac:dyDescent="0.2">
      <c r="A13" s="39" t="s">
        <v>64</v>
      </c>
      <c r="B13" s="2" t="e">
        <f t="shared" si="0"/>
        <v>#REF!</v>
      </c>
      <c r="C13" s="2" t="e">
        <f t="shared" si="1"/>
        <v>#REF!</v>
      </c>
      <c r="D13" s="40" t="e">
        <f t="shared" si="2"/>
        <v>#REF!</v>
      </c>
      <c r="E13" s="127" t="e">
        <f t="shared" si="3"/>
        <v>#REF!</v>
      </c>
      <c r="F13" s="119" t="e">
        <f t="shared" si="4"/>
        <v>#REF!</v>
      </c>
      <c r="G13" s="123" t="e">
        <f t="shared" si="5"/>
        <v>#REF!</v>
      </c>
      <c r="H13" s="78"/>
      <c r="I13" s="5"/>
      <c r="J13" s="117" t="e">
        <f t="shared" si="6"/>
        <v>#REF!</v>
      </c>
      <c r="K13" s="125"/>
      <c r="L13" s="125" t="e">
        <f t="shared" si="7"/>
        <v>#REF!</v>
      </c>
      <c r="M13" s="125" t="e">
        <f t="shared" si="8"/>
        <v>#REF!</v>
      </c>
      <c r="N13" s="42"/>
    </row>
    <row r="14" spans="1:14" x14ac:dyDescent="0.2">
      <c r="A14" s="39" t="s">
        <v>65</v>
      </c>
      <c r="B14" s="2" t="e">
        <f t="shared" si="0"/>
        <v>#REF!</v>
      </c>
      <c r="C14" s="2" t="e">
        <f t="shared" si="1"/>
        <v>#REF!</v>
      </c>
      <c r="D14" s="40" t="e">
        <f t="shared" si="2"/>
        <v>#REF!</v>
      </c>
      <c r="E14" s="127" t="e">
        <f t="shared" si="3"/>
        <v>#REF!</v>
      </c>
      <c r="F14" s="119" t="e">
        <f t="shared" si="4"/>
        <v>#REF!</v>
      </c>
      <c r="G14" s="123" t="e">
        <f t="shared" si="5"/>
        <v>#REF!</v>
      </c>
      <c r="H14" s="78"/>
      <c r="I14" s="5"/>
      <c r="J14" s="117" t="e">
        <f t="shared" si="6"/>
        <v>#REF!</v>
      </c>
      <c r="K14" s="125"/>
      <c r="L14" s="125" t="e">
        <f t="shared" si="7"/>
        <v>#REF!</v>
      </c>
      <c r="M14" s="125" t="e">
        <f t="shared" si="8"/>
        <v>#REF!</v>
      </c>
      <c r="N14" s="42"/>
    </row>
    <row r="15" spans="1:14" hidden="1" x14ac:dyDescent="0.2">
      <c r="A15" s="39" t="s">
        <v>66</v>
      </c>
      <c r="B15" s="2" t="e">
        <f t="shared" si="0"/>
        <v>#REF!</v>
      </c>
      <c r="C15" s="2" t="e">
        <f t="shared" si="1"/>
        <v>#REF!</v>
      </c>
      <c r="D15" s="40" t="e">
        <f t="shared" si="2"/>
        <v>#REF!</v>
      </c>
      <c r="E15" s="127" t="e">
        <f t="shared" si="3"/>
        <v>#REF!</v>
      </c>
      <c r="F15" s="119" t="e">
        <f t="shared" si="4"/>
        <v>#REF!</v>
      </c>
      <c r="G15" s="123" t="e">
        <f t="shared" si="5"/>
        <v>#REF!</v>
      </c>
      <c r="H15" s="78"/>
      <c r="I15" s="5"/>
      <c r="J15" s="117" t="e">
        <f t="shared" si="6"/>
        <v>#REF!</v>
      </c>
      <c r="K15" s="125"/>
      <c r="L15" s="125" t="e">
        <f t="shared" si="7"/>
        <v>#REF!</v>
      </c>
      <c r="M15" s="125" t="e">
        <f t="shared" si="8"/>
        <v>#REF!</v>
      </c>
      <c r="N15" s="42"/>
    </row>
    <row r="16" spans="1:14" hidden="1" x14ac:dyDescent="0.2">
      <c r="A16" s="39" t="s">
        <v>67</v>
      </c>
      <c r="B16" s="2" t="e">
        <f t="shared" si="0"/>
        <v>#REF!</v>
      </c>
      <c r="C16" s="2" t="e">
        <f t="shared" si="1"/>
        <v>#REF!</v>
      </c>
      <c r="D16" s="40" t="e">
        <f t="shared" si="2"/>
        <v>#REF!</v>
      </c>
      <c r="E16" s="127" t="e">
        <f t="shared" si="3"/>
        <v>#REF!</v>
      </c>
      <c r="F16" s="119" t="e">
        <f t="shared" si="4"/>
        <v>#REF!</v>
      </c>
      <c r="G16" s="123" t="e">
        <f t="shared" si="5"/>
        <v>#REF!</v>
      </c>
      <c r="H16" s="78"/>
      <c r="I16" s="5"/>
      <c r="J16" s="117" t="e">
        <f t="shared" si="6"/>
        <v>#REF!</v>
      </c>
      <c r="K16" s="125"/>
      <c r="L16" s="125" t="e">
        <f t="shared" si="7"/>
        <v>#REF!</v>
      </c>
      <c r="M16" s="125" t="e">
        <f t="shared" si="8"/>
        <v>#REF!</v>
      </c>
      <c r="N16" s="42"/>
    </row>
    <row r="17" spans="1:14" hidden="1" x14ac:dyDescent="0.2">
      <c r="A17" s="39" t="s">
        <v>68</v>
      </c>
      <c r="B17" s="2" t="e">
        <f t="shared" si="0"/>
        <v>#REF!</v>
      </c>
      <c r="C17" s="2" t="e">
        <f t="shared" si="1"/>
        <v>#REF!</v>
      </c>
      <c r="D17" s="40" t="e">
        <f t="shared" si="2"/>
        <v>#REF!</v>
      </c>
      <c r="E17" s="127" t="e">
        <f t="shared" si="3"/>
        <v>#REF!</v>
      </c>
      <c r="F17" s="119" t="e">
        <f t="shared" si="4"/>
        <v>#REF!</v>
      </c>
      <c r="G17" s="123" t="e">
        <f t="shared" si="5"/>
        <v>#REF!</v>
      </c>
      <c r="I17" s="5"/>
      <c r="J17" s="117" t="e">
        <f t="shared" si="6"/>
        <v>#REF!</v>
      </c>
      <c r="K17" s="125"/>
      <c r="L17" s="125" t="e">
        <f t="shared" si="7"/>
        <v>#REF!</v>
      </c>
      <c r="M17" s="125" t="e">
        <f t="shared" si="8"/>
        <v>#REF!</v>
      </c>
      <c r="N17" s="42"/>
    </row>
    <row r="18" spans="1:14" hidden="1" x14ac:dyDescent="0.2">
      <c r="A18" s="39" t="s">
        <v>69</v>
      </c>
      <c r="B18" s="2" t="e">
        <f t="shared" si="0"/>
        <v>#REF!</v>
      </c>
      <c r="C18" s="2" t="e">
        <f t="shared" si="1"/>
        <v>#REF!</v>
      </c>
      <c r="D18" s="40" t="e">
        <f t="shared" si="2"/>
        <v>#REF!</v>
      </c>
      <c r="E18" s="127" t="e">
        <f t="shared" si="3"/>
        <v>#REF!</v>
      </c>
      <c r="F18" s="119" t="e">
        <f t="shared" si="4"/>
        <v>#REF!</v>
      </c>
      <c r="G18" s="123" t="e">
        <f t="shared" si="5"/>
        <v>#REF!</v>
      </c>
      <c r="H18" s="78"/>
      <c r="I18" s="5"/>
      <c r="J18" s="117" t="e">
        <f t="shared" si="6"/>
        <v>#REF!</v>
      </c>
      <c r="K18" s="125"/>
      <c r="L18" s="125" t="e">
        <f t="shared" si="7"/>
        <v>#REF!</v>
      </c>
      <c r="M18" s="125" t="e">
        <f t="shared" si="8"/>
        <v>#REF!</v>
      </c>
      <c r="N18" s="42"/>
    </row>
    <row r="19" spans="1:14" hidden="1" x14ac:dyDescent="0.2">
      <c r="A19" s="39" t="s">
        <v>70</v>
      </c>
      <c r="B19" s="2" t="e">
        <f t="shared" si="0"/>
        <v>#REF!</v>
      </c>
      <c r="C19" s="2" t="e">
        <f t="shared" si="1"/>
        <v>#REF!</v>
      </c>
      <c r="D19" s="40" t="e">
        <f t="shared" si="2"/>
        <v>#REF!</v>
      </c>
      <c r="E19" s="127" t="e">
        <f t="shared" si="3"/>
        <v>#REF!</v>
      </c>
      <c r="F19" s="119" t="e">
        <f t="shared" si="4"/>
        <v>#REF!</v>
      </c>
      <c r="G19" s="123" t="e">
        <f t="shared" si="5"/>
        <v>#REF!</v>
      </c>
      <c r="H19" s="78"/>
      <c r="I19" s="5"/>
      <c r="J19" s="117" t="e">
        <f t="shared" si="6"/>
        <v>#REF!</v>
      </c>
      <c r="K19" s="125"/>
      <c r="L19" s="125" t="e">
        <f t="shared" si="7"/>
        <v>#REF!</v>
      </c>
      <c r="M19" s="125" t="e">
        <f t="shared" si="8"/>
        <v>#REF!</v>
      </c>
      <c r="N19" s="42"/>
    </row>
    <row r="20" spans="1:14" x14ac:dyDescent="0.2">
      <c r="A20" s="39" t="s">
        <v>71</v>
      </c>
      <c r="B20" s="2" t="e">
        <f t="shared" si="0"/>
        <v>#REF!</v>
      </c>
      <c r="C20" s="2" t="e">
        <f t="shared" si="1"/>
        <v>#REF!</v>
      </c>
      <c r="D20" s="40" t="e">
        <f t="shared" si="2"/>
        <v>#REF!</v>
      </c>
      <c r="E20" s="127" t="e">
        <f t="shared" si="3"/>
        <v>#REF!</v>
      </c>
      <c r="F20" s="119" t="e">
        <f t="shared" si="4"/>
        <v>#REF!</v>
      </c>
      <c r="G20" s="123" t="e">
        <f t="shared" si="5"/>
        <v>#REF!</v>
      </c>
      <c r="H20" s="78"/>
      <c r="I20" s="5"/>
      <c r="J20" s="117" t="e">
        <f t="shared" si="6"/>
        <v>#REF!</v>
      </c>
      <c r="K20" s="125"/>
      <c r="L20" s="125" t="e">
        <f t="shared" si="7"/>
        <v>#REF!</v>
      </c>
      <c r="M20" s="125" t="e">
        <f t="shared" si="8"/>
        <v>#REF!</v>
      </c>
      <c r="N20" s="42"/>
    </row>
    <row r="21" spans="1:14" hidden="1" x14ac:dyDescent="0.2">
      <c r="A21" s="39" t="s">
        <v>72</v>
      </c>
      <c r="B21" s="2" t="e">
        <f t="shared" si="0"/>
        <v>#REF!</v>
      </c>
      <c r="C21" s="2" t="e">
        <f t="shared" si="1"/>
        <v>#REF!</v>
      </c>
      <c r="D21" s="40" t="e">
        <f t="shared" si="2"/>
        <v>#REF!</v>
      </c>
      <c r="E21" s="127" t="e">
        <f t="shared" si="3"/>
        <v>#REF!</v>
      </c>
      <c r="F21" s="119" t="e">
        <f t="shared" si="4"/>
        <v>#REF!</v>
      </c>
      <c r="G21" s="123" t="e">
        <f t="shared" si="5"/>
        <v>#REF!</v>
      </c>
      <c r="H21" s="78"/>
      <c r="I21" s="5"/>
      <c r="J21" s="117" t="e">
        <f t="shared" si="6"/>
        <v>#REF!</v>
      </c>
      <c r="K21" s="125"/>
      <c r="L21" s="125" t="e">
        <f t="shared" si="7"/>
        <v>#REF!</v>
      </c>
      <c r="M21" s="125" t="e">
        <f t="shared" si="8"/>
        <v>#REF!</v>
      </c>
      <c r="N21" s="42"/>
    </row>
    <row r="22" spans="1:14" hidden="1" x14ac:dyDescent="0.2">
      <c r="A22" s="39" t="s">
        <v>73</v>
      </c>
      <c r="B22" s="2" t="e">
        <f t="shared" si="0"/>
        <v>#REF!</v>
      </c>
      <c r="C22" s="2" t="e">
        <f t="shared" si="1"/>
        <v>#REF!</v>
      </c>
      <c r="D22" s="40" t="e">
        <f t="shared" si="2"/>
        <v>#REF!</v>
      </c>
      <c r="E22" s="127" t="e">
        <f t="shared" si="3"/>
        <v>#REF!</v>
      </c>
      <c r="F22" s="119" t="e">
        <f t="shared" si="4"/>
        <v>#REF!</v>
      </c>
      <c r="G22" s="123" t="e">
        <f t="shared" si="5"/>
        <v>#REF!</v>
      </c>
      <c r="H22" s="78"/>
      <c r="I22" s="5"/>
      <c r="J22" s="117" t="e">
        <f t="shared" si="6"/>
        <v>#REF!</v>
      </c>
      <c r="K22" s="125"/>
      <c r="L22" s="125" t="e">
        <f t="shared" si="7"/>
        <v>#REF!</v>
      </c>
      <c r="M22" s="125" t="e">
        <f t="shared" si="8"/>
        <v>#REF!</v>
      </c>
      <c r="N22" s="42"/>
    </row>
    <row r="23" spans="1:14" hidden="1" x14ac:dyDescent="0.2">
      <c r="A23" s="39" t="s">
        <v>74</v>
      </c>
      <c r="B23" s="2" t="e">
        <f t="shared" si="0"/>
        <v>#REF!</v>
      </c>
      <c r="C23" s="2" t="e">
        <f t="shared" si="1"/>
        <v>#REF!</v>
      </c>
      <c r="D23" s="40" t="e">
        <f t="shared" si="2"/>
        <v>#REF!</v>
      </c>
      <c r="E23" s="127" t="e">
        <f t="shared" si="3"/>
        <v>#REF!</v>
      </c>
      <c r="F23" s="119" t="e">
        <f t="shared" si="4"/>
        <v>#REF!</v>
      </c>
      <c r="G23" s="123" t="e">
        <f t="shared" si="5"/>
        <v>#REF!</v>
      </c>
      <c r="H23" s="78"/>
      <c r="I23" s="5"/>
      <c r="J23" s="117" t="e">
        <f t="shared" si="6"/>
        <v>#REF!</v>
      </c>
      <c r="K23" s="125"/>
      <c r="L23" s="125" t="e">
        <f t="shared" si="7"/>
        <v>#REF!</v>
      </c>
      <c r="M23" s="125" t="e">
        <f t="shared" si="8"/>
        <v>#REF!</v>
      </c>
      <c r="N23" s="42"/>
    </row>
    <row r="24" spans="1:14" hidden="1" x14ac:dyDescent="0.2">
      <c r="A24" s="39" t="s">
        <v>75</v>
      </c>
      <c r="B24" s="2" t="e">
        <f t="shared" si="0"/>
        <v>#REF!</v>
      </c>
      <c r="C24" s="2" t="e">
        <f t="shared" si="1"/>
        <v>#REF!</v>
      </c>
      <c r="D24" s="40" t="e">
        <f t="shared" si="2"/>
        <v>#REF!</v>
      </c>
      <c r="E24" s="127" t="e">
        <f t="shared" si="3"/>
        <v>#REF!</v>
      </c>
      <c r="F24" s="119" t="e">
        <f t="shared" si="4"/>
        <v>#REF!</v>
      </c>
      <c r="G24" s="123" t="e">
        <f t="shared" si="5"/>
        <v>#REF!</v>
      </c>
      <c r="H24" s="78"/>
      <c r="I24" s="5"/>
      <c r="J24" s="117" t="e">
        <f t="shared" si="6"/>
        <v>#REF!</v>
      </c>
      <c r="K24" s="125"/>
      <c r="L24" s="125" t="e">
        <f t="shared" si="7"/>
        <v>#REF!</v>
      </c>
      <c r="M24" s="125" t="e">
        <f t="shared" si="8"/>
        <v>#REF!</v>
      </c>
      <c r="N24" s="42"/>
    </row>
    <row r="25" spans="1:14" hidden="1" x14ac:dyDescent="0.2">
      <c r="A25" s="39" t="s">
        <v>76</v>
      </c>
      <c r="B25" s="2" t="e">
        <f t="shared" si="0"/>
        <v>#REF!</v>
      </c>
      <c r="C25" s="2" t="e">
        <f t="shared" si="1"/>
        <v>#REF!</v>
      </c>
      <c r="D25" s="40" t="e">
        <f t="shared" si="2"/>
        <v>#REF!</v>
      </c>
      <c r="E25" s="127" t="e">
        <f t="shared" si="3"/>
        <v>#REF!</v>
      </c>
      <c r="F25" s="119" t="e">
        <f t="shared" si="4"/>
        <v>#REF!</v>
      </c>
      <c r="G25" s="123" t="e">
        <f t="shared" si="5"/>
        <v>#REF!</v>
      </c>
      <c r="H25" s="78"/>
      <c r="I25" s="5"/>
      <c r="J25" s="117" t="e">
        <f t="shared" si="6"/>
        <v>#REF!</v>
      </c>
      <c r="K25" s="125"/>
      <c r="L25" s="125" t="e">
        <f t="shared" si="7"/>
        <v>#REF!</v>
      </c>
      <c r="M25" s="125" t="e">
        <f t="shared" si="8"/>
        <v>#REF!</v>
      </c>
      <c r="N25" s="42"/>
    </row>
    <row r="26" spans="1:14" hidden="1" x14ac:dyDescent="0.2">
      <c r="A26" s="39" t="s">
        <v>77</v>
      </c>
      <c r="B26" s="2" t="e">
        <f t="shared" si="0"/>
        <v>#REF!</v>
      </c>
      <c r="C26" s="2" t="e">
        <f t="shared" si="1"/>
        <v>#REF!</v>
      </c>
      <c r="D26" s="40" t="e">
        <f t="shared" si="2"/>
        <v>#REF!</v>
      </c>
      <c r="E26" s="127" t="e">
        <f t="shared" si="3"/>
        <v>#REF!</v>
      </c>
      <c r="F26" s="119" t="e">
        <f t="shared" si="4"/>
        <v>#REF!</v>
      </c>
      <c r="G26" s="123" t="e">
        <f t="shared" si="5"/>
        <v>#REF!</v>
      </c>
      <c r="H26" s="78"/>
      <c r="I26" s="5"/>
      <c r="J26" s="117" t="e">
        <f t="shared" si="6"/>
        <v>#REF!</v>
      </c>
      <c r="K26" s="125"/>
      <c r="L26" s="125" t="e">
        <f t="shared" si="7"/>
        <v>#REF!</v>
      </c>
      <c r="M26" s="125" t="e">
        <f t="shared" si="8"/>
        <v>#REF!</v>
      </c>
      <c r="N26" s="42"/>
    </row>
    <row r="27" spans="1:14" hidden="1" x14ac:dyDescent="0.2">
      <c r="A27" s="39" t="s">
        <v>78</v>
      </c>
      <c r="B27" s="2" t="e">
        <f t="shared" si="0"/>
        <v>#REF!</v>
      </c>
      <c r="C27" s="2" t="e">
        <f t="shared" si="1"/>
        <v>#REF!</v>
      </c>
      <c r="D27" s="40" t="e">
        <f t="shared" si="2"/>
        <v>#REF!</v>
      </c>
      <c r="E27" s="127" t="e">
        <f t="shared" si="3"/>
        <v>#REF!</v>
      </c>
      <c r="F27" s="119" t="e">
        <f t="shared" si="4"/>
        <v>#REF!</v>
      </c>
      <c r="G27" s="123" t="e">
        <f t="shared" si="5"/>
        <v>#REF!</v>
      </c>
      <c r="H27" s="78"/>
      <c r="I27" s="5"/>
      <c r="J27" s="117" t="e">
        <f t="shared" si="6"/>
        <v>#REF!</v>
      </c>
      <c r="K27" s="125"/>
      <c r="L27" s="125" t="e">
        <f t="shared" si="7"/>
        <v>#REF!</v>
      </c>
      <c r="M27" s="125" t="e">
        <f t="shared" si="8"/>
        <v>#REF!</v>
      </c>
      <c r="N27" s="42"/>
    </row>
    <row r="28" spans="1:14" hidden="1" x14ac:dyDescent="0.2">
      <c r="A28" s="39" t="s">
        <v>79</v>
      </c>
      <c r="B28" s="2" t="e">
        <f t="shared" si="0"/>
        <v>#REF!</v>
      </c>
      <c r="C28" s="2" t="e">
        <f t="shared" si="1"/>
        <v>#REF!</v>
      </c>
      <c r="D28" s="40" t="e">
        <f t="shared" si="2"/>
        <v>#REF!</v>
      </c>
      <c r="E28" s="127" t="e">
        <f t="shared" si="3"/>
        <v>#REF!</v>
      </c>
      <c r="F28" s="119" t="e">
        <f t="shared" si="4"/>
        <v>#REF!</v>
      </c>
      <c r="G28" s="123" t="e">
        <f t="shared" si="5"/>
        <v>#REF!</v>
      </c>
      <c r="H28" s="78"/>
      <c r="I28" s="5"/>
      <c r="J28" s="117" t="e">
        <f t="shared" si="6"/>
        <v>#REF!</v>
      </c>
      <c r="K28" s="125"/>
      <c r="L28" s="125" t="e">
        <f t="shared" si="7"/>
        <v>#REF!</v>
      </c>
      <c r="M28" s="125" t="e">
        <f t="shared" si="8"/>
        <v>#REF!</v>
      </c>
      <c r="N28" s="42"/>
    </row>
    <row r="29" spans="1:14" hidden="1" x14ac:dyDescent="0.2">
      <c r="A29" s="39" t="s">
        <v>80</v>
      </c>
      <c r="B29" s="2" t="e">
        <f t="shared" si="0"/>
        <v>#REF!</v>
      </c>
      <c r="C29" s="2" t="e">
        <f t="shared" si="1"/>
        <v>#REF!</v>
      </c>
      <c r="D29" s="40" t="e">
        <f t="shared" si="2"/>
        <v>#REF!</v>
      </c>
      <c r="E29" s="127" t="e">
        <f t="shared" si="3"/>
        <v>#REF!</v>
      </c>
      <c r="F29" s="119" t="e">
        <f t="shared" si="4"/>
        <v>#REF!</v>
      </c>
      <c r="G29" s="123" t="e">
        <f t="shared" si="5"/>
        <v>#REF!</v>
      </c>
      <c r="H29" s="78"/>
      <c r="I29" s="5"/>
      <c r="J29" s="117" t="e">
        <f t="shared" si="6"/>
        <v>#REF!</v>
      </c>
      <c r="K29" s="125"/>
      <c r="L29" s="125" t="e">
        <f t="shared" si="7"/>
        <v>#REF!</v>
      </c>
      <c r="M29" s="125" t="e">
        <f t="shared" si="8"/>
        <v>#REF!</v>
      </c>
      <c r="N29" s="42"/>
    </row>
    <row r="30" spans="1:14" hidden="1" x14ac:dyDescent="0.2">
      <c r="A30" s="39" t="s">
        <v>81</v>
      </c>
      <c r="B30" s="2" t="e">
        <f t="shared" si="0"/>
        <v>#REF!</v>
      </c>
      <c r="C30" s="2" t="e">
        <f t="shared" si="1"/>
        <v>#REF!</v>
      </c>
      <c r="D30" s="40" t="e">
        <f t="shared" si="2"/>
        <v>#REF!</v>
      </c>
      <c r="E30" s="127" t="e">
        <f t="shared" si="3"/>
        <v>#REF!</v>
      </c>
      <c r="F30" s="119" t="e">
        <f t="shared" si="4"/>
        <v>#REF!</v>
      </c>
      <c r="G30" s="123" t="e">
        <f t="shared" si="5"/>
        <v>#REF!</v>
      </c>
      <c r="I30" s="5"/>
      <c r="J30" s="117" t="e">
        <f t="shared" si="6"/>
        <v>#REF!</v>
      </c>
      <c r="K30" s="125"/>
      <c r="L30" s="125" t="e">
        <f t="shared" si="7"/>
        <v>#REF!</v>
      </c>
      <c r="M30" s="125" t="e">
        <f t="shared" si="8"/>
        <v>#REF!</v>
      </c>
      <c r="N30" s="42"/>
    </row>
    <row r="31" spans="1:14" hidden="1" x14ac:dyDescent="0.2">
      <c r="A31" s="39" t="s">
        <v>82</v>
      </c>
      <c r="B31" s="2" t="e">
        <f t="shared" si="0"/>
        <v>#REF!</v>
      </c>
      <c r="C31" s="2" t="e">
        <f t="shared" si="1"/>
        <v>#REF!</v>
      </c>
      <c r="D31" s="40" t="e">
        <f t="shared" si="2"/>
        <v>#REF!</v>
      </c>
      <c r="E31" s="127" t="e">
        <f t="shared" si="3"/>
        <v>#REF!</v>
      </c>
      <c r="F31" s="119" t="e">
        <f t="shared" si="4"/>
        <v>#REF!</v>
      </c>
      <c r="G31" s="123" t="e">
        <f t="shared" si="5"/>
        <v>#REF!</v>
      </c>
      <c r="I31" s="5"/>
      <c r="J31" s="117" t="e">
        <f t="shared" si="6"/>
        <v>#REF!</v>
      </c>
      <c r="K31" s="125"/>
      <c r="L31" s="125" t="e">
        <f t="shared" si="7"/>
        <v>#REF!</v>
      </c>
      <c r="M31" s="125" t="e">
        <f t="shared" si="8"/>
        <v>#REF!</v>
      </c>
      <c r="N31" s="42"/>
    </row>
    <row r="32" spans="1:14" hidden="1" x14ac:dyDescent="0.2">
      <c r="A32" s="39" t="s">
        <v>83</v>
      </c>
      <c r="B32" s="2" t="e">
        <f t="shared" si="0"/>
        <v>#REF!</v>
      </c>
      <c r="C32" s="2" t="e">
        <f t="shared" si="1"/>
        <v>#REF!</v>
      </c>
      <c r="D32" s="40" t="e">
        <f t="shared" si="2"/>
        <v>#REF!</v>
      </c>
      <c r="E32" s="127" t="e">
        <f t="shared" si="3"/>
        <v>#REF!</v>
      </c>
      <c r="F32" s="119" t="e">
        <f t="shared" si="4"/>
        <v>#REF!</v>
      </c>
      <c r="G32" s="123" t="e">
        <f t="shared" si="5"/>
        <v>#REF!</v>
      </c>
      <c r="I32" s="5"/>
      <c r="J32" s="117" t="e">
        <f t="shared" si="6"/>
        <v>#REF!</v>
      </c>
      <c r="K32" s="125"/>
      <c r="L32" s="125" t="e">
        <f t="shared" si="7"/>
        <v>#REF!</v>
      </c>
      <c r="M32" s="125" t="e">
        <f t="shared" si="8"/>
        <v>#REF!</v>
      </c>
      <c r="N32" s="42"/>
    </row>
    <row r="33" spans="1:14" hidden="1" x14ac:dyDescent="0.2">
      <c r="A33" s="39" t="s">
        <v>84</v>
      </c>
      <c r="B33" s="2" t="e">
        <f t="shared" si="0"/>
        <v>#REF!</v>
      </c>
      <c r="C33" s="2" t="e">
        <f t="shared" si="1"/>
        <v>#REF!</v>
      </c>
      <c r="D33" s="40" t="e">
        <f t="shared" si="2"/>
        <v>#REF!</v>
      </c>
      <c r="E33" s="127" t="e">
        <f t="shared" si="3"/>
        <v>#REF!</v>
      </c>
      <c r="F33" s="119" t="e">
        <f t="shared" si="4"/>
        <v>#REF!</v>
      </c>
      <c r="G33" s="123" t="e">
        <f t="shared" si="5"/>
        <v>#REF!</v>
      </c>
      <c r="I33" s="5"/>
      <c r="J33" s="117" t="e">
        <f t="shared" si="6"/>
        <v>#REF!</v>
      </c>
      <c r="K33" s="125"/>
      <c r="L33" s="125" t="e">
        <f t="shared" si="7"/>
        <v>#REF!</v>
      </c>
      <c r="M33" s="125" t="e">
        <f t="shared" si="8"/>
        <v>#REF!</v>
      </c>
      <c r="N33" s="42"/>
    </row>
    <row r="34" spans="1:14" hidden="1" x14ac:dyDescent="0.2">
      <c r="A34" s="39" t="s">
        <v>85</v>
      </c>
      <c r="B34" s="2" t="e">
        <f t="shared" si="0"/>
        <v>#REF!</v>
      </c>
      <c r="C34" s="2" t="e">
        <f t="shared" si="1"/>
        <v>#REF!</v>
      </c>
      <c r="D34" s="40" t="e">
        <f t="shared" si="2"/>
        <v>#REF!</v>
      </c>
      <c r="E34" s="127" t="e">
        <f t="shared" si="3"/>
        <v>#REF!</v>
      </c>
      <c r="F34" s="119" t="e">
        <f t="shared" si="4"/>
        <v>#REF!</v>
      </c>
      <c r="G34" s="123" t="e">
        <f t="shared" si="5"/>
        <v>#REF!</v>
      </c>
      <c r="I34" s="5"/>
      <c r="J34" s="117"/>
      <c r="K34" s="125"/>
      <c r="L34" s="125" t="e">
        <f t="shared" si="7"/>
        <v>#REF!</v>
      </c>
      <c r="M34" s="125" t="e">
        <f t="shared" si="8"/>
        <v>#REF!</v>
      </c>
      <c r="N34" s="42"/>
    </row>
    <row r="35" spans="1:14" hidden="1" x14ac:dyDescent="0.2">
      <c r="A35" s="39" t="s">
        <v>86</v>
      </c>
      <c r="B35" s="2" t="e">
        <f t="shared" si="0"/>
        <v>#REF!</v>
      </c>
      <c r="C35" s="2" t="e">
        <f t="shared" si="1"/>
        <v>#REF!</v>
      </c>
      <c r="D35" s="40" t="e">
        <f t="shared" si="2"/>
        <v>#REF!</v>
      </c>
      <c r="E35" s="127" t="e">
        <f t="shared" si="3"/>
        <v>#REF!</v>
      </c>
      <c r="F35" s="119" t="e">
        <f t="shared" si="4"/>
        <v>#REF!</v>
      </c>
      <c r="G35" s="123" t="e">
        <f t="shared" si="5"/>
        <v>#REF!</v>
      </c>
      <c r="I35" s="5"/>
      <c r="J35" s="117" t="e">
        <f t="shared" ref="J35:J66" si="9">IF(D35="YES",INDEX(Crop_data,MATCH(A35,Crop_data_codes,0),11)*Heating_value_diesel*EF_diesel_CH4/INDEX(Crop_data,MATCH(A35,Crop_data_codes,0),6),"")</f>
        <v>#REF!</v>
      </c>
      <c r="K35" s="125"/>
      <c r="L35" s="125" t="e">
        <f t="shared" si="7"/>
        <v>#REF!</v>
      </c>
      <c r="M35" s="125" t="e">
        <f t="shared" si="8"/>
        <v>#REF!</v>
      </c>
      <c r="N35" s="42"/>
    </row>
    <row r="36" spans="1:14" hidden="1" x14ac:dyDescent="0.2">
      <c r="A36" s="39" t="s">
        <v>87</v>
      </c>
      <c r="B36" s="2" t="e">
        <f t="shared" si="0"/>
        <v>#REF!</v>
      </c>
      <c r="C36" s="2" t="e">
        <f t="shared" si="1"/>
        <v>#REF!</v>
      </c>
      <c r="D36" s="40" t="e">
        <f t="shared" si="2"/>
        <v>#REF!</v>
      </c>
      <c r="E36" s="127" t="e">
        <f t="shared" si="3"/>
        <v>#REF!</v>
      </c>
      <c r="F36" s="119" t="e">
        <f t="shared" si="4"/>
        <v>#REF!</v>
      </c>
      <c r="G36" s="123" t="e">
        <f t="shared" si="5"/>
        <v>#REF!</v>
      </c>
      <c r="I36" s="5"/>
      <c r="J36" s="117" t="e">
        <f t="shared" si="9"/>
        <v>#REF!</v>
      </c>
      <c r="K36" s="125"/>
      <c r="L36" s="125" t="e">
        <f t="shared" si="7"/>
        <v>#REF!</v>
      </c>
      <c r="M36" s="125" t="e">
        <f t="shared" si="8"/>
        <v>#REF!</v>
      </c>
      <c r="N36" s="42"/>
    </row>
    <row r="37" spans="1:14" hidden="1" x14ac:dyDescent="0.2">
      <c r="A37" s="39" t="s">
        <v>88</v>
      </c>
      <c r="B37" s="2" t="e">
        <f t="shared" si="0"/>
        <v>#REF!</v>
      </c>
      <c r="C37" s="2" t="e">
        <f t="shared" si="1"/>
        <v>#REF!</v>
      </c>
      <c r="D37" s="40" t="e">
        <f t="shared" si="2"/>
        <v>#REF!</v>
      </c>
      <c r="E37" s="127" t="e">
        <f t="shared" si="3"/>
        <v>#REF!</v>
      </c>
      <c r="F37" s="119" t="e">
        <f t="shared" si="4"/>
        <v>#REF!</v>
      </c>
      <c r="G37" s="123" t="e">
        <f t="shared" si="5"/>
        <v>#REF!</v>
      </c>
      <c r="I37" s="5"/>
      <c r="J37" s="117" t="e">
        <f t="shared" si="9"/>
        <v>#REF!</v>
      </c>
      <c r="K37" s="125"/>
      <c r="L37" s="125" t="e">
        <f t="shared" si="7"/>
        <v>#REF!</v>
      </c>
      <c r="M37" s="125" t="e">
        <f t="shared" si="8"/>
        <v>#REF!</v>
      </c>
      <c r="N37" s="42"/>
    </row>
    <row r="38" spans="1:14" hidden="1" x14ac:dyDescent="0.2">
      <c r="A38" s="39" t="s">
        <v>89</v>
      </c>
      <c r="B38" s="2" t="e">
        <f t="shared" ref="B38:B69" si="10">INDEX(Crop_data,MATCH(A38,Crop_data_codes,0),2)</f>
        <v>#REF!</v>
      </c>
      <c r="C38" s="2" t="e">
        <f t="shared" ref="C38:C69" si="11">INDEX(Crop_data,MATCH(A38,Crop_data_codes,0),3)</f>
        <v>#REF!</v>
      </c>
      <c r="D38" s="40" t="e">
        <f t="shared" ref="D38:D69" si="12">INDEX(Crop_data,MATCH(A38,Crop_data_codes,0),4)</f>
        <v>#REF!</v>
      </c>
      <c r="E38" s="127" t="e">
        <f t="shared" ref="E38:E69" si="13">IF(D38="Yes", SUM(F38:N38),"")</f>
        <v>#REF!</v>
      </c>
      <c r="F38" s="119" t="e">
        <f t="shared" ref="F38:F69" si="14">IF(D38="YES",INDEX(Crop_data,MATCH(A38,Crop_data_codes,0),7)*(Frac_BAT*EF_min_fert_BAT_CH4+Frac_AN*EF_min_fert_AN_CH4)/INDEX(Crop_data,MATCH(A38,Crop_data_codes,0),6),"")</f>
        <v>#REF!</v>
      </c>
      <c r="G38" s="123" t="e">
        <f t="shared" ref="G38:G69" si="15">IF(D38="YES",EF_capital_goods_CH4,"")</f>
        <v>#REF!</v>
      </c>
      <c r="H38" s="85"/>
      <c r="I38" s="5"/>
      <c r="J38" s="117" t="e">
        <f t="shared" si="9"/>
        <v>#REF!</v>
      </c>
      <c r="K38" s="125" t="e">
        <f>Energy!B22/INDEX(Crop_data,MATCH(A38,Crop_data_codes,0),6)*INDEX(Crop_data,MATCH(A38,Crop_data_codes,0),5)/100</f>
        <v>#REF!</v>
      </c>
      <c r="L38" s="125" t="e">
        <f t="shared" si="7"/>
        <v>#REF!</v>
      </c>
      <c r="M38" s="125" t="e">
        <f t="shared" si="8"/>
        <v>#REF!</v>
      </c>
      <c r="N38" s="42"/>
    </row>
    <row r="39" spans="1:14" hidden="1" x14ac:dyDescent="0.2">
      <c r="A39" s="39" t="s">
        <v>90</v>
      </c>
      <c r="B39" s="2" t="e">
        <f t="shared" si="10"/>
        <v>#REF!</v>
      </c>
      <c r="C39" s="2" t="e">
        <f t="shared" si="11"/>
        <v>#REF!</v>
      </c>
      <c r="D39" s="40" t="e">
        <f t="shared" si="12"/>
        <v>#REF!</v>
      </c>
      <c r="E39" s="127" t="e">
        <f t="shared" si="13"/>
        <v>#REF!</v>
      </c>
      <c r="F39" s="119" t="e">
        <f t="shared" si="14"/>
        <v>#REF!</v>
      </c>
      <c r="G39" s="123" t="e">
        <f t="shared" si="15"/>
        <v>#REF!</v>
      </c>
      <c r="H39" s="85"/>
      <c r="I39" s="5"/>
      <c r="J39" s="117" t="e">
        <f t="shared" si="9"/>
        <v>#REF!</v>
      </c>
      <c r="K39" s="125" t="e">
        <f>Energy!B22/INDEX(Crop_data,MATCH(A38,Crop_data_codes,0),6)</f>
        <v>#REF!</v>
      </c>
      <c r="L39" s="125"/>
      <c r="M39" s="125" t="e">
        <f t="shared" si="8"/>
        <v>#REF!</v>
      </c>
      <c r="N39" s="42"/>
    </row>
    <row r="40" spans="1:14" hidden="1" x14ac:dyDescent="0.2">
      <c r="A40" s="39" t="s">
        <v>91</v>
      </c>
      <c r="B40" s="2" t="e">
        <f t="shared" si="10"/>
        <v>#REF!</v>
      </c>
      <c r="C40" s="2" t="e">
        <f t="shared" si="11"/>
        <v>#REF!</v>
      </c>
      <c r="D40" s="40" t="e">
        <f t="shared" si="12"/>
        <v>#REF!</v>
      </c>
      <c r="E40" s="127" t="e">
        <f t="shared" si="13"/>
        <v>#REF!</v>
      </c>
      <c r="F40" s="119" t="e">
        <f t="shared" si="14"/>
        <v>#REF!</v>
      </c>
      <c r="G40" s="123" t="e">
        <f t="shared" si="15"/>
        <v>#REF!</v>
      </c>
      <c r="H40" s="85"/>
      <c r="I40" s="5"/>
      <c r="J40" s="117" t="e">
        <f t="shared" si="9"/>
        <v>#REF!</v>
      </c>
      <c r="K40" s="125"/>
      <c r="L40" s="125" t="e">
        <f t="shared" ref="L40:L71" si="16">IF(D40="YES",INDEX(Crop_data,MATCH(A40,Crop_data_codes,0),12)*EF_irrigation_CH4/INDEX(Crop_data,MATCH(A40,Crop_data_codes,0),6),"")</f>
        <v>#REF!</v>
      </c>
      <c r="M40" s="125" t="e">
        <f t="shared" ref="M40:M71" si="17">IF(D40="Yes",INDEX(Post_harvest_energy_data,MATCH(C40,Post_harvest_energy_categories,0),2)*EF_heating_oil_CH4+INDEX(Post_harvest_energy_data,MATCH(C40,Post_harvest_energy_categories,0),3)*EF_electricity_CH4+INDEX(Post_harvest_energy_data,MATCH(C40,Post_harvest_energy_categories,0),4)*EF_chips_CH4,"")</f>
        <v>#REF!</v>
      </c>
      <c r="N40" s="42"/>
    </row>
    <row r="41" spans="1:14" hidden="1" x14ac:dyDescent="0.2">
      <c r="A41" s="39" t="s">
        <v>92</v>
      </c>
      <c r="B41" s="2" t="e">
        <f t="shared" si="10"/>
        <v>#REF!</v>
      </c>
      <c r="C41" s="2" t="e">
        <f t="shared" si="11"/>
        <v>#REF!</v>
      </c>
      <c r="D41" s="40" t="e">
        <f t="shared" si="12"/>
        <v>#REF!</v>
      </c>
      <c r="E41" s="127" t="e">
        <f t="shared" si="13"/>
        <v>#REF!</v>
      </c>
      <c r="F41" s="119" t="e">
        <f t="shared" si="14"/>
        <v>#REF!</v>
      </c>
      <c r="G41" s="123" t="e">
        <f t="shared" si="15"/>
        <v>#REF!</v>
      </c>
      <c r="H41" s="78"/>
      <c r="I41" s="5"/>
      <c r="J41" s="117" t="e">
        <f t="shared" si="9"/>
        <v>#REF!</v>
      </c>
      <c r="K41" s="125"/>
      <c r="L41" s="125" t="e">
        <f t="shared" si="16"/>
        <v>#REF!</v>
      </c>
      <c r="M41" s="125" t="e">
        <f t="shared" si="17"/>
        <v>#REF!</v>
      </c>
      <c r="N41" s="42"/>
    </row>
    <row r="42" spans="1:14" hidden="1" x14ac:dyDescent="0.2">
      <c r="A42" s="39" t="s">
        <v>93</v>
      </c>
      <c r="B42" s="2" t="e">
        <f t="shared" si="10"/>
        <v>#REF!</v>
      </c>
      <c r="C42" s="2" t="e">
        <f t="shared" si="11"/>
        <v>#REF!</v>
      </c>
      <c r="D42" s="40" t="e">
        <f t="shared" si="12"/>
        <v>#REF!</v>
      </c>
      <c r="E42" s="127" t="e">
        <f t="shared" si="13"/>
        <v>#REF!</v>
      </c>
      <c r="F42" s="119" t="e">
        <f t="shared" si="14"/>
        <v>#REF!</v>
      </c>
      <c r="G42" s="123" t="e">
        <f t="shared" si="15"/>
        <v>#REF!</v>
      </c>
      <c r="I42" s="5"/>
      <c r="J42" s="117" t="e">
        <f t="shared" si="9"/>
        <v>#REF!</v>
      </c>
      <c r="K42" s="125"/>
      <c r="L42" s="125" t="e">
        <f t="shared" si="16"/>
        <v>#REF!</v>
      </c>
      <c r="M42" s="125" t="e">
        <f t="shared" si="17"/>
        <v>#REF!</v>
      </c>
      <c r="N42" s="42"/>
    </row>
    <row r="43" spans="1:14" hidden="1" x14ac:dyDescent="0.2">
      <c r="A43" s="39" t="s">
        <v>94</v>
      </c>
      <c r="B43" s="2" t="e">
        <f t="shared" si="10"/>
        <v>#REF!</v>
      </c>
      <c r="C43" s="2" t="e">
        <f t="shared" si="11"/>
        <v>#REF!</v>
      </c>
      <c r="D43" s="40" t="e">
        <f t="shared" si="12"/>
        <v>#REF!</v>
      </c>
      <c r="E43" s="127" t="e">
        <f t="shared" si="13"/>
        <v>#REF!</v>
      </c>
      <c r="F43" s="119" t="e">
        <f t="shared" si="14"/>
        <v>#REF!</v>
      </c>
      <c r="G43" s="123" t="e">
        <f t="shared" si="15"/>
        <v>#REF!</v>
      </c>
      <c r="I43" s="5"/>
      <c r="J43" s="117" t="e">
        <f t="shared" si="9"/>
        <v>#REF!</v>
      </c>
      <c r="K43" s="125"/>
      <c r="L43" s="125" t="e">
        <f t="shared" si="16"/>
        <v>#REF!</v>
      </c>
      <c r="M43" s="125" t="e">
        <f t="shared" si="17"/>
        <v>#REF!</v>
      </c>
      <c r="N43" s="42"/>
    </row>
    <row r="44" spans="1:14" hidden="1" x14ac:dyDescent="0.2">
      <c r="A44" s="39" t="s">
        <v>95</v>
      </c>
      <c r="B44" s="2" t="e">
        <f t="shared" si="10"/>
        <v>#REF!</v>
      </c>
      <c r="C44" s="2" t="e">
        <f t="shared" si="11"/>
        <v>#REF!</v>
      </c>
      <c r="D44" s="40" t="e">
        <f t="shared" si="12"/>
        <v>#REF!</v>
      </c>
      <c r="E44" s="127" t="e">
        <f t="shared" si="13"/>
        <v>#REF!</v>
      </c>
      <c r="F44" s="119" t="e">
        <f t="shared" si="14"/>
        <v>#REF!</v>
      </c>
      <c r="G44" s="123" t="e">
        <f t="shared" si="15"/>
        <v>#REF!</v>
      </c>
      <c r="I44" s="5"/>
      <c r="J44" s="117" t="e">
        <f t="shared" si="9"/>
        <v>#REF!</v>
      </c>
      <c r="K44" s="125"/>
      <c r="L44" s="125" t="e">
        <f t="shared" si="16"/>
        <v>#REF!</v>
      </c>
      <c r="M44" s="125" t="e">
        <f t="shared" si="17"/>
        <v>#REF!</v>
      </c>
      <c r="N44" s="42"/>
    </row>
    <row r="45" spans="1:14" hidden="1" x14ac:dyDescent="0.2">
      <c r="A45" s="39" t="s">
        <v>96</v>
      </c>
      <c r="B45" s="2" t="e">
        <f t="shared" si="10"/>
        <v>#REF!</v>
      </c>
      <c r="C45" s="2" t="e">
        <f t="shared" si="11"/>
        <v>#REF!</v>
      </c>
      <c r="D45" s="40" t="e">
        <f t="shared" si="12"/>
        <v>#REF!</v>
      </c>
      <c r="E45" s="127" t="e">
        <f t="shared" si="13"/>
        <v>#REF!</v>
      </c>
      <c r="F45" s="119" t="e">
        <f t="shared" si="14"/>
        <v>#REF!</v>
      </c>
      <c r="G45" s="123" t="e">
        <f t="shared" si="15"/>
        <v>#REF!</v>
      </c>
      <c r="I45" s="5"/>
      <c r="J45" s="117" t="e">
        <f t="shared" si="9"/>
        <v>#REF!</v>
      </c>
      <c r="K45" s="125"/>
      <c r="L45" s="125" t="e">
        <f t="shared" si="16"/>
        <v>#REF!</v>
      </c>
      <c r="M45" s="125" t="e">
        <f t="shared" si="17"/>
        <v>#REF!</v>
      </c>
      <c r="N45" s="42"/>
    </row>
    <row r="46" spans="1:14" hidden="1" x14ac:dyDescent="0.2">
      <c r="A46" s="39" t="s">
        <v>97</v>
      </c>
      <c r="B46" s="2" t="e">
        <f t="shared" si="10"/>
        <v>#REF!</v>
      </c>
      <c r="C46" s="2" t="e">
        <f t="shared" si="11"/>
        <v>#REF!</v>
      </c>
      <c r="D46" s="40" t="e">
        <f t="shared" si="12"/>
        <v>#REF!</v>
      </c>
      <c r="E46" s="127" t="e">
        <f t="shared" si="13"/>
        <v>#REF!</v>
      </c>
      <c r="F46" s="119" t="e">
        <f t="shared" si="14"/>
        <v>#REF!</v>
      </c>
      <c r="G46" s="123" t="e">
        <f t="shared" si="15"/>
        <v>#REF!</v>
      </c>
      <c r="H46" s="78"/>
      <c r="I46" s="5"/>
      <c r="J46" s="117" t="e">
        <f t="shared" si="9"/>
        <v>#REF!</v>
      </c>
      <c r="K46" s="125"/>
      <c r="L46" s="125" t="e">
        <f t="shared" si="16"/>
        <v>#REF!</v>
      </c>
      <c r="M46" s="125" t="e">
        <f t="shared" si="17"/>
        <v>#REF!</v>
      </c>
      <c r="N46" s="42"/>
    </row>
    <row r="47" spans="1:14" hidden="1" x14ac:dyDescent="0.2">
      <c r="A47" s="39" t="s">
        <v>98</v>
      </c>
      <c r="B47" s="2" t="e">
        <f t="shared" si="10"/>
        <v>#REF!</v>
      </c>
      <c r="C47" s="2" t="e">
        <f t="shared" si="11"/>
        <v>#REF!</v>
      </c>
      <c r="D47" s="40" t="e">
        <f t="shared" si="12"/>
        <v>#REF!</v>
      </c>
      <c r="E47" s="127" t="e">
        <f t="shared" si="13"/>
        <v>#REF!</v>
      </c>
      <c r="F47" s="119" t="e">
        <f t="shared" si="14"/>
        <v>#REF!</v>
      </c>
      <c r="G47" s="123" t="e">
        <f t="shared" si="15"/>
        <v>#REF!</v>
      </c>
      <c r="I47" s="5"/>
      <c r="J47" s="117" t="e">
        <f t="shared" si="9"/>
        <v>#REF!</v>
      </c>
      <c r="K47" s="125"/>
      <c r="L47" s="125" t="e">
        <f t="shared" si="16"/>
        <v>#REF!</v>
      </c>
      <c r="M47" s="125" t="e">
        <f t="shared" si="17"/>
        <v>#REF!</v>
      </c>
      <c r="N47" s="42"/>
    </row>
    <row r="48" spans="1:14" hidden="1" x14ac:dyDescent="0.2">
      <c r="A48" s="39" t="s">
        <v>99</v>
      </c>
      <c r="B48" s="2" t="e">
        <f t="shared" si="10"/>
        <v>#REF!</v>
      </c>
      <c r="C48" s="2" t="e">
        <f t="shared" si="11"/>
        <v>#REF!</v>
      </c>
      <c r="D48" s="40" t="e">
        <f t="shared" si="12"/>
        <v>#REF!</v>
      </c>
      <c r="E48" s="127" t="e">
        <f t="shared" si="13"/>
        <v>#REF!</v>
      </c>
      <c r="F48" s="119" t="e">
        <f t="shared" si="14"/>
        <v>#REF!</v>
      </c>
      <c r="G48" s="123" t="e">
        <f t="shared" si="15"/>
        <v>#REF!</v>
      </c>
      <c r="H48" s="78"/>
      <c r="I48" s="5"/>
      <c r="J48" s="117" t="e">
        <f t="shared" si="9"/>
        <v>#REF!</v>
      </c>
      <c r="K48" s="125"/>
      <c r="L48" s="125" t="e">
        <f t="shared" si="16"/>
        <v>#REF!</v>
      </c>
      <c r="M48" s="125" t="e">
        <f t="shared" si="17"/>
        <v>#REF!</v>
      </c>
      <c r="N48" s="42"/>
    </row>
    <row r="49" spans="1:14" hidden="1" x14ac:dyDescent="0.2">
      <c r="A49" s="39" t="s">
        <v>100</v>
      </c>
      <c r="B49" s="2" t="e">
        <f t="shared" si="10"/>
        <v>#REF!</v>
      </c>
      <c r="C49" s="2" t="e">
        <f t="shared" si="11"/>
        <v>#REF!</v>
      </c>
      <c r="D49" s="40" t="e">
        <f t="shared" si="12"/>
        <v>#REF!</v>
      </c>
      <c r="E49" s="127" t="e">
        <f t="shared" si="13"/>
        <v>#REF!</v>
      </c>
      <c r="F49" s="119" t="e">
        <f t="shared" si="14"/>
        <v>#REF!</v>
      </c>
      <c r="G49" s="123" t="e">
        <f t="shared" si="15"/>
        <v>#REF!</v>
      </c>
      <c r="I49" s="5"/>
      <c r="J49" s="117" t="e">
        <f t="shared" si="9"/>
        <v>#REF!</v>
      </c>
      <c r="K49" s="125"/>
      <c r="L49" s="125" t="e">
        <f t="shared" si="16"/>
        <v>#REF!</v>
      </c>
      <c r="M49" s="125" t="e">
        <f t="shared" si="17"/>
        <v>#REF!</v>
      </c>
      <c r="N49" s="42"/>
    </row>
    <row r="50" spans="1:14" hidden="1" x14ac:dyDescent="0.2">
      <c r="A50" s="39" t="s">
        <v>101</v>
      </c>
      <c r="B50" s="2" t="e">
        <f t="shared" si="10"/>
        <v>#REF!</v>
      </c>
      <c r="C50" s="2" t="e">
        <f t="shared" si="11"/>
        <v>#REF!</v>
      </c>
      <c r="D50" s="40" t="e">
        <f t="shared" si="12"/>
        <v>#REF!</v>
      </c>
      <c r="E50" s="127" t="e">
        <f t="shared" si="13"/>
        <v>#REF!</v>
      </c>
      <c r="F50" s="119" t="e">
        <f t="shared" si="14"/>
        <v>#REF!</v>
      </c>
      <c r="G50" s="123" t="e">
        <f t="shared" si="15"/>
        <v>#REF!</v>
      </c>
      <c r="I50" s="5"/>
      <c r="J50" s="117" t="e">
        <f t="shared" si="9"/>
        <v>#REF!</v>
      </c>
      <c r="K50" s="125"/>
      <c r="L50" s="125" t="e">
        <f t="shared" si="16"/>
        <v>#REF!</v>
      </c>
      <c r="M50" s="125" t="e">
        <f t="shared" si="17"/>
        <v>#REF!</v>
      </c>
      <c r="N50" s="42"/>
    </row>
    <row r="51" spans="1:14" hidden="1" x14ac:dyDescent="0.2">
      <c r="A51" s="39" t="s">
        <v>102</v>
      </c>
      <c r="B51" s="2" t="e">
        <f t="shared" si="10"/>
        <v>#REF!</v>
      </c>
      <c r="C51" s="2" t="e">
        <f t="shared" si="11"/>
        <v>#REF!</v>
      </c>
      <c r="D51" s="40" t="e">
        <f t="shared" si="12"/>
        <v>#REF!</v>
      </c>
      <c r="E51" s="127" t="e">
        <f t="shared" si="13"/>
        <v>#REF!</v>
      </c>
      <c r="F51" s="119" t="e">
        <f t="shared" si="14"/>
        <v>#REF!</v>
      </c>
      <c r="G51" s="123" t="e">
        <f t="shared" si="15"/>
        <v>#REF!</v>
      </c>
      <c r="I51" s="5"/>
      <c r="J51" s="117" t="e">
        <f t="shared" si="9"/>
        <v>#REF!</v>
      </c>
      <c r="K51" s="125"/>
      <c r="L51" s="125" t="e">
        <f t="shared" si="16"/>
        <v>#REF!</v>
      </c>
      <c r="M51" s="125" t="e">
        <f t="shared" si="17"/>
        <v>#REF!</v>
      </c>
      <c r="N51" s="42"/>
    </row>
    <row r="52" spans="1:14" hidden="1" x14ac:dyDescent="0.2">
      <c r="A52" s="39" t="s">
        <v>103</v>
      </c>
      <c r="B52" s="2" t="e">
        <f t="shared" si="10"/>
        <v>#REF!</v>
      </c>
      <c r="C52" s="2" t="e">
        <f t="shared" si="11"/>
        <v>#REF!</v>
      </c>
      <c r="D52" s="40" t="e">
        <f t="shared" si="12"/>
        <v>#REF!</v>
      </c>
      <c r="E52" s="127" t="e">
        <f t="shared" si="13"/>
        <v>#REF!</v>
      </c>
      <c r="F52" s="119" t="e">
        <f t="shared" si="14"/>
        <v>#REF!</v>
      </c>
      <c r="G52" s="123" t="e">
        <f t="shared" si="15"/>
        <v>#REF!</v>
      </c>
      <c r="H52" s="78"/>
      <c r="I52" s="5"/>
      <c r="J52" s="117" t="e">
        <f t="shared" si="9"/>
        <v>#REF!</v>
      </c>
      <c r="K52" s="125"/>
      <c r="L52" s="125" t="e">
        <f t="shared" si="16"/>
        <v>#REF!</v>
      </c>
      <c r="M52" s="125" t="e">
        <f t="shared" si="17"/>
        <v>#REF!</v>
      </c>
      <c r="N52" s="42"/>
    </row>
    <row r="53" spans="1:14" hidden="1" x14ac:dyDescent="0.2">
      <c r="A53" s="39" t="s">
        <v>104</v>
      </c>
      <c r="B53" s="2" t="e">
        <f t="shared" si="10"/>
        <v>#REF!</v>
      </c>
      <c r="C53" s="2" t="e">
        <f t="shared" si="11"/>
        <v>#REF!</v>
      </c>
      <c r="D53" s="40" t="e">
        <f t="shared" si="12"/>
        <v>#REF!</v>
      </c>
      <c r="E53" s="127" t="e">
        <f t="shared" si="13"/>
        <v>#REF!</v>
      </c>
      <c r="F53" s="119" t="e">
        <f t="shared" si="14"/>
        <v>#REF!</v>
      </c>
      <c r="G53" s="123" t="e">
        <f t="shared" si="15"/>
        <v>#REF!</v>
      </c>
      <c r="I53" s="5"/>
      <c r="J53" s="117" t="e">
        <f t="shared" si="9"/>
        <v>#REF!</v>
      </c>
      <c r="K53" s="125"/>
      <c r="L53" s="125" t="e">
        <f t="shared" si="16"/>
        <v>#REF!</v>
      </c>
      <c r="M53" s="125" t="e">
        <f t="shared" si="17"/>
        <v>#REF!</v>
      </c>
      <c r="N53" s="42"/>
    </row>
    <row r="54" spans="1:14" hidden="1" x14ac:dyDescent="0.2">
      <c r="A54" s="39" t="s">
        <v>105</v>
      </c>
      <c r="B54" s="2" t="e">
        <f t="shared" si="10"/>
        <v>#REF!</v>
      </c>
      <c r="C54" s="2" t="e">
        <f t="shared" si="11"/>
        <v>#REF!</v>
      </c>
      <c r="D54" s="40" t="e">
        <f t="shared" si="12"/>
        <v>#REF!</v>
      </c>
      <c r="E54" s="127" t="e">
        <f t="shared" si="13"/>
        <v>#REF!</v>
      </c>
      <c r="F54" s="119" t="e">
        <f t="shared" si="14"/>
        <v>#REF!</v>
      </c>
      <c r="G54" s="123" t="e">
        <f t="shared" si="15"/>
        <v>#REF!</v>
      </c>
      <c r="I54" s="5"/>
      <c r="J54" s="117" t="e">
        <f t="shared" si="9"/>
        <v>#REF!</v>
      </c>
      <c r="K54" s="125"/>
      <c r="L54" s="125" t="e">
        <f t="shared" si="16"/>
        <v>#REF!</v>
      </c>
      <c r="M54" s="125" t="e">
        <f t="shared" si="17"/>
        <v>#REF!</v>
      </c>
      <c r="N54" s="42"/>
    </row>
    <row r="55" spans="1:14" hidden="1" x14ac:dyDescent="0.2">
      <c r="A55" s="39" t="s">
        <v>106</v>
      </c>
      <c r="B55" s="2" t="e">
        <f t="shared" si="10"/>
        <v>#REF!</v>
      </c>
      <c r="C55" s="2" t="e">
        <f t="shared" si="11"/>
        <v>#REF!</v>
      </c>
      <c r="D55" s="40" t="e">
        <f t="shared" si="12"/>
        <v>#REF!</v>
      </c>
      <c r="E55" s="127" t="e">
        <f t="shared" si="13"/>
        <v>#REF!</v>
      </c>
      <c r="F55" s="119" t="e">
        <f t="shared" si="14"/>
        <v>#REF!</v>
      </c>
      <c r="G55" s="123" t="e">
        <f t="shared" si="15"/>
        <v>#REF!</v>
      </c>
      <c r="H55" s="78"/>
      <c r="I55" s="5"/>
      <c r="J55" s="117" t="e">
        <f t="shared" si="9"/>
        <v>#REF!</v>
      </c>
      <c r="K55" s="125"/>
      <c r="L55" s="125" t="e">
        <f t="shared" si="16"/>
        <v>#REF!</v>
      </c>
      <c r="M55" s="125" t="e">
        <f t="shared" si="17"/>
        <v>#REF!</v>
      </c>
      <c r="N55" s="42"/>
    </row>
    <row r="56" spans="1:14" hidden="1" x14ac:dyDescent="0.2">
      <c r="A56" s="39" t="s">
        <v>107</v>
      </c>
      <c r="B56" s="2" t="e">
        <f t="shared" si="10"/>
        <v>#REF!</v>
      </c>
      <c r="C56" s="2" t="e">
        <f t="shared" si="11"/>
        <v>#REF!</v>
      </c>
      <c r="D56" s="40" t="e">
        <f t="shared" si="12"/>
        <v>#REF!</v>
      </c>
      <c r="E56" s="127" t="e">
        <f t="shared" si="13"/>
        <v>#REF!</v>
      </c>
      <c r="F56" s="119" t="e">
        <f t="shared" si="14"/>
        <v>#REF!</v>
      </c>
      <c r="G56" s="123" t="e">
        <f t="shared" si="15"/>
        <v>#REF!</v>
      </c>
      <c r="H56" s="78"/>
      <c r="I56" s="5"/>
      <c r="J56" s="117" t="e">
        <f t="shared" si="9"/>
        <v>#REF!</v>
      </c>
      <c r="K56" s="125"/>
      <c r="L56" s="125" t="e">
        <f t="shared" si="16"/>
        <v>#REF!</v>
      </c>
      <c r="M56" s="125" t="e">
        <f t="shared" si="17"/>
        <v>#REF!</v>
      </c>
      <c r="N56" s="42"/>
    </row>
    <row r="57" spans="1:14" hidden="1" x14ac:dyDescent="0.2">
      <c r="A57" s="39" t="s">
        <v>108</v>
      </c>
      <c r="B57" s="2" t="e">
        <f t="shared" si="10"/>
        <v>#REF!</v>
      </c>
      <c r="C57" s="2" t="e">
        <f t="shared" si="11"/>
        <v>#REF!</v>
      </c>
      <c r="D57" s="40" t="e">
        <f t="shared" si="12"/>
        <v>#REF!</v>
      </c>
      <c r="E57" s="127" t="e">
        <f t="shared" si="13"/>
        <v>#REF!</v>
      </c>
      <c r="F57" s="119" t="e">
        <f t="shared" si="14"/>
        <v>#REF!</v>
      </c>
      <c r="G57" s="123" t="e">
        <f t="shared" si="15"/>
        <v>#REF!</v>
      </c>
      <c r="I57" s="5"/>
      <c r="J57" s="117" t="e">
        <f t="shared" si="9"/>
        <v>#REF!</v>
      </c>
      <c r="K57" s="125"/>
      <c r="L57" s="125" t="e">
        <f t="shared" si="16"/>
        <v>#REF!</v>
      </c>
      <c r="M57" s="125" t="e">
        <f t="shared" si="17"/>
        <v>#REF!</v>
      </c>
      <c r="N57" s="42"/>
    </row>
    <row r="58" spans="1:14" hidden="1" x14ac:dyDescent="0.2">
      <c r="A58" s="39" t="s">
        <v>109</v>
      </c>
      <c r="B58" s="2" t="e">
        <f t="shared" si="10"/>
        <v>#REF!</v>
      </c>
      <c r="C58" s="2" t="e">
        <f t="shared" si="11"/>
        <v>#REF!</v>
      </c>
      <c r="D58" s="40" t="e">
        <f t="shared" si="12"/>
        <v>#REF!</v>
      </c>
      <c r="E58" s="127" t="e">
        <f t="shared" si="13"/>
        <v>#REF!</v>
      </c>
      <c r="F58" s="119" t="e">
        <f t="shared" si="14"/>
        <v>#REF!</v>
      </c>
      <c r="G58" s="123" t="e">
        <f t="shared" si="15"/>
        <v>#REF!</v>
      </c>
      <c r="H58" s="78"/>
      <c r="I58" s="5"/>
      <c r="J58" s="117" t="e">
        <f t="shared" si="9"/>
        <v>#REF!</v>
      </c>
      <c r="K58" s="125"/>
      <c r="L58" s="125" t="e">
        <f t="shared" si="16"/>
        <v>#REF!</v>
      </c>
      <c r="M58" s="125" t="e">
        <f t="shared" si="17"/>
        <v>#REF!</v>
      </c>
      <c r="N58" s="42"/>
    </row>
    <row r="59" spans="1:14" x14ac:dyDescent="0.2">
      <c r="A59" s="39" t="s">
        <v>110</v>
      </c>
      <c r="B59" s="2" t="e">
        <f t="shared" si="10"/>
        <v>#REF!</v>
      </c>
      <c r="C59" s="2" t="e">
        <f t="shared" si="11"/>
        <v>#REF!</v>
      </c>
      <c r="D59" s="40" t="e">
        <f t="shared" si="12"/>
        <v>#REF!</v>
      </c>
      <c r="E59" s="127" t="e">
        <f t="shared" si="13"/>
        <v>#REF!</v>
      </c>
      <c r="F59" s="119" t="e">
        <f t="shared" si="14"/>
        <v>#REF!</v>
      </c>
      <c r="G59" s="123" t="e">
        <f t="shared" si="15"/>
        <v>#REF!</v>
      </c>
      <c r="H59" s="78"/>
      <c r="I59" s="5"/>
      <c r="J59" s="117" t="e">
        <f t="shared" si="9"/>
        <v>#REF!</v>
      </c>
      <c r="K59" s="125"/>
      <c r="L59" s="125" t="e">
        <f t="shared" si="16"/>
        <v>#REF!</v>
      </c>
      <c r="M59" s="125" t="e">
        <f t="shared" si="17"/>
        <v>#REF!</v>
      </c>
      <c r="N59" s="42"/>
    </row>
    <row r="60" spans="1:14" hidden="1" x14ac:dyDescent="0.2">
      <c r="A60" s="39" t="s">
        <v>111</v>
      </c>
      <c r="B60" s="2" t="e">
        <f t="shared" si="10"/>
        <v>#REF!</v>
      </c>
      <c r="C60" s="2" t="e">
        <f t="shared" si="11"/>
        <v>#REF!</v>
      </c>
      <c r="D60" s="40" t="e">
        <f t="shared" si="12"/>
        <v>#REF!</v>
      </c>
      <c r="E60" s="127" t="e">
        <f t="shared" si="13"/>
        <v>#REF!</v>
      </c>
      <c r="F60" s="119" t="e">
        <f t="shared" si="14"/>
        <v>#REF!</v>
      </c>
      <c r="G60" s="123" t="e">
        <f t="shared" si="15"/>
        <v>#REF!</v>
      </c>
      <c r="I60" s="5"/>
      <c r="J60" s="117" t="e">
        <f t="shared" si="9"/>
        <v>#REF!</v>
      </c>
      <c r="K60" s="125"/>
      <c r="L60" s="125" t="e">
        <f t="shared" si="16"/>
        <v>#REF!</v>
      </c>
      <c r="M60" s="125" t="e">
        <f t="shared" si="17"/>
        <v>#REF!</v>
      </c>
      <c r="N60" s="42"/>
    </row>
    <row r="61" spans="1:14" hidden="1" x14ac:dyDescent="0.2">
      <c r="A61" s="39" t="s">
        <v>112</v>
      </c>
      <c r="B61" s="2" t="e">
        <f t="shared" si="10"/>
        <v>#REF!</v>
      </c>
      <c r="C61" s="2" t="e">
        <f t="shared" si="11"/>
        <v>#REF!</v>
      </c>
      <c r="D61" s="40" t="e">
        <f t="shared" si="12"/>
        <v>#REF!</v>
      </c>
      <c r="E61" s="127" t="e">
        <f t="shared" si="13"/>
        <v>#REF!</v>
      </c>
      <c r="F61" s="119" t="e">
        <f t="shared" si="14"/>
        <v>#REF!</v>
      </c>
      <c r="G61" s="123" t="e">
        <f t="shared" si="15"/>
        <v>#REF!</v>
      </c>
      <c r="I61" s="5"/>
      <c r="J61" s="117" t="e">
        <f t="shared" si="9"/>
        <v>#REF!</v>
      </c>
      <c r="K61" s="125"/>
      <c r="L61" s="125" t="e">
        <f t="shared" si="16"/>
        <v>#REF!</v>
      </c>
      <c r="M61" s="125" t="e">
        <f t="shared" si="17"/>
        <v>#REF!</v>
      </c>
      <c r="N61" s="42"/>
    </row>
    <row r="62" spans="1:14" hidden="1" x14ac:dyDescent="0.2">
      <c r="A62" s="39" t="s">
        <v>113</v>
      </c>
      <c r="B62" s="2" t="e">
        <f t="shared" si="10"/>
        <v>#REF!</v>
      </c>
      <c r="C62" s="2" t="e">
        <f t="shared" si="11"/>
        <v>#REF!</v>
      </c>
      <c r="D62" s="40" t="e">
        <f t="shared" si="12"/>
        <v>#REF!</v>
      </c>
      <c r="E62" s="127" t="e">
        <f t="shared" si="13"/>
        <v>#REF!</v>
      </c>
      <c r="F62" s="119" t="e">
        <f t="shared" si="14"/>
        <v>#REF!</v>
      </c>
      <c r="G62" s="123" t="e">
        <f t="shared" si="15"/>
        <v>#REF!</v>
      </c>
      <c r="I62" s="5"/>
      <c r="J62" s="117" t="e">
        <f t="shared" si="9"/>
        <v>#REF!</v>
      </c>
      <c r="K62" s="125"/>
      <c r="L62" s="125" t="e">
        <f t="shared" si="16"/>
        <v>#REF!</v>
      </c>
      <c r="M62" s="125" t="e">
        <f t="shared" si="17"/>
        <v>#REF!</v>
      </c>
      <c r="N62" s="42"/>
    </row>
    <row r="63" spans="1:14" hidden="1" x14ac:dyDescent="0.2">
      <c r="A63" s="39" t="s">
        <v>114</v>
      </c>
      <c r="B63" s="2" t="e">
        <f t="shared" si="10"/>
        <v>#REF!</v>
      </c>
      <c r="C63" s="2" t="e">
        <f t="shared" si="11"/>
        <v>#REF!</v>
      </c>
      <c r="D63" s="40" t="e">
        <f t="shared" si="12"/>
        <v>#REF!</v>
      </c>
      <c r="E63" s="127" t="e">
        <f t="shared" si="13"/>
        <v>#REF!</v>
      </c>
      <c r="F63" s="119" t="e">
        <f t="shared" si="14"/>
        <v>#REF!</v>
      </c>
      <c r="G63" s="123" t="e">
        <f t="shared" si="15"/>
        <v>#REF!</v>
      </c>
      <c r="H63" s="78"/>
      <c r="I63" s="5"/>
      <c r="J63" s="117" t="e">
        <f t="shared" si="9"/>
        <v>#REF!</v>
      </c>
      <c r="K63" s="125"/>
      <c r="L63" s="125" t="e">
        <f t="shared" si="16"/>
        <v>#REF!</v>
      </c>
      <c r="M63" s="125" t="e">
        <f t="shared" si="17"/>
        <v>#REF!</v>
      </c>
      <c r="N63" s="42"/>
    </row>
    <row r="64" spans="1:14" x14ac:dyDescent="0.2">
      <c r="A64" s="39" t="s">
        <v>115</v>
      </c>
      <c r="B64" s="2" t="e">
        <f t="shared" si="10"/>
        <v>#REF!</v>
      </c>
      <c r="C64" s="2" t="e">
        <f t="shared" si="11"/>
        <v>#REF!</v>
      </c>
      <c r="D64" s="40" t="e">
        <f t="shared" si="12"/>
        <v>#REF!</v>
      </c>
      <c r="E64" s="127" t="e">
        <f t="shared" si="13"/>
        <v>#REF!</v>
      </c>
      <c r="F64" s="119" t="e">
        <f t="shared" si="14"/>
        <v>#REF!</v>
      </c>
      <c r="G64" s="123" t="e">
        <f t="shared" si="15"/>
        <v>#REF!</v>
      </c>
      <c r="H64" s="78"/>
      <c r="I64" s="5"/>
      <c r="J64" s="117" t="e">
        <f t="shared" si="9"/>
        <v>#REF!</v>
      </c>
      <c r="K64" s="125"/>
      <c r="L64" s="125" t="e">
        <f t="shared" si="16"/>
        <v>#REF!</v>
      </c>
      <c r="M64" s="125" t="e">
        <f t="shared" si="17"/>
        <v>#REF!</v>
      </c>
      <c r="N64" s="42"/>
    </row>
    <row r="65" spans="1:14" hidden="1" x14ac:dyDescent="0.2">
      <c r="A65" s="39" t="s">
        <v>116</v>
      </c>
      <c r="B65" s="2" t="e">
        <f t="shared" si="10"/>
        <v>#REF!</v>
      </c>
      <c r="C65" s="2" t="e">
        <f t="shared" si="11"/>
        <v>#REF!</v>
      </c>
      <c r="D65" s="40" t="e">
        <f t="shared" si="12"/>
        <v>#REF!</v>
      </c>
      <c r="E65" s="127" t="e">
        <f t="shared" si="13"/>
        <v>#REF!</v>
      </c>
      <c r="F65" s="119" t="e">
        <f t="shared" si="14"/>
        <v>#REF!</v>
      </c>
      <c r="G65" s="123" t="e">
        <f t="shared" si="15"/>
        <v>#REF!</v>
      </c>
      <c r="I65" s="5"/>
      <c r="J65" s="117" t="e">
        <f t="shared" si="9"/>
        <v>#REF!</v>
      </c>
      <c r="K65" s="125"/>
      <c r="L65" s="125" t="e">
        <f t="shared" si="16"/>
        <v>#REF!</v>
      </c>
      <c r="M65" s="125" t="e">
        <f t="shared" si="17"/>
        <v>#REF!</v>
      </c>
      <c r="N65" s="42"/>
    </row>
    <row r="66" spans="1:14" hidden="1" x14ac:dyDescent="0.2">
      <c r="A66" s="39" t="s">
        <v>117</v>
      </c>
      <c r="B66" s="2" t="e">
        <f t="shared" si="10"/>
        <v>#REF!</v>
      </c>
      <c r="C66" s="2" t="e">
        <f t="shared" si="11"/>
        <v>#REF!</v>
      </c>
      <c r="D66" s="40" t="e">
        <f t="shared" si="12"/>
        <v>#REF!</v>
      </c>
      <c r="E66" s="127" t="e">
        <f t="shared" si="13"/>
        <v>#REF!</v>
      </c>
      <c r="F66" s="119" t="e">
        <f t="shared" si="14"/>
        <v>#REF!</v>
      </c>
      <c r="G66" s="123" t="e">
        <f t="shared" si="15"/>
        <v>#REF!</v>
      </c>
      <c r="H66" s="78"/>
      <c r="I66" s="5"/>
      <c r="J66" s="117" t="e">
        <f t="shared" si="9"/>
        <v>#REF!</v>
      </c>
      <c r="K66" s="125"/>
      <c r="L66" s="125" t="e">
        <f t="shared" si="16"/>
        <v>#REF!</v>
      </c>
      <c r="M66" s="125" t="e">
        <f t="shared" si="17"/>
        <v>#REF!</v>
      </c>
      <c r="N66" s="42"/>
    </row>
    <row r="67" spans="1:14" hidden="1" x14ac:dyDescent="0.2">
      <c r="A67" s="39" t="s">
        <v>118</v>
      </c>
      <c r="B67" s="2" t="e">
        <f t="shared" si="10"/>
        <v>#REF!</v>
      </c>
      <c r="C67" s="2" t="e">
        <f t="shared" si="11"/>
        <v>#REF!</v>
      </c>
      <c r="D67" s="40" t="e">
        <f t="shared" si="12"/>
        <v>#REF!</v>
      </c>
      <c r="E67" s="127" t="e">
        <f t="shared" si="13"/>
        <v>#REF!</v>
      </c>
      <c r="F67" s="119" t="e">
        <f t="shared" si="14"/>
        <v>#REF!</v>
      </c>
      <c r="G67" s="123" t="e">
        <f t="shared" si="15"/>
        <v>#REF!</v>
      </c>
      <c r="I67" s="5"/>
      <c r="J67" s="117" t="e">
        <f t="shared" ref="J67:J98" si="18">IF(D67="YES",INDEX(Crop_data,MATCH(A67,Crop_data_codes,0),11)*Heating_value_diesel*EF_diesel_CH4/INDEX(Crop_data,MATCH(A67,Crop_data_codes,0),6),"")</f>
        <v>#REF!</v>
      </c>
      <c r="K67" s="125"/>
      <c r="L67" s="125" t="e">
        <f t="shared" si="16"/>
        <v>#REF!</v>
      </c>
      <c r="M67" s="125" t="e">
        <f t="shared" si="17"/>
        <v>#REF!</v>
      </c>
      <c r="N67" s="42"/>
    </row>
    <row r="68" spans="1:14" hidden="1" x14ac:dyDescent="0.2">
      <c r="A68" s="39" t="s">
        <v>119</v>
      </c>
      <c r="B68" s="2" t="e">
        <f t="shared" si="10"/>
        <v>#REF!</v>
      </c>
      <c r="C68" s="2" t="e">
        <f t="shared" si="11"/>
        <v>#REF!</v>
      </c>
      <c r="D68" s="40" t="e">
        <f t="shared" si="12"/>
        <v>#REF!</v>
      </c>
      <c r="E68" s="127" t="e">
        <f t="shared" si="13"/>
        <v>#REF!</v>
      </c>
      <c r="F68" s="119" t="e">
        <f t="shared" si="14"/>
        <v>#REF!</v>
      </c>
      <c r="G68" s="123" t="e">
        <f t="shared" si="15"/>
        <v>#REF!</v>
      </c>
      <c r="H68" s="78"/>
      <c r="I68" s="5"/>
      <c r="J68" s="117" t="e">
        <f t="shared" si="18"/>
        <v>#REF!</v>
      </c>
      <c r="K68" s="125"/>
      <c r="L68" s="125" t="e">
        <f t="shared" si="16"/>
        <v>#REF!</v>
      </c>
      <c r="M68" s="125" t="e">
        <f t="shared" si="17"/>
        <v>#REF!</v>
      </c>
      <c r="N68" s="42"/>
    </row>
    <row r="69" spans="1:14" hidden="1" x14ac:dyDescent="0.2">
      <c r="A69" s="39" t="s">
        <v>120</v>
      </c>
      <c r="B69" s="2" t="e">
        <f t="shared" si="10"/>
        <v>#REF!</v>
      </c>
      <c r="C69" s="2" t="e">
        <f t="shared" si="11"/>
        <v>#REF!</v>
      </c>
      <c r="D69" s="40" t="e">
        <f t="shared" si="12"/>
        <v>#REF!</v>
      </c>
      <c r="E69" s="127" t="e">
        <f t="shared" si="13"/>
        <v>#REF!</v>
      </c>
      <c r="F69" s="119" t="e">
        <f t="shared" si="14"/>
        <v>#REF!</v>
      </c>
      <c r="G69" s="123" t="e">
        <f t="shared" si="15"/>
        <v>#REF!</v>
      </c>
      <c r="I69" s="5"/>
      <c r="J69" s="117" t="e">
        <f t="shared" si="18"/>
        <v>#REF!</v>
      </c>
      <c r="K69" s="125"/>
      <c r="L69" s="125" t="e">
        <f t="shared" si="16"/>
        <v>#REF!</v>
      </c>
      <c r="M69" s="125" t="e">
        <f t="shared" si="17"/>
        <v>#REF!</v>
      </c>
      <c r="N69" s="42"/>
    </row>
    <row r="70" spans="1:14" hidden="1" x14ac:dyDescent="0.2">
      <c r="A70" s="39" t="s">
        <v>121</v>
      </c>
      <c r="B70" s="2" t="e">
        <f t="shared" ref="B70:B101" si="19">INDEX(Crop_data,MATCH(A70,Crop_data_codes,0),2)</f>
        <v>#REF!</v>
      </c>
      <c r="C70" s="2" t="e">
        <f t="shared" ref="C70:C101" si="20">INDEX(Crop_data,MATCH(A70,Crop_data_codes,0),3)</f>
        <v>#REF!</v>
      </c>
      <c r="D70" s="40" t="e">
        <f t="shared" ref="D70:D101" si="21">INDEX(Crop_data,MATCH(A70,Crop_data_codes,0),4)</f>
        <v>#REF!</v>
      </c>
      <c r="E70" s="127" t="e">
        <f t="shared" ref="E70:E101" si="22">IF(D70="Yes", SUM(F70:N70),"")</f>
        <v>#REF!</v>
      </c>
      <c r="F70" s="119" t="e">
        <f t="shared" ref="F70:F101" si="23">IF(D70="YES",INDEX(Crop_data,MATCH(A70,Crop_data_codes,0),7)*(Frac_BAT*EF_min_fert_BAT_CH4+Frac_AN*EF_min_fert_AN_CH4)/INDEX(Crop_data,MATCH(A70,Crop_data_codes,0),6),"")</f>
        <v>#REF!</v>
      </c>
      <c r="G70" s="123" t="e">
        <f t="shared" ref="G70:G101" si="24">IF(D70="YES",EF_capital_goods_CH4,"")</f>
        <v>#REF!</v>
      </c>
      <c r="I70" s="5"/>
      <c r="J70" s="117" t="e">
        <f t="shared" si="18"/>
        <v>#REF!</v>
      </c>
      <c r="K70" s="125"/>
      <c r="L70" s="125" t="e">
        <f t="shared" si="16"/>
        <v>#REF!</v>
      </c>
      <c r="M70" s="125" t="e">
        <f t="shared" si="17"/>
        <v>#REF!</v>
      </c>
      <c r="N70" s="42"/>
    </row>
    <row r="71" spans="1:14" hidden="1" x14ac:dyDescent="0.2">
      <c r="A71" s="39" t="s">
        <v>122</v>
      </c>
      <c r="B71" s="2" t="e">
        <f t="shared" si="19"/>
        <v>#REF!</v>
      </c>
      <c r="C71" s="2" t="e">
        <f t="shared" si="20"/>
        <v>#REF!</v>
      </c>
      <c r="D71" s="40" t="e">
        <f t="shared" si="21"/>
        <v>#REF!</v>
      </c>
      <c r="E71" s="127" t="e">
        <f t="shared" si="22"/>
        <v>#REF!</v>
      </c>
      <c r="F71" s="119" t="e">
        <f t="shared" si="23"/>
        <v>#REF!</v>
      </c>
      <c r="G71" s="123" t="e">
        <f t="shared" si="24"/>
        <v>#REF!</v>
      </c>
      <c r="H71" s="78"/>
      <c r="I71" s="5"/>
      <c r="J71" s="117" t="e">
        <f t="shared" si="18"/>
        <v>#REF!</v>
      </c>
      <c r="K71" s="125"/>
      <c r="L71" s="125" t="e">
        <f t="shared" si="16"/>
        <v>#REF!</v>
      </c>
      <c r="M71" s="125" t="e">
        <f t="shared" si="17"/>
        <v>#REF!</v>
      </c>
      <c r="N71" s="42"/>
    </row>
    <row r="72" spans="1:14" hidden="1" x14ac:dyDescent="0.2">
      <c r="A72" s="39" t="s">
        <v>123</v>
      </c>
      <c r="B72" s="2" t="e">
        <f t="shared" si="19"/>
        <v>#REF!</v>
      </c>
      <c r="C72" s="2" t="e">
        <f t="shared" si="20"/>
        <v>#REF!</v>
      </c>
      <c r="D72" s="40" t="e">
        <f t="shared" si="21"/>
        <v>#REF!</v>
      </c>
      <c r="E72" s="127" t="e">
        <f t="shared" si="22"/>
        <v>#REF!</v>
      </c>
      <c r="F72" s="119" t="e">
        <f t="shared" si="23"/>
        <v>#REF!</v>
      </c>
      <c r="G72" s="123" t="e">
        <f t="shared" si="24"/>
        <v>#REF!</v>
      </c>
      <c r="I72" s="5"/>
      <c r="J72" s="117" t="e">
        <f t="shared" si="18"/>
        <v>#REF!</v>
      </c>
      <c r="K72" s="125"/>
      <c r="L72" s="125" t="e">
        <f t="shared" ref="L72:L105" si="25">IF(D72="YES",INDEX(Crop_data,MATCH(A72,Crop_data_codes,0),12)*EF_irrigation_CH4/INDEX(Crop_data,MATCH(A72,Crop_data_codes,0),6),"")</f>
        <v>#REF!</v>
      </c>
      <c r="M72" s="125" t="e">
        <f t="shared" ref="M72:M103" si="26">IF(D72="Yes",INDEX(Post_harvest_energy_data,MATCH(C72,Post_harvest_energy_categories,0),2)*EF_heating_oil_CH4+INDEX(Post_harvest_energy_data,MATCH(C72,Post_harvest_energy_categories,0),3)*EF_electricity_CH4+INDEX(Post_harvest_energy_data,MATCH(C72,Post_harvest_energy_categories,0),4)*EF_chips_CH4,"")</f>
        <v>#REF!</v>
      </c>
      <c r="N72" s="42"/>
    </row>
    <row r="73" spans="1:14" hidden="1" x14ac:dyDescent="0.2">
      <c r="A73" s="39" t="s">
        <v>124</v>
      </c>
      <c r="B73" s="2" t="e">
        <f t="shared" si="19"/>
        <v>#REF!</v>
      </c>
      <c r="C73" s="2" t="e">
        <f t="shared" si="20"/>
        <v>#REF!</v>
      </c>
      <c r="D73" s="40" t="e">
        <f t="shared" si="21"/>
        <v>#REF!</v>
      </c>
      <c r="E73" s="127" t="e">
        <f t="shared" si="22"/>
        <v>#REF!</v>
      </c>
      <c r="F73" s="119" t="e">
        <f t="shared" si="23"/>
        <v>#REF!</v>
      </c>
      <c r="G73" s="123" t="e">
        <f t="shared" si="24"/>
        <v>#REF!</v>
      </c>
      <c r="H73" s="78"/>
      <c r="I73" s="5"/>
      <c r="J73" s="117" t="e">
        <f t="shared" si="18"/>
        <v>#REF!</v>
      </c>
      <c r="K73" s="125"/>
      <c r="L73" s="125" t="e">
        <f t="shared" si="25"/>
        <v>#REF!</v>
      </c>
      <c r="M73" s="125" t="e">
        <f t="shared" si="26"/>
        <v>#REF!</v>
      </c>
      <c r="N73" s="42"/>
    </row>
    <row r="74" spans="1:14" hidden="1" x14ac:dyDescent="0.2">
      <c r="A74" s="39" t="s">
        <v>125</v>
      </c>
      <c r="B74" s="2" t="e">
        <f t="shared" si="19"/>
        <v>#REF!</v>
      </c>
      <c r="C74" s="2" t="e">
        <f t="shared" si="20"/>
        <v>#REF!</v>
      </c>
      <c r="D74" s="40" t="e">
        <f t="shared" si="21"/>
        <v>#REF!</v>
      </c>
      <c r="E74" s="127" t="e">
        <f t="shared" si="22"/>
        <v>#REF!</v>
      </c>
      <c r="F74" s="119" t="e">
        <f t="shared" si="23"/>
        <v>#REF!</v>
      </c>
      <c r="G74" s="123" t="e">
        <f t="shared" si="24"/>
        <v>#REF!</v>
      </c>
      <c r="I74" s="5"/>
      <c r="J74" s="117" t="e">
        <f t="shared" si="18"/>
        <v>#REF!</v>
      </c>
      <c r="K74" s="125"/>
      <c r="L74" s="125" t="e">
        <f t="shared" si="25"/>
        <v>#REF!</v>
      </c>
      <c r="M74" s="125" t="e">
        <f t="shared" si="26"/>
        <v>#REF!</v>
      </c>
      <c r="N74" s="42"/>
    </row>
    <row r="75" spans="1:14" hidden="1" x14ac:dyDescent="0.2">
      <c r="A75" s="39" t="s">
        <v>126</v>
      </c>
      <c r="B75" s="2" t="e">
        <f t="shared" si="19"/>
        <v>#REF!</v>
      </c>
      <c r="C75" s="2" t="e">
        <f t="shared" si="20"/>
        <v>#REF!</v>
      </c>
      <c r="D75" s="40" t="e">
        <f t="shared" si="21"/>
        <v>#REF!</v>
      </c>
      <c r="E75" s="127" t="e">
        <f t="shared" si="22"/>
        <v>#REF!</v>
      </c>
      <c r="F75" s="119" t="e">
        <f t="shared" si="23"/>
        <v>#REF!</v>
      </c>
      <c r="G75" s="123" t="e">
        <f t="shared" si="24"/>
        <v>#REF!</v>
      </c>
      <c r="I75" s="5"/>
      <c r="J75" s="117" t="e">
        <f t="shared" si="18"/>
        <v>#REF!</v>
      </c>
      <c r="K75" s="125"/>
      <c r="L75" s="125" t="e">
        <f t="shared" si="25"/>
        <v>#REF!</v>
      </c>
      <c r="M75" s="125" t="e">
        <f t="shared" si="26"/>
        <v>#REF!</v>
      </c>
      <c r="N75" s="42"/>
    </row>
    <row r="76" spans="1:14" hidden="1" x14ac:dyDescent="0.2">
      <c r="A76" s="39" t="s">
        <v>127</v>
      </c>
      <c r="B76" s="2" t="e">
        <f t="shared" si="19"/>
        <v>#REF!</v>
      </c>
      <c r="C76" s="2" t="e">
        <f t="shared" si="20"/>
        <v>#REF!</v>
      </c>
      <c r="D76" s="40" t="e">
        <f t="shared" si="21"/>
        <v>#REF!</v>
      </c>
      <c r="E76" s="127" t="e">
        <f t="shared" si="22"/>
        <v>#REF!</v>
      </c>
      <c r="F76" s="119" t="e">
        <f t="shared" si="23"/>
        <v>#REF!</v>
      </c>
      <c r="G76" s="123" t="e">
        <f t="shared" si="24"/>
        <v>#REF!</v>
      </c>
      <c r="H76" s="78"/>
      <c r="I76" s="5"/>
      <c r="J76" s="117" t="e">
        <f t="shared" si="18"/>
        <v>#REF!</v>
      </c>
      <c r="K76" s="125"/>
      <c r="L76" s="125" t="e">
        <f t="shared" si="25"/>
        <v>#REF!</v>
      </c>
      <c r="M76" s="125" t="e">
        <f t="shared" si="26"/>
        <v>#REF!</v>
      </c>
      <c r="N76" s="42"/>
    </row>
    <row r="77" spans="1:14" hidden="1" x14ac:dyDescent="0.2">
      <c r="A77" s="39" t="s">
        <v>128</v>
      </c>
      <c r="B77" s="2" t="e">
        <f t="shared" si="19"/>
        <v>#REF!</v>
      </c>
      <c r="C77" s="2" t="e">
        <f t="shared" si="20"/>
        <v>#REF!</v>
      </c>
      <c r="D77" s="40" t="e">
        <f t="shared" si="21"/>
        <v>#REF!</v>
      </c>
      <c r="E77" s="127" t="e">
        <f t="shared" si="22"/>
        <v>#REF!</v>
      </c>
      <c r="F77" s="119" t="e">
        <f t="shared" si="23"/>
        <v>#REF!</v>
      </c>
      <c r="G77" s="123" t="e">
        <f t="shared" si="24"/>
        <v>#REF!</v>
      </c>
      <c r="H77" s="78"/>
      <c r="I77" s="5"/>
      <c r="J77" s="117" t="e">
        <f t="shared" si="18"/>
        <v>#REF!</v>
      </c>
      <c r="K77" s="125"/>
      <c r="L77" s="125" t="e">
        <f t="shared" si="25"/>
        <v>#REF!</v>
      </c>
      <c r="M77" s="125" t="e">
        <f t="shared" si="26"/>
        <v>#REF!</v>
      </c>
      <c r="N77" s="42"/>
    </row>
    <row r="78" spans="1:14" x14ac:dyDescent="0.2">
      <c r="A78" s="39" t="s">
        <v>129</v>
      </c>
      <c r="B78" s="2" t="e">
        <f t="shared" si="19"/>
        <v>#REF!</v>
      </c>
      <c r="C78" s="2" t="e">
        <f t="shared" si="20"/>
        <v>#REF!</v>
      </c>
      <c r="D78" s="40" t="e">
        <f t="shared" si="21"/>
        <v>#REF!</v>
      </c>
      <c r="E78" s="127" t="e">
        <f t="shared" si="22"/>
        <v>#REF!</v>
      </c>
      <c r="F78" s="119" t="e">
        <f t="shared" si="23"/>
        <v>#REF!</v>
      </c>
      <c r="G78" s="123" t="e">
        <f t="shared" si="24"/>
        <v>#REF!</v>
      </c>
      <c r="H78" s="78"/>
      <c r="I78" s="5"/>
      <c r="J78" s="117" t="e">
        <f t="shared" si="18"/>
        <v>#REF!</v>
      </c>
      <c r="K78" s="125"/>
      <c r="L78" s="125" t="e">
        <f t="shared" si="25"/>
        <v>#REF!</v>
      </c>
      <c r="M78" s="125" t="e">
        <f t="shared" si="26"/>
        <v>#REF!</v>
      </c>
      <c r="N78" s="42"/>
    </row>
    <row r="79" spans="1:14" hidden="1" x14ac:dyDescent="0.2">
      <c r="A79" s="39" t="s">
        <v>130</v>
      </c>
      <c r="B79" s="2" t="e">
        <f t="shared" si="19"/>
        <v>#REF!</v>
      </c>
      <c r="C79" s="2" t="e">
        <f t="shared" si="20"/>
        <v>#REF!</v>
      </c>
      <c r="D79" s="40" t="e">
        <f t="shared" si="21"/>
        <v>#REF!</v>
      </c>
      <c r="E79" s="127" t="e">
        <f t="shared" si="22"/>
        <v>#REF!</v>
      </c>
      <c r="F79" s="119" t="e">
        <f t="shared" si="23"/>
        <v>#REF!</v>
      </c>
      <c r="G79" s="123" t="e">
        <f t="shared" si="24"/>
        <v>#REF!</v>
      </c>
      <c r="I79" s="5"/>
      <c r="J79" s="117" t="e">
        <f t="shared" si="18"/>
        <v>#REF!</v>
      </c>
      <c r="K79" s="125"/>
      <c r="L79" s="125" t="e">
        <f t="shared" si="25"/>
        <v>#REF!</v>
      </c>
      <c r="M79" s="125" t="e">
        <f t="shared" si="26"/>
        <v>#REF!</v>
      </c>
      <c r="N79" s="42"/>
    </row>
    <row r="80" spans="1:14" hidden="1" x14ac:dyDescent="0.2">
      <c r="A80" s="39" t="s">
        <v>131</v>
      </c>
      <c r="B80" s="2" t="e">
        <f t="shared" si="19"/>
        <v>#REF!</v>
      </c>
      <c r="C80" s="2" t="e">
        <f t="shared" si="20"/>
        <v>#REF!</v>
      </c>
      <c r="D80" s="40" t="e">
        <f t="shared" si="21"/>
        <v>#REF!</v>
      </c>
      <c r="E80" s="127" t="e">
        <f t="shared" si="22"/>
        <v>#REF!</v>
      </c>
      <c r="F80" s="119" t="e">
        <f t="shared" si="23"/>
        <v>#REF!</v>
      </c>
      <c r="G80" s="123" t="e">
        <f t="shared" si="24"/>
        <v>#REF!</v>
      </c>
      <c r="I80" s="5"/>
      <c r="J80" s="117" t="e">
        <f t="shared" si="18"/>
        <v>#REF!</v>
      </c>
      <c r="K80" s="125"/>
      <c r="L80" s="125" t="e">
        <f t="shared" si="25"/>
        <v>#REF!</v>
      </c>
      <c r="M80" s="125" t="e">
        <f t="shared" si="26"/>
        <v>#REF!</v>
      </c>
      <c r="N80" s="42"/>
    </row>
    <row r="81" spans="1:14" hidden="1" x14ac:dyDescent="0.2">
      <c r="A81" s="39" t="s">
        <v>132</v>
      </c>
      <c r="B81" s="2" t="e">
        <f t="shared" si="19"/>
        <v>#REF!</v>
      </c>
      <c r="C81" s="2" t="e">
        <f t="shared" si="20"/>
        <v>#REF!</v>
      </c>
      <c r="D81" s="40" t="e">
        <f t="shared" si="21"/>
        <v>#REF!</v>
      </c>
      <c r="E81" s="127" t="e">
        <f t="shared" si="22"/>
        <v>#REF!</v>
      </c>
      <c r="F81" s="119" t="e">
        <f t="shared" si="23"/>
        <v>#REF!</v>
      </c>
      <c r="G81" s="123" t="e">
        <f t="shared" si="24"/>
        <v>#REF!</v>
      </c>
      <c r="I81" s="5"/>
      <c r="J81" s="117" t="e">
        <f t="shared" si="18"/>
        <v>#REF!</v>
      </c>
      <c r="K81" s="125"/>
      <c r="L81" s="125" t="e">
        <f t="shared" si="25"/>
        <v>#REF!</v>
      </c>
      <c r="M81" s="125" t="e">
        <f t="shared" si="26"/>
        <v>#REF!</v>
      </c>
      <c r="N81" s="42"/>
    </row>
    <row r="82" spans="1:14" hidden="1" x14ac:dyDescent="0.2">
      <c r="A82" s="39" t="s">
        <v>133</v>
      </c>
      <c r="B82" s="2" t="e">
        <f t="shared" si="19"/>
        <v>#REF!</v>
      </c>
      <c r="C82" s="2" t="e">
        <f t="shared" si="20"/>
        <v>#REF!</v>
      </c>
      <c r="D82" s="40" t="e">
        <f t="shared" si="21"/>
        <v>#REF!</v>
      </c>
      <c r="E82" s="127" t="e">
        <f t="shared" si="22"/>
        <v>#REF!</v>
      </c>
      <c r="F82" s="119" t="e">
        <f t="shared" si="23"/>
        <v>#REF!</v>
      </c>
      <c r="G82" s="123" t="e">
        <f t="shared" si="24"/>
        <v>#REF!</v>
      </c>
      <c r="H82" s="78"/>
      <c r="I82" s="5"/>
      <c r="J82" s="117" t="e">
        <f t="shared" si="18"/>
        <v>#REF!</v>
      </c>
      <c r="K82" s="125"/>
      <c r="L82" s="125" t="e">
        <f t="shared" si="25"/>
        <v>#REF!</v>
      </c>
      <c r="M82" s="125" t="e">
        <f t="shared" si="26"/>
        <v>#REF!</v>
      </c>
      <c r="N82" s="42"/>
    </row>
    <row r="83" spans="1:14" hidden="1" x14ac:dyDescent="0.2">
      <c r="A83" s="39" t="s">
        <v>134</v>
      </c>
      <c r="B83" s="2" t="e">
        <f t="shared" si="19"/>
        <v>#REF!</v>
      </c>
      <c r="C83" s="2" t="e">
        <f t="shared" si="20"/>
        <v>#REF!</v>
      </c>
      <c r="D83" s="40" t="e">
        <f t="shared" si="21"/>
        <v>#REF!</v>
      </c>
      <c r="E83" s="127" t="e">
        <f t="shared" si="22"/>
        <v>#REF!</v>
      </c>
      <c r="F83" s="119" t="e">
        <f t="shared" si="23"/>
        <v>#REF!</v>
      </c>
      <c r="G83" s="123" t="e">
        <f t="shared" si="24"/>
        <v>#REF!</v>
      </c>
      <c r="I83" s="5"/>
      <c r="J83" s="117" t="e">
        <f t="shared" si="18"/>
        <v>#REF!</v>
      </c>
      <c r="K83" s="125"/>
      <c r="L83" s="125" t="e">
        <f t="shared" si="25"/>
        <v>#REF!</v>
      </c>
      <c r="M83" s="125" t="e">
        <f t="shared" si="26"/>
        <v>#REF!</v>
      </c>
      <c r="N83" s="42"/>
    </row>
    <row r="84" spans="1:14" hidden="1" x14ac:dyDescent="0.2">
      <c r="A84" s="39" t="s">
        <v>135</v>
      </c>
      <c r="B84" s="2" t="e">
        <f t="shared" si="19"/>
        <v>#REF!</v>
      </c>
      <c r="C84" s="2" t="e">
        <f t="shared" si="20"/>
        <v>#REF!</v>
      </c>
      <c r="D84" s="40" t="e">
        <f t="shared" si="21"/>
        <v>#REF!</v>
      </c>
      <c r="E84" s="127" t="e">
        <f t="shared" si="22"/>
        <v>#REF!</v>
      </c>
      <c r="F84" s="119" t="e">
        <f t="shared" si="23"/>
        <v>#REF!</v>
      </c>
      <c r="G84" s="123" t="e">
        <f t="shared" si="24"/>
        <v>#REF!</v>
      </c>
      <c r="I84" s="5"/>
      <c r="J84" s="117" t="e">
        <f t="shared" si="18"/>
        <v>#REF!</v>
      </c>
      <c r="K84" s="125"/>
      <c r="L84" s="125" t="e">
        <f t="shared" si="25"/>
        <v>#REF!</v>
      </c>
      <c r="M84" s="125" t="e">
        <f t="shared" si="26"/>
        <v>#REF!</v>
      </c>
      <c r="N84" s="42"/>
    </row>
    <row r="85" spans="1:14" hidden="1" x14ac:dyDescent="0.2">
      <c r="A85" s="39" t="s">
        <v>136</v>
      </c>
      <c r="B85" s="2" t="e">
        <f t="shared" si="19"/>
        <v>#REF!</v>
      </c>
      <c r="C85" s="2" t="e">
        <f t="shared" si="20"/>
        <v>#REF!</v>
      </c>
      <c r="D85" s="40" t="e">
        <f t="shared" si="21"/>
        <v>#REF!</v>
      </c>
      <c r="E85" s="127" t="e">
        <f t="shared" si="22"/>
        <v>#REF!</v>
      </c>
      <c r="F85" s="119" t="e">
        <f t="shared" si="23"/>
        <v>#REF!</v>
      </c>
      <c r="G85" s="123" t="e">
        <f t="shared" si="24"/>
        <v>#REF!</v>
      </c>
      <c r="H85" s="78"/>
      <c r="I85" s="5"/>
      <c r="J85" s="117" t="e">
        <f t="shared" si="18"/>
        <v>#REF!</v>
      </c>
      <c r="K85" s="125"/>
      <c r="L85" s="125" t="e">
        <f t="shared" si="25"/>
        <v>#REF!</v>
      </c>
      <c r="M85" s="125" t="e">
        <f t="shared" si="26"/>
        <v>#REF!</v>
      </c>
      <c r="N85" s="42"/>
    </row>
    <row r="86" spans="1:14" hidden="1" x14ac:dyDescent="0.2">
      <c r="A86" s="39" t="s">
        <v>137</v>
      </c>
      <c r="B86" s="2" t="e">
        <f t="shared" si="19"/>
        <v>#REF!</v>
      </c>
      <c r="C86" s="2" t="e">
        <f t="shared" si="20"/>
        <v>#REF!</v>
      </c>
      <c r="D86" s="40" t="e">
        <f t="shared" si="21"/>
        <v>#REF!</v>
      </c>
      <c r="E86" s="127" t="e">
        <f t="shared" si="22"/>
        <v>#REF!</v>
      </c>
      <c r="F86" s="119" t="e">
        <f t="shared" si="23"/>
        <v>#REF!</v>
      </c>
      <c r="G86" s="123" t="e">
        <f t="shared" si="24"/>
        <v>#REF!</v>
      </c>
      <c r="H86" s="78"/>
      <c r="I86" s="5"/>
      <c r="J86" s="117" t="e">
        <f t="shared" si="18"/>
        <v>#REF!</v>
      </c>
      <c r="K86" s="125"/>
      <c r="L86" s="125" t="e">
        <f t="shared" si="25"/>
        <v>#REF!</v>
      </c>
      <c r="M86" s="125" t="e">
        <f t="shared" si="26"/>
        <v>#REF!</v>
      </c>
      <c r="N86" s="42"/>
    </row>
    <row r="87" spans="1:14" hidden="1" x14ac:dyDescent="0.2">
      <c r="A87" s="39" t="s">
        <v>138</v>
      </c>
      <c r="B87" s="2" t="e">
        <f t="shared" si="19"/>
        <v>#REF!</v>
      </c>
      <c r="C87" s="2" t="e">
        <f t="shared" si="20"/>
        <v>#REF!</v>
      </c>
      <c r="D87" s="40" t="e">
        <f t="shared" si="21"/>
        <v>#REF!</v>
      </c>
      <c r="E87" s="127" t="e">
        <f t="shared" si="22"/>
        <v>#REF!</v>
      </c>
      <c r="F87" s="119" t="e">
        <f t="shared" si="23"/>
        <v>#REF!</v>
      </c>
      <c r="G87" s="123" t="e">
        <f t="shared" si="24"/>
        <v>#REF!</v>
      </c>
      <c r="I87" s="5"/>
      <c r="J87" s="117" t="e">
        <f t="shared" si="18"/>
        <v>#REF!</v>
      </c>
      <c r="K87" s="125"/>
      <c r="L87" s="125" t="e">
        <f t="shared" si="25"/>
        <v>#REF!</v>
      </c>
      <c r="M87" s="125" t="e">
        <f t="shared" si="26"/>
        <v>#REF!</v>
      </c>
      <c r="N87" s="42"/>
    </row>
    <row r="88" spans="1:14" hidden="1" x14ac:dyDescent="0.2">
      <c r="A88" s="39" t="s">
        <v>139</v>
      </c>
      <c r="B88" s="2" t="e">
        <f t="shared" si="19"/>
        <v>#REF!</v>
      </c>
      <c r="C88" s="2" t="e">
        <f t="shared" si="20"/>
        <v>#REF!</v>
      </c>
      <c r="D88" s="40" t="e">
        <f t="shared" si="21"/>
        <v>#REF!</v>
      </c>
      <c r="E88" s="127" t="e">
        <f t="shared" si="22"/>
        <v>#REF!</v>
      </c>
      <c r="F88" s="119" t="e">
        <f t="shared" si="23"/>
        <v>#REF!</v>
      </c>
      <c r="G88" s="123" t="e">
        <f t="shared" si="24"/>
        <v>#REF!</v>
      </c>
      <c r="I88" s="5"/>
      <c r="J88" s="117" t="e">
        <f t="shared" si="18"/>
        <v>#REF!</v>
      </c>
      <c r="K88" s="125"/>
      <c r="L88" s="125" t="e">
        <f t="shared" si="25"/>
        <v>#REF!</v>
      </c>
      <c r="M88" s="125" t="e">
        <f t="shared" si="26"/>
        <v>#REF!</v>
      </c>
      <c r="N88" s="42"/>
    </row>
    <row r="89" spans="1:14" hidden="1" x14ac:dyDescent="0.2">
      <c r="A89" s="39" t="s">
        <v>140</v>
      </c>
      <c r="B89" s="2" t="e">
        <f t="shared" si="19"/>
        <v>#REF!</v>
      </c>
      <c r="C89" s="2" t="e">
        <f t="shared" si="20"/>
        <v>#REF!</v>
      </c>
      <c r="D89" s="40" t="e">
        <f t="shared" si="21"/>
        <v>#REF!</v>
      </c>
      <c r="E89" s="127" t="e">
        <f t="shared" si="22"/>
        <v>#REF!</v>
      </c>
      <c r="F89" s="119" t="e">
        <f t="shared" si="23"/>
        <v>#REF!</v>
      </c>
      <c r="G89" s="123" t="e">
        <f t="shared" si="24"/>
        <v>#REF!</v>
      </c>
      <c r="I89" s="5"/>
      <c r="J89" s="117" t="e">
        <f t="shared" si="18"/>
        <v>#REF!</v>
      </c>
      <c r="K89" s="125"/>
      <c r="L89" s="125" t="e">
        <f t="shared" si="25"/>
        <v>#REF!</v>
      </c>
      <c r="M89" s="125" t="e">
        <f t="shared" si="26"/>
        <v>#REF!</v>
      </c>
      <c r="N89" s="42"/>
    </row>
    <row r="90" spans="1:14" hidden="1" x14ac:dyDescent="0.2">
      <c r="A90" s="39" t="s">
        <v>141</v>
      </c>
      <c r="B90" s="2" t="e">
        <f t="shared" si="19"/>
        <v>#REF!</v>
      </c>
      <c r="C90" s="2" t="e">
        <f t="shared" si="20"/>
        <v>#REF!</v>
      </c>
      <c r="D90" s="40" t="e">
        <f t="shared" si="21"/>
        <v>#REF!</v>
      </c>
      <c r="E90" s="127" t="e">
        <f t="shared" si="22"/>
        <v>#REF!</v>
      </c>
      <c r="F90" s="119" t="e">
        <f t="shared" si="23"/>
        <v>#REF!</v>
      </c>
      <c r="G90" s="123" t="e">
        <f t="shared" si="24"/>
        <v>#REF!</v>
      </c>
      <c r="H90" s="78"/>
      <c r="I90" s="5"/>
      <c r="J90" s="117" t="e">
        <f t="shared" si="18"/>
        <v>#REF!</v>
      </c>
      <c r="K90" s="125"/>
      <c r="L90" s="125" t="e">
        <f t="shared" si="25"/>
        <v>#REF!</v>
      </c>
      <c r="M90" s="125" t="e">
        <f t="shared" si="26"/>
        <v>#REF!</v>
      </c>
      <c r="N90" s="42"/>
    </row>
    <row r="91" spans="1:14" hidden="1" x14ac:dyDescent="0.2">
      <c r="A91" s="39" t="s">
        <v>142</v>
      </c>
      <c r="B91" s="2" t="e">
        <f t="shared" si="19"/>
        <v>#REF!</v>
      </c>
      <c r="C91" s="2" t="e">
        <f t="shared" si="20"/>
        <v>#REF!</v>
      </c>
      <c r="D91" s="40" t="e">
        <f t="shared" si="21"/>
        <v>#REF!</v>
      </c>
      <c r="E91" s="127" t="e">
        <f t="shared" si="22"/>
        <v>#REF!</v>
      </c>
      <c r="F91" s="119" t="e">
        <f t="shared" si="23"/>
        <v>#REF!</v>
      </c>
      <c r="G91" s="123" t="e">
        <f t="shared" si="24"/>
        <v>#REF!</v>
      </c>
      <c r="H91" s="78"/>
      <c r="I91" s="5"/>
      <c r="J91" s="117" t="e">
        <f t="shared" si="18"/>
        <v>#REF!</v>
      </c>
      <c r="K91" s="125"/>
      <c r="L91" s="125" t="e">
        <f t="shared" si="25"/>
        <v>#REF!</v>
      </c>
      <c r="M91" s="125" t="e">
        <f t="shared" si="26"/>
        <v>#REF!</v>
      </c>
      <c r="N91" s="42"/>
    </row>
    <row r="92" spans="1:14" hidden="1" x14ac:dyDescent="0.2">
      <c r="A92" s="39" t="s">
        <v>143</v>
      </c>
      <c r="B92" s="2" t="e">
        <f t="shared" si="19"/>
        <v>#REF!</v>
      </c>
      <c r="C92" s="2" t="e">
        <f t="shared" si="20"/>
        <v>#REF!</v>
      </c>
      <c r="D92" s="40" t="e">
        <f t="shared" si="21"/>
        <v>#REF!</v>
      </c>
      <c r="E92" s="127" t="e">
        <f t="shared" si="22"/>
        <v>#REF!</v>
      </c>
      <c r="F92" s="119" t="e">
        <f t="shared" si="23"/>
        <v>#REF!</v>
      </c>
      <c r="G92" s="123" t="e">
        <f t="shared" si="24"/>
        <v>#REF!</v>
      </c>
      <c r="H92" s="78"/>
      <c r="I92" s="5"/>
      <c r="J92" s="117" t="e">
        <f t="shared" si="18"/>
        <v>#REF!</v>
      </c>
      <c r="K92" s="125"/>
      <c r="L92" s="125" t="e">
        <f t="shared" si="25"/>
        <v>#REF!</v>
      </c>
      <c r="M92" s="125" t="e">
        <f t="shared" si="26"/>
        <v>#REF!</v>
      </c>
      <c r="N92" s="42"/>
    </row>
    <row r="93" spans="1:14" hidden="1" x14ac:dyDescent="0.2">
      <c r="A93" s="39" t="s">
        <v>144</v>
      </c>
      <c r="B93" s="2" t="e">
        <f t="shared" si="19"/>
        <v>#REF!</v>
      </c>
      <c r="C93" s="2" t="e">
        <f t="shared" si="20"/>
        <v>#REF!</v>
      </c>
      <c r="D93" s="40" t="e">
        <f t="shared" si="21"/>
        <v>#REF!</v>
      </c>
      <c r="E93" s="127" t="e">
        <f t="shared" si="22"/>
        <v>#REF!</v>
      </c>
      <c r="F93" s="119" t="e">
        <f t="shared" si="23"/>
        <v>#REF!</v>
      </c>
      <c r="G93" s="123" t="e">
        <f t="shared" si="24"/>
        <v>#REF!</v>
      </c>
      <c r="I93" s="5"/>
      <c r="J93" s="117" t="e">
        <f t="shared" si="18"/>
        <v>#REF!</v>
      </c>
      <c r="K93" s="125"/>
      <c r="L93" s="125" t="e">
        <f t="shared" si="25"/>
        <v>#REF!</v>
      </c>
      <c r="M93" s="125" t="e">
        <f t="shared" si="26"/>
        <v>#REF!</v>
      </c>
      <c r="N93" s="42"/>
    </row>
    <row r="94" spans="1:14" hidden="1" x14ac:dyDescent="0.2">
      <c r="A94" s="39" t="s">
        <v>145</v>
      </c>
      <c r="B94" s="2" t="e">
        <f t="shared" si="19"/>
        <v>#REF!</v>
      </c>
      <c r="C94" s="2" t="e">
        <f t="shared" si="20"/>
        <v>#REF!</v>
      </c>
      <c r="D94" s="40" t="e">
        <f t="shared" si="21"/>
        <v>#REF!</v>
      </c>
      <c r="E94" s="127" t="e">
        <f t="shared" si="22"/>
        <v>#REF!</v>
      </c>
      <c r="F94" s="119" t="e">
        <f t="shared" si="23"/>
        <v>#REF!</v>
      </c>
      <c r="G94" s="123" t="e">
        <f t="shared" si="24"/>
        <v>#REF!</v>
      </c>
      <c r="H94" s="78"/>
      <c r="I94" s="5"/>
      <c r="J94" s="117" t="e">
        <f t="shared" si="18"/>
        <v>#REF!</v>
      </c>
      <c r="K94" s="125"/>
      <c r="L94" s="125" t="e">
        <f t="shared" si="25"/>
        <v>#REF!</v>
      </c>
      <c r="M94" s="125" t="e">
        <f t="shared" si="26"/>
        <v>#REF!</v>
      </c>
      <c r="N94" s="42"/>
    </row>
    <row r="95" spans="1:14" x14ac:dyDescent="0.2">
      <c r="A95" s="39" t="s">
        <v>146</v>
      </c>
      <c r="B95" s="2" t="e">
        <f t="shared" si="19"/>
        <v>#REF!</v>
      </c>
      <c r="C95" s="2" t="e">
        <f t="shared" si="20"/>
        <v>#REF!</v>
      </c>
      <c r="D95" s="40" t="e">
        <f t="shared" si="21"/>
        <v>#REF!</v>
      </c>
      <c r="E95" s="127" t="e">
        <f t="shared" si="22"/>
        <v>#REF!</v>
      </c>
      <c r="F95" s="119" t="e">
        <f t="shared" si="23"/>
        <v>#REF!</v>
      </c>
      <c r="G95" s="123" t="e">
        <f t="shared" si="24"/>
        <v>#REF!</v>
      </c>
      <c r="I95" s="5"/>
      <c r="J95" s="117" t="e">
        <f t="shared" si="18"/>
        <v>#REF!</v>
      </c>
      <c r="K95" s="125"/>
      <c r="L95" s="125" t="e">
        <f t="shared" si="25"/>
        <v>#REF!</v>
      </c>
      <c r="M95" s="125" t="e">
        <f t="shared" si="26"/>
        <v>#REF!</v>
      </c>
      <c r="N95" s="42"/>
    </row>
    <row r="96" spans="1:14" hidden="1" x14ac:dyDescent="0.2">
      <c r="A96" s="39" t="s">
        <v>147</v>
      </c>
      <c r="B96" s="2" t="e">
        <f t="shared" si="19"/>
        <v>#REF!</v>
      </c>
      <c r="C96" s="2" t="e">
        <f t="shared" si="20"/>
        <v>#REF!</v>
      </c>
      <c r="D96" s="40" t="e">
        <f t="shared" si="21"/>
        <v>#REF!</v>
      </c>
      <c r="E96" s="127" t="e">
        <f t="shared" si="22"/>
        <v>#REF!</v>
      </c>
      <c r="F96" s="119" t="e">
        <f t="shared" si="23"/>
        <v>#REF!</v>
      </c>
      <c r="G96" s="123" t="e">
        <f t="shared" si="24"/>
        <v>#REF!</v>
      </c>
      <c r="H96" s="78"/>
      <c r="I96" s="5"/>
      <c r="J96" s="117" t="e">
        <f t="shared" si="18"/>
        <v>#REF!</v>
      </c>
      <c r="K96" s="125"/>
      <c r="L96" s="125" t="e">
        <f t="shared" si="25"/>
        <v>#REF!</v>
      </c>
      <c r="M96" s="125" t="e">
        <f t="shared" si="26"/>
        <v>#REF!</v>
      </c>
      <c r="N96" s="42"/>
    </row>
    <row r="97" spans="1:14" hidden="1" x14ac:dyDescent="0.2">
      <c r="A97" s="39" t="s">
        <v>148</v>
      </c>
      <c r="B97" s="2" t="e">
        <f t="shared" si="19"/>
        <v>#REF!</v>
      </c>
      <c r="C97" s="2" t="e">
        <f t="shared" si="20"/>
        <v>#REF!</v>
      </c>
      <c r="D97" s="40" t="e">
        <f t="shared" si="21"/>
        <v>#REF!</v>
      </c>
      <c r="E97" s="127" t="e">
        <f t="shared" si="22"/>
        <v>#REF!</v>
      </c>
      <c r="F97" s="119" t="e">
        <f t="shared" si="23"/>
        <v>#REF!</v>
      </c>
      <c r="G97" s="123" t="e">
        <f t="shared" si="24"/>
        <v>#REF!</v>
      </c>
      <c r="I97" s="5"/>
      <c r="J97" s="117" t="e">
        <f t="shared" si="18"/>
        <v>#REF!</v>
      </c>
      <c r="K97" s="125"/>
      <c r="L97" s="125" t="e">
        <f t="shared" si="25"/>
        <v>#REF!</v>
      </c>
      <c r="M97" s="125" t="e">
        <f t="shared" si="26"/>
        <v>#REF!</v>
      </c>
      <c r="N97" s="42"/>
    </row>
    <row r="98" spans="1:14" hidden="1" x14ac:dyDescent="0.2">
      <c r="A98" s="39" t="s">
        <v>149</v>
      </c>
      <c r="B98" s="2" t="e">
        <f t="shared" si="19"/>
        <v>#REF!</v>
      </c>
      <c r="C98" s="2" t="e">
        <f t="shared" si="20"/>
        <v>#REF!</v>
      </c>
      <c r="D98" s="40" t="e">
        <f t="shared" si="21"/>
        <v>#REF!</v>
      </c>
      <c r="E98" s="127" t="e">
        <f t="shared" si="22"/>
        <v>#REF!</v>
      </c>
      <c r="F98" s="119" t="e">
        <f t="shared" si="23"/>
        <v>#REF!</v>
      </c>
      <c r="G98" s="123" t="e">
        <f t="shared" si="24"/>
        <v>#REF!</v>
      </c>
      <c r="H98" s="78"/>
      <c r="I98" s="5"/>
      <c r="J98" s="117" t="e">
        <f t="shared" si="18"/>
        <v>#REF!</v>
      </c>
      <c r="K98" s="125"/>
      <c r="L98" s="125" t="e">
        <f t="shared" si="25"/>
        <v>#REF!</v>
      </c>
      <c r="M98" s="125" t="e">
        <f t="shared" si="26"/>
        <v>#REF!</v>
      </c>
      <c r="N98" s="42"/>
    </row>
    <row r="99" spans="1:14" hidden="1" x14ac:dyDescent="0.2">
      <c r="A99" s="39" t="s">
        <v>150</v>
      </c>
      <c r="B99" s="2" t="e">
        <f t="shared" si="19"/>
        <v>#REF!</v>
      </c>
      <c r="C99" s="2" t="e">
        <f t="shared" si="20"/>
        <v>#REF!</v>
      </c>
      <c r="D99" s="40" t="e">
        <f t="shared" si="21"/>
        <v>#REF!</v>
      </c>
      <c r="E99" s="127" t="e">
        <f t="shared" si="22"/>
        <v>#REF!</v>
      </c>
      <c r="F99" s="119" t="e">
        <f t="shared" si="23"/>
        <v>#REF!</v>
      </c>
      <c r="G99" s="123" t="e">
        <f t="shared" si="24"/>
        <v>#REF!</v>
      </c>
      <c r="H99" s="78"/>
      <c r="I99" s="5"/>
      <c r="J99" s="117" t="e">
        <f t="shared" ref="J99:J118" si="27">IF(D99="YES",INDEX(Crop_data,MATCH(A99,Crop_data_codes,0),11)*Heating_value_diesel*EF_diesel_CH4/INDEX(Crop_data,MATCH(A99,Crop_data_codes,0),6),"")</f>
        <v>#REF!</v>
      </c>
      <c r="K99" s="125"/>
      <c r="L99" s="125" t="e">
        <f t="shared" si="25"/>
        <v>#REF!</v>
      </c>
      <c r="M99" s="125" t="e">
        <f t="shared" si="26"/>
        <v>#REF!</v>
      </c>
      <c r="N99" s="42"/>
    </row>
    <row r="100" spans="1:14" hidden="1" x14ac:dyDescent="0.2">
      <c r="A100" s="39" t="s">
        <v>151</v>
      </c>
      <c r="B100" s="2" t="e">
        <f t="shared" si="19"/>
        <v>#REF!</v>
      </c>
      <c r="C100" s="2" t="e">
        <f t="shared" si="20"/>
        <v>#REF!</v>
      </c>
      <c r="D100" s="40" t="e">
        <f t="shared" si="21"/>
        <v>#REF!</v>
      </c>
      <c r="E100" s="127" t="e">
        <f t="shared" si="22"/>
        <v>#REF!</v>
      </c>
      <c r="F100" s="119" t="e">
        <f t="shared" si="23"/>
        <v>#REF!</v>
      </c>
      <c r="G100" s="123" t="e">
        <f t="shared" si="24"/>
        <v>#REF!</v>
      </c>
      <c r="H100" s="78"/>
      <c r="I100" s="5"/>
      <c r="J100" s="117" t="e">
        <f t="shared" si="27"/>
        <v>#REF!</v>
      </c>
      <c r="K100" s="125"/>
      <c r="L100" s="125" t="e">
        <f t="shared" si="25"/>
        <v>#REF!</v>
      </c>
      <c r="M100" s="125" t="e">
        <f t="shared" si="26"/>
        <v>#REF!</v>
      </c>
      <c r="N100" s="42"/>
    </row>
    <row r="101" spans="1:14" hidden="1" x14ac:dyDescent="0.2">
      <c r="A101" s="39" t="s">
        <v>152</v>
      </c>
      <c r="B101" s="2" t="e">
        <f t="shared" si="19"/>
        <v>#REF!</v>
      </c>
      <c r="C101" s="2" t="e">
        <f t="shared" si="20"/>
        <v>#REF!</v>
      </c>
      <c r="D101" s="40" t="e">
        <f t="shared" si="21"/>
        <v>#REF!</v>
      </c>
      <c r="E101" s="127" t="e">
        <f t="shared" si="22"/>
        <v>#REF!</v>
      </c>
      <c r="F101" s="119" t="e">
        <f t="shared" si="23"/>
        <v>#REF!</v>
      </c>
      <c r="G101" s="123" t="e">
        <f t="shared" si="24"/>
        <v>#REF!</v>
      </c>
      <c r="I101" s="5"/>
      <c r="J101" s="117" t="e">
        <f t="shared" si="27"/>
        <v>#REF!</v>
      </c>
      <c r="K101" s="125"/>
      <c r="L101" s="125" t="e">
        <f t="shared" si="25"/>
        <v>#REF!</v>
      </c>
      <c r="M101" s="125" t="e">
        <f t="shared" si="26"/>
        <v>#REF!</v>
      </c>
      <c r="N101" s="42"/>
    </row>
    <row r="102" spans="1:14" hidden="1" x14ac:dyDescent="0.2">
      <c r="A102" s="39" t="s">
        <v>153</v>
      </c>
      <c r="B102" s="2" t="e">
        <f t="shared" ref="B102:B118" si="28">INDEX(Crop_data,MATCH(A102,Crop_data_codes,0),2)</f>
        <v>#REF!</v>
      </c>
      <c r="C102" s="2" t="e">
        <f t="shared" ref="C102:C118" si="29">INDEX(Crop_data,MATCH(A102,Crop_data_codes,0),3)</f>
        <v>#REF!</v>
      </c>
      <c r="D102" s="40" t="e">
        <f t="shared" ref="D102:D118" si="30">INDEX(Crop_data,MATCH(A102,Crop_data_codes,0),4)</f>
        <v>#REF!</v>
      </c>
      <c r="E102" s="127" t="e">
        <f t="shared" ref="E102:E118" si="31">IF(D102="Yes", SUM(F102:N102),"")</f>
        <v>#REF!</v>
      </c>
      <c r="F102" s="119" t="e">
        <f t="shared" ref="F102:F118" si="32">IF(D102="YES",INDEX(Crop_data,MATCH(A102,Crop_data_codes,0),7)*(Frac_BAT*EF_min_fert_BAT_CH4+Frac_AN*EF_min_fert_AN_CH4)/INDEX(Crop_data,MATCH(A102,Crop_data_codes,0),6),"")</f>
        <v>#REF!</v>
      </c>
      <c r="G102" s="123" t="e">
        <f t="shared" ref="G102:G118" si="33">IF(D102="YES",EF_capital_goods_CH4,"")</f>
        <v>#REF!</v>
      </c>
      <c r="I102" s="5"/>
      <c r="J102" s="117" t="e">
        <f t="shared" si="27"/>
        <v>#REF!</v>
      </c>
      <c r="K102" s="125"/>
      <c r="L102" s="125" t="e">
        <f t="shared" si="25"/>
        <v>#REF!</v>
      </c>
      <c r="M102" s="125" t="e">
        <f t="shared" si="26"/>
        <v>#REF!</v>
      </c>
      <c r="N102" s="42"/>
    </row>
    <row r="103" spans="1:14" hidden="1" x14ac:dyDescent="0.2">
      <c r="A103" s="39" t="s">
        <v>154</v>
      </c>
      <c r="B103" s="2" t="e">
        <f t="shared" si="28"/>
        <v>#REF!</v>
      </c>
      <c r="C103" s="2" t="e">
        <f t="shared" si="29"/>
        <v>#REF!</v>
      </c>
      <c r="D103" s="40" t="e">
        <f t="shared" si="30"/>
        <v>#REF!</v>
      </c>
      <c r="E103" s="127" t="e">
        <f t="shared" si="31"/>
        <v>#REF!</v>
      </c>
      <c r="F103" s="119" t="e">
        <f t="shared" si="32"/>
        <v>#REF!</v>
      </c>
      <c r="G103" s="123" t="e">
        <f t="shared" si="33"/>
        <v>#REF!</v>
      </c>
      <c r="I103" s="5"/>
      <c r="J103" s="117" t="e">
        <f t="shared" si="27"/>
        <v>#REF!</v>
      </c>
      <c r="K103" s="125"/>
      <c r="L103" s="125" t="e">
        <f t="shared" si="25"/>
        <v>#REF!</v>
      </c>
      <c r="M103" s="125" t="e">
        <f t="shared" si="26"/>
        <v>#REF!</v>
      </c>
      <c r="N103" s="42"/>
    </row>
    <row r="104" spans="1:14" hidden="1" x14ac:dyDescent="0.2">
      <c r="A104" s="39" t="s">
        <v>155</v>
      </c>
      <c r="B104" s="2" t="e">
        <f t="shared" si="28"/>
        <v>#REF!</v>
      </c>
      <c r="C104" s="2" t="e">
        <f t="shared" si="29"/>
        <v>#REF!</v>
      </c>
      <c r="D104" s="40" t="e">
        <f t="shared" si="30"/>
        <v>#REF!</v>
      </c>
      <c r="E104" s="127" t="e">
        <f t="shared" si="31"/>
        <v>#REF!</v>
      </c>
      <c r="F104" s="119" t="e">
        <f t="shared" si="32"/>
        <v>#REF!</v>
      </c>
      <c r="G104" s="123" t="e">
        <f t="shared" si="33"/>
        <v>#REF!</v>
      </c>
      <c r="I104" s="5"/>
      <c r="J104" s="117" t="e">
        <f t="shared" si="27"/>
        <v>#REF!</v>
      </c>
      <c r="K104" s="125"/>
      <c r="L104" s="125" t="e">
        <f t="shared" si="25"/>
        <v>#REF!</v>
      </c>
      <c r="M104" s="125" t="e">
        <f t="shared" ref="M104:M118" si="34">IF(D104="Yes",INDEX(Post_harvest_energy_data,MATCH(C104,Post_harvest_energy_categories,0),2)*EF_heating_oil_CH4+INDEX(Post_harvest_energy_data,MATCH(C104,Post_harvest_energy_categories,0),3)*EF_electricity_CH4+INDEX(Post_harvest_energy_data,MATCH(C104,Post_harvest_energy_categories,0),4)*EF_chips_CH4,"")</f>
        <v>#REF!</v>
      </c>
      <c r="N104" s="42"/>
    </row>
    <row r="105" spans="1:14" hidden="1" x14ac:dyDescent="0.2">
      <c r="A105" s="39" t="s">
        <v>156</v>
      </c>
      <c r="B105" s="2" t="e">
        <f t="shared" si="28"/>
        <v>#REF!</v>
      </c>
      <c r="C105" s="2" t="e">
        <f t="shared" si="29"/>
        <v>#REF!</v>
      </c>
      <c r="D105" s="40" t="e">
        <f t="shared" si="30"/>
        <v>#REF!</v>
      </c>
      <c r="E105" s="127" t="e">
        <f t="shared" si="31"/>
        <v>#REF!</v>
      </c>
      <c r="F105" s="119" t="e">
        <f t="shared" si="32"/>
        <v>#REF!</v>
      </c>
      <c r="G105" s="123" t="e">
        <f t="shared" si="33"/>
        <v>#REF!</v>
      </c>
      <c r="I105" s="5"/>
      <c r="J105" s="117" t="e">
        <f t="shared" si="27"/>
        <v>#REF!</v>
      </c>
      <c r="K105" s="125"/>
      <c r="L105" s="125" t="e">
        <f t="shared" si="25"/>
        <v>#REF!</v>
      </c>
      <c r="M105" s="125" t="e">
        <f t="shared" si="34"/>
        <v>#REF!</v>
      </c>
      <c r="N105" s="42"/>
    </row>
    <row r="106" spans="1:14" hidden="1" x14ac:dyDescent="0.2">
      <c r="A106" s="39" t="s">
        <v>157</v>
      </c>
      <c r="B106" s="2" t="e">
        <f t="shared" si="28"/>
        <v>#REF!</v>
      </c>
      <c r="C106" s="2" t="e">
        <f t="shared" si="29"/>
        <v>#REF!</v>
      </c>
      <c r="D106" s="40" t="e">
        <f t="shared" si="30"/>
        <v>#REF!</v>
      </c>
      <c r="E106" s="127" t="e">
        <f t="shared" si="31"/>
        <v>#REF!</v>
      </c>
      <c r="F106" s="119" t="e">
        <f t="shared" si="32"/>
        <v>#REF!</v>
      </c>
      <c r="G106" s="123" t="e">
        <f t="shared" si="33"/>
        <v>#REF!</v>
      </c>
      <c r="H106" s="78"/>
      <c r="I106" s="5"/>
      <c r="J106" s="117" t="e">
        <f t="shared" si="27"/>
        <v>#REF!</v>
      </c>
      <c r="K106" s="125" t="e">
        <f>Energy!C22/INDEX(Crop_data,MATCH(A106,Crop_data_codes,0),6)*INDEX(Crop_data,MATCH(A106,Crop_data_codes,0),5)/100</f>
        <v>#REF!</v>
      </c>
      <c r="L106" s="125"/>
      <c r="M106" s="125" t="e">
        <f t="shared" si="34"/>
        <v>#REF!</v>
      </c>
      <c r="N106" s="42"/>
    </row>
    <row r="107" spans="1:14" hidden="1" x14ac:dyDescent="0.2">
      <c r="A107" s="39" t="s">
        <v>158</v>
      </c>
      <c r="B107" s="2" t="e">
        <f t="shared" si="28"/>
        <v>#REF!</v>
      </c>
      <c r="C107" s="2" t="e">
        <f t="shared" si="29"/>
        <v>#REF!</v>
      </c>
      <c r="D107" s="40" t="e">
        <f t="shared" si="30"/>
        <v>#REF!</v>
      </c>
      <c r="E107" s="127" t="e">
        <f t="shared" si="31"/>
        <v>#REF!</v>
      </c>
      <c r="F107" s="119" t="e">
        <f t="shared" si="32"/>
        <v>#REF!</v>
      </c>
      <c r="G107" s="123" t="e">
        <f t="shared" si="33"/>
        <v>#REF!</v>
      </c>
      <c r="I107" s="5"/>
      <c r="J107" s="117" t="e">
        <f t="shared" si="27"/>
        <v>#REF!</v>
      </c>
      <c r="K107" s="125"/>
      <c r="L107" s="125"/>
      <c r="M107" s="125" t="e">
        <f t="shared" si="34"/>
        <v>#REF!</v>
      </c>
      <c r="N107" s="42"/>
    </row>
    <row r="108" spans="1:14" hidden="1" x14ac:dyDescent="0.2">
      <c r="A108" s="39" t="s">
        <v>159</v>
      </c>
      <c r="B108" s="2" t="e">
        <f t="shared" si="28"/>
        <v>#REF!</v>
      </c>
      <c r="C108" s="2" t="e">
        <f t="shared" si="29"/>
        <v>#REF!</v>
      </c>
      <c r="D108" s="40" t="e">
        <f t="shared" si="30"/>
        <v>#REF!</v>
      </c>
      <c r="E108" s="127" t="e">
        <f t="shared" si="31"/>
        <v>#REF!</v>
      </c>
      <c r="F108" s="119" t="e">
        <f t="shared" si="32"/>
        <v>#REF!</v>
      </c>
      <c r="G108" s="123" t="e">
        <f t="shared" si="33"/>
        <v>#REF!</v>
      </c>
      <c r="H108" s="78"/>
      <c r="I108" s="5"/>
      <c r="J108" s="117" t="e">
        <f t="shared" si="27"/>
        <v>#REF!</v>
      </c>
      <c r="K108" s="125"/>
      <c r="L108" s="125" t="e">
        <f t="shared" ref="L108:L118" si="35">IF(D108="YES",INDEX(Crop_data,MATCH(A108,Crop_data_codes,0),12)*EF_irrigation_CH4/INDEX(Crop_data,MATCH(A108,Crop_data_codes,0),6),"")</f>
        <v>#REF!</v>
      </c>
      <c r="M108" s="125" t="e">
        <f t="shared" si="34"/>
        <v>#REF!</v>
      </c>
      <c r="N108" s="42"/>
    </row>
    <row r="109" spans="1:14" hidden="1" x14ac:dyDescent="0.2">
      <c r="A109" s="39" t="s">
        <v>160</v>
      </c>
      <c r="B109" s="2" t="e">
        <f t="shared" si="28"/>
        <v>#REF!</v>
      </c>
      <c r="C109" s="2" t="e">
        <f t="shared" si="29"/>
        <v>#REF!</v>
      </c>
      <c r="D109" s="40" t="e">
        <f t="shared" si="30"/>
        <v>#REF!</v>
      </c>
      <c r="E109" s="127" t="e">
        <f t="shared" si="31"/>
        <v>#REF!</v>
      </c>
      <c r="F109" s="119" t="e">
        <f t="shared" si="32"/>
        <v>#REF!</v>
      </c>
      <c r="G109" s="123" t="e">
        <f t="shared" si="33"/>
        <v>#REF!</v>
      </c>
      <c r="I109" s="5"/>
      <c r="J109" s="117" t="e">
        <f t="shared" si="27"/>
        <v>#REF!</v>
      </c>
      <c r="K109" s="125"/>
      <c r="L109" s="125" t="e">
        <f t="shared" si="35"/>
        <v>#REF!</v>
      </c>
      <c r="M109" s="125" t="e">
        <f t="shared" si="34"/>
        <v>#REF!</v>
      </c>
      <c r="N109" s="42"/>
    </row>
    <row r="110" spans="1:14" hidden="1" x14ac:dyDescent="0.2">
      <c r="A110" s="39" t="s">
        <v>161</v>
      </c>
      <c r="B110" s="2" t="e">
        <f t="shared" si="28"/>
        <v>#REF!</v>
      </c>
      <c r="C110" s="2" t="e">
        <f t="shared" si="29"/>
        <v>#REF!</v>
      </c>
      <c r="D110" s="40" t="e">
        <f t="shared" si="30"/>
        <v>#REF!</v>
      </c>
      <c r="E110" s="127" t="e">
        <f t="shared" si="31"/>
        <v>#REF!</v>
      </c>
      <c r="F110" s="119" t="e">
        <f t="shared" si="32"/>
        <v>#REF!</v>
      </c>
      <c r="G110" s="123" t="e">
        <f t="shared" si="33"/>
        <v>#REF!</v>
      </c>
      <c r="I110" s="5"/>
      <c r="J110" s="117" t="e">
        <f t="shared" si="27"/>
        <v>#REF!</v>
      </c>
      <c r="K110" s="125"/>
      <c r="L110" s="125" t="e">
        <f t="shared" si="35"/>
        <v>#REF!</v>
      </c>
      <c r="M110" s="125" t="e">
        <f t="shared" si="34"/>
        <v>#REF!</v>
      </c>
      <c r="N110" s="42"/>
    </row>
    <row r="111" spans="1:14" hidden="1" x14ac:dyDescent="0.2">
      <c r="A111" s="39" t="s">
        <v>162</v>
      </c>
      <c r="B111" s="2" t="e">
        <f t="shared" si="28"/>
        <v>#REF!</v>
      </c>
      <c r="C111" s="2" t="e">
        <f t="shared" si="29"/>
        <v>#REF!</v>
      </c>
      <c r="D111" s="40" t="e">
        <f t="shared" si="30"/>
        <v>#REF!</v>
      </c>
      <c r="E111" s="127" t="e">
        <f t="shared" si="31"/>
        <v>#REF!</v>
      </c>
      <c r="F111" s="119" t="e">
        <f t="shared" si="32"/>
        <v>#REF!</v>
      </c>
      <c r="G111" s="123" t="e">
        <f t="shared" si="33"/>
        <v>#REF!</v>
      </c>
      <c r="I111" s="5"/>
      <c r="J111" s="117" t="e">
        <f t="shared" si="27"/>
        <v>#REF!</v>
      </c>
      <c r="K111" s="125"/>
      <c r="L111" s="125" t="e">
        <f t="shared" si="35"/>
        <v>#REF!</v>
      </c>
      <c r="M111" s="125" t="e">
        <f t="shared" si="34"/>
        <v>#REF!</v>
      </c>
      <c r="N111" s="42"/>
    </row>
    <row r="112" spans="1:14" hidden="1" x14ac:dyDescent="0.2">
      <c r="A112" s="39" t="s">
        <v>163</v>
      </c>
      <c r="B112" s="2" t="e">
        <f t="shared" si="28"/>
        <v>#REF!</v>
      </c>
      <c r="C112" s="2" t="e">
        <f t="shared" si="29"/>
        <v>#REF!</v>
      </c>
      <c r="D112" s="40" t="e">
        <f t="shared" si="30"/>
        <v>#REF!</v>
      </c>
      <c r="E112" s="127" t="e">
        <f t="shared" si="31"/>
        <v>#REF!</v>
      </c>
      <c r="F112" s="119" t="e">
        <f t="shared" si="32"/>
        <v>#REF!</v>
      </c>
      <c r="G112" s="123" t="e">
        <f t="shared" si="33"/>
        <v>#REF!</v>
      </c>
      <c r="I112" s="5"/>
      <c r="J112" s="117" t="e">
        <f t="shared" si="27"/>
        <v>#REF!</v>
      </c>
      <c r="K112" s="125"/>
      <c r="L112" s="125" t="e">
        <f t="shared" si="35"/>
        <v>#REF!</v>
      </c>
      <c r="M112" s="125" t="e">
        <f t="shared" si="34"/>
        <v>#REF!</v>
      </c>
      <c r="N112" s="42"/>
    </row>
    <row r="113" spans="1:14" hidden="1" x14ac:dyDescent="0.2">
      <c r="A113" s="39" t="s">
        <v>164</v>
      </c>
      <c r="B113" s="2" t="e">
        <f t="shared" si="28"/>
        <v>#REF!</v>
      </c>
      <c r="C113" s="2" t="e">
        <f t="shared" si="29"/>
        <v>#REF!</v>
      </c>
      <c r="D113" s="40" t="e">
        <f t="shared" si="30"/>
        <v>#REF!</v>
      </c>
      <c r="E113" s="127" t="e">
        <f t="shared" si="31"/>
        <v>#REF!</v>
      </c>
      <c r="F113" s="119" t="e">
        <f t="shared" si="32"/>
        <v>#REF!</v>
      </c>
      <c r="G113" s="123" t="e">
        <f t="shared" si="33"/>
        <v>#REF!</v>
      </c>
      <c r="I113" s="5"/>
      <c r="J113" s="117" t="e">
        <f t="shared" si="27"/>
        <v>#REF!</v>
      </c>
      <c r="K113" s="125"/>
      <c r="L113" s="125" t="e">
        <f t="shared" si="35"/>
        <v>#REF!</v>
      </c>
      <c r="M113" s="125" t="e">
        <f t="shared" si="34"/>
        <v>#REF!</v>
      </c>
      <c r="N113" s="42"/>
    </row>
    <row r="114" spans="1:14" hidden="1" x14ac:dyDescent="0.2">
      <c r="A114" s="39" t="s">
        <v>165</v>
      </c>
      <c r="B114" s="2" t="e">
        <f t="shared" si="28"/>
        <v>#REF!</v>
      </c>
      <c r="C114" s="2" t="e">
        <f t="shared" si="29"/>
        <v>#REF!</v>
      </c>
      <c r="D114" s="40" t="e">
        <f t="shared" si="30"/>
        <v>#REF!</v>
      </c>
      <c r="E114" s="127" t="e">
        <f t="shared" ref="E114:E115" si="36">IF(D114="Yes", SUM(F114:N114),"")</f>
        <v>#REF!</v>
      </c>
      <c r="F114" s="119" t="e">
        <f t="shared" si="32"/>
        <v>#REF!</v>
      </c>
      <c r="G114" s="123" t="e">
        <f t="shared" ref="G114:G115" si="37">IF(D114="YES",EF_capital_goods_CH4,"")</f>
        <v>#REF!</v>
      </c>
      <c r="I114" s="5"/>
      <c r="J114" s="117" t="e">
        <f t="shared" si="27"/>
        <v>#REF!</v>
      </c>
      <c r="K114" s="125"/>
      <c r="L114" s="125" t="e">
        <f t="shared" si="35"/>
        <v>#REF!</v>
      </c>
      <c r="M114" s="125" t="e">
        <f t="shared" ref="M114:M115" si="38">IF(D114="Yes",INDEX(Post_harvest_energy_data,MATCH(C114,Post_harvest_energy_categories,0),2)*EF_heating_oil_CH4+INDEX(Post_harvest_energy_data,MATCH(C114,Post_harvest_energy_categories,0),3)*EF_electricity_CH4+INDEX(Post_harvest_energy_data,MATCH(C114,Post_harvest_energy_categories,0),4)*EF_chips_CH4,"")</f>
        <v>#REF!</v>
      </c>
      <c r="N114" s="42"/>
    </row>
    <row r="115" spans="1:14" hidden="1" x14ac:dyDescent="0.2">
      <c r="A115" s="39" t="s">
        <v>166</v>
      </c>
      <c r="B115" s="2" t="e">
        <f t="shared" si="28"/>
        <v>#REF!</v>
      </c>
      <c r="C115" s="2" t="e">
        <f t="shared" si="29"/>
        <v>#REF!</v>
      </c>
      <c r="D115" s="40" t="e">
        <f t="shared" si="30"/>
        <v>#REF!</v>
      </c>
      <c r="E115" s="127" t="e">
        <f t="shared" si="36"/>
        <v>#REF!</v>
      </c>
      <c r="F115" s="119" t="e">
        <f t="shared" si="32"/>
        <v>#REF!</v>
      </c>
      <c r="G115" s="123" t="e">
        <f t="shared" si="37"/>
        <v>#REF!</v>
      </c>
      <c r="I115" s="5"/>
      <c r="J115" s="117" t="e">
        <f t="shared" si="27"/>
        <v>#REF!</v>
      </c>
      <c r="K115" s="125"/>
      <c r="L115" s="125" t="e">
        <f t="shared" si="35"/>
        <v>#REF!</v>
      </c>
      <c r="M115" s="125" t="e">
        <f t="shared" si="38"/>
        <v>#REF!</v>
      </c>
      <c r="N115" s="42"/>
    </row>
    <row r="116" spans="1:14" x14ac:dyDescent="0.2">
      <c r="A116" s="39" t="s">
        <v>167</v>
      </c>
      <c r="B116" s="2" t="e">
        <f t="shared" si="28"/>
        <v>#REF!</v>
      </c>
      <c r="C116" s="2" t="e">
        <f t="shared" si="29"/>
        <v>#REF!</v>
      </c>
      <c r="D116" s="40" t="e">
        <f t="shared" si="30"/>
        <v>#REF!</v>
      </c>
      <c r="E116" s="127" t="e">
        <f t="shared" si="31"/>
        <v>#REF!</v>
      </c>
      <c r="F116" s="119" t="e">
        <f t="shared" si="32"/>
        <v>#REF!</v>
      </c>
      <c r="G116" s="123" t="e">
        <f t="shared" si="33"/>
        <v>#REF!</v>
      </c>
      <c r="I116" s="5"/>
      <c r="J116" s="117" t="e">
        <f t="shared" si="27"/>
        <v>#REF!</v>
      </c>
      <c r="K116" s="125"/>
      <c r="L116" s="125" t="e">
        <f t="shared" si="35"/>
        <v>#REF!</v>
      </c>
      <c r="M116" s="125" t="e">
        <f t="shared" si="34"/>
        <v>#REF!</v>
      </c>
      <c r="N116" s="42"/>
    </row>
    <row r="117" spans="1:14" hidden="1" x14ac:dyDescent="0.2">
      <c r="A117" s="39" t="s">
        <v>168</v>
      </c>
      <c r="B117" s="2" t="e">
        <f t="shared" si="28"/>
        <v>#REF!</v>
      </c>
      <c r="C117" s="2" t="e">
        <f t="shared" si="29"/>
        <v>#REF!</v>
      </c>
      <c r="D117" s="40" t="e">
        <f t="shared" si="30"/>
        <v>#REF!</v>
      </c>
      <c r="E117" s="127" t="e">
        <f t="shared" si="31"/>
        <v>#REF!</v>
      </c>
      <c r="F117" s="119" t="e">
        <f t="shared" si="32"/>
        <v>#REF!</v>
      </c>
      <c r="G117" s="123" t="e">
        <f t="shared" si="33"/>
        <v>#REF!</v>
      </c>
      <c r="H117" s="110"/>
      <c r="I117" s="5"/>
      <c r="J117" s="117" t="e">
        <f t="shared" si="27"/>
        <v>#REF!</v>
      </c>
      <c r="K117" s="125"/>
      <c r="L117" s="125" t="e">
        <f t="shared" si="35"/>
        <v>#REF!</v>
      </c>
      <c r="M117" s="121" t="e">
        <f t="shared" si="34"/>
        <v>#REF!</v>
      </c>
      <c r="N117" s="42"/>
    </row>
    <row r="118" spans="1:14" hidden="1" x14ac:dyDescent="0.2">
      <c r="A118" s="41" t="s">
        <v>169</v>
      </c>
      <c r="B118" s="45" t="e">
        <f t="shared" si="28"/>
        <v>#REF!</v>
      </c>
      <c r="C118" s="45" t="e">
        <f t="shared" si="29"/>
        <v>#REF!</v>
      </c>
      <c r="D118" s="32" t="e">
        <f t="shared" si="30"/>
        <v>#REF!</v>
      </c>
      <c r="E118" s="128" t="e">
        <f t="shared" si="31"/>
        <v>#REF!</v>
      </c>
      <c r="F118" s="120" t="e">
        <f t="shared" si="32"/>
        <v>#REF!</v>
      </c>
      <c r="G118" s="124" t="e">
        <f t="shared" si="33"/>
        <v>#REF!</v>
      </c>
      <c r="H118" s="111"/>
      <c r="I118" s="6"/>
      <c r="J118" s="118" t="e">
        <f t="shared" si="27"/>
        <v>#REF!</v>
      </c>
      <c r="K118" s="126"/>
      <c r="L118" s="126" t="e">
        <f t="shared" si="35"/>
        <v>#REF!</v>
      </c>
      <c r="M118" s="122" t="e">
        <f t="shared" si="34"/>
        <v>#REF!</v>
      </c>
      <c r="N118" s="43"/>
    </row>
  </sheetData>
  <autoFilter ref="A5:N118" xr:uid="{00000000-0009-0000-0000-000005000000}">
    <filterColumn colId="2">
      <filters>
        <filter val="Cereals, incl feed"/>
        <filter val="Pulses, incl feed"/>
      </filters>
    </filterColumn>
    <sortState xmlns:xlrd2="http://schemas.microsoft.com/office/spreadsheetml/2017/richdata2" ref="A6:N116">
      <sortCondition ref="B5"/>
    </sortState>
  </autoFilter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9" tint="0.79998168889431442"/>
  </sheetPr>
  <dimension ref="A2:N118"/>
  <sheetViews>
    <sheetView topLeftCell="A71" zoomScale="70" zoomScaleNormal="70" workbookViewId="0">
      <selection activeCell="F91" sqref="F91"/>
    </sheetView>
  </sheetViews>
  <sheetFormatPr baseColWidth="10" defaultColWidth="8.6640625" defaultRowHeight="15" x14ac:dyDescent="0.2"/>
  <cols>
    <col min="1" max="1" width="9.6640625" customWidth="1"/>
    <col min="2" max="2" width="29.5" customWidth="1"/>
    <col min="3" max="3" width="18.33203125" customWidth="1"/>
    <col min="4" max="4" width="10.33203125" customWidth="1"/>
    <col min="5" max="5" width="9.5" customWidth="1"/>
    <col min="6" max="6" width="12.6640625" customWidth="1"/>
    <col min="7" max="7" width="14.5" customWidth="1"/>
    <col min="8" max="9" width="12.6640625" customWidth="1"/>
    <col min="10" max="10" width="10.5" customWidth="1"/>
    <col min="11" max="11" width="12.5" customWidth="1"/>
    <col min="12" max="12" width="12.33203125" customWidth="1"/>
    <col min="13" max="13" width="12.5" customWidth="1"/>
    <col min="14" max="14" width="16.5" customWidth="1"/>
  </cols>
  <sheetData>
    <row r="2" spans="1:14" ht="21" x14ac:dyDescent="0.25">
      <c r="A2" s="38" t="s">
        <v>173</v>
      </c>
    </row>
    <row r="4" spans="1:14" x14ac:dyDescent="0.2">
      <c r="A4" s="171" t="s">
        <v>5</v>
      </c>
      <c r="B4" s="172"/>
      <c r="C4" s="172"/>
      <c r="D4" s="178"/>
      <c r="E4" s="173" t="s">
        <v>40</v>
      </c>
      <c r="F4" s="179" t="s">
        <v>41</v>
      </c>
      <c r="G4" s="175"/>
      <c r="H4" s="174" t="s">
        <v>42</v>
      </c>
      <c r="I4" s="176"/>
      <c r="J4" s="180" t="s">
        <v>43</v>
      </c>
      <c r="K4" s="177"/>
      <c r="L4" s="177"/>
      <c r="M4" s="177"/>
      <c r="N4" s="181" t="s">
        <v>44</v>
      </c>
    </row>
    <row r="5" spans="1:14" ht="48" x14ac:dyDescent="0.2">
      <c r="A5" s="166" t="s">
        <v>45</v>
      </c>
      <c r="B5" s="167" t="s">
        <v>5</v>
      </c>
      <c r="C5" s="167" t="s">
        <v>46</v>
      </c>
      <c r="D5" s="182" t="s">
        <v>47</v>
      </c>
      <c r="E5" s="168"/>
      <c r="F5" s="183" t="s">
        <v>48</v>
      </c>
      <c r="G5" s="170" t="s">
        <v>49</v>
      </c>
      <c r="H5" s="169" t="s">
        <v>50</v>
      </c>
      <c r="I5" s="170" t="s">
        <v>51</v>
      </c>
      <c r="J5" s="183" t="s">
        <v>52</v>
      </c>
      <c r="K5" s="169" t="s">
        <v>53</v>
      </c>
      <c r="L5" s="169" t="s">
        <v>54</v>
      </c>
      <c r="M5" s="169" t="s">
        <v>55</v>
      </c>
      <c r="N5" s="184" t="s">
        <v>56</v>
      </c>
    </row>
    <row r="6" spans="1:14" x14ac:dyDescent="0.2">
      <c r="A6" s="39" t="s">
        <v>57</v>
      </c>
      <c r="B6" s="2" t="e">
        <f t="shared" ref="B6:B69" si="0">INDEX(Crop_data,MATCH(A6,Crop_data_codes,0),2)</f>
        <v>#REF!</v>
      </c>
      <c r="C6" s="2" t="e">
        <f t="shared" ref="C6:C69" si="1">INDEX(Crop_data,MATCH(A6,Crop_data_codes,0),3)</f>
        <v>#REF!</v>
      </c>
      <c r="D6" s="40" t="e">
        <f t="shared" ref="D6:D69" si="2">INDEX(Crop_data,MATCH(A6,Crop_data_codes,0),4)</f>
        <v>#REF!</v>
      </c>
      <c r="E6" s="127"/>
      <c r="F6" s="119"/>
      <c r="G6" s="123"/>
      <c r="I6" s="5"/>
      <c r="J6" s="117"/>
      <c r="K6" s="125"/>
      <c r="L6" s="125"/>
      <c r="M6" s="125"/>
      <c r="N6" s="42"/>
    </row>
    <row r="7" spans="1:14" x14ac:dyDescent="0.2">
      <c r="A7" s="39" t="s">
        <v>58</v>
      </c>
      <c r="B7" s="2" t="e">
        <f t="shared" si="0"/>
        <v>#REF!</v>
      </c>
      <c r="C7" s="2" t="e">
        <f t="shared" si="1"/>
        <v>#REF!</v>
      </c>
      <c r="D7" s="40" t="e">
        <f t="shared" si="2"/>
        <v>#REF!</v>
      </c>
      <c r="E7" s="127"/>
      <c r="F7" s="119"/>
      <c r="G7" s="123"/>
      <c r="I7" s="5"/>
      <c r="J7" s="117"/>
      <c r="K7" s="125"/>
      <c r="L7" s="125"/>
      <c r="M7" s="125"/>
      <c r="N7" s="42"/>
    </row>
    <row r="8" spans="1:14" x14ac:dyDescent="0.2">
      <c r="A8" s="39" t="s">
        <v>59</v>
      </c>
      <c r="B8" s="2" t="e">
        <f t="shared" si="0"/>
        <v>#REF!</v>
      </c>
      <c r="C8" s="2" t="e">
        <f t="shared" si="1"/>
        <v>#REF!</v>
      </c>
      <c r="D8" s="40" t="e">
        <f t="shared" si="2"/>
        <v>#REF!</v>
      </c>
      <c r="E8" s="127"/>
      <c r="F8" s="119"/>
      <c r="G8" s="123"/>
      <c r="H8" s="78"/>
      <c r="I8" s="5"/>
      <c r="J8" s="117"/>
      <c r="K8" s="125"/>
      <c r="L8" s="125"/>
      <c r="M8" s="125"/>
      <c r="N8" s="42"/>
    </row>
    <row r="9" spans="1:14" x14ac:dyDescent="0.2">
      <c r="A9" s="39" t="s">
        <v>60</v>
      </c>
      <c r="B9" s="2" t="e">
        <f t="shared" si="0"/>
        <v>#REF!</v>
      </c>
      <c r="C9" s="2" t="e">
        <f t="shared" si="1"/>
        <v>#REF!</v>
      </c>
      <c r="D9" s="40" t="e">
        <f t="shared" si="2"/>
        <v>#REF!</v>
      </c>
      <c r="E9" s="127"/>
      <c r="F9" s="119"/>
      <c r="G9" s="123"/>
      <c r="H9" s="78"/>
      <c r="I9" s="5"/>
      <c r="J9" s="117"/>
      <c r="K9" s="125"/>
      <c r="L9" s="125"/>
      <c r="M9" s="125"/>
      <c r="N9" s="42"/>
    </row>
    <row r="10" spans="1:14" x14ac:dyDescent="0.2">
      <c r="A10" s="39" t="s">
        <v>61</v>
      </c>
      <c r="B10" s="2" t="e">
        <f t="shared" si="0"/>
        <v>#REF!</v>
      </c>
      <c r="C10" s="2" t="e">
        <f t="shared" si="1"/>
        <v>#REF!</v>
      </c>
      <c r="D10" s="40" t="e">
        <f t="shared" si="2"/>
        <v>#REF!</v>
      </c>
      <c r="E10" s="127"/>
      <c r="F10" s="119"/>
      <c r="G10" s="123"/>
      <c r="H10" s="78"/>
      <c r="I10" s="5"/>
      <c r="J10" s="117"/>
      <c r="K10" s="125"/>
      <c r="L10" s="125"/>
      <c r="M10" s="125"/>
      <c r="N10" s="42"/>
    </row>
    <row r="11" spans="1:14" x14ac:dyDescent="0.2">
      <c r="A11" s="39" t="s">
        <v>62</v>
      </c>
      <c r="B11" s="2" t="e">
        <f t="shared" si="0"/>
        <v>#REF!</v>
      </c>
      <c r="C11" s="2" t="e">
        <f t="shared" si="1"/>
        <v>#REF!</v>
      </c>
      <c r="D11" s="40" t="e">
        <f t="shared" si="2"/>
        <v>#REF!</v>
      </c>
      <c r="E11" s="127"/>
      <c r="F11" s="119"/>
      <c r="G11" s="123"/>
      <c r="H11" s="78"/>
      <c r="I11" s="5"/>
      <c r="J11" s="117"/>
      <c r="K11" s="125"/>
      <c r="L11" s="125"/>
      <c r="M11" s="125"/>
      <c r="N11" s="42"/>
    </row>
    <row r="12" spans="1:14" x14ac:dyDescent="0.2">
      <c r="A12" s="39" t="s">
        <v>63</v>
      </c>
      <c r="B12" s="2" t="e">
        <f t="shared" si="0"/>
        <v>#REF!</v>
      </c>
      <c r="C12" s="2" t="e">
        <f t="shared" si="1"/>
        <v>#REF!</v>
      </c>
      <c r="D12" s="40" t="e">
        <f t="shared" si="2"/>
        <v>#REF!</v>
      </c>
      <c r="E12" s="127"/>
      <c r="F12" s="119"/>
      <c r="G12" s="123"/>
      <c r="H12" s="78"/>
      <c r="I12" s="5"/>
      <c r="J12" s="117"/>
      <c r="K12" s="125"/>
      <c r="L12" s="125"/>
      <c r="M12" s="125"/>
      <c r="N12" s="42"/>
    </row>
    <row r="13" spans="1:14" x14ac:dyDescent="0.2">
      <c r="A13" s="39" t="s">
        <v>64</v>
      </c>
      <c r="B13" s="2" t="e">
        <f t="shared" si="0"/>
        <v>#REF!</v>
      </c>
      <c r="C13" s="2" t="e">
        <f t="shared" si="1"/>
        <v>#REF!</v>
      </c>
      <c r="D13" s="40" t="e">
        <f t="shared" si="2"/>
        <v>#REF!</v>
      </c>
      <c r="E13" s="127"/>
      <c r="F13" s="119"/>
      <c r="G13" s="123"/>
      <c r="H13" s="78"/>
      <c r="I13" s="5"/>
      <c r="J13" s="117"/>
      <c r="K13" s="125"/>
      <c r="L13" s="125"/>
      <c r="M13" s="125"/>
      <c r="N13" s="42"/>
    </row>
    <row r="14" spans="1:14" x14ac:dyDescent="0.2">
      <c r="A14" s="39" t="s">
        <v>65</v>
      </c>
      <c r="B14" s="2" t="e">
        <f t="shared" si="0"/>
        <v>#REF!</v>
      </c>
      <c r="C14" s="2" t="e">
        <f t="shared" si="1"/>
        <v>#REF!</v>
      </c>
      <c r="D14" s="40" t="e">
        <f t="shared" si="2"/>
        <v>#REF!</v>
      </c>
      <c r="E14" s="127"/>
      <c r="F14" s="119"/>
      <c r="G14" s="123"/>
      <c r="H14" s="78"/>
      <c r="I14" s="5"/>
      <c r="J14" s="117"/>
      <c r="K14" s="125"/>
      <c r="L14" s="125"/>
      <c r="M14" s="125"/>
      <c r="N14" s="42"/>
    </row>
    <row r="15" spans="1:14" x14ac:dyDescent="0.2">
      <c r="A15" s="39" t="s">
        <v>66</v>
      </c>
      <c r="B15" s="2" t="e">
        <f t="shared" si="0"/>
        <v>#REF!</v>
      </c>
      <c r="C15" s="2" t="e">
        <f t="shared" si="1"/>
        <v>#REF!</v>
      </c>
      <c r="D15" s="40" t="e">
        <f t="shared" si="2"/>
        <v>#REF!</v>
      </c>
      <c r="E15" s="127"/>
      <c r="F15" s="119"/>
      <c r="G15" s="123"/>
      <c r="H15" s="78"/>
      <c r="I15" s="5"/>
      <c r="J15" s="117"/>
      <c r="K15" s="125"/>
      <c r="L15" s="125"/>
      <c r="M15" s="125"/>
      <c r="N15" s="42"/>
    </row>
    <row r="16" spans="1:14" x14ac:dyDescent="0.2">
      <c r="A16" s="39" t="s">
        <v>67</v>
      </c>
      <c r="B16" s="2" t="e">
        <f t="shared" si="0"/>
        <v>#REF!</v>
      </c>
      <c r="C16" s="2" t="e">
        <f t="shared" si="1"/>
        <v>#REF!</v>
      </c>
      <c r="D16" s="40" t="e">
        <f t="shared" si="2"/>
        <v>#REF!</v>
      </c>
      <c r="E16" s="127"/>
      <c r="F16" s="119"/>
      <c r="G16" s="123"/>
      <c r="H16" s="78"/>
      <c r="I16" s="5"/>
      <c r="J16" s="117"/>
      <c r="K16" s="125"/>
      <c r="L16" s="125"/>
      <c r="M16" s="125"/>
      <c r="N16" s="42"/>
    </row>
    <row r="17" spans="1:14" x14ac:dyDescent="0.2">
      <c r="A17" s="39" t="s">
        <v>68</v>
      </c>
      <c r="B17" s="2" t="e">
        <f t="shared" si="0"/>
        <v>#REF!</v>
      </c>
      <c r="C17" s="2" t="e">
        <f t="shared" si="1"/>
        <v>#REF!</v>
      </c>
      <c r="D17" s="40" t="e">
        <f t="shared" si="2"/>
        <v>#REF!</v>
      </c>
      <c r="E17" s="127"/>
      <c r="F17" s="119"/>
      <c r="G17" s="123"/>
      <c r="I17" s="5"/>
      <c r="J17" s="117"/>
      <c r="K17" s="125"/>
      <c r="L17" s="125"/>
      <c r="M17" s="125"/>
      <c r="N17" s="42"/>
    </row>
    <row r="18" spans="1:14" x14ac:dyDescent="0.2">
      <c r="A18" s="39" t="s">
        <v>69</v>
      </c>
      <c r="B18" s="2" t="e">
        <f t="shared" si="0"/>
        <v>#REF!</v>
      </c>
      <c r="C18" s="2" t="e">
        <f t="shared" si="1"/>
        <v>#REF!</v>
      </c>
      <c r="D18" s="40" t="e">
        <f t="shared" si="2"/>
        <v>#REF!</v>
      </c>
      <c r="E18" s="127"/>
      <c r="F18" s="119"/>
      <c r="G18" s="123"/>
      <c r="H18" s="78"/>
      <c r="I18" s="5"/>
      <c r="J18" s="117"/>
      <c r="K18" s="125"/>
      <c r="L18" s="125"/>
      <c r="M18" s="125"/>
      <c r="N18" s="42"/>
    </row>
    <row r="19" spans="1:14" x14ac:dyDescent="0.2">
      <c r="A19" s="39" t="s">
        <v>70</v>
      </c>
      <c r="B19" s="2" t="e">
        <f t="shared" si="0"/>
        <v>#REF!</v>
      </c>
      <c r="C19" s="2" t="e">
        <f t="shared" si="1"/>
        <v>#REF!</v>
      </c>
      <c r="D19" s="40" t="e">
        <f t="shared" si="2"/>
        <v>#REF!</v>
      </c>
      <c r="E19" s="127"/>
      <c r="F19" s="119"/>
      <c r="G19" s="123"/>
      <c r="H19" s="78"/>
      <c r="I19" s="5"/>
      <c r="J19" s="117"/>
      <c r="K19" s="125"/>
      <c r="L19" s="125"/>
      <c r="M19" s="125"/>
      <c r="N19" s="42"/>
    </row>
    <row r="20" spans="1:14" x14ac:dyDescent="0.2">
      <c r="A20" s="39" t="s">
        <v>71</v>
      </c>
      <c r="B20" s="2" t="e">
        <f t="shared" si="0"/>
        <v>#REF!</v>
      </c>
      <c r="C20" s="2" t="e">
        <f t="shared" si="1"/>
        <v>#REF!</v>
      </c>
      <c r="D20" s="40" t="e">
        <f t="shared" si="2"/>
        <v>#REF!</v>
      </c>
      <c r="E20" s="127"/>
      <c r="F20" s="119"/>
      <c r="G20" s="123"/>
      <c r="H20" s="78"/>
      <c r="I20" s="5"/>
      <c r="J20" s="117"/>
      <c r="K20" s="125"/>
      <c r="L20" s="125"/>
      <c r="M20" s="125"/>
      <c r="N20" s="42"/>
    </row>
    <row r="21" spans="1:14" x14ac:dyDescent="0.2">
      <c r="A21" s="39" t="s">
        <v>72</v>
      </c>
      <c r="B21" s="2" t="e">
        <f t="shared" si="0"/>
        <v>#REF!</v>
      </c>
      <c r="C21" s="2" t="e">
        <f t="shared" si="1"/>
        <v>#REF!</v>
      </c>
      <c r="D21" s="40" t="e">
        <f t="shared" si="2"/>
        <v>#REF!</v>
      </c>
      <c r="E21" s="127"/>
      <c r="F21" s="119"/>
      <c r="G21" s="123"/>
      <c r="H21" s="78"/>
      <c r="I21" s="5"/>
      <c r="J21" s="117"/>
      <c r="K21" s="125"/>
      <c r="L21" s="125"/>
      <c r="M21" s="125"/>
      <c r="N21" s="42"/>
    </row>
    <row r="22" spans="1:14" x14ac:dyDescent="0.2">
      <c r="A22" s="39" t="s">
        <v>73</v>
      </c>
      <c r="B22" s="2" t="e">
        <f t="shared" si="0"/>
        <v>#REF!</v>
      </c>
      <c r="C22" s="2" t="e">
        <f t="shared" si="1"/>
        <v>#REF!</v>
      </c>
      <c r="D22" s="40" t="e">
        <f t="shared" si="2"/>
        <v>#REF!</v>
      </c>
      <c r="E22" s="127"/>
      <c r="F22" s="119"/>
      <c r="G22" s="123"/>
      <c r="H22" s="78"/>
      <c r="I22" s="5"/>
      <c r="J22" s="117"/>
      <c r="K22" s="125"/>
      <c r="L22" s="125"/>
      <c r="M22" s="125"/>
      <c r="N22" s="42"/>
    </row>
    <row r="23" spans="1:14" x14ac:dyDescent="0.2">
      <c r="A23" s="39" t="s">
        <v>74</v>
      </c>
      <c r="B23" s="2" t="e">
        <f t="shared" si="0"/>
        <v>#REF!</v>
      </c>
      <c r="C23" s="2" t="e">
        <f t="shared" si="1"/>
        <v>#REF!</v>
      </c>
      <c r="D23" s="40" t="e">
        <f t="shared" si="2"/>
        <v>#REF!</v>
      </c>
      <c r="E23" s="127"/>
      <c r="F23" s="119"/>
      <c r="G23" s="123"/>
      <c r="H23" s="78"/>
      <c r="I23" s="5"/>
      <c r="J23" s="117"/>
      <c r="K23" s="125"/>
      <c r="L23" s="125"/>
      <c r="M23" s="125"/>
      <c r="N23" s="42"/>
    </row>
    <row r="24" spans="1:14" x14ac:dyDescent="0.2">
      <c r="A24" s="39" t="s">
        <v>75</v>
      </c>
      <c r="B24" s="2" t="e">
        <f t="shared" si="0"/>
        <v>#REF!</v>
      </c>
      <c r="C24" s="2" t="e">
        <f t="shared" si="1"/>
        <v>#REF!</v>
      </c>
      <c r="D24" s="40" t="e">
        <f t="shared" si="2"/>
        <v>#REF!</v>
      </c>
      <c r="E24" s="127"/>
      <c r="F24" s="119"/>
      <c r="G24" s="123"/>
      <c r="H24" s="78"/>
      <c r="I24" s="5"/>
      <c r="J24" s="117"/>
      <c r="K24" s="125"/>
      <c r="L24" s="125"/>
      <c r="M24" s="125"/>
      <c r="N24" s="42"/>
    </row>
    <row r="25" spans="1:14" x14ac:dyDescent="0.2">
      <c r="A25" s="39" t="s">
        <v>76</v>
      </c>
      <c r="B25" s="2" t="e">
        <f t="shared" si="0"/>
        <v>#REF!</v>
      </c>
      <c r="C25" s="2" t="e">
        <f t="shared" si="1"/>
        <v>#REF!</v>
      </c>
      <c r="D25" s="40" t="e">
        <f t="shared" si="2"/>
        <v>#REF!</v>
      </c>
      <c r="E25" s="127"/>
      <c r="F25" s="119"/>
      <c r="G25" s="123"/>
      <c r="H25" s="78"/>
      <c r="I25" s="5"/>
      <c r="J25" s="117"/>
      <c r="K25" s="125"/>
      <c r="L25" s="125"/>
      <c r="M25" s="125"/>
      <c r="N25" s="42"/>
    </row>
    <row r="26" spans="1:14" x14ac:dyDescent="0.2">
      <c r="A26" s="39" t="s">
        <v>77</v>
      </c>
      <c r="B26" s="2" t="e">
        <f t="shared" si="0"/>
        <v>#REF!</v>
      </c>
      <c r="C26" s="2" t="e">
        <f t="shared" si="1"/>
        <v>#REF!</v>
      </c>
      <c r="D26" s="40" t="e">
        <f t="shared" si="2"/>
        <v>#REF!</v>
      </c>
      <c r="E26" s="127"/>
      <c r="F26" s="119"/>
      <c r="G26" s="123"/>
      <c r="H26" s="78"/>
      <c r="I26" s="5"/>
      <c r="J26" s="117"/>
      <c r="K26" s="125"/>
      <c r="L26" s="125"/>
      <c r="M26" s="125"/>
      <c r="N26" s="42"/>
    </row>
    <row r="27" spans="1:14" x14ac:dyDescent="0.2">
      <c r="A27" s="39" t="s">
        <v>78</v>
      </c>
      <c r="B27" s="2" t="e">
        <f t="shared" si="0"/>
        <v>#REF!</v>
      </c>
      <c r="C27" s="2" t="e">
        <f t="shared" si="1"/>
        <v>#REF!</v>
      </c>
      <c r="D27" s="40" t="e">
        <f t="shared" si="2"/>
        <v>#REF!</v>
      </c>
      <c r="E27" s="127"/>
      <c r="F27" s="119"/>
      <c r="G27" s="123"/>
      <c r="H27" s="78"/>
      <c r="I27" s="5"/>
      <c r="J27" s="117"/>
      <c r="K27" s="125"/>
      <c r="L27" s="125"/>
      <c r="M27" s="125"/>
      <c r="N27" s="42"/>
    </row>
    <row r="28" spans="1:14" x14ac:dyDescent="0.2">
      <c r="A28" s="39" t="s">
        <v>79</v>
      </c>
      <c r="B28" s="2" t="e">
        <f t="shared" si="0"/>
        <v>#REF!</v>
      </c>
      <c r="C28" s="2" t="e">
        <f t="shared" si="1"/>
        <v>#REF!</v>
      </c>
      <c r="D28" s="40" t="e">
        <f t="shared" si="2"/>
        <v>#REF!</v>
      </c>
      <c r="E28" s="127"/>
      <c r="F28" s="119"/>
      <c r="G28" s="123"/>
      <c r="H28" s="78"/>
      <c r="I28" s="5"/>
      <c r="J28" s="117"/>
      <c r="K28" s="125"/>
      <c r="L28" s="125"/>
      <c r="M28" s="125"/>
      <c r="N28" s="42"/>
    </row>
    <row r="29" spans="1:14" x14ac:dyDescent="0.2">
      <c r="A29" s="39" t="s">
        <v>80</v>
      </c>
      <c r="B29" s="2" t="e">
        <f t="shared" si="0"/>
        <v>#REF!</v>
      </c>
      <c r="C29" s="2" t="e">
        <f t="shared" si="1"/>
        <v>#REF!</v>
      </c>
      <c r="D29" s="40" t="e">
        <f t="shared" si="2"/>
        <v>#REF!</v>
      </c>
      <c r="E29" s="127"/>
      <c r="F29" s="119"/>
      <c r="G29" s="123"/>
      <c r="H29" s="78"/>
      <c r="I29" s="5"/>
      <c r="J29" s="117"/>
      <c r="K29" s="125"/>
      <c r="L29" s="125"/>
      <c r="M29" s="125"/>
      <c r="N29" s="42"/>
    </row>
    <row r="30" spans="1:14" x14ac:dyDescent="0.2">
      <c r="A30" s="39" t="s">
        <v>81</v>
      </c>
      <c r="B30" s="2" t="e">
        <f t="shared" si="0"/>
        <v>#REF!</v>
      </c>
      <c r="C30" s="2" t="e">
        <f t="shared" si="1"/>
        <v>#REF!</v>
      </c>
      <c r="D30" s="40" t="e">
        <f t="shared" si="2"/>
        <v>#REF!</v>
      </c>
      <c r="E30" s="127"/>
      <c r="F30" s="119"/>
      <c r="G30" s="123"/>
      <c r="I30" s="5"/>
      <c r="J30" s="117"/>
      <c r="K30" s="125"/>
      <c r="L30" s="125"/>
      <c r="M30" s="125"/>
      <c r="N30" s="42"/>
    </row>
    <row r="31" spans="1:14" x14ac:dyDescent="0.2">
      <c r="A31" s="39" t="s">
        <v>82</v>
      </c>
      <c r="B31" s="2" t="e">
        <f t="shared" si="0"/>
        <v>#REF!</v>
      </c>
      <c r="C31" s="2" t="e">
        <f t="shared" si="1"/>
        <v>#REF!</v>
      </c>
      <c r="D31" s="40" t="e">
        <f t="shared" si="2"/>
        <v>#REF!</v>
      </c>
      <c r="E31" s="127"/>
      <c r="F31" s="119"/>
      <c r="G31" s="123"/>
      <c r="I31" s="5"/>
      <c r="J31" s="117"/>
      <c r="K31" s="125"/>
      <c r="L31" s="125"/>
      <c r="M31" s="125"/>
      <c r="N31" s="42"/>
    </row>
    <row r="32" spans="1:14" x14ac:dyDescent="0.2">
      <c r="A32" s="39" t="s">
        <v>83</v>
      </c>
      <c r="B32" s="2" t="e">
        <f t="shared" si="0"/>
        <v>#REF!</v>
      </c>
      <c r="C32" s="2" t="e">
        <f t="shared" si="1"/>
        <v>#REF!</v>
      </c>
      <c r="D32" s="40" t="e">
        <f t="shared" si="2"/>
        <v>#REF!</v>
      </c>
      <c r="E32" s="127"/>
      <c r="F32" s="119"/>
      <c r="G32" s="123"/>
      <c r="I32" s="5"/>
      <c r="J32" s="117"/>
      <c r="K32" s="125"/>
      <c r="L32" s="125"/>
      <c r="M32" s="125"/>
      <c r="N32" s="42"/>
    </row>
    <row r="33" spans="1:14" x14ac:dyDescent="0.2">
      <c r="A33" s="39" t="s">
        <v>84</v>
      </c>
      <c r="B33" s="2" t="e">
        <f t="shared" si="0"/>
        <v>#REF!</v>
      </c>
      <c r="C33" s="2" t="e">
        <f t="shared" si="1"/>
        <v>#REF!</v>
      </c>
      <c r="D33" s="40" t="e">
        <f t="shared" si="2"/>
        <v>#REF!</v>
      </c>
      <c r="E33" s="127"/>
      <c r="F33" s="119"/>
      <c r="G33" s="123"/>
      <c r="I33" s="5"/>
      <c r="J33" s="117"/>
      <c r="K33" s="125"/>
      <c r="L33" s="125"/>
      <c r="M33" s="125"/>
      <c r="N33" s="42"/>
    </row>
    <row r="34" spans="1:14" x14ac:dyDescent="0.2">
      <c r="A34" s="39" t="s">
        <v>85</v>
      </c>
      <c r="B34" s="2" t="e">
        <f t="shared" si="0"/>
        <v>#REF!</v>
      </c>
      <c r="C34" s="2" t="e">
        <f t="shared" si="1"/>
        <v>#REF!</v>
      </c>
      <c r="D34" s="40" t="e">
        <f t="shared" si="2"/>
        <v>#REF!</v>
      </c>
      <c r="E34" s="127"/>
      <c r="F34" s="119"/>
      <c r="G34" s="123"/>
      <c r="I34" s="5"/>
      <c r="J34" s="117"/>
      <c r="K34" s="125"/>
      <c r="L34" s="125"/>
      <c r="M34" s="125"/>
      <c r="N34" s="42"/>
    </row>
    <row r="35" spans="1:14" x14ac:dyDescent="0.2">
      <c r="A35" s="39" t="s">
        <v>86</v>
      </c>
      <c r="B35" s="2" t="e">
        <f t="shared" si="0"/>
        <v>#REF!</v>
      </c>
      <c r="C35" s="2" t="e">
        <f t="shared" si="1"/>
        <v>#REF!</v>
      </c>
      <c r="D35" s="40" t="e">
        <f t="shared" si="2"/>
        <v>#REF!</v>
      </c>
      <c r="E35" s="127"/>
      <c r="F35" s="119"/>
      <c r="G35" s="123"/>
      <c r="I35" s="5"/>
      <c r="J35" s="117"/>
      <c r="K35" s="125"/>
      <c r="L35" s="125"/>
      <c r="M35" s="125"/>
      <c r="N35" s="42"/>
    </row>
    <row r="36" spans="1:14" x14ac:dyDescent="0.2">
      <c r="A36" s="39" t="s">
        <v>87</v>
      </c>
      <c r="B36" s="2" t="e">
        <f t="shared" si="0"/>
        <v>#REF!</v>
      </c>
      <c r="C36" s="2" t="e">
        <f t="shared" si="1"/>
        <v>#REF!</v>
      </c>
      <c r="D36" s="40" t="e">
        <f t="shared" si="2"/>
        <v>#REF!</v>
      </c>
      <c r="E36" s="127"/>
      <c r="F36" s="119"/>
      <c r="G36" s="123"/>
      <c r="I36" s="5"/>
      <c r="J36" s="117"/>
      <c r="K36" s="125"/>
      <c r="L36" s="125"/>
      <c r="M36" s="125"/>
      <c r="N36" s="42"/>
    </row>
    <row r="37" spans="1:14" x14ac:dyDescent="0.2">
      <c r="A37" s="39" t="s">
        <v>88</v>
      </c>
      <c r="B37" s="2" t="e">
        <f t="shared" si="0"/>
        <v>#REF!</v>
      </c>
      <c r="C37" s="2" t="e">
        <f t="shared" si="1"/>
        <v>#REF!</v>
      </c>
      <c r="D37" s="40" t="e">
        <f t="shared" si="2"/>
        <v>#REF!</v>
      </c>
      <c r="E37" s="127"/>
      <c r="F37" s="119"/>
      <c r="G37" s="123"/>
      <c r="I37" s="5"/>
      <c r="J37" s="117"/>
      <c r="K37" s="125"/>
      <c r="L37" s="125"/>
      <c r="M37" s="125"/>
      <c r="N37" s="42"/>
    </row>
    <row r="38" spans="1:14" x14ac:dyDescent="0.2">
      <c r="A38" s="39" t="s">
        <v>89</v>
      </c>
      <c r="B38" s="2" t="e">
        <f t="shared" si="0"/>
        <v>#REF!</v>
      </c>
      <c r="C38" s="2" t="e">
        <f t="shared" si="1"/>
        <v>#REF!</v>
      </c>
      <c r="D38" s="40" t="e">
        <f t="shared" si="2"/>
        <v>#REF!</v>
      </c>
      <c r="E38" s="127"/>
      <c r="F38" s="119"/>
      <c r="G38" s="123"/>
      <c r="H38" s="85"/>
      <c r="I38" s="5"/>
      <c r="J38" s="117"/>
      <c r="K38" s="125"/>
      <c r="L38" s="125"/>
      <c r="M38" s="125"/>
      <c r="N38" s="42"/>
    </row>
    <row r="39" spans="1:14" x14ac:dyDescent="0.2">
      <c r="A39" s="39" t="s">
        <v>90</v>
      </c>
      <c r="B39" s="2" t="e">
        <f t="shared" si="0"/>
        <v>#REF!</v>
      </c>
      <c r="C39" s="2" t="e">
        <f t="shared" si="1"/>
        <v>#REF!</v>
      </c>
      <c r="D39" s="40" t="e">
        <f t="shared" si="2"/>
        <v>#REF!</v>
      </c>
      <c r="E39" s="127"/>
      <c r="F39" s="119"/>
      <c r="G39" s="123"/>
      <c r="H39" s="85"/>
      <c r="I39" s="5"/>
      <c r="J39" s="117"/>
      <c r="K39" s="125"/>
      <c r="L39" s="125"/>
      <c r="M39" s="125"/>
      <c r="N39" s="42"/>
    </row>
    <row r="40" spans="1:14" x14ac:dyDescent="0.2">
      <c r="A40" s="39" t="s">
        <v>91</v>
      </c>
      <c r="B40" s="2" t="e">
        <f t="shared" si="0"/>
        <v>#REF!</v>
      </c>
      <c r="C40" s="2" t="e">
        <f t="shared" si="1"/>
        <v>#REF!</v>
      </c>
      <c r="D40" s="40" t="e">
        <f t="shared" si="2"/>
        <v>#REF!</v>
      </c>
      <c r="E40" s="127"/>
      <c r="F40" s="119"/>
      <c r="G40" s="123"/>
      <c r="H40" s="85"/>
      <c r="I40" s="5"/>
      <c r="J40" s="117"/>
      <c r="K40" s="125"/>
      <c r="L40" s="125"/>
      <c r="M40" s="125"/>
      <c r="N40" s="42"/>
    </row>
    <row r="41" spans="1:14" x14ac:dyDescent="0.2">
      <c r="A41" s="39" t="s">
        <v>92</v>
      </c>
      <c r="B41" s="2" t="e">
        <f t="shared" si="0"/>
        <v>#REF!</v>
      </c>
      <c r="C41" s="2" t="e">
        <f t="shared" si="1"/>
        <v>#REF!</v>
      </c>
      <c r="D41" s="40" t="e">
        <f t="shared" si="2"/>
        <v>#REF!</v>
      </c>
      <c r="E41" s="127"/>
      <c r="F41" s="119"/>
      <c r="G41" s="123"/>
      <c r="H41" s="78"/>
      <c r="I41" s="5"/>
      <c r="J41" s="117"/>
      <c r="K41" s="125"/>
      <c r="L41" s="125"/>
      <c r="M41" s="125"/>
      <c r="N41" s="42"/>
    </row>
    <row r="42" spans="1:14" x14ac:dyDescent="0.2">
      <c r="A42" s="39" t="s">
        <v>93</v>
      </c>
      <c r="B42" s="2" t="e">
        <f t="shared" si="0"/>
        <v>#REF!</v>
      </c>
      <c r="C42" s="2" t="e">
        <f t="shared" si="1"/>
        <v>#REF!</v>
      </c>
      <c r="D42" s="40" t="e">
        <f t="shared" si="2"/>
        <v>#REF!</v>
      </c>
      <c r="E42" s="127"/>
      <c r="F42" s="119"/>
      <c r="G42" s="123"/>
      <c r="I42" s="5"/>
      <c r="J42" s="117"/>
      <c r="K42" s="125"/>
      <c r="L42" s="125"/>
      <c r="M42" s="125"/>
      <c r="N42" s="42"/>
    </row>
    <row r="43" spans="1:14" x14ac:dyDescent="0.2">
      <c r="A43" s="39" t="s">
        <v>94</v>
      </c>
      <c r="B43" s="2" t="e">
        <f t="shared" si="0"/>
        <v>#REF!</v>
      </c>
      <c r="C43" s="2" t="e">
        <f t="shared" si="1"/>
        <v>#REF!</v>
      </c>
      <c r="D43" s="40" t="e">
        <f t="shared" si="2"/>
        <v>#REF!</v>
      </c>
      <c r="E43" s="127"/>
      <c r="F43" s="119"/>
      <c r="G43" s="123"/>
      <c r="I43" s="5"/>
      <c r="J43" s="117"/>
      <c r="K43" s="125"/>
      <c r="L43" s="125"/>
      <c r="M43" s="125"/>
      <c r="N43" s="42"/>
    </row>
    <row r="44" spans="1:14" x14ac:dyDescent="0.2">
      <c r="A44" s="39" t="s">
        <v>95</v>
      </c>
      <c r="B44" s="2" t="e">
        <f t="shared" si="0"/>
        <v>#REF!</v>
      </c>
      <c r="C44" s="2" t="e">
        <f t="shared" si="1"/>
        <v>#REF!</v>
      </c>
      <c r="D44" s="40" t="e">
        <f t="shared" si="2"/>
        <v>#REF!</v>
      </c>
      <c r="E44" s="127"/>
      <c r="F44" s="119"/>
      <c r="G44" s="123"/>
      <c r="I44" s="5"/>
      <c r="J44" s="117"/>
      <c r="K44" s="125"/>
      <c r="L44" s="125"/>
      <c r="M44" s="125"/>
      <c r="N44" s="42"/>
    </row>
    <row r="45" spans="1:14" x14ac:dyDescent="0.2">
      <c r="A45" s="39" t="s">
        <v>96</v>
      </c>
      <c r="B45" s="2" t="e">
        <f t="shared" si="0"/>
        <v>#REF!</v>
      </c>
      <c r="C45" s="2" t="e">
        <f t="shared" si="1"/>
        <v>#REF!</v>
      </c>
      <c r="D45" s="40" t="e">
        <f t="shared" si="2"/>
        <v>#REF!</v>
      </c>
      <c r="E45" s="127"/>
      <c r="F45" s="119"/>
      <c r="G45" s="123"/>
      <c r="I45" s="5"/>
      <c r="J45" s="117"/>
      <c r="K45" s="125"/>
      <c r="L45" s="125"/>
      <c r="M45" s="125"/>
      <c r="N45" s="42"/>
    </row>
    <row r="46" spans="1:14" x14ac:dyDescent="0.2">
      <c r="A46" s="39" t="s">
        <v>97</v>
      </c>
      <c r="B46" s="2" t="e">
        <f t="shared" si="0"/>
        <v>#REF!</v>
      </c>
      <c r="C46" s="2" t="e">
        <f t="shared" si="1"/>
        <v>#REF!</v>
      </c>
      <c r="D46" s="40" t="e">
        <f t="shared" si="2"/>
        <v>#REF!</v>
      </c>
      <c r="E46" s="127"/>
      <c r="F46" s="119"/>
      <c r="G46" s="123"/>
      <c r="H46" s="78"/>
      <c r="I46" s="5"/>
      <c r="J46" s="117"/>
      <c r="K46" s="125"/>
      <c r="L46" s="125"/>
      <c r="M46" s="125"/>
      <c r="N46" s="42"/>
    </row>
    <row r="47" spans="1:14" x14ac:dyDescent="0.2">
      <c r="A47" s="39" t="s">
        <v>98</v>
      </c>
      <c r="B47" s="2" t="e">
        <f t="shared" si="0"/>
        <v>#REF!</v>
      </c>
      <c r="C47" s="2" t="e">
        <f t="shared" si="1"/>
        <v>#REF!</v>
      </c>
      <c r="D47" s="40" t="e">
        <f t="shared" si="2"/>
        <v>#REF!</v>
      </c>
      <c r="E47" s="127"/>
      <c r="F47" s="119"/>
      <c r="G47" s="123"/>
      <c r="I47" s="5"/>
      <c r="J47" s="117"/>
      <c r="K47" s="125"/>
      <c r="L47" s="125"/>
      <c r="M47" s="125"/>
      <c r="N47" s="42"/>
    </row>
    <row r="48" spans="1:14" x14ac:dyDescent="0.2">
      <c r="A48" s="39" t="s">
        <v>99</v>
      </c>
      <c r="B48" s="2" t="e">
        <f t="shared" si="0"/>
        <v>#REF!</v>
      </c>
      <c r="C48" s="2" t="e">
        <f t="shared" si="1"/>
        <v>#REF!</v>
      </c>
      <c r="D48" s="40" t="e">
        <f t="shared" si="2"/>
        <v>#REF!</v>
      </c>
      <c r="E48" s="127"/>
      <c r="F48" s="119"/>
      <c r="G48" s="123"/>
      <c r="H48" s="78"/>
      <c r="I48" s="5"/>
      <c r="J48" s="117"/>
      <c r="K48" s="125"/>
      <c r="L48" s="125"/>
      <c r="M48" s="125"/>
      <c r="N48" s="42"/>
    </row>
    <row r="49" spans="1:14" x14ac:dyDescent="0.2">
      <c r="A49" s="39" t="s">
        <v>100</v>
      </c>
      <c r="B49" s="2" t="e">
        <f t="shared" si="0"/>
        <v>#REF!</v>
      </c>
      <c r="C49" s="2" t="e">
        <f t="shared" si="1"/>
        <v>#REF!</v>
      </c>
      <c r="D49" s="40" t="e">
        <f t="shared" si="2"/>
        <v>#REF!</v>
      </c>
      <c r="E49" s="127"/>
      <c r="F49" s="119"/>
      <c r="G49" s="123"/>
      <c r="I49" s="5"/>
      <c r="J49" s="117"/>
      <c r="K49" s="125"/>
      <c r="L49" s="125"/>
      <c r="M49" s="125"/>
      <c r="N49" s="42"/>
    </row>
    <row r="50" spans="1:14" x14ac:dyDescent="0.2">
      <c r="A50" s="39" t="s">
        <v>101</v>
      </c>
      <c r="B50" s="2" t="e">
        <f t="shared" si="0"/>
        <v>#REF!</v>
      </c>
      <c r="C50" s="2" t="e">
        <f t="shared" si="1"/>
        <v>#REF!</v>
      </c>
      <c r="D50" s="40" t="e">
        <f t="shared" si="2"/>
        <v>#REF!</v>
      </c>
      <c r="E50" s="127"/>
      <c r="F50" s="119"/>
      <c r="G50" s="123"/>
      <c r="I50" s="5"/>
      <c r="J50" s="117"/>
      <c r="K50" s="125"/>
      <c r="L50" s="125"/>
      <c r="M50" s="125"/>
      <c r="N50" s="42"/>
    </row>
    <row r="51" spans="1:14" x14ac:dyDescent="0.2">
      <c r="A51" s="39" t="s">
        <v>102</v>
      </c>
      <c r="B51" s="2" t="e">
        <f t="shared" si="0"/>
        <v>#REF!</v>
      </c>
      <c r="C51" s="2" t="e">
        <f t="shared" si="1"/>
        <v>#REF!</v>
      </c>
      <c r="D51" s="40" t="e">
        <f t="shared" si="2"/>
        <v>#REF!</v>
      </c>
      <c r="E51" s="127"/>
      <c r="F51" s="119"/>
      <c r="G51" s="123"/>
      <c r="I51" s="5"/>
      <c r="J51" s="117"/>
      <c r="K51" s="125"/>
      <c r="L51" s="125"/>
      <c r="M51" s="125"/>
      <c r="N51" s="42"/>
    </row>
    <row r="52" spans="1:14" x14ac:dyDescent="0.2">
      <c r="A52" s="39" t="s">
        <v>103</v>
      </c>
      <c r="B52" s="2" t="e">
        <f t="shared" si="0"/>
        <v>#REF!</v>
      </c>
      <c r="C52" s="2" t="e">
        <f t="shared" si="1"/>
        <v>#REF!</v>
      </c>
      <c r="D52" s="40" t="e">
        <f t="shared" si="2"/>
        <v>#REF!</v>
      </c>
      <c r="E52" s="127"/>
      <c r="F52" s="119"/>
      <c r="G52" s="123"/>
      <c r="H52" s="78"/>
      <c r="I52" s="5"/>
      <c r="J52" s="117"/>
      <c r="K52" s="125"/>
      <c r="L52" s="125"/>
      <c r="M52" s="125"/>
      <c r="N52" s="42"/>
    </row>
    <row r="53" spans="1:14" x14ac:dyDescent="0.2">
      <c r="A53" s="39" t="s">
        <v>104</v>
      </c>
      <c r="B53" s="2" t="e">
        <f t="shared" si="0"/>
        <v>#REF!</v>
      </c>
      <c r="C53" s="2" t="e">
        <f t="shared" si="1"/>
        <v>#REF!</v>
      </c>
      <c r="D53" s="40" t="e">
        <f t="shared" si="2"/>
        <v>#REF!</v>
      </c>
      <c r="E53" s="127"/>
      <c r="F53" s="119"/>
      <c r="G53" s="123"/>
      <c r="I53" s="5"/>
      <c r="J53" s="117"/>
      <c r="K53" s="125"/>
      <c r="L53" s="125"/>
      <c r="M53" s="125"/>
      <c r="N53" s="42"/>
    </row>
    <row r="54" spans="1:14" x14ac:dyDescent="0.2">
      <c r="A54" s="39" t="s">
        <v>105</v>
      </c>
      <c r="B54" s="2" t="e">
        <f t="shared" si="0"/>
        <v>#REF!</v>
      </c>
      <c r="C54" s="2" t="e">
        <f t="shared" si="1"/>
        <v>#REF!</v>
      </c>
      <c r="D54" s="40" t="e">
        <f t="shared" si="2"/>
        <v>#REF!</v>
      </c>
      <c r="E54" s="127"/>
      <c r="F54" s="119"/>
      <c r="G54" s="123"/>
      <c r="I54" s="5"/>
      <c r="J54" s="117"/>
      <c r="K54" s="125"/>
      <c r="L54" s="125"/>
      <c r="M54" s="125"/>
      <c r="N54" s="42"/>
    </row>
    <row r="55" spans="1:14" x14ac:dyDescent="0.2">
      <c r="A55" s="39" t="s">
        <v>106</v>
      </c>
      <c r="B55" s="2" t="e">
        <f t="shared" si="0"/>
        <v>#REF!</v>
      </c>
      <c r="C55" s="2" t="e">
        <f t="shared" si="1"/>
        <v>#REF!</v>
      </c>
      <c r="D55" s="40" t="e">
        <f t="shared" si="2"/>
        <v>#REF!</v>
      </c>
      <c r="E55" s="127"/>
      <c r="F55" s="119"/>
      <c r="G55" s="123"/>
      <c r="H55" s="78"/>
      <c r="I55" s="5"/>
      <c r="J55" s="117"/>
      <c r="K55" s="125"/>
      <c r="L55" s="125"/>
      <c r="M55" s="125"/>
      <c r="N55" s="42"/>
    </row>
    <row r="56" spans="1:14" x14ac:dyDescent="0.2">
      <c r="A56" s="39" t="s">
        <v>107</v>
      </c>
      <c r="B56" s="2" t="e">
        <f t="shared" si="0"/>
        <v>#REF!</v>
      </c>
      <c r="C56" s="2" t="e">
        <f t="shared" si="1"/>
        <v>#REF!</v>
      </c>
      <c r="D56" s="40" t="e">
        <f t="shared" si="2"/>
        <v>#REF!</v>
      </c>
      <c r="E56" s="127"/>
      <c r="F56" s="119"/>
      <c r="G56" s="123"/>
      <c r="H56" s="78"/>
      <c r="I56" s="5"/>
      <c r="J56" s="117"/>
      <c r="K56" s="125"/>
      <c r="L56" s="125"/>
      <c r="M56" s="125"/>
      <c r="N56" s="42"/>
    </row>
    <row r="57" spans="1:14" x14ac:dyDescent="0.2">
      <c r="A57" s="39" t="s">
        <v>108</v>
      </c>
      <c r="B57" s="2" t="e">
        <f t="shared" si="0"/>
        <v>#REF!</v>
      </c>
      <c r="C57" s="2" t="e">
        <f t="shared" si="1"/>
        <v>#REF!</v>
      </c>
      <c r="D57" s="40" t="e">
        <f t="shared" si="2"/>
        <v>#REF!</v>
      </c>
      <c r="E57" s="127"/>
      <c r="F57" s="119"/>
      <c r="G57" s="123"/>
      <c r="I57" s="5"/>
      <c r="J57" s="117"/>
      <c r="K57" s="125"/>
      <c r="L57" s="125"/>
      <c r="M57" s="125"/>
      <c r="N57" s="42"/>
    </row>
    <row r="58" spans="1:14" x14ac:dyDescent="0.2">
      <c r="A58" s="39" t="s">
        <v>109</v>
      </c>
      <c r="B58" s="2" t="e">
        <f t="shared" si="0"/>
        <v>#REF!</v>
      </c>
      <c r="C58" s="2" t="e">
        <f t="shared" si="1"/>
        <v>#REF!</v>
      </c>
      <c r="D58" s="40" t="e">
        <f t="shared" si="2"/>
        <v>#REF!</v>
      </c>
      <c r="E58" s="127"/>
      <c r="F58" s="119"/>
      <c r="G58" s="123"/>
      <c r="H58" s="78"/>
      <c r="I58" s="5"/>
      <c r="J58" s="117"/>
      <c r="K58" s="125"/>
      <c r="L58" s="125"/>
      <c r="M58" s="125"/>
      <c r="N58" s="42"/>
    </row>
    <row r="59" spans="1:14" x14ac:dyDescent="0.2">
      <c r="A59" s="39" t="s">
        <v>110</v>
      </c>
      <c r="B59" s="2" t="e">
        <f t="shared" si="0"/>
        <v>#REF!</v>
      </c>
      <c r="C59" s="2" t="e">
        <f t="shared" si="1"/>
        <v>#REF!</v>
      </c>
      <c r="D59" s="40" t="e">
        <f t="shared" si="2"/>
        <v>#REF!</v>
      </c>
      <c r="E59" s="127"/>
      <c r="F59" s="119"/>
      <c r="G59" s="123"/>
      <c r="H59" s="78"/>
      <c r="I59" s="5"/>
      <c r="J59" s="117"/>
      <c r="K59" s="125"/>
      <c r="L59" s="125"/>
      <c r="M59" s="125"/>
      <c r="N59" s="42"/>
    </row>
    <row r="60" spans="1:14" x14ac:dyDescent="0.2">
      <c r="A60" s="39" t="s">
        <v>111</v>
      </c>
      <c r="B60" s="2" t="e">
        <f t="shared" si="0"/>
        <v>#REF!</v>
      </c>
      <c r="C60" s="2" t="e">
        <f t="shared" si="1"/>
        <v>#REF!</v>
      </c>
      <c r="D60" s="40" t="e">
        <f t="shared" si="2"/>
        <v>#REF!</v>
      </c>
      <c r="E60" s="127"/>
      <c r="F60" s="119"/>
      <c r="G60" s="123"/>
      <c r="I60" s="5"/>
      <c r="J60" s="117"/>
      <c r="K60" s="125"/>
      <c r="L60" s="125"/>
      <c r="M60" s="125"/>
      <c r="N60" s="42"/>
    </row>
    <row r="61" spans="1:14" x14ac:dyDescent="0.2">
      <c r="A61" s="39" t="s">
        <v>112</v>
      </c>
      <c r="B61" s="2" t="e">
        <f t="shared" si="0"/>
        <v>#REF!</v>
      </c>
      <c r="C61" s="2" t="e">
        <f t="shared" si="1"/>
        <v>#REF!</v>
      </c>
      <c r="D61" s="40" t="e">
        <f t="shared" si="2"/>
        <v>#REF!</v>
      </c>
      <c r="E61" s="127"/>
      <c r="F61" s="119"/>
      <c r="G61" s="123"/>
      <c r="I61" s="5"/>
      <c r="J61" s="117"/>
      <c r="K61" s="125"/>
      <c r="L61" s="125"/>
      <c r="M61" s="125"/>
      <c r="N61" s="42"/>
    </row>
    <row r="62" spans="1:14" x14ac:dyDescent="0.2">
      <c r="A62" s="39" t="s">
        <v>113</v>
      </c>
      <c r="B62" s="2" t="e">
        <f t="shared" si="0"/>
        <v>#REF!</v>
      </c>
      <c r="C62" s="2" t="e">
        <f t="shared" si="1"/>
        <v>#REF!</v>
      </c>
      <c r="D62" s="40" t="e">
        <f t="shared" si="2"/>
        <v>#REF!</v>
      </c>
      <c r="E62" s="127"/>
      <c r="F62" s="119"/>
      <c r="G62" s="123"/>
      <c r="I62" s="5"/>
      <c r="J62" s="117"/>
      <c r="K62" s="125"/>
      <c r="L62" s="125"/>
      <c r="M62" s="125"/>
      <c r="N62" s="42"/>
    </row>
    <row r="63" spans="1:14" x14ac:dyDescent="0.2">
      <c r="A63" s="39" t="s">
        <v>114</v>
      </c>
      <c r="B63" s="2" t="e">
        <f t="shared" si="0"/>
        <v>#REF!</v>
      </c>
      <c r="C63" s="2" t="e">
        <f t="shared" si="1"/>
        <v>#REF!</v>
      </c>
      <c r="D63" s="40" t="e">
        <f t="shared" si="2"/>
        <v>#REF!</v>
      </c>
      <c r="E63" s="127"/>
      <c r="F63" s="119"/>
      <c r="G63" s="123"/>
      <c r="H63" s="78"/>
      <c r="I63" s="5"/>
      <c r="J63" s="117"/>
      <c r="K63" s="125"/>
      <c r="L63" s="125"/>
      <c r="M63" s="125"/>
      <c r="N63" s="42"/>
    </row>
    <row r="64" spans="1:14" x14ac:dyDescent="0.2">
      <c r="A64" s="39" t="s">
        <v>115</v>
      </c>
      <c r="B64" s="2" t="e">
        <f t="shared" si="0"/>
        <v>#REF!</v>
      </c>
      <c r="C64" s="2" t="e">
        <f t="shared" si="1"/>
        <v>#REF!</v>
      </c>
      <c r="D64" s="40" t="e">
        <f t="shared" si="2"/>
        <v>#REF!</v>
      </c>
      <c r="E64" s="127"/>
      <c r="F64" s="119"/>
      <c r="G64" s="123"/>
      <c r="H64" s="78"/>
      <c r="I64" s="5"/>
      <c r="J64" s="117"/>
      <c r="K64" s="125"/>
      <c r="L64" s="125"/>
      <c r="M64" s="125"/>
      <c r="N64" s="42"/>
    </row>
    <row r="65" spans="1:14" x14ac:dyDescent="0.2">
      <c r="A65" s="39" t="s">
        <v>116</v>
      </c>
      <c r="B65" s="2" t="e">
        <f t="shared" si="0"/>
        <v>#REF!</v>
      </c>
      <c r="C65" s="2" t="e">
        <f t="shared" si="1"/>
        <v>#REF!</v>
      </c>
      <c r="D65" s="40" t="e">
        <f t="shared" si="2"/>
        <v>#REF!</v>
      </c>
      <c r="E65" s="127"/>
      <c r="F65" s="119"/>
      <c r="G65" s="123"/>
      <c r="I65" s="5"/>
      <c r="J65" s="117"/>
      <c r="K65" s="125"/>
      <c r="L65" s="125"/>
      <c r="M65" s="125"/>
      <c r="N65" s="42"/>
    </row>
    <row r="66" spans="1:14" x14ac:dyDescent="0.2">
      <c r="A66" s="39" t="s">
        <v>117</v>
      </c>
      <c r="B66" s="2" t="e">
        <f t="shared" si="0"/>
        <v>#REF!</v>
      </c>
      <c r="C66" s="2" t="e">
        <f t="shared" si="1"/>
        <v>#REF!</v>
      </c>
      <c r="D66" s="40" t="e">
        <f t="shared" si="2"/>
        <v>#REF!</v>
      </c>
      <c r="E66" s="127"/>
      <c r="F66" s="119"/>
      <c r="G66" s="123"/>
      <c r="H66" s="78"/>
      <c r="I66" s="5"/>
      <c r="J66" s="117"/>
      <c r="K66" s="125"/>
      <c r="L66" s="125"/>
      <c r="M66" s="125"/>
      <c r="N66" s="42"/>
    </row>
    <row r="67" spans="1:14" x14ac:dyDescent="0.2">
      <c r="A67" s="39" t="s">
        <v>118</v>
      </c>
      <c r="B67" s="2" t="e">
        <f t="shared" si="0"/>
        <v>#REF!</v>
      </c>
      <c r="C67" s="2" t="e">
        <f t="shared" si="1"/>
        <v>#REF!</v>
      </c>
      <c r="D67" s="40" t="e">
        <f t="shared" si="2"/>
        <v>#REF!</v>
      </c>
      <c r="E67" s="127"/>
      <c r="F67" s="119"/>
      <c r="G67" s="123"/>
      <c r="I67" s="5"/>
      <c r="J67" s="117"/>
      <c r="K67" s="125"/>
      <c r="L67" s="125"/>
      <c r="M67" s="125"/>
      <c r="N67" s="42"/>
    </row>
    <row r="68" spans="1:14" x14ac:dyDescent="0.2">
      <c r="A68" s="39" t="s">
        <v>119</v>
      </c>
      <c r="B68" s="2" t="e">
        <f t="shared" si="0"/>
        <v>#REF!</v>
      </c>
      <c r="C68" s="2" t="e">
        <f t="shared" si="1"/>
        <v>#REF!</v>
      </c>
      <c r="D68" s="40" t="e">
        <f t="shared" si="2"/>
        <v>#REF!</v>
      </c>
      <c r="E68" s="127"/>
      <c r="F68" s="119"/>
      <c r="G68" s="123"/>
      <c r="H68" s="78"/>
      <c r="I68" s="5"/>
      <c r="J68" s="117"/>
      <c r="K68" s="125"/>
      <c r="L68" s="125"/>
      <c r="M68" s="125"/>
      <c r="N68" s="42"/>
    </row>
    <row r="69" spans="1:14" x14ac:dyDescent="0.2">
      <c r="A69" s="39" t="s">
        <v>120</v>
      </c>
      <c r="B69" s="2" t="e">
        <f t="shared" si="0"/>
        <v>#REF!</v>
      </c>
      <c r="C69" s="2" t="e">
        <f t="shared" si="1"/>
        <v>#REF!</v>
      </c>
      <c r="D69" s="40" t="e">
        <f t="shared" si="2"/>
        <v>#REF!</v>
      </c>
      <c r="E69" s="127"/>
      <c r="F69" s="119"/>
      <c r="G69" s="123"/>
      <c r="I69" s="5"/>
      <c r="J69" s="117"/>
      <c r="K69" s="125"/>
      <c r="L69" s="125"/>
      <c r="M69" s="125"/>
      <c r="N69" s="42"/>
    </row>
    <row r="70" spans="1:14" x14ac:dyDescent="0.2">
      <c r="A70" s="39" t="s">
        <v>121</v>
      </c>
      <c r="B70" s="2" t="e">
        <f t="shared" ref="B70:B118" si="3">INDEX(Crop_data,MATCH(A70,Crop_data_codes,0),2)</f>
        <v>#REF!</v>
      </c>
      <c r="C70" s="2" t="e">
        <f t="shared" ref="C70:C118" si="4">INDEX(Crop_data,MATCH(A70,Crop_data_codes,0),3)</f>
        <v>#REF!</v>
      </c>
      <c r="D70" s="40" t="e">
        <f t="shared" ref="D70:D118" si="5">INDEX(Crop_data,MATCH(A70,Crop_data_codes,0),4)</f>
        <v>#REF!</v>
      </c>
      <c r="E70" s="127"/>
      <c r="F70" s="119"/>
      <c r="G70" s="123"/>
      <c r="I70" s="5"/>
      <c r="J70" s="117"/>
      <c r="K70" s="125"/>
      <c r="L70" s="125"/>
      <c r="M70" s="125"/>
      <c r="N70" s="42"/>
    </row>
    <row r="71" spans="1:14" x14ac:dyDescent="0.2">
      <c r="A71" s="39" t="s">
        <v>122</v>
      </c>
      <c r="B71" s="2" t="e">
        <f t="shared" si="3"/>
        <v>#REF!</v>
      </c>
      <c r="C71" s="2" t="e">
        <f t="shared" si="4"/>
        <v>#REF!</v>
      </c>
      <c r="D71" s="40" t="e">
        <f t="shared" si="5"/>
        <v>#REF!</v>
      </c>
      <c r="E71" s="127"/>
      <c r="F71" s="119"/>
      <c r="G71" s="123"/>
      <c r="H71" s="78"/>
      <c r="I71" s="5"/>
      <c r="J71" s="117"/>
      <c r="K71" s="125"/>
      <c r="L71" s="125"/>
      <c r="M71" s="125"/>
      <c r="N71" s="42"/>
    </row>
    <row r="72" spans="1:14" x14ac:dyDescent="0.2">
      <c r="A72" s="39" t="s">
        <v>123</v>
      </c>
      <c r="B72" s="2" t="e">
        <f t="shared" si="3"/>
        <v>#REF!</v>
      </c>
      <c r="C72" s="2" t="e">
        <f t="shared" si="4"/>
        <v>#REF!</v>
      </c>
      <c r="D72" s="40" t="e">
        <f t="shared" si="5"/>
        <v>#REF!</v>
      </c>
      <c r="E72" s="127"/>
      <c r="F72" s="119"/>
      <c r="G72" s="123"/>
      <c r="I72" s="5"/>
      <c r="J72" s="117"/>
      <c r="K72" s="125"/>
      <c r="L72" s="125"/>
      <c r="M72" s="125"/>
      <c r="N72" s="42"/>
    </row>
    <row r="73" spans="1:14" x14ac:dyDescent="0.2">
      <c r="A73" s="39" t="s">
        <v>124</v>
      </c>
      <c r="B73" s="2" t="e">
        <f t="shared" si="3"/>
        <v>#REF!</v>
      </c>
      <c r="C73" s="2" t="e">
        <f t="shared" si="4"/>
        <v>#REF!</v>
      </c>
      <c r="D73" s="40" t="e">
        <f t="shared" si="5"/>
        <v>#REF!</v>
      </c>
      <c r="E73" s="127"/>
      <c r="F73" s="119"/>
      <c r="G73" s="123"/>
      <c r="H73" s="78"/>
      <c r="I73" s="5"/>
      <c r="J73" s="117"/>
      <c r="K73" s="125"/>
      <c r="L73" s="125"/>
      <c r="M73" s="125"/>
      <c r="N73" s="42"/>
    </row>
    <row r="74" spans="1:14" x14ac:dyDescent="0.2">
      <c r="A74" s="39" t="s">
        <v>125</v>
      </c>
      <c r="B74" s="2" t="e">
        <f t="shared" si="3"/>
        <v>#REF!</v>
      </c>
      <c r="C74" s="2" t="e">
        <f t="shared" si="4"/>
        <v>#REF!</v>
      </c>
      <c r="D74" s="40" t="e">
        <f t="shared" si="5"/>
        <v>#REF!</v>
      </c>
      <c r="E74" s="127"/>
      <c r="F74" s="119"/>
      <c r="G74" s="123"/>
      <c r="I74" s="5"/>
      <c r="J74" s="117"/>
      <c r="K74" s="125"/>
      <c r="L74" s="125"/>
      <c r="M74" s="125"/>
      <c r="N74" s="42"/>
    </row>
    <row r="75" spans="1:14" x14ac:dyDescent="0.2">
      <c r="A75" s="39" t="s">
        <v>126</v>
      </c>
      <c r="B75" s="2" t="e">
        <f t="shared" si="3"/>
        <v>#REF!</v>
      </c>
      <c r="C75" s="2" t="e">
        <f t="shared" si="4"/>
        <v>#REF!</v>
      </c>
      <c r="D75" s="40" t="e">
        <f t="shared" si="5"/>
        <v>#REF!</v>
      </c>
      <c r="E75" s="127"/>
      <c r="F75" s="119"/>
      <c r="G75" s="123"/>
      <c r="I75" s="5"/>
      <c r="J75" s="117"/>
      <c r="K75" s="125"/>
      <c r="L75" s="125"/>
      <c r="M75" s="125"/>
      <c r="N75" s="42"/>
    </row>
    <row r="76" spans="1:14" x14ac:dyDescent="0.2">
      <c r="A76" s="39" t="s">
        <v>127</v>
      </c>
      <c r="B76" s="2" t="e">
        <f t="shared" si="3"/>
        <v>#REF!</v>
      </c>
      <c r="C76" s="2" t="e">
        <f t="shared" si="4"/>
        <v>#REF!</v>
      </c>
      <c r="D76" s="40" t="e">
        <f t="shared" si="5"/>
        <v>#REF!</v>
      </c>
      <c r="E76" s="127"/>
      <c r="F76" s="119"/>
      <c r="G76" s="123"/>
      <c r="H76" s="78"/>
      <c r="I76" s="5"/>
      <c r="J76" s="117"/>
      <c r="K76" s="125"/>
      <c r="L76" s="125"/>
      <c r="M76" s="125"/>
      <c r="N76" s="42"/>
    </row>
    <row r="77" spans="1:14" x14ac:dyDescent="0.2">
      <c r="A77" s="39" t="s">
        <v>128</v>
      </c>
      <c r="B77" s="2" t="e">
        <f t="shared" si="3"/>
        <v>#REF!</v>
      </c>
      <c r="C77" s="2" t="e">
        <f t="shared" si="4"/>
        <v>#REF!</v>
      </c>
      <c r="D77" s="40" t="e">
        <f t="shared" si="5"/>
        <v>#REF!</v>
      </c>
      <c r="E77" s="127"/>
      <c r="F77" s="119"/>
      <c r="G77" s="123"/>
      <c r="H77" s="78"/>
      <c r="I77" s="5"/>
      <c r="J77" s="117"/>
      <c r="K77" s="125"/>
      <c r="L77" s="125"/>
      <c r="M77" s="125"/>
      <c r="N77" s="42"/>
    </row>
    <row r="78" spans="1:14" x14ac:dyDescent="0.2">
      <c r="A78" s="39" t="s">
        <v>129</v>
      </c>
      <c r="B78" s="2" t="e">
        <f t="shared" si="3"/>
        <v>#REF!</v>
      </c>
      <c r="C78" s="2" t="e">
        <f t="shared" si="4"/>
        <v>#REF!</v>
      </c>
      <c r="D78" s="40" t="e">
        <f t="shared" si="5"/>
        <v>#REF!</v>
      </c>
      <c r="E78" s="127"/>
      <c r="F78" s="119"/>
      <c r="G78" s="123"/>
      <c r="H78" s="78"/>
      <c r="I78" s="5"/>
      <c r="J78" s="117"/>
      <c r="K78" s="125"/>
      <c r="L78" s="125"/>
      <c r="M78" s="125"/>
      <c r="N78" s="42"/>
    </row>
    <row r="79" spans="1:14" x14ac:dyDescent="0.2">
      <c r="A79" s="39" t="s">
        <v>130</v>
      </c>
      <c r="B79" s="2" t="e">
        <f t="shared" si="3"/>
        <v>#REF!</v>
      </c>
      <c r="C79" s="2" t="e">
        <f t="shared" si="4"/>
        <v>#REF!</v>
      </c>
      <c r="D79" s="40" t="e">
        <f t="shared" si="5"/>
        <v>#REF!</v>
      </c>
      <c r="E79" s="127"/>
      <c r="F79" s="119"/>
      <c r="G79" s="123"/>
      <c r="I79" s="5"/>
      <c r="J79" s="117"/>
      <c r="K79" s="125"/>
      <c r="L79" s="125"/>
      <c r="M79" s="125"/>
      <c r="N79" s="42"/>
    </row>
    <row r="80" spans="1:14" x14ac:dyDescent="0.2">
      <c r="A80" s="39" t="s">
        <v>131</v>
      </c>
      <c r="B80" s="2" t="e">
        <f t="shared" si="3"/>
        <v>#REF!</v>
      </c>
      <c r="C80" s="2" t="e">
        <f t="shared" si="4"/>
        <v>#REF!</v>
      </c>
      <c r="D80" s="40" t="e">
        <f t="shared" si="5"/>
        <v>#REF!</v>
      </c>
      <c r="E80" s="127"/>
      <c r="F80" s="119"/>
      <c r="G80" s="123"/>
      <c r="I80" s="5"/>
      <c r="J80" s="117"/>
      <c r="K80" s="125"/>
      <c r="L80" s="125"/>
      <c r="M80" s="125"/>
      <c r="N80" s="42"/>
    </row>
    <row r="81" spans="1:14" x14ac:dyDescent="0.2">
      <c r="A81" s="39" t="s">
        <v>132</v>
      </c>
      <c r="B81" s="2" t="e">
        <f t="shared" si="3"/>
        <v>#REF!</v>
      </c>
      <c r="C81" s="2" t="e">
        <f t="shared" si="4"/>
        <v>#REF!</v>
      </c>
      <c r="D81" s="40" t="e">
        <f t="shared" si="5"/>
        <v>#REF!</v>
      </c>
      <c r="E81" s="127"/>
      <c r="F81" s="119"/>
      <c r="G81" s="123"/>
      <c r="I81" s="5"/>
      <c r="J81" s="117"/>
      <c r="K81" s="125"/>
      <c r="L81" s="125"/>
      <c r="M81" s="125"/>
      <c r="N81" s="42"/>
    </row>
    <row r="82" spans="1:14" x14ac:dyDescent="0.2">
      <c r="A82" s="39" t="s">
        <v>133</v>
      </c>
      <c r="B82" s="2" t="e">
        <f t="shared" si="3"/>
        <v>#REF!</v>
      </c>
      <c r="C82" s="2" t="e">
        <f t="shared" si="4"/>
        <v>#REF!</v>
      </c>
      <c r="D82" s="40" t="e">
        <f t="shared" si="5"/>
        <v>#REF!</v>
      </c>
      <c r="E82" s="127"/>
      <c r="F82" s="119"/>
      <c r="G82" s="123"/>
      <c r="H82" s="78"/>
      <c r="I82" s="5"/>
      <c r="J82" s="117"/>
      <c r="K82" s="125"/>
      <c r="L82" s="125"/>
      <c r="M82" s="125"/>
      <c r="N82" s="42"/>
    </row>
    <row r="83" spans="1:14" x14ac:dyDescent="0.2">
      <c r="A83" s="39" t="s">
        <v>134</v>
      </c>
      <c r="B83" s="2" t="e">
        <f t="shared" si="3"/>
        <v>#REF!</v>
      </c>
      <c r="C83" s="2" t="e">
        <f t="shared" si="4"/>
        <v>#REF!</v>
      </c>
      <c r="D83" s="40" t="e">
        <f t="shared" si="5"/>
        <v>#REF!</v>
      </c>
      <c r="E83" s="127"/>
      <c r="F83" s="119"/>
      <c r="G83" s="123"/>
      <c r="I83" s="5"/>
      <c r="J83" s="117"/>
      <c r="K83" s="125"/>
      <c r="L83" s="125"/>
      <c r="M83" s="125"/>
      <c r="N83" s="42"/>
    </row>
    <row r="84" spans="1:14" x14ac:dyDescent="0.2">
      <c r="A84" s="39" t="s">
        <v>135</v>
      </c>
      <c r="B84" s="2" t="e">
        <f t="shared" si="3"/>
        <v>#REF!</v>
      </c>
      <c r="C84" s="2" t="e">
        <f t="shared" si="4"/>
        <v>#REF!</v>
      </c>
      <c r="D84" s="40" t="e">
        <f t="shared" si="5"/>
        <v>#REF!</v>
      </c>
      <c r="E84" s="127"/>
      <c r="F84" s="119"/>
      <c r="G84" s="123"/>
      <c r="I84" s="5"/>
      <c r="J84" s="117"/>
      <c r="K84" s="125"/>
      <c r="L84" s="125"/>
      <c r="M84" s="125"/>
      <c r="N84" s="42"/>
    </row>
    <row r="85" spans="1:14" x14ac:dyDescent="0.2">
      <c r="A85" s="39" t="s">
        <v>136</v>
      </c>
      <c r="B85" s="2" t="e">
        <f t="shared" si="3"/>
        <v>#REF!</v>
      </c>
      <c r="C85" s="2" t="e">
        <f t="shared" si="4"/>
        <v>#REF!</v>
      </c>
      <c r="D85" s="40" t="e">
        <f t="shared" si="5"/>
        <v>#REF!</v>
      </c>
      <c r="E85" s="127"/>
      <c r="F85" s="119"/>
      <c r="G85" s="123"/>
      <c r="H85" s="78"/>
      <c r="I85" s="5"/>
      <c r="J85" s="117"/>
      <c r="K85" s="125"/>
      <c r="L85" s="125"/>
      <c r="M85" s="125"/>
      <c r="N85" s="42"/>
    </row>
    <row r="86" spans="1:14" x14ac:dyDescent="0.2">
      <c r="A86" s="39" t="s">
        <v>137</v>
      </c>
      <c r="B86" s="2" t="e">
        <f t="shared" si="3"/>
        <v>#REF!</v>
      </c>
      <c r="C86" s="2" t="e">
        <f t="shared" si="4"/>
        <v>#REF!</v>
      </c>
      <c r="D86" s="40" t="e">
        <f t="shared" si="5"/>
        <v>#REF!</v>
      </c>
      <c r="E86" s="127"/>
      <c r="F86" s="119"/>
      <c r="G86" s="123"/>
      <c r="H86" s="78"/>
      <c r="I86" s="5"/>
      <c r="J86" s="117"/>
      <c r="K86" s="125"/>
      <c r="L86" s="125"/>
      <c r="M86" s="125"/>
      <c r="N86" s="42"/>
    </row>
    <row r="87" spans="1:14" x14ac:dyDescent="0.2">
      <c r="A87" s="39" t="s">
        <v>138</v>
      </c>
      <c r="B87" s="2" t="e">
        <f t="shared" si="3"/>
        <v>#REF!</v>
      </c>
      <c r="C87" s="2" t="e">
        <f t="shared" si="4"/>
        <v>#REF!</v>
      </c>
      <c r="D87" s="40" t="e">
        <f t="shared" si="5"/>
        <v>#REF!</v>
      </c>
      <c r="E87" s="127"/>
      <c r="F87" s="119"/>
      <c r="G87" s="123"/>
      <c r="I87" s="5"/>
      <c r="J87" s="117"/>
      <c r="K87" s="125"/>
      <c r="L87" s="125"/>
      <c r="M87" s="125"/>
      <c r="N87" s="42"/>
    </row>
    <row r="88" spans="1:14" x14ac:dyDescent="0.2">
      <c r="A88" s="39" t="s">
        <v>139</v>
      </c>
      <c r="B88" s="2" t="e">
        <f t="shared" si="3"/>
        <v>#REF!</v>
      </c>
      <c r="C88" s="2" t="e">
        <f t="shared" si="4"/>
        <v>#REF!</v>
      </c>
      <c r="D88" s="40" t="e">
        <f t="shared" si="5"/>
        <v>#REF!</v>
      </c>
      <c r="E88" s="127"/>
      <c r="F88" s="119"/>
      <c r="G88" s="123"/>
      <c r="I88" s="5"/>
      <c r="J88" s="117"/>
      <c r="K88" s="125"/>
      <c r="L88" s="125"/>
      <c r="M88" s="125"/>
      <c r="N88" s="42"/>
    </row>
    <row r="89" spans="1:14" x14ac:dyDescent="0.2">
      <c r="A89" s="39" t="s">
        <v>140</v>
      </c>
      <c r="B89" s="2" t="e">
        <f t="shared" si="3"/>
        <v>#REF!</v>
      </c>
      <c r="C89" s="2" t="e">
        <f t="shared" si="4"/>
        <v>#REF!</v>
      </c>
      <c r="D89" s="40" t="e">
        <f t="shared" si="5"/>
        <v>#REF!</v>
      </c>
      <c r="E89" s="127"/>
      <c r="F89" s="119"/>
      <c r="G89" s="123"/>
      <c r="I89" s="5"/>
      <c r="J89" s="117"/>
      <c r="K89" s="125"/>
      <c r="L89" s="125"/>
      <c r="M89" s="125"/>
      <c r="N89" s="42"/>
    </row>
    <row r="90" spans="1:14" x14ac:dyDescent="0.2">
      <c r="A90" s="39" t="s">
        <v>141</v>
      </c>
      <c r="B90" s="2" t="e">
        <f t="shared" si="3"/>
        <v>#REF!</v>
      </c>
      <c r="C90" s="2" t="e">
        <f t="shared" si="4"/>
        <v>#REF!</v>
      </c>
      <c r="D90" s="40" t="e">
        <f t="shared" si="5"/>
        <v>#REF!</v>
      </c>
      <c r="E90" s="127"/>
      <c r="F90" s="119"/>
      <c r="G90" s="123"/>
      <c r="H90" s="78"/>
      <c r="I90" s="5"/>
      <c r="J90" s="117"/>
      <c r="K90" s="125"/>
      <c r="L90" s="125"/>
      <c r="M90" s="125"/>
      <c r="N90" s="42"/>
    </row>
    <row r="91" spans="1:14" x14ac:dyDescent="0.2">
      <c r="A91" s="39" t="s">
        <v>142</v>
      </c>
      <c r="B91" s="2" t="e">
        <f t="shared" si="3"/>
        <v>#REF!</v>
      </c>
      <c r="C91" s="2" t="e">
        <f t="shared" si="4"/>
        <v>#REF!</v>
      </c>
      <c r="D91" s="40" t="e">
        <f t="shared" si="5"/>
        <v>#REF!</v>
      </c>
      <c r="E91" s="127"/>
      <c r="F91" s="119"/>
      <c r="G91" s="123"/>
      <c r="H91" s="78"/>
      <c r="I91" s="5"/>
      <c r="J91" s="117"/>
      <c r="K91" s="125"/>
      <c r="L91" s="125"/>
      <c r="M91" s="125"/>
      <c r="N91" s="42"/>
    </row>
    <row r="92" spans="1:14" x14ac:dyDescent="0.2">
      <c r="A92" s="39" t="s">
        <v>143</v>
      </c>
      <c r="B92" s="2" t="e">
        <f t="shared" si="3"/>
        <v>#REF!</v>
      </c>
      <c r="C92" s="2" t="e">
        <f t="shared" si="4"/>
        <v>#REF!</v>
      </c>
      <c r="D92" s="40" t="e">
        <f t="shared" si="5"/>
        <v>#REF!</v>
      </c>
      <c r="E92" s="127"/>
      <c r="F92" s="119"/>
      <c r="G92" s="123"/>
      <c r="H92" s="78"/>
      <c r="I92" s="5"/>
      <c r="J92" s="117"/>
      <c r="K92" s="125"/>
      <c r="L92" s="125"/>
      <c r="M92" s="125"/>
      <c r="N92" s="42"/>
    </row>
    <row r="93" spans="1:14" x14ac:dyDescent="0.2">
      <c r="A93" s="39" t="s">
        <v>144</v>
      </c>
      <c r="B93" s="2" t="e">
        <f t="shared" si="3"/>
        <v>#REF!</v>
      </c>
      <c r="C93" s="2" t="e">
        <f t="shared" si="4"/>
        <v>#REF!</v>
      </c>
      <c r="D93" s="40" t="e">
        <f t="shared" si="5"/>
        <v>#REF!</v>
      </c>
      <c r="E93" s="127"/>
      <c r="F93" s="119"/>
      <c r="G93" s="123"/>
      <c r="I93" s="5"/>
      <c r="J93" s="117"/>
      <c r="K93" s="125"/>
      <c r="L93" s="125"/>
      <c r="M93" s="125"/>
      <c r="N93" s="42"/>
    </row>
    <row r="94" spans="1:14" x14ac:dyDescent="0.2">
      <c r="A94" s="39" t="s">
        <v>145</v>
      </c>
      <c r="B94" s="2" t="e">
        <f t="shared" si="3"/>
        <v>#REF!</v>
      </c>
      <c r="C94" s="2" t="e">
        <f t="shared" si="4"/>
        <v>#REF!</v>
      </c>
      <c r="D94" s="40" t="e">
        <f t="shared" si="5"/>
        <v>#REF!</v>
      </c>
      <c r="E94" s="127" t="e">
        <f>IF(D94="Yes",SUM(F94:N94),"")</f>
        <v>#REF!</v>
      </c>
      <c r="F94" s="119"/>
      <c r="G94" s="123"/>
      <c r="H94" s="259">
        <v>0.04</v>
      </c>
      <c r="I94" s="5"/>
      <c r="J94" s="117"/>
      <c r="K94" s="125"/>
      <c r="L94" s="125"/>
      <c r="M94" s="125"/>
      <c r="N94" s="42"/>
    </row>
    <row r="95" spans="1:14" x14ac:dyDescent="0.2">
      <c r="A95" s="39" t="s">
        <v>146</v>
      </c>
      <c r="B95" s="2" t="e">
        <f t="shared" si="3"/>
        <v>#REF!</v>
      </c>
      <c r="C95" s="2" t="e">
        <f t="shared" si="4"/>
        <v>#REF!</v>
      </c>
      <c r="D95" s="40" t="e">
        <f t="shared" si="5"/>
        <v>#REF!</v>
      </c>
      <c r="E95" s="127"/>
      <c r="F95" s="119"/>
      <c r="G95" s="123"/>
      <c r="I95" s="5"/>
      <c r="J95" s="117"/>
      <c r="K95" s="125"/>
      <c r="L95" s="125"/>
      <c r="M95" s="125"/>
      <c r="N95" s="42"/>
    </row>
    <row r="96" spans="1:14" x14ac:dyDescent="0.2">
      <c r="A96" s="39" t="s">
        <v>147</v>
      </c>
      <c r="B96" s="2" t="e">
        <f t="shared" si="3"/>
        <v>#REF!</v>
      </c>
      <c r="C96" s="2" t="e">
        <f t="shared" si="4"/>
        <v>#REF!</v>
      </c>
      <c r="D96" s="40" t="e">
        <f t="shared" si="5"/>
        <v>#REF!</v>
      </c>
      <c r="E96" s="127"/>
      <c r="F96" s="119"/>
      <c r="G96" s="123"/>
      <c r="H96" s="78"/>
      <c r="I96" s="5"/>
      <c r="J96" s="117"/>
      <c r="K96" s="125"/>
      <c r="L96" s="125"/>
      <c r="M96" s="125"/>
      <c r="N96" s="42"/>
    </row>
    <row r="97" spans="1:14" x14ac:dyDescent="0.2">
      <c r="A97" s="39" t="s">
        <v>148</v>
      </c>
      <c r="B97" s="2" t="e">
        <f t="shared" si="3"/>
        <v>#REF!</v>
      </c>
      <c r="C97" s="2" t="e">
        <f t="shared" si="4"/>
        <v>#REF!</v>
      </c>
      <c r="D97" s="40" t="e">
        <f t="shared" si="5"/>
        <v>#REF!</v>
      </c>
      <c r="E97" s="127"/>
      <c r="F97" s="119"/>
      <c r="G97" s="123"/>
      <c r="I97" s="5"/>
      <c r="J97" s="117"/>
      <c r="K97" s="125"/>
      <c r="L97" s="125"/>
      <c r="M97" s="125"/>
      <c r="N97" s="42"/>
    </row>
    <row r="98" spans="1:14" x14ac:dyDescent="0.2">
      <c r="A98" s="39" t="s">
        <v>149</v>
      </c>
      <c r="B98" s="2" t="e">
        <f t="shared" si="3"/>
        <v>#REF!</v>
      </c>
      <c r="C98" s="2" t="e">
        <f t="shared" si="4"/>
        <v>#REF!</v>
      </c>
      <c r="D98" s="40" t="e">
        <f t="shared" si="5"/>
        <v>#REF!</v>
      </c>
      <c r="E98" s="127"/>
      <c r="F98" s="119"/>
      <c r="G98" s="123"/>
      <c r="H98" s="78"/>
      <c r="I98" s="5"/>
      <c r="J98" s="117"/>
      <c r="K98" s="125"/>
      <c r="L98" s="125"/>
      <c r="M98" s="125"/>
      <c r="N98" s="42"/>
    </row>
    <row r="99" spans="1:14" x14ac:dyDescent="0.2">
      <c r="A99" s="39" t="s">
        <v>150</v>
      </c>
      <c r="B99" s="2" t="e">
        <f t="shared" si="3"/>
        <v>#REF!</v>
      </c>
      <c r="C99" s="2" t="e">
        <f t="shared" si="4"/>
        <v>#REF!</v>
      </c>
      <c r="D99" s="40" t="e">
        <f t="shared" si="5"/>
        <v>#REF!</v>
      </c>
      <c r="E99" s="127"/>
      <c r="F99" s="119"/>
      <c r="G99" s="123"/>
      <c r="H99" s="78"/>
      <c r="I99" s="5"/>
      <c r="J99" s="117"/>
      <c r="K99" s="125"/>
      <c r="L99" s="125"/>
      <c r="M99" s="125"/>
      <c r="N99" s="42"/>
    </row>
    <row r="100" spans="1:14" x14ac:dyDescent="0.2">
      <c r="A100" s="39" t="s">
        <v>151</v>
      </c>
      <c r="B100" s="2" t="e">
        <f t="shared" si="3"/>
        <v>#REF!</v>
      </c>
      <c r="C100" s="2" t="e">
        <f t="shared" si="4"/>
        <v>#REF!</v>
      </c>
      <c r="D100" s="40" t="e">
        <f t="shared" si="5"/>
        <v>#REF!</v>
      </c>
      <c r="E100" s="127"/>
      <c r="F100" s="119"/>
      <c r="G100" s="123"/>
      <c r="H100" s="78"/>
      <c r="I100" s="5"/>
      <c r="J100" s="117"/>
      <c r="K100" s="125"/>
      <c r="L100" s="125"/>
      <c r="M100" s="125"/>
      <c r="N100" s="42"/>
    </row>
    <row r="101" spans="1:14" x14ac:dyDescent="0.2">
      <c r="A101" s="39" t="s">
        <v>152</v>
      </c>
      <c r="B101" s="2" t="e">
        <f t="shared" si="3"/>
        <v>#REF!</v>
      </c>
      <c r="C101" s="2" t="e">
        <f t="shared" si="4"/>
        <v>#REF!</v>
      </c>
      <c r="D101" s="40" t="e">
        <f t="shared" si="5"/>
        <v>#REF!</v>
      </c>
      <c r="E101" s="127"/>
      <c r="F101" s="119"/>
      <c r="G101" s="123"/>
      <c r="I101" s="5"/>
      <c r="J101" s="117"/>
      <c r="K101" s="125"/>
      <c r="L101" s="125"/>
      <c r="M101" s="125"/>
      <c r="N101" s="42"/>
    </row>
    <row r="102" spans="1:14" x14ac:dyDescent="0.2">
      <c r="A102" s="39" t="s">
        <v>153</v>
      </c>
      <c r="B102" s="2" t="e">
        <f t="shared" si="3"/>
        <v>#REF!</v>
      </c>
      <c r="C102" s="2" t="e">
        <f t="shared" si="4"/>
        <v>#REF!</v>
      </c>
      <c r="D102" s="40" t="e">
        <f t="shared" si="5"/>
        <v>#REF!</v>
      </c>
      <c r="E102" s="127"/>
      <c r="F102" s="119"/>
      <c r="G102" s="123"/>
      <c r="I102" s="5"/>
      <c r="J102" s="117"/>
      <c r="K102" s="125"/>
      <c r="L102" s="125"/>
      <c r="M102" s="125"/>
      <c r="N102" s="42"/>
    </row>
    <row r="103" spans="1:14" x14ac:dyDescent="0.2">
      <c r="A103" s="39" t="s">
        <v>154</v>
      </c>
      <c r="B103" s="2" t="e">
        <f t="shared" si="3"/>
        <v>#REF!</v>
      </c>
      <c r="C103" s="2" t="e">
        <f t="shared" si="4"/>
        <v>#REF!</v>
      </c>
      <c r="D103" s="40" t="e">
        <f t="shared" si="5"/>
        <v>#REF!</v>
      </c>
      <c r="E103" s="127"/>
      <c r="F103" s="119"/>
      <c r="G103" s="123"/>
      <c r="I103" s="5"/>
      <c r="J103" s="117"/>
      <c r="K103" s="125"/>
      <c r="L103" s="125"/>
      <c r="M103" s="125"/>
      <c r="N103" s="42"/>
    </row>
    <row r="104" spans="1:14" x14ac:dyDescent="0.2">
      <c r="A104" s="39" t="s">
        <v>155</v>
      </c>
      <c r="B104" s="2" t="e">
        <f t="shared" si="3"/>
        <v>#REF!</v>
      </c>
      <c r="C104" s="2" t="e">
        <f t="shared" si="4"/>
        <v>#REF!</v>
      </c>
      <c r="D104" s="40" t="e">
        <f t="shared" si="5"/>
        <v>#REF!</v>
      </c>
      <c r="E104" s="127"/>
      <c r="F104" s="119"/>
      <c r="G104" s="123"/>
      <c r="I104" s="5"/>
      <c r="J104" s="117"/>
      <c r="K104" s="125"/>
      <c r="L104" s="125"/>
      <c r="M104" s="125"/>
      <c r="N104" s="42"/>
    </row>
    <row r="105" spans="1:14" x14ac:dyDescent="0.2">
      <c r="A105" s="39" t="s">
        <v>156</v>
      </c>
      <c r="B105" s="2" t="e">
        <f t="shared" si="3"/>
        <v>#REF!</v>
      </c>
      <c r="C105" s="2" t="e">
        <f t="shared" si="4"/>
        <v>#REF!</v>
      </c>
      <c r="D105" s="40" t="e">
        <f t="shared" si="5"/>
        <v>#REF!</v>
      </c>
      <c r="E105" s="127"/>
      <c r="F105" s="119"/>
      <c r="G105" s="123"/>
      <c r="I105" s="5"/>
      <c r="J105" s="117"/>
      <c r="K105" s="125"/>
      <c r="L105" s="125"/>
      <c r="M105" s="125"/>
      <c r="N105" s="42"/>
    </row>
    <row r="106" spans="1:14" x14ac:dyDescent="0.2">
      <c r="A106" s="39" t="s">
        <v>157</v>
      </c>
      <c r="B106" s="2" t="e">
        <f t="shared" si="3"/>
        <v>#REF!</v>
      </c>
      <c r="C106" s="2" t="e">
        <f t="shared" si="4"/>
        <v>#REF!</v>
      </c>
      <c r="D106" s="40" t="e">
        <f t="shared" si="5"/>
        <v>#REF!</v>
      </c>
      <c r="E106" s="127"/>
      <c r="F106" s="119"/>
      <c r="G106" s="123"/>
      <c r="H106" s="78"/>
      <c r="I106" s="5"/>
      <c r="J106" s="117"/>
      <c r="K106" s="125"/>
      <c r="L106" s="125"/>
      <c r="M106" s="125"/>
      <c r="N106" s="42"/>
    </row>
    <row r="107" spans="1:14" x14ac:dyDescent="0.2">
      <c r="A107" s="39" t="s">
        <v>158</v>
      </c>
      <c r="B107" s="2" t="e">
        <f t="shared" si="3"/>
        <v>#REF!</v>
      </c>
      <c r="C107" s="2" t="e">
        <f t="shared" si="4"/>
        <v>#REF!</v>
      </c>
      <c r="D107" s="40" t="e">
        <f t="shared" si="5"/>
        <v>#REF!</v>
      </c>
      <c r="E107" s="127"/>
      <c r="F107" s="119"/>
      <c r="G107" s="123"/>
      <c r="I107" s="5"/>
      <c r="J107" s="117"/>
      <c r="K107" s="125"/>
      <c r="L107" s="125"/>
      <c r="M107" s="125"/>
      <c r="N107" s="42"/>
    </row>
    <row r="108" spans="1:14" x14ac:dyDescent="0.2">
      <c r="A108" s="39" t="s">
        <v>159</v>
      </c>
      <c r="B108" s="2" t="e">
        <f t="shared" si="3"/>
        <v>#REF!</v>
      </c>
      <c r="C108" s="2" t="e">
        <f t="shared" si="4"/>
        <v>#REF!</v>
      </c>
      <c r="D108" s="40" t="e">
        <f t="shared" si="5"/>
        <v>#REF!</v>
      </c>
      <c r="E108" s="127"/>
      <c r="F108" s="119"/>
      <c r="G108" s="123"/>
      <c r="H108" s="78"/>
      <c r="I108" s="5"/>
      <c r="J108" s="117"/>
      <c r="K108" s="125"/>
      <c r="L108" s="125"/>
      <c r="M108" s="125"/>
      <c r="N108" s="42"/>
    </row>
    <row r="109" spans="1:14" x14ac:dyDescent="0.2">
      <c r="A109" s="39" t="s">
        <v>160</v>
      </c>
      <c r="B109" s="2" t="e">
        <f t="shared" si="3"/>
        <v>#REF!</v>
      </c>
      <c r="C109" s="2" t="e">
        <f t="shared" si="4"/>
        <v>#REF!</v>
      </c>
      <c r="D109" s="40" t="e">
        <f t="shared" si="5"/>
        <v>#REF!</v>
      </c>
      <c r="E109" s="127"/>
      <c r="F109" s="119"/>
      <c r="G109" s="123"/>
      <c r="I109" s="5"/>
      <c r="J109" s="117"/>
      <c r="K109" s="125"/>
      <c r="L109" s="125"/>
      <c r="M109" s="125"/>
      <c r="N109" s="42"/>
    </row>
    <row r="110" spans="1:14" x14ac:dyDescent="0.2">
      <c r="A110" s="39" t="s">
        <v>161</v>
      </c>
      <c r="B110" s="2" t="e">
        <f t="shared" si="3"/>
        <v>#REF!</v>
      </c>
      <c r="C110" s="2" t="e">
        <f t="shared" si="4"/>
        <v>#REF!</v>
      </c>
      <c r="D110" s="40" t="e">
        <f t="shared" si="5"/>
        <v>#REF!</v>
      </c>
      <c r="E110" s="127"/>
      <c r="F110" s="119"/>
      <c r="G110" s="123"/>
      <c r="I110" s="5"/>
      <c r="J110" s="117"/>
      <c r="K110" s="125"/>
      <c r="L110" s="125"/>
      <c r="M110" s="125"/>
      <c r="N110" s="42"/>
    </row>
    <row r="111" spans="1:14" x14ac:dyDescent="0.2">
      <c r="A111" s="39" t="s">
        <v>162</v>
      </c>
      <c r="B111" s="2" t="e">
        <f t="shared" si="3"/>
        <v>#REF!</v>
      </c>
      <c r="C111" s="2" t="e">
        <f t="shared" si="4"/>
        <v>#REF!</v>
      </c>
      <c r="D111" s="40" t="e">
        <f t="shared" si="5"/>
        <v>#REF!</v>
      </c>
      <c r="E111" s="127"/>
      <c r="F111" s="119"/>
      <c r="G111" s="123"/>
      <c r="I111" s="5"/>
      <c r="J111" s="117"/>
      <c r="K111" s="125"/>
      <c r="L111" s="125"/>
      <c r="M111" s="125"/>
      <c r="N111" s="42"/>
    </row>
    <row r="112" spans="1:14" x14ac:dyDescent="0.2">
      <c r="A112" s="39" t="s">
        <v>163</v>
      </c>
      <c r="B112" s="2" t="e">
        <f t="shared" si="3"/>
        <v>#REF!</v>
      </c>
      <c r="C112" s="2" t="e">
        <f t="shared" si="4"/>
        <v>#REF!</v>
      </c>
      <c r="D112" s="40" t="e">
        <f t="shared" si="5"/>
        <v>#REF!</v>
      </c>
      <c r="E112" s="127"/>
      <c r="F112" s="119"/>
      <c r="G112" s="123"/>
      <c r="I112" s="5"/>
      <c r="J112" s="117"/>
      <c r="K112" s="125"/>
      <c r="L112" s="125"/>
      <c r="M112" s="125"/>
      <c r="N112" s="42"/>
    </row>
    <row r="113" spans="1:14" x14ac:dyDescent="0.2">
      <c r="A113" s="39" t="s">
        <v>164</v>
      </c>
      <c r="B113" s="2" t="e">
        <f t="shared" si="3"/>
        <v>#REF!</v>
      </c>
      <c r="C113" s="2" t="e">
        <f t="shared" si="4"/>
        <v>#REF!</v>
      </c>
      <c r="D113" s="40" t="e">
        <f t="shared" si="5"/>
        <v>#REF!</v>
      </c>
      <c r="E113" s="127"/>
      <c r="F113" s="119"/>
      <c r="G113" s="123"/>
      <c r="I113" s="5"/>
      <c r="J113" s="117"/>
      <c r="K113" s="125"/>
      <c r="L113" s="125"/>
      <c r="M113" s="125"/>
      <c r="N113" s="42"/>
    </row>
    <row r="114" spans="1:14" x14ac:dyDescent="0.2">
      <c r="A114" s="39" t="s">
        <v>165</v>
      </c>
      <c r="B114" s="2" t="e">
        <f t="shared" si="3"/>
        <v>#REF!</v>
      </c>
      <c r="C114" s="2" t="e">
        <f t="shared" si="4"/>
        <v>#REF!</v>
      </c>
      <c r="D114" s="40" t="e">
        <f t="shared" si="5"/>
        <v>#REF!</v>
      </c>
      <c r="E114" s="127"/>
      <c r="F114" s="119"/>
      <c r="G114" s="123"/>
      <c r="I114" s="5"/>
      <c r="J114" s="117"/>
      <c r="K114" s="125"/>
      <c r="L114" s="125"/>
      <c r="M114" s="125"/>
      <c r="N114" s="42"/>
    </row>
    <row r="115" spans="1:14" x14ac:dyDescent="0.2">
      <c r="A115" s="39" t="s">
        <v>166</v>
      </c>
      <c r="B115" s="2" t="e">
        <f t="shared" si="3"/>
        <v>#REF!</v>
      </c>
      <c r="C115" s="2" t="e">
        <f t="shared" si="4"/>
        <v>#REF!</v>
      </c>
      <c r="D115" s="40" t="e">
        <f t="shared" si="5"/>
        <v>#REF!</v>
      </c>
      <c r="E115" s="127"/>
      <c r="F115" s="119"/>
      <c r="G115" s="123"/>
      <c r="I115" s="5"/>
      <c r="J115" s="117"/>
      <c r="K115" s="125"/>
      <c r="L115" s="125"/>
      <c r="M115" s="125"/>
      <c r="N115" s="42"/>
    </row>
    <row r="116" spans="1:14" x14ac:dyDescent="0.2">
      <c r="A116" s="39" t="s">
        <v>167</v>
      </c>
      <c r="B116" s="2" t="e">
        <f t="shared" si="3"/>
        <v>#REF!</v>
      </c>
      <c r="C116" s="2" t="e">
        <f t="shared" si="4"/>
        <v>#REF!</v>
      </c>
      <c r="D116" s="40" t="e">
        <f t="shared" si="5"/>
        <v>#REF!</v>
      </c>
      <c r="E116" s="127"/>
      <c r="F116" s="119"/>
      <c r="G116" s="123"/>
      <c r="I116" s="5"/>
      <c r="J116" s="117"/>
      <c r="K116" s="125"/>
      <c r="L116" s="125"/>
      <c r="M116" s="125"/>
      <c r="N116" s="42"/>
    </row>
    <row r="117" spans="1:14" x14ac:dyDescent="0.2">
      <c r="A117" s="39" t="s">
        <v>168</v>
      </c>
      <c r="B117" s="2" t="e">
        <f t="shared" si="3"/>
        <v>#REF!</v>
      </c>
      <c r="C117" s="2" t="e">
        <f t="shared" si="4"/>
        <v>#REF!</v>
      </c>
      <c r="D117" s="40" t="e">
        <f t="shared" si="5"/>
        <v>#REF!</v>
      </c>
      <c r="E117" s="127"/>
      <c r="F117" s="119"/>
      <c r="G117" s="123"/>
      <c r="H117" s="110"/>
      <c r="I117" s="5"/>
      <c r="J117" s="117"/>
      <c r="K117" s="125"/>
      <c r="L117" s="125"/>
      <c r="M117" s="121"/>
      <c r="N117" s="42"/>
    </row>
    <row r="118" spans="1:14" x14ac:dyDescent="0.2">
      <c r="A118" s="41" t="s">
        <v>169</v>
      </c>
      <c r="B118" s="45" t="e">
        <f t="shared" si="3"/>
        <v>#REF!</v>
      </c>
      <c r="C118" s="45" t="e">
        <f t="shared" si="4"/>
        <v>#REF!</v>
      </c>
      <c r="D118" s="32" t="e">
        <f t="shared" si="5"/>
        <v>#REF!</v>
      </c>
      <c r="E118" s="128"/>
      <c r="F118" s="120"/>
      <c r="G118" s="124"/>
      <c r="H118" s="111"/>
      <c r="I118" s="6"/>
      <c r="J118" s="118"/>
      <c r="K118" s="126"/>
      <c r="L118" s="126"/>
      <c r="M118" s="122"/>
      <c r="N118" s="43"/>
    </row>
  </sheetData>
  <autoFilter ref="A5:N5" xr:uid="{00000000-0009-0000-0000-000006000000}">
    <sortState xmlns:xlrd2="http://schemas.microsoft.com/office/spreadsheetml/2017/richdata2" ref="A6:N116">
      <sortCondition ref="B5"/>
    </sortState>
  </autoFilter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 filterMode="1">
    <tabColor theme="9" tint="0.79998168889431442"/>
  </sheetPr>
  <dimension ref="A2:N118"/>
  <sheetViews>
    <sheetView topLeftCell="AL1" zoomScale="70" zoomScaleNormal="70" workbookViewId="0">
      <selection activeCell="F95" sqref="F95"/>
    </sheetView>
  </sheetViews>
  <sheetFormatPr baseColWidth="10" defaultColWidth="8.6640625" defaultRowHeight="15" x14ac:dyDescent="0.2"/>
  <cols>
    <col min="1" max="1" width="9.6640625" customWidth="1"/>
    <col min="2" max="2" width="29.5" customWidth="1"/>
    <col min="3" max="3" width="18.33203125" customWidth="1"/>
    <col min="4" max="4" width="10.33203125" customWidth="1"/>
    <col min="5" max="5" width="9.5" customWidth="1"/>
    <col min="6" max="6" width="12.6640625" customWidth="1"/>
    <col min="7" max="7" width="14.5" customWidth="1"/>
    <col min="8" max="9" width="12.6640625" customWidth="1"/>
    <col min="10" max="10" width="10.5" customWidth="1"/>
    <col min="11" max="11" width="12.5" customWidth="1"/>
    <col min="12" max="12" width="12.33203125" customWidth="1"/>
    <col min="13" max="13" width="12.5" customWidth="1"/>
    <col min="14" max="14" width="16.5" customWidth="1"/>
    <col min="15" max="15" width="13" bestFit="1" customWidth="1"/>
  </cols>
  <sheetData>
    <row r="2" spans="1:14" ht="21" x14ac:dyDescent="0.25">
      <c r="A2" s="38" t="s">
        <v>174</v>
      </c>
    </row>
    <row r="4" spans="1:14" x14ac:dyDescent="0.2">
      <c r="A4" s="171" t="s">
        <v>5</v>
      </c>
      <c r="B4" s="172"/>
      <c r="C4" s="172"/>
      <c r="D4" s="178"/>
      <c r="E4" s="173" t="s">
        <v>40</v>
      </c>
      <c r="F4" s="179" t="s">
        <v>41</v>
      </c>
      <c r="G4" s="175"/>
      <c r="H4" s="174" t="s">
        <v>42</v>
      </c>
      <c r="I4" s="176"/>
      <c r="J4" s="180" t="s">
        <v>43</v>
      </c>
      <c r="K4" s="177"/>
      <c r="L4" s="177"/>
      <c r="M4" s="177"/>
      <c r="N4" s="181" t="s">
        <v>44</v>
      </c>
    </row>
    <row r="5" spans="1:14" ht="48" x14ac:dyDescent="0.2">
      <c r="A5" s="166" t="s">
        <v>45</v>
      </c>
      <c r="B5" s="167" t="s">
        <v>5</v>
      </c>
      <c r="C5" s="167" t="s">
        <v>46</v>
      </c>
      <c r="D5" s="182" t="s">
        <v>47</v>
      </c>
      <c r="E5" s="168"/>
      <c r="F5" s="183" t="s">
        <v>48</v>
      </c>
      <c r="G5" s="170" t="s">
        <v>49</v>
      </c>
      <c r="H5" s="169" t="s">
        <v>50</v>
      </c>
      <c r="I5" s="170" t="s">
        <v>51</v>
      </c>
      <c r="J5" s="183" t="s">
        <v>52</v>
      </c>
      <c r="K5" s="169" t="s">
        <v>53</v>
      </c>
      <c r="L5" s="169" t="s">
        <v>54</v>
      </c>
      <c r="M5" s="169" t="s">
        <v>55</v>
      </c>
      <c r="N5" s="184" t="s">
        <v>56</v>
      </c>
    </row>
    <row r="6" spans="1:14" hidden="1" x14ac:dyDescent="0.2">
      <c r="A6" s="39" t="s">
        <v>57</v>
      </c>
      <c r="B6" s="2" t="e">
        <f t="shared" ref="B6:B37" si="0">INDEX(Crop_data,MATCH(A6,Crop_data_codes,0),2)</f>
        <v>#REF!</v>
      </c>
      <c r="C6" s="2" t="e">
        <f t="shared" ref="C6:C37" si="1">INDEX(Crop_data,MATCH(A6,Crop_data_codes,0),3)</f>
        <v>#REF!</v>
      </c>
      <c r="D6" s="40" t="e">
        <f t="shared" ref="D6:D37" si="2">INDEX(Crop_data,MATCH(A6,Crop_data_codes,0),4)</f>
        <v>#REF!</v>
      </c>
      <c r="E6" s="127" t="e">
        <f t="shared" ref="E6:E37" si="3">IF(D6="Yes", SUM(F6:N6),"")</f>
        <v>#REF!</v>
      </c>
      <c r="F6" s="119" t="e">
        <f t="shared" ref="F6:F37" si="4">IF(D6="YES",INDEX(Crop_data,MATCH(A6,Crop_data_codes,0),7)*(Frac_BAT*EF_min_fert_BAT_N2O+Frac_AN*EF_min_fert_AN_N2O)/INDEX(Crop_data,MATCH(A6,Crop_data_codes,0),6),"")</f>
        <v>#REF!</v>
      </c>
      <c r="G6" s="123" t="e">
        <f t="shared" ref="G6:G37" si="5">IF(D6="YES",EF_capital_goods_N2O,"")</f>
        <v>#REF!</v>
      </c>
      <c r="H6" s="125" t="e">
        <f t="shared" ref="H6:H37" si="6">IF(D6="YES",(INDEX(Crop_data,MATCH(A6,Crop_data_codes,0),7)*EF_N2O_soils_min_fert+INDEX(Crop_data,MATCH(A6,Crop_data_codes,0),9)*EF_N2O_soils_crop_res)*44/28/INDEX(Crop_data,MATCH(A6,Crop_data_codes,0),6),"")</f>
        <v>#REF!</v>
      </c>
      <c r="I6" s="121" t="e">
        <f t="shared" ref="I6:I37" si="7">IF(D6="Yes",H6*EF_N2O_soils_indirect,"")</f>
        <v>#REF!</v>
      </c>
      <c r="J6" s="117" t="e">
        <f t="shared" ref="J6:J33" si="8">IF(D6="YES",INDEX(Crop_data,MATCH(A6,Crop_data_codes,0),11)*Heating_value_diesel*EF_diesel_N2O/INDEX(Crop_data,MATCH(A6,Crop_data_codes,0),6),"")</f>
        <v>#REF!</v>
      </c>
      <c r="K6" s="125"/>
      <c r="L6" s="125" t="e">
        <f t="shared" ref="L6:L38" si="9">IF(D6="YES",INDEX(Crop_data,MATCH(A6,Crop_data_codes,0),12)*EF_irrigation_N2O/INDEX(Crop_data,MATCH(A6,Crop_data_codes,0),6),"")</f>
        <v>#REF!</v>
      </c>
      <c r="M6" s="125"/>
      <c r="N6" s="42"/>
    </row>
    <row r="7" spans="1:14" hidden="1" x14ac:dyDescent="0.2">
      <c r="A7" s="39" t="s">
        <v>58</v>
      </c>
      <c r="B7" s="2" t="e">
        <f t="shared" si="0"/>
        <v>#REF!</v>
      </c>
      <c r="C7" s="2" t="e">
        <f t="shared" si="1"/>
        <v>#REF!</v>
      </c>
      <c r="D7" s="40" t="e">
        <f t="shared" si="2"/>
        <v>#REF!</v>
      </c>
      <c r="E7" s="127" t="e">
        <f t="shared" si="3"/>
        <v>#REF!</v>
      </c>
      <c r="F7" s="119" t="e">
        <f t="shared" si="4"/>
        <v>#REF!</v>
      </c>
      <c r="G7" s="123" t="e">
        <f t="shared" si="5"/>
        <v>#REF!</v>
      </c>
      <c r="H7" s="125" t="e">
        <f t="shared" si="6"/>
        <v>#REF!</v>
      </c>
      <c r="I7" s="121" t="e">
        <f t="shared" si="7"/>
        <v>#REF!</v>
      </c>
      <c r="J7" s="117" t="e">
        <f t="shared" si="8"/>
        <v>#REF!</v>
      </c>
      <c r="K7" s="125"/>
      <c r="L7" s="125" t="e">
        <f t="shared" si="9"/>
        <v>#REF!</v>
      </c>
      <c r="M7" s="125"/>
      <c r="N7" s="42"/>
    </row>
    <row r="8" spans="1:14" hidden="1" x14ac:dyDescent="0.2">
      <c r="A8" s="39" t="s">
        <v>59</v>
      </c>
      <c r="B8" s="2" t="e">
        <f t="shared" si="0"/>
        <v>#REF!</v>
      </c>
      <c r="C8" s="2" t="e">
        <f t="shared" si="1"/>
        <v>#REF!</v>
      </c>
      <c r="D8" s="40" t="e">
        <f t="shared" si="2"/>
        <v>#REF!</v>
      </c>
      <c r="E8" s="127" t="e">
        <f t="shared" si="3"/>
        <v>#REF!</v>
      </c>
      <c r="F8" s="119" t="e">
        <f t="shared" si="4"/>
        <v>#REF!</v>
      </c>
      <c r="G8" s="123" t="e">
        <f t="shared" si="5"/>
        <v>#REF!</v>
      </c>
      <c r="H8" s="125" t="e">
        <f t="shared" si="6"/>
        <v>#REF!</v>
      </c>
      <c r="I8" s="121" t="e">
        <f t="shared" si="7"/>
        <v>#REF!</v>
      </c>
      <c r="J8" s="117" t="e">
        <f t="shared" si="8"/>
        <v>#REF!</v>
      </c>
      <c r="K8" s="125"/>
      <c r="L8" s="125" t="e">
        <f t="shared" si="9"/>
        <v>#REF!</v>
      </c>
      <c r="M8" s="125" t="e">
        <f t="shared" ref="M8:M39" si="10">IF(D8="Yes",INDEX(Post_harvest_energy_data,MATCH(C8,Post_harvest_energy_categories,0),2)*EF_heating_oil_N2O+INDEX(Post_harvest_energy_data,MATCH(C8,Post_harvest_energy_categories,0),3)*EF_electricity_N2O+INDEX(Post_harvest_energy_data,MATCH(C8,Post_harvest_energy_categories,0),4)*EF_chips_N2O,"")</f>
        <v>#REF!</v>
      </c>
      <c r="N8" s="42"/>
    </row>
    <row r="9" spans="1:14" hidden="1" x14ac:dyDescent="0.2">
      <c r="A9" s="39" t="s">
        <v>60</v>
      </c>
      <c r="B9" s="2" t="e">
        <f t="shared" si="0"/>
        <v>#REF!</v>
      </c>
      <c r="C9" s="2" t="e">
        <f t="shared" si="1"/>
        <v>#REF!</v>
      </c>
      <c r="D9" s="40" t="e">
        <f t="shared" si="2"/>
        <v>#REF!</v>
      </c>
      <c r="E9" s="127" t="e">
        <f t="shared" si="3"/>
        <v>#REF!</v>
      </c>
      <c r="F9" s="119" t="e">
        <f t="shared" si="4"/>
        <v>#REF!</v>
      </c>
      <c r="G9" s="123" t="e">
        <f t="shared" si="5"/>
        <v>#REF!</v>
      </c>
      <c r="H9" s="125" t="e">
        <f t="shared" si="6"/>
        <v>#REF!</v>
      </c>
      <c r="I9" s="121" t="e">
        <f t="shared" si="7"/>
        <v>#REF!</v>
      </c>
      <c r="J9" s="117" t="e">
        <f t="shared" si="8"/>
        <v>#REF!</v>
      </c>
      <c r="K9" s="125"/>
      <c r="L9" s="125" t="e">
        <f t="shared" si="9"/>
        <v>#REF!</v>
      </c>
      <c r="M9" s="125" t="e">
        <f t="shared" si="10"/>
        <v>#REF!</v>
      </c>
      <c r="N9" s="42"/>
    </row>
    <row r="10" spans="1:14" hidden="1" x14ac:dyDescent="0.2">
      <c r="A10" s="39" t="s">
        <v>61</v>
      </c>
      <c r="B10" s="2" t="e">
        <f t="shared" si="0"/>
        <v>#REF!</v>
      </c>
      <c r="C10" s="2" t="e">
        <f t="shared" si="1"/>
        <v>#REF!</v>
      </c>
      <c r="D10" s="40" t="e">
        <f t="shared" si="2"/>
        <v>#REF!</v>
      </c>
      <c r="E10" s="127" t="e">
        <f t="shared" si="3"/>
        <v>#REF!</v>
      </c>
      <c r="F10" s="119" t="e">
        <f t="shared" si="4"/>
        <v>#REF!</v>
      </c>
      <c r="G10" s="123" t="e">
        <f t="shared" si="5"/>
        <v>#REF!</v>
      </c>
      <c r="H10" s="125" t="e">
        <f t="shared" si="6"/>
        <v>#REF!</v>
      </c>
      <c r="I10" s="121" t="e">
        <f t="shared" si="7"/>
        <v>#REF!</v>
      </c>
      <c r="J10" s="117" t="e">
        <f t="shared" si="8"/>
        <v>#REF!</v>
      </c>
      <c r="K10" s="125"/>
      <c r="L10" s="125" t="e">
        <f t="shared" si="9"/>
        <v>#REF!</v>
      </c>
      <c r="M10" s="125" t="e">
        <f t="shared" si="10"/>
        <v>#REF!</v>
      </c>
      <c r="N10" s="42"/>
    </row>
    <row r="11" spans="1:14" hidden="1" x14ac:dyDescent="0.2">
      <c r="A11" s="39" t="s">
        <v>62</v>
      </c>
      <c r="B11" s="2" t="e">
        <f t="shared" si="0"/>
        <v>#REF!</v>
      </c>
      <c r="C11" s="2" t="e">
        <f t="shared" si="1"/>
        <v>#REF!</v>
      </c>
      <c r="D11" s="40" t="e">
        <f t="shared" si="2"/>
        <v>#REF!</v>
      </c>
      <c r="E11" s="127" t="e">
        <f t="shared" si="3"/>
        <v>#REF!</v>
      </c>
      <c r="F11" s="119" t="e">
        <f t="shared" si="4"/>
        <v>#REF!</v>
      </c>
      <c r="G11" s="123" t="e">
        <f t="shared" si="5"/>
        <v>#REF!</v>
      </c>
      <c r="H11" s="125" t="e">
        <f t="shared" si="6"/>
        <v>#REF!</v>
      </c>
      <c r="I11" s="121" t="e">
        <f t="shared" si="7"/>
        <v>#REF!</v>
      </c>
      <c r="J11" s="117" t="e">
        <f t="shared" si="8"/>
        <v>#REF!</v>
      </c>
      <c r="K11" s="125"/>
      <c r="L11" s="125" t="e">
        <f t="shared" si="9"/>
        <v>#REF!</v>
      </c>
      <c r="M11" s="125" t="e">
        <f t="shared" si="10"/>
        <v>#REF!</v>
      </c>
      <c r="N11" s="42"/>
    </row>
    <row r="12" spans="1:14" hidden="1" x14ac:dyDescent="0.2">
      <c r="A12" s="39" t="s">
        <v>63</v>
      </c>
      <c r="B12" s="2" t="e">
        <f t="shared" si="0"/>
        <v>#REF!</v>
      </c>
      <c r="C12" s="2" t="e">
        <f t="shared" si="1"/>
        <v>#REF!</v>
      </c>
      <c r="D12" s="40" t="e">
        <f t="shared" si="2"/>
        <v>#REF!</v>
      </c>
      <c r="E12" s="127" t="e">
        <f t="shared" si="3"/>
        <v>#REF!</v>
      </c>
      <c r="F12" s="119" t="e">
        <f t="shared" si="4"/>
        <v>#REF!</v>
      </c>
      <c r="G12" s="123" t="e">
        <f t="shared" si="5"/>
        <v>#REF!</v>
      </c>
      <c r="H12" s="125" t="e">
        <f t="shared" si="6"/>
        <v>#REF!</v>
      </c>
      <c r="I12" s="121" t="e">
        <f t="shared" si="7"/>
        <v>#REF!</v>
      </c>
      <c r="J12" s="117" t="e">
        <f t="shared" si="8"/>
        <v>#REF!</v>
      </c>
      <c r="K12" s="125"/>
      <c r="L12" s="125" t="e">
        <f t="shared" si="9"/>
        <v>#REF!</v>
      </c>
      <c r="M12" s="125" t="e">
        <f t="shared" si="10"/>
        <v>#REF!</v>
      </c>
      <c r="N12" s="42"/>
    </row>
    <row r="13" spans="1:14" hidden="1" x14ac:dyDescent="0.2">
      <c r="A13" s="39" t="s">
        <v>64</v>
      </c>
      <c r="B13" s="2" t="e">
        <f t="shared" si="0"/>
        <v>#REF!</v>
      </c>
      <c r="C13" s="2" t="e">
        <f t="shared" si="1"/>
        <v>#REF!</v>
      </c>
      <c r="D13" s="40" t="e">
        <f t="shared" si="2"/>
        <v>#REF!</v>
      </c>
      <c r="E13" s="127" t="e">
        <f t="shared" si="3"/>
        <v>#REF!</v>
      </c>
      <c r="F13" s="119" t="e">
        <f t="shared" si="4"/>
        <v>#REF!</v>
      </c>
      <c r="G13" s="123" t="e">
        <f t="shared" si="5"/>
        <v>#REF!</v>
      </c>
      <c r="H13" s="125" t="e">
        <f t="shared" si="6"/>
        <v>#REF!</v>
      </c>
      <c r="I13" s="121" t="e">
        <f t="shared" si="7"/>
        <v>#REF!</v>
      </c>
      <c r="J13" s="117" t="e">
        <f t="shared" si="8"/>
        <v>#REF!</v>
      </c>
      <c r="K13" s="125"/>
      <c r="L13" s="125" t="e">
        <f t="shared" si="9"/>
        <v>#REF!</v>
      </c>
      <c r="M13" s="125" t="e">
        <f t="shared" si="10"/>
        <v>#REF!</v>
      </c>
      <c r="N13" s="42"/>
    </row>
    <row r="14" spans="1:14" x14ac:dyDescent="0.2">
      <c r="A14" s="39" t="s">
        <v>65</v>
      </c>
      <c r="B14" s="2" t="e">
        <f t="shared" si="0"/>
        <v>#REF!</v>
      </c>
      <c r="C14" s="2" t="e">
        <f t="shared" si="1"/>
        <v>#REF!</v>
      </c>
      <c r="D14" s="40" t="e">
        <f t="shared" si="2"/>
        <v>#REF!</v>
      </c>
      <c r="E14" s="127" t="e">
        <f t="shared" si="3"/>
        <v>#REF!</v>
      </c>
      <c r="F14" s="119" t="e">
        <f t="shared" si="4"/>
        <v>#REF!</v>
      </c>
      <c r="G14" s="123" t="e">
        <f t="shared" si="5"/>
        <v>#REF!</v>
      </c>
      <c r="H14" s="125" t="e">
        <f t="shared" si="6"/>
        <v>#REF!</v>
      </c>
      <c r="I14" s="121" t="e">
        <f t="shared" si="7"/>
        <v>#REF!</v>
      </c>
      <c r="J14" s="117" t="e">
        <f t="shared" si="8"/>
        <v>#REF!</v>
      </c>
      <c r="K14" s="125"/>
      <c r="L14" s="125" t="e">
        <f t="shared" si="9"/>
        <v>#REF!</v>
      </c>
      <c r="M14" s="125" t="e">
        <f t="shared" si="10"/>
        <v>#REF!</v>
      </c>
      <c r="N14" s="42"/>
    </row>
    <row r="15" spans="1:14" hidden="1" x14ac:dyDescent="0.2">
      <c r="A15" s="39" t="s">
        <v>66</v>
      </c>
      <c r="B15" s="2" t="e">
        <f t="shared" si="0"/>
        <v>#REF!</v>
      </c>
      <c r="C15" s="2" t="e">
        <f t="shared" si="1"/>
        <v>#REF!</v>
      </c>
      <c r="D15" s="40" t="e">
        <f t="shared" si="2"/>
        <v>#REF!</v>
      </c>
      <c r="E15" s="127" t="e">
        <f t="shared" si="3"/>
        <v>#REF!</v>
      </c>
      <c r="F15" s="119" t="e">
        <f t="shared" si="4"/>
        <v>#REF!</v>
      </c>
      <c r="G15" s="123" t="e">
        <f t="shared" si="5"/>
        <v>#REF!</v>
      </c>
      <c r="H15" s="125" t="e">
        <f t="shared" si="6"/>
        <v>#REF!</v>
      </c>
      <c r="I15" s="121" t="e">
        <f t="shared" si="7"/>
        <v>#REF!</v>
      </c>
      <c r="J15" s="117" t="e">
        <f t="shared" si="8"/>
        <v>#REF!</v>
      </c>
      <c r="K15" s="125"/>
      <c r="L15" s="125" t="e">
        <f t="shared" si="9"/>
        <v>#REF!</v>
      </c>
      <c r="M15" s="125" t="e">
        <f t="shared" si="10"/>
        <v>#REF!</v>
      </c>
      <c r="N15" s="42"/>
    </row>
    <row r="16" spans="1:14" hidden="1" x14ac:dyDescent="0.2">
      <c r="A16" s="39" t="s">
        <v>67</v>
      </c>
      <c r="B16" s="2" t="e">
        <f t="shared" si="0"/>
        <v>#REF!</v>
      </c>
      <c r="C16" s="2" t="e">
        <f t="shared" si="1"/>
        <v>#REF!</v>
      </c>
      <c r="D16" s="40" t="e">
        <f t="shared" si="2"/>
        <v>#REF!</v>
      </c>
      <c r="E16" s="127" t="e">
        <f t="shared" si="3"/>
        <v>#REF!</v>
      </c>
      <c r="F16" s="119" t="e">
        <f t="shared" si="4"/>
        <v>#REF!</v>
      </c>
      <c r="G16" s="123" t="e">
        <f t="shared" si="5"/>
        <v>#REF!</v>
      </c>
      <c r="H16" s="125" t="e">
        <f t="shared" si="6"/>
        <v>#REF!</v>
      </c>
      <c r="I16" s="121" t="e">
        <f t="shared" si="7"/>
        <v>#REF!</v>
      </c>
      <c r="J16" s="117" t="e">
        <f t="shared" si="8"/>
        <v>#REF!</v>
      </c>
      <c r="K16" s="125"/>
      <c r="L16" s="125" t="e">
        <f t="shared" si="9"/>
        <v>#REF!</v>
      </c>
      <c r="M16" s="125" t="e">
        <f t="shared" si="10"/>
        <v>#REF!</v>
      </c>
      <c r="N16" s="42"/>
    </row>
    <row r="17" spans="1:14" hidden="1" x14ac:dyDescent="0.2">
      <c r="A17" s="39" t="s">
        <v>68</v>
      </c>
      <c r="B17" s="2" t="e">
        <f t="shared" si="0"/>
        <v>#REF!</v>
      </c>
      <c r="C17" s="2" t="e">
        <f t="shared" si="1"/>
        <v>#REF!</v>
      </c>
      <c r="D17" s="40" t="e">
        <f t="shared" si="2"/>
        <v>#REF!</v>
      </c>
      <c r="E17" s="127" t="e">
        <f t="shared" si="3"/>
        <v>#REF!</v>
      </c>
      <c r="F17" s="119" t="e">
        <f t="shared" si="4"/>
        <v>#REF!</v>
      </c>
      <c r="G17" s="123" t="e">
        <f t="shared" si="5"/>
        <v>#REF!</v>
      </c>
      <c r="H17" s="125" t="e">
        <f t="shared" si="6"/>
        <v>#REF!</v>
      </c>
      <c r="I17" s="121" t="e">
        <f t="shared" si="7"/>
        <v>#REF!</v>
      </c>
      <c r="J17" s="117" t="e">
        <f t="shared" si="8"/>
        <v>#REF!</v>
      </c>
      <c r="K17" s="125"/>
      <c r="L17" s="125" t="e">
        <f t="shared" si="9"/>
        <v>#REF!</v>
      </c>
      <c r="M17" s="125" t="e">
        <f t="shared" si="10"/>
        <v>#REF!</v>
      </c>
      <c r="N17" s="42"/>
    </row>
    <row r="18" spans="1:14" hidden="1" x14ac:dyDescent="0.2">
      <c r="A18" s="39" t="s">
        <v>69</v>
      </c>
      <c r="B18" s="2" t="e">
        <f t="shared" si="0"/>
        <v>#REF!</v>
      </c>
      <c r="C18" s="2" t="e">
        <f t="shared" si="1"/>
        <v>#REF!</v>
      </c>
      <c r="D18" s="40" t="e">
        <f t="shared" si="2"/>
        <v>#REF!</v>
      </c>
      <c r="E18" s="127" t="e">
        <f t="shared" si="3"/>
        <v>#REF!</v>
      </c>
      <c r="F18" s="119" t="e">
        <f t="shared" si="4"/>
        <v>#REF!</v>
      </c>
      <c r="G18" s="123" t="e">
        <f t="shared" si="5"/>
        <v>#REF!</v>
      </c>
      <c r="H18" s="125" t="e">
        <f t="shared" si="6"/>
        <v>#REF!</v>
      </c>
      <c r="I18" s="121" t="e">
        <f t="shared" si="7"/>
        <v>#REF!</v>
      </c>
      <c r="J18" s="117" t="e">
        <f t="shared" si="8"/>
        <v>#REF!</v>
      </c>
      <c r="K18" s="125"/>
      <c r="L18" s="125" t="e">
        <f t="shared" si="9"/>
        <v>#REF!</v>
      </c>
      <c r="M18" s="125" t="e">
        <f t="shared" si="10"/>
        <v>#REF!</v>
      </c>
      <c r="N18" s="42"/>
    </row>
    <row r="19" spans="1:14" hidden="1" x14ac:dyDescent="0.2">
      <c r="A19" s="39" t="s">
        <v>70</v>
      </c>
      <c r="B19" s="2" t="e">
        <f t="shared" si="0"/>
        <v>#REF!</v>
      </c>
      <c r="C19" s="2" t="e">
        <f t="shared" si="1"/>
        <v>#REF!</v>
      </c>
      <c r="D19" s="40" t="e">
        <f t="shared" si="2"/>
        <v>#REF!</v>
      </c>
      <c r="E19" s="127" t="e">
        <f t="shared" si="3"/>
        <v>#REF!</v>
      </c>
      <c r="F19" s="119" t="e">
        <f t="shared" si="4"/>
        <v>#REF!</v>
      </c>
      <c r="G19" s="123" t="e">
        <f t="shared" si="5"/>
        <v>#REF!</v>
      </c>
      <c r="H19" s="125" t="e">
        <f t="shared" si="6"/>
        <v>#REF!</v>
      </c>
      <c r="I19" s="121" t="e">
        <f t="shared" si="7"/>
        <v>#REF!</v>
      </c>
      <c r="J19" s="117" t="e">
        <f t="shared" si="8"/>
        <v>#REF!</v>
      </c>
      <c r="K19" s="125"/>
      <c r="L19" s="125" t="e">
        <f t="shared" si="9"/>
        <v>#REF!</v>
      </c>
      <c r="M19" s="125" t="e">
        <f t="shared" si="10"/>
        <v>#REF!</v>
      </c>
      <c r="N19" s="42"/>
    </row>
    <row r="20" spans="1:14" x14ac:dyDescent="0.2">
      <c r="A20" s="39" t="s">
        <v>71</v>
      </c>
      <c r="B20" s="2" t="e">
        <f t="shared" si="0"/>
        <v>#REF!</v>
      </c>
      <c r="C20" s="2" t="e">
        <f t="shared" si="1"/>
        <v>#REF!</v>
      </c>
      <c r="D20" s="40" t="e">
        <f t="shared" si="2"/>
        <v>#REF!</v>
      </c>
      <c r="E20" s="127" t="e">
        <f t="shared" si="3"/>
        <v>#REF!</v>
      </c>
      <c r="F20" s="119" t="e">
        <f t="shared" si="4"/>
        <v>#REF!</v>
      </c>
      <c r="G20" s="123" t="e">
        <f t="shared" si="5"/>
        <v>#REF!</v>
      </c>
      <c r="H20" s="125" t="e">
        <f t="shared" si="6"/>
        <v>#REF!</v>
      </c>
      <c r="I20" s="121" t="e">
        <f t="shared" si="7"/>
        <v>#REF!</v>
      </c>
      <c r="J20" s="117" t="e">
        <f t="shared" si="8"/>
        <v>#REF!</v>
      </c>
      <c r="K20" s="125"/>
      <c r="L20" s="125" t="e">
        <f t="shared" si="9"/>
        <v>#REF!</v>
      </c>
      <c r="M20" s="125" t="e">
        <f t="shared" si="10"/>
        <v>#REF!</v>
      </c>
      <c r="N20" s="42"/>
    </row>
    <row r="21" spans="1:14" hidden="1" x14ac:dyDescent="0.2">
      <c r="A21" s="39" t="s">
        <v>72</v>
      </c>
      <c r="B21" s="2" t="e">
        <f t="shared" si="0"/>
        <v>#REF!</v>
      </c>
      <c r="C21" s="2" t="e">
        <f t="shared" si="1"/>
        <v>#REF!</v>
      </c>
      <c r="D21" s="40" t="e">
        <f t="shared" si="2"/>
        <v>#REF!</v>
      </c>
      <c r="E21" s="127" t="e">
        <f t="shared" si="3"/>
        <v>#REF!</v>
      </c>
      <c r="F21" s="119" t="e">
        <f t="shared" si="4"/>
        <v>#REF!</v>
      </c>
      <c r="G21" s="123" t="e">
        <f t="shared" si="5"/>
        <v>#REF!</v>
      </c>
      <c r="H21" s="125" t="e">
        <f t="shared" si="6"/>
        <v>#REF!</v>
      </c>
      <c r="I21" s="121" t="e">
        <f t="shared" si="7"/>
        <v>#REF!</v>
      </c>
      <c r="J21" s="117" t="e">
        <f t="shared" si="8"/>
        <v>#REF!</v>
      </c>
      <c r="K21" s="125"/>
      <c r="L21" s="125" t="e">
        <f t="shared" si="9"/>
        <v>#REF!</v>
      </c>
      <c r="M21" s="125" t="e">
        <f t="shared" si="10"/>
        <v>#REF!</v>
      </c>
      <c r="N21" s="42"/>
    </row>
    <row r="22" spans="1:14" hidden="1" x14ac:dyDescent="0.2">
      <c r="A22" s="39" t="s">
        <v>73</v>
      </c>
      <c r="B22" s="2" t="e">
        <f t="shared" si="0"/>
        <v>#REF!</v>
      </c>
      <c r="C22" s="2" t="e">
        <f t="shared" si="1"/>
        <v>#REF!</v>
      </c>
      <c r="D22" s="40" t="e">
        <f t="shared" si="2"/>
        <v>#REF!</v>
      </c>
      <c r="E22" s="127" t="e">
        <f t="shared" si="3"/>
        <v>#REF!</v>
      </c>
      <c r="F22" s="119" t="e">
        <f t="shared" si="4"/>
        <v>#REF!</v>
      </c>
      <c r="G22" s="123" t="e">
        <f t="shared" si="5"/>
        <v>#REF!</v>
      </c>
      <c r="H22" s="125" t="e">
        <f t="shared" si="6"/>
        <v>#REF!</v>
      </c>
      <c r="I22" s="121" t="e">
        <f t="shared" si="7"/>
        <v>#REF!</v>
      </c>
      <c r="J22" s="117" t="e">
        <f t="shared" si="8"/>
        <v>#REF!</v>
      </c>
      <c r="K22" s="125"/>
      <c r="L22" s="125" t="e">
        <f t="shared" si="9"/>
        <v>#REF!</v>
      </c>
      <c r="M22" s="125" t="e">
        <f t="shared" si="10"/>
        <v>#REF!</v>
      </c>
      <c r="N22" s="42"/>
    </row>
    <row r="23" spans="1:14" hidden="1" x14ac:dyDescent="0.2">
      <c r="A23" s="39" t="s">
        <v>74</v>
      </c>
      <c r="B23" s="2" t="e">
        <f t="shared" si="0"/>
        <v>#REF!</v>
      </c>
      <c r="C23" s="2" t="e">
        <f t="shared" si="1"/>
        <v>#REF!</v>
      </c>
      <c r="D23" s="40" t="e">
        <f t="shared" si="2"/>
        <v>#REF!</v>
      </c>
      <c r="E23" s="127" t="e">
        <f t="shared" si="3"/>
        <v>#REF!</v>
      </c>
      <c r="F23" s="119" t="e">
        <f t="shared" si="4"/>
        <v>#REF!</v>
      </c>
      <c r="G23" s="123" t="e">
        <f t="shared" si="5"/>
        <v>#REF!</v>
      </c>
      <c r="H23" s="125" t="e">
        <f t="shared" si="6"/>
        <v>#REF!</v>
      </c>
      <c r="I23" s="121" t="e">
        <f t="shared" si="7"/>
        <v>#REF!</v>
      </c>
      <c r="J23" s="117" t="e">
        <f t="shared" si="8"/>
        <v>#REF!</v>
      </c>
      <c r="K23" s="125"/>
      <c r="L23" s="125" t="e">
        <f t="shared" si="9"/>
        <v>#REF!</v>
      </c>
      <c r="M23" s="125" t="e">
        <f t="shared" si="10"/>
        <v>#REF!</v>
      </c>
      <c r="N23" s="42"/>
    </row>
    <row r="24" spans="1:14" hidden="1" x14ac:dyDescent="0.2">
      <c r="A24" s="39" t="s">
        <v>75</v>
      </c>
      <c r="B24" s="2" t="e">
        <f t="shared" si="0"/>
        <v>#REF!</v>
      </c>
      <c r="C24" s="2" t="e">
        <f t="shared" si="1"/>
        <v>#REF!</v>
      </c>
      <c r="D24" s="40" t="e">
        <f t="shared" si="2"/>
        <v>#REF!</v>
      </c>
      <c r="E24" s="127" t="e">
        <f t="shared" si="3"/>
        <v>#REF!</v>
      </c>
      <c r="F24" s="119" t="e">
        <f t="shared" si="4"/>
        <v>#REF!</v>
      </c>
      <c r="G24" s="123" t="e">
        <f t="shared" si="5"/>
        <v>#REF!</v>
      </c>
      <c r="H24" s="125" t="e">
        <f t="shared" si="6"/>
        <v>#REF!</v>
      </c>
      <c r="I24" s="121" t="e">
        <f t="shared" si="7"/>
        <v>#REF!</v>
      </c>
      <c r="J24" s="117" t="e">
        <f t="shared" si="8"/>
        <v>#REF!</v>
      </c>
      <c r="K24" s="125"/>
      <c r="L24" s="125" t="e">
        <f t="shared" si="9"/>
        <v>#REF!</v>
      </c>
      <c r="M24" s="125" t="e">
        <f t="shared" si="10"/>
        <v>#REF!</v>
      </c>
      <c r="N24" s="42"/>
    </row>
    <row r="25" spans="1:14" hidden="1" x14ac:dyDescent="0.2">
      <c r="A25" s="39" t="s">
        <v>76</v>
      </c>
      <c r="B25" s="2" t="e">
        <f t="shared" si="0"/>
        <v>#REF!</v>
      </c>
      <c r="C25" s="2" t="e">
        <f t="shared" si="1"/>
        <v>#REF!</v>
      </c>
      <c r="D25" s="40" t="e">
        <f t="shared" si="2"/>
        <v>#REF!</v>
      </c>
      <c r="E25" s="127" t="e">
        <f t="shared" si="3"/>
        <v>#REF!</v>
      </c>
      <c r="F25" s="119" t="e">
        <f t="shared" si="4"/>
        <v>#REF!</v>
      </c>
      <c r="G25" s="123" t="e">
        <f t="shared" si="5"/>
        <v>#REF!</v>
      </c>
      <c r="H25" s="125" t="e">
        <f t="shared" si="6"/>
        <v>#REF!</v>
      </c>
      <c r="I25" s="121" t="e">
        <f t="shared" si="7"/>
        <v>#REF!</v>
      </c>
      <c r="J25" s="117" t="e">
        <f t="shared" si="8"/>
        <v>#REF!</v>
      </c>
      <c r="K25" s="125"/>
      <c r="L25" s="125" t="e">
        <f t="shared" si="9"/>
        <v>#REF!</v>
      </c>
      <c r="M25" s="125" t="e">
        <f t="shared" si="10"/>
        <v>#REF!</v>
      </c>
      <c r="N25" s="42"/>
    </row>
    <row r="26" spans="1:14" hidden="1" x14ac:dyDescent="0.2">
      <c r="A26" s="39" t="s">
        <v>77</v>
      </c>
      <c r="B26" s="2" t="e">
        <f t="shared" si="0"/>
        <v>#REF!</v>
      </c>
      <c r="C26" s="2" t="e">
        <f t="shared" si="1"/>
        <v>#REF!</v>
      </c>
      <c r="D26" s="40" t="e">
        <f t="shared" si="2"/>
        <v>#REF!</v>
      </c>
      <c r="E26" s="127" t="e">
        <f t="shared" si="3"/>
        <v>#REF!</v>
      </c>
      <c r="F26" s="119" t="e">
        <f t="shared" si="4"/>
        <v>#REF!</v>
      </c>
      <c r="G26" s="123" t="e">
        <f t="shared" si="5"/>
        <v>#REF!</v>
      </c>
      <c r="H26" s="125" t="e">
        <f t="shared" si="6"/>
        <v>#REF!</v>
      </c>
      <c r="I26" s="121" t="e">
        <f t="shared" si="7"/>
        <v>#REF!</v>
      </c>
      <c r="J26" s="117" t="e">
        <f t="shared" si="8"/>
        <v>#REF!</v>
      </c>
      <c r="K26" s="125"/>
      <c r="L26" s="125" t="e">
        <f t="shared" si="9"/>
        <v>#REF!</v>
      </c>
      <c r="M26" s="125" t="e">
        <f t="shared" si="10"/>
        <v>#REF!</v>
      </c>
      <c r="N26" s="42"/>
    </row>
    <row r="27" spans="1:14" hidden="1" x14ac:dyDescent="0.2">
      <c r="A27" s="39" t="s">
        <v>78</v>
      </c>
      <c r="B27" s="2" t="e">
        <f t="shared" si="0"/>
        <v>#REF!</v>
      </c>
      <c r="C27" s="2" t="e">
        <f t="shared" si="1"/>
        <v>#REF!</v>
      </c>
      <c r="D27" s="40" t="e">
        <f t="shared" si="2"/>
        <v>#REF!</v>
      </c>
      <c r="E27" s="127" t="e">
        <f t="shared" si="3"/>
        <v>#REF!</v>
      </c>
      <c r="F27" s="119" t="e">
        <f t="shared" si="4"/>
        <v>#REF!</v>
      </c>
      <c r="G27" s="123" t="e">
        <f t="shared" si="5"/>
        <v>#REF!</v>
      </c>
      <c r="H27" s="125" t="e">
        <f t="shared" si="6"/>
        <v>#REF!</v>
      </c>
      <c r="I27" s="121" t="e">
        <f t="shared" si="7"/>
        <v>#REF!</v>
      </c>
      <c r="J27" s="117" t="e">
        <f t="shared" si="8"/>
        <v>#REF!</v>
      </c>
      <c r="K27" s="125"/>
      <c r="L27" s="125" t="e">
        <f t="shared" si="9"/>
        <v>#REF!</v>
      </c>
      <c r="M27" s="125" t="e">
        <f t="shared" si="10"/>
        <v>#REF!</v>
      </c>
      <c r="N27" s="42"/>
    </row>
    <row r="28" spans="1:14" hidden="1" x14ac:dyDescent="0.2">
      <c r="A28" s="39" t="s">
        <v>79</v>
      </c>
      <c r="B28" s="2" t="e">
        <f t="shared" si="0"/>
        <v>#REF!</v>
      </c>
      <c r="C28" s="2" t="e">
        <f t="shared" si="1"/>
        <v>#REF!</v>
      </c>
      <c r="D28" s="40" t="e">
        <f t="shared" si="2"/>
        <v>#REF!</v>
      </c>
      <c r="E28" s="127" t="e">
        <f t="shared" si="3"/>
        <v>#REF!</v>
      </c>
      <c r="F28" s="119" t="e">
        <f t="shared" si="4"/>
        <v>#REF!</v>
      </c>
      <c r="G28" s="123" t="e">
        <f t="shared" si="5"/>
        <v>#REF!</v>
      </c>
      <c r="H28" s="125" t="e">
        <f t="shared" si="6"/>
        <v>#REF!</v>
      </c>
      <c r="I28" s="121" t="e">
        <f t="shared" si="7"/>
        <v>#REF!</v>
      </c>
      <c r="J28" s="117" t="e">
        <f t="shared" si="8"/>
        <v>#REF!</v>
      </c>
      <c r="K28" s="125"/>
      <c r="L28" s="125" t="e">
        <f t="shared" si="9"/>
        <v>#REF!</v>
      </c>
      <c r="M28" s="125" t="e">
        <f t="shared" si="10"/>
        <v>#REF!</v>
      </c>
      <c r="N28" s="42"/>
    </row>
    <row r="29" spans="1:14" hidden="1" x14ac:dyDescent="0.2">
      <c r="A29" s="39" t="s">
        <v>80</v>
      </c>
      <c r="B29" s="2" t="e">
        <f t="shared" si="0"/>
        <v>#REF!</v>
      </c>
      <c r="C29" s="2" t="e">
        <f t="shared" si="1"/>
        <v>#REF!</v>
      </c>
      <c r="D29" s="40" t="e">
        <f t="shared" si="2"/>
        <v>#REF!</v>
      </c>
      <c r="E29" s="127" t="e">
        <f t="shared" si="3"/>
        <v>#REF!</v>
      </c>
      <c r="F29" s="119" t="e">
        <f t="shared" si="4"/>
        <v>#REF!</v>
      </c>
      <c r="G29" s="123" t="e">
        <f t="shared" si="5"/>
        <v>#REF!</v>
      </c>
      <c r="H29" s="125" t="e">
        <f t="shared" si="6"/>
        <v>#REF!</v>
      </c>
      <c r="I29" s="121" t="e">
        <f t="shared" si="7"/>
        <v>#REF!</v>
      </c>
      <c r="J29" s="117" t="e">
        <f t="shared" si="8"/>
        <v>#REF!</v>
      </c>
      <c r="K29" s="125"/>
      <c r="L29" s="125" t="e">
        <f t="shared" si="9"/>
        <v>#REF!</v>
      </c>
      <c r="M29" s="125" t="e">
        <f t="shared" si="10"/>
        <v>#REF!</v>
      </c>
      <c r="N29" s="42"/>
    </row>
    <row r="30" spans="1:14" hidden="1" x14ac:dyDescent="0.2">
      <c r="A30" s="39" t="s">
        <v>81</v>
      </c>
      <c r="B30" s="2" t="e">
        <f t="shared" si="0"/>
        <v>#REF!</v>
      </c>
      <c r="C30" s="2" t="e">
        <f t="shared" si="1"/>
        <v>#REF!</v>
      </c>
      <c r="D30" s="40" t="e">
        <f t="shared" si="2"/>
        <v>#REF!</v>
      </c>
      <c r="E30" s="127" t="e">
        <f t="shared" si="3"/>
        <v>#REF!</v>
      </c>
      <c r="F30" s="119" t="e">
        <f t="shared" si="4"/>
        <v>#REF!</v>
      </c>
      <c r="G30" s="123" t="e">
        <f t="shared" si="5"/>
        <v>#REF!</v>
      </c>
      <c r="H30" s="125" t="e">
        <f t="shared" si="6"/>
        <v>#REF!</v>
      </c>
      <c r="I30" s="121" t="e">
        <f t="shared" si="7"/>
        <v>#REF!</v>
      </c>
      <c r="J30" s="117" t="e">
        <f t="shared" si="8"/>
        <v>#REF!</v>
      </c>
      <c r="K30" s="125"/>
      <c r="L30" s="125" t="e">
        <f t="shared" si="9"/>
        <v>#REF!</v>
      </c>
      <c r="M30" s="125" t="e">
        <f t="shared" si="10"/>
        <v>#REF!</v>
      </c>
      <c r="N30" s="42"/>
    </row>
    <row r="31" spans="1:14" hidden="1" x14ac:dyDescent="0.2">
      <c r="A31" s="39" t="s">
        <v>82</v>
      </c>
      <c r="B31" s="2" t="e">
        <f t="shared" si="0"/>
        <v>#REF!</v>
      </c>
      <c r="C31" s="2" t="e">
        <f t="shared" si="1"/>
        <v>#REF!</v>
      </c>
      <c r="D31" s="40" t="e">
        <f t="shared" si="2"/>
        <v>#REF!</v>
      </c>
      <c r="E31" s="127" t="e">
        <f t="shared" si="3"/>
        <v>#REF!</v>
      </c>
      <c r="F31" s="119" t="e">
        <f t="shared" si="4"/>
        <v>#REF!</v>
      </c>
      <c r="G31" s="123" t="e">
        <f t="shared" si="5"/>
        <v>#REF!</v>
      </c>
      <c r="H31" s="125" t="e">
        <f t="shared" si="6"/>
        <v>#REF!</v>
      </c>
      <c r="I31" s="121" t="e">
        <f t="shared" si="7"/>
        <v>#REF!</v>
      </c>
      <c r="J31" s="117" t="e">
        <f t="shared" si="8"/>
        <v>#REF!</v>
      </c>
      <c r="K31" s="125"/>
      <c r="L31" s="125" t="e">
        <f t="shared" si="9"/>
        <v>#REF!</v>
      </c>
      <c r="M31" s="125" t="e">
        <f t="shared" si="10"/>
        <v>#REF!</v>
      </c>
      <c r="N31" s="42"/>
    </row>
    <row r="32" spans="1:14" hidden="1" x14ac:dyDescent="0.2">
      <c r="A32" s="39" t="s">
        <v>83</v>
      </c>
      <c r="B32" s="2" t="e">
        <f t="shared" si="0"/>
        <v>#REF!</v>
      </c>
      <c r="C32" s="2" t="e">
        <f t="shared" si="1"/>
        <v>#REF!</v>
      </c>
      <c r="D32" s="40" t="e">
        <f t="shared" si="2"/>
        <v>#REF!</v>
      </c>
      <c r="E32" s="127" t="e">
        <f t="shared" si="3"/>
        <v>#REF!</v>
      </c>
      <c r="F32" s="119" t="e">
        <f t="shared" si="4"/>
        <v>#REF!</v>
      </c>
      <c r="G32" s="123" t="e">
        <f t="shared" si="5"/>
        <v>#REF!</v>
      </c>
      <c r="H32" s="125" t="e">
        <f t="shared" si="6"/>
        <v>#REF!</v>
      </c>
      <c r="I32" s="121" t="e">
        <f t="shared" si="7"/>
        <v>#REF!</v>
      </c>
      <c r="J32" s="117" t="e">
        <f t="shared" si="8"/>
        <v>#REF!</v>
      </c>
      <c r="K32" s="125"/>
      <c r="L32" s="125" t="e">
        <f t="shared" si="9"/>
        <v>#REF!</v>
      </c>
      <c r="M32" s="125" t="e">
        <f t="shared" si="10"/>
        <v>#REF!</v>
      </c>
      <c r="N32" s="42"/>
    </row>
    <row r="33" spans="1:14" hidden="1" x14ac:dyDescent="0.2">
      <c r="A33" s="39" t="s">
        <v>84</v>
      </c>
      <c r="B33" s="2" t="e">
        <f t="shared" si="0"/>
        <v>#REF!</v>
      </c>
      <c r="C33" s="2" t="e">
        <f t="shared" si="1"/>
        <v>#REF!</v>
      </c>
      <c r="D33" s="40" t="e">
        <f t="shared" si="2"/>
        <v>#REF!</v>
      </c>
      <c r="E33" s="127" t="e">
        <f t="shared" si="3"/>
        <v>#REF!</v>
      </c>
      <c r="F33" s="119" t="e">
        <f t="shared" si="4"/>
        <v>#REF!</v>
      </c>
      <c r="G33" s="123" t="e">
        <f t="shared" si="5"/>
        <v>#REF!</v>
      </c>
      <c r="H33" s="125" t="e">
        <f t="shared" si="6"/>
        <v>#REF!</v>
      </c>
      <c r="I33" s="121" t="e">
        <f t="shared" si="7"/>
        <v>#REF!</v>
      </c>
      <c r="J33" s="117" t="e">
        <f t="shared" si="8"/>
        <v>#REF!</v>
      </c>
      <c r="K33" s="125"/>
      <c r="L33" s="125" t="e">
        <f t="shared" si="9"/>
        <v>#REF!</v>
      </c>
      <c r="M33" s="125" t="e">
        <f t="shared" si="10"/>
        <v>#REF!</v>
      </c>
      <c r="N33" s="42"/>
    </row>
    <row r="34" spans="1:14" hidden="1" x14ac:dyDescent="0.2">
      <c r="A34" s="39" t="s">
        <v>85</v>
      </c>
      <c r="B34" s="2" t="e">
        <f t="shared" si="0"/>
        <v>#REF!</v>
      </c>
      <c r="C34" s="2" t="e">
        <f t="shared" si="1"/>
        <v>#REF!</v>
      </c>
      <c r="D34" s="40" t="e">
        <f t="shared" si="2"/>
        <v>#REF!</v>
      </c>
      <c r="E34" s="127" t="e">
        <f t="shared" si="3"/>
        <v>#REF!</v>
      </c>
      <c r="F34" s="119" t="e">
        <f t="shared" si="4"/>
        <v>#REF!</v>
      </c>
      <c r="G34" s="123" t="e">
        <f t="shared" si="5"/>
        <v>#REF!</v>
      </c>
      <c r="H34" s="125" t="e">
        <f t="shared" si="6"/>
        <v>#REF!</v>
      </c>
      <c r="I34" s="121" t="e">
        <f t="shared" si="7"/>
        <v>#REF!</v>
      </c>
      <c r="J34" s="117"/>
      <c r="K34" s="125"/>
      <c r="L34" s="125" t="e">
        <f t="shared" si="9"/>
        <v>#REF!</v>
      </c>
      <c r="M34" s="125" t="e">
        <f t="shared" si="10"/>
        <v>#REF!</v>
      </c>
      <c r="N34" s="42"/>
    </row>
    <row r="35" spans="1:14" hidden="1" x14ac:dyDescent="0.2">
      <c r="A35" s="39" t="s">
        <v>86</v>
      </c>
      <c r="B35" s="2" t="e">
        <f t="shared" si="0"/>
        <v>#REF!</v>
      </c>
      <c r="C35" s="2" t="e">
        <f t="shared" si="1"/>
        <v>#REF!</v>
      </c>
      <c r="D35" s="40" t="e">
        <f t="shared" si="2"/>
        <v>#REF!</v>
      </c>
      <c r="E35" s="127" t="e">
        <f t="shared" si="3"/>
        <v>#REF!</v>
      </c>
      <c r="F35" s="119" t="e">
        <f t="shared" si="4"/>
        <v>#REF!</v>
      </c>
      <c r="G35" s="123" t="e">
        <f t="shared" si="5"/>
        <v>#REF!</v>
      </c>
      <c r="H35" s="125" t="e">
        <f t="shared" si="6"/>
        <v>#REF!</v>
      </c>
      <c r="I35" s="121" t="e">
        <f t="shared" si="7"/>
        <v>#REF!</v>
      </c>
      <c r="J35" s="117" t="e">
        <f t="shared" ref="J35:J66" si="11">IF(D35="YES",INDEX(Crop_data,MATCH(A35,Crop_data_codes,0),11)*Heating_value_diesel*EF_diesel_N2O/INDEX(Crop_data,MATCH(A35,Crop_data_codes,0),6),"")</f>
        <v>#REF!</v>
      </c>
      <c r="K35" s="125"/>
      <c r="L35" s="125" t="e">
        <f t="shared" si="9"/>
        <v>#REF!</v>
      </c>
      <c r="M35" s="125" t="e">
        <f t="shared" si="10"/>
        <v>#REF!</v>
      </c>
      <c r="N35" s="42"/>
    </row>
    <row r="36" spans="1:14" hidden="1" x14ac:dyDescent="0.2">
      <c r="A36" s="39" t="s">
        <v>87</v>
      </c>
      <c r="B36" s="2" t="e">
        <f t="shared" si="0"/>
        <v>#REF!</v>
      </c>
      <c r="C36" s="2" t="e">
        <f t="shared" si="1"/>
        <v>#REF!</v>
      </c>
      <c r="D36" s="40" t="e">
        <f t="shared" si="2"/>
        <v>#REF!</v>
      </c>
      <c r="E36" s="127" t="e">
        <f t="shared" si="3"/>
        <v>#REF!</v>
      </c>
      <c r="F36" s="119" t="e">
        <f t="shared" si="4"/>
        <v>#REF!</v>
      </c>
      <c r="G36" s="123" t="e">
        <f t="shared" si="5"/>
        <v>#REF!</v>
      </c>
      <c r="H36" s="125" t="e">
        <f t="shared" si="6"/>
        <v>#REF!</v>
      </c>
      <c r="I36" s="121" t="e">
        <f t="shared" si="7"/>
        <v>#REF!</v>
      </c>
      <c r="J36" s="117" t="e">
        <f t="shared" si="11"/>
        <v>#REF!</v>
      </c>
      <c r="K36" s="125"/>
      <c r="L36" s="125" t="e">
        <f t="shared" si="9"/>
        <v>#REF!</v>
      </c>
      <c r="M36" s="125" t="e">
        <f t="shared" si="10"/>
        <v>#REF!</v>
      </c>
      <c r="N36" s="42"/>
    </row>
    <row r="37" spans="1:14" hidden="1" x14ac:dyDescent="0.2">
      <c r="A37" s="39" t="s">
        <v>88</v>
      </c>
      <c r="B37" s="2" t="e">
        <f t="shared" si="0"/>
        <v>#REF!</v>
      </c>
      <c r="C37" s="2" t="e">
        <f t="shared" si="1"/>
        <v>#REF!</v>
      </c>
      <c r="D37" s="40" t="e">
        <f t="shared" si="2"/>
        <v>#REF!</v>
      </c>
      <c r="E37" s="127" t="e">
        <f t="shared" si="3"/>
        <v>#REF!</v>
      </c>
      <c r="F37" s="119" t="e">
        <f t="shared" si="4"/>
        <v>#REF!</v>
      </c>
      <c r="G37" s="123" t="e">
        <f t="shared" si="5"/>
        <v>#REF!</v>
      </c>
      <c r="H37" s="125" t="e">
        <f t="shared" si="6"/>
        <v>#REF!</v>
      </c>
      <c r="I37" s="121" t="e">
        <f t="shared" si="7"/>
        <v>#REF!</v>
      </c>
      <c r="J37" s="117" t="e">
        <f t="shared" si="11"/>
        <v>#REF!</v>
      </c>
      <c r="K37" s="125"/>
      <c r="L37" s="125" t="e">
        <f t="shared" si="9"/>
        <v>#REF!</v>
      </c>
      <c r="M37" s="125" t="e">
        <f t="shared" si="10"/>
        <v>#REF!</v>
      </c>
      <c r="N37" s="42"/>
    </row>
    <row r="38" spans="1:14" hidden="1" x14ac:dyDescent="0.2">
      <c r="A38" s="39" t="s">
        <v>89</v>
      </c>
      <c r="B38" s="2" t="e">
        <f t="shared" ref="B38:B69" si="12">INDEX(Crop_data,MATCH(A38,Crop_data_codes,0),2)</f>
        <v>#REF!</v>
      </c>
      <c r="C38" s="2" t="e">
        <f t="shared" ref="C38:C69" si="13">INDEX(Crop_data,MATCH(A38,Crop_data_codes,0),3)</f>
        <v>#REF!</v>
      </c>
      <c r="D38" s="40" t="e">
        <f t="shared" ref="D38:D69" si="14">INDEX(Crop_data,MATCH(A38,Crop_data_codes,0),4)</f>
        <v>#REF!</v>
      </c>
      <c r="E38" s="127" t="e">
        <f t="shared" ref="E38:E69" si="15">IF(D38="Yes", SUM(F38:N38),"")</f>
        <v>#REF!</v>
      </c>
      <c r="F38" s="119" t="e">
        <f t="shared" ref="F38:F69" si="16">IF(D38="YES",INDEX(Crop_data,MATCH(A38,Crop_data_codes,0),7)*(Frac_BAT*EF_min_fert_BAT_N2O+Frac_AN*EF_min_fert_AN_N2O)/INDEX(Crop_data,MATCH(A38,Crop_data_codes,0),6),"")</f>
        <v>#REF!</v>
      </c>
      <c r="G38" s="123" t="e">
        <f t="shared" ref="G38:G69" si="17">IF(D38="YES",EF_capital_goods_N2O,"")</f>
        <v>#REF!</v>
      </c>
      <c r="H38" s="125" t="e">
        <f t="shared" ref="H38:H69" si="18">IF(D38="YES",(INDEX(Crop_data,MATCH(A38,Crop_data_codes,0),7)*EF_N2O_soils_min_fert+INDEX(Crop_data,MATCH(A38,Crop_data_codes,0),9)*EF_N2O_soils_crop_res)*44/28/INDEX(Crop_data,MATCH(A38,Crop_data_codes,0),6),"")</f>
        <v>#REF!</v>
      </c>
      <c r="I38" s="121" t="e">
        <f t="shared" ref="I38:I69" si="19">IF(D38="Yes",H38*EF_N2O_soils_indirect,"")</f>
        <v>#REF!</v>
      </c>
      <c r="J38" s="117" t="e">
        <f t="shared" si="11"/>
        <v>#REF!</v>
      </c>
      <c r="K38" s="125" t="e">
        <f>Energy!B23/INDEX(Crop_data,MATCH(A38,Crop_data_codes,0),6)*INDEX(Crop_data,MATCH(A38,Crop_data_codes,0),5)/100</f>
        <v>#REF!</v>
      </c>
      <c r="L38" s="125" t="e">
        <f t="shared" si="9"/>
        <v>#REF!</v>
      </c>
      <c r="M38" s="125" t="e">
        <f t="shared" si="10"/>
        <v>#REF!</v>
      </c>
      <c r="N38" s="42"/>
    </row>
    <row r="39" spans="1:14" hidden="1" x14ac:dyDescent="0.2">
      <c r="A39" s="39" t="s">
        <v>90</v>
      </c>
      <c r="B39" s="2" t="e">
        <f t="shared" si="12"/>
        <v>#REF!</v>
      </c>
      <c r="C39" s="2" t="e">
        <f t="shared" si="13"/>
        <v>#REF!</v>
      </c>
      <c r="D39" s="40" t="e">
        <f t="shared" si="14"/>
        <v>#REF!</v>
      </c>
      <c r="E39" s="127" t="e">
        <f t="shared" si="15"/>
        <v>#REF!</v>
      </c>
      <c r="F39" s="119" t="e">
        <f t="shared" si="16"/>
        <v>#REF!</v>
      </c>
      <c r="G39" s="123" t="e">
        <f t="shared" si="17"/>
        <v>#REF!</v>
      </c>
      <c r="H39" s="125" t="e">
        <f t="shared" si="18"/>
        <v>#REF!</v>
      </c>
      <c r="I39" s="121" t="e">
        <f t="shared" si="19"/>
        <v>#REF!</v>
      </c>
      <c r="J39" s="117" t="e">
        <f t="shared" si="11"/>
        <v>#REF!</v>
      </c>
      <c r="K39" s="125" t="e">
        <f>Energy!B23/INDEX(Crop_data,MATCH(A38,Crop_data_codes,0),6)</f>
        <v>#REF!</v>
      </c>
      <c r="L39" s="125"/>
      <c r="M39" s="125" t="e">
        <f t="shared" si="10"/>
        <v>#REF!</v>
      </c>
      <c r="N39" s="42"/>
    </row>
    <row r="40" spans="1:14" hidden="1" x14ac:dyDescent="0.2">
      <c r="A40" s="39" t="s">
        <v>91</v>
      </c>
      <c r="B40" s="2" t="e">
        <f t="shared" si="12"/>
        <v>#REF!</v>
      </c>
      <c r="C40" s="2" t="e">
        <f t="shared" si="13"/>
        <v>#REF!</v>
      </c>
      <c r="D40" s="40" t="e">
        <f t="shared" si="14"/>
        <v>#REF!</v>
      </c>
      <c r="E40" s="127" t="e">
        <f t="shared" si="15"/>
        <v>#REF!</v>
      </c>
      <c r="F40" s="119" t="e">
        <f t="shared" si="16"/>
        <v>#REF!</v>
      </c>
      <c r="G40" s="123" t="e">
        <f t="shared" si="17"/>
        <v>#REF!</v>
      </c>
      <c r="H40" s="125" t="e">
        <f t="shared" si="18"/>
        <v>#REF!</v>
      </c>
      <c r="I40" s="121" t="e">
        <f t="shared" si="19"/>
        <v>#REF!</v>
      </c>
      <c r="J40" s="117" t="e">
        <f t="shared" si="11"/>
        <v>#REF!</v>
      </c>
      <c r="K40" s="125"/>
      <c r="L40" s="125" t="e">
        <f t="shared" ref="L40:L71" si="20">IF(D40="YES",INDEX(Crop_data,MATCH(A40,Crop_data_codes,0),12)*EF_irrigation_N2O/INDEX(Crop_data,MATCH(A40,Crop_data_codes,0),6),"")</f>
        <v>#REF!</v>
      </c>
      <c r="M40" s="125" t="e">
        <f t="shared" ref="M40:M71" si="21">IF(D40="Yes",INDEX(Post_harvest_energy_data,MATCH(C40,Post_harvest_energy_categories,0),2)*EF_heating_oil_N2O+INDEX(Post_harvest_energy_data,MATCH(C40,Post_harvest_energy_categories,0),3)*EF_electricity_N2O+INDEX(Post_harvest_energy_data,MATCH(C40,Post_harvest_energy_categories,0),4)*EF_chips_N2O,"")</f>
        <v>#REF!</v>
      </c>
      <c r="N40" s="42"/>
    </row>
    <row r="41" spans="1:14" hidden="1" x14ac:dyDescent="0.2">
      <c r="A41" s="39" t="s">
        <v>92</v>
      </c>
      <c r="B41" s="2" t="e">
        <f t="shared" si="12"/>
        <v>#REF!</v>
      </c>
      <c r="C41" s="2" t="e">
        <f t="shared" si="13"/>
        <v>#REF!</v>
      </c>
      <c r="D41" s="40" t="e">
        <f t="shared" si="14"/>
        <v>#REF!</v>
      </c>
      <c r="E41" s="127" t="e">
        <f t="shared" si="15"/>
        <v>#REF!</v>
      </c>
      <c r="F41" s="119" t="e">
        <f t="shared" si="16"/>
        <v>#REF!</v>
      </c>
      <c r="G41" s="123" t="e">
        <f t="shared" si="17"/>
        <v>#REF!</v>
      </c>
      <c r="H41" s="125" t="e">
        <f t="shared" si="18"/>
        <v>#REF!</v>
      </c>
      <c r="I41" s="121" t="e">
        <f t="shared" si="19"/>
        <v>#REF!</v>
      </c>
      <c r="J41" s="117" t="e">
        <f t="shared" si="11"/>
        <v>#REF!</v>
      </c>
      <c r="K41" s="125"/>
      <c r="L41" s="125" t="e">
        <f t="shared" si="20"/>
        <v>#REF!</v>
      </c>
      <c r="M41" s="125" t="e">
        <f t="shared" si="21"/>
        <v>#REF!</v>
      </c>
      <c r="N41" s="42"/>
    </row>
    <row r="42" spans="1:14" hidden="1" x14ac:dyDescent="0.2">
      <c r="A42" s="39" t="s">
        <v>93</v>
      </c>
      <c r="B42" s="2" t="e">
        <f t="shared" si="12"/>
        <v>#REF!</v>
      </c>
      <c r="C42" s="2" t="e">
        <f t="shared" si="13"/>
        <v>#REF!</v>
      </c>
      <c r="D42" s="40" t="e">
        <f t="shared" si="14"/>
        <v>#REF!</v>
      </c>
      <c r="E42" s="127" t="e">
        <f t="shared" si="15"/>
        <v>#REF!</v>
      </c>
      <c r="F42" s="119" t="e">
        <f t="shared" si="16"/>
        <v>#REF!</v>
      </c>
      <c r="G42" s="123" t="e">
        <f t="shared" si="17"/>
        <v>#REF!</v>
      </c>
      <c r="H42" s="125" t="e">
        <f t="shared" si="18"/>
        <v>#REF!</v>
      </c>
      <c r="I42" s="121" t="e">
        <f t="shared" si="19"/>
        <v>#REF!</v>
      </c>
      <c r="J42" s="117" t="e">
        <f t="shared" si="11"/>
        <v>#REF!</v>
      </c>
      <c r="K42" s="125"/>
      <c r="L42" s="125" t="e">
        <f t="shared" si="20"/>
        <v>#REF!</v>
      </c>
      <c r="M42" s="125" t="e">
        <f t="shared" si="21"/>
        <v>#REF!</v>
      </c>
      <c r="N42" s="42"/>
    </row>
    <row r="43" spans="1:14" hidden="1" x14ac:dyDescent="0.2">
      <c r="A43" s="39" t="s">
        <v>94</v>
      </c>
      <c r="B43" s="2" t="e">
        <f t="shared" si="12"/>
        <v>#REF!</v>
      </c>
      <c r="C43" s="2" t="e">
        <f t="shared" si="13"/>
        <v>#REF!</v>
      </c>
      <c r="D43" s="40" t="e">
        <f t="shared" si="14"/>
        <v>#REF!</v>
      </c>
      <c r="E43" s="127" t="e">
        <f t="shared" si="15"/>
        <v>#REF!</v>
      </c>
      <c r="F43" s="119" t="e">
        <f t="shared" si="16"/>
        <v>#REF!</v>
      </c>
      <c r="G43" s="123" t="e">
        <f t="shared" si="17"/>
        <v>#REF!</v>
      </c>
      <c r="H43" s="125" t="e">
        <f t="shared" si="18"/>
        <v>#REF!</v>
      </c>
      <c r="I43" s="121" t="e">
        <f t="shared" si="19"/>
        <v>#REF!</v>
      </c>
      <c r="J43" s="117" t="e">
        <f t="shared" si="11"/>
        <v>#REF!</v>
      </c>
      <c r="K43" s="125"/>
      <c r="L43" s="125" t="e">
        <f t="shared" si="20"/>
        <v>#REF!</v>
      </c>
      <c r="M43" s="125" t="e">
        <f t="shared" si="21"/>
        <v>#REF!</v>
      </c>
      <c r="N43" s="42"/>
    </row>
    <row r="44" spans="1:14" hidden="1" x14ac:dyDescent="0.2">
      <c r="A44" s="39" t="s">
        <v>95</v>
      </c>
      <c r="B44" s="2" t="e">
        <f t="shared" si="12"/>
        <v>#REF!</v>
      </c>
      <c r="C44" s="2" t="e">
        <f t="shared" si="13"/>
        <v>#REF!</v>
      </c>
      <c r="D44" s="40" t="e">
        <f t="shared" si="14"/>
        <v>#REF!</v>
      </c>
      <c r="E44" s="127" t="e">
        <f t="shared" si="15"/>
        <v>#REF!</v>
      </c>
      <c r="F44" s="119" t="e">
        <f t="shared" si="16"/>
        <v>#REF!</v>
      </c>
      <c r="G44" s="123" t="e">
        <f t="shared" si="17"/>
        <v>#REF!</v>
      </c>
      <c r="H44" s="125" t="e">
        <f t="shared" si="18"/>
        <v>#REF!</v>
      </c>
      <c r="I44" s="121" t="e">
        <f t="shared" si="19"/>
        <v>#REF!</v>
      </c>
      <c r="J44" s="117" t="e">
        <f t="shared" si="11"/>
        <v>#REF!</v>
      </c>
      <c r="K44" s="125"/>
      <c r="L44" s="125" t="e">
        <f t="shared" si="20"/>
        <v>#REF!</v>
      </c>
      <c r="M44" s="125" t="e">
        <f t="shared" si="21"/>
        <v>#REF!</v>
      </c>
      <c r="N44" s="42"/>
    </row>
    <row r="45" spans="1:14" hidden="1" x14ac:dyDescent="0.2">
      <c r="A45" s="39" t="s">
        <v>96</v>
      </c>
      <c r="B45" s="2" t="e">
        <f t="shared" si="12"/>
        <v>#REF!</v>
      </c>
      <c r="C45" s="2" t="e">
        <f t="shared" si="13"/>
        <v>#REF!</v>
      </c>
      <c r="D45" s="40" t="e">
        <f t="shared" si="14"/>
        <v>#REF!</v>
      </c>
      <c r="E45" s="127" t="e">
        <f t="shared" si="15"/>
        <v>#REF!</v>
      </c>
      <c r="F45" s="119" t="e">
        <f t="shared" si="16"/>
        <v>#REF!</v>
      </c>
      <c r="G45" s="123" t="e">
        <f t="shared" si="17"/>
        <v>#REF!</v>
      </c>
      <c r="H45" s="125" t="e">
        <f t="shared" si="18"/>
        <v>#REF!</v>
      </c>
      <c r="I45" s="121" t="e">
        <f t="shared" si="19"/>
        <v>#REF!</v>
      </c>
      <c r="J45" s="117" t="e">
        <f t="shared" si="11"/>
        <v>#REF!</v>
      </c>
      <c r="K45" s="125"/>
      <c r="L45" s="125" t="e">
        <f t="shared" si="20"/>
        <v>#REF!</v>
      </c>
      <c r="M45" s="125" t="e">
        <f t="shared" si="21"/>
        <v>#REF!</v>
      </c>
      <c r="N45" s="42"/>
    </row>
    <row r="46" spans="1:14" hidden="1" x14ac:dyDescent="0.2">
      <c r="A46" s="39" t="s">
        <v>97</v>
      </c>
      <c r="B46" s="2" t="e">
        <f t="shared" si="12"/>
        <v>#REF!</v>
      </c>
      <c r="C46" s="2" t="e">
        <f t="shared" si="13"/>
        <v>#REF!</v>
      </c>
      <c r="D46" s="40" t="e">
        <f t="shared" si="14"/>
        <v>#REF!</v>
      </c>
      <c r="E46" s="127" t="e">
        <f t="shared" si="15"/>
        <v>#REF!</v>
      </c>
      <c r="F46" s="119" t="e">
        <f t="shared" si="16"/>
        <v>#REF!</v>
      </c>
      <c r="G46" s="123" t="e">
        <f t="shared" si="17"/>
        <v>#REF!</v>
      </c>
      <c r="H46" s="125" t="e">
        <f t="shared" si="18"/>
        <v>#REF!</v>
      </c>
      <c r="I46" s="121" t="e">
        <f t="shared" si="19"/>
        <v>#REF!</v>
      </c>
      <c r="J46" s="117" t="e">
        <f t="shared" si="11"/>
        <v>#REF!</v>
      </c>
      <c r="K46" s="125"/>
      <c r="L46" s="125" t="e">
        <f t="shared" si="20"/>
        <v>#REF!</v>
      </c>
      <c r="M46" s="125" t="e">
        <f t="shared" si="21"/>
        <v>#REF!</v>
      </c>
      <c r="N46" s="42"/>
    </row>
    <row r="47" spans="1:14" hidden="1" x14ac:dyDescent="0.2">
      <c r="A47" s="39" t="s">
        <v>98</v>
      </c>
      <c r="B47" s="2" t="e">
        <f t="shared" si="12"/>
        <v>#REF!</v>
      </c>
      <c r="C47" s="2" t="e">
        <f t="shared" si="13"/>
        <v>#REF!</v>
      </c>
      <c r="D47" s="40" t="e">
        <f t="shared" si="14"/>
        <v>#REF!</v>
      </c>
      <c r="E47" s="127" t="e">
        <f t="shared" si="15"/>
        <v>#REF!</v>
      </c>
      <c r="F47" s="119" t="e">
        <f t="shared" si="16"/>
        <v>#REF!</v>
      </c>
      <c r="G47" s="123" t="e">
        <f t="shared" si="17"/>
        <v>#REF!</v>
      </c>
      <c r="H47" s="125" t="e">
        <f t="shared" si="18"/>
        <v>#REF!</v>
      </c>
      <c r="I47" s="121" t="e">
        <f t="shared" si="19"/>
        <v>#REF!</v>
      </c>
      <c r="J47" s="117" t="e">
        <f t="shared" si="11"/>
        <v>#REF!</v>
      </c>
      <c r="K47" s="125"/>
      <c r="L47" s="125" t="e">
        <f t="shared" si="20"/>
        <v>#REF!</v>
      </c>
      <c r="M47" s="125" t="e">
        <f t="shared" si="21"/>
        <v>#REF!</v>
      </c>
      <c r="N47" s="42"/>
    </row>
    <row r="48" spans="1:14" hidden="1" x14ac:dyDescent="0.2">
      <c r="A48" s="39" t="s">
        <v>99</v>
      </c>
      <c r="B48" s="2" t="e">
        <f t="shared" si="12"/>
        <v>#REF!</v>
      </c>
      <c r="C48" s="2" t="e">
        <f t="shared" si="13"/>
        <v>#REF!</v>
      </c>
      <c r="D48" s="40" t="e">
        <f t="shared" si="14"/>
        <v>#REF!</v>
      </c>
      <c r="E48" s="127" t="e">
        <f t="shared" si="15"/>
        <v>#REF!</v>
      </c>
      <c r="F48" s="119" t="e">
        <f t="shared" si="16"/>
        <v>#REF!</v>
      </c>
      <c r="G48" s="123" t="e">
        <f t="shared" si="17"/>
        <v>#REF!</v>
      </c>
      <c r="H48" s="125" t="e">
        <f t="shared" si="18"/>
        <v>#REF!</v>
      </c>
      <c r="I48" s="121" t="e">
        <f t="shared" si="19"/>
        <v>#REF!</v>
      </c>
      <c r="J48" s="117" t="e">
        <f t="shared" si="11"/>
        <v>#REF!</v>
      </c>
      <c r="K48" s="125"/>
      <c r="L48" s="125" t="e">
        <f t="shared" si="20"/>
        <v>#REF!</v>
      </c>
      <c r="M48" s="125" t="e">
        <f t="shared" si="21"/>
        <v>#REF!</v>
      </c>
      <c r="N48" s="42"/>
    </row>
    <row r="49" spans="1:14" hidden="1" x14ac:dyDescent="0.2">
      <c r="A49" s="39" t="s">
        <v>100</v>
      </c>
      <c r="B49" s="2" t="e">
        <f t="shared" si="12"/>
        <v>#REF!</v>
      </c>
      <c r="C49" s="2" t="e">
        <f t="shared" si="13"/>
        <v>#REF!</v>
      </c>
      <c r="D49" s="40" t="e">
        <f t="shared" si="14"/>
        <v>#REF!</v>
      </c>
      <c r="E49" s="127" t="e">
        <f t="shared" si="15"/>
        <v>#REF!</v>
      </c>
      <c r="F49" s="119" t="e">
        <f t="shared" si="16"/>
        <v>#REF!</v>
      </c>
      <c r="G49" s="123" t="e">
        <f t="shared" si="17"/>
        <v>#REF!</v>
      </c>
      <c r="H49" s="125" t="e">
        <f t="shared" si="18"/>
        <v>#REF!</v>
      </c>
      <c r="I49" s="121" t="e">
        <f t="shared" si="19"/>
        <v>#REF!</v>
      </c>
      <c r="J49" s="117" t="e">
        <f t="shared" si="11"/>
        <v>#REF!</v>
      </c>
      <c r="K49" s="125"/>
      <c r="L49" s="125" t="e">
        <f t="shared" si="20"/>
        <v>#REF!</v>
      </c>
      <c r="M49" s="125" t="e">
        <f t="shared" si="21"/>
        <v>#REF!</v>
      </c>
      <c r="N49" s="42"/>
    </row>
    <row r="50" spans="1:14" hidden="1" x14ac:dyDescent="0.2">
      <c r="A50" s="39" t="s">
        <v>101</v>
      </c>
      <c r="B50" s="2" t="e">
        <f t="shared" si="12"/>
        <v>#REF!</v>
      </c>
      <c r="C50" s="2" t="e">
        <f t="shared" si="13"/>
        <v>#REF!</v>
      </c>
      <c r="D50" s="40" t="e">
        <f t="shared" si="14"/>
        <v>#REF!</v>
      </c>
      <c r="E50" s="127" t="e">
        <f t="shared" si="15"/>
        <v>#REF!</v>
      </c>
      <c r="F50" s="119" t="e">
        <f t="shared" si="16"/>
        <v>#REF!</v>
      </c>
      <c r="G50" s="123" t="e">
        <f t="shared" si="17"/>
        <v>#REF!</v>
      </c>
      <c r="H50" s="125" t="e">
        <f t="shared" si="18"/>
        <v>#REF!</v>
      </c>
      <c r="I50" s="121" t="e">
        <f t="shared" si="19"/>
        <v>#REF!</v>
      </c>
      <c r="J50" s="117" t="e">
        <f t="shared" si="11"/>
        <v>#REF!</v>
      </c>
      <c r="K50" s="125"/>
      <c r="L50" s="125" t="e">
        <f t="shared" si="20"/>
        <v>#REF!</v>
      </c>
      <c r="M50" s="125" t="e">
        <f t="shared" si="21"/>
        <v>#REF!</v>
      </c>
      <c r="N50" s="42"/>
    </row>
    <row r="51" spans="1:14" hidden="1" x14ac:dyDescent="0.2">
      <c r="A51" s="39" t="s">
        <v>102</v>
      </c>
      <c r="B51" s="2" t="e">
        <f t="shared" si="12"/>
        <v>#REF!</v>
      </c>
      <c r="C51" s="2" t="e">
        <f t="shared" si="13"/>
        <v>#REF!</v>
      </c>
      <c r="D51" s="40" t="e">
        <f t="shared" si="14"/>
        <v>#REF!</v>
      </c>
      <c r="E51" s="127" t="e">
        <f t="shared" si="15"/>
        <v>#REF!</v>
      </c>
      <c r="F51" s="119" t="e">
        <f t="shared" si="16"/>
        <v>#REF!</v>
      </c>
      <c r="G51" s="123" t="e">
        <f t="shared" si="17"/>
        <v>#REF!</v>
      </c>
      <c r="H51" s="125" t="e">
        <f t="shared" si="18"/>
        <v>#REF!</v>
      </c>
      <c r="I51" s="121" t="e">
        <f t="shared" si="19"/>
        <v>#REF!</v>
      </c>
      <c r="J51" s="117" t="e">
        <f t="shared" si="11"/>
        <v>#REF!</v>
      </c>
      <c r="K51" s="125"/>
      <c r="L51" s="125" t="e">
        <f t="shared" si="20"/>
        <v>#REF!</v>
      </c>
      <c r="M51" s="125" t="e">
        <f t="shared" si="21"/>
        <v>#REF!</v>
      </c>
      <c r="N51" s="42"/>
    </row>
    <row r="52" spans="1:14" hidden="1" x14ac:dyDescent="0.2">
      <c r="A52" s="39" t="s">
        <v>103</v>
      </c>
      <c r="B52" s="2" t="e">
        <f t="shared" si="12"/>
        <v>#REF!</v>
      </c>
      <c r="C52" s="2" t="e">
        <f t="shared" si="13"/>
        <v>#REF!</v>
      </c>
      <c r="D52" s="40" t="e">
        <f t="shared" si="14"/>
        <v>#REF!</v>
      </c>
      <c r="E52" s="127" t="e">
        <f t="shared" si="15"/>
        <v>#REF!</v>
      </c>
      <c r="F52" s="119" t="e">
        <f t="shared" si="16"/>
        <v>#REF!</v>
      </c>
      <c r="G52" s="123" t="e">
        <f t="shared" si="17"/>
        <v>#REF!</v>
      </c>
      <c r="H52" s="125" t="e">
        <f t="shared" si="18"/>
        <v>#REF!</v>
      </c>
      <c r="I52" s="121" t="e">
        <f t="shared" si="19"/>
        <v>#REF!</v>
      </c>
      <c r="J52" s="117" t="e">
        <f t="shared" si="11"/>
        <v>#REF!</v>
      </c>
      <c r="K52" s="125"/>
      <c r="L52" s="125" t="e">
        <f t="shared" si="20"/>
        <v>#REF!</v>
      </c>
      <c r="M52" s="125" t="e">
        <f t="shared" si="21"/>
        <v>#REF!</v>
      </c>
      <c r="N52" s="42"/>
    </row>
    <row r="53" spans="1:14" hidden="1" x14ac:dyDescent="0.2">
      <c r="A53" s="39" t="s">
        <v>104</v>
      </c>
      <c r="B53" s="2" t="e">
        <f t="shared" si="12"/>
        <v>#REF!</v>
      </c>
      <c r="C53" s="2" t="e">
        <f t="shared" si="13"/>
        <v>#REF!</v>
      </c>
      <c r="D53" s="40" t="e">
        <f t="shared" si="14"/>
        <v>#REF!</v>
      </c>
      <c r="E53" s="127" t="e">
        <f t="shared" si="15"/>
        <v>#REF!</v>
      </c>
      <c r="F53" s="119" t="e">
        <f t="shared" si="16"/>
        <v>#REF!</v>
      </c>
      <c r="G53" s="123" t="e">
        <f t="shared" si="17"/>
        <v>#REF!</v>
      </c>
      <c r="H53" s="125" t="e">
        <f t="shared" si="18"/>
        <v>#REF!</v>
      </c>
      <c r="I53" s="121" t="e">
        <f t="shared" si="19"/>
        <v>#REF!</v>
      </c>
      <c r="J53" s="117" t="e">
        <f t="shared" si="11"/>
        <v>#REF!</v>
      </c>
      <c r="K53" s="125"/>
      <c r="L53" s="125" t="e">
        <f t="shared" si="20"/>
        <v>#REF!</v>
      </c>
      <c r="M53" s="125" t="e">
        <f t="shared" si="21"/>
        <v>#REF!</v>
      </c>
      <c r="N53" s="42"/>
    </row>
    <row r="54" spans="1:14" hidden="1" x14ac:dyDescent="0.2">
      <c r="A54" s="39" t="s">
        <v>105</v>
      </c>
      <c r="B54" s="2" t="e">
        <f t="shared" si="12"/>
        <v>#REF!</v>
      </c>
      <c r="C54" s="2" t="e">
        <f t="shared" si="13"/>
        <v>#REF!</v>
      </c>
      <c r="D54" s="40" t="e">
        <f t="shared" si="14"/>
        <v>#REF!</v>
      </c>
      <c r="E54" s="127" t="e">
        <f t="shared" si="15"/>
        <v>#REF!</v>
      </c>
      <c r="F54" s="119" t="e">
        <f t="shared" si="16"/>
        <v>#REF!</v>
      </c>
      <c r="G54" s="123" t="e">
        <f t="shared" si="17"/>
        <v>#REF!</v>
      </c>
      <c r="H54" s="125" t="e">
        <f t="shared" si="18"/>
        <v>#REF!</v>
      </c>
      <c r="I54" s="121" t="e">
        <f t="shared" si="19"/>
        <v>#REF!</v>
      </c>
      <c r="J54" s="117" t="e">
        <f t="shared" si="11"/>
        <v>#REF!</v>
      </c>
      <c r="K54" s="125"/>
      <c r="L54" s="125" t="e">
        <f t="shared" si="20"/>
        <v>#REF!</v>
      </c>
      <c r="M54" s="125" t="e">
        <f t="shared" si="21"/>
        <v>#REF!</v>
      </c>
      <c r="N54" s="42"/>
    </row>
    <row r="55" spans="1:14" hidden="1" x14ac:dyDescent="0.2">
      <c r="A55" s="39" t="s">
        <v>106</v>
      </c>
      <c r="B55" s="2" t="e">
        <f t="shared" si="12"/>
        <v>#REF!</v>
      </c>
      <c r="C55" s="2" t="e">
        <f t="shared" si="13"/>
        <v>#REF!</v>
      </c>
      <c r="D55" s="40" t="e">
        <f t="shared" si="14"/>
        <v>#REF!</v>
      </c>
      <c r="E55" s="127" t="e">
        <f t="shared" si="15"/>
        <v>#REF!</v>
      </c>
      <c r="F55" s="119" t="e">
        <f t="shared" si="16"/>
        <v>#REF!</v>
      </c>
      <c r="G55" s="123" t="e">
        <f t="shared" si="17"/>
        <v>#REF!</v>
      </c>
      <c r="H55" s="125" t="e">
        <f t="shared" si="18"/>
        <v>#REF!</v>
      </c>
      <c r="I55" s="121" t="e">
        <f t="shared" si="19"/>
        <v>#REF!</v>
      </c>
      <c r="J55" s="117" t="e">
        <f t="shared" si="11"/>
        <v>#REF!</v>
      </c>
      <c r="K55" s="125"/>
      <c r="L55" s="125" t="e">
        <f t="shared" si="20"/>
        <v>#REF!</v>
      </c>
      <c r="M55" s="125" t="e">
        <f t="shared" si="21"/>
        <v>#REF!</v>
      </c>
      <c r="N55" s="42"/>
    </row>
    <row r="56" spans="1:14" hidden="1" x14ac:dyDescent="0.2">
      <c r="A56" s="39" t="s">
        <v>107</v>
      </c>
      <c r="B56" s="2" t="e">
        <f t="shared" si="12"/>
        <v>#REF!</v>
      </c>
      <c r="C56" s="2" t="e">
        <f t="shared" si="13"/>
        <v>#REF!</v>
      </c>
      <c r="D56" s="40" t="e">
        <f t="shared" si="14"/>
        <v>#REF!</v>
      </c>
      <c r="E56" s="127" t="e">
        <f t="shared" si="15"/>
        <v>#REF!</v>
      </c>
      <c r="F56" s="119" t="e">
        <f t="shared" si="16"/>
        <v>#REF!</v>
      </c>
      <c r="G56" s="123" t="e">
        <f t="shared" si="17"/>
        <v>#REF!</v>
      </c>
      <c r="H56" s="125" t="e">
        <f t="shared" si="18"/>
        <v>#REF!</v>
      </c>
      <c r="I56" s="121" t="e">
        <f t="shared" si="19"/>
        <v>#REF!</v>
      </c>
      <c r="J56" s="117" t="e">
        <f t="shared" si="11"/>
        <v>#REF!</v>
      </c>
      <c r="K56" s="125"/>
      <c r="L56" s="125" t="e">
        <f t="shared" si="20"/>
        <v>#REF!</v>
      </c>
      <c r="M56" s="125" t="e">
        <f t="shared" si="21"/>
        <v>#REF!</v>
      </c>
      <c r="N56" s="42"/>
    </row>
    <row r="57" spans="1:14" hidden="1" x14ac:dyDescent="0.2">
      <c r="A57" s="39" t="s">
        <v>108</v>
      </c>
      <c r="B57" s="2" t="e">
        <f t="shared" si="12"/>
        <v>#REF!</v>
      </c>
      <c r="C57" s="2" t="e">
        <f t="shared" si="13"/>
        <v>#REF!</v>
      </c>
      <c r="D57" s="40" t="e">
        <f t="shared" si="14"/>
        <v>#REF!</v>
      </c>
      <c r="E57" s="127" t="e">
        <f t="shared" si="15"/>
        <v>#REF!</v>
      </c>
      <c r="F57" s="119" t="e">
        <f t="shared" si="16"/>
        <v>#REF!</v>
      </c>
      <c r="G57" s="123" t="e">
        <f t="shared" si="17"/>
        <v>#REF!</v>
      </c>
      <c r="H57" s="125" t="e">
        <f t="shared" si="18"/>
        <v>#REF!</v>
      </c>
      <c r="I57" s="121" t="e">
        <f t="shared" si="19"/>
        <v>#REF!</v>
      </c>
      <c r="J57" s="117" t="e">
        <f t="shared" si="11"/>
        <v>#REF!</v>
      </c>
      <c r="K57" s="125"/>
      <c r="L57" s="125" t="e">
        <f t="shared" si="20"/>
        <v>#REF!</v>
      </c>
      <c r="M57" s="125" t="e">
        <f t="shared" si="21"/>
        <v>#REF!</v>
      </c>
      <c r="N57" s="42"/>
    </row>
    <row r="58" spans="1:14" hidden="1" x14ac:dyDescent="0.2">
      <c r="A58" s="39" t="s">
        <v>109</v>
      </c>
      <c r="B58" s="2" t="e">
        <f t="shared" si="12"/>
        <v>#REF!</v>
      </c>
      <c r="C58" s="2" t="e">
        <f t="shared" si="13"/>
        <v>#REF!</v>
      </c>
      <c r="D58" s="40" t="e">
        <f t="shared" si="14"/>
        <v>#REF!</v>
      </c>
      <c r="E58" s="127" t="e">
        <f t="shared" si="15"/>
        <v>#REF!</v>
      </c>
      <c r="F58" s="119" t="e">
        <f t="shared" si="16"/>
        <v>#REF!</v>
      </c>
      <c r="G58" s="123" t="e">
        <f t="shared" si="17"/>
        <v>#REF!</v>
      </c>
      <c r="H58" s="125" t="e">
        <f t="shared" si="18"/>
        <v>#REF!</v>
      </c>
      <c r="I58" s="121" t="e">
        <f t="shared" si="19"/>
        <v>#REF!</v>
      </c>
      <c r="J58" s="117" t="e">
        <f t="shared" si="11"/>
        <v>#REF!</v>
      </c>
      <c r="K58" s="125"/>
      <c r="L58" s="125" t="e">
        <f t="shared" si="20"/>
        <v>#REF!</v>
      </c>
      <c r="M58" s="125" t="e">
        <f t="shared" si="21"/>
        <v>#REF!</v>
      </c>
      <c r="N58" s="42"/>
    </row>
    <row r="59" spans="1:14" x14ac:dyDescent="0.2">
      <c r="A59" s="39" t="s">
        <v>110</v>
      </c>
      <c r="B59" s="2" t="e">
        <f t="shared" si="12"/>
        <v>#REF!</v>
      </c>
      <c r="C59" s="2" t="e">
        <f t="shared" si="13"/>
        <v>#REF!</v>
      </c>
      <c r="D59" s="40" t="e">
        <f t="shared" si="14"/>
        <v>#REF!</v>
      </c>
      <c r="E59" s="127" t="e">
        <f t="shared" si="15"/>
        <v>#REF!</v>
      </c>
      <c r="F59" s="119" t="e">
        <f t="shared" si="16"/>
        <v>#REF!</v>
      </c>
      <c r="G59" s="123" t="e">
        <f t="shared" si="17"/>
        <v>#REF!</v>
      </c>
      <c r="H59" s="125" t="e">
        <f t="shared" si="18"/>
        <v>#REF!</v>
      </c>
      <c r="I59" s="121" t="e">
        <f t="shared" si="19"/>
        <v>#REF!</v>
      </c>
      <c r="J59" s="117" t="e">
        <f t="shared" si="11"/>
        <v>#REF!</v>
      </c>
      <c r="K59" s="125"/>
      <c r="L59" s="125" t="e">
        <f t="shared" si="20"/>
        <v>#REF!</v>
      </c>
      <c r="M59" s="125" t="e">
        <f t="shared" si="21"/>
        <v>#REF!</v>
      </c>
      <c r="N59" s="42"/>
    </row>
    <row r="60" spans="1:14" hidden="1" x14ac:dyDescent="0.2">
      <c r="A60" s="39" t="s">
        <v>111</v>
      </c>
      <c r="B60" s="2" t="e">
        <f t="shared" si="12"/>
        <v>#REF!</v>
      </c>
      <c r="C60" s="2" t="e">
        <f t="shared" si="13"/>
        <v>#REF!</v>
      </c>
      <c r="D60" s="40" t="e">
        <f t="shared" si="14"/>
        <v>#REF!</v>
      </c>
      <c r="E60" s="127" t="e">
        <f t="shared" si="15"/>
        <v>#REF!</v>
      </c>
      <c r="F60" s="119" t="e">
        <f t="shared" si="16"/>
        <v>#REF!</v>
      </c>
      <c r="G60" s="123" t="e">
        <f t="shared" si="17"/>
        <v>#REF!</v>
      </c>
      <c r="H60" s="125" t="e">
        <f t="shared" si="18"/>
        <v>#REF!</v>
      </c>
      <c r="I60" s="121" t="e">
        <f t="shared" si="19"/>
        <v>#REF!</v>
      </c>
      <c r="J60" s="117" t="e">
        <f t="shared" si="11"/>
        <v>#REF!</v>
      </c>
      <c r="K60" s="125"/>
      <c r="L60" s="125" t="e">
        <f t="shared" si="20"/>
        <v>#REF!</v>
      </c>
      <c r="M60" s="125" t="e">
        <f t="shared" si="21"/>
        <v>#REF!</v>
      </c>
      <c r="N60" s="42"/>
    </row>
    <row r="61" spans="1:14" hidden="1" x14ac:dyDescent="0.2">
      <c r="A61" s="39" t="s">
        <v>112</v>
      </c>
      <c r="B61" s="2" t="e">
        <f t="shared" si="12"/>
        <v>#REF!</v>
      </c>
      <c r="C61" s="2" t="e">
        <f t="shared" si="13"/>
        <v>#REF!</v>
      </c>
      <c r="D61" s="40" t="e">
        <f t="shared" si="14"/>
        <v>#REF!</v>
      </c>
      <c r="E61" s="127" t="e">
        <f t="shared" si="15"/>
        <v>#REF!</v>
      </c>
      <c r="F61" s="119" t="e">
        <f t="shared" si="16"/>
        <v>#REF!</v>
      </c>
      <c r="G61" s="123" t="e">
        <f t="shared" si="17"/>
        <v>#REF!</v>
      </c>
      <c r="H61" s="125" t="e">
        <f t="shared" si="18"/>
        <v>#REF!</v>
      </c>
      <c r="I61" s="121" t="e">
        <f t="shared" si="19"/>
        <v>#REF!</v>
      </c>
      <c r="J61" s="117" t="e">
        <f t="shared" si="11"/>
        <v>#REF!</v>
      </c>
      <c r="K61" s="125"/>
      <c r="L61" s="125" t="e">
        <f t="shared" si="20"/>
        <v>#REF!</v>
      </c>
      <c r="M61" s="125" t="e">
        <f t="shared" si="21"/>
        <v>#REF!</v>
      </c>
      <c r="N61" s="42"/>
    </row>
    <row r="62" spans="1:14" hidden="1" x14ac:dyDescent="0.2">
      <c r="A62" s="39" t="s">
        <v>113</v>
      </c>
      <c r="B62" s="2" t="e">
        <f t="shared" si="12"/>
        <v>#REF!</v>
      </c>
      <c r="C62" s="2" t="e">
        <f t="shared" si="13"/>
        <v>#REF!</v>
      </c>
      <c r="D62" s="40" t="e">
        <f t="shared" si="14"/>
        <v>#REF!</v>
      </c>
      <c r="E62" s="127" t="e">
        <f t="shared" si="15"/>
        <v>#REF!</v>
      </c>
      <c r="F62" s="119" t="e">
        <f t="shared" si="16"/>
        <v>#REF!</v>
      </c>
      <c r="G62" s="123" t="e">
        <f t="shared" si="17"/>
        <v>#REF!</v>
      </c>
      <c r="H62" s="125" t="e">
        <f t="shared" si="18"/>
        <v>#REF!</v>
      </c>
      <c r="I62" s="121" t="e">
        <f t="shared" si="19"/>
        <v>#REF!</v>
      </c>
      <c r="J62" s="117" t="e">
        <f t="shared" si="11"/>
        <v>#REF!</v>
      </c>
      <c r="K62" s="125"/>
      <c r="L62" s="125" t="e">
        <f t="shared" si="20"/>
        <v>#REF!</v>
      </c>
      <c r="M62" s="125" t="e">
        <f t="shared" si="21"/>
        <v>#REF!</v>
      </c>
      <c r="N62" s="42"/>
    </row>
    <row r="63" spans="1:14" hidden="1" x14ac:dyDescent="0.2">
      <c r="A63" s="39" t="s">
        <v>114</v>
      </c>
      <c r="B63" s="2" t="e">
        <f t="shared" si="12"/>
        <v>#REF!</v>
      </c>
      <c r="C63" s="2" t="e">
        <f t="shared" si="13"/>
        <v>#REF!</v>
      </c>
      <c r="D63" s="40" t="e">
        <f t="shared" si="14"/>
        <v>#REF!</v>
      </c>
      <c r="E63" s="127" t="e">
        <f t="shared" si="15"/>
        <v>#REF!</v>
      </c>
      <c r="F63" s="119" t="e">
        <f t="shared" si="16"/>
        <v>#REF!</v>
      </c>
      <c r="G63" s="123" t="e">
        <f t="shared" si="17"/>
        <v>#REF!</v>
      </c>
      <c r="H63" s="125" t="e">
        <f t="shared" si="18"/>
        <v>#REF!</v>
      </c>
      <c r="I63" s="121" t="e">
        <f t="shared" si="19"/>
        <v>#REF!</v>
      </c>
      <c r="J63" s="117" t="e">
        <f t="shared" si="11"/>
        <v>#REF!</v>
      </c>
      <c r="K63" s="125"/>
      <c r="L63" s="125" t="e">
        <f t="shared" si="20"/>
        <v>#REF!</v>
      </c>
      <c r="M63" s="125" t="e">
        <f t="shared" si="21"/>
        <v>#REF!</v>
      </c>
      <c r="N63" s="42"/>
    </row>
    <row r="64" spans="1:14" x14ac:dyDescent="0.2">
      <c r="A64" s="39" t="s">
        <v>115</v>
      </c>
      <c r="B64" s="2" t="e">
        <f t="shared" si="12"/>
        <v>#REF!</v>
      </c>
      <c r="C64" s="2" t="e">
        <f t="shared" si="13"/>
        <v>#REF!</v>
      </c>
      <c r="D64" s="40" t="e">
        <f t="shared" si="14"/>
        <v>#REF!</v>
      </c>
      <c r="E64" s="127" t="e">
        <f t="shared" si="15"/>
        <v>#REF!</v>
      </c>
      <c r="F64" s="119" t="e">
        <f t="shared" si="16"/>
        <v>#REF!</v>
      </c>
      <c r="G64" s="123" t="e">
        <f t="shared" si="17"/>
        <v>#REF!</v>
      </c>
      <c r="H64" s="125" t="e">
        <f t="shared" si="18"/>
        <v>#REF!</v>
      </c>
      <c r="I64" s="121" t="e">
        <f t="shared" si="19"/>
        <v>#REF!</v>
      </c>
      <c r="J64" s="117" t="e">
        <f t="shared" si="11"/>
        <v>#REF!</v>
      </c>
      <c r="K64" s="125"/>
      <c r="L64" s="125" t="e">
        <f t="shared" si="20"/>
        <v>#REF!</v>
      </c>
      <c r="M64" s="125" t="e">
        <f t="shared" si="21"/>
        <v>#REF!</v>
      </c>
      <c r="N64" s="42"/>
    </row>
    <row r="65" spans="1:14" hidden="1" x14ac:dyDescent="0.2">
      <c r="A65" s="39" t="s">
        <v>116</v>
      </c>
      <c r="B65" s="2" t="e">
        <f t="shared" si="12"/>
        <v>#REF!</v>
      </c>
      <c r="C65" s="2" t="e">
        <f t="shared" si="13"/>
        <v>#REF!</v>
      </c>
      <c r="D65" s="40" t="e">
        <f t="shared" si="14"/>
        <v>#REF!</v>
      </c>
      <c r="E65" s="127" t="e">
        <f t="shared" si="15"/>
        <v>#REF!</v>
      </c>
      <c r="F65" s="119" t="e">
        <f t="shared" si="16"/>
        <v>#REF!</v>
      </c>
      <c r="G65" s="123" t="e">
        <f t="shared" si="17"/>
        <v>#REF!</v>
      </c>
      <c r="H65" s="125" t="e">
        <f t="shared" si="18"/>
        <v>#REF!</v>
      </c>
      <c r="I65" s="121" t="e">
        <f t="shared" si="19"/>
        <v>#REF!</v>
      </c>
      <c r="J65" s="117" t="e">
        <f t="shared" si="11"/>
        <v>#REF!</v>
      </c>
      <c r="K65" s="125"/>
      <c r="L65" s="125" t="e">
        <f t="shared" si="20"/>
        <v>#REF!</v>
      </c>
      <c r="M65" s="125" t="e">
        <f t="shared" si="21"/>
        <v>#REF!</v>
      </c>
      <c r="N65" s="42"/>
    </row>
    <row r="66" spans="1:14" hidden="1" x14ac:dyDescent="0.2">
      <c r="A66" s="39" t="s">
        <v>117</v>
      </c>
      <c r="B66" s="2" t="e">
        <f t="shared" si="12"/>
        <v>#REF!</v>
      </c>
      <c r="C66" s="2" t="e">
        <f t="shared" si="13"/>
        <v>#REF!</v>
      </c>
      <c r="D66" s="40" t="e">
        <f t="shared" si="14"/>
        <v>#REF!</v>
      </c>
      <c r="E66" s="127" t="e">
        <f t="shared" si="15"/>
        <v>#REF!</v>
      </c>
      <c r="F66" s="119" t="e">
        <f t="shared" si="16"/>
        <v>#REF!</v>
      </c>
      <c r="G66" s="123" t="e">
        <f t="shared" si="17"/>
        <v>#REF!</v>
      </c>
      <c r="H66" s="125" t="e">
        <f t="shared" si="18"/>
        <v>#REF!</v>
      </c>
      <c r="I66" s="121" t="e">
        <f t="shared" si="19"/>
        <v>#REF!</v>
      </c>
      <c r="J66" s="117" t="e">
        <f t="shared" si="11"/>
        <v>#REF!</v>
      </c>
      <c r="K66" s="125"/>
      <c r="L66" s="125" t="e">
        <f t="shared" si="20"/>
        <v>#REF!</v>
      </c>
      <c r="M66" s="125" t="e">
        <f t="shared" si="21"/>
        <v>#REF!</v>
      </c>
      <c r="N66" s="42"/>
    </row>
    <row r="67" spans="1:14" hidden="1" x14ac:dyDescent="0.2">
      <c r="A67" s="39" t="s">
        <v>118</v>
      </c>
      <c r="B67" s="2" t="e">
        <f t="shared" si="12"/>
        <v>#REF!</v>
      </c>
      <c r="C67" s="2" t="e">
        <f t="shared" si="13"/>
        <v>#REF!</v>
      </c>
      <c r="D67" s="40" t="e">
        <f t="shared" si="14"/>
        <v>#REF!</v>
      </c>
      <c r="E67" s="127" t="e">
        <f t="shared" si="15"/>
        <v>#REF!</v>
      </c>
      <c r="F67" s="119" t="e">
        <f t="shared" si="16"/>
        <v>#REF!</v>
      </c>
      <c r="G67" s="123" t="e">
        <f t="shared" si="17"/>
        <v>#REF!</v>
      </c>
      <c r="H67" s="125" t="e">
        <f t="shared" si="18"/>
        <v>#REF!</v>
      </c>
      <c r="I67" s="121" t="e">
        <f t="shared" si="19"/>
        <v>#REF!</v>
      </c>
      <c r="J67" s="117" t="e">
        <f t="shared" ref="J67:J98" si="22">IF(D67="YES",INDEX(Crop_data,MATCH(A67,Crop_data_codes,0),11)*Heating_value_diesel*EF_diesel_N2O/INDEX(Crop_data,MATCH(A67,Crop_data_codes,0),6),"")</f>
        <v>#REF!</v>
      </c>
      <c r="K67" s="125"/>
      <c r="L67" s="125" t="e">
        <f t="shared" si="20"/>
        <v>#REF!</v>
      </c>
      <c r="M67" s="125" t="e">
        <f t="shared" si="21"/>
        <v>#REF!</v>
      </c>
      <c r="N67" s="42"/>
    </row>
    <row r="68" spans="1:14" hidden="1" x14ac:dyDescent="0.2">
      <c r="A68" s="39" t="s">
        <v>119</v>
      </c>
      <c r="B68" s="2" t="e">
        <f t="shared" si="12"/>
        <v>#REF!</v>
      </c>
      <c r="C68" s="2" t="e">
        <f t="shared" si="13"/>
        <v>#REF!</v>
      </c>
      <c r="D68" s="40" t="e">
        <f t="shared" si="14"/>
        <v>#REF!</v>
      </c>
      <c r="E68" s="127" t="e">
        <f t="shared" si="15"/>
        <v>#REF!</v>
      </c>
      <c r="F68" s="119" t="e">
        <f t="shared" si="16"/>
        <v>#REF!</v>
      </c>
      <c r="G68" s="123" t="e">
        <f t="shared" si="17"/>
        <v>#REF!</v>
      </c>
      <c r="H68" s="125" t="e">
        <f t="shared" si="18"/>
        <v>#REF!</v>
      </c>
      <c r="I68" s="121" t="e">
        <f t="shared" si="19"/>
        <v>#REF!</v>
      </c>
      <c r="J68" s="117" t="e">
        <f t="shared" si="22"/>
        <v>#REF!</v>
      </c>
      <c r="K68" s="125"/>
      <c r="L68" s="125" t="e">
        <f t="shared" si="20"/>
        <v>#REF!</v>
      </c>
      <c r="M68" s="125" t="e">
        <f t="shared" si="21"/>
        <v>#REF!</v>
      </c>
      <c r="N68" s="42"/>
    </row>
    <row r="69" spans="1:14" hidden="1" x14ac:dyDescent="0.2">
      <c r="A69" s="39" t="s">
        <v>120</v>
      </c>
      <c r="B69" s="2" t="e">
        <f t="shared" si="12"/>
        <v>#REF!</v>
      </c>
      <c r="C69" s="2" t="e">
        <f t="shared" si="13"/>
        <v>#REF!</v>
      </c>
      <c r="D69" s="40" t="e">
        <f t="shared" si="14"/>
        <v>#REF!</v>
      </c>
      <c r="E69" s="127" t="e">
        <f t="shared" si="15"/>
        <v>#REF!</v>
      </c>
      <c r="F69" s="119" t="e">
        <f t="shared" si="16"/>
        <v>#REF!</v>
      </c>
      <c r="G69" s="123" t="e">
        <f t="shared" si="17"/>
        <v>#REF!</v>
      </c>
      <c r="H69" s="125" t="e">
        <f t="shared" si="18"/>
        <v>#REF!</v>
      </c>
      <c r="I69" s="121" t="e">
        <f t="shared" si="19"/>
        <v>#REF!</v>
      </c>
      <c r="J69" s="117" t="e">
        <f t="shared" si="22"/>
        <v>#REF!</v>
      </c>
      <c r="K69" s="125"/>
      <c r="L69" s="125" t="e">
        <f t="shared" si="20"/>
        <v>#REF!</v>
      </c>
      <c r="M69" s="125" t="e">
        <f t="shared" si="21"/>
        <v>#REF!</v>
      </c>
      <c r="N69" s="42"/>
    </row>
    <row r="70" spans="1:14" hidden="1" x14ac:dyDescent="0.2">
      <c r="A70" s="39" t="s">
        <v>121</v>
      </c>
      <c r="B70" s="2" t="e">
        <f t="shared" ref="B70:B101" si="23">INDEX(Crop_data,MATCH(A70,Crop_data_codes,0),2)</f>
        <v>#REF!</v>
      </c>
      <c r="C70" s="2" t="e">
        <f t="shared" ref="C70:C101" si="24">INDEX(Crop_data,MATCH(A70,Crop_data_codes,0),3)</f>
        <v>#REF!</v>
      </c>
      <c r="D70" s="40" t="e">
        <f t="shared" ref="D70:D101" si="25">INDEX(Crop_data,MATCH(A70,Crop_data_codes,0),4)</f>
        <v>#REF!</v>
      </c>
      <c r="E70" s="127" t="e">
        <f t="shared" ref="E70:E101" si="26">IF(D70="Yes", SUM(F70:N70),"")</f>
        <v>#REF!</v>
      </c>
      <c r="F70" s="119" t="e">
        <f t="shared" ref="F70:F101" si="27">IF(D70="YES",INDEX(Crop_data,MATCH(A70,Crop_data_codes,0),7)*(Frac_BAT*EF_min_fert_BAT_N2O+Frac_AN*EF_min_fert_AN_N2O)/INDEX(Crop_data,MATCH(A70,Crop_data_codes,0),6),"")</f>
        <v>#REF!</v>
      </c>
      <c r="G70" s="123" t="e">
        <f t="shared" ref="G70:G101" si="28">IF(D70="YES",EF_capital_goods_N2O,"")</f>
        <v>#REF!</v>
      </c>
      <c r="H70" s="125" t="e">
        <f t="shared" ref="H70:H101" si="29">IF(D70="YES",(INDEX(Crop_data,MATCH(A70,Crop_data_codes,0),7)*EF_N2O_soils_min_fert+INDEX(Crop_data,MATCH(A70,Crop_data_codes,0),9)*EF_N2O_soils_crop_res)*44/28/INDEX(Crop_data,MATCH(A70,Crop_data_codes,0),6),"")</f>
        <v>#REF!</v>
      </c>
      <c r="I70" s="121" t="e">
        <f t="shared" ref="I70:I101" si="30">IF(D70="Yes",H70*EF_N2O_soils_indirect,"")</f>
        <v>#REF!</v>
      </c>
      <c r="J70" s="117" t="e">
        <f t="shared" si="22"/>
        <v>#REF!</v>
      </c>
      <c r="K70" s="125"/>
      <c r="L70" s="125" t="e">
        <f t="shared" si="20"/>
        <v>#REF!</v>
      </c>
      <c r="M70" s="125" t="e">
        <f t="shared" si="21"/>
        <v>#REF!</v>
      </c>
      <c r="N70" s="42"/>
    </row>
    <row r="71" spans="1:14" hidden="1" x14ac:dyDescent="0.2">
      <c r="A71" s="39" t="s">
        <v>122</v>
      </c>
      <c r="B71" s="2" t="e">
        <f t="shared" si="23"/>
        <v>#REF!</v>
      </c>
      <c r="C71" s="2" t="e">
        <f t="shared" si="24"/>
        <v>#REF!</v>
      </c>
      <c r="D71" s="40" t="e">
        <f t="shared" si="25"/>
        <v>#REF!</v>
      </c>
      <c r="E71" s="127" t="e">
        <f t="shared" si="26"/>
        <v>#REF!</v>
      </c>
      <c r="F71" s="119" t="e">
        <f t="shared" si="27"/>
        <v>#REF!</v>
      </c>
      <c r="G71" s="123" t="e">
        <f t="shared" si="28"/>
        <v>#REF!</v>
      </c>
      <c r="H71" s="125" t="e">
        <f t="shared" si="29"/>
        <v>#REF!</v>
      </c>
      <c r="I71" s="121" t="e">
        <f t="shared" si="30"/>
        <v>#REF!</v>
      </c>
      <c r="J71" s="117" t="e">
        <f t="shared" si="22"/>
        <v>#REF!</v>
      </c>
      <c r="K71" s="125"/>
      <c r="L71" s="125" t="e">
        <f t="shared" si="20"/>
        <v>#REF!</v>
      </c>
      <c r="M71" s="125" t="e">
        <f t="shared" si="21"/>
        <v>#REF!</v>
      </c>
      <c r="N71" s="42"/>
    </row>
    <row r="72" spans="1:14" hidden="1" x14ac:dyDescent="0.2">
      <c r="A72" s="39" t="s">
        <v>123</v>
      </c>
      <c r="B72" s="2" t="e">
        <f t="shared" si="23"/>
        <v>#REF!</v>
      </c>
      <c r="C72" s="2" t="e">
        <f t="shared" si="24"/>
        <v>#REF!</v>
      </c>
      <c r="D72" s="40" t="e">
        <f t="shared" si="25"/>
        <v>#REF!</v>
      </c>
      <c r="E72" s="127" t="e">
        <f t="shared" si="26"/>
        <v>#REF!</v>
      </c>
      <c r="F72" s="119" t="e">
        <f t="shared" si="27"/>
        <v>#REF!</v>
      </c>
      <c r="G72" s="123" t="e">
        <f t="shared" si="28"/>
        <v>#REF!</v>
      </c>
      <c r="H72" s="125" t="e">
        <f t="shared" si="29"/>
        <v>#REF!</v>
      </c>
      <c r="I72" s="121" t="e">
        <f t="shared" si="30"/>
        <v>#REF!</v>
      </c>
      <c r="J72" s="117" t="e">
        <f t="shared" si="22"/>
        <v>#REF!</v>
      </c>
      <c r="K72" s="125"/>
      <c r="L72" s="125" t="e">
        <f t="shared" ref="L72:L105" si="31">IF(D72="YES",INDEX(Crop_data,MATCH(A72,Crop_data_codes,0),12)*EF_irrigation_N2O/INDEX(Crop_data,MATCH(A72,Crop_data_codes,0),6),"")</f>
        <v>#REF!</v>
      </c>
      <c r="M72" s="125" t="e">
        <f t="shared" ref="M72:M103" si="32">IF(D72="Yes",INDEX(Post_harvest_energy_data,MATCH(C72,Post_harvest_energy_categories,0),2)*EF_heating_oil_N2O+INDEX(Post_harvest_energy_data,MATCH(C72,Post_harvest_energy_categories,0),3)*EF_electricity_N2O+INDEX(Post_harvest_energy_data,MATCH(C72,Post_harvest_energy_categories,0),4)*EF_chips_N2O,"")</f>
        <v>#REF!</v>
      </c>
      <c r="N72" s="42"/>
    </row>
    <row r="73" spans="1:14" hidden="1" x14ac:dyDescent="0.2">
      <c r="A73" s="39" t="s">
        <v>124</v>
      </c>
      <c r="B73" s="2" t="e">
        <f t="shared" si="23"/>
        <v>#REF!</v>
      </c>
      <c r="C73" s="2" t="e">
        <f t="shared" si="24"/>
        <v>#REF!</v>
      </c>
      <c r="D73" s="40" t="e">
        <f t="shared" si="25"/>
        <v>#REF!</v>
      </c>
      <c r="E73" s="127" t="e">
        <f t="shared" si="26"/>
        <v>#REF!</v>
      </c>
      <c r="F73" s="119" t="e">
        <f t="shared" si="27"/>
        <v>#REF!</v>
      </c>
      <c r="G73" s="123" t="e">
        <f t="shared" si="28"/>
        <v>#REF!</v>
      </c>
      <c r="H73" s="125" t="e">
        <f t="shared" si="29"/>
        <v>#REF!</v>
      </c>
      <c r="I73" s="121" t="e">
        <f t="shared" si="30"/>
        <v>#REF!</v>
      </c>
      <c r="J73" s="117" t="e">
        <f t="shared" si="22"/>
        <v>#REF!</v>
      </c>
      <c r="K73" s="125"/>
      <c r="L73" s="125" t="e">
        <f t="shared" si="31"/>
        <v>#REF!</v>
      </c>
      <c r="M73" s="125" t="e">
        <f t="shared" si="32"/>
        <v>#REF!</v>
      </c>
      <c r="N73" s="42"/>
    </row>
    <row r="74" spans="1:14" hidden="1" x14ac:dyDescent="0.2">
      <c r="A74" s="39" t="s">
        <v>125</v>
      </c>
      <c r="B74" s="2" t="e">
        <f t="shared" si="23"/>
        <v>#REF!</v>
      </c>
      <c r="C74" s="2" t="e">
        <f t="shared" si="24"/>
        <v>#REF!</v>
      </c>
      <c r="D74" s="40" t="e">
        <f t="shared" si="25"/>
        <v>#REF!</v>
      </c>
      <c r="E74" s="127" t="e">
        <f t="shared" si="26"/>
        <v>#REF!</v>
      </c>
      <c r="F74" s="119" t="e">
        <f t="shared" si="27"/>
        <v>#REF!</v>
      </c>
      <c r="G74" s="123" t="e">
        <f t="shared" si="28"/>
        <v>#REF!</v>
      </c>
      <c r="H74" s="125" t="e">
        <f t="shared" si="29"/>
        <v>#REF!</v>
      </c>
      <c r="I74" s="121" t="e">
        <f t="shared" si="30"/>
        <v>#REF!</v>
      </c>
      <c r="J74" s="117" t="e">
        <f t="shared" si="22"/>
        <v>#REF!</v>
      </c>
      <c r="K74" s="125"/>
      <c r="L74" s="125" t="e">
        <f t="shared" si="31"/>
        <v>#REF!</v>
      </c>
      <c r="M74" s="125" t="e">
        <f t="shared" si="32"/>
        <v>#REF!</v>
      </c>
      <c r="N74" s="42"/>
    </row>
    <row r="75" spans="1:14" hidden="1" x14ac:dyDescent="0.2">
      <c r="A75" s="39" t="s">
        <v>126</v>
      </c>
      <c r="B75" s="2" t="e">
        <f t="shared" si="23"/>
        <v>#REF!</v>
      </c>
      <c r="C75" s="2" t="e">
        <f t="shared" si="24"/>
        <v>#REF!</v>
      </c>
      <c r="D75" s="40" t="e">
        <f t="shared" si="25"/>
        <v>#REF!</v>
      </c>
      <c r="E75" s="127" t="e">
        <f t="shared" si="26"/>
        <v>#REF!</v>
      </c>
      <c r="F75" s="119" t="e">
        <f t="shared" si="27"/>
        <v>#REF!</v>
      </c>
      <c r="G75" s="123" t="e">
        <f t="shared" si="28"/>
        <v>#REF!</v>
      </c>
      <c r="H75" s="125" t="e">
        <f t="shared" si="29"/>
        <v>#REF!</v>
      </c>
      <c r="I75" s="121" t="e">
        <f t="shared" si="30"/>
        <v>#REF!</v>
      </c>
      <c r="J75" s="117" t="e">
        <f t="shared" si="22"/>
        <v>#REF!</v>
      </c>
      <c r="K75" s="125"/>
      <c r="L75" s="125" t="e">
        <f t="shared" si="31"/>
        <v>#REF!</v>
      </c>
      <c r="M75" s="125" t="e">
        <f t="shared" si="32"/>
        <v>#REF!</v>
      </c>
      <c r="N75" s="42"/>
    </row>
    <row r="76" spans="1:14" hidden="1" x14ac:dyDescent="0.2">
      <c r="A76" s="39" t="s">
        <v>127</v>
      </c>
      <c r="B76" s="2" t="e">
        <f t="shared" si="23"/>
        <v>#REF!</v>
      </c>
      <c r="C76" s="2" t="e">
        <f t="shared" si="24"/>
        <v>#REF!</v>
      </c>
      <c r="D76" s="40" t="e">
        <f t="shared" si="25"/>
        <v>#REF!</v>
      </c>
      <c r="E76" s="127" t="e">
        <f t="shared" si="26"/>
        <v>#REF!</v>
      </c>
      <c r="F76" s="119" t="e">
        <f t="shared" si="27"/>
        <v>#REF!</v>
      </c>
      <c r="G76" s="123" t="e">
        <f t="shared" si="28"/>
        <v>#REF!</v>
      </c>
      <c r="H76" s="125" t="e">
        <f t="shared" si="29"/>
        <v>#REF!</v>
      </c>
      <c r="I76" s="121" t="e">
        <f t="shared" si="30"/>
        <v>#REF!</v>
      </c>
      <c r="J76" s="117" t="e">
        <f t="shared" si="22"/>
        <v>#REF!</v>
      </c>
      <c r="K76" s="125"/>
      <c r="L76" s="125" t="e">
        <f t="shared" si="31"/>
        <v>#REF!</v>
      </c>
      <c r="M76" s="125" t="e">
        <f t="shared" si="32"/>
        <v>#REF!</v>
      </c>
      <c r="N76" s="42"/>
    </row>
    <row r="77" spans="1:14" hidden="1" x14ac:dyDescent="0.2">
      <c r="A77" s="39" t="s">
        <v>128</v>
      </c>
      <c r="B77" s="2" t="e">
        <f t="shared" si="23"/>
        <v>#REF!</v>
      </c>
      <c r="C77" s="2" t="e">
        <f t="shared" si="24"/>
        <v>#REF!</v>
      </c>
      <c r="D77" s="40" t="e">
        <f t="shared" si="25"/>
        <v>#REF!</v>
      </c>
      <c r="E77" s="127" t="e">
        <f t="shared" si="26"/>
        <v>#REF!</v>
      </c>
      <c r="F77" s="119" t="e">
        <f t="shared" si="27"/>
        <v>#REF!</v>
      </c>
      <c r="G77" s="123" t="e">
        <f t="shared" si="28"/>
        <v>#REF!</v>
      </c>
      <c r="H77" s="125" t="e">
        <f t="shared" si="29"/>
        <v>#REF!</v>
      </c>
      <c r="I77" s="121" t="e">
        <f t="shared" si="30"/>
        <v>#REF!</v>
      </c>
      <c r="J77" s="117" t="e">
        <f t="shared" si="22"/>
        <v>#REF!</v>
      </c>
      <c r="K77" s="125"/>
      <c r="L77" s="125" t="e">
        <f t="shared" si="31"/>
        <v>#REF!</v>
      </c>
      <c r="M77" s="125" t="e">
        <f t="shared" si="32"/>
        <v>#REF!</v>
      </c>
      <c r="N77" s="42"/>
    </row>
    <row r="78" spans="1:14" x14ac:dyDescent="0.2">
      <c r="A78" s="39" t="s">
        <v>129</v>
      </c>
      <c r="B78" s="2" t="e">
        <f t="shared" si="23"/>
        <v>#REF!</v>
      </c>
      <c r="C78" s="2" t="e">
        <f t="shared" si="24"/>
        <v>#REF!</v>
      </c>
      <c r="D78" s="40" t="e">
        <f t="shared" si="25"/>
        <v>#REF!</v>
      </c>
      <c r="E78" s="127" t="e">
        <f t="shared" si="26"/>
        <v>#REF!</v>
      </c>
      <c r="F78" s="119" t="e">
        <f t="shared" si="27"/>
        <v>#REF!</v>
      </c>
      <c r="G78" s="123" t="e">
        <f t="shared" si="28"/>
        <v>#REF!</v>
      </c>
      <c r="H78" s="125" t="e">
        <f t="shared" si="29"/>
        <v>#REF!</v>
      </c>
      <c r="I78" s="121" t="e">
        <f t="shared" si="30"/>
        <v>#REF!</v>
      </c>
      <c r="J78" s="117" t="e">
        <f t="shared" si="22"/>
        <v>#REF!</v>
      </c>
      <c r="K78" s="125"/>
      <c r="L78" s="125" t="e">
        <f t="shared" si="31"/>
        <v>#REF!</v>
      </c>
      <c r="M78" s="125" t="e">
        <f t="shared" si="32"/>
        <v>#REF!</v>
      </c>
      <c r="N78" s="42"/>
    </row>
    <row r="79" spans="1:14" hidden="1" x14ac:dyDescent="0.2">
      <c r="A79" s="39" t="s">
        <v>130</v>
      </c>
      <c r="B79" s="2" t="e">
        <f t="shared" si="23"/>
        <v>#REF!</v>
      </c>
      <c r="C79" s="2" t="e">
        <f t="shared" si="24"/>
        <v>#REF!</v>
      </c>
      <c r="D79" s="40" t="e">
        <f t="shared" si="25"/>
        <v>#REF!</v>
      </c>
      <c r="E79" s="127" t="e">
        <f t="shared" si="26"/>
        <v>#REF!</v>
      </c>
      <c r="F79" s="119" t="e">
        <f t="shared" si="27"/>
        <v>#REF!</v>
      </c>
      <c r="G79" s="123" t="e">
        <f t="shared" si="28"/>
        <v>#REF!</v>
      </c>
      <c r="H79" s="125" t="e">
        <f t="shared" si="29"/>
        <v>#REF!</v>
      </c>
      <c r="I79" s="121" t="e">
        <f t="shared" si="30"/>
        <v>#REF!</v>
      </c>
      <c r="J79" s="117" t="e">
        <f t="shared" si="22"/>
        <v>#REF!</v>
      </c>
      <c r="K79" s="125"/>
      <c r="L79" s="125" t="e">
        <f t="shared" si="31"/>
        <v>#REF!</v>
      </c>
      <c r="M79" s="125" t="e">
        <f t="shared" si="32"/>
        <v>#REF!</v>
      </c>
      <c r="N79" s="42"/>
    </row>
    <row r="80" spans="1:14" hidden="1" x14ac:dyDescent="0.2">
      <c r="A80" s="39" t="s">
        <v>131</v>
      </c>
      <c r="B80" s="2" t="e">
        <f t="shared" si="23"/>
        <v>#REF!</v>
      </c>
      <c r="C80" s="2" t="e">
        <f t="shared" si="24"/>
        <v>#REF!</v>
      </c>
      <c r="D80" s="40" t="e">
        <f t="shared" si="25"/>
        <v>#REF!</v>
      </c>
      <c r="E80" s="127" t="e">
        <f t="shared" si="26"/>
        <v>#REF!</v>
      </c>
      <c r="F80" s="119" t="e">
        <f t="shared" si="27"/>
        <v>#REF!</v>
      </c>
      <c r="G80" s="123" t="e">
        <f t="shared" si="28"/>
        <v>#REF!</v>
      </c>
      <c r="H80" s="125" t="e">
        <f t="shared" si="29"/>
        <v>#REF!</v>
      </c>
      <c r="I80" s="121" t="e">
        <f t="shared" si="30"/>
        <v>#REF!</v>
      </c>
      <c r="J80" s="117" t="e">
        <f t="shared" si="22"/>
        <v>#REF!</v>
      </c>
      <c r="K80" s="125"/>
      <c r="L80" s="125" t="e">
        <f t="shared" si="31"/>
        <v>#REF!</v>
      </c>
      <c r="M80" s="125" t="e">
        <f t="shared" si="32"/>
        <v>#REF!</v>
      </c>
      <c r="N80" s="42"/>
    </row>
    <row r="81" spans="1:14" hidden="1" x14ac:dyDescent="0.2">
      <c r="A81" s="39" t="s">
        <v>132</v>
      </c>
      <c r="B81" s="2" t="e">
        <f t="shared" si="23"/>
        <v>#REF!</v>
      </c>
      <c r="C81" s="2" t="e">
        <f t="shared" si="24"/>
        <v>#REF!</v>
      </c>
      <c r="D81" s="40" t="e">
        <f t="shared" si="25"/>
        <v>#REF!</v>
      </c>
      <c r="E81" s="127" t="e">
        <f t="shared" si="26"/>
        <v>#REF!</v>
      </c>
      <c r="F81" s="119" t="e">
        <f t="shared" si="27"/>
        <v>#REF!</v>
      </c>
      <c r="G81" s="123" t="e">
        <f t="shared" si="28"/>
        <v>#REF!</v>
      </c>
      <c r="H81" s="125" t="e">
        <f t="shared" si="29"/>
        <v>#REF!</v>
      </c>
      <c r="I81" s="121" t="e">
        <f t="shared" si="30"/>
        <v>#REF!</v>
      </c>
      <c r="J81" s="117" t="e">
        <f t="shared" si="22"/>
        <v>#REF!</v>
      </c>
      <c r="K81" s="125"/>
      <c r="L81" s="125" t="e">
        <f t="shared" si="31"/>
        <v>#REF!</v>
      </c>
      <c r="M81" s="125" t="e">
        <f t="shared" si="32"/>
        <v>#REF!</v>
      </c>
      <c r="N81" s="42"/>
    </row>
    <row r="82" spans="1:14" hidden="1" x14ac:dyDescent="0.2">
      <c r="A82" s="39" t="s">
        <v>133</v>
      </c>
      <c r="B82" s="2" t="e">
        <f t="shared" si="23"/>
        <v>#REF!</v>
      </c>
      <c r="C82" s="2" t="e">
        <f t="shared" si="24"/>
        <v>#REF!</v>
      </c>
      <c r="D82" s="40" t="e">
        <f t="shared" si="25"/>
        <v>#REF!</v>
      </c>
      <c r="E82" s="127" t="e">
        <f t="shared" si="26"/>
        <v>#REF!</v>
      </c>
      <c r="F82" s="119" t="e">
        <f t="shared" si="27"/>
        <v>#REF!</v>
      </c>
      <c r="G82" s="123" t="e">
        <f t="shared" si="28"/>
        <v>#REF!</v>
      </c>
      <c r="H82" s="125" t="e">
        <f t="shared" si="29"/>
        <v>#REF!</v>
      </c>
      <c r="I82" s="121" t="e">
        <f t="shared" si="30"/>
        <v>#REF!</v>
      </c>
      <c r="J82" s="117" t="e">
        <f t="shared" si="22"/>
        <v>#REF!</v>
      </c>
      <c r="K82" s="125"/>
      <c r="L82" s="125" t="e">
        <f t="shared" si="31"/>
        <v>#REF!</v>
      </c>
      <c r="M82" s="125" t="e">
        <f t="shared" si="32"/>
        <v>#REF!</v>
      </c>
      <c r="N82" s="42"/>
    </row>
    <row r="83" spans="1:14" hidden="1" x14ac:dyDescent="0.2">
      <c r="A83" s="39" t="s">
        <v>134</v>
      </c>
      <c r="B83" s="2" t="e">
        <f t="shared" si="23"/>
        <v>#REF!</v>
      </c>
      <c r="C83" s="2" t="e">
        <f t="shared" si="24"/>
        <v>#REF!</v>
      </c>
      <c r="D83" s="40" t="e">
        <f t="shared" si="25"/>
        <v>#REF!</v>
      </c>
      <c r="E83" s="127" t="e">
        <f t="shared" si="26"/>
        <v>#REF!</v>
      </c>
      <c r="F83" s="119" t="e">
        <f t="shared" si="27"/>
        <v>#REF!</v>
      </c>
      <c r="G83" s="123" t="e">
        <f t="shared" si="28"/>
        <v>#REF!</v>
      </c>
      <c r="H83" s="125" t="e">
        <f t="shared" si="29"/>
        <v>#REF!</v>
      </c>
      <c r="I83" s="121" t="e">
        <f t="shared" si="30"/>
        <v>#REF!</v>
      </c>
      <c r="J83" s="117" t="e">
        <f t="shared" si="22"/>
        <v>#REF!</v>
      </c>
      <c r="K83" s="125"/>
      <c r="L83" s="125" t="e">
        <f t="shared" si="31"/>
        <v>#REF!</v>
      </c>
      <c r="M83" s="125" t="e">
        <f t="shared" si="32"/>
        <v>#REF!</v>
      </c>
      <c r="N83" s="42"/>
    </row>
    <row r="84" spans="1:14" hidden="1" x14ac:dyDescent="0.2">
      <c r="A84" s="39" t="s">
        <v>135</v>
      </c>
      <c r="B84" s="2" t="e">
        <f t="shared" si="23"/>
        <v>#REF!</v>
      </c>
      <c r="C84" s="2" t="e">
        <f t="shared" si="24"/>
        <v>#REF!</v>
      </c>
      <c r="D84" s="40" t="e">
        <f t="shared" si="25"/>
        <v>#REF!</v>
      </c>
      <c r="E84" s="127" t="e">
        <f t="shared" si="26"/>
        <v>#REF!</v>
      </c>
      <c r="F84" s="119" t="e">
        <f t="shared" si="27"/>
        <v>#REF!</v>
      </c>
      <c r="G84" s="123" t="e">
        <f t="shared" si="28"/>
        <v>#REF!</v>
      </c>
      <c r="H84" s="125" t="e">
        <f t="shared" si="29"/>
        <v>#REF!</v>
      </c>
      <c r="I84" s="121" t="e">
        <f t="shared" si="30"/>
        <v>#REF!</v>
      </c>
      <c r="J84" s="117" t="e">
        <f t="shared" si="22"/>
        <v>#REF!</v>
      </c>
      <c r="K84" s="125"/>
      <c r="L84" s="125" t="e">
        <f t="shared" si="31"/>
        <v>#REF!</v>
      </c>
      <c r="M84" s="125" t="e">
        <f t="shared" si="32"/>
        <v>#REF!</v>
      </c>
      <c r="N84" s="42"/>
    </row>
    <row r="85" spans="1:14" hidden="1" x14ac:dyDescent="0.2">
      <c r="A85" s="39" t="s">
        <v>136</v>
      </c>
      <c r="B85" s="2" t="e">
        <f t="shared" si="23"/>
        <v>#REF!</v>
      </c>
      <c r="C85" s="2" t="e">
        <f t="shared" si="24"/>
        <v>#REF!</v>
      </c>
      <c r="D85" s="40" t="e">
        <f t="shared" si="25"/>
        <v>#REF!</v>
      </c>
      <c r="E85" s="127" t="e">
        <f t="shared" si="26"/>
        <v>#REF!</v>
      </c>
      <c r="F85" s="119" t="e">
        <f t="shared" si="27"/>
        <v>#REF!</v>
      </c>
      <c r="G85" s="123" t="e">
        <f t="shared" si="28"/>
        <v>#REF!</v>
      </c>
      <c r="H85" s="125" t="e">
        <f t="shared" si="29"/>
        <v>#REF!</v>
      </c>
      <c r="I85" s="121" t="e">
        <f t="shared" si="30"/>
        <v>#REF!</v>
      </c>
      <c r="J85" s="117" t="e">
        <f t="shared" si="22"/>
        <v>#REF!</v>
      </c>
      <c r="K85" s="125"/>
      <c r="L85" s="125" t="e">
        <f t="shared" si="31"/>
        <v>#REF!</v>
      </c>
      <c r="M85" s="125" t="e">
        <f t="shared" si="32"/>
        <v>#REF!</v>
      </c>
      <c r="N85" s="42"/>
    </row>
    <row r="86" spans="1:14" hidden="1" x14ac:dyDescent="0.2">
      <c r="A86" s="39" t="s">
        <v>137</v>
      </c>
      <c r="B86" s="2" t="e">
        <f t="shared" si="23"/>
        <v>#REF!</v>
      </c>
      <c r="C86" s="2" t="e">
        <f t="shared" si="24"/>
        <v>#REF!</v>
      </c>
      <c r="D86" s="40" t="e">
        <f t="shared" si="25"/>
        <v>#REF!</v>
      </c>
      <c r="E86" s="127" t="e">
        <f t="shared" si="26"/>
        <v>#REF!</v>
      </c>
      <c r="F86" s="119" t="e">
        <f t="shared" si="27"/>
        <v>#REF!</v>
      </c>
      <c r="G86" s="123" t="e">
        <f t="shared" si="28"/>
        <v>#REF!</v>
      </c>
      <c r="H86" s="125" t="e">
        <f t="shared" si="29"/>
        <v>#REF!</v>
      </c>
      <c r="I86" s="121" t="e">
        <f t="shared" si="30"/>
        <v>#REF!</v>
      </c>
      <c r="J86" s="117" t="e">
        <f t="shared" si="22"/>
        <v>#REF!</v>
      </c>
      <c r="K86" s="125"/>
      <c r="L86" s="125" t="e">
        <f t="shared" si="31"/>
        <v>#REF!</v>
      </c>
      <c r="M86" s="125" t="e">
        <f t="shared" si="32"/>
        <v>#REF!</v>
      </c>
      <c r="N86" s="42"/>
    </row>
    <row r="87" spans="1:14" hidden="1" x14ac:dyDescent="0.2">
      <c r="A87" s="39" t="s">
        <v>138</v>
      </c>
      <c r="B87" s="2" t="e">
        <f t="shared" si="23"/>
        <v>#REF!</v>
      </c>
      <c r="C87" s="2" t="e">
        <f t="shared" si="24"/>
        <v>#REF!</v>
      </c>
      <c r="D87" s="40" t="e">
        <f t="shared" si="25"/>
        <v>#REF!</v>
      </c>
      <c r="E87" s="127" t="e">
        <f t="shared" si="26"/>
        <v>#REF!</v>
      </c>
      <c r="F87" s="119" t="e">
        <f t="shared" si="27"/>
        <v>#REF!</v>
      </c>
      <c r="G87" s="123" t="e">
        <f t="shared" si="28"/>
        <v>#REF!</v>
      </c>
      <c r="H87" s="125" t="e">
        <f t="shared" si="29"/>
        <v>#REF!</v>
      </c>
      <c r="I87" s="121" t="e">
        <f t="shared" si="30"/>
        <v>#REF!</v>
      </c>
      <c r="J87" s="117" t="e">
        <f t="shared" si="22"/>
        <v>#REF!</v>
      </c>
      <c r="K87" s="125"/>
      <c r="L87" s="125" t="e">
        <f t="shared" si="31"/>
        <v>#REF!</v>
      </c>
      <c r="M87" s="125" t="e">
        <f t="shared" si="32"/>
        <v>#REF!</v>
      </c>
      <c r="N87" s="42"/>
    </row>
    <row r="88" spans="1:14" hidden="1" x14ac:dyDescent="0.2">
      <c r="A88" s="39" t="s">
        <v>139</v>
      </c>
      <c r="B88" s="2" t="e">
        <f t="shared" si="23"/>
        <v>#REF!</v>
      </c>
      <c r="C88" s="2" t="e">
        <f t="shared" si="24"/>
        <v>#REF!</v>
      </c>
      <c r="D88" s="40" t="e">
        <f t="shared" si="25"/>
        <v>#REF!</v>
      </c>
      <c r="E88" s="127" t="e">
        <f t="shared" si="26"/>
        <v>#REF!</v>
      </c>
      <c r="F88" s="119" t="e">
        <f t="shared" si="27"/>
        <v>#REF!</v>
      </c>
      <c r="G88" s="123" t="e">
        <f t="shared" si="28"/>
        <v>#REF!</v>
      </c>
      <c r="H88" s="125" t="e">
        <f t="shared" si="29"/>
        <v>#REF!</v>
      </c>
      <c r="I88" s="121" t="e">
        <f t="shared" si="30"/>
        <v>#REF!</v>
      </c>
      <c r="J88" s="117" t="e">
        <f t="shared" si="22"/>
        <v>#REF!</v>
      </c>
      <c r="K88" s="125"/>
      <c r="L88" s="125" t="e">
        <f t="shared" si="31"/>
        <v>#REF!</v>
      </c>
      <c r="M88" s="125" t="e">
        <f t="shared" si="32"/>
        <v>#REF!</v>
      </c>
      <c r="N88" s="42"/>
    </row>
    <row r="89" spans="1:14" hidden="1" x14ac:dyDescent="0.2">
      <c r="A89" s="39" t="s">
        <v>140</v>
      </c>
      <c r="B89" s="2" t="e">
        <f t="shared" si="23"/>
        <v>#REF!</v>
      </c>
      <c r="C89" s="2" t="e">
        <f t="shared" si="24"/>
        <v>#REF!</v>
      </c>
      <c r="D89" s="40" t="e">
        <f t="shared" si="25"/>
        <v>#REF!</v>
      </c>
      <c r="E89" s="127" t="e">
        <f t="shared" si="26"/>
        <v>#REF!</v>
      </c>
      <c r="F89" s="119" t="e">
        <f t="shared" si="27"/>
        <v>#REF!</v>
      </c>
      <c r="G89" s="123" t="e">
        <f t="shared" si="28"/>
        <v>#REF!</v>
      </c>
      <c r="H89" s="125" t="e">
        <f t="shared" si="29"/>
        <v>#REF!</v>
      </c>
      <c r="I89" s="121" t="e">
        <f t="shared" si="30"/>
        <v>#REF!</v>
      </c>
      <c r="J89" s="117" t="e">
        <f t="shared" si="22"/>
        <v>#REF!</v>
      </c>
      <c r="K89" s="125"/>
      <c r="L89" s="125" t="e">
        <f t="shared" si="31"/>
        <v>#REF!</v>
      </c>
      <c r="M89" s="125" t="e">
        <f t="shared" si="32"/>
        <v>#REF!</v>
      </c>
      <c r="N89" s="42"/>
    </row>
    <row r="90" spans="1:14" hidden="1" x14ac:dyDescent="0.2">
      <c r="A90" s="39" t="s">
        <v>141</v>
      </c>
      <c r="B90" s="2" t="e">
        <f t="shared" si="23"/>
        <v>#REF!</v>
      </c>
      <c r="C90" s="2" t="e">
        <f t="shared" si="24"/>
        <v>#REF!</v>
      </c>
      <c r="D90" s="40" t="e">
        <f t="shared" si="25"/>
        <v>#REF!</v>
      </c>
      <c r="E90" s="127" t="e">
        <f t="shared" si="26"/>
        <v>#REF!</v>
      </c>
      <c r="F90" s="119" t="e">
        <f t="shared" si="27"/>
        <v>#REF!</v>
      </c>
      <c r="G90" s="123" t="e">
        <f t="shared" si="28"/>
        <v>#REF!</v>
      </c>
      <c r="H90" s="125" t="e">
        <f t="shared" si="29"/>
        <v>#REF!</v>
      </c>
      <c r="I90" s="121" t="e">
        <f t="shared" si="30"/>
        <v>#REF!</v>
      </c>
      <c r="J90" s="117" t="e">
        <f t="shared" si="22"/>
        <v>#REF!</v>
      </c>
      <c r="K90" s="125"/>
      <c r="L90" s="125" t="e">
        <f t="shared" si="31"/>
        <v>#REF!</v>
      </c>
      <c r="M90" s="125" t="e">
        <f t="shared" si="32"/>
        <v>#REF!</v>
      </c>
      <c r="N90" s="42"/>
    </row>
    <row r="91" spans="1:14" hidden="1" x14ac:dyDescent="0.2">
      <c r="A91" s="39" t="s">
        <v>142</v>
      </c>
      <c r="B91" s="2" t="e">
        <f t="shared" si="23"/>
        <v>#REF!</v>
      </c>
      <c r="C91" s="2" t="e">
        <f t="shared" si="24"/>
        <v>#REF!</v>
      </c>
      <c r="D91" s="40" t="e">
        <f t="shared" si="25"/>
        <v>#REF!</v>
      </c>
      <c r="E91" s="127" t="e">
        <f t="shared" si="26"/>
        <v>#REF!</v>
      </c>
      <c r="F91" s="119" t="e">
        <f t="shared" si="27"/>
        <v>#REF!</v>
      </c>
      <c r="G91" s="123" t="e">
        <f t="shared" si="28"/>
        <v>#REF!</v>
      </c>
      <c r="H91" s="125" t="e">
        <f t="shared" si="29"/>
        <v>#REF!</v>
      </c>
      <c r="I91" s="121" t="e">
        <f t="shared" si="30"/>
        <v>#REF!</v>
      </c>
      <c r="J91" s="117" t="e">
        <f t="shared" si="22"/>
        <v>#REF!</v>
      </c>
      <c r="K91" s="125"/>
      <c r="L91" s="125" t="e">
        <f t="shared" si="31"/>
        <v>#REF!</v>
      </c>
      <c r="M91" s="125" t="e">
        <f t="shared" si="32"/>
        <v>#REF!</v>
      </c>
      <c r="N91" s="42"/>
    </row>
    <row r="92" spans="1:14" hidden="1" x14ac:dyDescent="0.2">
      <c r="A92" s="39" t="s">
        <v>143</v>
      </c>
      <c r="B92" s="2" t="e">
        <f t="shared" si="23"/>
        <v>#REF!</v>
      </c>
      <c r="C92" s="2" t="e">
        <f t="shared" si="24"/>
        <v>#REF!</v>
      </c>
      <c r="D92" s="40" t="e">
        <f t="shared" si="25"/>
        <v>#REF!</v>
      </c>
      <c r="E92" s="127" t="e">
        <f t="shared" si="26"/>
        <v>#REF!</v>
      </c>
      <c r="F92" s="119" t="e">
        <f t="shared" si="27"/>
        <v>#REF!</v>
      </c>
      <c r="G92" s="123" t="e">
        <f t="shared" si="28"/>
        <v>#REF!</v>
      </c>
      <c r="H92" s="125" t="e">
        <f t="shared" si="29"/>
        <v>#REF!</v>
      </c>
      <c r="I92" s="121" t="e">
        <f t="shared" si="30"/>
        <v>#REF!</v>
      </c>
      <c r="J92" s="117" t="e">
        <f t="shared" si="22"/>
        <v>#REF!</v>
      </c>
      <c r="K92" s="125"/>
      <c r="L92" s="125" t="e">
        <f t="shared" si="31"/>
        <v>#REF!</v>
      </c>
      <c r="M92" s="125" t="e">
        <f t="shared" si="32"/>
        <v>#REF!</v>
      </c>
      <c r="N92" s="42"/>
    </row>
    <row r="93" spans="1:14" hidden="1" x14ac:dyDescent="0.2">
      <c r="A93" s="39" t="s">
        <v>144</v>
      </c>
      <c r="B93" s="2" t="e">
        <f t="shared" si="23"/>
        <v>#REF!</v>
      </c>
      <c r="C93" s="2" t="e">
        <f t="shared" si="24"/>
        <v>#REF!</v>
      </c>
      <c r="D93" s="40" t="e">
        <f t="shared" si="25"/>
        <v>#REF!</v>
      </c>
      <c r="E93" s="127" t="e">
        <f t="shared" si="26"/>
        <v>#REF!</v>
      </c>
      <c r="F93" s="119" t="e">
        <f t="shared" si="27"/>
        <v>#REF!</v>
      </c>
      <c r="G93" s="123" t="e">
        <f t="shared" si="28"/>
        <v>#REF!</v>
      </c>
      <c r="H93" s="125" t="e">
        <f t="shared" si="29"/>
        <v>#REF!</v>
      </c>
      <c r="I93" s="121" t="e">
        <f t="shared" si="30"/>
        <v>#REF!</v>
      </c>
      <c r="J93" s="117" t="e">
        <f t="shared" si="22"/>
        <v>#REF!</v>
      </c>
      <c r="K93" s="125"/>
      <c r="L93" s="125" t="e">
        <f t="shared" si="31"/>
        <v>#REF!</v>
      </c>
      <c r="M93" s="125" t="e">
        <f t="shared" si="32"/>
        <v>#REF!</v>
      </c>
      <c r="N93" s="42"/>
    </row>
    <row r="94" spans="1:14" hidden="1" x14ac:dyDescent="0.2">
      <c r="A94" s="39" t="s">
        <v>145</v>
      </c>
      <c r="B94" s="2" t="e">
        <f t="shared" si="23"/>
        <v>#REF!</v>
      </c>
      <c r="C94" s="2" t="e">
        <f t="shared" si="24"/>
        <v>#REF!</v>
      </c>
      <c r="D94" s="40" t="e">
        <f t="shared" si="25"/>
        <v>#REF!</v>
      </c>
      <c r="E94" s="127" t="e">
        <f t="shared" si="26"/>
        <v>#REF!</v>
      </c>
      <c r="F94" s="119" t="e">
        <f t="shared" si="27"/>
        <v>#REF!</v>
      </c>
      <c r="G94" s="123" t="e">
        <f t="shared" si="28"/>
        <v>#REF!</v>
      </c>
      <c r="H94" s="125" t="e">
        <f t="shared" si="29"/>
        <v>#REF!</v>
      </c>
      <c r="I94" s="121" t="e">
        <f t="shared" si="30"/>
        <v>#REF!</v>
      </c>
      <c r="J94" s="117" t="e">
        <f t="shared" si="22"/>
        <v>#REF!</v>
      </c>
      <c r="K94" s="125"/>
      <c r="L94" s="125" t="e">
        <f t="shared" si="31"/>
        <v>#REF!</v>
      </c>
      <c r="M94" s="125" t="e">
        <f t="shared" si="32"/>
        <v>#REF!</v>
      </c>
      <c r="N94" s="42"/>
    </row>
    <row r="95" spans="1:14" x14ac:dyDescent="0.2">
      <c r="A95" s="39" t="s">
        <v>146</v>
      </c>
      <c r="B95" s="2" t="e">
        <f t="shared" si="23"/>
        <v>#REF!</v>
      </c>
      <c r="C95" s="2" t="e">
        <f t="shared" si="24"/>
        <v>#REF!</v>
      </c>
      <c r="D95" s="40" t="e">
        <f t="shared" si="25"/>
        <v>#REF!</v>
      </c>
      <c r="E95" s="127" t="e">
        <f t="shared" si="26"/>
        <v>#REF!</v>
      </c>
      <c r="F95" s="119" t="e">
        <f t="shared" si="27"/>
        <v>#REF!</v>
      </c>
      <c r="G95" s="123" t="e">
        <f t="shared" si="28"/>
        <v>#REF!</v>
      </c>
      <c r="H95" s="125" t="e">
        <f t="shared" si="29"/>
        <v>#REF!</v>
      </c>
      <c r="I95" s="121" t="e">
        <f t="shared" si="30"/>
        <v>#REF!</v>
      </c>
      <c r="J95" s="117" t="e">
        <f t="shared" si="22"/>
        <v>#REF!</v>
      </c>
      <c r="K95" s="125"/>
      <c r="L95" s="125" t="e">
        <f t="shared" si="31"/>
        <v>#REF!</v>
      </c>
      <c r="M95" s="125" t="e">
        <f t="shared" si="32"/>
        <v>#REF!</v>
      </c>
      <c r="N95" s="42"/>
    </row>
    <row r="96" spans="1:14" hidden="1" x14ac:dyDescent="0.2">
      <c r="A96" s="39" t="s">
        <v>147</v>
      </c>
      <c r="B96" s="2" t="e">
        <f t="shared" si="23"/>
        <v>#REF!</v>
      </c>
      <c r="C96" s="2" t="e">
        <f t="shared" si="24"/>
        <v>#REF!</v>
      </c>
      <c r="D96" s="40" t="e">
        <f t="shared" si="25"/>
        <v>#REF!</v>
      </c>
      <c r="E96" s="127" t="e">
        <f t="shared" si="26"/>
        <v>#REF!</v>
      </c>
      <c r="F96" s="119" t="e">
        <f t="shared" si="27"/>
        <v>#REF!</v>
      </c>
      <c r="G96" s="123" t="e">
        <f t="shared" si="28"/>
        <v>#REF!</v>
      </c>
      <c r="H96" s="125" t="e">
        <f t="shared" si="29"/>
        <v>#REF!</v>
      </c>
      <c r="I96" s="121" t="e">
        <f t="shared" si="30"/>
        <v>#REF!</v>
      </c>
      <c r="J96" s="117" t="e">
        <f t="shared" si="22"/>
        <v>#REF!</v>
      </c>
      <c r="K96" s="125"/>
      <c r="L96" s="125" t="e">
        <f t="shared" si="31"/>
        <v>#REF!</v>
      </c>
      <c r="M96" s="125" t="e">
        <f t="shared" si="32"/>
        <v>#REF!</v>
      </c>
      <c r="N96" s="42"/>
    </row>
    <row r="97" spans="1:14" hidden="1" x14ac:dyDescent="0.2">
      <c r="A97" s="39" t="s">
        <v>148</v>
      </c>
      <c r="B97" s="2" t="e">
        <f t="shared" si="23"/>
        <v>#REF!</v>
      </c>
      <c r="C97" s="2" t="e">
        <f t="shared" si="24"/>
        <v>#REF!</v>
      </c>
      <c r="D97" s="40" t="e">
        <f t="shared" si="25"/>
        <v>#REF!</v>
      </c>
      <c r="E97" s="127" t="e">
        <f t="shared" si="26"/>
        <v>#REF!</v>
      </c>
      <c r="F97" s="119" t="e">
        <f t="shared" si="27"/>
        <v>#REF!</v>
      </c>
      <c r="G97" s="123" t="e">
        <f t="shared" si="28"/>
        <v>#REF!</v>
      </c>
      <c r="H97" s="125" t="e">
        <f t="shared" si="29"/>
        <v>#REF!</v>
      </c>
      <c r="I97" s="121" t="e">
        <f t="shared" si="30"/>
        <v>#REF!</v>
      </c>
      <c r="J97" s="117" t="e">
        <f t="shared" si="22"/>
        <v>#REF!</v>
      </c>
      <c r="K97" s="125"/>
      <c r="L97" s="125" t="e">
        <f t="shared" si="31"/>
        <v>#REF!</v>
      </c>
      <c r="M97" s="125" t="e">
        <f t="shared" si="32"/>
        <v>#REF!</v>
      </c>
      <c r="N97" s="42"/>
    </row>
    <row r="98" spans="1:14" hidden="1" x14ac:dyDescent="0.2">
      <c r="A98" s="39" t="s">
        <v>149</v>
      </c>
      <c r="B98" s="2" t="e">
        <f t="shared" si="23"/>
        <v>#REF!</v>
      </c>
      <c r="C98" s="2" t="e">
        <f t="shared" si="24"/>
        <v>#REF!</v>
      </c>
      <c r="D98" s="40" t="e">
        <f t="shared" si="25"/>
        <v>#REF!</v>
      </c>
      <c r="E98" s="127" t="e">
        <f t="shared" si="26"/>
        <v>#REF!</v>
      </c>
      <c r="F98" s="119" t="e">
        <f t="shared" si="27"/>
        <v>#REF!</v>
      </c>
      <c r="G98" s="123" t="e">
        <f t="shared" si="28"/>
        <v>#REF!</v>
      </c>
      <c r="H98" s="125" t="e">
        <f t="shared" si="29"/>
        <v>#REF!</v>
      </c>
      <c r="I98" s="121" t="e">
        <f t="shared" si="30"/>
        <v>#REF!</v>
      </c>
      <c r="J98" s="117" t="e">
        <f t="shared" si="22"/>
        <v>#REF!</v>
      </c>
      <c r="K98" s="125"/>
      <c r="L98" s="125" t="e">
        <f t="shared" si="31"/>
        <v>#REF!</v>
      </c>
      <c r="M98" s="125" t="e">
        <f t="shared" si="32"/>
        <v>#REF!</v>
      </c>
      <c r="N98" s="42"/>
    </row>
    <row r="99" spans="1:14" hidden="1" x14ac:dyDescent="0.2">
      <c r="A99" s="39" t="s">
        <v>150</v>
      </c>
      <c r="B99" s="2" t="e">
        <f t="shared" si="23"/>
        <v>#REF!</v>
      </c>
      <c r="C99" s="2" t="e">
        <f t="shared" si="24"/>
        <v>#REF!</v>
      </c>
      <c r="D99" s="40" t="e">
        <f t="shared" si="25"/>
        <v>#REF!</v>
      </c>
      <c r="E99" s="127" t="e">
        <f t="shared" si="26"/>
        <v>#REF!</v>
      </c>
      <c r="F99" s="119" t="e">
        <f t="shared" si="27"/>
        <v>#REF!</v>
      </c>
      <c r="G99" s="123" t="e">
        <f t="shared" si="28"/>
        <v>#REF!</v>
      </c>
      <c r="H99" s="125" t="e">
        <f t="shared" si="29"/>
        <v>#REF!</v>
      </c>
      <c r="I99" s="121" t="e">
        <f t="shared" si="30"/>
        <v>#REF!</v>
      </c>
      <c r="J99" s="117" t="e">
        <f t="shared" ref="J99:J118" si="33">IF(D99="YES",INDEX(Crop_data,MATCH(A99,Crop_data_codes,0),11)*Heating_value_diesel*EF_diesel_N2O/INDEX(Crop_data,MATCH(A99,Crop_data_codes,0),6),"")</f>
        <v>#REF!</v>
      </c>
      <c r="K99" s="125"/>
      <c r="L99" s="125" t="e">
        <f t="shared" si="31"/>
        <v>#REF!</v>
      </c>
      <c r="M99" s="125" t="e">
        <f t="shared" si="32"/>
        <v>#REF!</v>
      </c>
      <c r="N99" s="42"/>
    </row>
    <row r="100" spans="1:14" hidden="1" x14ac:dyDescent="0.2">
      <c r="A100" s="39" t="s">
        <v>151</v>
      </c>
      <c r="B100" s="2" t="e">
        <f t="shared" si="23"/>
        <v>#REF!</v>
      </c>
      <c r="C100" s="2" t="e">
        <f t="shared" si="24"/>
        <v>#REF!</v>
      </c>
      <c r="D100" s="40" t="e">
        <f t="shared" si="25"/>
        <v>#REF!</v>
      </c>
      <c r="E100" s="127" t="e">
        <f t="shared" si="26"/>
        <v>#REF!</v>
      </c>
      <c r="F100" s="119" t="e">
        <f t="shared" si="27"/>
        <v>#REF!</v>
      </c>
      <c r="G100" s="123" t="e">
        <f t="shared" si="28"/>
        <v>#REF!</v>
      </c>
      <c r="H100" s="125" t="e">
        <f t="shared" si="29"/>
        <v>#REF!</v>
      </c>
      <c r="I100" s="121" t="e">
        <f t="shared" si="30"/>
        <v>#REF!</v>
      </c>
      <c r="J100" s="117" t="e">
        <f t="shared" si="33"/>
        <v>#REF!</v>
      </c>
      <c r="K100" s="125"/>
      <c r="L100" s="125" t="e">
        <f t="shared" si="31"/>
        <v>#REF!</v>
      </c>
      <c r="M100" s="125" t="e">
        <f t="shared" si="32"/>
        <v>#REF!</v>
      </c>
      <c r="N100" s="42"/>
    </row>
    <row r="101" spans="1:14" hidden="1" x14ac:dyDescent="0.2">
      <c r="A101" s="39" t="s">
        <v>152</v>
      </c>
      <c r="B101" s="2" t="e">
        <f t="shared" si="23"/>
        <v>#REF!</v>
      </c>
      <c r="C101" s="2" t="e">
        <f t="shared" si="24"/>
        <v>#REF!</v>
      </c>
      <c r="D101" s="40" t="e">
        <f t="shared" si="25"/>
        <v>#REF!</v>
      </c>
      <c r="E101" s="127" t="e">
        <f t="shared" si="26"/>
        <v>#REF!</v>
      </c>
      <c r="F101" s="119" t="e">
        <f t="shared" si="27"/>
        <v>#REF!</v>
      </c>
      <c r="G101" s="123" t="e">
        <f t="shared" si="28"/>
        <v>#REF!</v>
      </c>
      <c r="H101" s="125" t="e">
        <f t="shared" si="29"/>
        <v>#REF!</v>
      </c>
      <c r="I101" s="121" t="e">
        <f t="shared" si="30"/>
        <v>#REF!</v>
      </c>
      <c r="J101" s="117" t="e">
        <f t="shared" si="33"/>
        <v>#REF!</v>
      </c>
      <c r="K101" s="125"/>
      <c r="L101" s="125" t="e">
        <f t="shared" si="31"/>
        <v>#REF!</v>
      </c>
      <c r="M101" s="125" t="e">
        <f t="shared" si="32"/>
        <v>#REF!</v>
      </c>
      <c r="N101" s="42"/>
    </row>
    <row r="102" spans="1:14" hidden="1" x14ac:dyDescent="0.2">
      <c r="A102" s="39" t="s">
        <v>153</v>
      </c>
      <c r="B102" s="2" t="e">
        <f t="shared" ref="B102:B118" si="34">INDEX(Crop_data,MATCH(A102,Crop_data_codes,0),2)</f>
        <v>#REF!</v>
      </c>
      <c r="C102" s="2" t="e">
        <f t="shared" ref="C102:C118" si="35">INDEX(Crop_data,MATCH(A102,Crop_data_codes,0),3)</f>
        <v>#REF!</v>
      </c>
      <c r="D102" s="40" t="e">
        <f t="shared" ref="D102:D118" si="36">INDEX(Crop_data,MATCH(A102,Crop_data_codes,0),4)</f>
        <v>#REF!</v>
      </c>
      <c r="E102" s="127" t="e">
        <f t="shared" ref="E102:E118" si="37">IF(D102="Yes", SUM(F102:N102),"")</f>
        <v>#REF!</v>
      </c>
      <c r="F102" s="119" t="e">
        <f t="shared" ref="F102:F118" si="38">IF(D102="YES",INDEX(Crop_data,MATCH(A102,Crop_data_codes,0),7)*(Frac_BAT*EF_min_fert_BAT_N2O+Frac_AN*EF_min_fert_AN_N2O)/INDEX(Crop_data,MATCH(A102,Crop_data_codes,0),6),"")</f>
        <v>#REF!</v>
      </c>
      <c r="G102" s="123" t="e">
        <f t="shared" ref="G102:G118" si="39">IF(D102="YES",EF_capital_goods_N2O,"")</f>
        <v>#REF!</v>
      </c>
      <c r="H102" s="125" t="e">
        <f t="shared" ref="H102:H118" si="40">IF(D102="YES",(INDEX(Crop_data,MATCH(A102,Crop_data_codes,0),7)*EF_N2O_soils_min_fert+INDEX(Crop_data,MATCH(A102,Crop_data_codes,0),9)*EF_N2O_soils_crop_res)*44/28/INDEX(Crop_data,MATCH(A102,Crop_data_codes,0),6),"")</f>
        <v>#REF!</v>
      </c>
      <c r="I102" s="121" t="e">
        <f t="shared" ref="I102:I118" si="41">IF(D102="Yes",H102*EF_N2O_soils_indirect,"")</f>
        <v>#REF!</v>
      </c>
      <c r="J102" s="117" t="e">
        <f t="shared" si="33"/>
        <v>#REF!</v>
      </c>
      <c r="K102" s="125"/>
      <c r="L102" s="125" t="e">
        <f t="shared" si="31"/>
        <v>#REF!</v>
      </c>
      <c r="M102" s="125" t="e">
        <f t="shared" si="32"/>
        <v>#REF!</v>
      </c>
      <c r="N102" s="42"/>
    </row>
    <row r="103" spans="1:14" hidden="1" x14ac:dyDescent="0.2">
      <c r="A103" s="39" t="s">
        <v>154</v>
      </c>
      <c r="B103" s="2" t="e">
        <f t="shared" si="34"/>
        <v>#REF!</v>
      </c>
      <c r="C103" s="2" t="e">
        <f t="shared" si="35"/>
        <v>#REF!</v>
      </c>
      <c r="D103" s="40" t="e">
        <f t="shared" si="36"/>
        <v>#REF!</v>
      </c>
      <c r="E103" s="127" t="e">
        <f t="shared" si="37"/>
        <v>#REF!</v>
      </c>
      <c r="F103" s="119" t="e">
        <f t="shared" si="38"/>
        <v>#REF!</v>
      </c>
      <c r="G103" s="123" t="e">
        <f t="shared" si="39"/>
        <v>#REF!</v>
      </c>
      <c r="H103" s="125" t="e">
        <f t="shared" si="40"/>
        <v>#REF!</v>
      </c>
      <c r="I103" s="121" t="e">
        <f t="shared" si="41"/>
        <v>#REF!</v>
      </c>
      <c r="J103" s="117" t="e">
        <f t="shared" si="33"/>
        <v>#REF!</v>
      </c>
      <c r="K103" s="125"/>
      <c r="L103" s="125" t="e">
        <f t="shared" si="31"/>
        <v>#REF!</v>
      </c>
      <c r="M103" s="125" t="e">
        <f t="shared" si="32"/>
        <v>#REF!</v>
      </c>
      <c r="N103" s="42"/>
    </row>
    <row r="104" spans="1:14" hidden="1" x14ac:dyDescent="0.2">
      <c r="A104" s="39" t="s">
        <v>155</v>
      </c>
      <c r="B104" s="2" t="e">
        <f t="shared" si="34"/>
        <v>#REF!</v>
      </c>
      <c r="C104" s="2" t="e">
        <f t="shared" si="35"/>
        <v>#REF!</v>
      </c>
      <c r="D104" s="40" t="e">
        <f t="shared" si="36"/>
        <v>#REF!</v>
      </c>
      <c r="E104" s="127" t="e">
        <f t="shared" si="37"/>
        <v>#REF!</v>
      </c>
      <c r="F104" s="119" t="e">
        <f t="shared" si="38"/>
        <v>#REF!</v>
      </c>
      <c r="G104" s="123" t="e">
        <f t="shared" si="39"/>
        <v>#REF!</v>
      </c>
      <c r="H104" s="125" t="e">
        <f t="shared" si="40"/>
        <v>#REF!</v>
      </c>
      <c r="I104" s="121" t="e">
        <f t="shared" si="41"/>
        <v>#REF!</v>
      </c>
      <c r="J104" s="117" t="e">
        <f t="shared" si="33"/>
        <v>#REF!</v>
      </c>
      <c r="K104" s="125"/>
      <c r="L104" s="125" t="e">
        <f t="shared" si="31"/>
        <v>#REF!</v>
      </c>
      <c r="M104" s="125" t="e">
        <f t="shared" ref="M104:M118" si="42">IF(D104="Yes",INDEX(Post_harvest_energy_data,MATCH(C104,Post_harvest_energy_categories,0),2)*EF_heating_oil_N2O+INDEX(Post_harvest_energy_data,MATCH(C104,Post_harvest_energy_categories,0),3)*EF_electricity_N2O+INDEX(Post_harvest_energy_data,MATCH(C104,Post_harvest_energy_categories,0),4)*EF_chips_N2O,"")</f>
        <v>#REF!</v>
      </c>
      <c r="N104" s="42"/>
    </row>
    <row r="105" spans="1:14" hidden="1" x14ac:dyDescent="0.2">
      <c r="A105" s="39" t="s">
        <v>156</v>
      </c>
      <c r="B105" s="2" t="e">
        <f t="shared" si="34"/>
        <v>#REF!</v>
      </c>
      <c r="C105" s="2" t="e">
        <f t="shared" si="35"/>
        <v>#REF!</v>
      </c>
      <c r="D105" s="40" t="e">
        <f t="shared" si="36"/>
        <v>#REF!</v>
      </c>
      <c r="E105" s="127" t="e">
        <f t="shared" si="37"/>
        <v>#REF!</v>
      </c>
      <c r="F105" s="119" t="e">
        <f t="shared" si="38"/>
        <v>#REF!</v>
      </c>
      <c r="G105" s="123" t="e">
        <f t="shared" si="39"/>
        <v>#REF!</v>
      </c>
      <c r="H105" s="125" t="e">
        <f t="shared" si="40"/>
        <v>#REF!</v>
      </c>
      <c r="I105" s="121" t="e">
        <f t="shared" si="41"/>
        <v>#REF!</v>
      </c>
      <c r="J105" s="117" t="e">
        <f t="shared" si="33"/>
        <v>#REF!</v>
      </c>
      <c r="K105" s="125"/>
      <c r="L105" s="125" t="e">
        <f t="shared" si="31"/>
        <v>#REF!</v>
      </c>
      <c r="M105" s="125" t="e">
        <f t="shared" si="42"/>
        <v>#REF!</v>
      </c>
      <c r="N105" s="42"/>
    </row>
    <row r="106" spans="1:14" hidden="1" x14ac:dyDescent="0.2">
      <c r="A106" s="39" t="s">
        <v>157</v>
      </c>
      <c r="B106" s="2" t="e">
        <f t="shared" si="34"/>
        <v>#REF!</v>
      </c>
      <c r="C106" s="2" t="e">
        <f t="shared" si="35"/>
        <v>#REF!</v>
      </c>
      <c r="D106" s="40" t="e">
        <f t="shared" si="36"/>
        <v>#REF!</v>
      </c>
      <c r="E106" s="127" t="e">
        <f t="shared" si="37"/>
        <v>#REF!</v>
      </c>
      <c r="F106" s="119" t="e">
        <f t="shared" si="38"/>
        <v>#REF!</v>
      </c>
      <c r="G106" s="123" t="e">
        <f t="shared" si="39"/>
        <v>#REF!</v>
      </c>
      <c r="H106" s="125" t="e">
        <f t="shared" si="40"/>
        <v>#REF!</v>
      </c>
      <c r="I106" s="121" t="e">
        <f t="shared" si="41"/>
        <v>#REF!</v>
      </c>
      <c r="J106" s="117" t="e">
        <f t="shared" si="33"/>
        <v>#REF!</v>
      </c>
      <c r="K106" s="125" t="e">
        <f>Energy!C23/INDEX(Crop_data,MATCH(A106,Crop_data_codes,0),6)*INDEX(Crop_data,MATCH(A106,Crop_data_codes,0),5)/100</f>
        <v>#REF!</v>
      </c>
      <c r="L106" s="125"/>
      <c r="M106" s="125" t="e">
        <f t="shared" si="42"/>
        <v>#REF!</v>
      </c>
      <c r="N106" s="42"/>
    </row>
    <row r="107" spans="1:14" hidden="1" x14ac:dyDescent="0.2">
      <c r="A107" s="39" t="s">
        <v>158</v>
      </c>
      <c r="B107" s="2" t="e">
        <f t="shared" si="34"/>
        <v>#REF!</v>
      </c>
      <c r="C107" s="2" t="e">
        <f t="shared" si="35"/>
        <v>#REF!</v>
      </c>
      <c r="D107" s="40" t="e">
        <f t="shared" si="36"/>
        <v>#REF!</v>
      </c>
      <c r="E107" s="127" t="e">
        <f t="shared" si="37"/>
        <v>#REF!</v>
      </c>
      <c r="F107" s="119" t="e">
        <f t="shared" si="38"/>
        <v>#REF!</v>
      </c>
      <c r="G107" s="123" t="e">
        <f t="shared" si="39"/>
        <v>#REF!</v>
      </c>
      <c r="H107" s="125" t="e">
        <f t="shared" si="40"/>
        <v>#REF!</v>
      </c>
      <c r="I107" s="121" t="e">
        <f t="shared" si="41"/>
        <v>#REF!</v>
      </c>
      <c r="J107" s="117" t="e">
        <f t="shared" si="33"/>
        <v>#REF!</v>
      </c>
      <c r="K107" s="125" t="e">
        <f>Energy!C23/INDEX(Crop_data,MATCH(A107,Crop_data_codes,0),6)</f>
        <v>#REF!</v>
      </c>
      <c r="L107" s="125"/>
      <c r="M107" s="125" t="e">
        <f t="shared" si="42"/>
        <v>#REF!</v>
      </c>
      <c r="N107" s="42"/>
    </row>
    <row r="108" spans="1:14" hidden="1" x14ac:dyDescent="0.2">
      <c r="A108" s="39" t="s">
        <v>159</v>
      </c>
      <c r="B108" s="2" t="e">
        <f t="shared" si="34"/>
        <v>#REF!</v>
      </c>
      <c r="C108" s="2" t="e">
        <f t="shared" si="35"/>
        <v>#REF!</v>
      </c>
      <c r="D108" s="40" t="e">
        <f t="shared" si="36"/>
        <v>#REF!</v>
      </c>
      <c r="E108" s="127" t="e">
        <f t="shared" si="37"/>
        <v>#REF!</v>
      </c>
      <c r="F108" s="119" t="e">
        <f t="shared" si="38"/>
        <v>#REF!</v>
      </c>
      <c r="G108" s="123" t="e">
        <f t="shared" si="39"/>
        <v>#REF!</v>
      </c>
      <c r="H108" s="125" t="e">
        <f t="shared" si="40"/>
        <v>#REF!</v>
      </c>
      <c r="I108" s="121" t="e">
        <f t="shared" si="41"/>
        <v>#REF!</v>
      </c>
      <c r="J108" s="117" t="e">
        <f t="shared" si="33"/>
        <v>#REF!</v>
      </c>
      <c r="K108" s="125"/>
      <c r="L108" s="125" t="e">
        <f t="shared" ref="L108:L118" si="43">IF(D108="YES",INDEX(Crop_data,MATCH(A108,Crop_data_codes,0),12)*EF_irrigation_N2O/INDEX(Crop_data,MATCH(A108,Crop_data_codes,0),6),"")</f>
        <v>#REF!</v>
      </c>
      <c r="M108" s="125" t="e">
        <f t="shared" si="42"/>
        <v>#REF!</v>
      </c>
      <c r="N108" s="42"/>
    </row>
    <row r="109" spans="1:14" hidden="1" x14ac:dyDescent="0.2">
      <c r="A109" s="39" t="s">
        <v>160</v>
      </c>
      <c r="B109" s="2" t="e">
        <f t="shared" si="34"/>
        <v>#REF!</v>
      </c>
      <c r="C109" s="2" t="e">
        <f t="shared" si="35"/>
        <v>#REF!</v>
      </c>
      <c r="D109" s="40" t="e">
        <f t="shared" si="36"/>
        <v>#REF!</v>
      </c>
      <c r="E109" s="127" t="e">
        <f t="shared" si="37"/>
        <v>#REF!</v>
      </c>
      <c r="F109" s="119" t="e">
        <f t="shared" si="38"/>
        <v>#REF!</v>
      </c>
      <c r="G109" s="123" t="e">
        <f t="shared" si="39"/>
        <v>#REF!</v>
      </c>
      <c r="H109" s="125" t="e">
        <f t="shared" si="40"/>
        <v>#REF!</v>
      </c>
      <c r="I109" s="121" t="e">
        <f t="shared" si="41"/>
        <v>#REF!</v>
      </c>
      <c r="J109" s="117" t="e">
        <f t="shared" si="33"/>
        <v>#REF!</v>
      </c>
      <c r="K109" s="125"/>
      <c r="L109" s="125" t="e">
        <f t="shared" si="43"/>
        <v>#REF!</v>
      </c>
      <c r="M109" s="125" t="e">
        <f t="shared" si="42"/>
        <v>#REF!</v>
      </c>
      <c r="N109" s="42"/>
    </row>
    <row r="110" spans="1:14" hidden="1" x14ac:dyDescent="0.2">
      <c r="A110" s="39" t="s">
        <v>161</v>
      </c>
      <c r="B110" s="2" t="e">
        <f t="shared" si="34"/>
        <v>#REF!</v>
      </c>
      <c r="C110" s="2" t="e">
        <f t="shared" si="35"/>
        <v>#REF!</v>
      </c>
      <c r="D110" s="40" t="e">
        <f t="shared" si="36"/>
        <v>#REF!</v>
      </c>
      <c r="E110" s="127" t="e">
        <f t="shared" si="37"/>
        <v>#REF!</v>
      </c>
      <c r="F110" s="119" t="e">
        <f t="shared" si="38"/>
        <v>#REF!</v>
      </c>
      <c r="G110" s="123" t="e">
        <f t="shared" si="39"/>
        <v>#REF!</v>
      </c>
      <c r="H110" s="125" t="e">
        <f t="shared" si="40"/>
        <v>#REF!</v>
      </c>
      <c r="I110" s="121" t="e">
        <f t="shared" si="41"/>
        <v>#REF!</v>
      </c>
      <c r="J110" s="117" t="e">
        <f t="shared" si="33"/>
        <v>#REF!</v>
      </c>
      <c r="K110" s="125"/>
      <c r="L110" s="125" t="e">
        <f t="shared" si="43"/>
        <v>#REF!</v>
      </c>
      <c r="M110" s="125" t="e">
        <f t="shared" si="42"/>
        <v>#REF!</v>
      </c>
      <c r="N110" s="42"/>
    </row>
    <row r="111" spans="1:14" hidden="1" x14ac:dyDescent="0.2">
      <c r="A111" s="39" t="s">
        <v>162</v>
      </c>
      <c r="B111" s="2" t="e">
        <f t="shared" si="34"/>
        <v>#REF!</v>
      </c>
      <c r="C111" s="2" t="e">
        <f t="shared" si="35"/>
        <v>#REF!</v>
      </c>
      <c r="D111" s="40" t="e">
        <f t="shared" si="36"/>
        <v>#REF!</v>
      </c>
      <c r="E111" s="127" t="e">
        <f t="shared" si="37"/>
        <v>#REF!</v>
      </c>
      <c r="F111" s="119" t="e">
        <f t="shared" si="38"/>
        <v>#REF!</v>
      </c>
      <c r="G111" s="123" t="e">
        <f t="shared" si="39"/>
        <v>#REF!</v>
      </c>
      <c r="H111" s="125" t="e">
        <f t="shared" si="40"/>
        <v>#REF!</v>
      </c>
      <c r="I111" s="121" t="e">
        <f t="shared" si="41"/>
        <v>#REF!</v>
      </c>
      <c r="J111" s="117" t="e">
        <f t="shared" si="33"/>
        <v>#REF!</v>
      </c>
      <c r="K111" s="125"/>
      <c r="L111" s="125" t="e">
        <f t="shared" si="43"/>
        <v>#REF!</v>
      </c>
      <c r="M111" s="125" t="e">
        <f t="shared" si="42"/>
        <v>#REF!</v>
      </c>
      <c r="N111" s="42"/>
    </row>
    <row r="112" spans="1:14" hidden="1" x14ac:dyDescent="0.2">
      <c r="A112" s="39" t="s">
        <v>163</v>
      </c>
      <c r="B112" s="2" t="e">
        <f t="shared" si="34"/>
        <v>#REF!</v>
      </c>
      <c r="C112" s="2" t="e">
        <f t="shared" si="35"/>
        <v>#REF!</v>
      </c>
      <c r="D112" s="40" t="e">
        <f t="shared" si="36"/>
        <v>#REF!</v>
      </c>
      <c r="E112" s="127" t="e">
        <f t="shared" si="37"/>
        <v>#REF!</v>
      </c>
      <c r="F112" s="119" t="e">
        <f t="shared" si="38"/>
        <v>#REF!</v>
      </c>
      <c r="G112" s="123" t="e">
        <f t="shared" si="39"/>
        <v>#REF!</v>
      </c>
      <c r="H112" s="125" t="e">
        <f t="shared" si="40"/>
        <v>#REF!</v>
      </c>
      <c r="I112" s="121" t="e">
        <f t="shared" si="41"/>
        <v>#REF!</v>
      </c>
      <c r="J112" s="117" t="e">
        <f t="shared" si="33"/>
        <v>#REF!</v>
      </c>
      <c r="K112" s="125"/>
      <c r="L112" s="125" t="e">
        <f t="shared" si="43"/>
        <v>#REF!</v>
      </c>
      <c r="M112" s="125" t="e">
        <f t="shared" si="42"/>
        <v>#REF!</v>
      </c>
      <c r="N112" s="42"/>
    </row>
    <row r="113" spans="1:14" hidden="1" x14ac:dyDescent="0.2">
      <c r="A113" s="39" t="s">
        <v>164</v>
      </c>
      <c r="B113" s="2" t="e">
        <f t="shared" si="34"/>
        <v>#REF!</v>
      </c>
      <c r="C113" s="2" t="e">
        <f t="shared" si="35"/>
        <v>#REF!</v>
      </c>
      <c r="D113" s="40" t="e">
        <f t="shared" si="36"/>
        <v>#REF!</v>
      </c>
      <c r="E113" s="127" t="e">
        <f t="shared" si="37"/>
        <v>#REF!</v>
      </c>
      <c r="F113" s="119" t="e">
        <f t="shared" si="38"/>
        <v>#REF!</v>
      </c>
      <c r="G113" s="123" t="e">
        <f t="shared" si="39"/>
        <v>#REF!</v>
      </c>
      <c r="H113" s="125" t="e">
        <f t="shared" si="40"/>
        <v>#REF!</v>
      </c>
      <c r="I113" s="121" t="e">
        <f t="shared" si="41"/>
        <v>#REF!</v>
      </c>
      <c r="J113" s="117" t="e">
        <f t="shared" si="33"/>
        <v>#REF!</v>
      </c>
      <c r="K113" s="125"/>
      <c r="L113" s="125" t="e">
        <f t="shared" si="43"/>
        <v>#REF!</v>
      </c>
      <c r="M113" s="125" t="e">
        <f t="shared" si="42"/>
        <v>#REF!</v>
      </c>
      <c r="N113" s="42"/>
    </row>
    <row r="114" spans="1:14" hidden="1" x14ac:dyDescent="0.2">
      <c r="A114" s="39" t="s">
        <v>165</v>
      </c>
      <c r="B114" s="2" t="e">
        <f t="shared" si="34"/>
        <v>#REF!</v>
      </c>
      <c r="C114" s="2" t="e">
        <f t="shared" si="35"/>
        <v>#REF!</v>
      </c>
      <c r="D114" s="40" t="e">
        <f t="shared" si="36"/>
        <v>#REF!</v>
      </c>
      <c r="E114" s="127" t="e">
        <f t="shared" ref="E114:E115" si="44">IF(D114="Yes", SUM(F114:N114),"")</f>
        <v>#REF!</v>
      </c>
      <c r="F114" s="119" t="e">
        <f t="shared" si="38"/>
        <v>#REF!</v>
      </c>
      <c r="G114" s="123" t="e">
        <f t="shared" ref="G114:G115" si="45">IF(D114="YES",EF_capital_goods_N2O,"")</f>
        <v>#REF!</v>
      </c>
      <c r="H114" s="125" t="e">
        <f t="shared" si="40"/>
        <v>#REF!</v>
      </c>
      <c r="I114" s="121" t="e">
        <f t="shared" ref="I114:I115" si="46">IF(D114="Yes",H114*EF_N2O_soils_indirect,"")</f>
        <v>#REF!</v>
      </c>
      <c r="J114" s="117" t="e">
        <f t="shared" si="33"/>
        <v>#REF!</v>
      </c>
      <c r="K114" s="125"/>
      <c r="L114" s="125" t="e">
        <f t="shared" si="43"/>
        <v>#REF!</v>
      </c>
      <c r="M114" s="125" t="e">
        <f t="shared" ref="M114:M115" si="47">IF(D114="Yes",INDEX(Post_harvest_energy_data,MATCH(C114,Post_harvest_energy_categories,0),2)*EF_heating_oil_N2O+INDEX(Post_harvest_energy_data,MATCH(C114,Post_harvest_energy_categories,0),3)*EF_electricity_N2O+INDEX(Post_harvest_energy_data,MATCH(C114,Post_harvest_energy_categories,0),4)*EF_chips_N2O,"")</f>
        <v>#REF!</v>
      </c>
      <c r="N114" s="42"/>
    </row>
    <row r="115" spans="1:14" hidden="1" x14ac:dyDescent="0.2">
      <c r="A115" s="39" t="s">
        <v>166</v>
      </c>
      <c r="B115" s="2" t="e">
        <f t="shared" si="34"/>
        <v>#REF!</v>
      </c>
      <c r="C115" s="2" t="e">
        <f t="shared" si="35"/>
        <v>#REF!</v>
      </c>
      <c r="D115" s="40" t="e">
        <f t="shared" si="36"/>
        <v>#REF!</v>
      </c>
      <c r="E115" s="127" t="e">
        <f t="shared" si="44"/>
        <v>#REF!</v>
      </c>
      <c r="F115" s="119" t="e">
        <f t="shared" si="38"/>
        <v>#REF!</v>
      </c>
      <c r="G115" s="123" t="e">
        <f t="shared" si="45"/>
        <v>#REF!</v>
      </c>
      <c r="H115" s="125" t="e">
        <f t="shared" si="40"/>
        <v>#REF!</v>
      </c>
      <c r="I115" s="121" t="e">
        <f t="shared" si="46"/>
        <v>#REF!</v>
      </c>
      <c r="J115" s="117" t="e">
        <f t="shared" si="33"/>
        <v>#REF!</v>
      </c>
      <c r="K115" s="125"/>
      <c r="L115" s="125" t="e">
        <f t="shared" si="43"/>
        <v>#REF!</v>
      </c>
      <c r="M115" s="125" t="e">
        <f t="shared" si="47"/>
        <v>#REF!</v>
      </c>
      <c r="N115" s="42"/>
    </row>
    <row r="116" spans="1:14" x14ac:dyDescent="0.2">
      <c r="A116" s="39" t="s">
        <v>167</v>
      </c>
      <c r="B116" s="2" t="e">
        <f t="shared" si="34"/>
        <v>#REF!</v>
      </c>
      <c r="C116" s="2" t="e">
        <f t="shared" si="35"/>
        <v>#REF!</v>
      </c>
      <c r="D116" s="40" t="e">
        <f t="shared" si="36"/>
        <v>#REF!</v>
      </c>
      <c r="E116" s="127" t="e">
        <f t="shared" si="37"/>
        <v>#REF!</v>
      </c>
      <c r="F116" s="119" t="e">
        <f t="shared" si="38"/>
        <v>#REF!</v>
      </c>
      <c r="G116" s="123" t="e">
        <f t="shared" si="39"/>
        <v>#REF!</v>
      </c>
      <c r="H116" s="125" t="e">
        <f t="shared" si="40"/>
        <v>#REF!</v>
      </c>
      <c r="I116" s="121" t="e">
        <f t="shared" si="41"/>
        <v>#REF!</v>
      </c>
      <c r="J116" s="117" t="e">
        <f t="shared" si="33"/>
        <v>#REF!</v>
      </c>
      <c r="K116" s="125"/>
      <c r="L116" s="125" t="e">
        <f t="shared" si="43"/>
        <v>#REF!</v>
      </c>
      <c r="M116" s="125" t="e">
        <f t="shared" si="42"/>
        <v>#REF!</v>
      </c>
      <c r="N116" s="42"/>
    </row>
    <row r="117" spans="1:14" hidden="1" x14ac:dyDescent="0.2">
      <c r="A117" s="39" t="s">
        <v>168</v>
      </c>
      <c r="B117" s="2" t="e">
        <f t="shared" si="34"/>
        <v>#REF!</v>
      </c>
      <c r="C117" s="2" t="e">
        <f t="shared" si="35"/>
        <v>#REF!</v>
      </c>
      <c r="D117" s="40" t="e">
        <f t="shared" si="36"/>
        <v>#REF!</v>
      </c>
      <c r="E117" s="127" t="e">
        <f t="shared" si="37"/>
        <v>#REF!</v>
      </c>
      <c r="F117" s="119" t="e">
        <f t="shared" si="38"/>
        <v>#REF!</v>
      </c>
      <c r="G117" s="123" t="e">
        <f t="shared" si="39"/>
        <v>#REF!</v>
      </c>
      <c r="H117" s="125" t="e">
        <f t="shared" si="40"/>
        <v>#REF!</v>
      </c>
      <c r="I117" s="121" t="e">
        <f t="shared" si="41"/>
        <v>#REF!</v>
      </c>
      <c r="J117" s="117" t="e">
        <f t="shared" si="33"/>
        <v>#REF!</v>
      </c>
      <c r="K117" s="125"/>
      <c r="L117" s="125" t="e">
        <f t="shared" si="43"/>
        <v>#REF!</v>
      </c>
      <c r="M117" s="121" t="e">
        <f t="shared" si="42"/>
        <v>#REF!</v>
      </c>
      <c r="N117" s="42"/>
    </row>
    <row r="118" spans="1:14" hidden="1" x14ac:dyDescent="0.2">
      <c r="A118" s="41" t="s">
        <v>169</v>
      </c>
      <c r="B118" s="45" t="e">
        <f t="shared" si="34"/>
        <v>#REF!</v>
      </c>
      <c r="C118" s="45" t="e">
        <f t="shared" si="35"/>
        <v>#REF!</v>
      </c>
      <c r="D118" s="32" t="e">
        <f t="shared" si="36"/>
        <v>#REF!</v>
      </c>
      <c r="E118" s="128" t="e">
        <f t="shared" si="37"/>
        <v>#REF!</v>
      </c>
      <c r="F118" s="120" t="e">
        <f t="shared" si="38"/>
        <v>#REF!</v>
      </c>
      <c r="G118" s="124" t="e">
        <f t="shared" si="39"/>
        <v>#REF!</v>
      </c>
      <c r="H118" s="118" t="e">
        <f t="shared" si="40"/>
        <v>#REF!</v>
      </c>
      <c r="I118" s="122" t="e">
        <f t="shared" si="41"/>
        <v>#REF!</v>
      </c>
      <c r="J118" s="118" t="e">
        <f t="shared" si="33"/>
        <v>#REF!</v>
      </c>
      <c r="K118" s="126"/>
      <c r="L118" s="126" t="e">
        <f t="shared" si="43"/>
        <v>#REF!</v>
      </c>
      <c r="M118" s="122" t="e">
        <f t="shared" si="42"/>
        <v>#REF!</v>
      </c>
      <c r="N118" s="43"/>
    </row>
  </sheetData>
  <autoFilter ref="A5:N118" xr:uid="{00000000-0009-0000-0000-000007000000}">
    <filterColumn colId="2">
      <filters>
        <filter val="Cereals, incl feed"/>
        <filter val="Pulses, incl feed"/>
      </filters>
    </filterColumn>
    <sortState xmlns:xlrd2="http://schemas.microsoft.com/office/spreadsheetml/2017/richdata2" ref="A6:N116">
      <sortCondition ref="B5"/>
    </sortState>
  </autoFilter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4">
    <tabColor theme="4" tint="0.79998168889431442"/>
  </sheetPr>
  <dimension ref="A2:BO44"/>
  <sheetViews>
    <sheetView topLeftCell="A2" zoomScale="80" zoomScaleNormal="80" workbookViewId="0">
      <selection activeCell="F8" sqref="F8"/>
    </sheetView>
  </sheetViews>
  <sheetFormatPr baseColWidth="10" defaultColWidth="8.6640625" defaultRowHeight="15" x14ac:dyDescent="0.2"/>
  <cols>
    <col min="1" max="1" width="38.5" style="10" customWidth="1"/>
    <col min="2" max="2" width="11.6640625" style="10" customWidth="1"/>
    <col min="3" max="3" width="12.33203125" style="22" customWidth="1"/>
    <col min="4" max="4" width="11.5" style="22" customWidth="1"/>
    <col min="5" max="5" width="19.33203125" style="27" customWidth="1"/>
    <col min="6" max="6" width="12.6640625" style="27" customWidth="1"/>
    <col min="7" max="7" width="11.33203125" style="27" customWidth="1"/>
    <col min="8" max="8" width="24.33203125" style="27" bestFit="1" customWidth="1"/>
    <col min="9" max="9" width="13.6640625" style="27" bestFit="1" customWidth="1"/>
    <col min="10" max="10" width="12.6640625" style="27" bestFit="1" customWidth="1"/>
    <col min="11" max="11" width="38.5" style="27" bestFit="1" customWidth="1"/>
    <col min="12" max="12" width="18" style="22" bestFit="1" customWidth="1"/>
    <col min="13" max="14" width="12.6640625" style="24" bestFit="1" customWidth="1"/>
    <col min="15" max="15" width="11.5" style="24" customWidth="1"/>
    <col min="16" max="16" width="20.6640625" style="24" customWidth="1"/>
    <col min="17" max="17" width="22.5" style="24" customWidth="1"/>
    <col min="18" max="18" width="19.5" style="22" customWidth="1"/>
    <col min="19" max="19" width="17.6640625" style="22" customWidth="1"/>
    <col min="20" max="20" width="16.33203125" style="22" customWidth="1"/>
    <col min="21" max="21" width="20" style="22" customWidth="1"/>
    <col min="22" max="22" width="21.6640625" style="28" customWidth="1"/>
    <col min="23" max="23" width="15.5" style="3" customWidth="1"/>
    <col min="24" max="24" width="26.6640625" style="3" customWidth="1"/>
    <col min="25" max="25" width="23.33203125" style="3" customWidth="1"/>
    <col min="26" max="26" width="21.6640625" style="3" customWidth="1"/>
    <col min="27" max="27" width="24.5" style="3" customWidth="1"/>
    <col min="28" max="28" width="23.33203125" style="3" customWidth="1"/>
    <col min="29" max="32" width="15.6640625" style="3" customWidth="1"/>
    <col min="33" max="38" width="14.33203125" style="22" bestFit="1" customWidth="1"/>
    <col min="39" max="40" width="8.6640625" style="3"/>
    <col min="41" max="46" width="14.33203125" style="24" bestFit="1" customWidth="1"/>
    <col min="47" max="47" width="8.6640625" style="3"/>
    <col min="48" max="48" width="14.6640625" style="24" bestFit="1" customWidth="1"/>
    <col min="49" max="53" width="14.33203125" style="24" bestFit="1" customWidth="1"/>
    <col min="54" max="54" width="12.6640625" style="24" customWidth="1"/>
    <col min="55" max="55" width="14.6640625" style="24" bestFit="1" customWidth="1"/>
    <col min="56" max="56" width="14.33203125" style="24" bestFit="1" customWidth="1"/>
    <col min="57" max="60" width="14.6640625" style="24" bestFit="1" customWidth="1"/>
    <col min="61" max="61" width="14.5" style="24" customWidth="1"/>
    <col min="62" max="64" width="14.6640625" style="24" bestFit="1" customWidth="1"/>
    <col min="65" max="65" width="14" style="24" bestFit="1" customWidth="1"/>
    <col min="66" max="67" width="14.6640625" style="24" bestFit="1" customWidth="1"/>
    <col min="68" max="69" width="8.6640625" style="3"/>
    <col min="70" max="70" width="19.6640625" style="3" customWidth="1"/>
    <col min="71" max="74" width="8.6640625" style="3"/>
    <col min="75" max="75" width="15.5" style="3" customWidth="1"/>
    <col min="76" max="76" width="8.6640625" style="3"/>
    <col min="77" max="77" width="14.6640625" style="3" customWidth="1"/>
    <col min="78" max="78" width="13.33203125" style="3" customWidth="1"/>
    <col min="79" max="79" width="11.33203125" style="3" customWidth="1"/>
    <col min="80" max="80" width="11.5" style="3" customWidth="1"/>
    <col min="81" max="81" width="12.6640625" style="3" customWidth="1"/>
    <col min="82" max="82" width="12.5" style="3" customWidth="1"/>
    <col min="83" max="83" width="8.6640625" style="3"/>
    <col min="84" max="87" width="9.5" style="3" bestFit="1" customWidth="1"/>
    <col min="88" max="88" width="10.33203125" style="3" bestFit="1" customWidth="1"/>
    <col min="89" max="90" width="9.5" style="3" bestFit="1" customWidth="1"/>
    <col min="91" max="91" width="10.33203125" style="3" bestFit="1" customWidth="1"/>
    <col min="92" max="93" width="9.5" style="3" bestFit="1" customWidth="1"/>
    <col min="94" max="94" width="22.33203125" style="3" customWidth="1"/>
    <col min="95" max="95" width="10.5" style="3" bestFit="1" customWidth="1"/>
    <col min="96" max="16384" width="8.6640625" style="3"/>
  </cols>
  <sheetData>
    <row r="2" spans="1:20" s="44" customFormat="1" ht="21" x14ac:dyDescent="0.2">
      <c r="A2" s="44" t="s">
        <v>43</v>
      </c>
      <c r="E2" s="27"/>
    </row>
    <row r="3" spans="1:20" x14ac:dyDescent="0.2">
      <c r="N3" s="29"/>
      <c r="Q3" s="21"/>
      <c r="R3" s="30"/>
      <c r="S3" s="30"/>
      <c r="T3" s="30"/>
    </row>
    <row r="4" spans="1:20" ht="16" x14ac:dyDescent="0.2">
      <c r="A4" s="160" t="s">
        <v>175</v>
      </c>
      <c r="N4" s="29"/>
      <c r="Q4" s="21"/>
      <c r="R4" s="30"/>
      <c r="S4" s="30"/>
      <c r="T4" s="30"/>
    </row>
    <row r="5" spans="1:20" x14ac:dyDescent="0.2">
      <c r="A5" s="3"/>
      <c r="B5" s="3"/>
      <c r="C5" s="3"/>
      <c r="D5" s="3"/>
      <c r="E5" s="3"/>
      <c r="F5" s="3"/>
      <c r="G5" s="3"/>
      <c r="H5" s="3"/>
      <c r="I5" s="3"/>
    </row>
    <row r="6" spans="1:20" ht="16" x14ac:dyDescent="0.2">
      <c r="A6" s="67"/>
      <c r="B6" s="112" t="s">
        <v>176</v>
      </c>
      <c r="C6" s="113" t="s">
        <v>177</v>
      </c>
      <c r="D6" s="196" t="s">
        <v>178</v>
      </c>
      <c r="E6" s="27" t="s">
        <v>179</v>
      </c>
      <c r="H6" s="258" t="s">
        <v>180</v>
      </c>
    </row>
    <row r="7" spans="1:20" ht="16" x14ac:dyDescent="0.2">
      <c r="A7" s="31" t="s">
        <v>45</v>
      </c>
      <c r="B7" s="114" t="s">
        <v>90</v>
      </c>
      <c r="C7" s="115" t="s">
        <v>158</v>
      </c>
      <c r="E7" s="27" t="s">
        <v>181</v>
      </c>
    </row>
    <row r="8" spans="1:20" ht="16" x14ac:dyDescent="0.2">
      <c r="A8" s="68" t="s">
        <v>182</v>
      </c>
      <c r="B8" s="141">
        <v>18130</v>
      </c>
      <c r="C8" s="142">
        <v>18130</v>
      </c>
      <c r="E8" s="257" t="s">
        <v>183</v>
      </c>
      <c r="F8" s="258" t="s">
        <v>184</v>
      </c>
    </row>
    <row r="9" spans="1:20" x14ac:dyDescent="0.2">
      <c r="A9" s="31"/>
      <c r="B9" s="22"/>
      <c r="C9" s="46"/>
      <c r="E9" s="163"/>
    </row>
    <row r="10" spans="1:20" x14ac:dyDescent="0.2">
      <c r="A10" s="69" t="s">
        <v>185</v>
      </c>
      <c r="B10" s="22"/>
      <c r="C10" s="46"/>
      <c r="E10" s="252"/>
    </row>
    <row r="11" spans="1:20" ht="16" x14ac:dyDescent="0.2">
      <c r="A11" s="68" t="s">
        <v>186</v>
      </c>
      <c r="B11" s="139">
        <v>0</v>
      </c>
      <c r="C11" s="140">
        <v>0</v>
      </c>
    </row>
    <row r="12" spans="1:20" ht="16" x14ac:dyDescent="0.2">
      <c r="A12" s="70" t="s">
        <v>187</v>
      </c>
      <c r="B12" s="139">
        <v>0</v>
      </c>
      <c r="C12" s="140">
        <v>0</v>
      </c>
    </row>
    <row r="13" spans="1:20" ht="16" x14ac:dyDescent="0.2">
      <c r="A13" s="70" t="s">
        <v>188</v>
      </c>
      <c r="B13" s="139">
        <v>0</v>
      </c>
      <c r="C13" s="140">
        <v>0</v>
      </c>
    </row>
    <row r="14" spans="1:20" ht="16" x14ac:dyDescent="0.2">
      <c r="A14" s="70" t="s">
        <v>189</v>
      </c>
      <c r="B14" s="139">
        <v>0</v>
      </c>
      <c r="C14" s="140">
        <v>0</v>
      </c>
    </row>
    <row r="15" spans="1:20" ht="16" x14ac:dyDescent="0.2">
      <c r="A15" s="70" t="s">
        <v>190</v>
      </c>
      <c r="B15" s="139">
        <v>0.44</v>
      </c>
      <c r="C15" s="140">
        <v>0.44</v>
      </c>
    </row>
    <row r="16" spans="1:20" ht="16" x14ac:dyDescent="0.2">
      <c r="A16" s="70" t="s">
        <v>191</v>
      </c>
      <c r="B16" s="139">
        <v>0</v>
      </c>
      <c r="C16" s="140">
        <v>0</v>
      </c>
    </row>
    <row r="17" spans="1:22" ht="16" x14ac:dyDescent="0.2">
      <c r="A17" s="70" t="s">
        <v>192</v>
      </c>
      <c r="B17" s="139">
        <v>0.56000000000000005</v>
      </c>
      <c r="C17" s="140">
        <v>0.56000000000000005</v>
      </c>
    </row>
    <row r="18" spans="1:22" ht="16" x14ac:dyDescent="0.2">
      <c r="A18" s="70" t="s">
        <v>193</v>
      </c>
      <c r="B18" s="141">
        <v>1.8696134277177697E-2</v>
      </c>
      <c r="C18" s="142">
        <v>2.2000000000000001E-3</v>
      </c>
    </row>
    <row r="19" spans="1:22" x14ac:dyDescent="0.2">
      <c r="A19" s="31"/>
      <c r="B19" s="22"/>
      <c r="C19" s="46"/>
    </row>
    <row r="20" spans="1:22" ht="16" x14ac:dyDescent="0.2">
      <c r="A20" s="72" t="s">
        <v>194</v>
      </c>
      <c r="B20" s="47"/>
      <c r="C20" s="48"/>
    </row>
    <row r="21" spans="1:22" ht="16" x14ac:dyDescent="0.2">
      <c r="A21" s="71" t="s">
        <v>195</v>
      </c>
      <c r="B21" s="47">
        <f>B8*(B11*EF_chips_CO2+B12*EF_pellets_CO2+B13*EF_other_renew_CO2+B14*EF_district_heating_CO2+B15*EF_electricity_CO2+B16*EF_natural_gas_CO2+B17*EF_heating_oil_CO2+B18*EF_other_fossil_CO2)</f>
        <v>1436.0890227343268</v>
      </c>
      <c r="C21" s="48">
        <f>C8*(C11*EF_chips_CO2+C12*EF_pellets_CO2+C13*EF_other_renew_CO2+C14*EF_district_heating_CO2+C15*EF_electricity_CO2+C16*EF_natural_gas_CO2+C17*EF_heating_oil_CO2+C18*EF_other_fossil_CO2)</f>
        <v>1414.8547038087152</v>
      </c>
    </row>
    <row r="22" spans="1:22" ht="16" x14ac:dyDescent="0.2">
      <c r="A22" s="71" t="s">
        <v>196</v>
      </c>
      <c r="B22" s="47">
        <f>B8*(B11*EF_chips_CH4+B12*EF_pellets_CH4+B13*EF_other_renew_CH4+B14*EF_district_heating_CH4+B15*EF_electricity_CH4+B16*EF_natural_gas_CH4+B17*EF_heating_oil_CH4+B18*EF_other_fossil_CH4)</f>
        <v>2.1997097062841924</v>
      </c>
      <c r="C22" s="48">
        <f>C8*(C11*EF_chips_CH4+C12*EF_pellets_CH4+C13*EF_other_renew_CH4+C14*EF_district_heating_CH4+C15*EF_electricity_CH4+C16*EF_natural_gas_CH4+C17*EF_heating_oil_CH4+C18*EF_other_fossil_CH4)</f>
        <v>2.1533530945451811</v>
      </c>
    </row>
    <row r="23" spans="1:22" ht="16" x14ac:dyDescent="0.2">
      <c r="A23" s="73" t="s">
        <v>197</v>
      </c>
      <c r="B23" s="74">
        <f>B8*(B11*EF_chips_N2O+B12*EF_pellets_N2O+B13*EF_other_renew_N2O+B14*EF_district_heating_N2O+B15*EF_electricity_N2O+B16*EF_natural_gas_N2O+B17*EF_heating_oil_N2O+B18*EF_other_fossil_N2O)</f>
        <v>5.6307663420844381E-2</v>
      </c>
      <c r="C23" s="75">
        <f>C8*(C11*EF_chips_N2O+C12*EF_pellets_N2O+C13*EF_other_renew_N2O+C14*EF_district_heating_N2O+C15*EF_electricity_N2O+C16*EF_natural_gas_N2O+C17*EF_heating_oil_N2O+C18*EF_other_fossil_N2O)</f>
        <v>5.5911389159204454E-2</v>
      </c>
    </row>
    <row r="24" spans="1:22" x14ac:dyDescent="0.2">
      <c r="A24" s="77"/>
      <c r="I24" s="49"/>
    </row>
    <row r="25" spans="1:22" ht="16" x14ac:dyDescent="0.2">
      <c r="A25" s="97" t="s">
        <v>198</v>
      </c>
    </row>
    <row r="26" spans="1:22" x14ac:dyDescent="0.2">
      <c r="B26" s="92"/>
      <c r="C26" s="92"/>
      <c r="D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R26" s="92"/>
      <c r="S26" s="92"/>
      <c r="T26" s="92"/>
      <c r="U26" s="92"/>
      <c r="V26" s="93"/>
    </row>
    <row r="27" spans="1:22" ht="48" x14ac:dyDescent="0.2">
      <c r="A27" s="99"/>
      <c r="B27" s="100" t="s">
        <v>199</v>
      </c>
      <c r="C27" s="100" t="s">
        <v>200</v>
      </c>
      <c r="D27" s="100" t="s">
        <v>201</v>
      </c>
      <c r="E27" s="101" t="s">
        <v>202</v>
      </c>
      <c r="F27" s="195" t="s">
        <v>178</v>
      </c>
      <c r="G27" s="94"/>
      <c r="H27" s="94"/>
      <c r="I27" s="96"/>
      <c r="J27" s="94"/>
      <c r="K27" s="94"/>
      <c r="L27" s="94"/>
      <c r="M27" s="94"/>
      <c r="N27" s="94"/>
      <c r="O27" s="94"/>
      <c r="P27" s="94"/>
      <c r="R27" s="95"/>
      <c r="S27" s="95"/>
      <c r="T27" s="95"/>
      <c r="U27" s="95"/>
      <c r="V27" s="94"/>
    </row>
    <row r="28" spans="1:22" x14ac:dyDescent="0.2">
      <c r="A28" s="129" t="s">
        <v>203</v>
      </c>
      <c r="B28" s="190"/>
      <c r="C28" s="136"/>
      <c r="E28" s="130"/>
      <c r="I28" s="19"/>
    </row>
    <row r="29" spans="1:22" x14ac:dyDescent="0.2">
      <c r="A29" s="129" t="s">
        <v>204</v>
      </c>
      <c r="B29" s="187">
        <f>0.01*Heating_value_oil</f>
        <v>0.41000000000000003</v>
      </c>
      <c r="C29" s="188">
        <f>0.02*3.6</f>
        <v>7.2000000000000008E-2</v>
      </c>
      <c r="D29" s="94"/>
      <c r="E29" s="197" t="s">
        <v>205</v>
      </c>
      <c r="F29" s="98" t="s">
        <v>206</v>
      </c>
      <c r="I29" s="19"/>
    </row>
    <row r="30" spans="1:22" x14ac:dyDescent="0.2">
      <c r="A30" s="129" t="s">
        <v>207</v>
      </c>
      <c r="B30" s="187">
        <f>0.01*Heating_value_oil</f>
        <v>0.41000000000000003</v>
      </c>
      <c r="C30" s="188">
        <f>0.02*3.6</f>
        <v>7.2000000000000008E-2</v>
      </c>
      <c r="D30" s="94"/>
      <c r="E30" s="197" t="s">
        <v>205</v>
      </c>
      <c r="F30" s="98" t="s">
        <v>206</v>
      </c>
      <c r="I30" s="19"/>
    </row>
    <row r="31" spans="1:22" x14ac:dyDescent="0.2">
      <c r="A31" s="129" t="s">
        <v>208</v>
      </c>
      <c r="B31" s="187"/>
      <c r="C31" s="186">
        <v>0.22</v>
      </c>
      <c r="E31" s="198" t="s">
        <v>209</v>
      </c>
      <c r="F31" s="98" t="s">
        <v>210</v>
      </c>
      <c r="I31" s="19"/>
    </row>
    <row r="32" spans="1:22" x14ac:dyDescent="0.2">
      <c r="A32" s="129" t="s">
        <v>36</v>
      </c>
      <c r="B32" s="187"/>
      <c r="C32" s="186"/>
      <c r="E32" s="197"/>
      <c r="I32" s="8"/>
    </row>
    <row r="33" spans="1:9" x14ac:dyDescent="0.2">
      <c r="A33" s="129" t="s">
        <v>211</v>
      </c>
      <c r="B33" s="187">
        <f>0.02*Heating_value_oil</f>
        <v>0.82000000000000006</v>
      </c>
      <c r="C33" s="188">
        <f>0.02*3.6</f>
        <v>7.2000000000000008E-2</v>
      </c>
      <c r="D33" s="94"/>
      <c r="E33" s="198" t="s">
        <v>205</v>
      </c>
      <c r="I33" s="8"/>
    </row>
    <row r="34" spans="1:9" x14ac:dyDescent="0.2">
      <c r="A34" s="129" t="s">
        <v>212</v>
      </c>
      <c r="B34" s="187">
        <f>0.02*Heating_value_oil</f>
        <v>0.82000000000000006</v>
      </c>
      <c r="C34" s="188">
        <f>0.02*3.6</f>
        <v>7.2000000000000008E-2</v>
      </c>
      <c r="D34" s="94"/>
      <c r="E34" s="198" t="s">
        <v>205</v>
      </c>
      <c r="F34" s="98" t="s">
        <v>206</v>
      </c>
      <c r="I34" s="8"/>
    </row>
    <row r="35" spans="1:9" x14ac:dyDescent="0.2">
      <c r="A35" s="129" t="s">
        <v>213</v>
      </c>
      <c r="B35" s="187">
        <f>0.02*Heating_value_oil</f>
        <v>0.82000000000000006</v>
      </c>
      <c r="C35" s="188">
        <f>0.02*3.6</f>
        <v>7.2000000000000008E-2</v>
      </c>
      <c r="D35" s="3"/>
      <c r="E35" s="198" t="s">
        <v>205</v>
      </c>
      <c r="F35" s="3"/>
      <c r="I35" s="8"/>
    </row>
    <row r="36" spans="1:9" x14ac:dyDescent="0.2">
      <c r="A36" s="129" t="s">
        <v>214</v>
      </c>
      <c r="B36" s="187"/>
      <c r="C36" s="186"/>
      <c r="E36" s="198"/>
      <c r="I36" s="8"/>
    </row>
    <row r="37" spans="1:9" x14ac:dyDescent="0.2">
      <c r="A37" s="129" t="s">
        <v>215</v>
      </c>
      <c r="B37" s="187">
        <f>0.01*Heating_value_oil</f>
        <v>0.41000000000000003</v>
      </c>
      <c r="C37" s="188">
        <f>0.02*3.6</f>
        <v>7.2000000000000008E-2</v>
      </c>
      <c r="D37" s="94"/>
      <c r="E37" s="198" t="s">
        <v>205</v>
      </c>
      <c r="F37" s="98" t="s">
        <v>206</v>
      </c>
      <c r="I37" s="8"/>
    </row>
    <row r="38" spans="1:9" x14ac:dyDescent="0.2">
      <c r="A38" s="129" t="s">
        <v>216</v>
      </c>
      <c r="B38" s="187">
        <f>0.01*Heating_value_oil</f>
        <v>0.41000000000000003</v>
      </c>
      <c r="C38" s="188">
        <f>0.02*3.6</f>
        <v>7.2000000000000008E-2</v>
      </c>
      <c r="D38" s="94"/>
      <c r="E38" s="198" t="s">
        <v>205</v>
      </c>
      <c r="F38" s="98" t="s">
        <v>206</v>
      </c>
      <c r="I38" s="8"/>
    </row>
    <row r="39" spans="1:9" x14ac:dyDescent="0.2">
      <c r="A39" s="129" t="s">
        <v>217</v>
      </c>
      <c r="B39" s="187"/>
      <c r="C39" s="186">
        <v>0.22</v>
      </c>
      <c r="E39" s="198" t="s">
        <v>209</v>
      </c>
      <c r="F39" s="98" t="s">
        <v>210</v>
      </c>
    </row>
    <row r="40" spans="1:9" x14ac:dyDescent="0.2">
      <c r="A40" s="129" t="s">
        <v>218</v>
      </c>
      <c r="B40" s="187">
        <f>0.01*Heating_value_oil</f>
        <v>0.41000000000000003</v>
      </c>
      <c r="C40" s="188">
        <f>0.02*3.6</f>
        <v>7.2000000000000008E-2</v>
      </c>
      <c r="E40" s="198" t="s">
        <v>205</v>
      </c>
    </row>
    <row r="41" spans="1:9" x14ac:dyDescent="0.2">
      <c r="A41" s="129" t="s">
        <v>219</v>
      </c>
      <c r="B41" s="187">
        <f>0.01*Heating_value_oil</f>
        <v>0.41000000000000003</v>
      </c>
      <c r="C41" s="188">
        <f>0.02*3.6</f>
        <v>7.2000000000000008E-2</v>
      </c>
      <c r="E41" s="198" t="s">
        <v>205</v>
      </c>
    </row>
    <row r="42" spans="1:9" x14ac:dyDescent="0.2">
      <c r="A42" s="129" t="s">
        <v>220</v>
      </c>
      <c r="B42" s="187"/>
      <c r="C42" s="186"/>
      <c r="E42" s="198"/>
    </row>
    <row r="43" spans="1:9" x14ac:dyDescent="0.2">
      <c r="A43" s="129" t="s">
        <v>221</v>
      </c>
      <c r="B43" s="187"/>
      <c r="C43" s="186">
        <v>0.22</v>
      </c>
      <c r="E43" s="198" t="s">
        <v>209</v>
      </c>
      <c r="F43" s="98" t="s">
        <v>210</v>
      </c>
    </row>
    <row r="44" spans="1:9" x14ac:dyDescent="0.2">
      <c r="A44" s="131" t="s">
        <v>222</v>
      </c>
      <c r="B44" s="193"/>
      <c r="C44" s="194">
        <v>0.22</v>
      </c>
      <c r="D44" s="132"/>
      <c r="E44" s="199" t="s">
        <v>209</v>
      </c>
      <c r="F44" s="98" t="s">
        <v>210</v>
      </c>
    </row>
  </sheetData>
  <hyperlinks>
    <hyperlink ref="F8" r:id="rId1" xr:uid="{400ABF04-1A32-49DD-AB3D-0295C6BC7E1D}"/>
    <hyperlink ref="H6" r:id="rId2" xr:uid="{7978A094-2643-4B90-883B-91A60644DE78}"/>
  </hyperlinks>
  <pageMargins left="0.7" right="0.7" top="0.75" bottom="0.75" header="0.3" footer="0.3"/>
  <pageSetup paperSize="9" orientation="portrait"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3">
    <tabColor theme="0" tint="-4.9989318521683403E-2"/>
  </sheetPr>
  <dimension ref="A1:J75"/>
  <sheetViews>
    <sheetView topLeftCell="A15" zoomScale="80" zoomScaleNormal="80" workbookViewId="0">
      <selection activeCell="E22" sqref="E22"/>
    </sheetView>
  </sheetViews>
  <sheetFormatPr baseColWidth="10" defaultColWidth="8.6640625" defaultRowHeight="14" x14ac:dyDescent="0.2"/>
  <cols>
    <col min="1" max="1" width="50.6640625" style="8" customWidth="1"/>
    <col min="2" max="2" width="18.6640625" style="8" customWidth="1"/>
    <col min="3" max="3" width="17.5" style="8" customWidth="1"/>
    <col min="4" max="4" width="18.5" style="8" customWidth="1"/>
    <col min="5" max="5" width="17.33203125" style="8" customWidth="1"/>
    <col min="6" max="6" width="19.5" style="8" customWidth="1"/>
    <col min="7" max="7" width="52.6640625" style="8" bestFit="1" customWidth="1"/>
    <col min="8" max="8" width="60.5" style="8" bestFit="1" customWidth="1"/>
    <col min="9" max="9" width="21.5" style="8" bestFit="1" customWidth="1"/>
    <col min="10" max="10" width="10.5" style="8" bestFit="1" customWidth="1"/>
    <col min="11" max="11" width="14.6640625" style="8" customWidth="1"/>
    <col min="12" max="12" width="8.6640625" style="8"/>
    <col min="13" max="13" width="14.33203125" style="8" customWidth="1"/>
    <col min="14" max="15" width="8.6640625" style="8"/>
    <col min="16" max="16" width="18.33203125" style="8" customWidth="1"/>
    <col min="17" max="16384" width="8.6640625" style="8"/>
  </cols>
  <sheetData>
    <row r="1" spans="1:7" ht="21" x14ac:dyDescent="0.2">
      <c r="A1" s="44" t="s">
        <v>223</v>
      </c>
    </row>
    <row r="2" spans="1:7" ht="15.5" customHeight="1" x14ac:dyDescent="0.2">
      <c r="A2" s="12"/>
    </row>
    <row r="3" spans="1:7" ht="16" x14ac:dyDescent="0.2">
      <c r="A3" s="159" t="s">
        <v>224</v>
      </c>
      <c r="B3" s="11"/>
      <c r="C3" s="11"/>
      <c r="F3" s="19"/>
    </row>
    <row r="5" spans="1:7" ht="15" x14ac:dyDescent="0.2">
      <c r="A5" s="54"/>
      <c r="B5" s="55" t="s">
        <v>225</v>
      </c>
      <c r="C5" s="55" t="s">
        <v>226</v>
      </c>
      <c r="D5" s="55" t="s">
        <v>227</v>
      </c>
      <c r="E5" s="60" t="s">
        <v>228</v>
      </c>
      <c r="G5" s="164"/>
    </row>
    <row r="6" spans="1:7" ht="15" x14ac:dyDescent="0.2">
      <c r="A6" s="57" t="s">
        <v>229</v>
      </c>
      <c r="B6" s="253">
        <v>7.4476411498861111E-2</v>
      </c>
      <c r="C6" s="254">
        <v>2.3021800688777778E-4</v>
      </c>
      <c r="D6" s="254">
        <v>3.371692188888889E-6</v>
      </c>
      <c r="E6" s="62"/>
      <c r="G6" s="164"/>
    </row>
    <row r="7" spans="1:7" ht="15" x14ac:dyDescent="0.2">
      <c r="A7" s="57" t="s">
        <v>230</v>
      </c>
      <c r="B7" s="63">
        <v>8.0560000000000007E-2</v>
      </c>
      <c r="C7" s="64">
        <v>3.0600000000000005E-5</v>
      </c>
      <c r="D7" s="66">
        <v>2.8526E-6</v>
      </c>
      <c r="E7" s="61">
        <v>41</v>
      </c>
      <c r="G7" s="164"/>
    </row>
    <row r="8" spans="1:7" ht="15" x14ac:dyDescent="0.2">
      <c r="A8" s="57" t="s">
        <v>191</v>
      </c>
      <c r="B8" s="63">
        <v>6.2E-2</v>
      </c>
      <c r="C8" s="64">
        <v>2.8000000000000003E-4</v>
      </c>
      <c r="D8" s="66">
        <v>1.9999999999999999E-6</v>
      </c>
      <c r="E8" s="25"/>
    </row>
    <row r="9" spans="1:7" ht="15" x14ac:dyDescent="0.2">
      <c r="A9" s="57" t="s">
        <v>231</v>
      </c>
      <c r="B9" s="63">
        <v>7.0999999999999994E-2</v>
      </c>
      <c r="C9" s="64">
        <v>1.55E-4</v>
      </c>
      <c r="D9" s="66">
        <v>1.325E-6</v>
      </c>
      <c r="E9" s="25"/>
      <c r="F9" s="59" t="s">
        <v>232</v>
      </c>
    </row>
    <row r="10" spans="1:7" ht="15" x14ac:dyDescent="0.2">
      <c r="A10" s="57" t="s">
        <v>233</v>
      </c>
      <c r="B10" s="63">
        <v>1.6999999999999999E-3</v>
      </c>
      <c r="C10" s="64">
        <v>2.8666666666666696E-6</v>
      </c>
      <c r="D10" s="66">
        <v>6.7666666666666703E-7</v>
      </c>
      <c r="E10" s="25"/>
    </row>
    <row r="11" spans="1:7" ht="15" x14ac:dyDescent="0.2">
      <c r="A11" s="57" t="s">
        <v>234</v>
      </c>
      <c r="B11" s="63">
        <v>3.65E-3</v>
      </c>
      <c r="C11" s="64">
        <v>1.7500000000000002E-5</v>
      </c>
      <c r="D11" s="66">
        <v>7.7999999999999999E-6</v>
      </c>
      <c r="E11" s="25"/>
    </row>
    <row r="12" spans="1:7" ht="15" x14ac:dyDescent="0.2">
      <c r="A12" s="57" t="s">
        <v>235</v>
      </c>
      <c r="B12" s="63">
        <v>2.6749999999999999E-3</v>
      </c>
      <c r="C12" s="64">
        <v>1.0183333333333299E-5</v>
      </c>
      <c r="D12" s="66">
        <v>4.2383333333333297E-6</v>
      </c>
      <c r="E12" s="25"/>
      <c r="F12" s="59" t="s">
        <v>236</v>
      </c>
    </row>
    <row r="13" spans="1:7" ht="15" x14ac:dyDescent="0.2">
      <c r="A13" s="57" t="s">
        <v>237</v>
      </c>
      <c r="B13" s="63">
        <v>7.5920000000000001E-2</v>
      </c>
      <c r="C13" s="64">
        <v>3.3630000000000002E-5</v>
      </c>
      <c r="D13" s="66">
        <v>2.04E-6</v>
      </c>
      <c r="E13" s="25">
        <v>35.200000000000003</v>
      </c>
    </row>
    <row r="14" spans="1:7" x14ac:dyDescent="0.2">
      <c r="A14" s="58" t="s">
        <v>238</v>
      </c>
      <c r="B14" s="165">
        <v>2.4611111111111111E-2</v>
      </c>
      <c r="C14" s="65">
        <v>0</v>
      </c>
      <c r="D14" s="65">
        <v>0</v>
      </c>
      <c r="E14" s="26"/>
      <c r="F14" s="59" t="s">
        <v>239</v>
      </c>
    </row>
    <row r="15" spans="1:7" x14ac:dyDescent="0.2">
      <c r="B15" s="11"/>
      <c r="C15" s="11"/>
      <c r="D15" s="11"/>
    </row>
    <row r="16" spans="1:7" x14ac:dyDescent="0.2">
      <c r="B16" s="11"/>
      <c r="C16" s="11"/>
      <c r="D16" s="11"/>
    </row>
    <row r="17" spans="1:10" ht="16" x14ac:dyDescent="0.2">
      <c r="A17" s="160" t="s">
        <v>240</v>
      </c>
      <c r="D17" s="17"/>
    </row>
    <row r="18" spans="1:10" x14ac:dyDescent="0.2">
      <c r="G18" s="90"/>
    </row>
    <row r="19" spans="1:10" ht="15" customHeight="1" x14ac:dyDescent="0.2">
      <c r="A19" s="102"/>
      <c r="B19" s="109" t="s">
        <v>241</v>
      </c>
      <c r="C19" s="109" t="s">
        <v>242</v>
      </c>
      <c r="D19" s="109" t="s">
        <v>243</v>
      </c>
      <c r="E19" s="81" t="s">
        <v>244</v>
      </c>
      <c r="F19" s="202" t="s">
        <v>178</v>
      </c>
      <c r="G19" s="108"/>
      <c r="H19" s="91"/>
      <c r="I19"/>
      <c r="J19"/>
    </row>
    <row r="20" spans="1:10" ht="13.25" customHeight="1" x14ac:dyDescent="0.2">
      <c r="A20" s="105" t="s">
        <v>245</v>
      </c>
      <c r="B20" s="76">
        <v>2.2999999999999998</v>
      </c>
      <c r="C20" s="80">
        <v>0</v>
      </c>
      <c r="D20" s="80">
        <v>4.3624161073825508E-3</v>
      </c>
      <c r="E20" s="7">
        <v>0.25</v>
      </c>
      <c r="F20" s="77" t="s">
        <v>246</v>
      </c>
      <c r="G20" s="103"/>
      <c r="H20" s="91"/>
      <c r="I20" s="91"/>
      <c r="J20" s="91"/>
    </row>
    <row r="21" spans="1:10" ht="15" x14ac:dyDescent="0.2">
      <c r="A21" s="106" t="s">
        <v>247</v>
      </c>
      <c r="B21" s="16">
        <v>4.3928213588059704</v>
      </c>
      <c r="C21" s="107">
        <v>9.8666566537313431E-3</v>
      </c>
      <c r="D21" s="107">
        <v>9.948031617910448E-3</v>
      </c>
      <c r="E21" s="15">
        <v>0.75</v>
      </c>
      <c r="F21" s="79" t="s">
        <v>248</v>
      </c>
      <c r="G21" s="103"/>
      <c r="H21" s="91"/>
      <c r="I21" s="91"/>
      <c r="J21" s="91"/>
    </row>
    <row r="22" spans="1:10" x14ac:dyDescent="0.15">
      <c r="A22" s="104" t="s">
        <v>249</v>
      </c>
      <c r="F22" s="79"/>
      <c r="G22" s="103"/>
      <c r="H22" s="91"/>
      <c r="I22" s="91"/>
      <c r="J22" s="91"/>
    </row>
    <row r="23" spans="1:10" ht="15" x14ac:dyDescent="0.2">
      <c r="A23" s="77" t="s">
        <v>250</v>
      </c>
      <c r="G23" s="103"/>
      <c r="H23" s="91"/>
      <c r="I23"/>
      <c r="J23"/>
    </row>
    <row r="24" spans="1:10" x14ac:dyDescent="0.2">
      <c r="F24" s="116"/>
    </row>
    <row r="25" spans="1:10" ht="16" x14ac:dyDescent="0.2">
      <c r="A25" s="159" t="s">
        <v>251</v>
      </c>
      <c r="B25" s="11"/>
      <c r="C25" s="11"/>
    </row>
    <row r="27" spans="1:10" ht="15" x14ac:dyDescent="0.2">
      <c r="A27" s="54"/>
      <c r="B27" s="55" t="s">
        <v>252</v>
      </c>
      <c r="C27" s="55" t="s">
        <v>253</v>
      </c>
      <c r="D27" s="56" t="s">
        <v>254</v>
      </c>
    </row>
    <row r="28" spans="1:10" ht="15" x14ac:dyDescent="0.2">
      <c r="A28" s="86" t="s">
        <v>255</v>
      </c>
      <c r="B28" s="87">
        <v>7.5028151531290013E-2</v>
      </c>
      <c r="C28" s="88">
        <v>2.5092882000000001E-4</v>
      </c>
      <c r="D28" s="89">
        <v>3.0881530559999995E-6</v>
      </c>
    </row>
    <row r="29" spans="1:10" x14ac:dyDescent="0.2">
      <c r="A29" s="79" t="s">
        <v>256</v>
      </c>
    </row>
    <row r="32" spans="1:10" ht="16" x14ac:dyDescent="0.2">
      <c r="A32" s="160" t="s">
        <v>257</v>
      </c>
    </row>
    <row r="33" spans="1:7" x14ac:dyDescent="0.2">
      <c r="G33" s="19"/>
    </row>
    <row r="34" spans="1:7" x14ac:dyDescent="0.2">
      <c r="A34" s="18"/>
      <c r="B34" s="109" t="s">
        <v>258</v>
      </c>
      <c r="C34" s="109" t="s">
        <v>259</v>
      </c>
      <c r="D34" s="20" t="s">
        <v>260</v>
      </c>
      <c r="E34" s="19"/>
      <c r="G34" s="19"/>
    </row>
    <row r="35" spans="1:7" x14ac:dyDescent="0.2">
      <c r="A35" s="14" t="s">
        <v>5</v>
      </c>
      <c r="B35" s="1">
        <v>2.7E-2</v>
      </c>
      <c r="C35" s="203">
        <v>9.5000000000000005E-5</v>
      </c>
      <c r="D35" s="204">
        <v>1.1000000000000001E-6</v>
      </c>
      <c r="E35" s="19"/>
      <c r="G35" s="19"/>
    </row>
    <row r="36" spans="1:7" x14ac:dyDescent="0.2">
      <c r="A36" s="79"/>
      <c r="G36" s="19"/>
    </row>
    <row r="37" spans="1:7" x14ac:dyDescent="0.2">
      <c r="G37" s="19"/>
    </row>
    <row r="38" spans="1:7" ht="16" x14ac:dyDescent="0.2">
      <c r="A38" s="159" t="s">
        <v>261</v>
      </c>
      <c r="G38" s="19"/>
    </row>
    <row r="40" spans="1:7" x14ac:dyDescent="0.2">
      <c r="A40" s="18"/>
      <c r="B40" s="81" t="s">
        <v>258</v>
      </c>
    </row>
    <row r="41" spans="1:7" x14ac:dyDescent="0.2">
      <c r="A41" s="13" t="s">
        <v>203</v>
      </c>
      <c r="B41" s="82"/>
    </row>
    <row r="42" spans="1:7" x14ac:dyDescent="0.2">
      <c r="A42" s="13" t="s">
        <v>204</v>
      </c>
      <c r="B42" s="82"/>
    </row>
    <row r="43" spans="1:7" x14ac:dyDescent="0.2">
      <c r="A43" s="13" t="s">
        <v>207</v>
      </c>
      <c r="B43" s="82"/>
    </row>
    <row r="44" spans="1:7" x14ac:dyDescent="0.2">
      <c r="A44" s="13" t="s">
        <v>208</v>
      </c>
      <c r="B44" s="82"/>
    </row>
    <row r="45" spans="1:7" x14ac:dyDescent="0.2">
      <c r="A45" s="13" t="s">
        <v>36</v>
      </c>
      <c r="B45" s="83"/>
    </row>
    <row r="46" spans="1:7" x14ac:dyDescent="0.2">
      <c r="A46" s="13" t="s">
        <v>211</v>
      </c>
      <c r="B46" s="82"/>
    </row>
    <row r="47" spans="1:7" x14ac:dyDescent="0.2">
      <c r="A47" s="13" t="s">
        <v>212</v>
      </c>
      <c r="B47" s="82"/>
    </row>
    <row r="48" spans="1:7" x14ac:dyDescent="0.2">
      <c r="A48" s="13" t="s">
        <v>213</v>
      </c>
      <c r="B48" s="82"/>
    </row>
    <row r="49" spans="1:7" x14ac:dyDescent="0.2">
      <c r="A49" s="13" t="s">
        <v>214</v>
      </c>
      <c r="B49" s="83"/>
    </row>
    <row r="50" spans="1:7" x14ac:dyDescent="0.2">
      <c r="A50" s="13" t="s">
        <v>215</v>
      </c>
      <c r="B50" s="82"/>
    </row>
    <row r="51" spans="1:7" x14ac:dyDescent="0.2">
      <c r="A51" s="13" t="s">
        <v>216</v>
      </c>
      <c r="B51" s="82"/>
    </row>
    <row r="52" spans="1:7" x14ac:dyDescent="0.2">
      <c r="A52" s="13" t="s">
        <v>217</v>
      </c>
      <c r="B52" s="82"/>
    </row>
    <row r="53" spans="1:7" x14ac:dyDescent="0.2">
      <c r="A53" s="13" t="s">
        <v>218</v>
      </c>
      <c r="B53" s="82"/>
    </row>
    <row r="54" spans="1:7" x14ac:dyDescent="0.2">
      <c r="A54" s="13" t="s">
        <v>219</v>
      </c>
      <c r="B54" s="82"/>
    </row>
    <row r="55" spans="1:7" x14ac:dyDescent="0.2">
      <c r="A55" s="13" t="s">
        <v>220</v>
      </c>
      <c r="B55" s="82"/>
    </row>
    <row r="56" spans="1:7" x14ac:dyDescent="0.2">
      <c r="A56" s="13" t="s">
        <v>221</v>
      </c>
      <c r="B56" s="82"/>
    </row>
    <row r="57" spans="1:7" x14ac:dyDescent="0.2">
      <c r="A57" s="14" t="s">
        <v>222</v>
      </c>
      <c r="B57" s="84"/>
    </row>
    <row r="58" spans="1:7" x14ac:dyDescent="0.2">
      <c r="A58" s="79" t="s">
        <v>262</v>
      </c>
    </row>
    <row r="59" spans="1:7" x14ac:dyDescent="0.2">
      <c r="C59" s="9"/>
    </row>
    <row r="60" spans="1:7" ht="16" x14ac:dyDescent="0.2">
      <c r="A60" s="160" t="s">
        <v>263</v>
      </c>
    </row>
    <row r="61" spans="1:7" x14ac:dyDescent="0.2">
      <c r="A61" s="9"/>
    </row>
    <row r="62" spans="1:7" x14ac:dyDescent="0.2">
      <c r="A62" s="18" t="s">
        <v>264</v>
      </c>
      <c r="B62" s="137">
        <v>5.0000000000000001E-3</v>
      </c>
      <c r="C62" s="146" t="s">
        <v>265</v>
      </c>
      <c r="G62" s="4"/>
    </row>
    <row r="63" spans="1:7" x14ac:dyDescent="0.2">
      <c r="A63" s="13" t="s">
        <v>266</v>
      </c>
      <c r="B63" s="138">
        <v>5.0000000000000001E-3</v>
      </c>
      <c r="G63" s="4"/>
    </row>
    <row r="64" spans="1:7" x14ac:dyDescent="0.2">
      <c r="A64" s="14" t="s">
        <v>267</v>
      </c>
      <c r="B64" s="23">
        <v>0.1</v>
      </c>
    </row>
    <row r="65" spans="1:3" x14ac:dyDescent="0.2">
      <c r="A65" s="79" t="s">
        <v>268</v>
      </c>
    </row>
    <row r="67" spans="1:3" ht="16" x14ac:dyDescent="0.2">
      <c r="A67" s="160" t="s">
        <v>269</v>
      </c>
      <c r="C67" s="9"/>
    </row>
    <row r="68" spans="1:3" x14ac:dyDescent="0.2">
      <c r="A68" s="9"/>
    </row>
    <row r="69" spans="1:3" x14ac:dyDescent="0.2">
      <c r="A69" s="147" t="s">
        <v>270</v>
      </c>
      <c r="B69" s="148">
        <v>352323</v>
      </c>
    </row>
    <row r="71" spans="1:3" ht="16" x14ac:dyDescent="0.2">
      <c r="A71" s="160" t="s">
        <v>271</v>
      </c>
    </row>
    <row r="72" spans="1:3" x14ac:dyDescent="0.2">
      <c r="A72" s="9"/>
    </row>
    <row r="73" spans="1:3" x14ac:dyDescent="0.2">
      <c r="A73" s="18" t="s">
        <v>272</v>
      </c>
      <c r="B73" s="200">
        <v>0.05</v>
      </c>
    </row>
    <row r="74" spans="1:3" x14ac:dyDescent="0.2">
      <c r="A74" s="14" t="s">
        <v>273</v>
      </c>
      <c r="B74" s="23">
        <f>(3*1.008+14.007)/14.007</f>
        <v>1.2158920539730134</v>
      </c>
    </row>
    <row r="75" spans="1:3" x14ac:dyDescent="0.2">
      <c r="A75" s="8" t="s">
        <v>274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5">
    <tabColor theme="4" tint="0.79998168889431442"/>
  </sheetPr>
  <dimension ref="A2:K6"/>
  <sheetViews>
    <sheetView workbookViewId="0">
      <selection activeCell="C5" sqref="C5"/>
    </sheetView>
  </sheetViews>
  <sheetFormatPr baseColWidth="10" defaultColWidth="8.6640625" defaultRowHeight="14" x14ac:dyDescent="0.2"/>
  <cols>
    <col min="1" max="1" width="20.5" style="8" customWidth="1"/>
    <col min="2" max="2" width="13.6640625" style="8" customWidth="1"/>
    <col min="3" max="3" width="16.33203125" style="8" customWidth="1"/>
    <col min="4" max="4" width="15.33203125" style="8" customWidth="1"/>
    <col min="5" max="5" width="16.33203125" style="8" customWidth="1"/>
    <col min="6" max="6" width="19.5" style="8" customWidth="1"/>
    <col min="7" max="7" width="20.6640625" style="8" customWidth="1"/>
    <col min="8" max="8" width="60.5" style="8" bestFit="1" customWidth="1"/>
    <col min="9" max="9" width="21.5" style="8" bestFit="1" customWidth="1"/>
    <col min="10" max="10" width="10.5" style="8" bestFit="1" customWidth="1"/>
    <col min="11" max="11" width="14.6640625" style="8" customWidth="1"/>
    <col min="12" max="12" width="8.6640625" style="8"/>
    <col min="13" max="13" width="14.33203125" style="8" customWidth="1"/>
    <col min="14" max="15" width="8.6640625" style="8"/>
    <col min="16" max="16" width="18.33203125" style="8" customWidth="1"/>
    <col min="17" max="16384" width="8.6640625" style="8"/>
  </cols>
  <sheetData>
    <row r="2" spans="1:11" ht="21" x14ac:dyDescent="0.2">
      <c r="A2" s="44" t="s">
        <v>275</v>
      </c>
    </row>
    <row r="3" spans="1:11" ht="15" customHeight="1" x14ac:dyDescent="0.2">
      <c r="A3" s="12"/>
    </row>
    <row r="4" spans="1:11" ht="30" x14ac:dyDescent="0.2">
      <c r="A4" s="161"/>
      <c r="B4" s="133" t="s">
        <v>276</v>
      </c>
      <c r="C4" s="133" t="s">
        <v>277</v>
      </c>
      <c r="D4" s="134" t="s">
        <v>278</v>
      </c>
      <c r="E4" s="133" t="s">
        <v>279</v>
      </c>
      <c r="F4" s="135" t="s">
        <v>280</v>
      </c>
      <c r="G4" s="8" t="s">
        <v>178</v>
      </c>
      <c r="I4"/>
      <c r="J4"/>
      <c r="K4"/>
    </row>
    <row r="5" spans="1:11" ht="16" x14ac:dyDescent="0.2">
      <c r="A5" s="162"/>
      <c r="B5" s="143">
        <v>1</v>
      </c>
      <c r="C5" s="143">
        <v>27</v>
      </c>
      <c r="D5" s="143">
        <v>29.8</v>
      </c>
      <c r="E5" s="143">
        <v>273</v>
      </c>
      <c r="F5" s="144">
        <v>1960</v>
      </c>
      <c r="G5" s="4" t="s">
        <v>281</v>
      </c>
      <c r="I5"/>
      <c r="J5"/>
      <c r="K5"/>
    </row>
    <row r="6" spans="1:11" ht="15" x14ac:dyDescent="0.2">
      <c r="I6"/>
      <c r="J6"/>
      <c r="K6"/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9" tint="-0.249977111117893"/>
  </sheetPr>
  <dimension ref="A2:V46"/>
  <sheetViews>
    <sheetView tabSelected="1" zoomScale="80" zoomScaleNormal="80" workbookViewId="0">
      <selection activeCell="A11" sqref="A11:XFD11"/>
    </sheetView>
  </sheetViews>
  <sheetFormatPr baseColWidth="10" defaultColWidth="8.6640625" defaultRowHeight="15" x14ac:dyDescent="0.2"/>
  <cols>
    <col min="1" max="1" width="10.33203125" style="149" customWidth="1"/>
    <col min="2" max="4" width="8.6640625" style="149"/>
    <col min="5" max="5" width="12.33203125" style="149" customWidth="1"/>
    <col min="6" max="6" width="8.6640625" style="149"/>
    <col min="7" max="7" width="8.6640625" style="149" customWidth="1"/>
    <col min="8" max="16384" width="8.6640625" style="149"/>
  </cols>
  <sheetData>
    <row r="2" spans="1:22" ht="21" x14ac:dyDescent="0.25">
      <c r="A2" s="157" t="s">
        <v>282</v>
      </c>
    </row>
    <row r="3" spans="1:22" ht="19" x14ac:dyDescent="0.25">
      <c r="A3" s="261" t="s">
        <v>283</v>
      </c>
    </row>
    <row r="4" spans="1:22" x14ac:dyDescent="0.2">
      <c r="A4" s="260" t="s">
        <v>284</v>
      </c>
    </row>
    <row r="5" spans="1:22" x14ac:dyDescent="0.2">
      <c r="A5" s="260"/>
    </row>
    <row r="6" spans="1:22" ht="14.25" customHeight="1" x14ac:dyDescent="0.25">
      <c r="A6" s="261" t="s">
        <v>285</v>
      </c>
    </row>
    <row r="7" spans="1:22" x14ac:dyDescent="0.2">
      <c r="A7" s="150" t="s">
        <v>286</v>
      </c>
    </row>
    <row r="8" spans="1:22" x14ac:dyDescent="0.2">
      <c r="A8" s="150" t="s">
        <v>287</v>
      </c>
    </row>
    <row r="9" spans="1:22" x14ac:dyDescent="0.2">
      <c r="A9" s="155" t="s">
        <v>288</v>
      </c>
    </row>
    <row r="10" spans="1:22" x14ac:dyDescent="0.2">
      <c r="A10" s="156" t="s">
        <v>289</v>
      </c>
    </row>
    <row r="11" spans="1:22" s="265" customFormat="1" x14ac:dyDescent="0.2">
      <c r="A11" s="264" t="s">
        <v>290</v>
      </c>
    </row>
    <row r="12" spans="1:22" x14ac:dyDescent="0.2">
      <c r="A12" s="150" t="s">
        <v>291</v>
      </c>
      <c r="R12" s="156" t="s">
        <v>292</v>
      </c>
    </row>
    <row r="13" spans="1:22" x14ac:dyDescent="0.2">
      <c r="A13" s="155" t="s">
        <v>293</v>
      </c>
      <c r="V13" s="150"/>
    </row>
    <row r="14" spans="1:22" x14ac:dyDescent="0.2">
      <c r="A14" s="150" t="s">
        <v>294</v>
      </c>
    </row>
    <row r="15" spans="1:22" x14ac:dyDescent="0.2">
      <c r="A15" s="150" t="s">
        <v>295</v>
      </c>
      <c r="S15" s="154"/>
    </row>
    <row r="16" spans="1:22" x14ac:dyDescent="0.2">
      <c r="A16" s="152" t="s">
        <v>296</v>
      </c>
      <c r="S16" s="154"/>
    </row>
    <row r="17" spans="1:22" x14ac:dyDescent="0.2">
      <c r="A17" s="201" t="s">
        <v>297</v>
      </c>
      <c r="S17" s="154"/>
    </row>
    <row r="18" spans="1:22" x14ac:dyDescent="0.2">
      <c r="A18" s="150" t="s">
        <v>298</v>
      </c>
      <c r="S18" s="154"/>
    </row>
    <row r="19" spans="1:22" x14ac:dyDescent="0.2">
      <c r="A19" s="151" t="s">
        <v>299</v>
      </c>
    </row>
    <row r="20" spans="1:22" x14ac:dyDescent="0.2">
      <c r="A20" s="2" t="s">
        <v>300</v>
      </c>
    </row>
    <row r="21" spans="1:22" x14ac:dyDescent="0.2">
      <c r="A21" s="2" t="s">
        <v>301</v>
      </c>
    </row>
    <row r="22" spans="1:22" x14ac:dyDescent="0.2">
      <c r="A22" s="155" t="s">
        <v>302</v>
      </c>
      <c r="S22" s="154"/>
    </row>
    <row r="23" spans="1:22" x14ac:dyDescent="0.2">
      <c r="A23" s="153" t="s">
        <v>303</v>
      </c>
      <c r="R23" s="150" t="s">
        <v>304</v>
      </c>
    </row>
    <row r="24" spans="1:22" x14ac:dyDescent="0.2">
      <c r="A24" s="155" t="s">
        <v>305</v>
      </c>
    </row>
    <row r="25" spans="1:22" x14ac:dyDescent="0.2">
      <c r="A25" s="156" t="s">
        <v>306</v>
      </c>
      <c r="R25" s="150" t="s">
        <v>307</v>
      </c>
    </row>
    <row r="26" spans="1:22" x14ac:dyDescent="0.2">
      <c r="A26" s="156" t="s">
        <v>308</v>
      </c>
    </row>
    <row r="27" spans="1:22" x14ac:dyDescent="0.2">
      <c r="A27" s="150" t="s">
        <v>309</v>
      </c>
      <c r="V27" s="189"/>
    </row>
    <row r="28" spans="1:22" x14ac:dyDescent="0.2">
      <c r="A28" s="158" t="s">
        <v>310</v>
      </c>
    </row>
    <row r="29" spans="1:22" x14ac:dyDescent="0.2">
      <c r="A29" s="158" t="s">
        <v>311</v>
      </c>
    </row>
    <row r="30" spans="1:22" x14ac:dyDescent="0.2">
      <c r="A30" s="156" t="s">
        <v>312</v>
      </c>
    </row>
    <row r="31" spans="1:22" x14ac:dyDescent="0.2">
      <c r="A31" s="150" t="s">
        <v>313</v>
      </c>
      <c r="V31" s="150"/>
    </row>
    <row r="32" spans="1:22" x14ac:dyDescent="0.2">
      <c r="A32" s="150" t="s">
        <v>314</v>
      </c>
    </row>
    <row r="33" spans="1:1" x14ac:dyDescent="0.2">
      <c r="A33" s="155" t="s">
        <v>315</v>
      </c>
    </row>
    <row r="34" spans="1:1" x14ac:dyDescent="0.2">
      <c r="A34" s="155" t="s">
        <v>316</v>
      </c>
    </row>
    <row r="35" spans="1:1" x14ac:dyDescent="0.2">
      <c r="A35" s="155" t="s">
        <v>317</v>
      </c>
    </row>
    <row r="36" spans="1:1" x14ac:dyDescent="0.2">
      <c r="A36" s="155" t="s">
        <v>318</v>
      </c>
    </row>
    <row r="37" spans="1:1" x14ac:dyDescent="0.2">
      <c r="A37" s="155" t="s">
        <v>319</v>
      </c>
    </row>
    <row r="38" spans="1:1" x14ac:dyDescent="0.2">
      <c r="A38" s="191" t="s">
        <v>320</v>
      </c>
    </row>
    <row r="39" spans="1:1" x14ac:dyDescent="0.2">
      <c r="A39" s="150" t="s">
        <v>321</v>
      </c>
    </row>
    <row r="40" spans="1:1" x14ac:dyDescent="0.2">
      <c r="A40" s="185" t="s">
        <v>322</v>
      </c>
    </row>
    <row r="41" spans="1:1" x14ac:dyDescent="0.2">
      <c r="A41" s="150" t="s">
        <v>323</v>
      </c>
    </row>
    <row r="42" spans="1:1" x14ac:dyDescent="0.2">
      <c r="A42" s="149" t="s">
        <v>324</v>
      </c>
    </row>
    <row r="43" spans="1:1" x14ac:dyDescent="0.2">
      <c r="A43" s="149" t="s">
        <v>325</v>
      </c>
    </row>
    <row r="44" spans="1:1" x14ac:dyDescent="0.2">
      <c r="A44" s="155" t="s">
        <v>326</v>
      </c>
    </row>
    <row r="46" spans="1:1" x14ac:dyDescent="0.2">
      <c r="A46" s="192" t="s">
        <v>327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0b5f8f8-e964-4ea5-9bc5-5fa83731a92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A603BB68AE5C0F4C908E70EB4D1DDDC3" ma:contentTypeVersion="15" ma:contentTypeDescription="Skapa ett nytt dokument." ma:contentTypeScope="" ma:versionID="bc1901b771652496ef02f4cbdf878f9e">
  <xsd:schema xmlns:xsd="http://www.w3.org/2001/XMLSchema" xmlns:xs="http://www.w3.org/2001/XMLSchema" xmlns:p="http://schemas.microsoft.com/office/2006/metadata/properties" xmlns:ns3="31ffec6e-e0c6-46d3-bf16-e7019fdf1f95" xmlns:ns4="20b5f8f8-e964-4ea5-9bc5-5fa83731a92f" targetNamespace="http://schemas.microsoft.com/office/2006/metadata/properties" ma:root="true" ma:fieldsID="6c61e44642a1e9e2aad865b2f0b39e8f" ns3:_="" ns4:_="">
    <xsd:import namespace="31ffec6e-e0c6-46d3-bf16-e7019fdf1f95"/>
    <xsd:import namespace="20b5f8f8-e964-4ea5-9bc5-5fa83731a92f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OCR" minOccurs="0"/>
                <xsd:element ref="ns4:MediaServiceAutoKeyPoints" minOccurs="0"/>
                <xsd:element ref="ns4:MediaServiceKeyPoints" minOccurs="0"/>
                <xsd:element ref="ns4:MediaServiceDateTaken" minOccurs="0"/>
                <xsd:element ref="ns4:MediaServiceLocation" minOccurs="0"/>
                <xsd:element ref="ns4:MediaLengthInSeconds" minOccurs="0"/>
                <xsd:element ref="ns4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ffec6e-e0c6-46d3-bf16-e7019fdf1f9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Dela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lat med information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Delar tips,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b5f8f8-e964-4ea5-9bc5-5fa83731a9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7ED23C-5EEB-4F10-AA20-79B788D8342E}">
  <ds:schemaRefs>
    <ds:schemaRef ds:uri="http://schemas.microsoft.com/office/2006/metadata/properties"/>
    <ds:schemaRef ds:uri="http://schemas.microsoft.com/office/infopath/2007/PartnerControls"/>
    <ds:schemaRef ds:uri="20b5f8f8-e964-4ea5-9bc5-5fa83731a92f"/>
  </ds:schemaRefs>
</ds:datastoreItem>
</file>

<file path=customXml/itemProps2.xml><?xml version="1.0" encoding="utf-8"?>
<ds:datastoreItem xmlns:ds="http://schemas.openxmlformats.org/officeDocument/2006/customXml" ds:itemID="{27BF0A1B-B2BC-4159-BD4C-213AA085349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ffec6e-e0c6-46d3-bf16-e7019fdf1f95"/>
    <ds:schemaRef ds:uri="20b5f8f8-e964-4ea5-9bc5-5fa83731a9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16A6EDB-4C6A-433C-9B54-BF88B9AEEE8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77</vt:i4>
      </vt:variant>
    </vt:vector>
  </HeadingPairs>
  <TitlesOfParts>
    <vt:vector size="89" baseType="lpstr">
      <vt:lpstr>README</vt:lpstr>
      <vt:lpstr>Crop Data</vt:lpstr>
      <vt:lpstr>Footprints, results per kg</vt:lpstr>
      <vt:lpstr>Crops CO2e</vt:lpstr>
      <vt:lpstr>Crops CO2</vt:lpstr>
      <vt:lpstr>Crops CH4, fossil</vt:lpstr>
      <vt:lpstr>Crops CH4, bio</vt:lpstr>
      <vt:lpstr>Crops N2O</vt:lpstr>
      <vt:lpstr>Energy</vt:lpstr>
      <vt:lpstr>Emission factors</vt:lpstr>
      <vt:lpstr>CF climate</vt:lpstr>
      <vt:lpstr>Reference list</vt:lpstr>
      <vt:lpstr>CF_biog_CH4</vt:lpstr>
      <vt:lpstr>CF_fossil_CH4</vt:lpstr>
      <vt:lpstr>CF_HCFC</vt:lpstr>
      <vt:lpstr>CF_N2O</vt:lpstr>
      <vt:lpstr>CH4_bio_codes</vt:lpstr>
      <vt:lpstr>CH4_bio_data</vt:lpstr>
      <vt:lpstr>'Crops CH4, bio'!CH4_codes</vt:lpstr>
      <vt:lpstr>CH4_codes</vt:lpstr>
      <vt:lpstr>'Crops CH4, bio'!CH4_data</vt:lpstr>
      <vt:lpstr>CH4_data</vt:lpstr>
      <vt:lpstr>CO2_codes</vt:lpstr>
      <vt:lpstr>CO2_data</vt:lpstr>
      <vt:lpstr>CO2e_codes</vt:lpstr>
      <vt:lpstr>CO2e_data</vt:lpstr>
      <vt:lpstr>'Footprints, results per kg'!Crop_codes</vt:lpstr>
      <vt:lpstr>'Crops CH4, bio'!Crops</vt:lpstr>
      <vt:lpstr>'Crops CH4, fossil'!Crops</vt:lpstr>
      <vt:lpstr>'Crops CO2e'!Crops</vt:lpstr>
      <vt:lpstr>'Crops N2O'!Crops</vt:lpstr>
      <vt:lpstr>Crops</vt:lpstr>
      <vt:lpstr>EF_capital_goods_CH4</vt:lpstr>
      <vt:lpstr>EF_capital_goods_CO2</vt:lpstr>
      <vt:lpstr>EF_capital_goods_N2O</vt:lpstr>
      <vt:lpstr>EF_chips_CH4</vt:lpstr>
      <vt:lpstr>EF_chips_CO2</vt:lpstr>
      <vt:lpstr>EF_chips_N2O</vt:lpstr>
      <vt:lpstr>EF_diesel_CH4</vt:lpstr>
      <vt:lpstr>EF_diesel_CO2</vt:lpstr>
      <vt:lpstr>EF_diesel_N2O</vt:lpstr>
      <vt:lpstr>EF_district_heating_CH4</vt:lpstr>
      <vt:lpstr>EF_district_heating_CO2</vt:lpstr>
      <vt:lpstr>EF_district_heating_N2O</vt:lpstr>
      <vt:lpstr>EF_electricity_CH4</vt:lpstr>
      <vt:lpstr>EF_electricity_CO2</vt:lpstr>
      <vt:lpstr>EF_electricity_N2O</vt:lpstr>
      <vt:lpstr>EF_heating_oil_CH4</vt:lpstr>
      <vt:lpstr>EF_heating_oil_CO2</vt:lpstr>
      <vt:lpstr>EF_heating_oil_N2O</vt:lpstr>
      <vt:lpstr>EF_irrigation_CH4</vt:lpstr>
      <vt:lpstr>EF_irrigation_CO2</vt:lpstr>
      <vt:lpstr>EF_irrigation_N2O</vt:lpstr>
      <vt:lpstr>EF_min_fert_AN_CH4</vt:lpstr>
      <vt:lpstr>EF_min_fert_AN_CO2</vt:lpstr>
      <vt:lpstr>EF_min_fert_AN_N2O</vt:lpstr>
      <vt:lpstr>EF_min_fert_BAT_CH4</vt:lpstr>
      <vt:lpstr>EF_min_fert_BAT_CO2</vt:lpstr>
      <vt:lpstr>EF_min_fert_BAT_N2O</vt:lpstr>
      <vt:lpstr>EF_min_fert_CH4</vt:lpstr>
      <vt:lpstr>EF_min_fert_CO2</vt:lpstr>
      <vt:lpstr>EF_N2O_soils_crop_res</vt:lpstr>
      <vt:lpstr>EF_N2O_soils_indirect</vt:lpstr>
      <vt:lpstr>EF_N2O_soils_min_fert</vt:lpstr>
      <vt:lpstr>EF_natural_gas_CH4</vt:lpstr>
      <vt:lpstr>EF_natural_gas_CO2</vt:lpstr>
      <vt:lpstr>EF_natural_gas_N2O</vt:lpstr>
      <vt:lpstr>EF_NH3</vt:lpstr>
      <vt:lpstr>EF_other_fossil_CH4</vt:lpstr>
      <vt:lpstr>EF_other_fossil_CO2</vt:lpstr>
      <vt:lpstr>EF_other_fossil_N2O</vt:lpstr>
      <vt:lpstr>EF_other_renew_CH4</vt:lpstr>
      <vt:lpstr>EF_other_renew_CO2</vt:lpstr>
      <vt:lpstr>EF_other_renew_N2O</vt:lpstr>
      <vt:lpstr>EF_pellets_CH4</vt:lpstr>
      <vt:lpstr>EF_pellets_CO2</vt:lpstr>
      <vt:lpstr>EF_pellets_N2O</vt:lpstr>
      <vt:lpstr>Frac_AN</vt:lpstr>
      <vt:lpstr>Frac_BAT</vt:lpstr>
      <vt:lpstr>Heating_value_diesel</vt:lpstr>
      <vt:lpstr>Heating_value_oil</vt:lpstr>
      <vt:lpstr>N_to_NH3</vt:lpstr>
      <vt:lpstr>N2O_codes</vt:lpstr>
      <vt:lpstr>N2O_data</vt:lpstr>
      <vt:lpstr>No_species</vt:lpstr>
      <vt:lpstr>Post_harvest_energy_categories</vt:lpstr>
      <vt:lpstr>Post_harvest_energy_data</vt:lpstr>
      <vt:lpstr>Soil_carbon_categories</vt:lpstr>
      <vt:lpstr>Soil_carbon_data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2026-04-26T09:45:24Z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0x010100A603BB68AE5C0F4C908E70EB4D1DDDC3</vt:lpwstr>
  </property>
</Properties>
</file>