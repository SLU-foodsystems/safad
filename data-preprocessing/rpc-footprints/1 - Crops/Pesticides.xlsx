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wilhelmwanecek/dev/safad/data-preprocessing/rpc-footprints/1 - Crops/"/>
    </mc:Choice>
  </mc:AlternateContent>
  <xr:revisionPtr revIDLastSave="0" documentId="13_ncr:1_{58045D3B-8D48-0240-905C-CB300DDF4A7E}" xr6:coauthVersionLast="47" xr6:coauthVersionMax="47" xr10:uidLastSave="{00000000-0000-0000-0000-000000000000}"/>
  <bookViews>
    <workbookView xWindow="0" yWindow="660" windowWidth="19420" windowHeight="11500" tabRatio="500" activeTab="1" xr2:uid="{00000000-000D-0000-FFFF-FFFF00000000}"/>
  </bookViews>
  <sheets>
    <sheet name="INFO" sheetId="1" r:id="rId1"/>
    <sheet name="Data" sheetId="5" r:id="rId2"/>
    <sheet name="Sources" sheetId="3" r:id="rId3"/>
    <sheet name="Data without averages" sheetId="2" r:id="rId4"/>
  </sheets>
  <definedNames>
    <definedName name="_xlnm._FilterDatabase" localSheetId="1" hidden="1">Data!$A$5:$GT$5</definedName>
    <definedName name="_xlnm._FilterDatabase" localSheetId="3" hidden="1">'Data without averages'!$A$5:$GV$5</definedName>
    <definedName name="_xlnm._FilterDatabase" localSheetId="2" hidden="1">Sources!$A$5:$GT$5</definedName>
    <definedName name="Crop_data" localSheetId="1">Data!$A$6:$Z$108</definedName>
    <definedName name="Crop_data">'Data without averages'!$A$6:$AB$108</definedName>
    <definedName name="Crop_data_codes" localSheetId="1">Data!$A$6:$A$108</definedName>
    <definedName name="Crop_data_codes">'Data without averages'!$A$6:$A$108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0" i="5" l="1"/>
  <c r="D101" i="5"/>
  <c r="D102" i="5"/>
  <c r="D103" i="5"/>
  <c r="D104" i="5"/>
  <c r="D105" i="5"/>
  <c r="D106" i="5"/>
  <c r="D107" i="5"/>
  <c r="D108" i="5"/>
  <c r="D99" i="5"/>
  <c r="D97" i="5"/>
  <c r="CI96" i="5"/>
  <c r="D96" i="5" s="1"/>
  <c r="D95" i="5"/>
  <c r="D94" i="5"/>
  <c r="D93" i="5"/>
  <c r="D92" i="5"/>
  <c r="D91" i="5" l="1"/>
  <c r="D90" i="5"/>
  <c r="D89" i="5"/>
  <c r="CI88" i="5"/>
  <c r="D88" i="5" s="1"/>
  <c r="D87" i="5"/>
  <c r="D86" i="5"/>
  <c r="D85" i="5"/>
  <c r="D84" i="5"/>
  <c r="D81" i="5"/>
  <c r="D80" i="5"/>
  <c r="D78" i="5"/>
  <c r="D77" i="5"/>
  <c r="AU76" i="5"/>
  <c r="D75" i="5"/>
  <c r="D74" i="5"/>
  <c r="D73" i="5"/>
  <c r="D72" i="5"/>
  <c r="AA71" i="5"/>
  <c r="D70" i="5"/>
  <c r="D69" i="5"/>
  <c r="D68" i="5"/>
  <c r="D67" i="5"/>
  <c r="D66" i="5"/>
  <c r="D65" i="5"/>
  <c r="D64" i="5"/>
  <c r="D63" i="5"/>
  <c r="D62" i="5"/>
  <c r="D60" i="5"/>
  <c r="D59" i="5"/>
  <c r="D57" i="5"/>
  <c r="D56" i="5"/>
  <c r="D55" i="5"/>
  <c r="D54" i="5"/>
  <c r="D53" i="5"/>
  <c r="D52" i="5"/>
  <c r="D51" i="5"/>
  <c r="CO50" i="5"/>
  <c r="D48" i="5"/>
  <c r="D41" i="5"/>
  <c r="D39" i="5"/>
  <c r="D23" i="5"/>
  <c r="D18" i="5"/>
  <c r="D11" i="5"/>
  <c r="D7" i="5"/>
  <c r="D47" i="5"/>
  <c r="D46" i="5"/>
  <c r="D45" i="5"/>
  <c r="D42" i="5"/>
  <c r="D38" i="5"/>
  <c r="D37" i="5"/>
  <c r="CI36" i="5"/>
  <c r="AA36" i="5"/>
  <c r="D36" i="5" s="1"/>
  <c r="D33" i="5"/>
  <c r="D32" i="5"/>
  <c r="D30" i="5"/>
  <c r="D29" i="5"/>
  <c r="D28" i="5"/>
  <c r="CI27" i="5"/>
  <c r="D26" i="5"/>
  <c r="D25" i="5"/>
  <c r="D24" i="5"/>
  <c r="D22" i="5"/>
  <c r="D21" i="5"/>
  <c r="D20" i="5"/>
  <c r="D17" i="5"/>
  <c r="D16" i="5"/>
  <c r="D15" i="5"/>
  <c r="D14" i="5"/>
  <c r="D12" i="5"/>
  <c r="D10" i="5"/>
  <c r="D9" i="5"/>
  <c r="D8" i="5"/>
  <c r="D6" i="5"/>
  <c r="F96" i="2" l="1"/>
  <c r="E96" i="2"/>
  <c r="F95" i="2"/>
  <c r="E95" i="2"/>
  <c r="F68" i="2"/>
  <c r="E68" i="2"/>
  <c r="F56" i="2"/>
  <c r="E56" i="2"/>
  <c r="F74" i="2"/>
  <c r="E74" i="2"/>
  <c r="F53" i="2"/>
  <c r="E53" i="2"/>
  <c r="F32" i="2"/>
  <c r="E32" i="2"/>
  <c r="F20" i="2"/>
  <c r="E20" i="2"/>
  <c r="F17" i="2"/>
  <c r="E17" i="2"/>
  <c r="F69" i="2"/>
  <c r="E69" i="2"/>
  <c r="F7" i="2"/>
  <c r="E7" i="2"/>
  <c r="F34" i="2"/>
  <c r="E34" i="2"/>
  <c r="D34" i="2"/>
  <c r="F36" i="2"/>
  <c r="E36" i="2"/>
  <c r="F41" i="2"/>
  <c r="E41" i="2"/>
  <c r="F98" i="2"/>
  <c r="E98" i="2"/>
  <c r="F80" i="2"/>
  <c r="E80" i="2"/>
  <c r="F61" i="2"/>
  <c r="E61" i="2"/>
  <c r="F35" i="2"/>
  <c r="E35" i="2"/>
  <c r="D35" i="2"/>
  <c r="F62" i="2"/>
  <c r="E62" i="2"/>
  <c r="D62" i="2"/>
  <c r="F67" i="2"/>
  <c r="E67" i="2"/>
  <c r="F79" i="2"/>
  <c r="E79" i="2"/>
  <c r="F97" i="2"/>
  <c r="E97" i="2"/>
  <c r="F86" i="2"/>
  <c r="E86" i="2"/>
  <c r="F85" i="2"/>
  <c r="E85" i="2"/>
  <c r="F84" i="2"/>
  <c r="E84" i="2"/>
  <c r="F55" i="2"/>
  <c r="E55" i="2"/>
  <c r="F48" i="2"/>
  <c r="E48" i="2"/>
  <c r="F92" i="2"/>
  <c r="E92" i="2"/>
  <c r="F19" i="2"/>
  <c r="E19" i="2"/>
  <c r="F103" i="2"/>
  <c r="E103" i="2"/>
  <c r="F49" i="2"/>
  <c r="E49" i="2"/>
  <c r="F31" i="2"/>
  <c r="E31" i="2"/>
  <c r="F27" i="2"/>
  <c r="E27" i="2"/>
  <c r="F6" i="2"/>
  <c r="E6" i="2"/>
  <c r="D6" i="2"/>
  <c r="F66" i="2"/>
  <c r="E66" i="2"/>
  <c r="F18" i="2"/>
  <c r="E18" i="2"/>
  <c r="F94" i="2"/>
  <c r="E94" i="2"/>
  <c r="F87" i="2"/>
  <c r="E87" i="2"/>
  <c r="F50" i="2"/>
  <c r="E50" i="2"/>
  <c r="F44" i="2"/>
  <c r="E44" i="2"/>
  <c r="F39" i="2"/>
  <c r="E39" i="2"/>
  <c r="F77" i="2"/>
  <c r="E77" i="2"/>
  <c r="F72" i="2"/>
  <c r="E72" i="2"/>
  <c r="F30" i="2"/>
  <c r="E30" i="2"/>
  <c r="F91" i="2"/>
  <c r="E91" i="2"/>
  <c r="F9" i="2"/>
  <c r="E9" i="2"/>
  <c r="F82" i="2"/>
  <c r="E82" i="2"/>
  <c r="F73" i="2"/>
  <c r="E73" i="2"/>
  <c r="F8" i="2"/>
  <c r="E8" i="2"/>
  <c r="F45" i="2"/>
  <c r="E45" i="2"/>
  <c r="F99" i="2"/>
  <c r="E99" i="2"/>
  <c r="F64" i="2"/>
  <c r="E64" i="2"/>
  <c r="F52" i="2"/>
  <c r="E52" i="2"/>
  <c r="F78" i="2"/>
  <c r="E78" i="2"/>
  <c r="F76" i="2"/>
  <c r="E76" i="2"/>
  <c r="F71" i="2"/>
  <c r="E71" i="2"/>
  <c r="F58" i="2"/>
  <c r="E58" i="2"/>
  <c r="F43" i="2"/>
  <c r="E43" i="2"/>
  <c r="F40" i="2"/>
  <c r="E40" i="2"/>
  <c r="F13" i="2"/>
  <c r="E13" i="2"/>
  <c r="D13" i="2"/>
  <c r="F12" i="2"/>
  <c r="E12" i="2"/>
  <c r="F70" i="2"/>
  <c r="E70" i="2"/>
  <c r="F46" i="2"/>
  <c r="E46" i="2"/>
  <c r="F51" i="2"/>
  <c r="E51" i="2"/>
  <c r="F63" i="2"/>
  <c r="E63" i="2"/>
  <c r="F47" i="2"/>
  <c r="E47" i="2"/>
  <c r="F26" i="2"/>
  <c r="E26" i="2"/>
  <c r="F21" i="2"/>
  <c r="E21" i="2"/>
  <c r="F75" i="2"/>
  <c r="E75" i="2"/>
  <c r="F65" i="2"/>
  <c r="E65" i="2"/>
  <c r="F81" i="2"/>
  <c r="E81" i="2"/>
  <c r="F101" i="2"/>
  <c r="E101" i="2"/>
  <c r="F100" i="2"/>
  <c r="E100" i="2"/>
  <c r="F42" i="2"/>
  <c r="E42" i="2"/>
  <c r="F38" i="2"/>
  <c r="E38" i="2"/>
  <c r="F37" i="2"/>
  <c r="E37" i="2"/>
  <c r="F33" i="2"/>
  <c r="E33" i="2"/>
  <c r="F25" i="2"/>
  <c r="E25" i="2"/>
  <c r="F105" i="2"/>
  <c r="E105" i="2"/>
  <c r="F104" i="2"/>
  <c r="E104" i="2"/>
  <c r="F10" i="2"/>
  <c r="E10" i="2"/>
  <c r="F93" i="2"/>
  <c r="E93" i="2"/>
  <c r="F54" i="2"/>
  <c r="E54" i="2"/>
  <c r="F28" i="2"/>
  <c r="E28" i="2"/>
  <c r="F22" i="2"/>
  <c r="E22" i="2"/>
  <c r="F29" i="2"/>
  <c r="E29" i="2"/>
  <c r="F24" i="2"/>
  <c r="E24" i="2"/>
  <c r="F11" i="2"/>
  <c r="E11" i="2"/>
  <c r="F83" i="2"/>
  <c r="E83" i="2"/>
  <c r="F23" i="2"/>
  <c r="E23" i="2"/>
  <c r="F102" i="2"/>
  <c r="E102" i="2"/>
  <c r="F59" i="2"/>
  <c r="E59" i="2"/>
  <c r="F60" i="2"/>
  <c r="E60" i="2"/>
  <c r="F89" i="2"/>
  <c r="E89" i="2"/>
  <c r="F16" i="2"/>
  <c r="E16" i="2"/>
  <c r="F15" i="2"/>
  <c r="E15" i="2"/>
  <c r="F14" i="2"/>
  <c r="E14" i="2"/>
  <c r="F90" i="2"/>
  <c r="E90" i="2"/>
  <c r="F88" i="2"/>
  <c r="E88" i="2"/>
  <c r="F57" i="2"/>
  <c r="E57" i="2"/>
  <c r="F108" i="2"/>
  <c r="E108" i="2"/>
  <c r="F107" i="2"/>
  <c r="E107" i="2"/>
  <c r="F106" i="2"/>
  <c r="E106" i="2"/>
  <c r="GV96" i="5"/>
  <c r="GU96" i="5"/>
  <c r="GV95" i="5"/>
  <c r="GU95" i="5"/>
  <c r="GV68" i="5"/>
  <c r="GU68" i="5"/>
  <c r="GV56" i="5"/>
  <c r="GU56" i="5"/>
  <c r="GV74" i="5"/>
  <c r="GU74" i="5"/>
  <c r="GV53" i="5"/>
  <c r="GU53" i="5"/>
  <c r="GV32" i="5"/>
  <c r="GU32" i="5"/>
  <c r="GV20" i="5"/>
  <c r="GU20" i="5"/>
  <c r="GV17" i="5"/>
  <c r="GU17" i="5"/>
  <c r="GV69" i="5"/>
  <c r="GU69" i="5"/>
  <c r="GV7" i="5"/>
  <c r="GU7" i="5"/>
  <c r="GV34" i="5"/>
  <c r="GU34" i="5"/>
  <c r="D34" i="5"/>
  <c r="GV36" i="5"/>
  <c r="GU36" i="5"/>
  <c r="GV41" i="5"/>
  <c r="GU41" i="5"/>
  <c r="GV98" i="5"/>
  <c r="GU98" i="5"/>
  <c r="GV80" i="5"/>
  <c r="GU80" i="5"/>
  <c r="GV61" i="5"/>
  <c r="GU61" i="5"/>
  <c r="GV35" i="5"/>
  <c r="GU35" i="5"/>
  <c r="D35" i="5"/>
  <c r="GV62" i="5"/>
  <c r="GU62" i="5"/>
  <c r="GV67" i="5"/>
  <c r="GU67" i="5"/>
  <c r="GV79" i="5"/>
  <c r="GU79" i="5"/>
  <c r="GV97" i="5"/>
  <c r="GU97" i="5"/>
  <c r="GV86" i="5"/>
  <c r="GU86" i="5"/>
  <c r="GV85" i="5"/>
  <c r="GU85" i="5"/>
  <c r="GV84" i="5"/>
  <c r="GU84" i="5"/>
  <c r="GV55" i="5"/>
  <c r="GU55" i="5"/>
  <c r="GV48" i="5"/>
  <c r="GU48" i="5"/>
  <c r="GV92" i="5"/>
  <c r="GU92" i="5"/>
  <c r="GV19" i="5"/>
  <c r="GU19" i="5"/>
  <c r="GV103" i="5"/>
  <c r="GU103" i="5"/>
  <c r="GV49" i="5"/>
  <c r="GU49" i="5"/>
  <c r="GV31" i="5"/>
  <c r="GU31" i="5"/>
  <c r="GV27" i="5"/>
  <c r="GU27" i="5"/>
  <c r="GV6" i="5"/>
  <c r="GU6" i="5"/>
  <c r="GV66" i="5"/>
  <c r="GU66" i="5"/>
  <c r="GV18" i="5"/>
  <c r="GU18" i="5"/>
  <c r="GV94" i="5"/>
  <c r="GU94" i="5"/>
  <c r="GV87" i="5"/>
  <c r="GU87" i="5"/>
  <c r="GV50" i="5"/>
  <c r="GU50" i="5"/>
  <c r="GV44" i="5"/>
  <c r="GU44" i="5"/>
  <c r="GV39" i="5"/>
  <c r="GU39" i="5"/>
  <c r="GV77" i="5"/>
  <c r="GU77" i="5"/>
  <c r="GV72" i="5"/>
  <c r="GU72" i="5"/>
  <c r="GV30" i="5"/>
  <c r="GU30" i="5"/>
  <c r="GV91" i="5"/>
  <c r="GU91" i="5"/>
  <c r="GV9" i="5"/>
  <c r="GU9" i="5"/>
  <c r="GV82" i="5"/>
  <c r="GU82" i="5"/>
  <c r="GV73" i="5"/>
  <c r="GU73" i="5"/>
  <c r="GV8" i="5"/>
  <c r="GU8" i="5"/>
  <c r="GV45" i="5"/>
  <c r="GU45" i="5"/>
  <c r="GV99" i="5"/>
  <c r="GU99" i="5"/>
  <c r="GV64" i="5"/>
  <c r="GU64" i="5"/>
  <c r="GV52" i="5"/>
  <c r="GU52" i="5"/>
  <c r="GV78" i="5"/>
  <c r="GU78" i="5"/>
  <c r="GV76" i="5"/>
  <c r="GU76" i="5"/>
  <c r="GV71" i="5"/>
  <c r="GU71" i="5"/>
  <c r="GV58" i="5"/>
  <c r="GU58" i="5"/>
  <c r="GV43" i="5"/>
  <c r="GU43" i="5"/>
  <c r="GV40" i="5"/>
  <c r="GU40" i="5"/>
  <c r="GV13" i="5"/>
  <c r="GU13" i="5"/>
  <c r="D13" i="5"/>
  <c r="GV12" i="5"/>
  <c r="GU12" i="5"/>
  <c r="GV70" i="5"/>
  <c r="GU70" i="5"/>
  <c r="GV46" i="5"/>
  <c r="GU46" i="5"/>
  <c r="GV51" i="5"/>
  <c r="GU51" i="5"/>
  <c r="GV63" i="5"/>
  <c r="GU63" i="5"/>
  <c r="GV47" i="5"/>
  <c r="GU47" i="5"/>
  <c r="GV26" i="5"/>
  <c r="GU26" i="5"/>
  <c r="GV21" i="5"/>
  <c r="GU21" i="5"/>
  <c r="GV75" i="5"/>
  <c r="GU75" i="5"/>
  <c r="GV65" i="5"/>
  <c r="GU65" i="5"/>
  <c r="GV81" i="5"/>
  <c r="GU81" i="5"/>
  <c r="GV101" i="5"/>
  <c r="GU101" i="5"/>
  <c r="GV100" i="5"/>
  <c r="GU100" i="5"/>
  <c r="GV42" i="5"/>
  <c r="GU42" i="5"/>
  <c r="GV38" i="5"/>
  <c r="GU38" i="5"/>
  <c r="GV37" i="5"/>
  <c r="GU37" i="5"/>
  <c r="GV33" i="5"/>
  <c r="GU33" i="5"/>
  <c r="GV25" i="5"/>
  <c r="GU25" i="5"/>
  <c r="GV105" i="5"/>
  <c r="GU105" i="5"/>
  <c r="GV104" i="5"/>
  <c r="GU104" i="5"/>
  <c r="GV10" i="5"/>
  <c r="GU10" i="5"/>
  <c r="GV93" i="5"/>
  <c r="GU93" i="5"/>
  <c r="GV54" i="5"/>
  <c r="GU54" i="5"/>
  <c r="GV28" i="5"/>
  <c r="GU28" i="5"/>
  <c r="GV22" i="5"/>
  <c r="GU22" i="5"/>
  <c r="GV29" i="5"/>
  <c r="GU29" i="5"/>
  <c r="GV24" i="5"/>
  <c r="GU24" i="5"/>
  <c r="GV11" i="5"/>
  <c r="GU11" i="5"/>
  <c r="GV83" i="5"/>
  <c r="GU83" i="5"/>
  <c r="GV23" i="5"/>
  <c r="GU23" i="5"/>
  <c r="GV102" i="5"/>
  <c r="GU102" i="5"/>
  <c r="GV59" i="5"/>
  <c r="GU59" i="5"/>
  <c r="GV60" i="5"/>
  <c r="GU60" i="5"/>
  <c r="GV89" i="5"/>
  <c r="GU89" i="5"/>
  <c r="GV16" i="5"/>
  <c r="GU16" i="5"/>
  <c r="GV15" i="5"/>
  <c r="GU15" i="5"/>
  <c r="GV14" i="5"/>
  <c r="GU14" i="5"/>
  <c r="GV90" i="5"/>
  <c r="GU90" i="5"/>
  <c r="GV88" i="5"/>
  <c r="GU88" i="5"/>
  <c r="GV57" i="5"/>
  <c r="GU57" i="5"/>
  <c r="GV108" i="5"/>
  <c r="GU108" i="5"/>
  <c r="GV107" i="5"/>
  <c r="GU107" i="5"/>
  <c r="GV106" i="5"/>
  <c r="GU10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83" authorId="0" shapeId="0" xr:uid="{00000000-0006-0000-0100-000001000000}">
      <text>
        <r>
          <rPr>
            <sz val="11"/>
            <color theme="1"/>
            <rFont val="Calibri"/>
            <family val="2"/>
            <charset val="1"/>
          </rPr>
          <t>Author:
Bolivia</t>
        </r>
      </text>
    </comment>
    <comment ref="D92" authorId="0" shapeId="0" xr:uid="{00000000-0006-0000-0100-000002000000}">
      <text>
        <r>
          <rPr>
            <sz val="11"/>
            <color theme="1"/>
            <rFont val="Calibri"/>
            <family val="2"/>
            <charset val="1"/>
          </rPr>
          <t>Author:
ecoinvent, RoW</t>
        </r>
      </text>
    </comment>
  </commentList>
</comments>
</file>

<file path=xl/sharedStrings.xml><?xml version="1.0" encoding="utf-8"?>
<sst xmlns="http://schemas.openxmlformats.org/spreadsheetml/2006/main" count="2998" uniqueCount="703">
  <si>
    <t xml:space="preserve">i </t>
  </si>
  <si>
    <t>Pesticide use per crop and country, kg per hectare</t>
  </si>
  <si>
    <t>Crops</t>
  </si>
  <si>
    <t>Afghanistan</t>
  </si>
  <si>
    <t>Albania</t>
  </si>
  <si>
    <t>Algeria</t>
  </si>
  <si>
    <t>Angola</t>
  </si>
  <si>
    <t>Antigua and Barbuda</t>
  </si>
  <si>
    <t>Argentina</t>
  </si>
  <si>
    <t>Armenia</t>
  </si>
  <si>
    <t>Australia</t>
  </si>
  <si>
    <t>Austria</t>
  </si>
  <si>
    <t>Azerbaijan</t>
  </si>
  <si>
    <t>Bahamas</t>
  </si>
  <si>
    <t>Bahrain</t>
  </si>
  <si>
    <t>Bangladesh</t>
  </si>
  <si>
    <t>Barbados</t>
  </si>
  <si>
    <t>Belarus</t>
  </si>
  <si>
    <t>Belgium</t>
  </si>
  <si>
    <t>Belize</t>
  </si>
  <si>
    <t>Benin</t>
  </si>
  <si>
    <t>Bhutan</t>
  </si>
  <si>
    <t>Bolivia</t>
  </si>
  <si>
    <t>Bosnia and Herzegovina</t>
  </si>
  <si>
    <t>Botswana</t>
  </si>
  <si>
    <t>Brazil</t>
  </si>
  <si>
    <t>Brunei Darussalam</t>
  </si>
  <si>
    <t>Bulgaria</t>
  </si>
  <si>
    <t>Burkina Faso</t>
  </si>
  <si>
    <t>Burundi</t>
  </si>
  <si>
    <t>Cabo Verde</t>
  </si>
  <si>
    <t>Cambodia</t>
  </si>
  <si>
    <t>Cameroon</t>
  </si>
  <si>
    <t>Canada</t>
  </si>
  <si>
    <t>Central African Republic</t>
  </si>
  <si>
    <t>Chad</t>
  </si>
  <si>
    <t>Chile</t>
  </si>
  <si>
    <t>China, Hong Kong SAR</t>
  </si>
  <si>
    <t>China, Macao SAR</t>
  </si>
  <si>
    <t>China, Taiwan Province of</t>
  </si>
  <si>
    <t>China, mainland</t>
  </si>
  <si>
    <t>Colombia</t>
  </si>
  <si>
    <t>Comoros</t>
  </si>
  <si>
    <t>Congo</t>
  </si>
  <si>
    <t>Cook Islands</t>
  </si>
  <si>
    <t>Costa Rica</t>
  </si>
  <si>
    <t>Croatia</t>
  </si>
  <si>
    <t>Cuba</t>
  </si>
  <si>
    <t>Cyprus</t>
  </si>
  <si>
    <t>Czechia</t>
  </si>
  <si>
    <t>Côte d'Ivoire</t>
  </si>
  <si>
    <t>Democratic People's Republic of Korea</t>
  </si>
  <si>
    <t>Democratic Republic of the Congo</t>
  </si>
  <si>
    <t>Denmark</t>
  </si>
  <si>
    <t>Djibouti</t>
  </si>
  <si>
    <t>Dominica</t>
  </si>
  <si>
    <t>Dominican Republic</t>
  </si>
  <si>
    <t>Ecuador</t>
  </si>
  <si>
    <t>Egypt</t>
  </si>
  <si>
    <t>El Salvador</t>
  </si>
  <si>
    <t>Equatorial Guinea</t>
  </si>
  <si>
    <t>Eritrea</t>
  </si>
  <si>
    <t>Estonia</t>
  </si>
  <si>
    <t>Eswatini</t>
  </si>
  <si>
    <t>Ethiopia</t>
  </si>
  <si>
    <t>Faroe Islands</t>
  </si>
  <si>
    <t>Fiji</t>
  </si>
  <si>
    <t>Finland</t>
  </si>
  <si>
    <t>France</t>
  </si>
  <si>
    <t>French Polynesia</t>
  </si>
  <si>
    <t>Gabon</t>
  </si>
  <si>
    <t>Gambia</t>
  </si>
  <si>
    <t>Georgia</t>
  </si>
  <si>
    <t>Germany</t>
  </si>
  <si>
    <t>Ghana</t>
  </si>
  <si>
    <t>Greece</t>
  </si>
  <si>
    <t>Grenada</t>
  </si>
  <si>
    <t>Guatemala</t>
  </si>
  <si>
    <t>Guinea</t>
  </si>
  <si>
    <t>Guinea-Bissau</t>
  </si>
  <si>
    <t>Guyana</t>
  </si>
  <si>
    <t>Haiti</t>
  </si>
  <si>
    <t>Honduras</t>
  </si>
  <si>
    <t>Hungary</t>
  </si>
  <si>
    <t>Iceland</t>
  </si>
  <si>
    <t>India</t>
  </si>
  <si>
    <t>Indonesia</t>
  </si>
  <si>
    <t>Iran</t>
  </si>
  <si>
    <t>Iraq</t>
  </si>
  <si>
    <t>Ireland</t>
  </si>
  <si>
    <t>Israel</t>
  </si>
  <si>
    <t>Italy</t>
  </si>
  <si>
    <t>Jamaica</t>
  </si>
  <si>
    <t>Japan</t>
  </si>
  <si>
    <t>Jordan</t>
  </si>
  <si>
    <t>Kazakhstan</t>
  </si>
  <si>
    <t>Kenya</t>
  </si>
  <si>
    <t>Kiribati</t>
  </si>
  <si>
    <t>Kuwait</t>
  </si>
  <si>
    <t>Kyrgyzstan</t>
  </si>
  <si>
    <t>Lao People's Democratic Republic</t>
  </si>
  <si>
    <t>Latvia</t>
  </si>
  <si>
    <t>Lebanon</t>
  </si>
  <si>
    <t>Lesotho</t>
  </si>
  <si>
    <t>Liberia</t>
  </si>
  <si>
    <t>Libya</t>
  </si>
  <si>
    <t>Lithuania</t>
  </si>
  <si>
    <t>Luxembourg</t>
  </si>
  <si>
    <t>Madagascar</t>
  </si>
  <si>
    <t>Malawi</t>
  </si>
  <si>
    <t>Malaysia</t>
  </si>
  <si>
    <t>Maldives</t>
  </si>
  <si>
    <t>Mali</t>
  </si>
  <si>
    <t>Malta</t>
  </si>
  <si>
    <t>Marshall Islands</t>
  </si>
  <si>
    <t>Mauritania</t>
  </si>
  <si>
    <t>Mauritius</t>
  </si>
  <si>
    <t>Mexico</t>
  </si>
  <si>
    <t>Micronesia (Federated States of)</t>
  </si>
  <si>
    <t>Mongolia</t>
  </si>
  <si>
    <t>Montenegro</t>
  </si>
  <si>
    <t>Morocco</t>
  </si>
  <si>
    <t>Mozambique</t>
  </si>
  <si>
    <t>Myanmar</t>
  </si>
  <si>
    <t>Namibia</t>
  </si>
  <si>
    <t>Nauru</t>
  </si>
  <si>
    <t>Nepal</t>
  </si>
  <si>
    <t>Netherlands</t>
  </si>
  <si>
    <t>New Caledonia</t>
  </si>
  <si>
    <t>New Zealand</t>
  </si>
  <si>
    <t>Nicaragua</t>
  </si>
  <si>
    <t>Niger</t>
  </si>
  <si>
    <t>Nigeria</t>
  </si>
  <si>
    <t>Niue</t>
  </si>
  <si>
    <t>North Macedonia</t>
  </si>
  <si>
    <t>Norway</t>
  </si>
  <si>
    <t>Oman</t>
  </si>
  <si>
    <t>Pakistan</t>
  </si>
  <si>
    <t>Palestine</t>
  </si>
  <si>
    <t>Panama</t>
  </si>
  <si>
    <t>Papua New Guinea</t>
  </si>
  <si>
    <t>Paraguay</t>
  </si>
  <si>
    <t>Peru</t>
  </si>
  <si>
    <t>Philippines</t>
  </si>
  <si>
    <t>Poland</t>
  </si>
  <si>
    <t>Portugal</t>
  </si>
  <si>
    <t>Puerto Rico</t>
  </si>
  <si>
    <t>Qatar</t>
  </si>
  <si>
    <t>Republic of Korea</t>
  </si>
  <si>
    <t>Republic of Moldova</t>
  </si>
  <si>
    <t>Romania</t>
  </si>
  <si>
    <t>Russian Federation</t>
  </si>
  <si>
    <t>Rwanda</t>
  </si>
  <si>
    <t>Saint Kitts and Nevis</t>
  </si>
  <si>
    <t>Saint Lucia</t>
  </si>
  <si>
    <t>Saint Vincent and the Grenadines</t>
  </si>
  <si>
    <t>Samoa</t>
  </si>
  <si>
    <t>Sao Tome and Principe</t>
  </si>
  <si>
    <t>Saudi Arabia</t>
  </si>
  <si>
    <t>Senegal</t>
  </si>
  <si>
    <t>Serbia</t>
  </si>
  <si>
    <t>Seychelles</t>
  </si>
  <si>
    <t>Sierra Leone</t>
  </si>
  <si>
    <t>Singapore</t>
  </si>
  <si>
    <t>Slovakia</t>
  </si>
  <si>
    <t>Slovenia</t>
  </si>
  <si>
    <t>Solomon Islands</t>
  </si>
  <si>
    <t>Somalia</t>
  </si>
  <si>
    <t>South Africa</t>
  </si>
  <si>
    <t>South Sudan</t>
  </si>
  <si>
    <t>Spain</t>
  </si>
  <si>
    <t>Sri Lanka</t>
  </si>
  <si>
    <t>Sudan</t>
  </si>
  <si>
    <t>Suriname</t>
  </si>
  <si>
    <t>Sweden</t>
  </si>
  <si>
    <t>Switzerland</t>
  </si>
  <si>
    <t>Syrian Arab Republic</t>
  </si>
  <si>
    <t>Tajikistan</t>
  </si>
  <si>
    <t>Thailand</t>
  </si>
  <si>
    <t>Timor-Leste</t>
  </si>
  <si>
    <t>Togo</t>
  </si>
  <si>
    <t>Tonga</t>
  </si>
  <si>
    <t>Trinidad and Tobago</t>
  </si>
  <si>
    <t>Tunisia</t>
  </si>
  <si>
    <t>Turkmenistan</t>
  </si>
  <si>
    <t>Tuvalu</t>
  </si>
  <si>
    <t>Türkiye</t>
  </si>
  <si>
    <t>Uganda</t>
  </si>
  <si>
    <t>Ukraine</t>
  </si>
  <si>
    <t>United Arab Emirates</t>
  </si>
  <si>
    <t>United Kingdom of Great Britain and Northern Ireland</t>
  </si>
  <si>
    <t>United Republic of Tanzania</t>
  </si>
  <si>
    <t>United States of America</t>
  </si>
  <si>
    <t>Uruguay</t>
  </si>
  <si>
    <t>Uzbekistan</t>
  </si>
  <si>
    <t>Vanuatu</t>
  </si>
  <si>
    <t>Venezuela</t>
  </si>
  <si>
    <t>Viet Nam</t>
  </si>
  <si>
    <t>Yemen</t>
  </si>
  <si>
    <t>Zambia</t>
  </si>
  <si>
    <t>Zimbabwe</t>
  </si>
  <si>
    <t>Crop code</t>
  </si>
  <si>
    <t>Crop</t>
  </si>
  <si>
    <t>Category</t>
  </si>
  <si>
    <t>Default</t>
  </si>
  <si>
    <t>AF</t>
  </si>
  <si>
    <t>AL</t>
  </si>
  <si>
    <t>DZ</t>
  </si>
  <si>
    <t>AO</t>
  </si>
  <si>
    <t>AG</t>
  </si>
  <si>
    <t>AR</t>
  </si>
  <si>
    <t>AM</t>
  </si>
  <si>
    <t>AU</t>
  </si>
  <si>
    <t>AT</t>
  </si>
  <si>
    <t>AZ</t>
  </si>
  <si>
    <t>BS</t>
  </si>
  <si>
    <t>BH</t>
  </si>
  <si>
    <t>BD</t>
  </si>
  <si>
    <t>BB</t>
  </si>
  <si>
    <t>BY</t>
  </si>
  <si>
    <t>BE</t>
  </si>
  <si>
    <t>BZ</t>
  </si>
  <si>
    <t>BJ</t>
  </si>
  <si>
    <t>BT</t>
  </si>
  <si>
    <t>BO</t>
  </si>
  <si>
    <t>BA</t>
  </si>
  <si>
    <t>BW</t>
  </si>
  <si>
    <t>BR</t>
  </si>
  <si>
    <t>BN</t>
  </si>
  <si>
    <t>BG</t>
  </si>
  <si>
    <t>BF</t>
  </si>
  <si>
    <t>BI</t>
  </si>
  <si>
    <t>CV</t>
  </si>
  <si>
    <t>KH</t>
  </si>
  <si>
    <t>CM</t>
  </si>
  <si>
    <t>CA</t>
  </si>
  <si>
    <t>CF</t>
  </si>
  <si>
    <t>TD</t>
  </si>
  <si>
    <t>CL</t>
  </si>
  <si>
    <t>HK</t>
  </si>
  <si>
    <t>MO</t>
  </si>
  <si>
    <t>TW</t>
  </si>
  <si>
    <t>CN</t>
  </si>
  <si>
    <t>CO</t>
  </si>
  <si>
    <t>KM</t>
  </si>
  <si>
    <t>CG</t>
  </si>
  <si>
    <t>CK</t>
  </si>
  <si>
    <t>CR</t>
  </si>
  <si>
    <t>HR</t>
  </si>
  <si>
    <t>CU</t>
  </si>
  <si>
    <t>CY</t>
  </si>
  <si>
    <t>CZ</t>
  </si>
  <si>
    <t>CI</t>
  </si>
  <si>
    <t>KP</t>
  </si>
  <si>
    <t>CD</t>
  </si>
  <si>
    <t>DK</t>
  </si>
  <si>
    <t>DJ</t>
  </si>
  <si>
    <t>DM</t>
  </si>
  <si>
    <t>DO</t>
  </si>
  <si>
    <t>EC</t>
  </si>
  <si>
    <t>EG</t>
  </si>
  <si>
    <t>SV</t>
  </si>
  <si>
    <t>GQ</t>
  </si>
  <si>
    <t>ER</t>
  </si>
  <si>
    <t>EE</t>
  </si>
  <si>
    <t>SZ</t>
  </si>
  <si>
    <t>ET</t>
  </si>
  <si>
    <t>FO</t>
  </si>
  <si>
    <t>FJ</t>
  </si>
  <si>
    <t>FI</t>
  </si>
  <si>
    <t>FR</t>
  </si>
  <si>
    <t>PF</t>
  </si>
  <si>
    <t>GA</t>
  </si>
  <si>
    <t>GM</t>
  </si>
  <si>
    <t>GE</t>
  </si>
  <si>
    <t>DE</t>
  </si>
  <si>
    <t>GH</t>
  </si>
  <si>
    <t>GR</t>
  </si>
  <si>
    <t>GD</t>
  </si>
  <si>
    <t>GT</t>
  </si>
  <si>
    <t>GN</t>
  </si>
  <si>
    <t>GW</t>
  </si>
  <si>
    <t>GY</t>
  </si>
  <si>
    <t>HT</t>
  </si>
  <si>
    <t>HN</t>
  </si>
  <si>
    <t>HU</t>
  </si>
  <si>
    <t>IS</t>
  </si>
  <si>
    <t>IN</t>
  </si>
  <si>
    <t>ID</t>
  </si>
  <si>
    <t>IR</t>
  </si>
  <si>
    <t>IQ</t>
  </si>
  <si>
    <t>IE</t>
  </si>
  <si>
    <t>IL</t>
  </si>
  <si>
    <t>IT</t>
  </si>
  <si>
    <t>JM</t>
  </si>
  <si>
    <t>JP</t>
  </si>
  <si>
    <t>JO</t>
  </si>
  <si>
    <t>KZ</t>
  </si>
  <si>
    <t>KE</t>
  </si>
  <si>
    <t>KI</t>
  </si>
  <si>
    <t>KW</t>
  </si>
  <si>
    <t>KG</t>
  </si>
  <si>
    <t>LA</t>
  </si>
  <si>
    <t>LV</t>
  </si>
  <si>
    <t>LB</t>
  </si>
  <si>
    <t>LS</t>
  </si>
  <si>
    <t>LR</t>
  </si>
  <si>
    <t>LY</t>
  </si>
  <si>
    <t>LT</t>
  </si>
  <si>
    <t>LU</t>
  </si>
  <si>
    <t>MG</t>
  </si>
  <si>
    <t>MW</t>
  </si>
  <si>
    <t>MY</t>
  </si>
  <si>
    <t>MV</t>
  </si>
  <si>
    <t>ML</t>
  </si>
  <si>
    <t>MT</t>
  </si>
  <si>
    <t>MH</t>
  </si>
  <si>
    <t>MR</t>
  </si>
  <si>
    <t>MU</t>
  </si>
  <si>
    <t>MX</t>
  </si>
  <si>
    <t>FM</t>
  </si>
  <si>
    <t>MN</t>
  </si>
  <si>
    <t>ME</t>
  </si>
  <si>
    <t>MA</t>
  </si>
  <si>
    <t>MZ</t>
  </si>
  <si>
    <t>MM</t>
  </si>
  <si>
    <t>NA</t>
  </si>
  <si>
    <t>NR</t>
  </si>
  <si>
    <t>NP</t>
  </si>
  <si>
    <t>NL</t>
  </si>
  <si>
    <t>NC</t>
  </si>
  <si>
    <t>NZ</t>
  </si>
  <si>
    <t>NI</t>
  </si>
  <si>
    <t>NE</t>
  </si>
  <si>
    <t>NG</t>
  </si>
  <si>
    <t>NU</t>
  </si>
  <si>
    <t>MK</t>
  </si>
  <si>
    <t>NO</t>
  </si>
  <si>
    <t>OM</t>
  </si>
  <si>
    <t>PK</t>
  </si>
  <si>
    <t>PS</t>
  </si>
  <si>
    <t>PA</t>
  </si>
  <si>
    <t>PG</t>
  </si>
  <si>
    <t>PY</t>
  </si>
  <si>
    <t>PE</t>
  </si>
  <si>
    <t>PH</t>
  </si>
  <si>
    <t>PL</t>
  </si>
  <si>
    <t>PT</t>
  </si>
  <si>
    <t>PR</t>
  </si>
  <si>
    <t>QA</t>
  </si>
  <si>
    <t>KR</t>
  </si>
  <si>
    <t>MD</t>
  </si>
  <si>
    <t>RO</t>
  </si>
  <si>
    <t>RU</t>
  </si>
  <si>
    <t>RW</t>
  </si>
  <si>
    <t>KN</t>
  </si>
  <si>
    <t>LC</t>
  </si>
  <si>
    <t>VC</t>
  </si>
  <si>
    <t>WS</t>
  </si>
  <si>
    <t>ST</t>
  </si>
  <si>
    <t>SA</t>
  </si>
  <si>
    <t>SN</t>
  </si>
  <si>
    <t>RS</t>
  </si>
  <si>
    <t>SC</t>
  </si>
  <si>
    <t>SL</t>
  </si>
  <si>
    <t>SG</t>
  </si>
  <si>
    <t>SK</t>
  </si>
  <si>
    <t>SI</t>
  </si>
  <si>
    <t>SB</t>
  </si>
  <si>
    <t>SO</t>
  </si>
  <si>
    <t>ZA</t>
  </si>
  <si>
    <t>SS</t>
  </si>
  <si>
    <t>ES</t>
  </si>
  <si>
    <t>LK</t>
  </si>
  <si>
    <t>SD</t>
  </si>
  <si>
    <t>SR</t>
  </si>
  <si>
    <t>SE</t>
  </si>
  <si>
    <t>CH</t>
  </si>
  <si>
    <t>SY</t>
  </si>
  <si>
    <t>TJ</t>
  </si>
  <si>
    <t>TH</t>
  </si>
  <si>
    <t>TL</t>
  </si>
  <si>
    <t>TG</t>
  </si>
  <si>
    <t>TO</t>
  </si>
  <si>
    <t>TT</t>
  </si>
  <si>
    <t>TN</t>
  </si>
  <si>
    <t>TM</t>
  </si>
  <si>
    <t>TV</t>
  </si>
  <si>
    <t>TR</t>
  </si>
  <si>
    <t>UG</t>
  </si>
  <si>
    <t>UA</t>
  </si>
  <si>
    <t>AE</t>
  </si>
  <si>
    <t>GB</t>
  </si>
  <si>
    <t>TZ</t>
  </si>
  <si>
    <t>US</t>
  </si>
  <si>
    <t>UY</t>
  </si>
  <si>
    <t>UZ</t>
  </si>
  <si>
    <t>VU</t>
  </si>
  <si>
    <t>VE</t>
  </si>
  <si>
    <t>VN</t>
  </si>
  <si>
    <t>YE</t>
  </si>
  <si>
    <t>ZM</t>
  </si>
  <si>
    <t>ZW</t>
  </si>
  <si>
    <t>0111</t>
  </si>
  <si>
    <t>Wheat, average</t>
  </si>
  <si>
    <t>Cereals, incl feed</t>
  </si>
  <si>
    <t>0111_s</t>
  </si>
  <si>
    <t>Wheat, spring</t>
  </si>
  <si>
    <t>Cereals</t>
  </si>
  <si>
    <t>0111_w</t>
  </si>
  <si>
    <t>Wheat, winter</t>
  </si>
  <si>
    <t>0112</t>
  </si>
  <si>
    <t>Maize (corn)</t>
  </si>
  <si>
    <t>0113</t>
  </si>
  <si>
    <t>Rice</t>
  </si>
  <si>
    <t>0114</t>
  </si>
  <si>
    <t>Sorghum</t>
  </si>
  <si>
    <t>0115</t>
  </si>
  <si>
    <t>Barley, average</t>
  </si>
  <si>
    <t>0115_s</t>
  </si>
  <si>
    <t>Barley, spring</t>
  </si>
  <si>
    <t>0115_w</t>
  </si>
  <si>
    <t>Barley, winter</t>
  </si>
  <si>
    <t>0116</t>
  </si>
  <si>
    <t>Rye</t>
  </si>
  <si>
    <t>0117</t>
  </si>
  <si>
    <t>Oats</t>
  </si>
  <si>
    <t>0118</t>
  </si>
  <si>
    <t>Millet</t>
  </si>
  <si>
    <t>01191</t>
  </si>
  <si>
    <t>Triticale</t>
  </si>
  <si>
    <t>01192</t>
  </si>
  <si>
    <t>Buckwheat</t>
  </si>
  <si>
    <t>Seeds</t>
  </si>
  <si>
    <t>01194</t>
  </si>
  <si>
    <t>Quinoa</t>
  </si>
  <si>
    <t>01211</t>
  </si>
  <si>
    <t>Asparagus</t>
  </si>
  <si>
    <t>Vegetables</t>
  </si>
  <si>
    <t>01212</t>
  </si>
  <si>
    <t>Cabbages</t>
  </si>
  <si>
    <t>01213</t>
  </si>
  <si>
    <t>Cauliflowers and broccoli, average</t>
  </si>
  <si>
    <t>01213_b</t>
  </si>
  <si>
    <t>Broccoli</t>
  </si>
  <si>
    <t>01213_cf</t>
  </si>
  <si>
    <t>Cauliflowers</t>
  </si>
  <si>
    <t>01214</t>
  </si>
  <si>
    <t>Lettuce and chicory</t>
  </si>
  <si>
    <t>01215</t>
  </si>
  <si>
    <t>Spinach</t>
  </si>
  <si>
    <t>01216</t>
  </si>
  <si>
    <t>Artichokes</t>
  </si>
  <si>
    <t>01221_gh</t>
  </si>
  <si>
    <t>Watermelons, greenhouse</t>
  </si>
  <si>
    <t>Fruits</t>
  </si>
  <si>
    <t>01221_of</t>
  </si>
  <si>
    <t>Watermelons, openfield</t>
  </si>
  <si>
    <t>01229</t>
  </si>
  <si>
    <t>Cantaloupes and other melons</t>
  </si>
  <si>
    <t>01231</t>
  </si>
  <si>
    <t>Chillies and peppers, green (Capsicum spp. and Pimenta spp.), raw</t>
  </si>
  <si>
    <t>Spices</t>
  </si>
  <si>
    <t>01232_gh</t>
  </si>
  <si>
    <t>Cucumbers and gherkins, greenhouse</t>
  </si>
  <si>
    <t>01232_of</t>
  </si>
  <si>
    <t>Cucumbers and gherkins, openfield</t>
  </si>
  <si>
    <t>01233</t>
  </si>
  <si>
    <t>Eggplants (aubergines)</t>
  </si>
  <si>
    <t>01234_gh</t>
  </si>
  <si>
    <t>Tomatoes, greenhouse</t>
  </si>
  <si>
    <t>01234_of</t>
  </si>
  <si>
    <t>Tomatoes, openfield</t>
  </si>
  <si>
    <t>01235</t>
  </si>
  <si>
    <t>Pumpkins, squash and gourds</t>
  </si>
  <si>
    <t>01241.90</t>
  </si>
  <si>
    <t>Other beans, green</t>
  </si>
  <si>
    <t>Default-01231</t>
  </si>
  <si>
    <t>01242</t>
  </si>
  <si>
    <t>Peas, green</t>
  </si>
  <si>
    <t>01243</t>
  </si>
  <si>
    <t>Broad beans and horse beans, green</t>
  </si>
  <si>
    <t>01251</t>
  </si>
  <si>
    <t>Carrots and turnips</t>
  </si>
  <si>
    <t>01252</t>
  </si>
  <si>
    <t>Green garlic</t>
  </si>
  <si>
    <t>01253.02</t>
  </si>
  <si>
    <t>Onions and shallots, dry (excluding dehydrated)</t>
  </si>
  <si>
    <t>01254</t>
  </si>
  <si>
    <t>Leeks and other alliaceous vegetables</t>
  </si>
  <si>
    <t>01290.01</t>
  </si>
  <si>
    <t>Green corn (maize)</t>
  </si>
  <si>
    <t>01290.90</t>
  </si>
  <si>
    <t>Other vegetables, fresh n.e.c.</t>
  </si>
  <si>
    <t>Default-01251</t>
  </si>
  <si>
    <t>01311</t>
  </si>
  <si>
    <t>Avocados</t>
  </si>
  <si>
    <t>01312</t>
  </si>
  <si>
    <t>Bananas</t>
  </si>
  <si>
    <t>01314</t>
  </si>
  <si>
    <t>Dates</t>
  </si>
  <si>
    <t>01315</t>
  </si>
  <si>
    <t>Figs</t>
  </si>
  <si>
    <t>01316</t>
  </si>
  <si>
    <t>Mangoes, guavas and mangosteens</t>
  </si>
  <si>
    <t>01317</t>
  </si>
  <si>
    <t>Papayas</t>
  </si>
  <si>
    <t>01318</t>
  </si>
  <si>
    <t>Pineapples</t>
  </si>
  <si>
    <t>01321</t>
  </si>
  <si>
    <t>Pomelos and grapefruits</t>
  </si>
  <si>
    <t>01322</t>
  </si>
  <si>
    <t>Lemons and limes</t>
  </si>
  <si>
    <t>01323</t>
  </si>
  <si>
    <t>Oranges</t>
  </si>
  <si>
    <t>01324</t>
  </si>
  <si>
    <t>Tangerines, mandarins, clementines</t>
  </si>
  <si>
    <t>01330</t>
  </si>
  <si>
    <t>Grapes</t>
  </si>
  <si>
    <t>01341</t>
  </si>
  <si>
    <t>Apples</t>
  </si>
  <si>
    <t>01342.01</t>
  </si>
  <si>
    <t>Pears</t>
  </si>
  <si>
    <t>01342.02</t>
  </si>
  <si>
    <t>Quinces</t>
  </si>
  <si>
    <t>Other</t>
  </si>
  <si>
    <t>01343</t>
  </si>
  <si>
    <t>Apricots</t>
  </si>
  <si>
    <t>01344.01</t>
  </si>
  <si>
    <t>Sour cherries</t>
  </si>
  <si>
    <t>01344.02</t>
  </si>
  <si>
    <t>Cherries</t>
  </si>
  <si>
    <t>Berries</t>
  </si>
  <si>
    <t>01345</t>
  </si>
  <si>
    <t>Peaches and nectarines</t>
  </si>
  <si>
    <t>01346</t>
  </si>
  <si>
    <t>Plums and sloes</t>
  </si>
  <si>
    <t>01351.01</t>
  </si>
  <si>
    <t>Currants</t>
  </si>
  <si>
    <t>01351.02</t>
  </si>
  <si>
    <t>Gooseberries</t>
  </si>
  <si>
    <t>01352</t>
  </si>
  <si>
    <t>Kiwi fruit</t>
  </si>
  <si>
    <t>01353.01</t>
  </si>
  <si>
    <t>Raspberries</t>
  </si>
  <si>
    <t>01354</t>
  </si>
  <si>
    <t>Strawberries</t>
  </si>
  <si>
    <t>01355.01</t>
  </si>
  <si>
    <t>Blueberries</t>
  </si>
  <si>
    <t>01359.90</t>
  </si>
  <si>
    <t>Other fruits, n.e.c.</t>
  </si>
  <si>
    <t>Default-01341</t>
  </si>
  <si>
    <t>01371</t>
  </si>
  <si>
    <t>Almonds, in shell</t>
  </si>
  <si>
    <t>Nuts</t>
  </si>
  <si>
    <t>01372</t>
  </si>
  <si>
    <t>Cashew nuts, in shell</t>
  </si>
  <si>
    <t>01373</t>
  </si>
  <si>
    <t>Chestnuts, in shell</t>
  </si>
  <si>
    <t>01374</t>
  </si>
  <si>
    <t>Hazelnuts, in shell</t>
  </si>
  <si>
    <t>01376</t>
  </si>
  <si>
    <t>Walnuts, in shell</t>
  </si>
  <si>
    <t>01377</t>
  </si>
  <si>
    <t>Brazil nuts, in shell</t>
  </si>
  <si>
    <t>0141</t>
  </si>
  <si>
    <t>Soya beans</t>
  </si>
  <si>
    <t>Pulses</t>
  </si>
  <si>
    <t>0142</t>
  </si>
  <si>
    <t>Groundnuts, excluding shelled</t>
  </si>
  <si>
    <t>01441</t>
  </si>
  <si>
    <t>Linseed</t>
  </si>
  <si>
    <t>01443</t>
  </si>
  <si>
    <t>Rape or colza seed, average</t>
  </si>
  <si>
    <t>Oil crops</t>
  </si>
  <si>
    <t>01443_s</t>
  </si>
  <si>
    <t>Rape or colza seed, spring</t>
  </si>
  <si>
    <t>01443_w</t>
  </si>
  <si>
    <t>Rape or colza seed, winter</t>
  </si>
  <si>
    <t>01445</t>
  </si>
  <si>
    <t>Sunflower seed</t>
  </si>
  <si>
    <t>01448</t>
  </si>
  <si>
    <t>Poppy seed</t>
  </si>
  <si>
    <t>01449.90</t>
  </si>
  <si>
    <t>Other oil seeds, n.e.c.</t>
  </si>
  <si>
    <t>Default-01443</t>
  </si>
  <si>
    <t>01450</t>
  </si>
  <si>
    <t>Olives</t>
  </si>
  <si>
    <t>Oil crops, tree</t>
  </si>
  <si>
    <t>01460</t>
  </si>
  <si>
    <t>Coconut, in shell</t>
  </si>
  <si>
    <t>01491.01</t>
  </si>
  <si>
    <t>Oil palm fruit</t>
  </si>
  <si>
    <t>01510</t>
  </si>
  <si>
    <t>Potatoes</t>
  </si>
  <si>
    <t>Roots</t>
  </si>
  <si>
    <t>01530</t>
  </si>
  <si>
    <t>Sweet potatoes</t>
  </si>
  <si>
    <t>01599.10</t>
  </si>
  <si>
    <t>Edible roots and tubers with high starch or inulin content, n.e.c., fresh</t>
  </si>
  <si>
    <t>01610</t>
  </si>
  <si>
    <t>Coffee, green</t>
  </si>
  <si>
    <t>Stimulants</t>
  </si>
  <si>
    <t>01640</t>
  </si>
  <si>
    <t>Cocoa beans</t>
  </si>
  <si>
    <t>01654</t>
  </si>
  <si>
    <t>Anise, badian, coriander, cumin, caraway, fennel and juniper berries, raw</t>
  </si>
  <si>
    <t>01699</t>
  </si>
  <si>
    <t>Other stimulant, spice and aromatic crops, n.e.c.</t>
  </si>
  <si>
    <t>Default-01654</t>
  </si>
  <si>
    <t>01701</t>
  </si>
  <si>
    <t>Beans, dry</t>
  </si>
  <si>
    <t>01702</t>
  </si>
  <si>
    <t>Broad beans and horse beans, dry</t>
  </si>
  <si>
    <t>Pulses, incl feed</t>
  </si>
  <si>
    <t>01703</t>
  </si>
  <si>
    <t>Chick peas, dry</t>
  </si>
  <si>
    <t>01704</t>
  </si>
  <si>
    <t>Lentils, dry</t>
  </si>
  <si>
    <t>01705</t>
  </si>
  <si>
    <t>Peas, dry</t>
  </si>
  <si>
    <t>01709.02</t>
  </si>
  <si>
    <t>Lupins</t>
  </si>
  <si>
    <t>01709.90</t>
  </si>
  <si>
    <t>Other pulses n.e.c.</t>
  </si>
  <si>
    <t>Default-01701</t>
  </si>
  <si>
    <t>01801</t>
  </si>
  <si>
    <t>Sugar beet</t>
  </si>
  <si>
    <t>Sugar crops</t>
  </si>
  <si>
    <t>01802</t>
  </si>
  <si>
    <t>Sugar cane</t>
  </si>
  <si>
    <t>Pesticide use</t>
  </si>
  <si>
    <t>Use of pesticides per crop and country, kg per hectare</t>
  </si>
  <si>
    <t>Eurostat</t>
  </si>
  <si>
    <t xml:space="preserve">Landbrugets anvendelse af pesticider fordelt på hovedafgrøder. In Pesticide Use (kg/ha) by Crop pag 79. Figure 8.1. </t>
  </si>
  <si>
    <t>https://www2.mst.dk/Udgiv/publikationer/2024/02/978-87-7038-599-2.pdf</t>
  </si>
  <si>
    <t>SS, 2022</t>
  </si>
  <si>
    <t>Landbrugets anvendelse af pesticider fordelt på hovedafgrøder. In Pesticide Use (kg/ha) by Crop pag 79. Figure 8.1. Also App 6 in pag 123</t>
  </si>
  <si>
    <t>Landbrugets anvendelse af pesticider fordelt på hovedafgrøder. In Pesticide Use (kg/ha) by Crop pag 79. Figure 8.1.  *Winter cereals</t>
  </si>
  <si>
    <t>SS, 2022. Avg for vegetables</t>
  </si>
  <si>
    <t>Landbrugets anvendelse af pesticider fordelt på hovedafgrøder. In Pesticide Use (kg/ha) by Crop pag 79. Figure 8.1. *Data for vegetables</t>
  </si>
  <si>
    <t>Landbrugets anvendelse af pesticider fordelt på hovedafgrøder. In Pesticide Use (kg/ha) by Crop pag 79. Figure 8.1.  *Data for vegetables</t>
  </si>
  <si>
    <t>SS, 2022 Avg Fava Bean / Peas</t>
  </si>
  <si>
    <t>Landbrugets anvendelse af pesticider fordelt på hovedafgrøder. In Pesticide Use (kg/ha) by Crop pag 79. Figure 8.1. *Data for potatos</t>
  </si>
  <si>
    <t>Landbrugets anvendelse af pesticider fordelt på hovedafgrøder. In Pesticide Use (kg/ha) by Crop pag 79. Figure 8.1. *Data for raps</t>
  </si>
  <si>
    <t>ecoinvent 3.12, banana production, RoW, weighted average IN, EC, CR, CO (shares given in ecoinvent documentation under RoW)</t>
  </si>
  <si>
    <t>ecoinvent 3.12, banana production, CO</t>
  </si>
  <si>
    <t>ecoinvent 3.12, banana production, CR</t>
  </si>
  <si>
    <t>ecoinvent 3.12, banana production, EC</t>
  </si>
  <si>
    <t>ecoinvent 3.12, banana production, IN</t>
  </si>
  <si>
    <t>SS, 2022. Avg for fruits</t>
  </si>
  <si>
    <t>FAO, 2024. Total pesticide use per area of cropland. Data for Denmark, general for all crops, used for fruits in this data collection</t>
  </si>
  <si>
    <t>Pesticide use per hectare of cropland, 2022</t>
  </si>
  <si>
    <t>SS, 2022. Strawberry</t>
  </si>
  <si>
    <t>Approx apples</t>
  </si>
  <si>
    <t>Landbrugets anvendelse af pesticider fordelt på hovedafgrøder. In Pesticide Use (kg/ha) by Crop pag 79. Figure 8.1. *Data for peas</t>
  </si>
  <si>
    <t>Landbrugets anvendelse af pesticider fordelt på hovedafgrøder. In Pesticide Use (kg/ha) by Crop pag 79. Figure 8.1. Also Bilag 6. Data for Raps</t>
  </si>
  <si>
    <t>ecoinvent 3.12, olive production, Italy</t>
  </si>
  <si>
    <t>ecoinvent 3.12, olive production, Spain</t>
  </si>
  <si>
    <t>ecoinvent 3.12, coconut production, dehusked RoW, weighted average IN, ID and PH (shares given in ecoinvent documentation under RoW)</t>
  </si>
  <si>
    <t>ecoinvent 3.12, coconut production, dehusked, IN</t>
  </si>
  <si>
    <t>ecoinvent 3.12, coconut production, dehusked, ID</t>
  </si>
  <si>
    <t>ecoinvent 3.12, coconut production, dehusked, PH</t>
  </si>
  <si>
    <t>ecoinvent 3.12, cocoa production, sundried RoW, weighted average CI, GH and ID (shares given in ecoinvent documentation under RoW)</t>
  </si>
  <si>
    <t>ecoinvent 3.12, cocoa bean production, sundried, CI</t>
  </si>
  <si>
    <t>ecoinvent 3.12, cocoa bean production, sundried, GH</t>
  </si>
  <si>
    <t>ecoinvent 3.12, cocoa bean production, sundried, ID</t>
  </si>
  <si>
    <t>Tidåker et al, 2021</t>
  </si>
  <si>
    <t>Landbrugets anvendelse af pesticider fordelt på hovedafgrøder. In Pesticide Use (kg/ha) by Crop pag 79. Figure 8.1.</t>
  </si>
  <si>
    <t>Average southern Europe</t>
  </si>
  <si>
    <t>Average northern Europe</t>
  </si>
  <si>
    <t>ecoinvent 3.12, almond production, US</t>
  </si>
  <si>
    <t>ecoinvent 3.12, almond production, RoW, weighted average US and CN (shares given in ecoinvent documentation under RoW)</t>
  </si>
  <si>
    <t>ecoinvent 3.12, almond production, CN</t>
  </si>
  <si>
    <t>Average all countries</t>
  </si>
  <si>
    <t>Varför saknas data för södra Europa för:</t>
  </si>
  <si>
    <t>Approx almonds</t>
  </si>
  <si>
    <t>Default-01371</t>
  </si>
  <si>
    <t>ecoinvent 3.12, cashew production, IN</t>
  </si>
  <si>
    <t>ecoinvent 3.12, coffee green bean production</t>
  </si>
  <si>
    <t>Default-01450</t>
  </si>
  <si>
    <t>Approx olives</t>
  </si>
  <si>
    <t>Edible roots and tubers</t>
  </si>
  <si>
    <t>Default-01323</t>
  </si>
  <si>
    <t>Default-01353.01</t>
  </si>
  <si>
    <t>Approx oranges</t>
  </si>
  <si>
    <t>Approx raspberries</t>
  </si>
  <si>
    <t>ecoinvent 3.12, peanut production, IN</t>
  </si>
  <si>
    <t>ecoinvent 3.12, peanut production, RoW, weighted average AR, IN and CN (shares given in ecoinvent documentation under RoW)</t>
  </si>
  <si>
    <t>Stoessel et al. (2012), SM1, assumed yield of 16 t/ha</t>
  </si>
  <si>
    <t>ecoinvent 3.12, mango production, BR</t>
  </si>
  <si>
    <t>ecoinvent 3.12, palm fruit bunch production, ID</t>
  </si>
  <si>
    <t>Stoessel et al. (2012), SM1, assumed yield of 43 t/ha</t>
  </si>
  <si>
    <t>Stoessel et al. (2012), SM1, assumed yield of 68 t/ha from FAOSTAT</t>
  </si>
  <si>
    <t>Default-01445</t>
  </si>
  <si>
    <t>Approx sunflower</t>
  </si>
  <si>
    <t>Default-0117</t>
  </si>
  <si>
    <t>Approx oats</t>
  </si>
  <si>
    <t>ecoinvent 3.12, soybean production</t>
  </si>
  <si>
    <t>ecoinvent 3.12, sugarcane production</t>
  </si>
  <si>
    <t>Default-01510</t>
  </si>
  <si>
    <t>Approx potatoes</t>
  </si>
  <si>
    <t>m flera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</si>
</sst>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22" x14ac:knownFonts="1">
    <font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sz val="11"/>
      <color rgb="FF000000"/>
      <name val="Calibri"/>
      <family val="2"/>
      <charset val="1"/>
    </font>
    <font>
      <sz val="12"/>
      <color theme="1"/>
      <name val="Calibri"/>
      <family val="2"/>
      <charset val="1"/>
    </font>
    <font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1"/>
      <name val="Calibri"/>
      <family val="2"/>
      <charset val="1"/>
    </font>
    <font>
      <sz val="16"/>
      <color theme="1"/>
      <name val="Calibri"/>
      <family val="2"/>
      <charset val="1"/>
    </font>
    <font>
      <sz val="14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b/>
      <sz val="11"/>
      <color theme="1"/>
      <name val="Calibri"/>
      <family val="2"/>
      <charset val="1"/>
    </font>
    <font>
      <sz val="10"/>
      <color rgb="FFFF0000"/>
      <name val="Calibri"/>
      <family val="2"/>
      <charset val="1"/>
    </font>
    <font>
      <sz val="10"/>
      <color theme="8" tint="-0.249977111117893"/>
      <name val="Calibri"/>
      <family val="2"/>
      <charset val="1"/>
    </font>
    <font>
      <sz val="10"/>
      <color theme="1"/>
      <name val="Calibri"/>
      <family val="2"/>
      <charset val="1"/>
    </font>
    <font>
      <sz val="10"/>
      <name val="Calibri"/>
      <family val="2"/>
      <charset val="1"/>
    </font>
    <font>
      <u/>
      <sz val="10"/>
      <color theme="10"/>
      <name val="Calibri"/>
      <family val="2"/>
      <charset val="1"/>
    </font>
    <font>
      <sz val="10"/>
      <color theme="4" tint="-0.249977111117893"/>
      <name val="Calibri"/>
      <family val="2"/>
      <charset val="1"/>
    </font>
    <font>
      <sz val="10"/>
      <color theme="8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DDDD"/>
        <bgColor rgb="FFFDEADA"/>
      </patternFill>
    </fill>
    <fill>
      <patternFill patternType="solid">
        <fgColor theme="7" tint="0.79989013336588644"/>
        <bgColor rgb="FFD9D9D9"/>
      </patternFill>
    </fill>
    <fill>
      <patternFill patternType="solid">
        <fgColor theme="0" tint="-0.14999847407452621"/>
        <bgColor rgb="FFE6E0EC"/>
      </patternFill>
    </fill>
    <fill>
      <patternFill patternType="solid">
        <fgColor theme="9" tint="0.79989013336588644"/>
        <bgColor rgb="FFFFDDDD"/>
      </patternFill>
    </fill>
    <fill>
      <patternFill patternType="solid">
        <fgColor theme="6" tint="0.59987182226020086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CE4D6"/>
        <bgColor rgb="FFFCE4D6"/>
      </patternFill>
    </fill>
  </fills>
  <borders count="1">
    <border>
      <left/>
      <right/>
      <top/>
      <bottom/>
      <diagonal/>
    </border>
  </borders>
  <cellStyleXfs count="12">
    <xf numFmtId="0" fontId="0" fillId="0" borderId="0"/>
    <xf numFmtId="0" fontId="1" fillId="0" borderId="0"/>
    <xf numFmtId="0" fontId="18" fillId="0" borderId="0"/>
    <xf numFmtId="0" fontId="2" fillId="0" borderId="0"/>
    <xf numFmtId="0" fontId="3" fillId="0" borderId="0"/>
    <xf numFmtId="0" fontId="4" fillId="0" borderId="0"/>
    <xf numFmtId="0" fontId="2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6" fillId="2" borderId="0">
      <alignment horizontal="right"/>
    </xf>
  </cellStyleXfs>
  <cellXfs count="57">
    <xf numFmtId="0" fontId="0" fillId="0" borderId="0" xfId="0"/>
    <xf numFmtId="0" fontId="7" fillId="0" borderId="0" xfId="0" applyFont="1"/>
    <xf numFmtId="0" fontId="8" fillId="0" borderId="0" xfId="0" applyFont="1"/>
    <xf numFmtId="49" fontId="0" fillId="0" borderId="0" xfId="0" applyNumberFormat="1"/>
    <xf numFmtId="0" fontId="6" fillId="0" borderId="0" xfId="0" applyFont="1"/>
    <xf numFmtId="0" fontId="0" fillId="0" borderId="0" xfId="0" applyAlignment="1">
      <alignment horizontal="right" textRotation="90"/>
    </xf>
    <xf numFmtId="49" fontId="0" fillId="3" borderId="0" xfId="0" applyNumberFormat="1" applyFill="1" applyAlignment="1">
      <alignment horizontal="left" vertical="top" wrapText="1"/>
    </xf>
    <xf numFmtId="0" fontId="6" fillId="3" borderId="0" xfId="0" applyFont="1" applyFill="1" applyAlignment="1">
      <alignment vertical="top" wrapText="1"/>
    </xf>
    <xf numFmtId="0" fontId="6" fillId="3" borderId="0" xfId="0" applyFont="1" applyFill="1" applyAlignment="1">
      <alignment horizontal="left" vertical="top" wrapText="1"/>
    </xf>
    <xf numFmtId="0" fontId="0" fillId="3" borderId="0" xfId="0" applyFill="1"/>
    <xf numFmtId="49" fontId="0" fillId="4" borderId="0" xfId="0" applyNumberFormat="1" applyFill="1"/>
    <xf numFmtId="49" fontId="0" fillId="5" borderId="0" xfId="0" applyNumberFormat="1" applyFill="1"/>
    <xf numFmtId="0" fontId="9" fillId="0" borderId="0" xfId="0" applyFont="1"/>
    <xf numFmtId="49" fontId="0" fillId="6" borderId="0" xfId="0" applyNumberFormat="1" applyFill="1"/>
    <xf numFmtId="49" fontId="6" fillId="0" borderId="0" xfId="0" applyNumberFormat="1" applyFont="1"/>
    <xf numFmtId="0" fontId="10" fillId="0" borderId="0" xfId="0" applyFont="1"/>
    <xf numFmtId="164" fontId="0" fillId="0" borderId="0" xfId="0" applyNumberFormat="1"/>
    <xf numFmtId="0" fontId="6" fillId="0" borderId="0" xfId="0" applyFont="1" applyAlignment="1">
      <alignment horizontal="left" vertical="center"/>
    </xf>
    <xf numFmtId="164" fontId="10" fillId="0" borderId="0" xfId="0" applyNumberFormat="1" applyFont="1"/>
    <xf numFmtId="49" fontId="10" fillId="0" borderId="0" xfId="0" applyNumberFormat="1" applyFont="1"/>
    <xf numFmtId="0" fontId="11" fillId="0" borderId="0" xfId="0" applyFont="1" applyAlignment="1">
      <alignment horizontal="left" vertical="center"/>
    </xf>
    <xf numFmtId="2" fontId="12" fillId="0" borderId="0" xfId="0" applyNumberFormat="1" applyFont="1" applyAlignment="1">
      <alignment horizontal="right"/>
    </xf>
    <xf numFmtId="0" fontId="13" fillId="0" borderId="0" xfId="0" applyFont="1"/>
    <xf numFmtId="0" fontId="11" fillId="0" borderId="0" xfId="0" applyFont="1"/>
    <xf numFmtId="2" fontId="14" fillId="0" borderId="0" xfId="0" applyNumberFormat="1" applyFont="1" applyAlignment="1">
      <alignment horizontal="left" vertical="center"/>
    </xf>
    <xf numFmtId="0" fontId="15" fillId="0" borderId="0" xfId="0" applyFont="1"/>
    <xf numFmtId="2" fontId="14" fillId="0" borderId="0" xfId="0" applyNumberFormat="1" applyFont="1"/>
    <xf numFmtId="2" fontId="12" fillId="0" borderId="0" xfId="0" applyNumberFormat="1" applyFont="1" applyAlignment="1">
      <alignment horizontal="right" vertical="center"/>
    </xf>
    <xf numFmtId="0" fontId="16" fillId="0" borderId="0" xfId="0" applyFont="1"/>
    <xf numFmtId="2" fontId="12" fillId="0" borderId="0" xfId="0" applyNumberFormat="1" applyFont="1"/>
    <xf numFmtId="0" fontId="2" fillId="0" borderId="0" xfId="0" applyFont="1"/>
    <xf numFmtId="0" fontId="14" fillId="0" borderId="0" xfId="0" applyFont="1"/>
    <xf numFmtId="0" fontId="14" fillId="0" borderId="0" xfId="0" applyFont="1" applyAlignment="1">
      <alignment horizontal="left"/>
    </xf>
    <xf numFmtId="0" fontId="12" fillId="0" borderId="0" xfId="0" applyFont="1"/>
    <xf numFmtId="1" fontId="17" fillId="0" borderId="0" xfId="0" applyNumberFormat="1" applyFont="1"/>
    <xf numFmtId="2" fontId="16" fillId="0" borderId="0" xfId="0" applyNumberFormat="1" applyFont="1" applyAlignment="1">
      <alignment horizontal="right"/>
    </xf>
    <xf numFmtId="0" fontId="19" fillId="0" borderId="0" xfId="0" applyFont="1"/>
    <xf numFmtId="0" fontId="19" fillId="3" borderId="0" xfId="0" applyFont="1" applyFill="1" applyAlignment="1">
      <alignment wrapText="1"/>
    </xf>
    <xf numFmtId="0" fontId="0" fillId="7" borderId="0" xfId="0" applyFill="1"/>
    <xf numFmtId="2" fontId="0" fillId="7" borderId="0" xfId="0" applyNumberFormat="1" applyFill="1"/>
    <xf numFmtId="2" fontId="0" fillId="0" borderId="0" xfId="0" applyNumberFormat="1"/>
    <xf numFmtId="2" fontId="0" fillId="0" borderId="0" xfId="0" applyNumberFormat="1" applyAlignment="1">
      <alignment vertical="center" wrapText="1"/>
    </xf>
    <xf numFmtId="2" fontId="0" fillId="7" borderId="0" xfId="0" applyNumberFormat="1" applyFill="1" applyAlignment="1">
      <alignment vertical="center" wrapText="1"/>
    </xf>
    <xf numFmtId="0" fontId="20" fillId="0" borderId="0" xfId="0" applyFont="1"/>
    <xf numFmtId="164" fontId="20" fillId="0" borderId="0" xfId="0" applyNumberFormat="1" applyFont="1"/>
    <xf numFmtId="49" fontId="20" fillId="0" borderId="0" xfId="0" applyNumberFormat="1" applyFont="1"/>
    <xf numFmtId="0" fontId="20" fillId="0" borderId="0" xfId="0" applyFont="1" applyAlignment="1">
      <alignment horizontal="left" vertical="center"/>
    </xf>
    <xf numFmtId="165" fontId="0" fillId="0" borderId="0" xfId="0" applyNumberFormat="1"/>
    <xf numFmtId="0" fontId="0" fillId="8" borderId="0" xfId="0" applyFill="1"/>
    <xf numFmtId="2" fontId="0" fillId="8" borderId="0" xfId="0" applyNumberFormat="1" applyFill="1"/>
    <xf numFmtId="2" fontId="0" fillId="8" borderId="0" xfId="0" applyNumberFormat="1" applyFill="1" applyAlignment="1">
      <alignment vertical="center" wrapText="1"/>
    </xf>
    <xf numFmtId="2" fontId="6" fillId="0" borderId="0" xfId="0" applyNumberFormat="1" applyFont="1" applyAlignment="1">
      <alignment horizontal="right" vertical="center"/>
    </xf>
    <xf numFmtId="49" fontId="0" fillId="0" borderId="0" xfId="0" applyNumberFormat="1" applyAlignment="1">
      <alignment horizontal="right" vertical="top"/>
    </xf>
    <xf numFmtId="0" fontId="6" fillId="0" borderId="0" xfId="0" applyFont="1" applyAlignment="1">
      <alignment horizontal="right" vertical="top"/>
    </xf>
    <xf numFmtId="0" fontId="21" fillId="0" borderId="0" xfId="0" applyFont="1"/>
    <xf numFmtId="0" fontId="14" fillId="0" borderId="0" xfId="0" applyFont="1" applyAlignment="1">
      <alignment horizontal="left" vertical="center"/>
    </xf>
    <xf numFmtId="0" fontId="0" fillId="3" borderId="0" xfId="0" applyFill="1" applyAlignment="1">
      <alignment vertical="top"/>
    </xf>
  </cellXfs>
  <cellStyles count="12">
    <cellStyle name="Hyperlink 1" xfId="1" xr:uid="{00000000-0005-0000-0000-000001000000}"/>
    <cellStyle name="Normal" xfId="0" builtinId="0"/>
    <cellStyle name="Normal 2" xfId="2" xr:uid="{00000000-0005-0000-0000-000002000000}"/>
    <cellStyle name="Normal 2 2" xfId="3" xr:uid="{00000000-0005-0000-0000-000003000000}"/>
    <cellStyle name="Normal 2 3" xfId="4" xr:uid="{00000000-0005-0000-0000-000004000000}"/>
    <cellStyle name="Normal 3" xfId="5" xr:uid="{00000000-0005-0000-0000-000005000000}"/>
    <cellStyle name="Normal 4" xfId="6" xr:uid="{00000000-0005-0000-0000-000006000000}"/>
    <cellStyle name="Normal 5" xfId="7" xr:uid="{00000000-0005-0000-0000-000007000000}"/>
    <cellStyle name="Normal 6" xfId="8" xr:uid="{00000000-0005-0000-0000-000008000000}"/>
    <cellStyle name="Normal 6 2" xfId="9" xr:uid="{00000000-0005-0000-0000-000009000000}"/>
    <cellStyle name="Normal 7" xfId="10" xr:uid="{00000000-0005-0000-0000-00000A000000}"/>
    <cellStyle name="Validate" xfId="11" xr:uid="{00000000-0005-0000-0000-00000B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1DA"/>
      <rgbColor rgb="FF808080"/>
      <rgbColor rgb="FF9999FF"/>
      <rgbColor rgb="FF993366"/>
      <rgbColor rgb="FFFDEADA"/>
      <rgbColor rgb="FFE6E0EC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7E4BD"/>
      <rgbColor rgb="FFFFFF99"/>
      <rgbColor rgb="FF99CCFF"/>
      <rgbColor rgb="FFFF99CC"/>
      <rgbColor rgb="FFCC99FF"/>
      <rgbColor rgb="FFFFDDDD"/>
      <rgbColor rgb="FF3366FF"/>
      <rgbColor rgb="FF4BACC6"/>
      <rgbColor rgb="FF99CC00"/>
      <rgbColor rgb="FFFFCC00"/>
      <rgbColor rgb="FFFF9900"/>
      <rgbColor rgb="FFE46C0A"/>
      <rgbColor rgb="FF376092"/>
      <rgbColor rgb="FF969696"/>
      <rgbColor rgb="FF003366"/>
      <rgbColor rgb="FF31859C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2.mst.dk/Udgiv/publikationer/2024/02/978-87-7038-599-2.pdf" TargetMode="External"/><Relationship Id="rId13" Type="http://schemas.openxmlformats.org/officeDocument/2006/relationships/hyperlink" Target="https://www2.mst.dk/Udgiv/publikationer/2024/02/978-87-7038-599-2.pdf" TargetMode="External"/><Relationship Id="rId18" Type="http://schemas.openxmlformats.org/officeDocument/2006/relationships/hyperlink" Target="https://www2.mst.dk/Udgiv/publikationer/2024/02/978-87-7038-599-2.pdf" TargetMode="External"/><Relationship Id="rId26" Type="http://schemas.openxmlformats.org/officeDocument/2006/relationships/hyperlink" Target="https://www2.mst.dk/Udgiv/publikationer/2024/02/978-87-7038-599-2.pdf" TargetMode="External"/><Relationship Id="rId3" Type="http://schemas.openxmlformats.org/officeDocument/2006/relationships/hyperlink" Target="https://www2.mst.dk/Udgiv/publikationer/2024/02/978-87-7038-599-2.pdf" TargetMode="External"/><Relationship Id="rId21" Type="http://schemas.openxmlformats.org/officeDocument/2006/relationships/hyperlink" Target="https://ourworldindata.org/grapher/pesticide-use-per-hectare-of-cropland?mapSelect=OWID_EU27~DNK" TargetMode="External"/><Relationship Id="rId7" Type="http://schemas.openxmlformats.org/officeDocument/2006/relationships/hyperlink" Target="https://www2.mst.dk/Udgiv/publikationer/2024/02/978-87-7038-599-2.pdf" TargetMode="External"/><Relationship Id="rId12" Type="http://schemas.openxmlformats.org/officeDocument/2006/relationships/hyperlink" Target="https://www2.mst.dk/Udgiv/publikationer/2024/02/978-87-7038-599-2.pdf" TargetMode="External"/><Relationship Id="rId17" Type="http://schemas.openxmlformats.org/officeDocument/2006/relationships/hyperlink" Target="https://www2.mst.dk/Udgiv/publikationer/2024/02/978-87-7038-599-2.pdf" TargetMode="External"/><Relationship Id="rId25" Type="http://schemas.openxmlformats.org/officeDocument/2006/relationships/hyperlink" Target="https://www2.mst.dk/Udgiv/publikationer/2024/02/978-87-7038-599-2.pdf" TargetMode="External"/><Relationship Id="rId2" Type="http://schemas.openxmlformats.org/officeDocument/2006/relationships/hyperlink" Target="https://www2.mst.dk/Udgiv/publikationer/2024/02/978-87-7038-599-2.pdf" TargetMode="External"/><Relationship Id="rId16" Type="http://schemas.openxmlformats.org/officeDocument/2006/relationships/hyperlink" Target="https://www2.mst.dk/Udgiv/publikationer/2024/02/978-87-7038-599-2.pdf" TargetMode="External"/><Relationship Id="rId20" Type="http://schemas.openxmlformats.org/officeDocument/2006/relationships/hyperlink" Target="https://ourworldindata.org/grapher/pesticide-use-per-hectare-of-cropland?mapSelect=OWID_EU27~DNK" TargetMode="External"/><Relationship Id="rId29" Type="http://schemas.openxmlformats.org/officeDocument/2006/relationships/hyperlink" Target="https://www2.mst.dk/Udgiv/publikationer/2024/02/978-87-7038-599-2.pdf" TargetMode="External"/><Relationship Id="rId1" Type="http://schemas.openxmlformats.org/officeDocument/2006/relationships/hyperlink" Target="https://www2.mst.dk/Udgiv/publikationer/2024/02/978-87-7038-599-2.pdf" TargetMode="External"/><Relationship Id="rId6" Type="http://schemas.openxmlformats.org/officeDocument/2006/relationships/hyperlink" Target="https://www2.mst.dk/Udgiv/publikationer/2024/02/978-87-7038-599-2.pdf" TargetMode="External"/><Relationship Id="rId11" Type="http://schemas.openxmlformats.org/officeDocument/2006/relationships/hyperlink" Target="https://www2.mst.dk/Udgiv/publikationer/2024/02/978-87-7038-599-2.pdf" TargetMode="External"/><Relationship Id="rId24" Type="http://schemas.openxmlformats.org/officeDocument/2006/relationships/hyperlink" Target="https://ourworldindata.org/grapher/pesticide-use-per-hectare-of-cropland?mapSelect=OWID_EU27~DNK" TargetMode="External"/><Relationship Id="rId5" Type="http://schemas.openxmlformats.org/officeDocument/2006/relationships/hyperlink" Target="https://www2.mst.dk/Udgiv/publikationer/2024/02/978-87-7038-599-2.pdf" TargetMode="External"/><Relationship Id="rId15" Type="http://schemas.openxmlformats.org/officeDocument/2006/relationships/hyperlink" Target="https://www2.mst.dk/Udgiv/publikationer/2024/02/978-87-7038-599-2.pdf" TargetMode="External"/><Relationship Id="rId23" Type="http://schemas.openxmlformats.org/officeDocument/2006/relationships/hyperlink" Target="https://ourworldindata.org/grapher/pesticide-use-per-hectare-of-cropland?mapSelect=OWID_EU27~DNK" TargetMode="External"/><Relationship Id="rId28" Type="http://schemas.openxmlformats.org/officeDocument/2006/relationships/hyperlink" Target="https://www2.mst.dk/Udgiv/publikationer/2024/02/978-87-7038-599-2.pdf" TargetMode="External"/><Relationship Id="rId10" Type="http://schemas.openxmlformats.org/officeDocument/2006/relationships/hyperlink" Target="https://www2.mst.dk/Udgiv/publikationer/2024/02/978-87-7038-599-2.pdf" TargetMode="External"/><Relationship Id="rId19" Type="http://schemas.openxmlformats.org/officeDocument/2006/relationships/hyperlink" Target="https://www2.mst.dk/Udgiv/publikationer/2024/02/978-87-7038-599-2.pdf" TargetMode="External"/><Relationship Id="rId31" Type="http://schemas.openxmlformats.org/officeDocument/2006/relationships/hyperlink" Target="https://www2.mst.dk/Udgiv/publikationer/2024/02/978-87-7038-599-2.pdf" TargetMode="External"/><Relationship Id="rId4" Type="http://schemas.openxmlformats.org/officeDocument/2006/relationships/hyperlink" Target="https://www2.mst.dk/Udgiv/publikationer/2024/02/978-87-7038-599-2.pdf" TargetMode="External"/><Relationship Id="rId9" Type="http://schemas.openxmlformats.org/officeDocument/2006/relationships/hyperlink" Target="https://www2.mst.dk/Udgiv/publikationer/2024/02/978-87-7038-599-2.pdf" TargetMode="External"/><Relationship Id="rId14" Type="http://schemas.openxmlformats.org/officeDocument/2006/relationships/hyperlink" Target="https://www2.mst.dk/Udgiv/publikationer/2024/02/978-87-7038-599-2.pdf" TargetMode="External"/><Relationship Id="rId22" Type="http://schemas.openxmlformats.org/officeDocument/2006/relationships/hyperlink" Target="https://ourworldindata.org/grapher/pesticide-use-per-hectare-of-cropland?mapSelect=OWID_EU27~DNK" TargetMode="External"/><Relationship Id="rId27" Type="http://schemas.openxmlformats.org/officeDocument/2006/relationships/hyperlink" Target="https://www2.mst.dk/Udgiv/publikationer/2024/02/978-87-7038-599-2.pdf" TargetMode="External"/><Relationship Id="rId30" Type="http://schemas.openxmlformats.org/officeDocument/2006/relationships/hyperlink" Target="https://www2.mst.dk/Udgiv/publikationer/2024/02/978-87-7038-599-2.pdf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0000"/>
  </sheetPr>
  <dimension ref="A2:B12"/>
  <sheetViews>
    <sheetView zoomScaleNormal="100" workbookViewId="0">
      <selection activeCell="B12" sqref="B12"/>
    </sheetView>
  </sheetViews>
  <sheetFormatPr baseColWidth="10" defaultColWidth="8.6640625" defaultRowHeight="15" x14ac:dyDescent="0.2"/>
  <cols>
    <col min="2" max="2" width="27.1640625" customWidth="1"/>
  </cols>
  <sheetData>
    <row r="2" spans="1:2" ht="21" customHeight="1" x14ac:dyDescent="0.25">
      <c r="A2" s="1" t="s">
        <v>631</v>
      </c>
    </row>
    <row r="5" spans="1:2" x14ac:dyDescent="0.2">
      <c r="A5" t="s">
        <v>675</v>
      </c>
    </row>
    <row r="6" spans="1:2" x14ac:dyDescent="0.2">
      <c r="B6" s="3" t="s">
        <v>606</v>
      </c>
    </row>
    <row r="7" spans="1:2" x14ac:dyDescent="0.2">
      <c r="B7" s="3" t="s">
        <v>437</v>
      </c>
    </row>
    <row r="8" spans="1:2" x14ac:dyDescent="0.2">
      <c r="B8" t="s">
        <v>548</v>
      </c>
    </row>
    <row r="9" spans="1:2" x14ac:dyDescent="0.2">
      <c r="B9" t="s">
        <v>432</v>
      </c>
    </row>
    <row r="10" spans="1:2" x14ac:dyDescent="0.2">
      <c r="B10" t="s">
        <v>538</v>
      </c>
    </row>
    <row r="11" spans="1:2" x14ac:dyDescent="0.2">
      <c r="B11" t="s">
        <v>682</v>
      </c>
    </row>
    <row r="12" spans="1:2" x14ac:dyDescent="0.2">
      <c r="B12" t="s">
        <v>702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CC1DA"/>
  </sheetPr>
  <dimension ref="A1:GV136"/>
  <sheetViews>
    <sheetView tabSelected="1" zoomScale="70" zoomScaleNormal="70" workbookViewId="0">
      <pane xSplit="2" ySplit="4" topLeftCell="C41" activePane="bottomRight" state="frozen"/>
      <selection pane="topRight" activeCell="C1" sqref="C1"/>
      <selection pane="bottomLeft" activeCell="A5" sqref="A5"/>
      <selection pane="bottomRight" activeCell="A51" sqref="A51:XFD51"/>
    </sheetView>
  </sheetViews>
  <sheetFormatPr baseColWidth="10" defaultColWidth="8.83203125" defaultRowHeight="15" x14ac:dyDescent="0.2"/>
  <cols>
    <col min="2" max="2" width="32.83203125" customWidth="1"/>
    <col min="3" max="3" width="15.33203125" customWidth="1"/>
    <col min="4" max="4" width="8.5" customWidth="1"/>
    <col min="5" max="202" width="5.6640625" customWidth="1"/>
    <col min="203" max="204" width="8.5" style="36" customWidth="1"/>
  </cols>
  <sheetData>
    <row r="1" spans="1:204" ht="15" customHeight="1" x14ac:dyDescent="0.2">
      <c r="FT1" t="s">
        <v>0</v>
      </c>
    </row>
    <row r="2" spans="1:204" ht="18.75" customHeight="1" x14ac:dyDescent="0.25">
      <c r="A2" s="2" t="s">
        <v>1</v>
      </c>
    </row>
    <row r="4" spans="1:204" ht="78" customHeight="1" x14ac:dyDescent="0.2">
      <c r="A4" s="3" t="s">
        <v>2</v>
      </c>
      <c r="B4" s="4"/>
      <c r="C4" s="4"/>
      <c r="E4" s="5" t="s">
        <v>3</v>
      </c>
      <c r="F4" s="5" t="s">
        <v>4</v>
      </c>
      <c r="G4" s="5" t="s">
        <v>5</v>
      </c>
      <c r="H4" s="5" t="s">
        <v>6</v>
      </c>
      <c r="I4" s="5" t="s">
        <v>7</v>
      </c>
      <c r="J4" s="5" t="s">
        <v>8</v>
      </c>
      <c r="K4" s="5" t="s">
        <v>9</v>
      </c>
      <c r="L4" s="5" t="s">
        <v>10</v>
      </c>
      <c r="M4" s="5" t="s">
        <v>11</v>
      </c>
      <c r="N4" s="5" t="s">
        <v>12</v>
      </c>
      <c r="O4" s="5" t="s">
        <v>13</v>
      </c>
      <c r="P4" s="5" t="s">
        <v>14</v>
      </c>
      <c r="Q4" s="5" t="s">
        <v>15</v>
      </c>
      <c r="R4" s="5" t="s">
        <v>16</v>
      </c>
      <c r="S4" s="5" t="s">
        <v>17</v>
      </c>
      <c r="T4" s="5" t="s">
        <v>18</v>
      </c>
      <c r="U4" s="5" t="s">
        <v>19</v>
      </c>
      <c r="V4" s="5" t="s">
        <v>20</v>
      </c>
      <c r="W4" s="5" t="s">
        <v>21</v>
      </c>
      <c r="X4" s="5" t="s">
        <v>22</v>
      </c>
      <c r="Y4" s="5" t="s">
        <v>23</v>
      </c>
      <c r="Z4" s="5" t="s">
        <v>24</v>
      </c>
      <c r="AA4" s="5" t="s">
        <v>25</v>
      </c>
      <c r="AB4" s="5" t="s">
        <v>26</v>
      </c>
      <c r="AC4" s="5" t="s">
        <v>27</v>
      </c>
      <c r="AD4" s="5" t="s">
        <v>28</v>
      </c>
      <c r="AE4" s="5" t="s">
        <v>29</v>
      </c>
      <c r="AF4" s="5" t="s">
        <v>30</v>
      </c>
      <c r="AG4" s="5" t="s">
        <v>31</v>
      </c>
      <c r="AH4" s="5" t="s">
        <v>32</v>
      </c>
      <c r="AI4" s="5" t="s">
        <v>33</v>
      </c>
      <c r="AJ4" s="5" t="s">
        <v>34</v>
      </c>
      <c r="AK4" s="5" t="s">
        <v>35</v>
      </c>
      <c r="AL4" s="5" t="s">
        <v>36</v>
      </c>
      <c r="AM4" s="5" t="s">
        <v>37</v>
      </c>
      <c r="AN4" s="5" t="s">
        <v>38</v>
      </c>
      <c r="AO4" s="5" t="s">
        <v>39</v>
      </c>
      <c r="AP4" s="5" t="s">
        <v>40</v>
      </c>
      <c r="AQ4" s="5" t="s">
        <v>41</v>
      </c>
      <c r="AR4" s="5" t="s">
        <v>42</v>
      </c>
      <c r="AS4" s="5" t="s">
        <v>43</v>
      </c>
      <c r="AT4" s="5" t="s">
        <v>44</v>
      </c>
      <c r="AU4" s="5" t="s">
        <v>45</v>
      </c>
      <c r="AV4" s="5" t="s">
        <v>46</v>
      </c>
      <c r="AW4" s="5" t="s">
        <v>47</v>
      </c>
      <c r="AX4" s="5" t="s">
        <v>48</v>
      </c>
      <c r="AY4" s="5" t="s">
        <v>49</v>
      </c>
      <c r="AZ4" s="5" t="s">
        <v>50</v>
      </c>
      <c r="BA4" s="5" t="s">
        <v>51</v>
      </c>
      <c r="BB4" s="5" t="s">
        <v>52</v>
      </c>
      <c r="BC4" s="5" t="s">
        <v>53</v>
      </c>
      <c r="BD4" s="5" t="s">
        <v>54</v>
      </c>
      <c r="BE4" s="5" t="s">
        <v>55</v>
      </c>
      <c r="BF4" s="5" t="s">
        <v>56</v>
      </c>
      <c r="BG4" s="5" t="s">
        <v>57</v>
      </c>
      <c r="BH4" s="5" t="s">
        <v>58</v>
      </c>
      <c r="BI4" s="5" t="s">
        <v>59</v>
      </c>
      <c r="BJ4" s="5" t="s">
        <v>60</v>
      </c>
      <c r="BK4" s="5" t="s">
        <v>61</v>
      </c>
      <c r="BL4" s="5" t="s">
        <v>62</v>
      </c>
      <c r="BM4" s="5" t="s">
        <v>63</v>
      </c>
      <c r="BN4" s="5" t="s">
        <v>64</v>
      </c>
      <c r="BO4" s="5" t="s">
        <v>65</v>
      </c>
      <c r="BP4" s="5" t="s">
        <v>66</v>
      </c>
      <c r="BQ4" s="5" t="s">
        <v>67</v>
      </c>
      <c r="BR4" s="5" t="s">
        <v>68</v>
      </c>
      <c r="BS4" s="5" t="s">
        <v>69</v>
      </c>
      <c r="BT4" s="5" t="s">
        <v>70</v>
      </c>
      <c r="BU4" s="5" t="s">
        <v>71</v>
      </c>
      <c r="BV4" s="5" t="s">
        <v>72</v>
      </c>
      <c r="BW4" s="5" t="s">
        <v>73</v>
      </c>
      <c r="BX4" s="5" t="s">
        <v>74</v>
      </c>
      <c r="BY4" s="5" t="s">
        <v>75</v>
      </c>
      <c r="BZ4" s="5" t="s">
        <v>76</v>
      </c>
      <c r="CA4" s="5" t="s">
        <v>77</v>
      </c>
      <c r="CB4" s="5" t="s">
        <v>78</v>
      </c>
      <c r="CC4" s="5" t="s">
        <v>79</v>
      </c>
      <c r="CD4" s="5" t="s">
        <v>80</v>
      </c>
      <c r="CE4" s="5" t="s">
        <v>81</v>
      </c>
      <c r="CF4" s="5" t="s">
        <v>82</v>
      </c>
      <c r="CG4" s="5" t="s">
        <v>83</v>
      </c>
      <c r="CH4" s="5" t="s">
        <v>84</v>
      </c>
      <c r="CI4" s="5" t="s">
        <v>85</v>
      </c>
      <c r="CJ4" s="5" t="s">
        <v>86</v>
      </c>
      <c r="CK4" s="5" t="s">
        <v>87</v>
      </c>
      <c r="CL4" s="5" t="s">
        <v>88</v>
      </c>
      <c r="CM4" s="5" t="s">
        <v>89</v>
      </c>
      <c r="CN4" s="5" t="s">
        <v>90</v>
      </c>
      <c r="CO4" s="5" t="s">
        <v>91</v>
      </c>
      <c r="CP4" s="5" t="s">
        <v>92</v>
      </c>
      <c r="CQ4" s="5" t="s">
        <v>93</v>
      </c>
      <c r="CR4" s="5" t="s">
        <v>94</v>
      </c>
      <c r="CS4" s="5" t="s">
        <v>95</v>
      </c>
      <c r="CT4" s="5" t="s">
        <v>96</v>
      </c>
      <c r="CU4" s="5" t="s">
        <v>97</v>
      </c>
      <c r="CV4" s="5" t="s">
        <v>98</v>
      </c>
      <c r="CW4" s="5" t="s">
        <v>99</v>
      </c>
      <c r="CX4" s="5" t="s">
        <v>100</v>
      </c>
      <c r="CY4" s="5" t="s">
        <v>101</v>
      </c>
      <c r="CZ4" s="5" t="s">
        <v>102</v>
      </c>
      <c r="DA4" s="5" t="s">
        <v>103</v>
      </c>
      <c r="DB4" s="5" t="s">
        <v>104</v>
      </c>
      <c r="DC4" s="5" t="s">
        <v>105</v>
      </c>
      <c r="DD4" s="5" t="s">
        <v>106</v>
      </c>
      <c r="DE4" s="5" t="s">
        <v>107</v>
      </c>
      <c r="DF4" s="5" t="s">
        <v>108</v>
      </c>
      <c r="DG4" s="5" t="s">
        <v>109</v>
      </c>
      <c r="DH4" s="5" t="s">
        <v>110</v>
      </c>
      <c r="DI4" s="5" t="s">
        <v>111</v>
      </c>
      <c r="DJ4" s="5" t="s">
        <v>112</v>
      </c>
      <c r="DK4" s="5" t="s">
        <v>113</v>
      </c>
      <c r="DL4" s="5" t="s">
        <v>114</v>
      </c>
      <c r="DM4" s="5" t="s">
        <v>115</v>
      </c>
      <c r="DN4" s="5" t="s">
        <v>116</v>
      </c>
      <c r="DO4" s="5" t="s">
        <v>117</v>
      </c>
      <c r="DP4" s="5" t="s">
        <v>118</v>
      </c>
      <c r="DQ4" s="5" t="s">
        <v>119</v>
      </c>
      <c r="DR4" s="5" t="s">
        <v>120</v>
      </c>
      <c r="DS4" s="5" t="s">
        <v>121</v>
      </c>
      <c r="DT4" s="5" t="s">
        <v>122</v>
      </c>
      <c r="DU4" s="5" t="s">
        <v>123</v>
      </c>
      <c r="DV4" s="5" t="s">
        <v>124</v>
      </c>
      <c r="DW4" s="5" t="s">
        <v>125</v>
      </c>
      <c r="DX4" s="5" t="s">
        <v>126</v>
      </c>
      <c r="DY4" s="5" t="s">
        <v>127</v>
      </c>
      <c r="DZ4" s="5" t="s">
        <v>128</v>
      </c>
      <c r="EA4" s="5" t="s">
        <v>129</v>
      </c>
      <c r="EB4" s="5" t="s">
        <v>130</v>
      </c>
      <c r="EC4" s="5" t="s">
        <v>131</v>
      </c>
      <c r="ED4" s="5" t="s">
        <v>132</v>
      </c>
      <c r="EE4" s="5" t="s">
        <v>133</v>
      </c>
      <c r="EF4" s="5" t="s">
        <v>134</v>
      </c>
      <c r="EG4" s="5" t="s">
        <v>135</v>
      </c>
      <c r="EH4" s="5" t="s">
        <v>136</v>
      </c>
      <c r="EI4" s="5" t="s">
        <v>137</v>
      </c>
      <c r="EJ4" s="5" t="s">
        <v>138</v>
      </c>
      <c r="EK4" s="5" t="s">
        <v>139</v>
      </c>
      <c r="EL4" s="5" t="s">
        <v>140</v>
      </c>
      <c r="EM4" s="5" t="s">
        <v>141</v>
      </c>
      <c r="EN4" s="5" t="s">
        <v>142</v>
      </c>
      <c r="EO4" s="5" t="s">
        <v>143</v>
      </c>
      <c r="EP4" s="5" t="s">
        <v>144</v>
      </c>
      <c r="EQ4" s="5" t="s">
        <v>145</v>
      </c>
      <c r="ER4" s="5" t="s">
        <v>146</v>
      </c>
      <c r="ES4" s="5" t="s">
        <v>147</v>
      </c>
      <c r="ET4" s="5" t="s">
        <v>148</v>
      </c>
      <c r="EU4" s="5" t="s">
        <v>149</v>
      </c>
      <c r="EV4" s="5" t="s">
        <v>150</v>
      </c>
      <c r="EW4" s="5" t="s">
        <v>151</v>
      </c>
      <c r="EX4" s="5" t="s">
        <v>152</v>
      </c>
      <c r="EY4" s="5" t="s">
        <v>153</v>
      </c>
      <c r="EZ4" s="5" t="s">
        <v>154</v>
      </c>
      <c r="FA4" s="5" t="s">
        <v>155</v>
      </c>
      <c r="FB4" s="5" t="s">
        <v>156</v>
      </c>
      <c r="FC4" s="5" t="s">
        <v>157</v>
      </c>
      <c r="FD4" s="5" t="s">
        <v>158</v>
      </c>
      <c r="FE4" s="5" t="s">
        <v>159</v>
      </c>
      <c r="FF4" s="5" t="s">
        <v>160</v>
      </c>
      <c r="FG4" s="5" t="s">
        <v>161</v>
      </c>
      <c r="FH4" s="5" t="s">
        <v>162</v>
      </c>
      <c r="FI4" s="5" t="s">
        <v>163</v>
      </c>
      <c r="FJ4" s="5" t="s">
        <v>164</v>
      </c>
      <c r="FK4" s="5" t="s">
        <v>165</v>
      </c>
      <c r="FL4" s="5" t="s">
        <v>166</v>
      </c>
      <c r="FM4" s="5" t="s">
        <v>167</v>
      </c>
      <c r="FN4" s="5" t="s">
        <v>168</v>
      </c>
      <c r="FO4" s="5" t="s">
        <v>169</v>
      </c>
      <c r="FP4" s="5" t="s">
        <v>170</v>
      </c>
      <c r="FQ4" s="5" t="s">
        <v>171</v>
      </c>
      <c r="FR4" s="5" t="s">
        <v>172</v>
      </c>
      <c r="FS4" s="5" t="s">
        <v>173</v>
      </c>
      <c r="FT4" s="5" t="s">
        <v>174</v>
      </c>
      <c r="FU4" s="5" t="s">
        <v>175</v>
      </c>
      <c r="FV4" s="5" t="s">
        <v>176</v>
      </c>
      <c r="FW4" s="5" t="s">
        <v>177</v>
      </c>
      <c r="FX4" s="5" t="s">
        <v>178</v>
      </c>
      <c r="FY4" s="5" t="s">
        <v>179</v>
      </c>
      <c r="FZ4" s="5" t="s">
        <v>180</v>
      </c>
      <c r="GA4" s="5" t="s">
        <v>181</v>
      </c>
      <c r="GB4" s="5" t="s">
        <v>182</v>
      </c>
      <c r="GC4" s="5" t="s">
        <v>183</v>
      </c>
      <c r="GD4" s="5" t="s">
        <v>184</v>
      </c>
      <c r="GE4" s="5" t="s">
        <v>185</v>
      </c>
      <c r="GF4" s="5" t="s">
        <v>186</v>
      </c>
      <c r="GG4" s="5" t="s">
        <v>187</v>
      </c>
      <c r="GH4" s="5" t="s">
        <v>188</v>
      </c>
      <c r="GI4" s="5" t="s">
        <v>189</v>
      </c>
      <c r="GJ4" s="5" t="s">
        <v>190</v>
      </c>
      <c r="GK4" s="5" t="s">
        <v>191</v>
      </c>
      <c r="GL4" s="5" t="s">
        <v>192</v>
      </c>
      <c r="GM4" s="5" t="s">
        <v>193</v>
      </c>
      <c r="GN4" s="5" t="s">
        <v>194</v>
      </c>
      <c r="GO4" s="5" t="s">
        <v>195</v>
      </c>
      <c r="GP4" s="5" t="s">
        <v>196</v>
      </c>
      <c r="GQ4" s="5" t="s">
        <v>197</v>
      </c>
      <c r="GR4" s="5" t="s">
        <v>198</v>
      </c>
      <c r="GS4" s="5" t="s">
        <v>199</v>
      </c>
      <c r="GT4" s="5" t="s">
        <v>200</v>
      </c>
    </row>
    <row r="5" spans="1:204" ht="18" customHeight="1" x14ac:dyDescent="0.2">
      <c r="A5" s="6" t="s">
        <v>201</v>
      </c>
      <c r="B5" s="7" t="s">
        <v>202</v>
      </c>
      <c r="C5" s="8" t="s">
        <v>203</v>
      </c>
      <c r="D5" s="56" t="s">
        <v>204</v>
      </c>
      <c r="E5" s="9" t="s">
        <v>205</v>
      </c>
      <c r="F5" s="9" t="s">
        <v>206</v>
      </c>
      <c r="G5" s="9" t="s">
        <v>207</v>
      </c>
      <c r="H5" s="9" t="s">
        <v>208</v>
      </c>
      <c r="I5" s="9" t="s">
        <v>209</v>
      </c>
      <c r="J5" s="9" t="s">
        <v>210</v>
      </c>
      <c r="K5" s="9" t="s">
        <v>211</v>
      </c>
      <c r="L5" s="9" t="s">
        <v>212</v>
      </c>
      <c r="M5" s="9" t="s">
        <v>213</v>
      </c>
      <c r="N5" s="9" t="s">
        <v>214</v>
      </c>
      <c r="O5" s="9" t="s">
        <v>215</v>
      </c>
      <c r="P5" s="9" t="s">
        <v>216</v>
      </c>
      <c r="Q5" s="9" t="s">
        <v>217</v>
      </c>
      <c r="R5" s="9" t="s">
        <v>218</v>
      </c>
      <c r="S5" s="9" t="s">
        <v>219</v>
      </c>
      <c r="T5" s="9" t="s">
        <v>220</v>
      </c>
      <c r="U5" s="9" t="s">
        <v>221</v>
      </c>
      <c r="V5" s="9" t="s">
        <v>222</v>
      </c>
      <c r="W5" s="9" t="s">
        <v>223</v>
      </c>
      <c r="X5" s="9" t="s">
        <v>224</v>
      </c>
      <c r="Y5" s="9" t="s">
        <v>225</v>
      </c>
      <c r="Z5" s="9" t="s">
        <v>226</v>
      </c>
      <c r="AA5" s="9" t="s">
        <v>227</v>
      </c>
      <c r="AB5" s="9" t="s">
        <v>228</v>
      </c>
      <c r="AC5" s="9" t="s">
        <v>229</v>
      </c>
      <c r="AD5" s="9" t="s">
        <v>230</v>
      </c>
      <c r="AE5" s="9" t="s">
        <v>231</v>
      </c>
      <c r="AF5" s="9" t="s">
        <v>232</v>
      </c>
      <c r="AG5" s="9" t="s">
        <v>233</v>
      </c>
      <c r="AH5" s="9" t="s">
        <v>234</v>
      </c>
      <c r="AI5" s="9" t="s">
        <v>235</v>
      </c>
      <c r="AJ5" s="9" t="s">
        <v>236</v>
      </c>
      <c r="AK5" s="9" t="s">
        <v>237</v>
      </c>
      <c r="AL5" s="9" t="s">
        <v>238</v>
      </c>
      <c r="AM5" s="9" t="s">
        <v>239</v>
      </c>
      <c r="AN5" s="9" t="s">
        <v>240</v>
      </c>
      <c r="AO5" s="9" t="s">
        <v>241</v>
      </c>
      <c r="AP5" s="9" t="s">
        <v>242</v>
      </c>
      <c r="AQ5" s="9" t="s">
        <v>243</v>
      </c>
      <c r="AR5" s="9" t="s">
        <v>244</v>
      </c>
      <c r="AS5" s="9" t="s">
        <v>245</v>
      </c>
      <c r="AT5" s="9" t="s">
        <v>246</v>
      </c>
      <c r="AU5" s="9" t="s">
        <v>247</v>
      </c>
      <c r="AV5" s="9" t="s">
        <v>248</v>
      </c>
      <c r="AW5" s="9" t="s">
        <v>249</v>
      </c>
      <c r="AX5" s="9" t="s">
        <v>250</v>
      </c>
      <c r="AY5" s="9" t="s">
        <v>251</v>
      </c>
      <c r="AZ5" s="9" t="s">
        <v>252</v>
      </c>
      <c r="BA5" s="9" t="s">
        <v>253</v>
      </c>
      <c r="BB5" s="9" t="s">
        <v>254</v>
      </c>
      <c r="BC5" s="9" t="s">
        <v>255</v>
      </c>
      <c r="BD5" s="9" t="s">
        <v>256</v>
      </c>
      <c r="BE5" s="9" t="s">
        <v>257</v>
      </c>
      <c r="BF5" s="9" t="s">
        <v>258</v>
      </c>
      <c r="BG5" s="9" t="s">
        <v>259</v>
      </c>
      <c r="BH5" s="9" t="s">
        <v>260</v>
      </c>
      <c r="BI5" s="9" t="s">
        <v>261</v>
      </c>
      <c r="BJ5" s="9" t="s">
        <v>262</v>
      </c>
      <c r="BK5" s="9" t="s">
        <v>263</v>
      </c>
      <c r="BL5" s="9" t="s">
        <v>264</v>
      </c>
      <c r="BM5" s="9" t="s">
        <v>265</v>
      </c>
      <c r="BN5" s="9" t="s">
        <v>266</v>
      </c>
      <c r="BO5" s="9" t="s">
        <v>267</v>
      </c>
      <c r="BP5" s="9" t="s">
        <v>268</v>
      </c>
      <c r="BQ5" s="9" t="s">
        <v>269</v>
      </c>
      <c r="BR5" s="9" t="s">
        <v>270</v>
      </c>
      <c r="BS5" s="9" t="s">
        <v>271</v>
      </c>
      <c r="BT5" s="9" t="s">
        <v>272</v>
      </c>
      <c r="BU5" s="9" t="s">
        <v>273</v>
      </c>
      <c r="BV5" s="9" t="s">
        <v>274</v>
      </c>
      <c r="BW5" s="9" t="s">
        <v>275</v>
      </c>
      <c r="BX5" s="9" t="s">
        <v>276</v>
      </c>
      <c r="BY5" s="9" t="s">
        <v>277</v>
      </c>
      <c r="BZ5" s="9" t="s">
        <v>278</v>
      </c>
      <c r="CA5" s="9" t="s">
        <v>279</v>
      </c>
      <c r="CB5" s="9" t="s">
        <v>280</v>
      </c>
      <c r="CC5" s="9" t="s">
        <v>281</v>
      </c>
      <c r="CD5" s="9" t="s">
        <v>282</v>
      </c>
      <c r="CE5" s="9" t="s">
        <v>283</v>
      </c>
      <c r="CF5" s="9" t="s">
        <v>284</v>
      </c>
      <c r="CG5" s="9" t="s">
        <v>285</v>
      </c>
      <c r="CH5" s="9" t="s">
        <v>286</v>
      </c>
      <c r="CI5" s="9" t="s">
        <v>287</v>
      </c>
      <c r="CJ5" s="9" t="s">
        <v>288</v>
      </c>
      <c r="CK5" s="9" t="s">
        <v>289</v>
      </c>
      <c r="CL5" s="9" t="s">
        <v>290</v>
      </c>
      <c r="CM5" s="9" t="s">
        <v>291</v>
      </c>
      <c r="CN5" s="9" t="s">
        <v>292</v>
      </c>
      <c r="CO5" s="9" t="s">
        <v>293</v>
      </c>
      <c r="CP5" s="9" t="s">
        <v>294</v>
      </c>
      <c r="CQ5" s="9" t="s">
        <v>295</v>
      </c>
      <c r="CR5" s="9" t="s">
        <v>296</v>
      </c>
      <c r="CS5" s="9" t="s">
        <v>297</v>
      </c>
      <c r="CT5" s="9" t="s">
        <v>298</v>
      </c>
      <c r="CU5" s="9" t="s">
        <v>299</v>
      </c>
      <c r="CV5" s="9" t="s">
        <v>300</v>
      </c>
      <c r="CW5" s="9" t="s">
        <v>301</v>
      </c>
      <c r="CX5" s="9" t="s">
        <v>302</v>
      </c>
      <c r="CY5" s="9" t="s">
        <v>303</v>
      </c>
      <c r="CZ5" s="9" t="s">
        <v>304</v>
      </c>
      <c r="DA5" s="9" t="s">
        <v>305</v>
      </c>
      <c r="DB5" s="9" t="s">
        <v>306</v>
      </c>
      <c r="DC5" s="9" t="s">
        <v>307</v>
      </c>
      <c r="DD5" s="9" t="s">
        <v>308</v>
      </c>
      <c r="DE5" s="9" t="s">
        <v>309</v>
      </c>
      <c r="DF5" s="9" t="s">
        <v>310</v>
      </c>
      <c r="DG5" s="9" t="s">
        <v>311</v>
      </c>
      <c r="DH5" s="9" t="s">
        <v>312</v>
      </c>
      <c r="DI5" s="9" t="s">
        <v>313</v>
      </c>
      <c r="DJ5" s="9" t="s">
        <v>314</v>
      </c>
      <c r="DK5" s="9" t="s">
        <v>315</v>
      </c>
      <c r="DL5" s="9" t="s">
        <v>316</v>
      </c>
      <c r="DM5" s="9" t="s">
        <v>317</v>
      </c>
      <c r="DN5" s="9" t="s">
        <v>318</v>
      </c>
      <c r="DO5" s="9" t="s">
        <v>319</v>
      </c>
      <c r="DP5" s="9" t="s">
        <v>320</v>
      </c>
      <c r="DQ5" s="9" t="s">
        <v>321</v>
      </c>
      <c r="DR5" s="9" t="s">
        <v>322</v>
      </c>
      <c r="DS5" s="9" t="s">
        <v>323</v>
      </c>
      <c r="DT5" s="9" t="s">
        <v>324</v>
      </c>
      <c r="DU5" s="9" t="s">
        <v>325</v>
      </c>
      <c r="DV5" s="9" t="s">
        <v>326</v>
      </c>
      <c r="DW5" s="9" t="s">
        <v>327</v>
      </c>
      <c r="DX5" s="9" t="s">
        <v>328</v>
      </c>
      <c r="DY5" s="9" t="s">
        <v>329</v>
      </c>
      <c r="DZ5" s="9" t="s">
        <v>330</v>
      </c>
      <c r="EA5" s="9" t="s">
        <v>331</v>
      </c>
      <c r="EB5" s="9" t="s">
        <v>332</v>
      </c>
      <c r="EC5" s="9" t="s">
        <v>333</v>
      </c>
      <c r="ED5" s="9" t="s">
        <v>334</v>
      </c>
      <c r="EE5" s="9" t="s">
        <v>335</v>
      </c>
      <c r="EF5" s="9" t="s">
        <v>336</v>
      </c>
      <c r="EG5" s="9" t="s">
        <v>337</v>
      </c>
      <c r="EH5" s="9" t="s">
        <v>338</v>
      </c>
      <c r="EI5" s="9" t="s">
        <v>339</v>
      </c>
      <c r="EJ5" s="9" t="s">
        <v>340</v>
      </c>
      <c r="EK5" s="9" t="s">
        <v>341</v>
      </c>
      <c r="EL5" s="9" t="s">
        <v>342</v>
      </c>
      <c r="EM5" s="9" t="s">
        <v>343</v>
      </c>
      <c r="EN5" s="9" t="s">
        <v>344</v>
      </c>
      <c r="EO5" s="9" t="s">
        <v>345</v>
      </c>
      <c r="EP5" s="9" t="s">
        <v>346</v>
      </c>
      <c r="EQ5" s="9" t="s">
        <v>347</v>
      </c>
      <c r="ER5" s="9" t="s">
        <v>348</v>
      </c>
      <c r="ES5" s="9" t="s">
        <v>349</v>
      </c>
      <c r="ET5" s="9" t="s">
        <v>350</v>
      </c>
      <c r="EU5" s="9" t="s">
        <v>351</v>
      </c>
      <c r="EV5" s="9" t="s">
        <v>352</v>
      </c>
      <c r="EW5" s="9" t="s">
        <v>353</v>
      </c>
      <c r="EX5" s="9" t="s">
        <v>354</v>
      </c>
      <c r="EY5" s="9" t="s">
        <v>355</v>
      </c>
      <c r="EZ5" s="9" t="s">
        <v>356</v>
      </c>
      <c r="FA5" s="9" t="s">
        <v>357</v>
      </c>
      <c r="FB5" s="9" t="s">
        <v>358</v>
      </c>
      <c r="FC5" s="9" t="s">
        <v>359</v>
      </c>
      <c r="FD5" s="9" t="s">
        <v>360</v>
      </c>
      <c r="FE5" s="9" t="s">
        <v>361</v>
      </c>
      <c r="FF5" s="9" t="s">
        <v>362</v>
      </c>
      <c r="FG5" s="9" t="s">
        <v>363</v>
      </c>
      <c r="FH5" s="9" t="s">
        <v>364</v>
      </c>
      <c r="FI5" s="9" t="s">
        <v>365</v>
      </c>
      <c r="FJ5" s="9" t="s">
        <v>366</v>
      </c>
      <c r="FK5" s="9" t="s">
        <v>367</v>
      </c>
      <c r="FL5" s="9" t="s">
        <v>368</v>
      </c>
      <c r="FM5" s="9" t="s">
        <v>369</v>
      </c>
      <c r="FN5" s="9" t="s">
        <v>370</v>
      </c>
      <c r="FO5" s="9" t="s">
        <v>371</v>
      </c>
      <c r="FP5" s="9" t="s">
        <v>372</v>
      </c>
      <c r="FQ5" s="9" t="s">
        <v>373</v>
      </c>
      <c r="FR5" s="9" t="s">
        <v>374</v>
      </c>
      <c r="FS5" s="9" t="s">
        <v>375</v>
      </c>
      <c r="FT5" s="9" t="s">
        <v>376</v>
      </c>
      <c r="FU5" s="9" t="s">
        <v>377</v>
      </c>
      <c r="FV5" s="9" t="s">
        <v>378</v>
      </c>
      <c r="FW5" s="9" t="s">
        <v>379</v>
      </c>
      <c r="FX5" s="9" t="s">
        <v>380</v>
      </c>
      <c r="FY5" s="9" t="s">
        <v>381</v>
      </c>
      <c r="FZ5" s="9" t="s">
        <v>382</v>
      </c>
      <c r="GA5" s="9" t="s">
        <v>383</v>
      </c>
      <c r="GB5" s="9" t="s">
        <v>384</v>
      </c>
      <c r="GC5" s="9" t="s">
        <v>385</v>
      </c>
      <c r="GD5" s="9" t="s">
        <v>386</v>
      </c>
      <c r="GE5" s="9" t="s">
        <v>387</v>
      </c>
      <c r="GF5" s="9" t="s">
        <v>388</v>
      </c>
      <c r="GG5" s="9" t="s">
        <v>389</v>
      </c>
      <c r="GH5" s="9" t="s">
        <v>390</v>
      </c>
      <c r="GI5" s="9" t="s">
        <v>391</v>
      </c>
      <c r="GJ5" s="9" t="s">
        <v>392</v>
      </c>
      <c r="GK5" s="9" t="s">
        <v>393</v>
      </c>
      <c r="GL5" s="9" t="s">
        <v>394</v>
      </c>
      <c r="GM5" s="9" t="s">
        <v>395</v>
      </c>
      <c r="GN5" s="9" t="s">
        <v>396</v>
      </c>
      <c r="GO5" s="9" t="s">
        <v>397</v>
      </c>
      <c r="GP5" s="9" t="s">
        <v>398</v>
      </c>
      <c r="GQ5" s="9" t="s">
        <v>399</v>
      </c>
      <c r="GR5" s="9" t="s">
        <v>400</v>
      </c>
      <c r="GS5" s="9" t="s">
        <v>401</v>
      </c>
      <c r="GT5" s="9" t="s">
        <v>402</v>
      </c>
      <c r="GU5" s="37" t="s">
        <v>669</v>
      </c>
      <c r="GV5" s="37" t="s">
        <v>670</v>
      </c>
    </row>
    <row r="6" spans="1:204" ht="15" customHeight="1" x14ac:dyDescent="0.2">
      <c r="A6" s="3" t="s">
        <v>552</v>
      </c>
      <c r="B6" s="3" t="s">
        <v>553</v>
      </c>
      <c r="C6" s="3" t="s">
        <v>554</v>
      </c>
      <c r="D6" s="16">
        <f>0.9753*GL6+0.02473*AP6</f>
        <v>10.905272999999999</v>
      </c>
      <c r="F6" s="48">
        <v>1.6416440000000001</v>
      </c>
      <c r="G6" s="48">
        <v>1.6416440000000001</v>
      </c>
      <c r="K6" s="48">
        <v>1.6416440000000001</v>
      </c>
      <c r="N6" s="48">
        <v>1.6416440000000001</v>
      </c>
      <c r="Y6" s="48">
        <v>1.6416440000000001</v>
      </c>
      <c r="AM6">
        <v>11.1</v>
      </c>
      <c r="AN6">
        <v>11.1</v>
      </c>
      <c r="AO6">
        <v>11.1</v>
      </c>
      <c r="AP6">
        <v>11.1</v>
      </c>
      <c r="AV6" s="48">
        <v>1.6416440000000001</v>
      </c>
      <c r="AX6" s="38">
        <v>0.41128999999999999</v>
      </c>
      <c r="BH6" s="48">
        <v>1.6416440000000001</v>
      </c>
      <c r="BV6" s="48">
        <v>1.6416440000000001</v>
      </c>
      <c r="BY6" s="48">
        <v>1.6416440000000001</v>
      </c>
      <c r="CN6" s="48">
        <v>1.6416440000000001</v>
      </c>
      <c r="CO6" s="48">
        <v>1.6416440000000001</v>
      </c>
      <c r="CZ6" s="48">
        <v>1.6416440000000001</v>
      </c>
      <c r="DK6" s="48">
        <v>1.6416440000000001</v>
      </c>
      <c r="DR6" s="48">
        <v>1.6416440000000001</v>
      </c>
      <c r="DS6" s="48">
        <v>1.6416440000000001</v>
      </c>
      <c r="EF6" s="48">
        <v>1.6416440000000001</v>
      </c>
      <c r="EQ6" s="48">
        <v>1.6416440000000001</v>
      </c>
      <c r="FF6" s="48">
        <v>1.6416440000000001</v>
      </c>
      <c r="FK6" s="48">
        <v>1.6416440000000001</v>
      </c>
      <c r="FP6" s="38">
        <v>2.8719969999999999</v>
      </c>
      <c r="FT6" s="40"/>
      <c r="GC6" s="48">
        <v>1.6416440000000001</v>
      </c>
      <c r="GF6" s="48">
        <v>1.6416440000000001</v>
      </c>
      <c r="GL6">
        <v>10.9</v>
      </c>
      <c r="GU6" s="44">
        <f t="shared" ref="GU6:GU37" si="0">IFERROR(AVERAGE(EQ6,FP6,CO6,BY6,AX6,DK6,FK6,AV6),"")</f>
        <v>1.6416438749999998</v>
      </c>
      <c r="GV6" s="44" t="str">
        <f t="shared" ref="GV6:GV37" si="1">IFERROR(AVERAGE(BQ6,FT6,EG6,BC6,BL6,CY6,DD6,CM6,GJ6,DY6,T6,DE6,BW6,BR6,EP6,AY6,FJ6,M6,CG6,EV6,AC6),"")</f>
        <v/>
      </c>
    </row>
    <row r="7" spans="1:204" ht="15" customHeight="1" x14ac:dyDescent="0.2">
      <c r="A7" s="3" t="s">
        <v>605</v>
      </c>
      <c r="B7" s="3" t="s">
        <v>606</v>
      </c>
      <c r="C7" s="3" t="s">
        <v>438</v>
      </c>
      <c r="D7" s="40">
        <f t="shared" ref="D7:D12" si="2">AVERAGE(E7:GT7)</f>
        <v>2.1376819999999985</v>
      </c>
      <c r="M7" s="48">
        <v>2.1376819999999999</v>
      </c>
      <c r="S7" s="48">
        <v>2.1376819999999999</v>
      </c>
      <c r="T7" s="48">
        <v>2.1376819999999999</v>
      </c>
      <c r="AC7" s="48">
        <v>2.1376819999999999</v>
      </c>
      <c r="AY7" s="48">
        <v>2.1376819999999999</v>
      </c>
      <c r="BC7" s="48">
        <v>2.1376819999999999</v>
      </c>
      <c r="BL7" s="48">
        <v>2.1376819999999999</v>
      </c>
      <c r="BO7" s="48">
        <v>2.1376819999999999</v>
      </c>
      <c r="BQ7">
        <v>2.1376819999999999</v>
      </c>
      <c r="BR7" s="48">
        <v>2.1376819999999999</v>
      </c>
      <c r="BW7" s="48">
        <v>2.1376819999999999</v>
      </c>
      <c r="CG7" s="48">
        <v>2.1376819999999999</v>
      </c>
      <c r="CH7" s="48">
        <v>2.1376819999999999</v>
      </c>
      <c r="CM7" s="48">
        <v>2.1376819999999999</v>
      </c>
      <c r="CS7" s="48">
        <v>2.1376819999999999</v>
      </c>
      <c r="CY7" s="48">
        <v>2.1376819999999999</v>
      </c>
      <c r="DD7" s="48">
        <v>2.1376819999999999</v>
      </c>
      <c r="DE7" s="48">
        <v>2.1376819999999999</v>
      </c>
      <c r="DY7" s="48">
        <v>2.1376819999999999</v>
      </c>
      <c r="EG7" s="48">
        <v>2.1376819999999999</v>
      </c>
      <c r="EP7" s="48">
        <v>2.1376819999999999</v>
      </c>
      <c r="EU7" s="48">
        <v>2.1376819999999999</v>
      </c>
      <c r="EV7" s="48">
        <v>2.1376819999999999</v>
      </c>
      <c r="EW7" s="48">
        <v>2.1376819999999999</v>
      </c>
      <c r="FJ7" s="48">
        <v>2.1376819999999999</v>
      </c>
      <c r="FT7" s="49">
        <v>2.1376819999999999</v>
      </c>
      <c r="FU7" s="48">
        <v>2.1376819999999999</v>
      </c>
      <c r="GH7" s="48">
        <v>2.1376819999999999</v>
      </c>
      <c r="GJ7" s="48">
        <v>2.1376819999999999</v>
      </c>
      <c r="GU7" s="43" t="str">
        <f t="shared" si="0"/>
        <v/>
      </c>
      <c r="GV7" s="43">
        <f t="shared" si="1"/>
        <v>2.137681999999999</v>
      </c>
    </row>
    <row r="8" spans="1:204" ht="15" customHeight="1" x14ac:dyDescent="0.2">
      <c r="A8" s="3" t="s">
        <v>519</v>
      </c>
      <c r="B8" s="3" t="s">
        <v>520</v>
      </c>
      <c r="C8" s="3" t="s">
        <v>455</v>
      </c>
      <c r="D8" s="40">
        <f t="shared" si="2"/>
        <v>19.52813196153846</v>
      </c>
      <c r="F8" s="48">
        <v>19.964834</v>
      </c>
      <c r="G8" s="48">
        <v>19.964834</v>
      </c>
      <c r="K8" s="48">
        <v>19.964834</v>
      </c>
      <c r="M8">
        <v>56.740004999999996</v>
      </c>
      <c r="N8" s="48">
        <v>19.964834</v>
      </c>
      <c r="S8" s="48">
        <v>19.181781999999998</v>
      </c>
      <c r="T8" s="48">
        <v>19.181781999999998</v>
      </c>
      <c r="Y8" s="48">
        <v>19.964834</v>
      </c>
      <c r="AC8" s="48">
        <v>19.181781999999998</v>
      </c>
      <c r="AV8" s="48">
        <v>19.964834</v>
      </c>
      <c r="AX8">
        <v>12.364129999999999</v>
      </c>
      <c r="AY8">
        <v>27.981034000000001</v>
      </c>
      <c r="BC8">
        <v>1.41</v>
      </c>
      <c r="BH8" s="48">
        <v>19.964834</v>
      </c>
      <c r="BL8">
        <v>5.6410000000000002E-2</v>
      </c>
      <c r="BO8" s="48">
        <v>19.181781999999998</v>
      </c>
      <c r="BQ8">
        <v>3.828678</v>
      </c>
      <c r="BR8">
        <v>54.458585999999997</v>
      </c>
      <c r="BV8" s="48">
        <v>19.964834</v>
      </c>
      <c r="BW8">
        <v>42.513356999999999</v>
      </c>
      <c r="BY8">
        <v>14.920032000000001</v>
      </c>
      <c r="CG8">
        <v>39.881714000000002</v>
      </c>
      <c r="CH8" s="48">
        <v>19.181781999999998</v>
      </c>
      <c r="CM8">
        <v>12.81155</v>
      </c>
      <c r="CN8" s="48">
        <v>19.964834</v>
      </c>
      <c r="CO8" s="48">
        <v>19.964834</v>
      </c>
      <c r="CS8" s="48">
        <v>19.181781999999998</v>
      </c>
      <c r="CY8">
        <v>0.97597199999999995</v>
      </c>
      <c r="CZ8" s="48">
        <v>19.964834</v>
      </c>
      <c r="DD8">
        <v>1.363022</v>
      </c>
      <c r="DE8" s="48">
        <v>19.181781999999998</v>
      </c>
      <c r="DK8" s="48">
        <v>19.964834</v>
      </c>
      <c r="DR8" s="48">
        <v>19.964834</v>
      </c>
      <c r="DS8" s="48">
        <v>19.964834</v>
      </c>
      <c r="DY8">
        <v>26.951072</v>
      </c>
      <c r="EF8" s="48">
        <v>19.964834</v>
      </c>
      <c r="EG8">
        <v>11.504027000000001</v>
      </c>
      <c r="EP8">
        <v>11.060089</v>
      </c>
      <c r="EQ8">
        <v>29.140609999999999</v>
      </c>
      <c r="EU8" s="48">
        <v>19.181781999999998</v>
      </c>
      <c r="EV8">
        <v>3.1694089999999999</v>
      </c>
      <c r="EW8" s="48">
        <v>19.181781999999998</v>
      </c>
      <c r="FF8" s="48">
        <v>19.964834</v>
      </c>
      <c r="FJ8">
        <v>25.415371</v>
      </c>
      <c r="FK8">
        <v>35.590131999999997</v>
      </c>
      <c r="FP8">
        <v>7.809266</v>
      </c>
      <c r="FT8" s="41">
        <v>5.97</v>
      </c>
      <c r="FU8" s="48">
        <v>19.181781999999998</v>
      </c>
      <c r="GC8" s="48">
        <v>19.964834</v>
      </c>
      <c r="GF8" s="48">
        <v>19.964834</v>
      </c>
      <c r="GH8" s="48">
        <v>19.181781999999998</v>
      </c>
      <c r="GJ8" s="48">
        <v>19.181781999999998</v>
      </c>
      <c r="GU8" s="43">
        <f t="shared" si="0"/>
        <v>19.964834</v>
      </c>
      <c r="GV8" s="43">
        <f t="shared" si="1"/>
        <v>19.181782095238095</v>
      </c>
    </row>
    <row r="9" spans="1:204" ht="15" customHeight="1" x14ac:dyDescent="0.2">
      <c r="A9" s="3" t="s">
        <v>526</v>
      </c>
      <c r="B9" s="3" t="s">
        <v>527</v>
      </c>
      <c r="C9" s="3" t="s">
        <v>455</v>
      </c>
      <c r="D9" s="40">
        <f t="shared" si="2"/>
        <v>7.7602747115384654</v>
      </c>
      <c r="F9" s="48">
        <v>9.1559460000000001</v>
      </c>
      <c r="G9" s="48">
        <v>9.1559460000000001</v>
      </c>
      <c r="K9" s="48">
        <v>9.1559460000000001</v>
      </c>
      <c r="M9" s="48">
        <v>6.6533629999999997</v>
      </c>
      <c r="N9" s="48">
        <v>9.1559460000000001</v>
      </c>
      <c r="S9" s="48">
        <v>6.6533629999999997</v>
      </c>
      <c r="T9" s="48">
        <v>6.6533629999999997</v>
      </c>
      <c r="Y9" s="48">
        <v>9.1559460000000001</v>
      </c>
      <c r="AC9" s="48">
        <v>6.6533629999999997</v>
      </c>
      <c r="AV9" s="48">
        <v>9.1559460000000001</v>
      </c>
      <c r="AX9">
        <v>6.37</v>
      </c>
      <c r="AY9" s="48">
        <v>6.6533629999999997</v>
      </c>
      <c r="BC9" s="48">
        <v>6.6533629999999997</v>
      </c>
      <c r="BH9" s="48">
        <v>9.1559460000000001</v>
      </c>
      <c r="BL9" s="48">
        <v>6.6533629999999997</v>
      </c>
      <c r="BO9" s="48">
        <v>6.6533629999999997</v>
      </c>
      <c r="BQ9" s="48">
        <v>6.6533629999999997</v>
      </c>
      <c r="BR9">
        <v>18.271756</v>
      </c>
      <c r="BV9" s="48">
        <v>9.1559460000000001</v>
      </c>
      <c r="BW9" s="48">
        <v>6.6533629999999997</v>
      </c>
      <c r="BY9" s="48">
        <v>9.1559460000000001</v>
      </c>
      <c r="CG9" s="48">
        <v>6.6533629999999997</v>
      </c>
      <c r="CH9" s="48">
        <v>6.6533629999999997</v>
      </c>
      <c r="CM9" s="48">
        <v>6.6533629999999997</v>
      </c>
      <c r="CN9" s="48">
        <v>9.1559460000000001</v>
      </c>
      <c r="CO9" s="48">
        <v>9.1559460000000001</v>
      </c>
      <c r="CS9" s="48">
        <v>6.6533629999999997</v>
      </c>
      <c r="CY9" s="48">
        <v>6.6533629999999997</v>
      </c>
      <c r="CZ9" s="48">
        <v>9.1559460000000001</v>
      </c>
      <c r="DD9" s="48">
        <v>6.6533629999999997</v>
      </c>
      <c r="DE9" s="48">
        <v>6.6533629999999997</v>
      </c>
      <c r="DK9" s="48">
        <v>9.1559460000000001</v>
      </c>
      <c r="DR9" s="48">
        <v>9.1559460000000001</v>
      </c>
      <c r="DS9" s="48">
        <v>9.1559460000000001</v>
      </c>
      <c r="DY9" s="48">
        <v>6.6533629999999997</v>
      </c>
      <c r="EF9" s="48">
        <v>9.1559460000000001</v>
      </c>
      <c r="EG9" s="48">
        <v>6.6533629999999997</v>
      </c>
      <c r="EP9" s="48">
        <v>6.6533629999999997</v>
      </c>
      <c r="EQ9" s="48">
        <v>9.1559460000000001</v>
      </c>
      <c r="EU9" s="48">
        <v>6.6533629999999997</v>
      </c>
      <c r="EV9">
        <v>0.45675399999999999</v>
      </c>
      <c r="EW9" s="48">
        <v>6.6533629999999997</v>
      </c>
      <c r="FF9" s="48">
        <v>9.1559460000000001</v>
      </c>
      <c r="FJ9">
        <v>1.231579</v>
      </c>
      <c r="FK9" s="48">
        <v>9.1559460000000001</v>
      </c>
      <c r="FP9">
        <v>11.941891999999999</v>
      </c>
      <c r="FT9" s="49">
        <v>6.6533629999999997</v>
      </c>
      <c r="FU9" s="48">
        <v>6.6533629999999997</v>
      </c>
      <c r="GC9" s="48">
        <v>9.1559460000000001</v>
      </c>
      <c r="GF9" s="48">
        <v>9.1559460000000001</v>
      </c>
      <c r="GH9" s="48">
        <v>6.6533629999999997</v>
      </c>
      <c r="GJ9" s="48">
        <v>6.6533629999999997</v>
      </c>
      <c r="GU9" s="43">
        <f t="shared" si="0"/>
        <v>9.1559460000000001</v>
      </c>
      <c r="GV9" s="43">
        <f t="shared" si="1"/>
        <v>6.6533629999999997</v>
      </c>
    </row>
    <row r="10" spans="1:204" ht="15" customHeight="1" x14ac:dyDescent="0.2">
      <c r="A10" s="3" t="s">
        <v>451</v>
      </c>
      <c r="B10" s="3" t="s">
        <v>452</v>
      </c>
      <c r="C10" s="3" t="s">
        <v>438</v>
      </c>
      <c r="D10" s="40">
        <f t="shared" si="2"/>
        <v>4.3842891153846146</v>
      </c>
      <c r="F10" s="48">
        <v>8.4</v>
      </c>
      <c r="G10" s="48">
        <v>8.4</v>
      </c>
      <c r="K10" s="48">
        <v>8.4</v>
      </c>
      <c r="M10" s="48">
        <v>1.1994149999999999</v>
      </c>
      <c r="N10" s="48">
        <v>8.4</v>
      </c>
      <c r="S10" s="48">
        <v>1.1994149999999999</v>
      </c>
      <c r="T10" s="48">
        <v>1.1994149999999999</v>
      </c>
      <c r="Y10" s="48">
        <v>8.4</v>
      </c>
      <c r="AC10" s="48">
        <v>1.1994149999999999</v>
      </c>
      <c r="AV10" s="48">
        <v>8.4</v>
      </c>
      <c r="AX10" s="38">
        <v>8.4</v>
      </c>
      <c r="AY10" s="48">
        <v>1.1994149999999999</v>
      </c>
      <c r="BC10">
        <v>1.85</v>
      </c>
      <c r="BH10" s="48">
        <v>8.4</v>
      </c>
      <c r="BL10" s="48">
        <v>1.1994149999999999</v>
      </c>
      <c r="BO10" s="48">
        <v>1.1994149999999999</v>
      </c>
      <c r="BQ10" s="48">
        <v>1.1994149999999999</v>
      </c>
      <c r="BR10" s="48">
        <v>1.1994149999999999</v>
      </c>
      <c r="BV10" s="48">
        <v>8.4</v>
      </c>
      <c r="BW10" s="48">
        <v>1.1994149999999999</v>
      </c>
      <c r="BY10" s="48">
        <v>8.4</v>
      </c>
      <c r="CG10" s="48">
        <v>1.1994149999999999</v>
      </c>
      <c r="CH10" s="48">
        <v>1.1994149999999999</v>
      </c>
      <c r="CM10">
        <v>1.574468</v>
      </c>
      <c r="CN10" s="48">
        <v>8.4</v>
      </c>
      <c r="CO10" s="48">
        <v>8.4</v>
      </c>
      <c r="CS10" s="48">
        <v>1.1994149999999999</v>
      </c>
      <c r="CY10" s="48">
        <v>1.1994149999999999</v>
      </c>
      <c r="CZ10" s="48">
        <v>8.4</v>
      </c>
      <c r="DD10" s="48">
        <v>1.1994149999999999</v>
      </c>
      <c r="DE10" s="48">
        <v>1.1994149999999999</v>
      </c>
      <c r="DK10" s="48">
        <v>8.4</v>
      </c>
      <c r="DR10" s="48">
        <v>8.4</v>
      </c>
      <c r="DS10" s="48">
        <v>8.4</v>
      </c>
      <c r="DY10" s="48">
        <v>1.1994149999999999</v>
      </c>
      <c r="EF10" s="48">
        <v>8.4</v>
      </c>
      <c r="EG10" s="48">
        <v>1.1994149999999999</v>
      </c>
      <c r="EP10" s="48">
        <v>1.1994149999999999</v>
      </c>
      <c r="EQ10" s="48">
        <v>8.4</v>
      </c>
      <c r="EU10" s="48">
        <v>1.1994149999999999</v>
      </c>
      <c r="EV10">
        <v>0.17377600000000001</v>
      </c>
      <c r="EW10" s="48">
        <v>1.1994149999999999</v>
      </c>
      <c r="FF10" s="48">
        <v>8.4</v>
      </c>
      <c r="FJ10" s="48">
        <v>1.1994149999999999</v>
      </c>
      <c r="FK10" s="48">
        <v>8.4</v>
      </c>
      <c r="FP10" s="48">
        <v>8.4</v>
      </c>
      <c r="FT10" s="49">
        <v>1.1994149999999999</v>
      </c>
      <c r="FU10" s="48">
        <v>1.1994149999999999</v>
      </c>
      <c r="GC10" s="48">
        <v>8.4</v>
      </c>
      <c r="GF10" s="48">
        <v>8.4</v>
      </c>
      <c r="GH10" s="48">
        <v>1.1994149999999999</v>
      </c>
      <c r="GJ10" s="48">
        <v>1.1994149999999999</v>
      </c>
      <c r="GU10" s="43">
        <f t="shared" si="0"/>
        <v>8.4</v>
      </c>
      <c r="GV10" s="43">
        <f t="shared" si="1"/>
        <v>1.1994149523809519</v>
      </c>
    </row>
    <row r="11" spans="1:204" ht="15" customHeight="1" x14ac:dyDescent="0.2">
      <c r="A11" s="3" t="s">
        <v>436</v>
      </c>
      <c r="B11" s="3" t="s">
        <v>437</v>
      </c>
      <c r="C11" s="3" t="s">
        <v>438</v>
      </c>
      <c r="D11" s="40">
        <f t="shared" si="2"/>
        <v>1.8030819310344837</v>
      </c>
      <c r="M11" s="48">
        <v>1.8030820000000001</v>
      </c>
      <c r="S11" s="48">
        <v>1.8030820000000001</v>
      </c>
      <c r="T11" s="48">
        <v>1.8030820000000001</v>
      </c>
      <c r="AC11" s="48">
        <v>1.8030820000000001</v>
      </c>
      <c r="AY11" s="48">
        <v>1.8030820000000001</v>
      </c>
      <c r="BC11">
        <v>1.85</v>
      </c>
      <c r="BL11" s="48">
        <v>1.8030820000000001</v>
      </c>
      <c r="BO11" s="48">
        <v>1.8030820000000001</v>
      </c>
      <c r="BQ11" s="48">
        <v>1.8030820000000001</v>
      </c>
      <c r="BR11" s="48">
        <v>1.8030820000000001</v>
      </c>
      <c r="BW11" s="48">
        <v>1.8030820000000001</v>
      </c>
      <c r="CG11" s="48">
        <v>1.8030820000000001</v>
      </c>
      <c r="CH11" s="48">
        <v>1.8030820000000001</v>
      </c>
      <c r="CM11">
        <v>1.574468</v>
      </c>
      <c r="CS11" s="48">
        <v>1.8030820000000001</v>
      </c>
      <c r="CY11" s="48">
        <v>1.8030820000000001</v>
      </c>
      <c r="DD11" s="48">
        <v>1.8030820000000001</v>
      </c>
      <c r="DE11" s="48">
        <v>1.8030820000000001</v>
      </c>
      <c r="DY11" s="38">
        <v>3.7671640000000002</v>
      </c>
      <c r="EG11" s="48">
        <v>1.8030820000000001</v>
      </c>
      <c r="EP11" s="48">
        <v>1.8030820000000001</v>
      </c>
      <c r="EU11" s="48">
        <v>1.8030820000000001</v>
      </c>
      <c r="EV11">
        <v>0.17377600000000001</v>
      </c>
      <c r="EW11" s="48">
        <v>1.8030820000000001</v>
      </c>
      <c r="FJ11" s="48">
        <v>1.8030820000000001</v>
      </c>
      <c r="FT11" s="40">
        <v>1.65</v>
      </c>
      <c r="FU11" s="48">
        <v>1.8030820000000001</v>
      </c>
      <c r="GH11" s="48">
        <v>1.8030820000000001</v>
      </c>
      <c r="GJ11" s="48">
        <v>1.8030820000000001</v>
      </c>
      <c r="GU11" s="43" t="str">
        <f t="shared" si="0"/>
        <v/>
      </c>
      <c r="GV11" s="43">
        <f t="shared" si="1"/>
        <v>1.8030819047619051</v>
      </c>
    </row>
    <row r="12" spans="1:204" ht="15" customHeight="1" x14ac:dyDescent="0.2">
      <c r="A12" s="3" t="s">
        <v>495</v>
      </c>
      <c r="B12" s="3" t="s">
        <v>496</v>
      </c>
      <c r="C12" s="3" t="s">
        <v>438</v>
      </c>
      <c r="D12" s="40">
        <f t="shared" si="2"/>
        <v>1.0968000000000004E-2</v>
      </c>
      <c r="F12" s="48">
        <v>1.0968E-2</v>
      </c>
      <c r="G12" s="48">
        <v>1.0968E-2</v>
      </c>
      <c r="K12" s="48">
        <v>1.0968E-2</v>
      </c>
      <c r="N12" s="48">
        <v>1.0968E-2</v>
      </c>
      <c r="Y12" s="48">
        <v>1.0968E-2</v>
      </c>
      <c r="AV12" s="48">
        <v>1.0968E-2</v>
      </c>
      <c r="AX12" s="48">
        <v>1.0968E-2</v>
      </c>
      <c r="BH12" s="48">
        <v>1.0968E-2</v>
      </c>
      <c r="BV12" s="48">
        <v>1.0968E-2</v>
      </c>
      <c r="BY12" s="48">
        <v>1.0968E-2</v>
      </c>
      <c r="CN12" s="48">
        <v>1.0968E-2</v>
      </c>
      <c r="CO12" s="48">
        <v>1.0968E-2</v>
      </c>
      <c r="CZ12" s="48">
        <v>1.0968E-2</v>
      </c>
      <c r="DK12" s="48">
        <v>1.0968E-2</v>
      </c>
      <c r="DR12" s="48">
        <v>1.0968E-2</v>
      </c>
      <c r="DS12" s="48">
        <v>1.0968E-2</v>
      </c>
      <c r="EF12" s="48">
        <v>1.0968E-2</v>
      </c>
      <c r="EQ12" s="38">
        <v>1.0968E-2</v>
      </c>
      <c r="FF12" s="48">
        <v>1.0968E-2</v>
      </c>
      <c r="FK12" s="48">
        <v>1.0968E-2</v>
      </c>
      <c r="FP12" s="48">
        <v>1.0968E-2</v>
      </c>
      <c r="FT12" s="40"/>
      <c r="GC12" s="48">
        <v>1.0968E-2</v>
      </c>
      <c r="GF12" s="48">
        <v>1.0968E-2</v>
      </c>
      <c r="GU12" s="43">
        <f t="shared" si="0"/>
        <v>1.0968000000000002E-2</v>
      </c>
      <c r="GV12" s="43" t="str">
        <f t="shared" si="1"/>
        <v/>
      </c>
    </row>
    <row r="13" spans="1:204" ht="15" customHeight="1" x14ac:dyDescent="0.2">
      <c r="A13" s="3" t="s">
        <v>497</v>
      </c>
      <c r="B13" s="3" t="s">
        <v>498</v>
      </c>
      <c r="C13" s="3" t="s">
        <v>455</v>
      </c>
      <c r="D13" s="40">
        <f>0.7067*CI13+0.1908*BG13+0.05134*AU13+0.05098*AQ13</f>
        <v>9.7277979999999982</v>
      </c>
      <c r="F13" s="48">
        <v>2.3866019999999999</v>
      </c>
      <c r="G13" s="48">
        <v>2.3866019999999999</v>
      </c>
      <c r="K13" s="48">
        <v>2.3866019999999999</v>
      </c>
      <c r="M13" s="48">
        <v>1.318071</v>
      </c>
      <c r="N13" s="48">
        <v>2.3866019999999999</v>
      </c>
      <c r="S13" s="48">
        <v>1.318071</v>
      </c>
      <c r="T13" s="48">
        <v>1.318071</v>
      </c>
      <c r="Y13" s="48">
        <v>2.3866019999999999</v>
      </c>
      <c r="AC13" s="48">
        <v>1.318071</v>
      </c>
      <c r="AQ13">
        <v>9.6999999999999993</v>
      </c>
      <c r="AU13">
        <v>64.8</v>
      </c>
      <c r="AV13" s="48">
        <v>2.3866019999999999</v>
      </c>
      <c r="AX13" s="38">
        <v>3.0952380000000002</v>
      </c>
      <c r="AY13" s="48">
        <v>1.318071</v>
      </c>
      <c r="BC13" s="48">
        <v>1.318071</v>
      </c>
      <c r="BG13">
        <v>15.4</v>
      </c>
      <c r="BH13" s="48">
        <v>2.3866019999999999</v>
      </c>
      <c r="BL13" s="48">
        <v>1.318071</v>
      </c>
      <c r="BO13" s="48">
        <v>1.318071</v>
      </c>
      <c r="BQ13" s="48">
        <v>1.318071</v>
      </c>
      <c r="BR13" s="38">
        <v>1.318071</v>
      </c>
      <c r="BV13" s="48">
        <v>2.3866019999999999</v>
      </c>
      <c r="BW13" s="48">
        <v>1.318071</v>
      </c>
      <c r="BY13" s="48">
        <v>2.3866019999999999</v>
      </c>
      <c r="CG13" s="48">
        <v>1.318071</v>
      </c>
      <c r="CH13" s="48">
        <v>1.318071</v>
      </c>
      <c r="CI13">
        <v>4.2</v>
      </c>
      <c r="CM13" s="48">
        <v>1.318071</v>
      </c>
      <c r="CN13" s="48">
        <v>2.3866019999999999</v>
      </c>
      <c r="CO13" s="48">
        <v>2.3866019999999999</v>
      </c>
      <c r="CS13" s="48">
        <v>1.318071</v>
      </c>
      <c r="CY13" s="48">
        <v>1.318071</v>
      </c>
      <c r="CZ13" s="48">
        <v>2.3866019999999999</v>
      </c>
      <c r="DD13" s="48">
        <v>1.318071</v>
      </c>
      <c r="DE13" s="48">
        <v>1.318071</v>
      </c>
      <c r="DK13" s="48">
        <v>2.3866019999999999</v>
      </c>
      <c r="DR13" s="48">
        <v>2.3866019999999999</v>
      </c>
      <c r="DS13" s="48">
        <v>2.3866019999999999</v>
      </c>
      <c r="DY13" s="48">
        <v>1.318071</v>
      </c>
      <c r="EF13" s="48">
        <v>2.3866019999999999</v>
      </c>
      <c r="EG13" s="48">
        <v>1.318071</v>
      </c>
      <c r="EP13" s="48">
        <v>1.318071</v>
      </c>
      <c r="EQ13" s="38">
        <v>1.6779660000000001</v>
      </c>
      <c r="EU13" s="48">
        <v>1.318071</v>
      </c>
      <c r="EV13" s="48">
        <v>1.318071</v>
      </c>
      <c r="EW13" s="48">
        <v>1.318071</v>
      </c>
      <c r="FF13" s="48">
        <v>2.3866019999999999</v>
      </c>
      <c r="FJ13" s="48">
        <v>1.318071</v>
      </c>
      <c r="FK13" s="48">
        <v>2.3866019999999999</v>
      </c>
      <c r="FP13" s="48">
        <v>2.3866019999999999</v>
      </c>
      <c r="FT13" s="49">
        <v>1.318071</v>
      </c>
      <c r="FU13" s="48">
        <v>1.318071</v>
      </c>
      <c r="GC13" s="48">
        <v>2.3866019999999999</v>
      </c>
      <c r="GF13" s="48">
        <v>2.3866019999999999</v>
      </c>
      <c r="GH13" s="48">
        <v>1.318071</v>
      </c>
      <c r="GJ13" s="48">
        <v>1.318071</v>
      </c>
      <c r="GU13" s="44">
        <f t="shared" si="0"/>
        <v>2.3866019999999999</v>
      </c>
      <c r="GV13" s="44">
        <f t="shared" si="1"/>
        <v>1.318071</v>
      </c>
    </row>
    <row r="14" spans="1:204" ht="15" customHeight="1" x14ac:dyDescent="0.2">
      <c r="A14" s="3" t="s">
        <v>417</v>
      </c>
      <c r="B14" s="10" t="s">
        <v>418</v>
      </c>
      <c r="C14" s="3" t="s">
        <v>405</v>
      </c>
      <c r="D14" s="40">
        <f>AVERAGE(E14:GT14)</f>
        <v>1.2046689423076917</v>
      </c>
      <c r="F14" s="48">
        <v>1.0565960000000001</v>
      </c>
      <c r="G14" s="48">
        <v>1.0565960000000001</v>
      </c>
      <c r="K14" s="48">
        <v>1.0565960000000001</v>
      </c>
      <c r="M14" s="38">
        <v>1.089974</v>
      </c>
      <c r="N14" s="48">
        <v>1.0565960000000001</v>
      </c>
      <c r="S14" s="48">
        <v>1.322106</v>
      </c>
      <c r="T14">
        <v>2.8777750000000002</v>
      </c>
      <c r="Y14" s="48">
        <v>1.0565960000000001</v>
      </c>
      <c r="AC14">
        <v>0.22081600000000001</v>
      </c>
      <c r="AV14" s="48">
        <v>1.0565960000000001</v>
      </c>
      <c r="AX14">
        <v>2.049598</v>
      </c>
      <c r="AY14" s="38">
        <v>1.2367600000000001</v>
      </c>
      <c r="BC14">
        <v>0.77500000000000002</v>
      </c>
      <c r="BH14" s="48">
        <v>1.0565960000000001</v>
      </c>
      <c r="BL14" s="38">
        <v>1.4795499999999999</v>
      </c>
      <c r="BO14" s="48">
        <v>1.322106</v>
      </c>
      <c r="BQ14" s="38">
        <v>0.96313700000000002</v>
      </c>
      <c r="BR14">
        <v>2.2562380000000002</v>
      </c>
      <c r="BV14" s="48">
        <v>1.0565960000000001</v>
      </c>
      <c r="BW14" s="38">
        <v>2.2881830000000001</v>
      </c>
      <c r="BY14" s="48">
        <v>1.0565960000000001</v>
      </c>
      <c r="CG14" s="48">
        <v>1.322106</v>
      </c>
      <c r="CH14" s="48">
        <v>1.322106</v>
      </c>
      <c r="CM14" s="38">
        <v>3.6526529999999999</v>
      </c>
      <c r="CN14" s="48">
        <v>1.0565960000000001</v>
      </c>
      <c r="CO14" s="48">
        <v>1.0565960000000001</v>
      </c>
      <c r="CS14" s="48">
        <v>1.322106</v>
      </c>
      <c r="CY14" s="38">
        <v>0.72162400000000004</v>
      </c>
      <c r="CZ14" s="48">
        <v>1.0565960000000001</v>
      </c>
      <c r="DD14" s="38">
        <v>1.4302699999999999</v>
      </c>
      <c r="DE14" s="38">
        <v>1.159478</v>
      </c>
      <c r="DK14" s="48">
        <v>1.0565960000000001</v>
      </c>
      <c r="DR14" s="48">
        <v>1.0565960000000001</v>
      </c>
      <c r="DS14" s="48">
        <v>1.0565960000000001</v>
      </c>
      <c r="DY14" s="38">
        <v>1.6774560000000001</v>
      </c>
      <c r="EF14" s="48">
        <v>1.0565960000000001</v>
      </c>
      <c r="EG14" s="38">
        <v>0.33670499999999998</v>
      </c>
      <c r="EP14" s="38">
        <v>1.1087849999999999</v>
      </c>
      <c r="EQ14">
        <v>0.477182</v>
      </c>
      <c r="EU14" s="48">
        <v>1.322106</v>
      </c>
      <c r="EV14">
        <v>0.37135600000000002</v>
      </c>
      <c r="EW14" s="48">
        <v>1.322106</v>
      </c>
      <c r="FF14" s="48">
        <v>1.0565960000000001</v>
      </c>
      <c r="FJ14" s="38">
        <v>0.85068100000000002</v>
      </c>
      <c r="FK14" s="48">
        <v>1.0565960000000001</v>
      </c>
      <c r="FP14">
        <v>0.64300800000000002</v>
      </c>
      <c r="FT14" s="39">
        <v>0.62357600000000002</v>
      </c>
      <c r="FU14" s="48">
        <v>1.322106</v>
      </c>
      <c r="GC14" s="48">
        <v>1.0565960000000001</v>
      </c>
      <c r="GF14" s="48">
        <v>1.0565960000000001</v>
      </c>
      <c r="GH14" s="48">
        <v>1.322106</v>
      </c>
      <c r="GJ14" s="48">
        <v>1.322106</v>
      </c>
      <c r="GU14" s="43">
        <f t="shared" si="0"/>
        <v>1.0565960000000001</v>
      </c>
      <c r="GV14" s="43">
        <f t="shared" si="1"/>
        <v>1.3221061428571428</v>
      </c>
    </row>
    <row r="15" spans="1:204" ht="15" customHeight="1" x14ac:dyDescent="0.2">
      <c r="A15" s="3" t="s">
        <v>419</v>
      </c>
      <c r="B15" s="11" t="s">
        <v>420</v>
      </c>
      <c r="C15" s="3" t="s">
        <v>408</v>
      </c>
      <c r="D15" s="40">
        <f>AVERAGE(E15:GT15)</f>
        <v>1.1810244807692305</v>
      </c>
      <c r="F15" s="48">
        <v>1.0565960000000001</v>
      </c>
      <c r="G15" s="48">
        <v>1.0565960000000001</v>
      </c>
      <c r="K15" s="48">
        <v>1.0565960000000001</v>
      </c>
      <c r="M15" s="38">
        <v>1.1385989999999999</v>
      </c>
      <c r="N15" s="48">
        <v>1.0565960000000001</v>
      </c>
      <c r="S15" s="48">
        <v>1.279709</v>
      </c>
      <c r="T15">
        <v>2.8777750000000002</v>
      </c>
      <c r="Y15" s="48">
        <v>1.0565960000000001</v>
      </c>
      <c r="AC15">
        <v>0.22081600000000001</v>
      </c>
      <c r="AV15" s="48">
        <v>1.0565960000000001</v>
      </c>
      <c r="AX15">
        <v>2.049598</v>
      </c>
      <c r="AY15" s="38">
        <v>0.95353200000000005</v>
      </c>
      <c r="BC15">
        <v>0.33</v>
      </c>
      <c r="BH15" s="48">
        <v>1.0565960000000001</v>
      </c>
      <c r="BL15" s="38">
        <v>2.0947439999999999</v>
      </c>
      <c r="BO15" s="48">
        <v>1.279709</v>
      </c>
      <c r="BQ15" s="38">
        <v>0.96313700000000002</v>
      </c>
      <c r="BR15">
        <v>2.2562380000000002</v>
      </c>
      <c r="BV15" s="48">
        <v>1.0565960000000001</v>
      </c>
      <c r="BW15" s="48">
        <v>1.279709</v>
      </c>
      <c r="BY15" s="48">
        <v>1.0565960000000001</v>
      </c>
      <c r="CG15" s="48">
        <v>1.279709</v>
      </c>
      <c r="CH15" s="48">
        <v>1.279709</v>
      </c>
      <c r="CM15" s="38">
        <v>1.9772160000000001</v>
      </c>
      <c r="CN15" s="48">
        <v>1.0565960000000001</v>
      </c>
      <c r="CO15" s="48">
        <v>1.0565960000000001</v>
      </c>
      <c r="CS15" s="48">
        <v>1.279709</v>
      </c>
      <c r="CY15" s="38">
        <v>1.2779149999999999</v>
      </c>
      <c r="CZ15" s="48">
        <v>1.0565960000000001</v>
      </c>
      <c r="DD15" s="38">
        <v>2.0793710000000001</v>
      </c>
      <c r="DE15" s="38">
        <v>0.90826099999999999</v>
      </c>
      <c r="DK15" s="48">
        <v>1.0565960000000001</v>
      </c>
      <c r="DR15" s="48">
        <v>1.0565960000000001</v>
      </c>
      <c r="DS15" s="48">
        <v>1.0565960000000001</v>
      </c>
      <c r="DY15" s="38">
        <v>1.6774560000000001</v>
      </c>
      <c r="EF15" s="48">
        <v>1.0565960000000001</v>
      </c>
      <c r="EG15" s="38">
        <v>0.33670499999999998</v>
      </c>
      <c r="EP15" s="38">
        <v>1.7489129999999999</v>
      </c>
      <c r="EQ15">
        <v>0.477182</v>
      </c>
      <c r="EU15" s="48">
        <v>1.279709</v>
      </c>
      <c r="EV15">
        <v>0.37135600000000002</v>
      </c>
      <c r="EW15" s="48">
        <v>1.279709</v>
      </c>
      <c r="FF15" s="48">
        <v>1.0565960000000001</v>
      </c>
      <c r="FJ15" s="38">
        <v>1.352732</v>
      </c>
      <c r="FK15" s="48">
        <v>1.0565960000000001</v>
      </c>
      <c r="FP15">
        <v>0.64300800000000002</v>
      </c>
      <c r="FT15" s="40">
        <v>0.47</v>
      </c>
      <c r="FU15" s="48">
        <v>1.279709</v>
      </c>
      <c r="GC15" s="48">
        <v>1.0565960000000001</v>
      </c>
      <c r="GF15" s="48">
        <v>1.0565960000000001</v>
      </c>
      <c r="GH15" s="48">
        <v>1.279709</v>
      </c>
      <c r="GJ15" s="48">
        <v>1.279709</v>
      </c>
      <c r="GU15" s="43">
        <f t="shared" si="0"/>
        <v>1.0565960000000001</v>
      </c>
      <c r="GV15" s="43">
        <f t="shared" si="1"/>
        <v>1.2797091904761904</v>
      </c>
    </row>
    <row r="16" spans="1:204" ht="15" customHeight="1" x14ac:dyDescent="0.2">
      <c r="A16" s="3" t="s">
        <v>421</v>
      </c>
      <c r="B16" s="11" t="s">
        <v>422</v>
      </c>
      <c r="C16" s="3" t="s">
        <v>408</v>
      </c>
      <c r="D16" s="40">
        <f>AVERAGE(E16:GT16)</f>
        <v>1.2398363076923076</v>
      </c>
      <c r="F16" s="48">
        <v>1.0565960000000001</v>
      </c>
      <c r="G16" s="48">
        <v>1.0565960000000001</v>
      </c>
      <c r="K16" s="48">
        <v>1.0565960000000001</v>
      </c>
      <c r="M16" s="38">
        <v>1.04135</v>
      </c>
      <c r="N16" s="48">
        <v>1.0565960000000001</v>
      </c>
      <c r="S16" s="48">
        <v>1.385165</v>
      </c>
      <c r="T16">
        <v>2.8777750000000002</v>
      </c>
      <c r="Y16" s="48">
        <v>1.0565960000000001</v>
      </c>
      <c r="AC16">
        <v>0.22081600000000001</v>
      </c>
      <c r="AV16" s="48">
        <v>1.0565960000000001</v>
      </c>
      <c r="AX16">
        <v>2.049598</v>
      </c>
      <c r="AY16" s="38">
        <v>1.519987</v>
      </c>
      <c r="BC16">
        <v>1.22</v>
      </c>
      <c r="BH16" s="48">
        <v>1.0565960000000001</v>
      </c>
      <c r="BL16" s="38">
        <v>0.86435700000000004</v>
      </c>
      <c r="BO16" s="48">
        <v>1.385165</v>
      </c>
      <c r="BQ16" s="48">
        <v>1.385165</v>
      </c>
      <c r="BR16">
        <v>2.2562380000000002</v>
      </c>
      <c r="BV16" s="48">
        <v>1.0565960000000001</v>
      </c>
      <c r="BW16" s="38">
        <v>2.2881830000000001</v>
      </c>
      <c r="BY16" s="48">
        <v>1.0565960000000001</v>
      </c>
      <c r="CG16" s="48">
        <v>1.385165</v>
      </c>
      <c r="CH16" s="48">
        <v>1.385165</v>
      </c>
      <c r="CM16" s="38">
        <v>5.3280900000000004</v>
      </c>
      <c r="CN16" s="48">
        <v>1.0565960000000001</v>
      </c>
      <c r="CO16" s="48">
        <v>1.0565960000000001</v>
      </c>
      <c r="CS16" s="48">
        <v>1.385165</v>
      </c>
      <c r="CY16" s="38">
        <v>0.16533300000000001</v>
      </c>
      <c r="CZ16" s="48">
        <v>1.0565960000000001</v>
      </c>
      <c r="DD16">
        <v>0.78116799999999997</v>
      </c>
      <c r="DE16" s="38">
        <v>1.410695</v>
      </c>
      <c r="DK16" s="48">
        <v>1.0565960000000001</v>
      </c>
      <c r="DR16" s="48">
        <v>1.0565960000000001</v>
      </c>
      <c r="DS16" s="48">
        <v>1.0565960000000001</v>
      </c>
      <c r="DY16" s="48">
        <v>1.385165</v>
      </c>
      <c r="EF16" s="48">
        <v>1.0565960000000001</v>
      </c>
      <c r="EG16" s="48">
        <v>1.385165</v>
      </c>
      <c r="EP16" s="38">
        <v>0.46865699999999999</v>
      </c>
      <c r="EQ16">
        <v>0.477182</v>
      </c>
      <c r="EU16" s="48">
        <v>1.385165</v>
      </c>
      <c r="EV16">
        <v>0.37135600000000002</v>
      </c>
      <c r="EW16" s="48">
        <v>1.385165</v>
      </c>
      <c r="FF16" s="48">
        <v>1.0565960000000001</v>
      </c>
      <c r="FJ16" s="38">
        <v>0.34863</v>
      </c>
      <c r="FK16" s="48">
        <v>1.0565960000000001</v>
      </c>
      <c r="FP16">
        <v>0.64300800000000002</v>
      </c>
      <c r="FT16" s="40">
        <v>1</v>
      </c>
      <c r="FU16" s="48">
        <v>1.385165</v>
      </c>
      <c r="GC16" s="48">
        <v>1.0565960000000001</v>
      </c>
      <c r="GF16" s="48">
        <v>1.0565960000000001</v>
      </c>
      <c r="GH16" s="48">
        <v>1.385165</v>
      </c>
      <c r="GJ16" s="48">
        <v>1.385165</v>
      </c>
      <c r="GU16" s="43">
        <f t="shared" si="0"/>
        <v>1.0565960000000001</v>
      </c>
      <c r="GV16" s="43">
        <f t="shared" si="1"/>
        <v>1.385164761904762</v>
      </c>
    </row>
    <row r="17" spans="1:204" ht="15" customHeight="1" x14ac:dyDescent="0.2">
      <c r="A17" s="3" t="s">
        <v>610</v>
      </c>
      <c r="B17" s="3" t="s">
        <v>611</v>
      </c>
      <c r="C17" s="3" t="s">
        <v>567</v>
      </c>
      <c r="D17" s="40">
        <f>AVERAGE(E17:GT17)</f>
        <v>0.72064963461538467</v>
      </c>
      <c r="E17" s="47"/>
      <c r="F17" s="48">
        <v>0.47368399999999999</v>
      </c>
      <c r="G17" s="48">
        <v>0.47368399999999999</v>
      </c>
      <c r="K17" s="48">
        <v>0.47368399999999999</v>
      </c>
      <c r="M17" s="48">
        <v>0.91651899999999997</v>
      </c>
      <c r="N17" s="48">
        <v>0.47368399999999999</v>
      </c>
      <c r="S17" s="48">
        <v>0.91651899999999997</v>
      </c>
      <c r="T17" s="48">
        <v>0.91651899999999997</v>
      </c>
      <c r="Y17" s="48">
        <v>0.47368399999999999</v>
      </c>
      <c r="AC17" s="48">
        <v>0.91651899999999997</v>
      </c>
      <c r="AV17" s="48">
        <v>0.47368399999999999</v>
      </c>
      <c r="AX17">
        <v>0.47368399999999999</v>
      </c>
      <c r="AY17" s="48">
        <v>0.91651899999999997</v>
      </c>
      <c r="BC17">
        <v>0.77</v>
      </c>
      <c r="BH17" s="48">
        <v>0.47368399999999999</v>
      </c>
      <c r="BL17">
        <v>1.7</v>
      </c>
      <c r="BO17" s="48">
        <v>0.91651899999999997</v>
      </c>
      <c r="BQ17" s="48">
        <v>0.91651899999999997</v>
      </c>
      <c r="BR17" s="48">
        <v>0.91651899999999997</v>
      </c>
      <c r="BV17" s="48">
        <v>0.47368399999999999</v>
      </c>
      <c r="BW17" s="48">
        <v>0.91651899999999997</v>
      </c>
      <c r="BY17" s="48">
        <v>0.47368399999999999</v>
      </c>
      <c r="CG17" s="48">
        <v>0.91651899999999997</v>
      </c>
      <c r="CH17" s="48">
        <v>0.91651899999999997</v>
      </c>
      <c r="CM17" s="48">
        <v>0.91651899999999997</v>
      </c>
      <c r="CN17" s="48">
        <v>0.47368399999999999</v>
      </c>
      <c r="CO17" s="48">
        <v>0.47368399999999999</v>
      </c>
      <c r="CS17" s="48">
        <v>0.91651899999999997</v>
      </c>
      <c r="CY17" s="48">
        <v>0.91651899999999997</v>
      </c>
      <c r="CZ17" s="48">
        <v>0.47368399999999999</v>
      </c>
      <c r="DD17" s="48">
        <v>0.91651899999999997</v>
      </c>
      <c r="DE17" s="48">
        <v>0.91651899999999997</v>
      </c>
      <c r="DK17" s="48">
        <v>0.47368399999999999</v>
      </c>
      <c r="DR17" s="48">
        <v>0.47368399999999999</v>
      </c>
      <c r="DS17" s="48">
        <v>0.47368399999999999</v>
      </c>
      <c r="DY17" s="48">
        <v>0.91651899999999997</v>
      </c>
      <c r="EF17" s="48">
        <v>0.47368399999999999</v>
      </c>
      <c r="EG17" s="48">
        <v>0.91651899999999997</v>
      </c>
      <c r="EP17" s="48">
        <v>0.91651899999999997</v>
      </c>
      <c r="EQ17" s="48">
        <v>0.47368399999999999</v>
      </c>
      <c r="EU17" s="48">
        <v>0.91651899999999997</v>
      </c>
      <c r="EV17" s="48">
        <v>0.91651899999999997</v>
      </c>
      <c r="EW17" s="48">
        <v>0.91651899999999997</v>
      </c>
      <c r="FF17" s="48">
        <v>0.47368399999999999</v>
      </c>
      <c r="FJ17">
        <v>9.6074000000000007E-2</v>
      </c>
      <c r="FK17" s="48">
        <v>0.47368399999999999</v>
      </c>
      <c r="FP17" s="48">
        <v>0.47368399999999999</v>
      </c>
      <c r="FT17" s="41">
        <v>1.1000000000000001</v>
      </c>
      <c r="FU17" s="48">
        <v>0.91651899999999997</v>
      </c>
      <c r="GC17" s="48">
        <v>0.47368399999999999</v>
      </c>
      <c r="GF17" s="48">
        <v>0.47368399999999999</v>
      </c>
      <c r="GH17" s="48">
        <v>0.91651899999999997</v>
      </c>
      <c r="GJ17" s="48">
        <v>0.91651899999999997</v>
      </c>
      <c r="GU17" s="43">
        <f t="shared" si="0"/>
        <v>0.47368399999999999</v>
      </c>
      <c r="GV17" s="43">
        <f t="shared" si="1"/>
        <v>0.91651890476190467</v>
      </c>
    </row>
    <row r="18" spans="1:204" ht="15" customHeight="1" x14ac:dyDescent="0.2">
      <c r="A18" s="3" t="s">
        <v>547</v>
      </c>
      <c r="B18" s="3" t="s">
        <v>548</v>
      </c>
      <c r="C18" s="3" t="s">
        <v>532</v>
      </c>
      <c r="D18" s="40">
        <f>AVERAGE(E18:GT18)</f>
        <v>3.1605559655172413</v>
      </c>
      <c r="M18" s="48">
        <v>3.1605560000000001</v>
      </c>
      <c r="S18" s="48">
        <v>3.1605560000000001</v>
      </c>
      <c r="T18" s="48">
        <v>3.1605560000000001</v>
      </c>
      <c r="AC18" s="48">
        <v>3.1605560000000001</v>
      </c>
      <c r="AY18" s="48">
        <v>3.1605560000000001</v>
      </c>
      <c r="BC18">
        <v>1.41</v>
      </c>
      <c r="BL18" s="48">
        <v>3.1605560000000001</v>
      </c>
      <c r="BO18" s="48">
        <v>3.1605560000000001</v>
      </c>
      <c r="BQ18" s="48">
        <v>3.1605560000000001</v>
      </c>
      <c r="BR18" s="48">
        <v>3.1605560000000001</v>
      </c>
      <c r="BW18" s="48">
        <v>3.1605560000000001</v>
      </c>
      <c r="CG18" s="48">
        <v>3.1605560000000001</v>
      </c>
      <c r="CH18" s="48">
        <v>3.1605560000000001</v>
      </c>
      <c r="CM18">
        <v>4.911111</v>
      </c>
      <c r="CS18" s="48">
        <v>3.1605560000000001</v>
      </c>
      <c r="CY18" s="48">
        <v>3.1605560000000001</v>
      </c>
      <c r="DD18" s="48">
        <v>3.1605560000000001</v>
      </c>
      <c r="DE18" s="48">
        <v>3.1605560000000001</v>
      </c>
      <c r="DY18" s="48">
        <v>3.1605560000000001</v>
      </c>
      <c r="EG18" s="48">
        <v>3.1605560000000001</v>
      </c>
      <c r="EP18" s="48">
        <v>3.1605560000000001</v>
      </c>
      <c r="EU18" s="48">
        <v>3.1605560000000001</v>
      </c>
      <c r="EV18" s="48">
        <v>3.1605560000000001</v>
      </c>
      <c r="EW18" s="48">
        <v>3.1605560000000001</v>
      </c>
      <c r="FJ18" s="48">
        <v>3.1605560000000001</v>
      </c>
      <c r="FT18" s="50">
        <v>3.1605560000000001</v>
      </c>
      <c r="FU18" s="48">
        <v>3.1605560000000001</v>
      </c>
      <c r="GH18" s="48">
        <v>3.1605560000000001</v>
      </c>
      <c r="GJ18" s="48">
        <v>3.1605560000000001</v>
      </c>
      <c r="GU18" s="43" t="str">
        <f t="shared" si="0"/>
        <v/>
      </c>
      <c r="GV18" s="43">
        <f t="shared" si="1"/>
        <v>3.1605559523809523</v>
      </c>
    </row>
    <row r="19" spans="1:204" ht="15" customHeight="1" x14ac:dyDescent="0.2">
      <c r="A19" s="3" t="s">
        <v>563</v>
      </c>
      <c r="B19" s="3" t="s">
        <v>564</v>
      </c>
      <c r="C19" s="3" t="s">
        <v>554</v>
      </c>
      <c r="D19" t="s">
        <v>677</v>
      </c>
      <c r="FT19" s="40"/>
      <c r="GU19" s="43" t="str">
        <f t="shared" si="0"/>
        <v/>
      </c>
      <c r="GV19" s="43" t="str">
        <f t="shared" si="1"/>
        <v/>
      </c>
    </row>
    <row r="20" spans="1:204" ht="15" customHeight="1" x14ac:dyDescent="0.2">
      <c r="A20" s="3" t="s">
        <v>612</v>
      </c>
      <c r="B20" s="3" t="s">
        <v>613</v>
      </c>
      <c r="C20" s="3" t="s">
        <v>614</v>
      </c>
      <c r="D20" s="40">
        <f t="shared" ref="D20:D26" si="3">AVERAGE(E20:GT20)</f>
        <v>0.74072778846153797</v>
      </c>
      <c r="F20" s="48">
        <v>0.16926099999999999</v>
      </c>
      <c r="G20" s="48">
        <v>0.16926099999999999</v>
      </c>
      <c r="K20" s="48">
        <v>0.16926099999999999</v>
      </c>
      <c r="M20" s="48">
        <v>1.1939599999999999</v>
      </c>
      <c r="N20" s="48">
        <v>0.16926099999999999</v>
      </c>
      <c r="S20" s="48">
        <v>1.1939599999999999</v>
      </c>
      <c r="T20" s="48">
        <v>1.1939599999999999</v>
      </c>
      <c r="Y20" s="48">
        <v>0.16926099999999999</v>
      </c>
      <c r="AC20" s="48">
        <v>1.1939599999999999</v>
      </c>
      <c r="AV20" s="48">
        <v>0.16926099999999999</v>
      </c>
      <c r="AX20" s="48">
        <v>0.16926099999999999</v>
      </c>
      <c r="AY20" s="48">
        <v>1.1939599999999999</v>
      </c>
      <c r="BC20">
        <v>0.77</v>
      </c>
      <c r="BH20" s="48">
        <v>0.16926099999999999</v>
      </c>
      <c r="BL20">
        <v>1.131807</v>
      </c>
      <c r="BO20" s="48">
        <v>1.1939599999999999</v>
      </c>
      <c r="BQ20">
        <v>1.2513559999999999</v>
      </c>
      <c r="BR20">
        <v>1.28765</v>
      </c>
      <c r="BV20" s="48">
        <v>0.16926099999999999</v>
      </c>
      <c r="BW20" s="48">
        <v>1.1939599999999999</v>
      </c>
      <c r="BY20" s="48">
        <v>0.16926099999999999</v>
      </c>
      <c r="CG20" s="48">
        <v>1.1939599999999999</v>
      </c>
      <c r="CH20" s="48">
        <v>1.1939599999999999</v>
      </c>
      <c r="CM20">
        <v>1.8428880000000001</v>
      </c>
      <c r="CN20" s="48">
        <v>0.16926099999999999</v>
      </c>
      <c r="CO20" s="48">
        <v>0.16926099999999999</v>
      </c>
      <c r="CS20" s="48">
        <v>1.1939599999999999</v>
      </c>
      <c r="CY20">
        <v>1.9089860000000001</v>
      </c>
      <c r="CZ20" s="48">
        <v>0.16926099999999999</v>
      </c>
      <c r="DD20">
        <v>0.78464100000000003</v>
      </c>
      <c r="DE20" s="48">
        <v>1.1939599999999999</v>
      </c>
      <c r="DK20" s="48">
        <v>0.16926099999999999</v>
      </c>
      <c r="DR20" s="48">
        <v>0.16926099999999999</v>
      </c>
      <c r="DS20" s="48">
        <v>0.16926099999999999</v>
      </c>
      <c r="DY20" s="48">
        <v>1.1939599999999999</v>
      </c>
      <c r="EF20" s="48">
        <v>0.16926099999999999</v>
      </c>
      <c r="EG20" s="48">
        <v>1.1939599999999999</v>
      </c>
      <c r="EP20" s="48">
        <v>1.1939599999999999</v>
      </c>
      <c r="EQ20" s="48">
        <v>0.16926099999999999</v>
      </c>
      <c r="EU20" s="48">
        <v>1.1939599999999999</v>
      </c>
      <c r="EV20">
        <v>1.1583140000000001</v>
      </c>
      <c r="EW20" s="48">
        <v>1.1939599999999999</v>
      </c>
      <c r="FF20" s="48">
        <v>0.16926099999999999</v>
      </c>
      <c r="FJ20" s="48">
        <v>1.1939599999999999</v>
      </c>
      <c r="FK20">
        <v>0.16926099999999999</v>
      </c>
      <c r="FP20" s="48">
        <v>0.16926099999999999</v>
      </c>
      <c r="FT20" s="41">
        <v>0.61</v>
      </c>
      <c r="FU20" s="48">
        <v>1.1939599999999999</v>
      </c>
      <c r="GC20" s="48">
        <v>0.16926099999999999</v>
      </c>
      <c r="GF20" s="48">
        <v>0.16926099999999999</v>
      </c>
      <c r="GH20" s="48">
        <v>1.1939599999999999</v>
      </c>
      <c r="GJ20" s="48">
        <v>1.1939599999999999</v>
      </c>
      <c r="GU20" s="43">
        <f t="shared" si="0"/>
        <v>0.16926099999999999</v>
      </c>
      <c r="GV20" s="43">
        <f t="shared" si="1"/>
        <v>1.1939600952380955</v>
      </c>
    </row>
    <row r="21" spans="1:204" ht="15" customHeight="1" x14ac:dyDescent="0.2">
      <c r="A21" s="3" t="s">
        <v>480</v>
      </c>
      <c r="B21" s="3" t="s">
        <v>481</v>
      </c>
      <c r="C21" s="3" t="s">
        <v>438</v>
      </c>
      <c r="D21" s="40">
        <f t="shared" si="3"/>
        <v>2.9125821538461532</v>
      </c>
      <c r="F21" s="48">
        <v>5.1823430000000004</v>
      </c>
      <c r="G21" s="48">
        <v>5.1823430000000004</v>
      </c>
      <c r="K21" s="48">
        <v>5.1823430000000004</v>
      </c>
      <c r="M21" s="48">
        <v>1.1124270000000001</v>
      </c>
      <c r="N21" s="48">
        <v>5.1823430000000004</v>
      </c>
      <c r="S21" s="48">
        <v>1.1124270000000001</v>
      </c>
      <c r="T21" s="48">
        <v>1.1124270000000001</v>
      </c>
      <c r="Y21" s="48">
        <v>5.1823430000000004</v>
      </c>
      <c r="AC21" s="48">
        <v>1.1124270000000001</v>
      </c>
      <c r="AV21" s="48">
        <v>5.1823430000000004</v>
      </c>
      <c r="AX21" s="38">
        <v>5.6666670000000003</v>
      </c>
      <c r="AY21" s="48">
        <v>1.1124270000000001</v>
      </c>
      <c r="BC21">
        <v>1.85</v>
      </c>
      <c r="BH21" s="48">
        <v>5.1823430000000004</v>
      </c>
      <c r="BL21" s="48">
        <v>1.1124270000000001</v>
      </c>
      <c r="BO21" s="48">
        <v>1.1124270000000001</v>
      </c>
      <c r="BQ21" s="48">
        <v>1.1124270000000001</v>
      </c>
      <c r="BR21" s="48">
        <v>1.1124270000000001</v>
      </c>
      <c r="BV21" s="48">
        <v>5.1823430000000004</v>
      </c>
      <c r="BW21" s="48">
        <v>1.1124270000000001</v>
      </c>
      <c r="BY21" s="48">
        <v>5.1823430000000004</v>
      </c>
      <c r="CG21" s="48">
        <v>1.1124270000000001</v>
      </c>
      <c r="CH21" s="48">
        <v>1.1124270000000001</v>
      </c>
      <c r="CM21" s="48">
        <v>1.1124270000000001</v>
      </c>
      <c r="CN21" s="48">
        <v>5.1823430000000004</v>
      </c>
      <c r="CO21" s="48">
        <v>5.1823430000000004</v>
      </c>
      <c r="CS21" s="48">
        <v>1.1124270000000001</v>
      </c>
      <c r="CY21" s="48">
        <v>1.1124270000000001</v>
      </c>
      <c r="CZ21" s="48">
        <v>5.1823430000000004</v>
      </c>
      <c r="DD21" s="48">
        <v>1.1124270000000001</v>
      </c>
      <c r="DE21" s="48">
        <v>1.1124270000000001</v>
      </c>
      <c r="DK21" s="48">
        <v>5.1823430000000004</v>
      </c>
      <c r="DR21" s="48">
        <v>5.1823430000000004</v>
      </c>
      <c r="DS21" s="48">
        <v>5.1823430000000004</v>
      </c>
      <c r="DY21" s="38">
        <v>1.0474030000000001</v>
      </c>
      <c r="EF21" s="48">
        <v>5.1823430000000004</v>
      </c>
      <c r="EG21" s="48">
        <v>1.1124270000000001</v>
      </c>
      <c r="EP21" s="48">
        <v>1.1124270000000001</v>
      </c>
      <c r="EQ21" s="38">
        <v>4.6980199999999996</v>
      </c>
      <c r="EU21" s="48">
        <v>1.1124270000000001</v>
      </c>
      <c r="EV21" s="38">
        <v>0.43987700000000002</v>
      </c>
      <c r="EW21" s="48">
        <v>1.1124270000000001</v>
      </c>
      <c r="FF21" s="48">
        <v>5.1823430000000004</v>
      </c>
      <c r="FJ21" s="48">
        <v>1.1124270000000001</v>
      </c>
      <c r="FK21" s="48">
        <v>5.1823430000000004</v>
      </c>
      <c r="FP21" s="48">
        <v>5.1823430000000004</v>
      </c>
      <c r="FT21" s="50">
        <v>1.1124270000000001</v>
      </c>
      <c r="FU21" s="48">
        <v>1.1124270000000001</v>
      </c>
      <c r="GC21" s="48">
        <v>5.1823430000000004</v>
      </c>
      <c r="GF21" s="48">
        <v>5.1823430000000004</v>
      </c>
      <c r="GH21" s="48">
        <v>1.1124270000000001</v>
      </c>
      <c r="GJ21" s="48">
        <v>1.1124270000000001</v>
      </c>
      <c r="GU21" s="43">
        <f t="shared" si="0"/>
        <v>5.1823431250000001</v>
      </c>
      <c r="GV21" s="43">
        <f t="shared" si="1"/>
        <v>1.1124269523809527</v>
      </c>
    </row>
    <row r="22" spans="1:204" ht="15" customHeight="1" x14ac:dyDescent="0.2">
      <c r="A22" s="3" t="s">
        <v>443</v>
      </c>
      <c r="B22" s="13" t="s">
        <v>444</v>
      </c>
      <c r="C22" s="3" t="s">
        <v>438</v>
      </c>
      <c r="D22" s="40">
        <f t="shared" si="3"/>
        <v>1.8913554999999997</v>
      </c>
      <c r="F22" s="48">
        <v>2.2712789999999998</v>
      </c>
      <c r="G22" s="48">
        <v>2.2712789999999998</v>
      </c>
      <c r="K22" s="48">
        <v>2.2712789999999998</v>
      </c>
      <c r="M22" s="48">
        <v>1.5900369999999999</v>
      </c>
      <c r="N22" s="48">
        <v>2.2712789999999998</v>
      </c>
      <c r="S22" s="48">
        <v>1.5900369999999999</v>
      </c>
      <c r="T22" s="48">
        <v>1.5900369999999999</v>
      </c>
      <c r="Y22" s="48">
        <v>2.2712789999999998</v>
      </c>
      <c r="AC22" s="48">
        <v>1.5900369999999999</v>
      </c>
      <c r="AV22" s="48">
        <v>2.2712789999999998</v>
      </c>
      <c r="AX22" s="38">
        <v>1.2714289999999999</v>
      </c>
      <c r="AY22" s="48">
        <v>1.5900369999999999</v>
      </c>
      <c r="BC22">
        <v>1.85</v>
      </c>
      <c r="BH22" s="48">
        <v>2.2712789999999998</v>
      </c>
      <c r="BL22" s="48">
        <v>1.5900369999999999</v>
      </c>
      <c r="BO22" s="48">
        <v>1.5900369999999999</v>
      </c>
      <c r="BQ22" s="48">
        <v>1.5900369999999999</v>
      </c>
      <c r="BR22" s="38">
        <v>2.6886E-2</v>
      </c>
      <c r="BV22" s="48">
        <v>2.2712789999999998</v>
      </c>
      <c r="BW22" s="48">
        <v>1.5900369999999999</v>
      </c>
      <c r="BY22" s="48">
        <v>2.2712789999999998</v>
      </c>
      <c r="CG22" s="48">
        <v>1.5900369999999999</v>
      </c>
      <c r="CH22" s="48">
        <v>1.5900369999999999</v>
      </c>
      <c r="CM22" s="38">
        <v>3.6142859999999999</v>
      </c>
      <c r="CN22" s="48">
        <v>2.2712789999999998</v>
      </c>
      <c r="CO22" s="48">
        <v>2.2712789999999998</v>
      </c>
      <c r="CS22" s="48">
        <v>1.5900369999999999</v>
      </c>
      <c r="CY22" s="48">
        <v>1.5900369999999999</v>
      </c>
      <c r="CZ22" s="48">
        <v>2.2712789999999998</v>
      </c>
      <c r="DD22" s="48">
        <v>1.5900369999999999</v>
      </c>
      <c r="DE22" s="48">
        <v>1.5900369999999999</v>
      </c>
      <c r="DK22" s="48">
        <v>2.2712789999999998</v>
      </c>
      <c r="DR22" s="48">
        <v>2.2712789999999998</v>
      </c>
      <c r="DS22" s="48">
        <v>2.2712789999999998</v>
      </c>
      <c r="DY22" s="38">
        <v>1.4796530000000001</v>
      </c>
      <c r="EF22" s="48">
        <v>2.2712789999999998</v>
      </c>
      <c r="EG22" s="48">
        <v>1.5900369999999999</v>
      </c>
      <c r="EP22" s="48">
        <v>1.5900369999999999</v>
      </c>
      <c r="EQ22" s="38">
        <v>3.897872</v>
      </c>
      <c r="EU22" s="48">
        <v>1.5900369999999999</v>
      </c>
      <c r="EV22" s="38">
        <v>0.91939400000000004</v>
      </c>
      <c r="EW22" s="48">
        <v>1.5900369999999999</v>
      </c>
      <c r="FF22" s="48">
        <v>2.2712789999999998</v>
      </c>
      <c r="FJ22" s="48">
        <v>1.5900369999999999</v>
      </c>
      <c r="FK22" s="48">
        <v>2.2712789999999998</v>
      </c>
      <c r="FP22" s="38">
        <v>1.6445350000000001</v>
      </c>
      <c r="FT22" s="41">
        <v>1.65</v>
      </c>
      <c r="FU22" s="48">
        <v>1.5900369999999999</v>
      </c>
      <c r="GC22" s="48">
        <v>2.2712789999999998</v>
      </c>
      <c r="GF22" s="48">
        <v>2.2712789999999998</v>
      </c>
      <c r="GH22" s="48">
        <v>1.5900369999999999</v>
      </c>
      <c r="GJ22" s="48">
        <v>1.5900369999999999</v>
      </c>
      <c r="GU22" s="43">
        <f t="shared" si="0"/>
        <v>2.2712788750000001</v>
      </c>
      <c r="GV22" s="43">
        <f t="shared" si="1"/>
        <v>1.5900368571428569</v>
      </c>
    </row>
    <row r="23" spans="1:204" ht="15" customHeight="1" x14ac:dyDescent="0.2">
      <c r="A23" s="3" t="s">
        <v>431</v>
      </c>
      <c r="B23" s="3" t="s">
        <v>432</v>
      </c>
      <c r="C23" s="3" t="s">
        <v>433</v>
      </c>
      <c r="D23" s="40">
        <f t="shared" si="3"/>
        <v>0.14098899999999995</v>
      </c>
      <c r="M23" s="48">
        <v>0.140989</v>
      </c>
      <c r="S23" s="48">
        <v>0.140989</v>
      </c>
      <c r="T23" s="48">
        <v>0.140989</v>
      </c>
      <c r="AC23" s="48">
        <v>0.140989</v>
      </c>
      <c r="AY23" s="48">
        <v>0.140989</v>
      </c>
      <c r="BC23" s="48">
        <v>0.140989</v>
      </c>
      <c r="BL23" s="38">
        <v>3.3285000000000002E-2</v>
      </c>
      <c r="BO23" s="48">
        <v>0.140989</v>
      </c>
      <c r="BQ23" s="48">
        <v>0.140989</v>
      </c>
      <c r="BR23" s="48">
        <v>0.140989</v>
      </c>
      <c r="BW23" s="48">
        <v>0.140989</v>
      </c>
      <c r="CG23" s="48">
        <v>0.140989</v>
      </c>
      <c r="CH23" s="48">
        <v>0.140989</v>
      </c>
      <c r="CM23" s="48">
        <v>0.140989</v>
      </c>
      <c r="CS23" s="48">
        <v>0.140989</v>
      </c>
      <c r="CY23" s="38">
        <v>0.23798</v>
      </c>
      <c r="DD23" s="38">
        <v>3.6930999999999999E-2</v>
      </c>
      <c r="DE23" s="48">
        <v>0.140989</v>
      </c>
      <c r="DY23" s="48">
        <v>0.140989</v>
      </c>
      <c r="EG23" s="48">
        <v>0.140989</v>
      </c>
      <c r="EP23" s="48">
        <v>0.140989</v>
      </c>
      <c r="EU23" s="48">
        <v>0.140989</v>
      </c>
      <c r="EV23" s="48">
        <v>0.140989</v>
      </c>
      <c r="EW23" s="48">
        <v>0.140989</v>
      </c>
      <c r="FJ23" s="38">
        <v>0.25575999999999999</v>
      </c>
      <c r="FT23" s="49">
        <v>0.140989</v>
      </c>
      <c r="FU23" s="48">
        <v>0.140989</v>
      </c>
      <c r="GH23" s="48">
        <v>0.140989</v>
      </c>
      <c r="GJ23" s="48">
        <v>0.140989</v>
      </c>
      <c r="GU23" s="43" t="str">
        <f t="shared" si="0"/>
        <v/>
      </c>
      <c r="GV23" s="43">
        <f t="shared" si="1"/>
        <v>0.14098899999999995</v>
      </c>
    </row>
    <row r="24" spans="1:204" ht="15" customHeight="1" x14ac:dyDescent="0.2">
      <c r="A24" s="3" t="s">
        <v>439</v>
      </c>
      <c r="B24" s="3" t="s">
        <v>440</v>
      </c>
      <c r="C24" s="3" t="s">
        <v>438</v>
      </c>
      <c r="D24" s="40">
        <f t="shared" si="3"/>
        <v>2.6640279230769242</v>
      </c>
      <c r="F24" s="48">
        <v>3.576924</v>
      </c>
      <c r="G24" s="48">
        <v>3.576924</v>
      </c>
      <c r="K24" s="48">
        <v>3.576924</v>
      </c>
      <c r="M24" s="48">
        <v>1.940007</v>
      </c>
      <c r="N24" s="48">
        <v>3.576924</v>
      </c>
      <c r="S24" s="48">
        <v>1.940007</v>
      </c>
      <c r="T24" s="48">
        <v>1.940007</v>
      </c>
      <c r="Y24" s="48">
        <v>3.576924</v>
      </c>
      <c r="AC24" s="48">
        <v>1.940007</v>
      </c>
      <c r="AV24" s="38">
        <v>3.554386</v>
      </c>
      <c r="AX24" s="38">
        <v>0.854545</v>
      </c>
      <c r="AY24" s="48">
        <v>1.940007</v>
      </c>
      <c r="BC24">
        <v>1.85</v>
      </c>
      <c r="BH24" s="48">
        <v>3.576924</v>
      </c>
      <c r="BL24" s="48">
        <v>1.940007</v>
      </c>
      <c r="BO24" s="48">
        <v>1.940007</v>
      </c>
      <c r="BQ24" s="38">
        <v>1.6882349999999999</v>
      </c>
      <c r="BR24">
        <v>0.818716</v>
      </c>
      <c r="BV24" s="48">
        <v>3.576924</v>
      </c>
      <c r="BW24" s="48">
        <v>1.940007</v>
      </c>
      <c r="BY24" s="48">
        <v>3.576924</v>
      </c>
      <c r="CG24" s="48">
        <v>1.940007</v>
      </c>
      <c r="CH24" s="48">
        <v>1.940007</v>
      </c>
      <c r="CM24" s="38">
        <v>6.1172409999999999</v>
      </c>
      <c r="CN24" s="48">
        <v>3.576924</v>
      </c>
      <c r="CO24" s="48">
        <v>3.576924</v>
      </c>
      <c r="CS24" s="48">
        <v>1.940007</v>
      </c>
      <c r="CY24" s="38">
        <v>1.0940000000000001</v>
      </c>
      <c r="CZ24" s="48">
        <v>3.576924</v>
      </c>
      <c r="DD24" s="38">
        <v>0.57407399999999997</v>
      </c>
      <c r="DE24" s="48">
        <v>1.940007</v>
      </c>
      <c r="DK24" s="48">
        <v>3.576924</v>
      </c>
      <c r="DR24" s="48">
        <v>3.576924</v>
      </c>
      <c r="DS24" s="48">
        <v>3.576924</v>
      </c>
      <c r="DY24" s="38">
        <v>3.018815</v>
      </c>
      <c r="EF24" s="48">
        <v>3.576924</v>
      </c>
      <c r="EG24" s="48">
        <v>1.940007</v>
      </c>
      <c r="EP24" s="38">
        <v>0.71496099999999996</v>
      </c>
      <c r="EQ24" s="38">
        <v>6.3218420000000002</v>
      </c>
      <c r="EU24" s="48">
        <v>1.940007</v>
      </c>
      <c r="EV24" s="38">
        <v>1.4540310000000001</v>
      </c>
      <c r="EW24" s="48">
        <v>1.940007</v>
      </c>
      <c r="FF24" s="48">
        <v>3.576924</v>
      </c>
      <c r="FJ24" s="38">
        <v>2.36</v>
      </c>
      <c r="FK24" s="48">
        <v>3.576924</v>
      </c>
      <c r="FP24" s="48">
        <v>3.576924</v>
      </c>
      <c r="FT24" s="40">
        <v>1.65</v>
      </c>
      <c r="FU24" s="48">
        <v>1.940007</v>
      </c>
      <c r="GC24" s="48">
        <v>3.576924</v>
      </c>
      <c r="GF24" s="48">
        <v>3.576924</v>
      </c>
      <c r="GH24" s="48">
        <v>1.940007</v>
      </c>
      <c r="GJ24" s="48">
        <v>1.940007</v>
      </c>
      <c r="GU24" s="43">
        <f t="shared" si="0"/>
        <v>3.5769241249999997</v>
      </c>
      <c r="GV24" s="43">
        <f t="shared" si="1"/>
        <v>1.9400068095238101</v>
      </c>
    </row>
    <row r="25" spans="1:204" ht="15" customHeight="1" x14ac:dyDescent="0.2">
      <c r="A25" s="3" t="s">
        <v>458</v>
      </c>
      <c r="B25" s="3" t="s">
        <v>459</v>
      </c>
      <c r="C25" s="3" t="s">
        <v>455</v>
      </c>
      <c r="D25" s="40">
        <f t="shared" si="3"/>
        <v>8.7532314807692302</v>
      </c>
      <c r="F25" s="48">
        <v>14.221631</v>
      </c>
      <c r="G25" s="48">
        <v>14.221631</v>
      </c>
      <c r="K25" s="48">
        <v>14.221631</v>
      </c>
      <c r="M25" s="48">
        <v>4.4162249999999998</v>
      </c>
      <c r="N25" s="48">
        <v>14.221631</v>
      </c>
      <c r="S25" s="48">
        <v>4.4162249999999998</v>
      </c>
      <c r="T25" s="48">
        <v>4.4162249999999998</v>
      </c>
      <c r="Y25" s="48">
        <v>14.221631</v>
      </c>
      <c r="AC25" s="48">
        <v>4.4162249999999998</v>
      </c>
      <c r="AV25" s="48">
        <v>14.221631</v>
      </c>
      <c r="AX25" s="38">
        <v>6.66</v>
      </c>
      <c r="AY25" s="48">
        <v>4.4162249999999998</v>
      </c>
      <c r="BC25" s="48">
        <v>4.4162249999999998</v>
      </c>
      <c r="BH25" s="48">
        <v>14.221631</v>
      </c>
      <c r="BL25" s="48">
        <v>4.4162249999999998</v>
      </c>
      <c r="BO25" s="48">
        <v>4.4162249999999998</v>
      </c>
      <c r="BQ25" s="48">
        <v>4.4162249999999998</v>
      </c>
      <c r="BR25" s="38">
        <v>11.219063999999999</v>
      </c>
      <c r="BV25" s="48">
        <v>14.221631</v>
      </c>
      <c r="BW25" s="48">
        <v>4.4162249999999998</v>
      </c>
      <c r="BY25" s="48">
        <v>14.221631</v>
      </c>
      <c r="CG25" s="48">
        <v>4.4162249999999998</v>
      </c>
      <c r="CH25" s="48">
        <v>4.4162249999999998</v>
      </c>
      <c r="CM25">
        <v>1.1807909999999999</v>
      </c>
      <c r="CN25" s="48">
        <v>14.221631</v>
      </c>
      <c r="CO25" s="48">
        <v>14.221631</v>
      </c>
      <c r="CS25" s="48">
        <v>4.4162249999999998</v>
      </c>
      <c r="CY25" s="48">
        <v>4.4162249999999998</v>
      </c>
      <c r="CZ25" s="48">
        <v>14.221631</v>
      </c>
      <c r="DD25" s="48">
        <v>4.4162249999999998</v>
      </c>
      <c r="DE25" s="48">
        <v>4.4162249999999998</v>
      </c>
      <c r="DK25" s="48">
        <v>14.221631</v>
      </c>
      <c r="DR25" s="48">
        <v>14.221631</v>
      </c>
      <c r="DS25" s="48">
        <v>14.221631</v>
      </c>
      <c r="DY25" s="48">
        <v>4.4162249999999998</v>
      </c>
      <c r="EF25" s="48">
        <v>14.221631</v>
      </c>
      <c r="EG25" s="48">
        <v>4.4162249999999998</v>
      </c>
      <c r="EP25" s="48">
        <v>4.4162249999999998</v>
      </c>
      <c r="EQ25" s="38">
        <v>16.228750000000002</v>
      </c>
      <c r="EU25" s="48">
        <v>4.4162249999999998</v>
      </c>
      <c r="EV25" s="38">
        <v>0.84881899999999999</v>
      </c>
      <c r="EW25" s="48">
        <v>4.4162249999999998</v>
      </c>
      <c r="FF25" s="48">
        <v>14.221631</v>
      </c>
      <c r="FJ25" s="48">
        <v>4.4162249999999998</v>
      </c>
      <c r="FK25" s="48">
        <v>14.221631</v>
      </c>
      <c r="FP25" s="38">
        <v>19.776143000000001</v>
      </c>
      <c r="FT25" s="49">
        <v>4.4162249999999998</v>
      </c>
      <c r="FU25" s="48">
        <v>4.4162249999999998</v>
      </c>
      <c r="GC25" s="48">
        <v>14.221631</v>
      </c>
      <c r="GF25" s="48">
        <v>14.221631</v>
      </c>
      <c r="GH25" s="48">
        <v>4.4162249999999998</v>
      </c>
      <c r="GJ25" s="48">
        <v>4.4162249999999998</v>
      </c>
      <c r="GU25" s="43">
        <f t="shared" si="0"/>
        <v>14.221631</v>
      </c>
      <c r="GV25" s="43">
        <f t="shared" si="1"/>
        <v>4.4162249523809507</v>
      </c>
    </row>
    <row r="26" spans="1:204" ht="15" customHeight="1" x14ac:dyDescent="0.2">
      <c r="A26" s="3" t="s">
        <v>482</v>
      </c>
      <c r="B26" s="3" t="s">
        <v>483</v>
      </c>
      <c r="C26" s="3" t="s">
        <v>438</v>
      </c>
      <c r="D26" s="40">
        <f t="shared" si="3"/>
        <v>3.9448737115384604</v>
      </c>
      <c r="F26" s="48">
        <v>4.4364559999999997</v>
      </c>
      <c r="G26" s="48">
        <v>4.4364559999999997</v>
      </c>
      <c r="K26" s="48">
        <v>4.4364559999999997</v>
      </c>
      <c r="M26" s="48">
        <v>3.5549979999999999</v>
      </c>
      <c r="N26" s="48">
        <v>4.4364559999999997</v>
      </c>
      <c r="S26" s="48">
        <v>3.5549979999999999</v>
      </c>
      <c r="T26" s="48">
        <v>3.5549979999999999</v>
      </c>
      <c r="Y26" s="48">
        <v>4.4364559999999997</v>
      </c>
      <c r="AC26" s="48">
        <v>3.5549979999999999</v>
      </c>
      <c r="AV26" s="48">
        <v>4.4364559999999997</v>
      </c>
      <c r="AX26" s="38">
        <v>3.74</v>
      </c>
      <c r="AY26" s="48">
        <v>3.5549979999999999</v>
      </c>
      <c r="BC26">
        <v>2.65</v>
      </c>
      <c r="BH26" s="48">
        <v>4.4364559999999997</v>
      </c>
      <c r="BL26" s="38">
        <v>3.7440000000000002</v>
      </c>
      <c r="BO26" s="48">
        <v>3.5549979999999999</v>
      </c>
      <c r="BQ26" s="38">
        <v>1.6382859999999999</v>
      </c>
      <c r="BR26" s="38">
        <v>18.684170999999999</v>
      </c>
      <c r="BV26" s="48">
        <v>4.4364559999999997</v>
      </c>
      <c r="BW26" s="48">
        <v>3.5549979999999999</v>
      </c>
      <c r="BY26" s="48">
        <v>4.4364559999999997</v>
      </c>
      <c r="CG26" s="48">
        <v>3.5549979999999999</v>
      </c>
      <c r="CH26" s="48">
        <v>3.5549979999999999</v>
      </c>
      <c r="CM26" s="38">
        <v>3.6373630000000001</v>
      </c>
      <c r="CN26" s="48">
        <v>4.4364559999999997</v>
      </c>
      <c r="CO26" s="48">
        <v>4.4364559999999997</v>
      </c>
      <c r="CS26" s="48">
        <v>3.5549979999999999</v>
      </c>
      <c r="CY26" s="38">
        <v>4.085</v>
      </c>
      <c r="CZ26" s="48">
        <v>4.4364559999999997</v>
      </c>
      <c r="DD26" s="38">
        <v>0.477941</v>
      </c>
      <c r="DE26" s="48">
        <v>3.5549979999999999</v>
      </c>
      <c r="DK26" s="48">
        <v>4.4364559999999997</v>
      </c>
      <c r="DR26" s="48">
        <v>4.4364559999999997</v>
      </c>
      <c r="DS26" s="48">
        <v>4.4364559999999997</v>
      </c>
      <c r="DY26" s="38">
        <v>3.7995230000000002</v>
      </c>
      <c r="EF26" s="48">
        <v>4.4364559999999997</v>
      </c>
      <c r="EG26" s="38">
        <v>1.427333</v>
      </c>
      <c r="EP26" s="38">
        <v>1.660458</v>
      </c>
      <c r="EQ26" s="38">
        <v>5.132911</v>
      </c>
      <c r="EU26" s="48">
        <v>3.5549979999999999</v>
      </c>
      <c r="EV26" s="38">
        <v>0.70218000000000003</v>
      </c>
      <c r="EW26" s="48">
        <v>3.5549979999999999</v>
      </c>
      <c r="FF26" s="48">
        <v>4.4364559999999997</v>
      </c>
      <c r="FJ26" s="38">
        <v>1.478723</v>
      </c>
      <c r="FK26" s="48">
        <v>4.4364559999999997</v>
      </c>
      <c r="FP26" s="48">
        <v>4.4364559999999997</v>
      </c>
      <c r="FT26" s="41">
        <v>2.23</v>
      </c>
      <c r="FU26" s="48">
        <v>3.5549979999999999</v>
      </c>
      <c r="GC26" s="48">
        <v>4.4364559999999997</v>
      </c>
      <c r="GF26" s="48">
        <v>4.4364559999999997</v>
      </c>
      <c r="GH26" s="48">
        <v>3.5549979999999999</v>
      </c>
      <c r="GJ26" s="48">
        <v>3.5549979999999999</v>
      </c>
      <c r="GU26" s="43">
        <f t="shared" si="0"/>
        <v>4.436455875</v>
      </c>
      <c r="GV26" s="43">
        <f t="shared" si="1"/>
        <v>3.5549981904761903</v>
      </c>
    </row>
    <row r="27" spans="1:204" ht="15" customHeight="1" x14ac:dyDescent="0.2">
      <c r="A27" s="3" t="s">
        <v>555</v>
      </c>
      <c r="B27" s="3" t="s">
        <v>556</v>
      </c>
      <c r="C27" s="3" t="s">
        <v>554</v>
      </c>
      <c r="D27" s="3" t="s">
        <v>287</v>
      </c>
      <c r="CI27">
        <f>1.275+1.785</f>
        <v>3.0599999999999996</v>
      </c>
      <c r="FT27" s="40"/>
      <c r="GU27" s="43" t="str">
        <f t="shared" si="0"/>
        <v/>
      </c>
      <c r="GV27" s="43" t="str">
        <f t="shared" si="1"/>
        <v/>
      </c>
    </row>
    <row r="28" spans="1:204" ht="15" customHeight="1" x14ac:dyDescent="0.2">
      <c r="A28" s="3" t="s">
        <v>445</v>
      </c>
      <c r="B28" s="13" t="s">
        <v>446</v>
      </c>
      <c r="C28" s="3" t="s">
        <v>438</v>
      </c>
      <c r="D28" s="40">
        <f>AVERAGE(E28:GT28)</f>
        <v>1.8913554999999997</v>
      </c>
      <c r="F28" s="48">
        <v>2.2712789999999998</v>
      </c>
      <c r="G28" s="48">
        <v>2.2712789999999998</v>
      </c>
      <c r="K28" s="48">
        <v>2.2712789999999998</v>
      </c>
      <c r="M28" s="48">
        <v>1.5900369999999999</v>
      </c>
      <c r="N28" s="48">
        <v>2.2712789999999998</v>
      </c>
      <c r="S28" s="48">
        <v>1.5900369999999999</v>
      </c>
      <c r="T28" s="48">
        <v>1.5900369999999999</v>
      </c>
      <c r="Y28" s="48">
        <v>2.2712789999999998</v>
      </c>
      <c r="AC28" s="48">
        <v>1.5900369999999999</v>
      </c>
      <c r="AV28" s="48">
        <v>2.2712789999999998</v>
      </c>
      <c r="AX28" s="38">
        <v>1.2714289999999999</v>
      </c>
      <c r="AY28" s="48">
        <v>1.5900369999999999</v>
      </c>
      <c r="BC28">
        <v>1.85</v>
      </c>
      <c r="BH28" s="48">
        <v>2.2712789999999998</v>
      </c>
      <c r="BL28" s="48">
        <v>1.5900369999999999</v>
      </c>
      <c r="BO28" s="48">
        <v>1.5900369999999999</v>
      </c>
      <c r="BQ28" s="48">
        <v>1.5900369999999999</v>
      </c>
      <c r="BR28" s="38">
        <v>2.6886E-2</v>
      </c>
      <c r="BV28" s="48">
        <v>2.2712789999999998</v>
      </c>
      <c r="BW28" s="48">
        <v>1.5900369999999999</v>
      </c>
      <c r="BY28" s="48">
        <v>2.2712789999999998</v>
      </c>
      <c r="CG28" s="48">
        <v>1.5900369999999999</v>
      </c>
      <c r="CH28" s="48">
        <v>1.5900369999999999</v>
      </c>
      <c r="CM28" s="38">
        <v>3.6142859999999999</v>
      </c>
      <c r="CN28" s="48">
        <v>2.2712789999999998</v>
      </c>
      <c r="CO28" s="48">
        <v>2.2712789999999998</v>
      </c>
      <c r="CS28" s="48">
        <v>1.5900369999999999</v>
      </c>
      <c r="CY28" s="48">
        <v>1.5900369999999999</v>
      </c>
      <c r="CZ28" s="48">
        <v>2.2712789999999998</v>
      </c>
      <c r="DD28" s="48">
        <v>1.5900369999999999</v>
      </c>
      <c r="DE28" s="48">
        <v>1.5900369999999999</v>
      </c>
      <c r="DK28" s="48">
        <v>2.2712789999999998</v>
      </c>
      <c r="DR28" s="48">
        <v>2.2712789999999998</v>
      </c>
      <c r="DS28" s="48">
        <v>2.2712789999999998</v>
      </c>
      <c r="DY28" s="38">
        <v>1.4796530000000001</v>
      </c>
      <c r="EF28" s="48">
        <v>2.2712789999999998</v>
      </c>
      <c r="EG28" s="48">
        <v>1.5900369999999999</v>
      </c>
      <c r="EP28" s="48">
        <v>1.5900369999999999</v>
      </c>
      <c r="EQ28" s="38">
        <v>3.897872</v>
      </c>
      <c r="EU28" s="48">
        <v>1.5900369999999999</v>
      </c>
      <c r="EV28" s="38">
        <v>0.91939400000000004</v>
      </c>
      <c r="EW28" s="48">
        <v>1.5900369999999999</v>
      </c>
      <c r="FF28" s="48">
        <v>2.2712789999999998</v>
      </c>
      <c r="FJ28" s="48">
        <v>1.5900369999999999</v>
      </c>
      <c r="FK28" s="48">
        <v>2.2712789999999998</v>
      </c>
      <c r="FP28" s="38">
        <v>1.6445350000000001</v>
      </c>
      <c r="FT28" s="41">
        <v>1.65</v>
      </c>
      <c r="FU28" s="48">
        <v>1.5900369999999999</v>
      </c>
      <c r="GC28" s="48">
        <v>2.2712789999999998</v>
      </c>
      <c r="GF28" s="48">
        <v>2.2712789999999998</v>
      </c>
      <c r="GH28" s="48">
        <v>1.5900369999999999</v>
      </c>
      <c r="GJ28" s="48">
        <v>1.5900369999999999</v>
      </c>
      <c r="GU28" s="43">
        <f t="shared" si="0"/>
        <v>2.2712788750000001</v>
      </c>
      <c r="GV28" s="43">
        <f t="shared" si="1"/>
        <v>1.5900368571428569</v>
      </c>
    </row>
    <row r="29" spans="1:204" ht="15" customHeight="1" x14ac:dyDescent="0.2">
      <c r="A29" s="3" t="s">
        <v>441</v>
      </c>
      <c r="B29" s="3" t="s">
        <v>442</v>
      </c>
      <c r="C29" s="3" t="s">
        <v>438</v>
      </c>
      <c r="D29" s="40">
        <f>AVERAGE(E29:GT29)</f>
        <v>1.8467501923076919</v>
      </c>
      <c r="F29" s="48">
        <v>2.2712789999999998</v>
      </c>
      <c r="G29" s="48">
        <v>2.2712789999999998</v>
      </c>
      <c r="K29" s="48">
        <v>2.2712789999999998</v>
      </c>
      <c r="M29" s="48">
        <v>1.5100549999999999</v>
      </c>
      <c r="N29" s="48">
        <v>2.2712789999999998</v>
      </c>
      <c r="S29" s="48">
        <v>1.5100549999999999</v>
      </c>
      <c r="T29" s="48">
        <v>1.5100549999999999</v>
      </c>
      <c r="Y29" s="48">
        <v>2.2712789999999998</v>
      </c>
      <c r="AC29" s="48">
        <v>1.5100549999999999</v>
      </c>
      <c r="AV29" s="48">
        <v>2.2712789999999998</v>
      </c>
      <c r="AX29" s="38">
        <v>1.2714289999999999</v>
      </c>
      <c r="AY29" s="48">
        <v>1.5100549999999999</v>
      </c>
      <c r="BC29" s="48">
        <v>1.5100549999999999</v>
      </c>
      <c r="BH29" s="48">
        <v>2.2712789999999998</v>
      </c>
      <c r="BL29" s="48">
        <v>1.5100549999999999</v>
      </c>
      <c r="BO29" s="48">
        <v>1.5100549999999999</v>
      </c>
      <c r="BQ29" s="48">
        <v>1.5100549999999999</v>
      </c>
      <c r="BR29" s="38">
        <v>2.6886E-2</v>
      </c>
      <c r="BV29" s="48">
        <v>2.2712789999999998</v>
      </c>
      <c r="BW29" s="48">
        <v>1.5100549999999999</v>
      </c>
      <c r="BY29" s="48">
        <v>2.2712789999999998</v>
      </c>
      <c r="CG29" s="48">
        <v>1.5100549999999999</v>
      </c>
      <c r="CH29" s="48">
        <v>1.5100549999999999</v>
      </c>
      <c r="CM29" s="38">
        <v>3.6142859999999999</v>
      </c>
      <c r="CN29" s="48">
        <v>2.2712789999999998</v>
      </c>
      <c r="CO29" s="48">
        <v>2.2712789999999998</v>
      </c>
      <c r="CS29" s="48">
        <v>1.5100549999999999</v>
      </c>
      <c r="CY29" s="48">
        <v>1.5100549999999999</v>
      </c>
      <c r="CZ29" s="48">
        <v>2.2712789999999998</v>
      </c>
      <c r="DD29" s="48">
        <v>1.5100549999999999</v>
      </c>
      <c r="DE29" s="48">
        <v>1.5100549999999999</v>
      </c>
      <c r="DK29" s="48">
        <v>2.2712789999999998</v>
      </c>
      <c r="DR29" s="48">
        <v>2.2712789999999998</v>
      </c>
      <c r="DS29" s="48">
        <v>2.2712789999999998</v>
      </c>
      <c r="DY29" s="38">
        <v>1.4796530000000001</v>
      </c>
      <c r="EF29" s="48">
        <v>2.2712789999999998</v>
      </c>
      <c r="EG29" s="48">
        <v>1.5100549999999999</v>
      </c>
      <c r="EP29" s="48">
        <v>1.5100549999999999</v>
      </c>
      <c r="EQ29" s="38">
        <v>3.897872</v>
      </c>
      <c r="EU29" s="48">
        <v>1.5100549999999999</v>
      </c>
      <c r="EV29" s="38">
        <v>0.91939400000000004</v>
      </c>
      <c r="EW29" s="48">
        <v>1.5100549999999999</v>
      </c>
      <c r="FF29" s="48">
        <v>2.2712789999999998</v>
      </c>
      <c r="FJ29" s="48">
        <v>1.5100549999999999</v>
      </c>
      <c r="FK29" s="48">
        <v>2.2712789999999998</v>
      </c>
      <c r="FP29" s="38">
        <v>1.6445350000000001</v>
      </c>
      <c r="FT29" s="49">
        <v>1.5100549999999999</v>
      </c>
      <c r="FU29" s="48">
        <v>1.5100549999999999</v>
      </c>
      <c r="GC29" s="48">
        <v>2.2712789999999998</v>
      </c>
      <c r="GF29" s="48">
        <v>2.2712789999999998</v>
      </c>
      <c r="GH29" s="48">
        <v>1.5100549999999999</v>
      </c>
      <c r="GJ29" s="48">
        <v>1.5100549999999999</v>
      </c>
      <c r="GU29" s="43">
        <f t="shared" si="0"/>
        <v>2.2712788750000001</v>
      </c>
      <c r="GV29" s="43">
        <f t="shared" si="1"/>
        <v>1.510054952380953</v>
      </c>
    </row>
    <row r="30" spans="1:204" ht="15" customHeight="1" x14ac:dyDescent="0.2">
      <c r="A30" s="3" t="s">
        <v>530</v>
      </c>
      <c r="B30" s="3" t="s">
        <v>531</v>
      </c>
      <c r="C30" s="3" t="s">
        <v>532</v>
      </c>
      <c r="D30" s="40">
        <f>AVERAGE(E30:GT30)</f>
        <v>6.287189288461537</v>
      </c>
      <c r="F30" s="48">
        <v>3.6711109999999998</v>
      </c>
      <c r="G30" s="48">
        <v>3.6711109999999998</v>
      </c>
      <c r="K30" s="48">
        <v>3.6711109999999998</v>
      </c>
      <c r="M30" s="48">
        <v>8.3620099999999997</v>
      </c>
      <c r="N30" s="48">
        <v>3.6711109999999998</v>
      </c>
      <c r="S30" s="48">
        <v>8.3620099999999997</v>
      </c>
      <c r="T30" s="48">
        <v>8.3620099999999997</v>
      </c>
      <c r="Y30" s="48">
        <v>3.6711109999999998</v>
      </c>
      <c r="AC30" s="48">
        <v>8.3620099999999997</v>
      </c>
      <c r="AV30" s="48">
        <v>3.6711109999999998</v>
      </c>
      <c r="AX30">
        <v>3.6711109999999998</v>
      </c>
      <c r="AY30" s="48">
        <v>8.3620099999999997</v>
      </c>
      <c r="BC30" s="48">
        <v>8.3620099999999997</v>
      </c>
      <c r="BH30" s="48">
        <v>3.6711109999999998</v>
      </c>
      <c r="BL30" s="48">
        <v>8.3620099999999997</v>
      </c>
      <c r="BO30" s="48">
        <v>8.3620099999999997</v>
      </c>
      <c r="BQ30" s="48">
        <v>8.3620099999999997</v>
      </c>
      <c r="BR30">
        <v>22.868164</v>
      </c>
      <c r="BV30" s="48">
        <v>3.6711109999999998</v>
      </c>
      <c r="BW30" s="48">
        <v>8.3620099999999997</v>
      </c>
      <c r="BY30" s="48">
        <v>3.6711109999999998</v>
      </c>
      <c r="CG30" s="48">
        <v>8.3620099999999997</v>
      </c>
      <c r="CH30" s="48">
        <v>8.3620099999999997</v>
      </c>
      <c r="CM30" s="48">
        <v>8.3620099999999997</v>
      </c>
      <c r="CN30" s="48">
        <v>3.6711109999999998</v>
      </c>
      <c r="CO30" s="48">
        <v>3.6711109999999998</v>
      </c>
      <c r="CS30" s="48">
        <v>8.3620099999999997</v>
      </c>
      <c r="CY30">
        <v>0.72548999999999997</v>
      </c>
      <c r="CZ30" s="48">
        <v>3.6711109999999998</v>
      </c>
      <c r="DD30" s="48">
        <v>8.3620099999999997</v>
      </c>
      <c r="DE30" s="48">
        <v>8.3620099999999997</v>
      </c>
      <c r="DK30" s="48">
        <v>3.6711109999999998</v>
      </c>
      <c r="DR30" s="48">
        <v>3.6711109999999998</v>
      </c>
      <c r="DS30" s="48">
        <v>3.6711109999999998</v>
      </c>
      <c r="DY30" s="48">
        <v>8.3620099999999997</v>
      </c>
      <c r="EF30" s="48">
        <v>3.6711109999999998</v>
      </c>
      <c r="EG30" s="48">
        <v>8.3620099999999997</v>
      </c>
      <c r="EP30" s="48">
        <v>8.3620099999999997</v>
      </c>
      <c r="EQ30" s="48">
        <v>3.6711109999999998</v>
      </c>
      <c r="EU30" s="48">
        <v>8.3620099999999997</v>
      </c>
      <c r="EV30">
        <v>1.4923759999999999</v>
      </c>
      <c r="EW30" s="48">
        <v>8.3620099999999997</v>
      </c>
      <c r="FF30" s="48">
        <v>3.6711109999999998</v>
      </c>
      <c r="FJ30" s="48">
        <v>8.3620099999999997</v>
      </c>
      <c r="FK30" s="48">
        <v>3.6711109999999998</v>
      </c>
      <c r="FP30" s="48">
        <v>3.6711109999999998</v>
      </c>
      <c r="FT30" s="50">
        <v>8.3620099999999997</v>
      </c>
      <c r="FU30" s="48">
        <v>8.3620099999999997</v>
      </c>
      <c r="GC30" s="48">
        <v>3.6711109999999998</v>
      </c>
      <c r="GF30" s="48">
        <v>3.6711109999999998</v>
      </c>
      <c r="GH30" s="48">
        <v>8.3620099999999997</v>
      </c>
      <c r="GJ30" s="48">
        <v>8.3620099999999997</v>
      </c>
      <c r="GU30" s="43">
        <f t="shared" si="0"/>
        <v>3.6711109999999998</v>
      </c>
      <c r="GV30" s="43">
        <f t="shared" si="1"/>
        <v>8.3620099999999997</v>
      </c>
    </row>
    <row r="31" spans="1:204" ht="15" customHeight="1" x14ac:dyDescent="0.2">
      <c r="A31" s="3" t="s">
        <v>557</v>
      </c>
      <c r="B31" s="3" t="s">
        <v>558</v>
      </c>
      <c r="C31" s="3" t="s">
        <v>554</v>
      </c>
      <c r="D31" t="s">
        <v>677</v>
      </c>
      <c r="FT31" s="41"/>
      <c r="GU31" s="43" t="str">
        <f t="shared" si="0"/>
        <v/>
      </c>
      <c r="GV31" s="43" t="str">
        <f t="shared" si="1"/>
        <v/>
      </c>
    </row>
    <row r="32" spans="1:204" ht="15" customHeight="1" x14ac:dyDescent="0.2">
      <c r="A32" s="3" t="s">
        <v>615</v>
      </c>
      <c r="B32" s="3" t="s">
        <v>616</v>
      </c>
      <c r="C32" s="3" t="s">
        <v>567</v>
      </c>
      <c r="D32" s="40">
        <f>AVERAGE(E32:GT32)</f>
        <v>1.3360943653846151</v>
      </c>
      <c r="F32" s="48">
        <v>0.47368399999999999</v>
      </c>
      <c r="G32" s="48">
        <v>0.47368399999999999</v>
      </c>
      <c r="K32" s="48">
        <v>0.47368399999999999</v>
      </c>
      <c r="M32" s="48">
        <v>2.0200749999999998</v>
      </c>
      <c r="N32" s="48">
        <v>0.47368399999999999</v>
      </c>
      <c r="S32" s="48">
        <v>2.0200749999999998</v>
      </c>
      <c r="T32" s="48">
        <v>2.0200749999999998</v>
      </c>
      <c r="Y32" s="48">
        <v>0.47368399999999999</v>
      </c>
      <c r="AC32" s="48">
        <v>2.0200749999999998</v>
      </c>
      <c r="AV32" s="48">
        <v>0.47368399999999999</v>
      </c>
      <c r="AX32">
        <v>0.47368399999999999</v>
      </c>
      <c r="AY32" s="48">
        <v>2.0200749999999998</v>
      </c>
      <c r="BC32" s="48">
        <v>2.0200749999999998</v>
      </c>
      <c r="BH32" s="48">
        <v>0.47368399999999999</v>
      </c>
      <c r="BL32">
        <v>1.7</v>
      </c>
      <c r="BO32" s="48">
        <v>2.0200749999999998</v>
      </c>
      <c r="BQ32" s="48">
        <v>2.0200749999999998</v>
      </c>
      <c r="BR32" s="48">
        <v>2.0200749999999998</v>
      </c>
      <c r="BV32" s="48">
        <v>0.47368399999999999</v>
      </c>
      <c r="BW32" s="48">
        <v>2.0200749999999998</v>
      </c>
      <c r="BY32" s="48">
        <v>0.47368399999999999</v>
      </c>
      <c r="CG32" s="48">
        <v>2.0200749999999998</v>
      </c>
      <c r="CH32" s="48">
        <v>2.0200749999999998</v>
      </c>
      <c r="CM32" s="48">
        <v>2.0200749999999998</v>
      </c>
      <c r="CN32" s="48">
        <v>0.47368399999999999</v>
      </c>
      <c r="CO32" s="48">
        <v>0.47368399999999999</v>
      </c>
      <c r="CS32" s="48">
        <v>2.0200749999999998</v>
      </c>
      <c r="CY32" s="48">
        <v>2.0200749999999998</v>
      </c>
      <c r="CZ32" s="48">
        <v>0.47368399999999999</v>
      </c>
      <c r="DD32" s="48">
        <v>2.0200749999999998</v>
      </c>
      <c r="DE32" s="48">
        <v>2.0200749999999998</v>
      </c>
      <c r="DK32" s="48">
        <v>0.47368399999999999</v>
      </c>
      <c r="DR32" s="48">
        <v>0.47368399999999999</v>
      </c>
      <c r="DS32" s="48">
        <v>0.47368399999999999</v>
      </c>
      <c r="DY32" s="48">
        <v>2.0200749999999998</v>
      </c>
      <c r="EF32" s="48">
        <v>0.47368399999999999</v>
      </c>
      <c r="EG32" s="48">
        <v>2.0200749999999998</v>
      </c>
      <c r="EP32" s="48">
        <v>2.0200749999999998</v>
      </c>
      <c r="EQ32" s="48">
        <v>0.47368399999999999</v>
      </c>
      <c r="EU32" s="48">
        <v>2.0200749999999998</v>
      </c>
      <c r="EV32" s="48">
        <v>2.0200749999999998</v>
      </c>
      <c r="EW32" s="48">
        <v>2.0200749999999998</v>
      </c>
      <c r="FF32" s="48">
        <v>0.47368399999999999</v>
      </c>
      <c r="FJ32">
        <v>9.6074000000000007E-2</v>
      </c>
      <c r="FK32" s="48">
        <v>0.47368399999999999</v>
      </c>
      <c r="FP32" s="48">
        <v>0.47368399999999999</v>
      </c>
      <c r="FT32" s="40">
        <v>4.264151</v>
      </c>
      <c r="FU32" s="48">
        <v>2.0200749999999998</v>
      </c>
      <c r="GC32" s="48">
        <v>0.47368399999999999</v>
      </c>
      <c r="GF32" s="48">
        <v>0.47368399999999999</v>
      </c>
      <c r="GH32" s="48">
        <v>2.0200749999999998</v>
      </c>
      <c r="GJ32" s="48">
        <v>2.0200749999999998</v>
      </c>
      <c r="GU32" s="43">
        <f t="shared" si="0"/>
        <v>0.47368399999999999</v>
      </c>
      <c r="GV32" s="43">
        <f t="shared" si="1"/>
        <v>2.0200749999999994</v>
      </c>
    </row>
    <row r="33" spans="1:204" ht="15" customHeight="1" x14ac:dyDescent="0.2">
      <c r="A33" s="3" t="s">
        <v>460</v>
      </c>
      <c r="B33" s="3" t="s">
        <v>461</v>
      </c>
      <c r="C33" s="3" t="s">
        <v>462</v>
      </c>
      <c r="D33" s="40">
        <f>AVERAGE(E33:GT33)</f>
        <v>12.732984173076934</v>
      </c>
      <c r="F33" s="48">
        <v>25.807767999999999</v>
      </c>
      <c r="G33" s="48">
        <v>25.807767999999999</v>
      </c>
      <c r="K33" s="48">
        <v>25.807767999999999</v>
      </c>
      <c r="M33" s="48">
        <v>2.3633280000000001</v>
      </c>
      <c r="N33" s="48">
        <v>25.807767999999999</v>
      </c>
      <c r="S33" s="48">
        <v>2.3633280000000001</v>
      </c>
      <c r="T33" s="48">
        <v>2.3633280000000001</v>
      </c>
      <c r="Y33" s="48">
        <v>25.807767999999999</v>
      </c>
      <c r="AC33" s="48">
        <v>2.3633280000000001</v>
      </c>
      <c r="AV33" s="48">
        <v>25.807767999999999</v>
      </c>
      <c r="AX33" s="38">
        <v>7.85</v>
      </c>
      <c r="AY33" s="48">
        <v>2.3633280000000001</v>
      </c>
      <c r="BC33" s="48">
        <v>2.3633280000000001</v>
      </c>
      <c r="BH33" s="48">
        <v>25.807767999999999</v>
      </c>
      <c r="BL33" s="48">
        <v>2.3633280000000001</v>
      </c>
      <c r="BO33" s="48">
        <v>2.3633280000000001</v>
      </c>
      <c r="BQ33" s="48">
        <v>2.3633280000000001</v>
      </c>
      <c r="BR33" s="48">
        <v>2.3633280000000001</v>
      </c>
      <c r="BV33" s="48">
        <v>25.807767999999999</v>
      </c>
      <c r="BW33" s="48">
        <v>2.3633280000000001</v>
      </c>
      <c r="BY33" s="48">
        <v>25.807767999999999</v>
      </c>
      <c r="CG33" s="48">
        <v>2.3633280000000001</v>
      </c>
      <c r="CH33" s="48">
        <v>2.3633280000000001</v>
      </c>
      <c r="CM33">
        <v>1.1807909999999999</v>
      </c>
      <c r="CN33" s="48">
        <v>25.807767999999999</v>
      </c>
      <c r="CO33" s="48">
        <v>25.807767999999999</v>
      </c>
      <c r="CS33" s="48">
        <v>2.3633280000000001</v>
      </c>
      <c r="CY33" s="48">
        <v>2.3633280000000001</v>
      </c>
      <c r="CZ33" s="48">
        <v>25.807767999999999</v>
      </c>
      <c r="DD33" s="48">
        <v>2.3633280000000001</v>
      </c>
      <c r="DE33" s="48">
        <v>2.3633280000000001</v>
      </c>
      <c r="DK33" s="48">
        <v>25.807767999999999</v>
      </c>
      <c r="DR33" s="48">
        <v>25.807767999999999</v>
      </c>
      <c r="DS33" s="48">
        <v>25.807767999999999</v>
      </c>
      <c r="DY33" s="48">
        <v>2.3633280000000001</v>
      </c>
      <c r="EF33" s="48">
        <v>25.807767999999999</v>
      </c>
      <c r="EG33" s="48">
        <v>2.3633280000000001</v>
      </c>
      <c r="EP33" s="48">
        <v>2.3633280000000001</v>
      </c>
      <c r="EQ33" s="38">
        <v>37.645282999999999</v>
      </c>
      <c r="EU33" s="48">
        <v>2.3633280000000001</v>
      </c>
      <c r="EV33" s="38">
        <v>0.66474999999999995</v>
      </c>
      <c r="EW33" s="48">
        <v>2.3633280000000001</v>
      </c>
      <c r="FF33" s="48">
        <v>25.807767999999999</v>
      </c>
      <c r="FJ33" s="38">
        <v>5.2444439999999997</v>
      </c>
      <c r="FK33" s="48">
        <v>25.807767999999999</v>
      </c>
      <c r="FP33" s="38">
        <v>31.928021000000001</v>
      </c>
      <c r="FT33" s="49">
        <v>2.3633280000000001</v>
      </c>
      <c r="FU33" s="48">
        <v>2.3633280000000001</v>
      </c>
      <c r="GC33" s="48">
        <v>25.807767999999999</v>
      </c>
      <c r="GF33" s="48">
        <v>25.807767999999999</v>
      </c>
      <c r="GH33" s="48">
        <v>2.3633280000000001</v>
      </c>
      <c r="GJ33" s="48">
        <v>2.3633280000000001</v>
      </c>
      <c r="GU33" s="43">
        <f t="shared" si="0"/>
        <v>25.807768000000003</v>
      </c>
      <c r="GV33" s="43">
        <f t="shared" si="1"/>
        <v>2.3633280476190479</v>
      </c>
    </row>
    <row r="34" spans="1:204" ht="15" customHeight="1" x14ac:dyDescent="0.2">
      <c r="A34" s="3" t="s">
        <v>603</v>
      </c>
      <c r="B34" s="3" t="s">
        <v>604</v>
      </c>
      <c r="C34" s="3" t="s">
        <v>602</v>
      </c>
      <c r="D34" s="18">
        <f>0.478*AZ34+0.269*CJ34+0.253*BX34</f>
        <v>8.4564000000000004</v>
      </c>
      <c r="AZ34">
        <v>9.6</v>
      </c>
      <c r="BX34">
        <v>7.1</v>
      </c>
      <c r="CJ34">
        <v>7.7</v>
      </c>
      <c r="FT34" s="40"/>
      <c r="GU34" s="44" t="str">
        <f t="shared" si="0"/>
        <v/>
      </c>
      <c r="GV34" s="44" t="str">
        <f t="shared" si="1"/>
        <v/>
      </c>
    </row>
    <row r="35" spans="1:204" ht="15" customHeight="1" x14ac:dyDescent="0.2">
      <c r="A35" s="3" t="s">
        <v>589</v>
      </c>
      <c r="B35" s="3" t="s">
        <v>590</v>
      </c>
      <c r="C35" s="3" t="s">
        <v>554</v>
      </c>
      <c r="D35" s="18">
        <f>0.4136*CJ35+0.3486*EO35+0.2379*CI35</f>
        <v>5.7005700000000008</v>
      </c>
      <c r="CI35">
        <v>5.7</v>
      </c>
      <c r="CJ35">
        <v>5.7</v>
      </c>
      <c r="EO35">
        <v>5.7</v>
      </c>
      <c r="FT35" s="40"/>
      <c r="GU35" s="44" t="str">
        <f t="shared" si="0"/>
        <v/>
      </c>
      <c r="GV35" s="44" t="str">
        <f t="shared" si="1"/>
        <v/>
      </c>
    </row>
    <row r="36" spans="1:204" ht="15" customHeight="1" x14ac:dyDescent="0.2">
      <c r="A36" s="3" t="s">
        <v>600</v>
      </c>
      <c r="B36" s="3" t="s">
        <v>601</v>
      </c>
      <c r="C36" s="3" t="s">
        <v>602</v>
      </c>
      <c r="D36" s="40">
        <f>AVERAGE(E36:GT36)</f>
        <v>2.2874999999999996</v>
      </c>
      <c r="AA36">
        <f>AVERAGE(5.8, 5.9)</f>
        <v>5.85</v>
      </c>
      <c r="AQ36">
        <v>4.3</v>
      </c>
      <c r="CF36">
        <v>2</v>
      </c>
      <c r="CI36">
        <f>AVERAGE(2, 0.15)</f>
        <v>1.075</v>
      </c>
      <c r="CJ36">
        <v>0</v>
      </c>
      <c r="FT36" s="40"/>
      <c r="GQ36">
        <v>0.5</v>
      </c>
      <c r="GU36" s="43" t="str">
        <f t="shared" si="0"/>
        <v/>
      </c>
      <c r="GV36" s="43" t="str">
        <f t="shared" si="1"/>
        <v/>
      </c>
    </row>
    <row r="37" spans="1:204" ht="15" customHeight="1" x14ac:dyDescent="0.2">
      <c r="A37" s="3" t="s">
        <v>463</v>
      </c>
      <c r="B37" s="13" t="s">
        <v>464</v>
      </c>
      <c r="C37" s="3" t="s">
        <v>438</v>
      </c>
      <c r="D37" s="40">
        <f>AVERAGE(E37:GT37)</f>
        <v>13.570843557692307</v>
      </c>
      <c r="F37" s="48">
        <v>26.733333999999999</v>
      </c>
      <c r="G37" s="48">
        <v>26.733333999999999</v>
      </c>
      <c r="K37" s="48">
        <v>26.733333999999999</v>
      </c>
      <c r="M37" s="48">
        <v>3.1316269999999999</v>
      </c>
      <c r="N37" s="48">
        <v>26.733333999999999</v>
      </c>
      <c r="S37" s="48">
        <v>3.1316269999999999</v>
      </c>
      <c r="T37" s="48">
        <v>3.1316269999999999</v>
      </c>
      <c r="Y37" s="48">
        <v>26.733333999999999</v>
      </c>
      <c r="AC37" s="48">
        <v>3.1316269999999999</v>
      </c>
      <c r="AV37" s="48">
        <v>26.733333999999999</v>
      </c>
      <c r="AX37" s="38">
        <v>25.375</v>
      </c>
      <c r="AY37" s="48">
        <v>3.1316269999999999</v>
      </c>
      <c r="BC37" s="48">
        <v>3.1316269999999999</v>
      </c>
      <c r="BH37" s="48">
        <v>26.733333999999999</v>
      </c>
      <c r="BL37" s="38">
        <v>0.27142899999999998</v>
      </c>
      <c r="BO37" s="48">
        <v>3.1316269999999999</v>
      </c>
      <c r="BQ37" s="48">
        <v>3.1316269999999999</v>
      </c>
      <c r="BR37" s="48">
        <v>3.1316269999999999</v>
      </c>
      <c r="BV37" s="48">
        <v>26.733333999999999</v>
      </c>
      <c r="BW37" s="48">
        <v>3.1316269999999999</v>
      </c>
      <c r="BY37" s="48">
        <v>26.733333999999999</v>
      </c>
      <c r="CG37" s="48">
        <v>3.1316269999999999</v>
      </c>
      <c r="CH37" s="48">
        <v>3.1316269999999999</v>
      </c>
      <c r="CM37" s="48">
        <v>3.1316269999999999</v>
      </c>
      <c r="CN37" s="48">
        <v>26.733333999999999</v>
      </c>
      <c r="CO37" s="48">
        <v>26.733333999999999</v>
      </c>
      <c r="CS37" s="48">
        <v>3.1316269999999999</v>
      </c>
      <c r="CY37" s="48">
        <v>3.1316269999999999</v>
      </c>
      <c r="CZ37" s="48">
        <v>26.733333999999999</v>
      </c>
      <c r="DD37" s="38">
        <v>1.7833330000000001</v>
      </c>
      <c r="DE37" s="48">
        <v>3.1316269999999999</v>
      </c>
      <c r="DK37" s="48">
        <v>26.733333999999999</v>
      </c>
      <c r="DR37" s="48">
        <v>26.733333999999999</v>
      </c>
      <c r="DS37" s="48">
        <v>26.733333999999999</v>
      </c>
      <c r="DY37" s="38">
        <v>8.2828130000000009</v>
      </c>
      <c r="EF37" s="48">
        <v>26.733333999999999</v>
      </c>
      <c r="EG37" s="48">
        <v>3.1316269999999999</v>
      </c>
      <c r="EP37" s="38">
        <v>2.36</v>
      </c>
      <c r="EQ37" s="38">
        <v>28.091667000000001</v>
      </c>
      <c r="EU37" s="48">
        <v>3.1316269999999999</v>
      </c>
      <c r="EV37" s="38">
        <v>4.4421879999999998</v>
      </c>
      <c r="EW37" s="48">
        <v>3.1316269999999999</v>
      </c>
      <c r="FF37" s="48">
        <v>26.733333999999999</v>
      </c>
      <c r="FJ37" s="48">
        <v>3.1316269999999999</v>
      </c>
      <c r="FK37" s="48">
        <v>26.733333999999999</v>
      </c>
      <c r="FP37" s="48">
        <v>26.733333999999999</v>
      </c>
      <c r="FT37" s="41">
        <v>1.65</v>
      </c>
      <c r="FU37" s="48">
        <v>3.1316269999999999</v>
      </c>
      <c r="GC37" s="48">
        <v>26.733333999999999</v>
      </c>
      <c r="GF37" s="48">
        <v>26.733333999999999</v>
      </c>
      <c r="GH37" s="48">
        <v>3.1316269999999999</v>
      </c>
      <c r="GJ37" s="48">
        <v>3.1316269999999999</v>
      </c>
      <c r="GU37" s="43">
        <f t="shared" si="0"/>
        <v>26.733333875000007</v>
      </c>
      <c r="GV37" s="43">
        <f t="shared" si="1"/>
        <v>3.1316270476190482</v>
      </c>
    </row>
    <row r="38" spans="1:204" ht="15" customHeight="1" x14ac:dyDescent="0.2">
      <c r="A38" s="3" t="s">
        <v>465</v>
      </c>
      <c r="B38" s="13" t="s">
        <v>466</v>
      </c>
      <c r="C38" s="3" t="s">
        <v>438</v>
      </c>
      <c r="D38" s="40">
        <f>AVERAGE(E38:GT38)</f>
        <v>11.810586846153846</v>
      </c>
      <c r="F38" s="48">
        <v>24.150596</v>
      </c>
      <c r="G38" s="48">
        <v>24.150596</v>
      </c>
      <c r="K38" s="48">
        <v>24.150596</v>
      </c>
      <c r="M38" s="48">
        <v>2.0236830000000001</v>
      </c>
      <c r="N38" s="48">
        <v>24.150596</v>
      </c>
      <c r="S38" s="48">
        <v>2.0236830000000001</v>
      </c>
      <c r="T38" s="48">
        <v>2.0236830000000001</v>
      </c>
      <c r="Y38" s="48">
        <v>24.150596</v>
      </c>
      <c r="AC38" s="48">
        <v>2.0236830000000001</v>
      </c>
      <c r="AV38" s="48">
        <v>24.150596</v>
      </c>
      <c r="AX38" s="38">
        <v>20.209523999999998</v>
      </c>
      <c r="AY38" s="48">
        <v>2.0236830000000001</v>
      </c>
      <c r="BC38">
        <v>1.85</v>
      </c>
      <c r="BH38" s="48">
        <v>24.150596</v>
      </c>
      <c r="BL38" s="38">
        <v>0.27142899999999998</v>
      </c>
      <c r="BO38" s="48">
        <v>2.0236830000000001</v>
      </c>
      <c r="BQ38" s="48">
        <v>2.0236830000000001</v>
      </c>
      <c r="BR38" s="48">
        <v>2.0236830000000001</v>
      </c>
      <c r="BV38" s="48">
        <v>24.150596</v>
      </c>
      <c r="BW38" s="48">
        <v>2.0236830000000001</v>
      </c>
      <c r="BY38" s="48">
        <v>24.150596</v>
      </c>
      <c r="CG38" s="48">
        <v>2.0236830000000001</v>
      </c>
      <c r="CH38" s="48">
        <v>2.0236830000000001</v>
      </c>
      <c r="CM38">
        <v>1.1807909999999999</v>
      </c>
      <c r="CN38" s="48">
        <v>24.150596</v>
      </c>
      <c r="CO38" s="48">
        <v>24.150596</v>
      </c>
      <c r="CS38" s="48">
        <v>2.0236830000000001</v>
      </c>
      <c r="CY38" s="48">
        <v>2.0236830000000001</v>
      </c>
      <c r="CZ38" s="48">
        <v>24.150596</v>
      </c>
      <c r="DD38" s="48">
        <v>2.0236830000000001</v>
      </c>
      <c r="DE38" s="48">
        <v>2.0236830000000001</v>
      </c>
      <c r="DK38" s="48">
        <v>24.150596</v>
      </c>
      <c r="DR38" s="48">
        <v>24.150596</v>
      </c>
      <c r="DS38" s="48">
        <v>24.150596</v>
      </c>
      <c r="DY38" s="48">
        <v>2.0236830000000001</v>
      </c>
      <c r="EF38" s="48">
        <v>24.150596</v>
      </c>
      <c r="EG38" s="48">
        <v>2.0236830000000001</v>
      </c>
      <c r="EP38" s="38">
        <v>2.7476919999999998</v>
      </c>
      <c r="EQ38" s="38">
        <v>28.091667000000001</v>
      </c>
      <c r="EU38" s="48">
        <v>2.0236830000000001</v>
      </c>
      <c r="EV38" s="38">
        <v>4.4421879999999998</v>
      </c>
      <c r="EW38" s="48">
        <v>2.0236830000000001</v>
      </c>
      <c r="FF38" s="48">
        <v>24.150596</v>
      </c>
      <c r="FJ38" s="48">
        <v>2.0236830000000001</v>
      </c>
      <c r="FK38" s="48">
        <v>24.150596</v>
      </c>
      <c r="FP38" s="48">
        <v>24.150596</v>
      </c>
      <c r="FT38" s="41">
        <v>1.65</v>
      </c>
      <c r="FU38" s="48">
        <v>2.0236830000000001</v>
      </c>
      <c r="GC38" s="48">
        <v>24.150596</v>
      </c>
      <c r="GF38" s="48">
        <v>24.150596</v>
      </c>
      <c r="GH38" s="48">
        <v>2.0236830000000001</v>
      </c>
      <c r="GJ38" s="48">
        <v>2.0236830000000001</v>
      </c>
      <c r="GU38" s="43">
        <f t="shared" ref="GU38:GU69" si="4">IFERROR(AVERAGE(EQ38,FP38,CO38,BY38,AX38,DK38,FK38,AV38),"")</f>
        <v>24.150595875</v>
      </c>
      <c r="GV38" s="43">
        <f t="shared" ref="GV38:GV69" si="5">IFERROR(AVERAGE(BQ38,FT38,EG38,BC38,BL38,CY38,DD38,CM38,GJ38,DY38,T38,DE38,BW38,BR38,EP38,AY38,FJ38,M38,CG38,EV38,AC38),"")</f>
        <v>2.0236830952380949</v>
      </c>
    </row>
    <row r="39" spans="1:204" ht="15" customHeight="1" x14ac:dyDescent="0.2">
      <c r="A39" s="3" t="s">
        <v>537</v>
      </c>
      <c r="B39" s="3" t="s">
        <v>538</v>
      </c>
      <c r="C39" s="3" t="s">
        <v>532</v>
      </c>
      <c r="D39" s="40">
        <f>AVERAGE(E39:GT39)</f>
        <v>2.186253068965518</v>
      </c>
      <c r="M39" s="48">
        <v>2.1862529999999998</v>
      </c>
      <c r="S39" s="48">
        <v>2.1862529999999998</v>
      </c>
      <c r="T39" s="48">
        <v>2.1862529999999998</v>
      </c>
      <c r="AC39" s="48">
        <v>2.1862529999999998</v>
      </c>
      <c r="AY39" s="48">
        <v>2.1862529999999998</v>
      </c>
      <c r="BC39">
        <v>1.41</v>
      </c>
      <c r="BL39" s="48">
        <v>2.1862529999999998</v>
      </c>
      <c r="BO39" s="48">
        <v>2.1862529999999998</v>
      </c>
      <c r="BQ39" s="38">
        <v>0.25545000000000001</v>
      </c>
      <c r="BR39" s="48">
        <v>2.1862529999999998</v>
      </c>
      <c r="BW39" s="48">
        <v>2.1862529999999998</v>
      </c>
      <c r="CG39" s="48">
        <v>2.1862529999999998</v>
      </c>
      <c r="CH39" s="48">
        <v>2.1862529999999998</v>
      </c>
      <c r="CM39" s="38">
        <v>6.5</v>
      </c>
      <c r="CS39" s="48">
        <v>2.1862529999999998</v>
      </c>
      <c r="CY39" s="48">
        <v>2.1862529999999998</v>
      </c>
      <c r="DD39" s="38">
        <v>0.20393700000000001</v>
      </c>
      <c r="DE39" s="48">
        <v>2.1862529999999998</v>
      </c>
      <c r="DY39" s="48">
        <v>2.1862529999999998</v>
      </c>
      <c r="EG39" s="48">
        <v>2.1862529999999998</v>
      </c>
      <c r="EP39" s="38">
        <v>2.4981330000000002</v>
      </c>
      <c r="EU39" s="48">
        <v>2.1862529999999998</v>
      </c>
      <c r="EV39" s="48">
        <v>2.1862529999999998</v>
      </c>
      <c r="EW39" s="48">
        <v>2.1862529999999998</v>
      </c>
      <c r="FJ39" s="48">
        <v>2.1862529999999998</v>
      </c>
      <c r="FT39" s="41">
        <v>2.25</v>
      </c>
      <c r="FU39" s="48">
        <v>2.1862529999999998</v>
      </c>
      <c r="GH39" s="48">
        <v>2.1862529999999998</v>
      </c>
      <c r="GJ39" s="48">
        <v>2.1862529999999998</v>
      </c>
      <c r="GU39" s="43" t="str">
        <f t="shared" si="4"/>
        <v/>
      </c>
      <c r="GV39" s="43">
        <f t="shared" si="5"/>
        <v>2.1862530952380959</v>
      </c>
    </row>
    <row r="40" spans="1:204" ht="15" customHeight="1" x14ac:dyDescent="0.2">
      <c r="A40" s="3" t="s">
        <v>499</v>
      </c>
      <c r="B40" s="3" t="s">
        <v>500</v>
      </c>
      <c r="C40" s="3" t="s">
        <v>455</v>
      </c>
      <c r="D40" t="s">
        <v>680</v>
      </c>
      <c r="FT40" s="41"/>
      <c r="GU40" s="43" t="str">
        <f t="shared" si="4"/>
        <v/>
      </c>
      <c r="GV40" s="43" t="str">
        <f t="shared" si="5"/>
        <v/>
      </c>
    </row>
    <row r="41" spans="1:204" ht="15" customHeight="1" x14ac:dyDescent="0.2">
      <c r="A41" s="3" t="s">
        <v>598</v>
      </c>
      <c r="B41" s="3" t="s">
        <v>599</v>
      </c>
      <c r="C41" s="3" t="s">
        <v>595</v>
      </c>
      <c r="D41" s="40">
        <f>AVERAGE(E41:GT41)</f>
        <v>2.5437480344827579</v>
      </c>
      <c r="M41" s="48">
        <v>2.5437479999999999</v>
      </c>
      <c r="S41" s="48">
        <v>2.5437479999999999</v>
      </c>
      <c r="T41" s="48">
        <v>2.5437479999999999</v>
      </c>
      <c r="AC41" s="48">
        <v>2.5437479999999999</v>
      </c>
      <c r="AY41" s="48">
        <v>2.5437479999999999</v>
      </c>
      <c r="BC41">
        <v>2.65</v>
      </c>
      <c r="BL41" s="48">
        <v>2.5437479999999999</v>
      </c>
      <c r="BO41" s="48">
        <v>2.5437479999999999</v>
      </c>
      <c r="BQ41" s="48">
        <v>2.5437479999999999</v>
      </c>
      <c r="BR41" s="48">
        <v>2.5437479999999999</v>
      </c>
      <c r="BW41" s="48">
        <v>2.5437479999999999</v>
      </c>
      <c r="CG41" s="48">
        <v>2.5437479999999999</v>
      </c>
      <c r="CH41" s="48">
        <v>2.5437479999999999</v>
      </c>
      <c r="CM41">
        <v>2.1972930000000002</v>
      </c>
      <c r="CS41" s="48">
        <v>2.5437479999999999</v>
      </c>
      <c r="CY41" s="48">
        <v>2.5437479999999999</v>
      </c>
      <c r="DD41" s="48">
        <v>2.5437479999999999</v>
      </c>
      <c r="DE41" s="48">
        <v>2.5437479999999999</v>
      </c>
      <c r="DY41" s="48">
        <v>2.5437479999999999</v>
      </c>
      <c r="EG41" s="48">
        <v>2.5437479999999999</v>
      </c>
      <c r="EP41">
        <v>1.41273</v>
      </c>
      <c r="EU41" s="48">
        <v>2.5437479999999999</v>
      </c>
      <c r="EV41">
        <v>3.1556600000000001</v>
      </c>
      <c r="EW41" s="48">
        <v>2.5437479999999999</v>
      </c>
      <c r="FJ41" s="48">
        <v>2.5437479999999999</v>
      </c>
      <c r="FT41" s="41">
        <v>3.303058</v>
      </c>
      <c r="FU41" s="48">
        <v>2.5437479999999999</v>
      </c>
      <c r="GH41" s="48">
        <v>2.5437479999999999</v>
      </c>
      <c r="GJ41" s="48">
        <v>2.5437479999999999</v>
      </c>
      <c r="GU41" s="43" t="str">
        <f t="shared" si="4"/>
        <v/>
      </c>
      <c r="GV41" s="43">
        <f t="shared" si="5"/>
        <v>2.5437480476190482</v>
      </c>
    </row>
    <row r="42" spans="1:204" ht="15" customHeight="1" x14ac:dyDescent="0.2">
      <c r="A42" s="3" t="s">
        <v>467</v>
      </c>
      <c r="B42" s="3" t="s">
        <v>468</v>
      </c>
      <c r="C42" s="3" t="s">
        <v>438</v>
      </c>
      <c r="D42" s="40">
        <f>AVERAGE(E42:GT42)</f>
        <v>2.8415048269230763</v>
      </c>
      <c r="F42" s="48">
        <v>5.0324999999999998</v>
      </c>
      <c r="G42" s="48">
        <v>5.0324999999999998</v>
      </c>
      <c r="K42" s="48">
        <v>5.0324999999999998</v>
      </c>
      <c r="M42" s="48">
        <v>1.1038190000000001</v>
      </c>
      <c r="N42" s="48">
        <v>5.0324999999999998</v>
      </c>
      <c r="S42" s="48">
        <v>1.1038190000000001</v>
      </c>
      <c r="T42" s="48">
        <v>1.1038190000000001</v>
      </c>
      <c r="Y42" s="48">
        <v>5.0324999999999998</v>
      </c>
      <c r="AC42" s="48">
        <v>1.1038190000000001</v>
      </c>
      <c r="AV42" s="48">
        <v>5.0324999999999998</v>
      </c>
      <c r="AX42" s="38">
        <v>3.0249999999999999</v>
      </c>
      <c r="AY42" s="48">
        <v>1.1038190000000001</v>
      </c>
      <c r="BC42" s="48">
        <v>1.1038190000000001</v>
      </c>
      <c r="BH42" s="48">
        <v>5.0324999999999998</v>
      </c>
      <c r="BL42" s="48">
        <v>1.1038190000000001</v>
      </c>
      <c r="BO42" s="48">
        <v>1.1038190000000001</v>
      </c>
      <c r="BQ42" s="48">
        <v>1.1038190000000001</v>
      </c>
      <c r="BR42" s="48">
        <v>1.1038190000000001</v>
      </c>
      <c r="BV42" s="48">
        <v>5.0324999999999998</v>
      </c>
      <c r="BW42" s="48">
        <v>1.1038190000000001</v>
      </c>
      <c r="BY42" s="48">
        <v>5.0324999999999998</v>
      </c>
      <c r="CG42" s="48">
        <v>1.1038190000000001</v>
      </c>
      <c r="CH42" s="48">
        <v>1.1038190000000001</v>
      </c>
      <c r="CM42">
        <v>1.1807909999999999</v>
      </c>
      <c r="CN42" s="48">
        <v>5.0324999999999998</v>
      </c>
      <c r="CO42" s="48">
        <v>5.0324999999999998</v>
      </c>
      <c r="CS42" s="48">
        <v>1.1038190000000001</v>
      </c>
      <c r="CY42" s="48">
        <v>1.1038190000000001</v>
      </c>
      <c r="CZ42" s="48">
        <v>5.0324999999999998</v>
      </c>
      <c r="DD42" s="48">
        <v>1.1038190000000001</v>
      </c>
      <c r="DE42" s="48">
        <v>1.1038190000000001</v>
      </c>
      <c r="DK42" s="48">
        <v>5.0324999999999998</v>
      </c>
      <c r="DR42" s="48">
        <v>5.0324999999999998</v>
      </c>
      <c r="DS42" s="48">
        <v>5.0324999999999998</v>
      </c>
      <c r="DY42" s="48">
        <v>1.1038190000000001</v>
      </c>
      <c r="EF42" s="48">
        <v>5.0324999999999998</v>
      </c>
      <c r="EG42" s="48">
        <v>1.1038190000000001</v>
      </c>
      <c r="EP42" s="48">
        <v>1.1038190000000001</v>
      </c>
      <c r="EQ42" s="38">
        <v>7.04</v>
      </c>
      <c r="EU42" s="48">
        <v>1.1038190000000001</v>
      </c>
      <c r="EV42" s="38">
        <v>1.0268470000000001</v>
      </c>
      <c r="EW42" s="48">
        <v>1.1038190000000001</v>
      </c>
      <c r="FF42" s="48">
        <v>5.0324999999999998</v>
      </c>
      <c r="FJ42" s="48">
        <v>1.1038190000000001</v>
      </c>
      <c r="FK42" s="48">
        <v>5.0324999999999998</v>
      </c>
      <c r="FP42" s="48">
        <v>5.0324999999999998</v>
      </c>
      <c r="FT42" s="50">
        <v>1.1038190000000001</v>
      </c>
      <c r="FU42" s="48">
        <v>1.1038190000000001</v>
      </c>
      <c r="GC42" s="48">
        <v>5.0324999999999998</v>
      </c>
      <c r="GF42" s="48">
        <v>5.0324999999999998</v>
      </c>
      <c r="GH42" s="48">
        <v>1.1038190000000001</v>
      </c>
      <c r="GJ42" s="48">
        <v>1.1038190000000001</v>
      </c>
      <c r="GU42" s="43">
        <f t="shared" si="4"/>
        <v>5.0324999999999998</v>
      </c>
      <c r="GV42" s="43">
        <f t="shared" si="5"/>
        <v>1.1038190000000003</v>
      </c>
    </row>
    <row r="43" spans="1:204" ht="15" customHeight="1" x14ac:dyDescent="0.2">
      <c r="A43" s="3" t="s">
        <v>501</v>
      </c>
      <c r="B43" s="3" t="s">
        <v>502</v>
      </c>
      <c r="C43" s="3" t="s">
        <v>455</v>
      </c>
      <c r="D43" t="s">
        <v>683</v>
      </c>
      <c r="FT43" s="41"/>
      <c r="GU43" s="43" t="str">
        <f t="shared" si="4"/>
        <v/>
      </c>
      <c r="GV43" s="43" t="str">
        <f t="shared" si="5"/>
        <v/>
      </c>
    </row>
    <row r="44" spans="1:204" ht="15" customHeight="1" x14ac:dyDescent="0.2">
      <c r="A44" s="3" t="s">
        <v>539</v>
      </c>
      <c r="B44" s="3" t="s">
        <v>540</v>
      </c>
      <c r="C44" s="3" t="s">
        <v>532</v>
      </c>
      <c r="D44" t="s">
        <v>684</v>
      </c>
      <c r="FT44" s="41"/>
      <c r="GU44" s="43" t="str">
        <f t="shared" si="4"/>
        <v/>
      </c>
      <c r="GV44" s="43" t="str">
        <f t="shared" si="5"/>
        <v/>
      </c>
    </row>
    <row r="45" spans="1:204" ht="15" customHeight="1" x14ac:dyDescent="0.2">
      <c r="A45" s="3" t="s">
        <v>517</v>
      </c>
      <c r="B45" s="3" t="s">
        <v>518</v>
      </c>
      <c r="C45" s="3" t="s">
        <v>455</v>
      </c>
      <c r="D45" s="40">
        <f>AVERAGE(E45:GT45)</f>
        <v>20.613027865384627</v>
      </c>
      <c r="F45" s="48">
        <v>22.742478999999999</v>
      </c>
      <c r="G45" s="48">
        <v>22.742478999999999</v>
      </c>
      <c r="K45" s="48">
        <v>22.742478999999999</v>
      </c>
      <c r="M45" s="38">
        <v>24.003001999999999</v>
      </c>
      <c r="N45" s="48">
        <v>22.742478999999999</v>
      </c>
      <c r="S45" s="48">
        <v>18.924153</v>
      </c>
      <c r="T45" s="48">
        <v>18.924153</v>
      </c>
      <c r="Y45" s="48">
        <v>22.742478999999999</v>
      </c>
      <c r="AC45" s="48">
        <v>18.924153</v>
      </c>
      <c r="AV45">
        <v>25.609604999999998</v>
      </c>
      <c r="AX45" s="38">
        <v>20.684007000000001</v>
      </c>
      <c r="AY45">
        <v>17.831565999999999</v>
      </c>
      <c r="BC45" s="38">
        <v>5.9090999999999998E-2</v>
      </c>
      <c r="BH45" s="48">
        <v>22.742478999999999</v>
      </c>
      <c r="BL45" s="48">
        <v>18.924153</v>
      </c>
      <c r="BO45" s="48">
        <v>18.924153</v>
      </c>
      <c r="BQ45" s="48">
        <v>18.924153</v>
      </c>
      <c r="BR45" s="38">
        <v>33.251061</v>
      </c>
      <c r="BV45" s="48">
        <v>22.742478999999999</v>
      </c>
      <c r="BW45" s="38">
        <v>19.649287999999999</v>
      </c>
      <c r="BY45">
        <v>7.3716600000000003</v>
      </c>
      <c r="CG45">
        <v>18.674876000000001</v>
      </c>
      <c r="CH45" s="48">
        <v>18.924153</v>
      </c>
      <c r="CM45" s="48">
        <v>18.924153</v>
      </c>
      <c r="CN45" s="48">
        <v>22.742478999999999</v>
      </c>
      <c r="CO45">
        <v>26.440076000000001</v>
      </c>
      <c r="CS45" s="48">
        <v>18.924153</v>
      </c>
      <c r="CY45" s="48">
        <v>18.924153</v>
      </c>
      <c r="CZ45" s="48">
        <v>22.742478999999999</v>
      </c>
      <c r="DD45" s="48">
        <v>18.924153</v>
      </c>
      <c r="DE45" s="38">
        <v>52.202585999999997</v>
      </c>
      <c r="DK45">
        <v>57.495122000000002</v>
      </c>
      <c r="DR45" s="48">
        <v>22.742478999999999</v>
      </c>
      <c r="DS45" s="48">
        <v>22.742478999999999</v>
      </c>
      <c r="DY45" s="48">
        <v>18.924153</v>
      </c>
      <c r="EF45" s="48">
        <v>22.742478999999999</v>
      </c>
      <c r="EG45" s="48">
        <v>18.924153</v>
      </c>
      <c r="EP45" s="48">
        <v>18.924153</v>
      </c>
      <c r="EQ45">
        <v>16.400030000000001</v>
      </c>
      <c r="EU45" s="48">
        <v>18.924153</v>
      </c>
      <c r="EV45">
        <v>6.437659</v>
      </c>
      <c r="EW45" s="48">
        <v>18.924153</v>
      </c>
      <c r="FF45" s="48">
        <v>22.742478999999999</v>
      </c>
      <c r="FJ45">
        <v>11.042396999999999</v>
      </c>
      <c r="FK45">
        <v>0.60044200000000003</v>
      </c>
      <c r="FP45" s="38">
        <v>27.338889000000002</v>
      </c>
      <c r="FT45" s="41">
        <v>6.09</v>
      </c>
      <c r="FU45" s="48">
        <v>18.924153</v>
      </c>
      <c r="GC45" s="48">
        <v>22.742478999999999</v>
      </c>
      <c r="GF45" s="48">
        <v>22.742478999999999</v>
      </c>
      <c r="GH45" s="48">
        <v>18.924153</v>
      </c>
      <c r="GJ45" s="48">
        <v>18.924153</v>
      </c>
      <c r="GU45" s="43">
        <f t="shared" si="4"/>
        <v>22.742478875</v>
      </c>
      <c r="GV45" s="43">
        <f t="shared" si="5"/>
        <v>18.924152809523804</v>
      </c>
    </row>
    <row r="46" spans="1:204" ht="15" customHeight="1" x14ac:dyDescent="0.2">
      <c r="A46" s="3" t="s">
        <v>490</v>
      </c>
      <c r="B46" s="3" t="s">
        <v>491</v>
      </c>
      <c r="C46" s="3" t="s">
        <v>438</v>
      </c>
      <c r="D46" s="40">
        <f>AVERAGE(E46:GT46)</f>
        <v>0.63526080769230753</v>
      </c>
      <c r="F46" s="48">
        <v>0.552342</v>
      </c>
      <c r="G46" s="48">
        <v>0.552342</v>
      </c>
      <c r="K46" s="48">
        <v>0.552342</v>
      </c>
      <c r="M46" s="38">
        <v>0.88594099999999998</v>
      </c>
      <c r="N46" s="48">
        <v>0.552342</v>
      </c>
      <c r="S46" s="48">
        <v>0.70102399999999998</v>
      </c>
      <c r="T46" s="38">
        <v>1.264937</v>
      </c>
      <c r="Y46" s="48">
        <v>0.552342</v>
      </c>
      <c r="AC46" s="48">
        <v>0.70102399999999998</v>
      </c>
      <c r="AV46" s="48">
        <v>0.552342</v>
      </c>
      <c r="AX46" s="48">
        <v>0.552342</v>
      </c>
      <c r="AY46" s="38">
        <v>1.0489059999999999</v>
      </c>
      <c r="BC46" s="38">
        <v>0.32154100000000002</v>
      </c>
      <c r="BH46" s="48">
        <v>0.552342</v>
      </c>
      <c r="BL46" s="38">
        <v>0.18001900000000001</v>
      </c>
      <c r="BO46" s="48">
        <v>0.70102399999999998</v>
      </c>
      <c r="BQ46" s="48">
        <v>0.70102399999999998</v>
      </c>
      <c r="BR46" s="38">
        <v>1.0294760000000001</v>
      </c>
      <c r="BV46" s="48">
        <v>0.552342</v>
      </c>
      <c r="BW46" s="38">
        <v>1.7535339999999999</v>
      </c>
      <c r="BY46" s="48">
        <v>0.552342</v>
      </c>
      <c r="CG46" s="48">
        <v>0.70102399999999998</v>
      </c>
      <c r="CH46" s="48">
        <v>0.70102399999999998</v>
      </c>
      <c r="CM46" s="38">
        <v>1.1171219999999999</v>
      </c>
      <c r="CN46" s="48">
        <v>0.552342</v>
      </c>
      <c r="CO46" s="48">
        <v>0.552342</v>
      </c>
      <c r="CS46" s="48">
        <v>0.70102399999999998</v>
      </c>
      <c r="CY46" s="38">
        <v>0.13800000000000001</v>
      </c>
      <c r="CZ46" s="48">
        <v>0.552342</v>
      </c>
      <c r="DD46" s="38">
        <v>0.19689799999999999</v>
      </c>
      <c r="DE46" s="38">
        <v>1.043302</v>
      </c>
      <c r="DK46" s="48">
        <v>0.552342</v>
      </c>
      <c r="DR46" s="48">
        <v>0.552342</v>
      </c>
      <c r="DS46" s="48">
        <v>0.552342</v>
      </c>
      <c r="DY46" s="38">
        <v>0.92408199999999996</v>
      </c>
      <c r="EF46" s="48">
        <v>0.552342</v>
      </c>
      <c r="EG46" s="48">
        <v>0.70102399999999998</v>
      </c>
      <c r="EP46" s="48">
        <v>0.70102399999999998</v>
      </c>
      <c r="EQ46" s="38">
        <v>0.28067900000000001</v>
      </c>
      <c r="EU46" s="48">
        <v>0.70102399999999998</v>
      </c>
      <c r="EV46" s="38">
        <v>0.49806499999999998</v>
      </c>
      <c r="EW46" s="48">
        <v>0.70102399999999998</v>
      </c>
      <c r="FF46" s="48">
        <v>0.552342</v>
      </c>
      <c r="FJ46" s="38">
        <v>6.8039000000000002E-2</v>
      </c>
      <c r="FK46" s="38">
        <v>0.82400600000000002</v>
      </c>
      <c r="FP46" s="48">
        <v>0.552342</v>
      </c>
      <c r="FT46" s="42">
        <v>4.5497000000000003E-2</v>
      </c>
      <c r="FU46" s="48">
        <v>0.70102399999999998</v>
      </c>
      <c r="GC46" s="48">
        <v>0.552342</v>
      </c>
      <c r="GF46" s="48">
        <v>0.552342</v>
      </c>
      <c r="GH46" s="48">
        <v>0.70102399999999998</v>
      </c>
      <c r="GJ46" s="48">
        <v>0.70102399999999998</v>
      </c>
      <c r="GU46" s="43">
        <f t="shared" si="4"/>
        <v>0.55234212500000002</v>
      </c>
      <c r="GV46" s="43">
        <f t="shared" si="5"/>
        <v>0.70102395238095261</v>
      </c>
    </row>
    <row r="47" spans="1:204" ht="15" customHeight="1" x14ac:dyDescent="0.2">
      <c r="A47" s="3" t="s">
        <v>484</v>
      </c>
      <c r="B47" s="3" t="s">
        <v>485</v>
      </c>
      <c r="C47" s="3" t="s">
        <v>438</v>
      </c>
      <c r="D47" s="40">
        <f>AVERAGE(E47:GT47)</f>
        <v>2.364343019230768</v>
      </c>
      <c r="F47" s="48">
        <v>2.1570170000000002</v>
      </c>
      <c r="G47" s="48">
        <v>2.1570170000000002</v>
      </c>
      <c r="K47" s="48">
        <v>2.1570170000000002</v>
      </c>
      <c r="M47" s="48">
        <v>2.5287739999999999</v>
      </c>
      <c r="N47" s="48">
        <v>2.1570170000000002</v>
      </c>
      <c r="S47" s="48">
        <v>2.5287739999999999</v>
      </c>
      <c r="T47" s="48">
        <v>2.5287739999999999</v>
      </c>
      <c r="Y47" s="48">
        <v>2.1570170000000002</v>
      </c>
      <c r="AC47" s="48">
        <v>2.5287739999999999</v>
      </c>
      <c r="AV47" s="48">
        <v>2.1570170000000002</v>
      </c>
      <c r="AX47" s="48">
        <v>2.1570170000000002</v>
      </c>
      <c r="AY47" s="48">
        <v>2.5287739999999999</v>
      </c>
      <c r="BC47" s="48">
        <v>2.5287739999999999</v>
      </c>
      <c r="BH47" s="48">
        <v>2.1570170000000002</v>
      </c>
      <c r="BL47" s="38">
        <v>0.12</v>
      </c>
      <c r="BO47" s="48">
        <v>2.5287739999999999</v>
      </c>
      <c r="BQ47" s="48">
        <v>2.5287739999999999</v>
      </c>
      <c r="BR47" s="48">
        <v>2.5287739999999999</v>
      </c>
      <c r="BV47" s="48">
        <v>2.1570170000000002</v>
      </c>
      <c r="BW47" s="48">
        <v>2.5287739999999999</v>
      </c>
      <c r="BY47" s="48">
        <v>2.1570170000000002</v>
      </c>
      <c r="CG47" s="48">
        <v>2.5287739999999999</v>
      </c>
      <c r="CH47" s="48">
        <v>2.5287739999999999</v>
      </c>
      <c r="CM47">
        <v>8.0214569999999998</v>
      </c>
      <c r="CN47" s="48">
        <v>2.1570170000000002</v>
      </c>
      <c r="CO47" s="48">
        <v>2.1570170000000002</v>
      </c>
      <c r="CS47" s="48">
        <v>2.5287739999999999</v>
      </c>
      <c r="CY47" s="48">
        <v>2.5287739999999999</v>
      </c>
      <c r="CZ47" s="48">
        <v>2.1570170000000002</v>
      </c>
      <c r="DD47" s="48">
        <v>2.5287739999999999</v>
      </c>
      <c r="DE47" s="48">
        <v>2.5287739999999999</v>
      </c>
      <c r="DK47" s="48">
        <v>2.1570170000000002</v>
      </c>
      <c r="DR47" s="48">
        <v>2.1570170000000002</v>
      </c>
      <c r="DS47" s="48">
        <v>2.1570170000000002</v>
      </c>
      <c r="DY47" s="48">
        <v>2.5287739999999999</v>
      </c>
      <c r="EF47" s="48">
        <v>2.1570170000000002</v>
      </c>
      <c r="EG47" s="48">
        <v>2.5287739999999999</v>
      </c>
      <c r="EP47" s="48">
        <v>2.5287739999999999</v>
      </c>
      <c r="EQ47" s="38">
        <v>2.9637359999999999</v>
      </c>
      <c r="EU47" s="48">
        <v>2.5287739999999999</v>
      </c>
      <c r="EV47" s="38">
        <v>0.32363999999999998</v>
      </c>
      <c r="EW47" s="48">
        <v>2.5287739999999999</v>
      </c>
      <c r="FF47" s="48">
        <v>2.1570170000000002</v>
      </c>
      <c r="FJ47" s="48">
        <v>2.5287739999999999</v>
      </c>
      <c r="FK47" s="48">
        <v>2.1570170000000002</v>
      </c>
      <c r="FP47" s="38">
        <v>1.3502970000000001</v>
      </c>
      <c r="FT47" s="41">
        <v>1.65</v>
      </c>
      <c r="FU47" s="48">
        <v>2.5287739999999999</v>
      </c>
      <c r="GC47" s="48">
        <v>2.1570170000000002</v>
      </c>
      <c r="GF47" s="48">
        <v>2.1570170000000002</v>
      </c>
      <c r="GH47" s="48">
        <v>2.5287739999999999</v>
      </c>
      <c r="GJ47" s="48">
        <v>2.5287739999999999</v>
      </c>
      <c r="GU47" s="43">
        <f t="shared" si="4"/>
        <v>2.1570168750000001</v>
      </c>
      <c r="GV47" s="43">
        <f t="shared" si="5"/>
        <v>2.5287740476190468</v>
      </c>
    </row>
    <row r="48" spans="1:204" ht="15" customHeight="1" x14ac:dyDescent="0.2">
      <c r="A48" s="3" t="s">
        <v>568</v>
      </c>
      <c r="B48" s="3" t="s">
        <v>569</v>
      </c>
      <c r="C48" s="3" t="s">
        <v>554</v>
      </c>
      <c r="D48" s="51">
        <f>0.6941*AP48+0.2774*CI48+0.02849*J48</f>
        <v>8.1062533999999999</v>
      </c>
      <c r="J48">
        <v>2.56</v>
      </c>
      <c r="AP48">
        <v>11.25</v>
      </c>
      <c r="CI48">
        <v>0.81</v>
      </c>
      <c r="FT48" s="41"/>
      <c r="GU48" s="46" t="str">
        <f t="shared" si="4"/>
        <v/>
      </c>
      <c r="GV48" s="46" t="str">
        <f t="shared" si="5"/>
        <v/>
      </c>
    </row>
    <row r="49" spans="1:204" ht="15" customHeight="1" x14ac:dyDescent="0.2">
      <c r="A49" s="3" t="s">
        <v>559</v>
      </c>
      <c r="B49" s="3" t="s">
        <v>560</v>
      </c>
      <c r="C49" s="3" t="s">
        <v>554</v>
      </c>
      <c r="D49" t="s">
        <v>677</v>
      </c>
      <c r="FT49" s="41"/>
      <c r="GU49" s="43" t="str">
        <f t="shared" si="4"/>
        <v/>
      </c>
      <c r="GV49" s="43" t="str">
        <f t="shared" si="5"/>
        <v/>
      </c>
    </row>
    <row r="50" spans="1:204" ht="15" customHeight="1" x14ac:dyDescent="0.2">
      <c r="A50" s="3" t="s">
        <v>541</v>
      </c>
      <c r="B50" s="3" t="s">
        <v>542</v>
      </c>
      <c r="C50" s="3" t="s">
        <v>455</v>
      </c>
      <c r="D50" s="52" t="s">
        <v>293</v>
      </c>
      <c r="CO50" s="40">
        <f>0.000088182*16000</f>
        <v>1.4109120000000002</v>
      </c>
      <c r="FT50" s="41"/>
      <c r="GU50" s="43">
        <f t="shared" si="4"/>
        <v>1.4109120000000002</v>
      </c>
      <c r="GV50" s="43" t="str">
        <f t="shared" si="5"/>
        <v/>
      </c>
    </row>
    <row r="51" spans="1:204" ht="15" customHeight="1" x14ac:dyDescent="0.2">
      <c r="A51" s="3" t="s">
        <v>488</v>
      </c>
      <c r="B51" s="3" t="s">
        <v>489</v>
      </c>
      <c r="C51" s="3" t="s">
        <v>438</v>
      </c>
      <c r="D51" s="40">
        <f t="shared" ref="D51:D57" si="6">AVERAGE(E51:GT51)</f>
        <v>6.5776385769230741</v>
      </c>
      <c r="F51" s="48">
        <v>11.893478</v>
      </c>
      <c r="G51" s="48">
        <v>11.893478</v>
      </c>
      <c r="K51" s="48">
        <v>11.893478</v>
      </c>
      <c r="M51" s="48">
        <v>2.3616280000000001</v>
      </c>
      <c r="N51" s="48">
        <v>11.893478</v>
      </c>
      <c r="S51" s="48">
        <v>2.3616280000000001</v>
      </c>
      <c r="T51" s="48">
        <v>2.3616280000000001</v>
      </c>
      <c r="Y51" s="48">
        <v>11.893478</v>
      </c>
      <c r="AC51" s="48">
        <v>2.3616280000000001</v>
      </c>
      <c r="AV51" s="48">
        <v>11.893478</v>
      </c>
      <c r="AX51" s="48">
        <v>11.893478</v>
      </c>
      <c r="AY51" s="48">
        <v>2.3616280000000001</v>
      </c>
      <c r="BC51">
        <v>1.85</v>
      </c>
      <c r="BH51" s="48">
        <v>11.893478</v>
      </c>
      <c r="BL51" s="48">
        <v>2.3616280000000001</v>
      </c>
      <c r="BO51" s="48">
        <v>2.3616280000000001</v>
      </c>
      <c r="BQ51" s="48">
        <v>2.3616280000000001</v>
      </c>
      <c r="BR51" s="38">
        <v>2.9122710000000001</v>
      </c>
      <c r="BV51" s="48">
        <v>11.893478</v>
      </c>
      <c r="BW51" s="48">
        <v>2.3616280000000001</v>
      </c>
      <c r="BY51" s="48">
        <v>11.893478</v>
      </c>
      <c r="CG51" s="48">
        <v>2.3616280000000001</v>
      </c>
      <c r="CH51" s="48">
        <v>2.3616280000000001</v>
      </c>
      <c r="CM51" s="38">
        <v>3.5</v>
      </c>
      <c r="CN51" s="48">
        <v>11.893478</v>
      </c>
      <c r="CO51" s="48">
        <v>11.893478</v>
      </c>
      <c r="CS51" s="48">
        <v>2.3616280000000001</v>
      </c>
      <c r="CY51" s="48">
        <v>2.3616280000000001</v>
      </c>
      <c r="CZ51" s="48">
        <v>11.893478</v>
      </c>
      <c r="DD51" s="48">
        <v>2.3616280000000001</v>
      </c>
      <c r="DE51" s="48">
        <v>2.3616280000000001</v>
      </c>
      <c r="DK51" s="48">
        <v>11.893478</v>
      </c>
      <c r="DR51" s="48">
        <v>11.893478</v>
      </c>
      <c r="DS51" s="48">
        <v>11.893478</v>
      </c>
      <c r="DY51" s="38">
        <v>4.0837209999999997</v>
      </c>
      <c r="EF51" s="48">
        <v>11.893478</v>
      </c>
      <c r="EG51" s="48">
        <v>2.3616280000000001</v>
      </c>
      <c r="EP51" s="48">
        <v>2.3616280000000001</v>
      </c>
      <c r="EQ51" s="38">
        <v>11.893478</v>
      </c>
      <c r="EU51" s="48">
        <v>2.3616280000000001</v>
      </c>
      <c r="EV51">
        <v>0.17377600000000001</v>
      </c>
      <c r="EW51" s="48">
        <v>2.3616280000000001</v>
      </c>
      <c r="FF51" s="48">
        <v>11.893478</v>
      </c>
      <c r="FJ51" s="48">
        <v>2.3616280000000001</v>
      </c>
      <c r="FK51" s="48">
        <v>11.893478</v>
      </c>
      <c r="FP51" s="48">
        <v>11.893478</v>
      </c>
      <c r="FT51" s="41">
        <v>1.65</v>
      </c>
      <c r="FU51" s="48">
        <v>2.3616280000000001</v>
      </c>
      <c r="GC51" s="48">
        <v>11.893478</v>
      </c>
      <c r="GF51" s="48">
        <v>11.893478</v>
      </c>
      <c r="GH51" s="48">
        <v>2.3616280000000001</v>
      </c>
      <c r="GJ51" s="48">
        <v>2.3616280000000001</v>
      </c>
      <c r="GU51" s="43">
        <f t="shared" si="4"/>
        <v>11.893478</v>
      </c>
      <c r="GV51" s="43">
        <f t="shared" si="5"/>
        <v>2.3616280000000005</v>
      </c>
    </row>
    <row r="52" spans="1:204" ht="15" customHeight="1" x14ac:dyDescent="0.2">
      <c r="A52" s="3" t="s">
        <v>511</v>
      </c>
      <c r="B52" s="3" t="s">
        <v>512</v>
      </c>
      <c r="C52" s="3" t="s">
        <v>455</v>
      </c>
      <c r="D52" s="40">
        <f t="shared" si="6"/>
        <v>7.6389320000000014</v>
      </c>
      <c r="F52" s="48">
        <v>7.6389319999999996</v>
      </c>
      <c r="G52" s="48">
        <v>7.6389319999999996</v>
      </c>
      <c r="K52" s="48">
        <v>7.6389319999999996</v>
      </c>
      <c r="N52" s="48">
        <v>7.6389319999999996</v>
      </c>
      <c r="Y52" s="48">
        <v>7.6389319999999996</v>
      </c>
      <c r="AV52" s="48">
        <v>7.6389319999999996</v>
      </c>
      <c r="AX52" s="38">
        <v>14.705128</v>
      </c>
      <c r="BH52" s="48">
        <v>7.6389319999999996</v>
      </c>
      <c r="BV52" s="48">
        <v>7.6389319999999996</v>
      </c>
      <c r="BY52" s="48">
        <v>7.6389319999999996</v>
      </c>
      <c r="CN52" s="48">
        <v>7.6389319999999996</v>
      </c>
      <c r="CO52" s="48">
        <v>7.6389319999999996</v>
      </c>
      <c r="CZ52" s="48">
        <v>7.6389319999999996</v>
      </c>
      <c r="DK52">
        <v>0.245283</v>
      </c>
      <c r="DR52" s="48">
        <v>7.6389319999999996</v>
      </c>
      <c r="DS52" s="48">
        <v>7.6389319999999996</v>
      </c>
      <c r="EF52" s="48">
        <v>7.6389319999999996</v>
      </c>
      <c r="EQ52" s="48">
        <v>7.6389319999999996</v>
      </c>
      <c r="FF52" s="48">
        <v>7.6389319999999996</v>
      </c>
      <c r="FK52" s="48">
        <v>7.6389319999999996</v>
      </c>
      <c r="FP52" s="38">
        <v>7.9663849999999998</v>
      </c>
      <c r="FT52" s="41"/>
      <c r="GC52" s="48">
        <v>7.6389319999999996</v>
      </c>
      <c r="GF52" s="48">
        <v>7.6389319999999996</v>
      </c>
      <c r="GU52" s="43">
        <f t="shared" si="4"/>
        <v>7.6389319999999996</v>
      </c>
      <c r="GV52" s="43" t="str">
        <f t="shared" si="5"/>
        <v/>
      </c>
    </row>
    <row r="53" spans="1:204" ht="15" customHeight="1" x14ac:dyDescent="0.2">
      <c r="A53" s="3" t="s">
        <v>617</v>
      </c>
      <c r="B53" s="3" t="s">
        <v>618</v>
      </c>
      <c r="C53" s="3" t="s">
        <v>567</v>
      </c>
      <c r="D53" s="40">
        <f t="shared" si="6"/>
        <v>1.3360943653846151</v>
      </c>
      <c r="F53" s="48">
        <v>0.47368399999999999</v>
      </c>
      <c r="G53" s="48">
        <v>0.47368399999999999</v>
      </c>
      <c r="K53" s="48">
        <v>0.47368399999999999</v>
      </c>
      <c r="M53" s="48">
        <v>2.0200749999999998</v>
      </c>
      <c r="N53" s="48">
        <v>0.47368399999999999</v>
      </c>
      <c r="S53" s="48">
        <v>2.0200749999999998</v>
      </c>
      <c r="T53" s="48">
        <v>2.0200749999999998</v>
      </c>
      <c r="Y53" s="48">
        <v>0.47368399999999999</v>
      </c>
      <c r="AC53" s="48">
        <v>2.0200749999999998</v>
      </c>
      <c r="AV53" s="48">
        <v>0.47368399999999999</v>
      </c>
      <c r="AX53">
        <v>0.47368399999999999</v>
      </c>
      <c r="AY53" s="48">
        <v>2.0200749999999998</v>
      </c>
      <c r="BC53" s="48">
        <v>2.0200749999999998</v>
      </c>
      <c r="BH53" s="48">
        <v>0.47368399999999999</v>
      </c>
      <c r="BL53">
        <v>1.7</v>
      </c>
      <c r="BO53" s="48">
        <v>2.0200749999999998</v>
      </c>
      <c r="BQ53" s="48">
        <v>2.0200749999999998</v>
      </c>
      <c r="BR53" s="48">
        <v>2.0200749999999998</v>
      </c>
      <c r="BV53" s="48">
        <v>0.47368399999999999</v>
      </c>
      <c r="BW53" s="48">
        <v>2.0200749999999998</v>
      </c>
      <c r="BY53" s="48">
        <v>0.47368399999999999</v>
      </c>
      <c r="CG53" s="48">
        <v>2.0200749999999998</v>
      </c>
      <c r="CH53" s="48">
        <v>2.0200749999999998</v>
      </c>
      <c r="CM53" s="48">
        <v>2.0200749999999998</v>
      </c>
      <c r="CN53" s="48">
        <v>0.47368399999999999</v>
      </c>
      <c r="CO53" s="48">
        <v>0.47368399999999999</v>
      </c>
      <c r="CS53" s="48">
        <v>2.0200749999999998</v>
      </c>
      <c r="CY53" s="48">
        <v>2.0200749999999998</v>
      </c>
      <c r="CZ53" s="48">
        <v>0.47368399999999999</v>
      </c>
      <c r="DD53" s="48">
        <v>2.0200749999999998</v>
      </c>
      <c r="DE53" s="48">
        <v>2.0200749999999998</v>
      </c>
      <c r="DK53" s="48">
        <v>0.47368399999999999</v>
      </c>
      <c r="DR53" s="48">
        <v>0.47368399999999999</v>
      </c>
      <c r="DS53" s="48">
        <v>0.47368399999999999</v>
      </c>
      <c r="DY53" s="48">
        <v>2.0200749999999998</v>
      </c>
      <c r="EF53" s="48">
        <v>0.47368399999999999</v>
      </c>
      <c r="EG53" s="48">
        <v>2.0200749999999998</v>
      </c>
      <c r="EP53" s="48">
        <v>2.0200749999999998</v>
      </c>
      <c r="EQ53" s="48">
        <v>0.47368399999999999</v>
      </c>
      <c r="EU53" s="48">
        <v>2.0200749999999998</v>
      </c>
      <c r="EV53" s="48">
        <v>2.0200749999999998</v>
      </c>
      <c r="EW53" s="48">
        <v>2.0200749999999998</v>
      </c>
      <c r="FF53" s="48">
        <v>0.47368399999999999</v>
      </c>
      <c r="FJ53">
        <v>9.6074000000000007E-2</v>
      </c>
      <c r="FK53" s="48">
        <v>0.47368399999999999</v>
      </c>
      <c r="FP53" s="48">
        <v>0.47368399999999999</v>
      </c>
      <c r="FT53" s="41">
        <v>4.264151</v>
      </c>
      <c r="FU53" s="48">
        <v>2.0200749999999998</v>
      </c>
      <c r="GC53" s="48">
        <v>0.47368399999999999</v>
      </c>
      <c r="GF53" s="48">
        <v>0.47368399999999999</v>
      </c>
      <c r="GH53" s="48">
        <v>2.0200749999999998</v>
      </c>
      <c r="GJ53" s="48">
        <v>2.0200749999999998</v>
      </c>
      <c r="GU53" s="43">
        <f t="shared" si="4"/>
        <v>0.47368399999999999</v>
      </c>
      <c r="GV53" s="43">
        <f t="shared" si="5"/>
        <v>2.0200749999999994</v>
      </c>
    </row>
    <row r="54" spans="1:204" ht="15" customHeight="1" x14ac:dyDescent="0.2">
      <c r="A54" s="3" t="s">
        <v>447</v>
      </c>
      <c r="B54" s="3" t="s">
        <v>448</v>
      </c>
      <c r="C54" s="3" t="s">
        <v>438</v>
      </c>
      <c r="D54" s="40">
        <f t="shared" si="6"/>
        <v>9.9391101346153743</v>
      </c>
      <c r="F54" s="48">
        <v>6.9819979999999999</v>
      </c>
      <c r="G54" s="48">
        <v>6.9819979999999999</v>
      </c>
      <c r="K54" s="48">
        <v>6.9819979999999999</v>
      </c>
      <c r="M54" s="48">
        <v>12.284406000000001</v>
      </c>
      <c r="N54" s="48">
        <v>6.9819979999999999</v>
      </c>
      <c r="S54" s="48">
        <v>12.284406000000001</v>
      </c>
      <c r="T54" s="48">
        <v>12.284406000000001</v>
      </c>
      <c r="Y54" s="48">
        <v>6.9819979999999999</v>
      </c>
      <c r="AC54" s="48">
        <v>12.284406000000001</v>
      </c>
      <c r="AV54" s="48">
        <v>6.9819979999999999</v>
      </c>
      <c r="AX54" s="38">
        <v>0.48571399999999998</v>
      </c>
      <c r="AY54" s="48">
        <v>12.284406000000001</v>
      </c>
      <c r="BC54">
        <v>1.85</v>
      </c>
      <c r="BH54" s="48">
        <v>6.9819979999999999</v>
      </c>
      <c r="BL54" s="48">
        <v>12.284406000000001</v>
      </c>
      <c r="BO54" s="48">
        <v>12.284406000000001</v>
      </c>
      <c r="BQ54" s="48">
        <v>12.284406000000001</v>
      </c>
      <c r="BR54" s="38">
        <v>55.173099000000001</v>
      </c>
      <c r="BV54" s="48">
        <v>6.9819979999999999</v>
      </c>
      <c r="BW54" s="48">
        <v>12.284406000000001</v>
      </c>
      <c r="BY54" s="48">
        <v>6.9819979999999999</v>
      </c>
      <c r="CG54" s="48">
        <v>12.284406000000001</v>
      </c>
      <c r="CH54" s="48">
        <v>12.284406000000001</v>
      </c>
      <c r="CM54" s="38">
        <v>2.3136359999999998</v>
      </c>
      <c r="CN54" s="48">
        <v>6.9819979999999999</v>
      </c>
      <c r="CO54" s="48">
        <v>6.9819979999999999</v>
      </c>
      <c r="CS54" s="48">
        <v>12.284406000000001</v>
      </c>
      <c r="CY54" s="48">
        <v>12.284406000000001</v>
      </c>
      <c r="CZ54" s="48">
        <v>6.9819979999999999</v>
      </c>
      <c r="DD54" s="48">
        <v>12.284406000000001</v>
      </c>
      <c r="DE54" s="48">
        <v>12.284406000000001</v>
      </c>
      <c r="DK54" s="48">
        <v>6.9819979999999999</v>
      </c>
      <c r="DR54" s="48">
        <v>6.9819979999999999</v>
      </c>
      <c r="DS54" s="48">
        <v>6.9819979999999999</v>
      </c>
      <c r="DY54" s="48">
        <v>12.284406000000001</v>
      </c>
      <c r="EF54" s="48">
        <v>6.9819979999999999</v>
      </c>
      <c r="EG54" s="48">
        <v>12.284406000000001</v>
      </c>
      <c r="EP54" s="48">
        <v>12.284406000000001</v>
      </c>
      <c r="EQ54" s="38">
        <v>4.158442</v>
      </c>
      <c r="EU54" s="48">
        <v>12.284406000000001</v>
      </c>
      <c r="EV54" s="38">
        <v>0.43529400000000001</v>
      </c>
      <c r="EW54" s="48">
        <v>12.284406000000001</v>
      </c>
      <c r="FF54" s="48">
        <v>6.9819979999999999</v>
      </c>
      <c r="FJ54" s="48">
        <v>12.284406000000001</v>
      </c>
      <c r="FK54" s="48">
        <v>6.9819979999999999</v>
      </c>
      <c r="FP54" s="38">
        <v>16.301838</v>
      </c>
      <c r="FT54" s="41">
        <v>1.65</v>
      </c>
      <c r="FU54" s="48">
        <v>12.284406000000001</v>
      </c>
      <c r="GC54" s="48">
        <v>6.9819979999999999</v>
      </c>
      <c r="GF54" s="48">
        <v>6.9819979999999999</v>
      </c>
      <c r="GH54" s="48">
        <v>12.284406000000001</v>
      </c>
      <c r="GJ54" s="48">
        <v>12.284406000000001</v>
      </c>
      <c r="GU54" s="43">
        <f t="shared" si="4"/>
        <v>6.981997999999999</v>
      </c>
      <c r="GV54" s="43">
        <f t="shared" si="5"/>
        <v>12.284405952380951</v>
      </c>
    </row>
    <row r="55" spans="1:204" ht="15" customHeight="1" x14ac:dyDescent="0.2">
      <c r="A55" s="3" t="s">
        <v>570</v>
      </c>
      <c r="B55" s="3" t="s">
        <v>571</v>
      </c>
      <c r="C55" s="3" t="s">
        <v>433</v>
      </c>
      <c r="D55" s="40">
        <f t="shared" si="6"/>
        <v>1.1629694423076917</v>
      </c>
      <c r="F55" s="48">
        <v>0.92723900000000004</v>
      </c>
      <c r="G55" s="48">
        <v>0.92723900000000004</v>
      </c>
      <c r="K55" s="48">
        <v>0.92723900000000004</v>
      </c>
      <c r="M55" s="48">
        <v>1.349928</v>
      </c>
      <c r="N55" s="48">
        <v>0.92723900000000004</v>
      </c>
      <c r="S55" s="48">
        <v>1.349928</v>
      </c>
      <c r="T55">
        <v>2.4155769999999999</v>
      </c>
      <c r="Y55" s="48">
        <v>0.92723900000000004</v>
      </c>
      <c r="AC55">
        <v>1.2910509999999999</v>
      </c>
      <c r="AV55" s="48">
        <v>0.92723900000000004</v>
      </c>
      <c r="AX55" s="48">
        <v>0.92723900000000004</v>
      </c>
      <c r="AY55" s="48">
        <v>1.349928</v>
      </c>
      <c r="BC55" s="48">
        <v>1.349928</v>
      </c>
      <c r="BH55" s="48">
        <v>0.92723900000000004</v>
      </c>
      <c r="BL55">
        <v>0.148148</v>
      </c>
      <c r="BO55" s="48">
        <v>1.349928</v>
      </c>
      <c r="BQ55">
        <v>0.57744799999999996</v>
      </c>
      <c r="BR55">
        <v>1.5148790000000001</v>
      </c>
      <c r="BV55" s="48">
        <v>0.92723900000000004</v>
      </c>
      <c r="BW55" s="48">
        <v>1.349928</v>
      </c>
      <c r="BY55" s="48">
        <v>0.92723900000000004</v>
      </c>
      <c r="CG55">
        <v>3.8632870000000001</v>
      </c>
      <c r="CH55" s="48">
        <v>1.349928</v>
      </c>
      <c r="CM55" s="48">
        <v>1.349928</v>
      </c>
      <c r="CN55" s="48">
        <v>0.92723900000000004</v>
      </c>
      <c r="CO55" s="48">
        <v>0.92723900000000004</v>
      </c>
      <c r="CS55" s="48">
        <v>1.349928</v>
      </c>
      <c r="CY55" s="48">
        <v>1.349928</v>
      </c>
      <c r="CZ55" s="48">
        <v>0.92723900000000004</v>
      </c>
      <c r="DD55" s="48">
        <v>1.349928</v>
      </c>
      <c r="DE55" s="48">
        <v>1.349928</v>
      </c>
      <c r="DK55" s="48">
        <v>0.92723900000000004</v>
      </c>
      <c r="DR55" s="48">
        <v>0.92723900000000004</v>
      </c>
      <c r="DS55" s="48">
        <v>0.92723900000000004</v>
      </c>
      <c r="DY55">
        <v>1.251701</v>
      </c>
      <c r="EF55" s="48">
        <v>0.92723900000000004</v>
      </c>
      <c r="EG55" s="48">
        <v>1.349928</v>
      </c>
      <c r="EP55" s="48">
        <v>1.349928</v>
      </c>
      <c r="EQ55" s="48">
        <v>0.92723900000000004</v>
      </c>
      <c r="EU55" s="48">
        <v>1.349928</v>
      </c>
      <c r="EV55">
        <v>0.38726300000000002</v>
      </c>
      <c r="EW55" s="48">
        <v>1.349928</v>
      </c>
      <c r="FF55" s="48">
        <v>0.92723900000000004</v>
      </c>
      <c r="FJ55" s="48">
        <v>1.349928</v>
      </c>
      <c r="FK55">
        <v>0.92723900000000004</v>
      </c>
      <c r="FP55" s="48">
        <v>0.92723900000000004</v>
      </c>
      <c r="FT55" s="41">
        <v>0.7</v>
      </c>
      <c r="FU55" s="48">
        <v>1.349928</v>
      </c>
      <c r="GC55" s="48">
        <v>0.92723900000000004</v>
      </c>
      <c r="GF55" s="48">
        <v>0.92723900000000004</v>
      </c>
      <c r="GH55" s="48">
        <v>1.349928</v>
      </c>
      <c r="GJ55" s="48">
        <v>1.349928</v>
      </c>
      <c r="GU55" s="43">
        <f t="shared" si="4"/>
        <v>0.92723900000000004</v>
      </c>
      <c r="GV55" s="43">
        <f t="shared" si="5"/>
        <v>1.349928095238095</v>
      </c>
    </row>
    <row r="56" spans="1:204" ht="15" customHeight="1" x14ac:dyDescent="0.2">
      <c r="A56" s="3" t="s">
        <v>621</v>
      </c>
      <c r="B56" s="3" t="s">
        <v>622</v>
      </c>
      <c r="C56" s="3" t="s">
        <v>567</v>
      </c>
      <c r="D56" s="40">
        <f t="shared" si="6"/>
        <v>0.44029838461538462</v>
      </c>
      <c r="F56" s="48">
        <v>0.16926099999999999</v>
      </c>
      <c r="G56" s="48">
        <v>0.16926099999999999</v>
      </c>
      <c r="K56" s="48">
        <v>0.16926099999999999</v>
      </c>
      <c r="M56" s="48">
        <v>0.65525900000000004</v>
      </c>
      <c r="N56" s="48">
        <v>0.16926099999999999</v>
      </c>
      <c r="S56" s="48">
        <v>0.65525900000000004</v>
      </c>
      <c r="T56" s="48">
        <v>0.65525900000000004</v>
      </c>
      <c r="Y56" s="48">
        <v>0.16926099999999999</v>
      </c>
      <c r="AC56" s="48">
        <v>0.65525900000000004</v>
      </c>
      <c r="AV56" s="48">
        <v>0.16926099999999999</v>
      </c>
      <c r="AX56" s="48">
        <v>0.16926099999999999</v>
      </c>
      <c r="AY56" s="48">
        <v>0.65525900000000004</v>
      </c>
      <c r="BC56">
        <v>0.77</v>
      </c>
      <c r="BH56" s="48">
        <v>0.16926099999999999</v>
      </c>
      <c r="BL56" s="48">
        <v>0.65525900000000004</v>
      </c>
      <c r="BO56" s="48">
        <v>0.65525900000000004</v>
      </c>
      <c r="BQ56" s="48">
        <v>0.65525900000000004</v>
      </c>
      <c r="BR56" s="48">
        <v>0.65525900000000004</v>
      </c>
      <c r="BV56" s="48">
        <v>0.16926099999999999</v>
      </c>
      <c r="BW56" s="48">
        <v>0.65525900000000004</v>
      </c>
      <c r="BY56" s="48">
        <v>0.16926099999999999</v>
      </c>
      <c r="CG56" s="48">
        <v>0.65525900000000004</v>
      </c>
      <c r="CH56" s="48">
        <v>0.65525900000000004</v>
      </c>
      <c r="CM56">
        <v>0.67101900000000003</v>
      </c>
      <c r="CN56" s="48">
        <v>0.16926099999999999</v>
      </c>
      <c r="CO56" s="48">
        <v>0.16926099999999999</v>
      </c>
      <c r="CS56" s="48">
        <v>0.65525900000000004</v>
      </c>
      <c r="CY56" s="48">
        <v>0.65525900000000004</v>
      </c>
      <c r="CZ56" s="48">
        <v>0.16926099999999999</v>
      </c>
      <c r="DD56">
        <v>0.78464100000000003</v>
      </c>
      <c r="DE56" s="48">
        <v>0.65525900000000004</v>
      </c>
      <c r="DK56" s="48">
        <v>0.16926099999999999</v>
      </c>
      <c r="DR56" s="48">
        <v>0.16926099999999999</v>
      </c>
      <c r="DS56" s="48">
        <v>0.16926099999999999</v>
      </c>
      <c r="DY56" s="48">
        <v>0.65525900000000004</v>
      </c>
      <c r="EF56" s="48">
        <v>0.16926099999999999</v>
      </c>
      <c r="EG56" s="48">
        <v>0.65525900000000004</v>
      </c>
      <c r="EP56" s="48">
        <v>0.65525900000000004</v>
      </c>
      <c r="EQ56" s="48">
        <v>0.16926099999999999</v>
      </c>
      <c r="EU56" s="48">
        <v>0.65525900000000004</v>
      </c>
      <c r="EV56">
        <v>8.4020999999999998E-2</v>
      </c>
      <c r="EW56" s="48">
        <v>0.65525900000000004</v>
      </c>
      <c r="FF56" s="48">
        <v>0.16926099999999999</v>
      </c>
      <c r="FJ56">
        <v>0.61</v>
      </c>
      <c r="FK56">
        <v>0.16926099999999999</v>
      </c>
      <c r="FP56" s="48">
        <v>0.16926099999999999</v>
      </c>
      <c r="FT56" s="41">
        <v>1.0118750000000001</v>
      </c>
      <c r="FU56" s="48">
        <v>0.65525900000000004</v>
      </c>
      <c r="GC56" s="48">
        <v>0.16926099999999999</v>
      </c>
      <c r="GF56" s="48">
        <v>0.16926099999999999</v>
      </c>
      <c r="GH56" s="48">
        <v>0.65525900000000004</v>
      </c>
      <c r="GJ56" s="48">
        <v>0.65525900000000004</v>
      </c>
      <c r="GU56" s="43">
        <f t="shared" si="4"/>
        <v>0.16926099999999999</v>
      </c>
      <c r="GV56" s="43">
        <f t="shared" si="5"/>
        <v>0.65525909523809545</v>
      </c>
    </row>
    <row r="57" spans="1:204" ht="15" customHeight="1" x14ac:dyDescent="0.2">
      <c r="A57" s="3" t="s">
        <v>411</v>
      </c>
      <c r="B57" s="3" t="s">
        <v>412</v>
      </c>
      <c r="C57" s="3" t="s">
        <v>405</v>
      </c>
      <c r="D57" s="40">
        <f t="shared" si="6"/>
        <v>0.98967821153846125</v>
      </c>
      <c r="F57" s="48">
        <v>1.180839</v>
      </c>
      <c r="G57" s="48">
        <v>1.180839</v>
      </c>
      <c r="K57" s="48">
        <v>1.180839</v>
      </c>
      <c r="M57">
        <v>0.95865400000000001</v>
      </c>
      <c r="N57" s="48">
        <v>1.180839</v>
      </c>
      <c r="S57" s="48">
        <v>0.83806800000000004</v>
      </c>
      <c r="T57">
        <v>1.3350500000000001</v>
      </c>
      <c r="Y57" s="48">
        <v>1.180839</v>
      </c>
      <c r="AC57">
        <v>0.58743000000000001</v>
      </c>
      <c r="AV57">
        <v>0.61416800000000005</v>
      </c>
      <c r="AX57" s="48">
        <v>1.180839</v>
      </c>
      <c r="AY57">
        <v>0.65991500000000003</v>
      </c>
      <c r="BC57">
        <v>0.21</v>
      </c>
      <c r="BH57" s="48">
        <v>1.180839</v>
      </c>
      <c r="BL57" s="48">
        <v>0.83806800000000004</v>
      </c>
      <c r="BO57" s="48">
        <v>0.83806800000000004</v>
      </c>
      <c r="BQ57" s="48">
        <v>0.83806800000000004</v>
      </c>
      <c r="BR57">
        <v>1.0612820000000001</v>
      </c>
      <c r="BV57" s="48">
        <v>1.180839</v>
      </c>
      <c r="BW57" s="48">
        <v>0.83806800000000004</v>
      </c>
      <c r="BY57">
        <v>0.56204299999999996</v>
      </c>
      <c r="CG57">
        <v>1.393443</v>
      </c>
      <c r="CH57" s="48">
        <v>0.83806800000000004</v>
      </c>
      <c r="CM57" s="48">
        <v>0.83806800000000004</v>
      </c>
      <c r="CN57" s="48">
        <v>1.180839</v>
      </c>
      <c r="CO57">
        <v>2.0927950000000002</v>
      </c>
      <c r="CS57" s="48">
        <v>0.83806800000000004</v>
      </c>
      <c r="CY57" s="48">
        <v>0.83806800000000004</v>
      </c>
      <c r="CZ57" s="48">
        <v>1.180839</v>
      </c>
      <c r="DD57">
        <v>1.008527</v>
      </c>
      <c r="DE57" s="48">
        <v>0.83806800000000004</v>
      </c>
      <c r="DK57" s="48">
        <v>1.180839</v>
      </c>
      <c r="DR57" s="48">
        <v>1.180839</v>
      </c>
      <c r="DS57" s="48">
        <v>1.180839</v>
      </c>
      <c r="DY57" s="48">
        <v>0.83806800000000004</v>
      </c>
      <c r="EF57" s="48">
        <v>1.180839</v>
      </c>
      <c r="EG57" s="48">
        <v>0.83806800000000004</v>
      </c>
      <c r="EP57">
        <v>0.383299</v>
      </c>
      <c r="EQ57">
        <v>1.9788650000000001</v>
      </c>
      <c r="EU57" s="48">
        <v>0.83806800000000004</v>
      </c>
      <c r="EV57">
        <v>1.1216710000000001</v>
      </c>
      <c r="EW57" s="48">
        <v>0.83806800000000004</v>
      </c>
      <c r="FF57" s="48">
        <v>1.180839</v>
      </c>
      <c r="FJ57">
        <v>1.2275450000000001</v>
      </c>
      <c r="FK57">
        <v>0.65632199999999996</v>
      </c>
      <c r="FP57" s="48">
        <v>1.180839</v>
      </c>
      <c r="FT57" s="41">
        <v>0.11</v>
      </c>
      <c r="FU57" s="48">
        <v>0.83806800000000004</v>
      </c>
      <c r="GC57" s="48">
        <v>1.180839</v>
      </c>
      <c r="GF57" s="48">
        <v>1.180839</v>
      </c>
      <c r="GH57" s="48">
        <v>0.83806800000000004</v>
      </c>
      <c r="GJ57" s="48">
        <v>0.83806800000000004</v>
      </c>
      <c r="GU57" s="43">
        <f t="shared" si="4"/>
        <v>1.1808387499999999</v>
      </c>
      <c r="GV57" s="43">
        <f t="shared" si="5"/>
        <v>0.83806800000000004</v>
      </c>
    </row>
    <row r="58" spans="1:204" ht="15" customHeight="1" x14ac:dyDescent="0.2">
      <c r="A58" s="3" t="s">
        <v>503</v>
      </c>
      <c r="B58" s="3" t="s">
        <v>504</v>
      </c>
      <c r="C58" s="3" t="s">
        <v>455</v>
      </c>
      <c r="D58" s="53" t="s">
        <v>227</v>
      </c>
      <c r="AA58">
        <v>7.66</v>
      </c>
      <c r="FT58" s="41"/>
      <c r="GU58" s="43" t="str">
        <f t="shared" si="4"/>
        <v/>
      </c>
      <c r="GV58" s="43" t="str">
        <f t="shared" si="5"/>
        <v/>
      </c>
    </row>
    <row r="59" spans="1:204" ht="15" customHeight="1" x14ac:dyDescent="0.2">
      <c r="A59" s="3" t="s">
        <v>427</v>
      </c>
      <c r="B59" s="3" t="s">
        <v>428</v>
      </c>
      <c r="C59" s="3" t="s">
        <v>408</v>
      </c>
      <c r="D59" s="40">
        <f>AVERAGE(E59:GT59)</f>
        <v>0.14098899999999995</v>
      </c>
      <c r="M59" s="48">
        <v>0.140989</v>
      </c>
      <c r="S59" s="48">
        <v>0.140989</v>
      </c>
      <c r="T59" s="48">
        <v>0.140989</v>
      </c>
      <c r="AC59" s="48">
        <v>0.140989</v>
      </c>
      <c r="AY59" s="48">
        <v>0.140989</v>
      </c>
      <c r="BC59" s="48">
        <v>0.140989</v>
      </c>
      <c r="BL59" s="38">
        <v>3.3285000000000002E-2</v>
      </c>
      <c r="BO59" s="48">
        <v>0.140989</v>
      </c>
      <c r="BQ59" s="48">
        <v>0.140989</v>
      </c>
      <c r="BR59" s="48">
        <v>0.140989</v>
      </c>
      <c r="BW59" s="48">
        <v>0.140989</v>
      </c>
      <c r="CG59" s="48">
        <v>0.140989</v>
      </c>
      <c r="CH59" s="48">
        <v>0.140989</v>
      </c>
      <c r="CM59" s="48">
        <v>0.140989</v>
      </c>
      <c r="CS59" s="48">
        <v>0.140989</v>
      </c>
      <c r="CY59" s="38">
        <v>0.23798</v>
      </c>
      <c r="DD59" s="38">
        <v>3.6930999999999999E-2</v>
      </c>
      <c r="DE59" s="48">
        <v>0.140989</v>
      </c>
      <c r="DY59" s="48">
        <v>0.140989</v>
      </c>
      <c r="EG59" s="48">
        <v>0.140989</v>
      </c>
      <c r="EP59" s="48">
        <v>0.140989</v>
      </c>
      <c r="EU59" s="48">
        <v>0.140989</v>
      </c>
      <c r="EV59" s="48">
        <v>0.140989</v>
      </c>
      <c r="EW59" s="48">
        <v>0.140989</v>
      </c>
      <c r="FJ59" s="38">
        <v>0.25575999999999999</v>
      </c>
      <c r="FT59" s="50">
        <v>0.140989</v>
      </c>
      <c r="FU59" s="48">
        <v>0.140989</v>
      </c>
      <c r="GH59" s="48">
        <v>0.140989</v>
      </c>
      <c r="GJ59" s="48">
        <v>0.140989</v>
      </c>
      <c r="GU59" s="43" t="str">
        <f t="shared" si="4"/>
        <v/>
      </c>
      <c r="GV59" s="43">
        <f t="shared" si="5"/>
        <v>0.14098899999999995</v>
      </c>
    </row>
    <row r="60" spans="1:204" ht="15" customHeight="1" x14ac:dyDescent="0.2">
      <c r="A60" s="3" t="s">
        <v>425</v>
      </c>
      <c r="B60" s="3" t="s">
        <v>426</v>
      </c>
      <c r="C60" s="3" t="s">
        <v>405</v>
      </c>
      <c r="D60" s="40">
        <f>AVERAGE(E60:GT60)</f>
        <v>0.49641232692307669</v>
      </c>
      <c r="F60" s="48">
        <v>0.45261000000000001</v>
      </c>
      <c r="G60" s="48">
        <v>0.45261000000000001</v>
      </c>
      <c r="K60" s="48">
        <v>0.45261000000000001</v>
      </c>
      <c r="M60" s="38">
        <v>0.30130800000000002</v>
      </c>
      <c r="N60" s="48">
        <v>0.45261000000000001</v>
      </c>
      <c r="S60" s="48">
        <v>0.53115199999999996</v>
      </c>
      <c r="T60" s="48">
        <v>0.53115199999999996</v>
      </c>
      <c r="Y60" s="48">
        <v>0.45261000000000001</v>
      </c>
      <c r="AC60" s="48">
        <v>0.53115199999999996</v>
      </c>
      <c r="AV60" s="48">
        <v>0.45261000000000001</v>
      </c>
      <c r="AX60" s="38">
        <v>0.84545499999999996</v>
      </c>
      <c r="AY60" s="48">
        <v>0.53115199999999996</v>
      </c>
      <c r="BC60">
        <v>0.33</v>
      </c>
      <c r="BH60" s="48">
        <v>0.45261000000000001</v>
      </c>
      <c r="BL60" s="38">
        <v>0.28690900000000003</v>
      </c>
      <c r="BO60" s="48">
        <v>0.53115199999999996</v>
      </c>
      <c r="BQ60" s="38">
        <v>0.624475</v>
      </c>
      <c r="BR60" s="48">
        <v>0.53115199999999996</v>
      </c>
      <c r="BV60" s="48">
        <v>0.45261000000000001</v>
      </c>
      <c r="BW60" s="48">
        <v>0.53115199999999996</v>
      </c>
      <c r="BY60" s="48">
        <v>0.45261000000000001</v>
      </c>
      <c r="CG60" s="48">
        <v>0.53115199999999996</v>
      </c>
      <c r="CH60" s="48">
        <v>0.53115199999999996</v>
      </c>
      <c r="CM60" s="38">
        <v>2.1348020000000001</v>
      </c>
      <c r="CN60" s="48">
        <v>0.45261000000000001</v>
      </c>
      <c r="CO60" s="48">
        <v>0.45261000000000001</v>
      </c>
      <c r="CS60" s="48">
        <v>0.53115199999999996</v>
      </c>
      <c r="CY60" s="38">
        <v>0.22417200000000001</v>
      </c>
      <c r="CZ60" s="48">
        <v>0.45261000000000001</v>
      </c>
      <c r="DD60" s="38">
        <v>0.15504699999999999</v>
      </c>
      <c r="DE60" s="38">
        <v>0.62651900000000005</v>
      </c>
      <c r="DK60" s="48">
        <v>0.45261000000000001</v>
      </c>
      <c r="DR60" s="48">
        <v>0.45261000000000001</v>
      </c>
      <c r="DS60" s="48">
        <v>0.45261000000000001</v>
      </c>
      <c r="DY60" s="48">
        <v>0.53115199999999996</v>
      </c>
      <c r="EF60" s="48">
        <v>0.45261000000000001</v>
      </c>
      <c r="EG60" s="38">
        <v>0.66012899999999997</v>
      </c>
      <c r="EP60" s="38">
        <v>0.34736</v>
      </c>
      <c r="EQ60" s="38">
        <v>5.9764999999999999E-2</v>
      </c>
      <c r="EU60" s="48">
        <v>0.53115199999999996</v>
      </c>
      <c r="EV60" s="38">
        <v>0.51593900000000004</v>
      </c>
      <c r="EW60" s="48">
        <v>0.53115199999999996</v>
      </c>
      <c r="FF60" s="48">
        <v>0.45261000000000001</v>
      </c>
      <c r="FJ60" s="38">
        <v>0.24831900000000001</v>
      </c>
      <c r="FK60" s="48">
        <v>0.45261000000000001</v>
      </c>
      <c r="FP60" s="48">
        <v>0.45261000000000001</v>
      </c>
      <c r="FT60" s="40">
        <v>0.45</v>
      </c>
      <c r="FU60" s="48">
        <v>0.53115199999999996</v>
      </c>
      <c r="GC60" s="48">
        <v>0.45261000000000001</v>
      </c>
      <c r="GF60" s="48">
        <v>0.45261000000000001</v>
      </c>
      <c r="GH60" s="48">
        <v>0.53115199999999996</v>
      </c>
      <c r="GJ60" s="48">
        <v>0.53115199999999996</v>
      </c>
      <c r="GU60" s="43">
        <f t="shared" si="4"/>
        <v>0.45260999999999996</v>
      </c>
      <c r="GV60" s="43">
        <f t="shared" si="5"/>
        <v>0.53115214285714296</v>
      </c>
    </row>
    <row r="61" spans="1:204" ht="15" customHeight="1" x14ac:dyDescent="0.2">
      <c r="A61" s="3" t="s">
        <v>591</v>
      </c>
      <c r="B61" s="3" t="s">
        <v>592</v>
      </c>
      <c r="C61" s="3" t="s">
        <v>588</v>
      </c>
      <c r="D61" s="52" t="s">
        <v>288</v>
      </c>
      <c r="CJ61">
        <v>2.6</v>
      </c>
      <c r="FT61" s="40"/>
      <c r="GU61" s="45" t="str">
        <f t="shared" si="4"/>
        <v/>
      </c>
      <c r="GV61" s="45" t="str">
        <f t="shared" si="5"/>
        <v/>
      </c>
    </row>
    <row r="62" spans="1:204" ht="15" customHeight="1" x14ac:dyDescent="0.2">
      <c r="A62" s="3" t="s">
        <v>586</v>
      </c>
      <c r="B62" s="3" t="s">
        <v>587</v>
      </c>
      <c r="C62" s="3" t="s">
        <v>588</v>
      </c>
      <c r="D62" s="40">
        <f t="shared" ref="D62:D70" si="7">AVERAGE(E62:GT62)</f>
        <v>4.9777069130434768</v>
      </c>
      <c r="F62" s="48">
        <v>4.9777069999999997</v>
      </c>
      <c r="G62" s="48">
        <v>4.9777069999999997</v>
      </c>
      <c r="K62" s="48">
        <v>4.9777069999999997</v>
      </c>
      <c r="N62" s="48">
        <v>4.9777069999999997</v>
      </c>
      <c r="Y62" s="48">
        <v>4.9777069999999997</v>
      </c>
      <c r="AV62">
        <v>5.3190879999999998</v>
      </c>
      <c r="AX62" s="38">
        <v>2.6315789999999999</v>
      </c>
      <c r="BH62" s="48">
        <v>4.9777069999999997</v>
      </c>
      <c r="BV62" s="48">
        <v>4.9777069999999997</v>
      </c>
      <c r="BY62">
        <v>0.64945799999999998</v>
      </c>
      <c r="CN62" s="48">
        <v>4.9777069999999997</v>
      </c>
      <c r="CO62">
        <v>16.75</v>
      </c>
      <c r="CZ62" s="48">
        <v>4.9777069999999997</v>
      </c>
      <c r="DK62" s="48">
        <v>4.9777069999999997</v>
      </c>
      <c r="DR62" s="48">
        <v>4.9777069999999997</v>
      </c>
      <c r="DS62" s="48">
        <v>4.9777069999999997</v>
      </c>
      <c r="EF62" s="48">
        <v>4.9777069999999997</v>
      </c>
      <c r="EQ62">
        <v>2.3661150000000002</v>
      </c>
      <c r="FF62" s="48">
        <v>4.9777069999999997</v>
      </c>
      <c r="FK62" s="48">
        <v>4.9777069999999997</v>
      </c>
      <c r="FP62">
        <v>2.15</v>
      </c>
      <c r="FT62" s="40"/>
      <c r="GC62" s="48">
        <v>4.9777069999999997</v>
      </c>
      <c r="GF62" s="48">
        <v>4.9777069999999997</v>
      </c>
      <c r="GU62" s="44">
        <f t="shared" si="4"/>
        <v>4.9777067499999994</v>
      </c>
      <c r="GV62" s="44" t="str">
        <f t="shared" si="5"/>
        <v/>
      </c>
    </row>
    <row r="63" spans="1:204" ht="15" customHeight="1" x14ac:dyDescent="0.2">
      <c r="A63" s="3" t="s">
        <v>486</v>
      </c>
      <c r="B63" s="3" t="s">
        <v>487</v>
      </c>
      <c r="C63" s="3" t="s">
        <v>438</v>
      </c>
      <c r="D63" s="40">
        <f t="shared" si="7"/>
        <v>4.9743263653846128</v>
      </c>
      <c r="F63" s="48">
        <v>4.8981500000000002</v>
      </c>
      <c r="G63" s="48">
        <v>4.8981500000000002</v>
      </c>
      <c r="K63" s="48">
        <v>4.8981500000000002</v>
      </c>
      <c r="M63" s="48">
        <v>5.0347419999999996</v>
      </c>
      <c r="N63" s="48">
        <v>4.8981500000000002</v>
      </c>
      <c r="S63" s="48">
        <v>5.0347419999999996</v>
      </c>
      <c r="T63" s="48">
        <v>5.0347419999999996</v>
      </c>
      <c r="Y63" s="48">
        <v>4.8981500000000002</v>
      </c>
      <c r="AC63" s="48">
        <v>5.0347419999999996</v>
      </c>
      <c r="AV63" s="48">
        <v>4.8981500000000002</v>
      </c>
      <c r="AX63" s="38">
        <v>5.773333</v>
      </c>
      <c r="AY63" s="48">
        <v>5.0347419999999996</v>
      </c>
      <c r="BC63">
        <v>1.85</v>
      </c>
      <c r="BH63" s="48">
        <v>4.8981500000000002</v>
      </c>
      <c r="BL63" s="38">
        <v>7.4999999999999997E-2</v>
      </c>
      <c r="BO63" s="48">
        <v>5.0347419999999996</v>
      </c>
      <c r="BQ63" s="38">
        <v>2.861157</v>
      </c>
      <c r="BR63" s="48">
        <v>5.0347419999999996</v>
      </c>
      <c r="BV63" s="48">
        <v>4.8981500000000002</v>
      </c>
      <c r="BW63" s="48">
        <v>5.0347419999999996</v>
      </c>
      <c r="BY63" s="48">
        <v>4.8981500000000002</v>
      </c>
      <c r="CG63" s="48">
        <v>5.0347419999999996</v>
      </c>
      <c r="CH63" s="48">
        <v>5.0347419999999996</v>
      </c>
      <c r="CM63" s="38">
        <v>20.440909000000001</v>
      </c>
      <c r="CN63" s="48">
        <v>4.8981500000000002</v>
      </c>
      <c r="CO63" s="48">
        <v>4.8981500000000002</v>
      </c>
      <c r="CS63" s="48">
        <v>5.0347419999999996</v>
      </c>
      <c r="CY63" s="38">
        <v>3.5225</v>
      </c>
      <c r="CZ63" s="48">
        <v>4.8981500000000002</v>
      </c>
      <c r="DD63" s="38">
        <v>1.415333</v>
      </c>
      <c r="DE63" s="48">
        <v>5.0347419999999996</v>
      </c>
      <c r="DK63" s="48">
        <v>4.8981500000000002</v>
      </c>
      <c r="DR63" s="48">
        <v>4.8981500000000002</v>
      </c>
      <c r="DS63" s="48">
        <v>4.8981500000000002</v>
      </c>
      <c r="DY63" s="38">
        <v>12.165461000000001</v>
      </c>
      <c r="EF63" s="48">
        <v>4.8981500000000002</v>
      </c>
      <c r="EG63" s="38">
        <v>1.9141589999999999</v>
      </c>
      <c r="EP63" s="38">
        <v>3.9361999999999999</v>
      </c>
      <c r="EQ63" s="38">
        <v>6.4372220000000002</v>
      </c>
      <c r="EU63" s="48">
        <v>5.0347419999999996</v>
      </c>
      <c r="EV63" s="38">
        <v>1.384126</v>
      </c>
      <c r="EW63" s="48">
        <v>5.0347419999999996</v>
      </c>
      <c r="FF63" s="48">
        <v>4.8981500000000002</v>
      </c>
      <c r="FJ63" s="38">
        <v>6.1420630000000003</v>
      </c>
      <c r="FK63" s="48">
        <v>4.8981500000000002</v>
      </c>
      <c r="FP63" s="38">
        <v>2.4838939999999998</v>
      </c>
      <c r="FT63" s="40">
        <v>4.71</v>
      </c>
      <c r="FU63" s="48">
        <v>5.0347419999999996</v>
      </c>
      <c r="GC63" s="48">
        <v>4.8981500000000002</v>
      </c>
      <c r="GF63" s="48">
        <v>4.8981500000000002</v>
      </c>
      <c r="GH63" s="48">
        <v>5.0347419999999996</v>
      </c>
      <c r="GJ63" s="48">
        <v>5.0347419999999996</v>
      </c>
      <c r="GU63" s="43">
        <f t="shared" si="4"/>
        <v>4.8981498750000005</v>
      </c>
      <c r="GV63" s="43">
        <f t="shared" si="5"/>
        <v>5.0347421904761891</v>
      </c>
    </row>
    <row r="64" spans="1:204" ht="15" customHeight="1" x14ac:dyDescent="0.2">
      <c r="A64" s="3" t="s">
        <v>513</v>
      </c>
      <c r="B64" s="3" t="s">
        <v>514</v>
      </c>
      <c r="C64" s="3" t="s">
        <v>455</v>
      </c>
      <c r="D64" s="40">
        <f t="shared" si="7"/>
        <v>11.68509408695652</v>
      </c>
      <c r="F64" s="48">
        <v>11.685093999999999</v>
      </c>
      <c r="G64" s="48">
        <v>11.685093999999999</v>
      </c>
      <c r="K64" s="48">
        <v>11.685093999999999</v>
      </c>
      <c r="N64" s="48">
        <v>11.685093999999999</v>
      </c>
      <c r="Y64" s="48">
        <v>11.685093999999999</v>
      </c>
      <c r="AV64" s="48">
        <v>11.685093999999999</v>
      </c>
      <c r="AX64">
        <v>40.725619999999999</v>
      </c>
      <c r="BH64" s="48">
        <v>11.685093999999999</v>
      </c>
      <c r="BV64" s="48">
        <v>11.685093999999999</v>
      </c>
      <c r="BY64">
        <v>5.7826120000000003</v>
      </c>
      <c r="CN64" s="48">
        <v>11.685093999999999</v>
      </c>
      <c r="CO64" s="48">
        <v>11.685093999999999</v>
      </c>
      <c r="CZ64" s="48">
        <v>11.685093999999999</v>
      </c>
      <c r="DK64">
        <v>0.245283</v>
      </c>
      <c r="DR64" s="48">
        <v>11.685093999999999</v>
      </c>
      <c r="DS64" s="48">
        <v>11.685093999999999</v>
      </c>
      <c r="EF64" s="48">
        <v>11.685093999999999</v>
      </c>
      <c r="EQ64">
        <v>6.8378819999999996</v>
      </c>
      <c r="FF64" s="48">
        <v>11.685093999999999</v>
      </c>
      <c r="FK64" s="48">
        <v>11.685093999999999</v>
      </c>
      <c r="FP64">
        <v>4.8340750000000003</v>
      </c>
      <c r="FT64" s="40"/>
      <c r="GC64" s="48">
        <v>11.685093999999999</v>
      </c>
      <c r="GF64" s="48">
        <v>11.685093999999999</v>
      </c>
      <c r="GU64" s="43">
        <f t="shared" si="4"/>
        <v>11.685094249999999</v>
      </c>
      <c r="GV64" s="43" t="str">
        <f t="shared" si="5"/>
        <v/>
      </c>
    </row>
    <row r="65" spans="1:204" ht="15" customHeight="1" x14ac:dyDescent="0.2">
      <c r="A65" s="3" t="s">
        <v>475</v>
      </c>
      <c r="B65" s="14" t="s">
        <v>476</v>
      </c>
      <c r="C65" s="3" t="s">
        <v>438</v>
      </c>
      <c r="D65" s="40">
        <f t="shared" si="7"/>
        <v>2.6898638461538473</v>
      </c>
      <c r="F65" s="48">
        <v>5.1823430000000004</v>
      </c>
      <c r="G65" s="48">
        <v>5.1823430000000004</v>
      </c>
      <c r="K65" s="48">
        <v>5.1823430000000004</v>
      </c>
      <c r="M65" s="48">
        <v>0.71306999999999998</v>
      </c>
      <c r="N65" s="48">
        <v>5.1823430000000004</v>
      </c>
      <c r="S65" s="48">
        <v>0.71306999999999998</v>
      </c>
      <c r="T65" s="48">
        <v>0.71306999999999998</v>
      </c>
      <c r="Y65" s="48">
        <v>5.1823430000000004</v>
      </c>
      <c r="AC65" s="48">
        <v>0.71306999999999998</v>
      </c>
      <c r="AV65" s="48">
        <v>5.1823430000000004</v>
      </c>
      <c r="AX65" s="38">
        <v>5.6666670000000003</v>
      </c>
      <c r="AY65" s="48">
        <v>0.71306999999999998</v>
      </c>
      <c r="BC65">
        <v>0.77</v>
      </c>
      <c r="BH65" s="48">
        <v>5.1823430000000004</v>
      </c>
      <c r="BL65" s="48">
        <v>0.71306999999999998</v>
      </c>
      <c r="BO65" s="48">
        <v>0.71306999999999998</v>
      </c>
      <c r="BQ65" s="48">
        <v>0.71306999999999998</v>
      </c>
      <c r="BR65" s="48">
        <v>0.71306999999999998</v>
      </c>
      <c r="BV65" s="48">
        <v>5.1823430000000004</v>
      </c>
      <c r="BW65" s="48">
        <v>0.71306999999999998</v>
      </c>
      <c r="BY65" s="48">
        <v>5.1823430000000004</v>
      </c>
      <c r="CG65" s="48">
        <v>0.71306999999999998</v>
      </c>
      <c r="CH65" s="48">
        <v>0.71306999999999998</v>
      </c>
      <c r="CM65" s="48">
        <v>0.71306999999999998</v>
      </c>
      <c r="CN65" s="48">
        <v>5.1823430000000004</v>
      </c>
      <c r="CO65" s="48">
        <v>5.1823430000000004</v>
      </c>
      <c r="CS65" s="48">
        <v>0.71306999999999998</v>
      </c>
      <c r="CY65" s="48">
        <v>0.71306999999999998</v>
      </c>
      <c r="CZ65" s="48">
        <v>5.1823430000000004</v>
      </c>
      <c r="DD65" s="48">
        <v>0.71306999999999998</v>
      </c>
      <c r="DE65" s="48">
        <v>0.71306999999999998</v>
      </c>
      <c r="DK65" s="48">
        <v>5.1823430000000004</v>
      </c>
      <c r="DR65" s="48">
        <v>5.1823430000000004</v>
      </c>
      <c r="DS65" s="48">
        <v>5.1823430000000004</v>
      </c>
      <c r="DY65" s="38">
        <v>1.0474030000000001</v>
      </c>
      <c r="EF65" s="48">
        <v>5.1823430000000004</v>
      </c>
      <c r="EG65" s="48">
        <v>0.71306999999999998</v>
      </c>
      <c r="EP65" s="48">
        <v>0.71306999999999998</v>
      </c>
      <c r="EQ65" s="38">
        <v>4.6980199999999996</v>
      </c>
      <c r="EU65" s="48">
        <v>0.71306999999999998</v>
      </c>
      <c r="EV65" s="38">
        <v>0.43987700000000002</v>
      </c>
      <c r="EW65" s="48">
        <v>0.71306999999999998</v>
      </c>
      <c r="FF65" s="48">
        <v>5.1823430000000004</v>
      </c>
      <c r="FJ65" s="48">
        <v>0.71306999999999998</v>
      </c>
      <c r="FK65" s="48">
        <v>5.1823430000000004</v>
      </c>
      <c r="FP65" s="48">
        <v>5.1823430000000004</v>
      </c>
      <c r="FT65" s="40">
        <v>0.59499999999999997</v>
      </c>
      <c r="FU65" s="48">
        <v>0.71306999999999998</v>
      </c>
      <c r="GC65" s="48">
        <v>5.1823430000000004</v>
      </c>
      <c r="GF65" s="48">
        <v>5.1823430000000004</v>
      </c>
      <c r="GH65" s="48">
        <v>0.71306999999999998</v>
      </c>
      <c r="GJ65" s="48">
        <v>0.71306999999999998</v>
      </c>
      <c r="GU65" s="43">
        <f t="shared" si="4"/>
        <v>5.1823431250000001</v>
      </c>
      <c r="GV65" s="43">
        <f t="shared" si="5"/>
        <v>0.71306999999999998</v>
      </c>
    </row>
    <row r="66" spans="1:204" ht="15" customHeight="1" x14ac:dyDescent="0.2">
      <c r="A66" s="3" t="s">
        <v>549</v>
      </c>
      <c r="B66" s="14" t="s">
        <v>550</v>
      </c>
      <c r="C66" s="3" t="s">
        <v>455</v>
      </c>
      <c r="D66" s="40">
        <f t="shared" si="7"/>
        <v>1.4099999999999993</v>
      </c>
      <c r="M66" s="48">
        <v>1.41</v>
      </c>
      <c r="S66" s="48">
        <v>1.41</v>
      </c>
      <c r="T66" s="48">
        <v>1.41</v>
      </c>
      <c r="AC66" s="48">
        <v>1.41</v>
      </c>
      <c r="AY66" s="48">
        <v>1.41</v>
      </c>
      <c r="BC66">
        <v>1.41</v>
      </c>
      <c r="BL66" s="48">
        <v>1.41</v>
      </c>
      <c r="BO66" s="48">
        <v>1.41</v>
      </c>
      <c r="BQ66" s="48">
        <v>1.41</v>
      </c>
      <c r="BR66" s="48">
        <v>1.41</v>
      </c>
      <c r="BW66" s="48">
        <v>1.41</v>
      </c>
      <c r="CG66" s="48">
        <v>1.41</v>
      </c>
      <c r="CH66" s="48">
        <v>1.41</v>
      </c>
      <c r="CM66" s="48">
        <v>1.41</v>
      </c>
      <c r="CS66" s="48">
        <v>1.41</v>
      </c>
      <c r="CY66" s="48">
        <v>1.41</v>
      </c>
      <c r="DD66" s="48">
        <v>1.41</v>
      </c>
      <c r="DE66" s="48">
        <v>1.41</v>
      </c>
      <c r="DY66" s="48">
        <v>1.41</v>
      </c>
      <c r="EG66" s="48">
        <v>1.41</v>
      </c>
      <c r="EP66" s="48">
        <v>1.41</v>
      </c>
      <c r="EU66" s="48">
        <v>1.41</v>
      </c>
      <c r="EV66" s="48">
        <v>1.41</v>
      </c>
      <c r="EW66" s="48">
        <v>1.41</v>
      </c>
      <c r="FJ66" s="48">
        <v>1.41</v>
      </c>
      <c r="FT66" s="49">
        <v>1.41</v>
      </c>
      <c r="FU66" s="48">
        <v>1.41</v>
      </c>
      <c r="GH66" s="48">
        <v>1.41</v>
      </c>
      <c r="GJ66" s="48">
        <v>1.41</v>
      </c>
      <c r="GU66" s="43" t="str">
        <f t="shared" si="4"/>
        <v/>
      </c>
      <c r="GV66" s="43">
        <f t="shared" si="5"/>
        <v>1.41</v>
      </c>
    </row>
    <row r="67" spans="1:204" ht="15" customHeight="1" x14ac:dyDescent="0.2">
      <c r="A67" s="3" t="s">
        <v>583</v>
      </c>
      <c r="B67" s="14" t="s">
        <v>584</v>
      </c>
      <c r="C67" s="3" t="s">
        <v>574</v>
      </c>
      <c r="D67" s="40">
        <f t="shared" si="7"/>
        <v>1.0775140000000005</v>
      </c>
      <c r="M67">
        <v>0.93998300000000001</v>
      </c>
      <c r="S67" s="48">
        <v>1.0775140000000001</v>
      </c>
      <c r="T67" s="48">
        <v>1.0775140000000001</v>
      </c>
      <c r="AC67" s="48">
        <v>1.0775140000000001</v>
      </c>
      <c r="AY67">
        <v>0.90517899999999996</v>
      </c>
      <c r="BC67">
        <v>3</v>
      </c>
      <c r="BL67">
        <v>1.5510000000000001E-3</v>
      </c>
      <c r="BO67" s="48">
        <v>1.0775140000000001</v>
      </c>
      <c r="BQ67" s="48">
        <v>1.0775140000000001</v>
      </c>
      <c r="BR67" s="48">
        <v>1.0775140000000001</v>
      </c>
      <c r="BW67" s="48">
        <v>1.0775140000000001</v>
      </c>
      <c r="CG67" s="48">
        <v>1.0775140000000001</v>
      </c>
      <c r="CH67" s="48">
        <v>1.0775140000000001</v>
      </c>
      <c r="CM67" s="48">
        <v>1.0775140000000001</v>
      </c>
      <c r="CS67" s="48">
        <v>1.0775140000000001</v>
      </c>
      <c r="CY67" s="48">
        <v>1.0775140000000001</v>
      </c>
      <c r="DD67" s="48">
        <v>1.0775140000000001</v>
      </c>
      <c r="DE67" s="48">
        <v>1.0775140000000001</v>
      </c>
      <c r="DY67" s="48">
        <v>1.0775140000000001</v>
      </c>
      <c r="EG67" s="48">
        <v>1.0775140000000001</v>
      </c>
      <c r="EP67" s="48">
        <v>1.0775140000000001</v>
      </c>
      <c r="EU67" s="48">
        <v>1.0775140000000001</v>
      </c>
      <c r="EV67" s="48">
        <v>1.0775140000000001</v>
      </c>
      <c r="EW67" s="48">
        <v>1.0775140000000001</v>
      </c>
      <c r="FJ67">
        <v>0.54085700000000003</v>
      </c>
      <c r="FT67" s="49">
        <v>1.0775140000000001</v>
      </c>
      <c r="FU67" s="48">
        <v>1.0775140000000001</v>
      </c>
      <c r="GH67" s="48">
        <v>1.0775140000000001</v>
      </c>
      <c r="GJ67" s="48">
        <v>1.0775140000000001</v>
      </c>
      <c r="GU67" s="43" t="str">
        <f t="shared" si="4"/>
        <v/>
      </c>
      <c r="GV67" s="43">
        <f t="shared" si="5"/>
        <v>1.0775140000000003</v>
      </c>
    </row>
    <row r="68" spans="1:204" ht="15" customHeight="1" x14ac:dyDescent="0.2">
      <c r="A68" s="3" t="s">
        <v>623</v>
      </c>
      <c r="B68" s="14" t="s">
        <v>624</v>
      </c>
      <c r="C68" s="3" t="s">
        <v>567</v>
      </c>
      <c r="D68" s="40">
        <f t="shared" si="7"/>
        <v>0.65024098076923031</v>
      </c>
      <c r="F68" s="48">
        <v>0.47368399999999999</v>
      </c>
      <c r="G68" s="48">
        <v>0.47368399999999999</v>
      </c>
      <c r="K68" s="48">
        <v>0.47368399999999999</v>
      </c>
      <c r="M68" s="48">
        <v>0.790269</v>
      </c>
      <c r="N68" s="48">
        <v>0.47368399999999999</v>
      </c>
      <c r="S68" s="48">
        <v>0.790269</v>
      </c>
      <c r="T68" s="48">
        <v>0.790269</v>
      </c>
      <c r="Y68" s="48">
        <v>0.47368399999999999</v>
      </c>
      <c r="AC68" s="48">
        <v>0.790269</v>
      </c>
      <c r="AV68" s="48">
        <v>0.47368399999999999</v>
      </c>
      <c r="AX68">
        <v>0.47368399999999999</v>
      </c>
      <c r="AY68" s="48">
        <v>0.790269</v>
      </c>
      <c r="BC68">
        <v>0.77</v>
      </c>
      <c r="BH68" s="48">
        <v>0.47368399999999999</v>
      </c>
      <c r="BL68">
        <v>1.7</v>
      </c>
      <c r="BO68" s="48">
        <v>0.790269</v>
      </c>
      <c r="BQ68" s="48">
        <v>0.790269</v>
      </c>
      <c r="BR68" s="48">
        <v>0.790269</v>
      </c>
      <c r="BV68" s="48">
        <v>0.47368399999999999</v>
      </c>
      <c r="BW68" s="48">
        <v>0.790269</v>
      </c>
      <c r="BY68" s="48">
        <v>0.47368399999999999</v>
      </c>
      <c r="CG68" s="48">
        <v>0.790269</v>
      </c>
      <c r="CH68" s="48">
        <v>0.790269</v>
      </c>
      <c r="CM68" s="48">
        <v>0.790269</v>
      </c>
      <c r="CN68" s="48">
        <v>0.47368399999999999</v>
      </c>
      <c r="CO68" s="48">
        <v>0.47368399999999999</v>
      </c>
      <c r="CS68" s="48">
        <v>0.790269</v>
      </c>
      <c r="CY68" s="48">
        <v>0.790269</v>
      </c>
      <c r="CZ68" s="48">
        <v>0.47368399999999999</v>
      </c>
      <c r="DD68" s="48">
        <v>0.790269</v>
      </c>
      <c r="DE68" s="48">
        <v>0.790269</v>
      </c>
      <c r="DK68" s="48">
        <v>0.47368399999999999</v>
      </c>
      <c r="DR68" s="48">
        <v>0.47368399999999999</v>
      </c>
      <c r="DS68" s="48">
        <v>0.47368399999999999</v>
      </c>
      <c r="DY68" s="48">
        <v>0.790269</v>
      </c>
      <c r="EF68" s="48">
        <v>0.47368399999999999</v>
      </c>
      <c r="EG68" s="48">
        <v>0.790269</v>
      </c>
      <c r="EP68" s="48">
        <v>0.790269</v>
      </c>
      <c r="EQ68" s="48">
        <v>0.47368399999999999</v>
      </c>
      <c r="EU68" s="48">
        <v>0.790269</v>
      </c>
      <c r="EV68" s="48">
        <v>0.790269</v>
      </c>
      <c r="EW68" s="48">
        <v>0.790269</v>
      </c>
      <c r="FF68" s="48">
        <v>0.47368399999999999</v>
      </c>
      <c r="FJ68">
        <v>9.6074000000000007E-2</v>
      </c>
      <c r="FK68" s="48">
        <v>0.47368399999999999</v>
      </c>
      <c r="FP68" s="48">
        <v>0.47368399999999999</v>
      </c>
      <c r="FT68" s="40">
        <v>0.59499999999999997</v>
      </c>
      <c r="FU68" s="48">
        <v>0.790269</v>
      </c>
      <c r="GC68" s="48">
        <v>0.47368399999999999</v>
      </c>
      <c r="GF68" s="48">
        <v>0.47368399999999999</v>
      </c>
      <c r="GH68" s="48">
        <v>0.790269</v>
      </c>
      <c r="GJ68" s="48">
        <v>0.790269</v>
      </c>
      <c r="GU68" s="43">
        <f t="shared" si="4"/>
        <v>0.47368399999999999</v>
      </c>
      <c r="GV68" s="43">
        <f t="shared" si="5"/>
        <v>0.79026890476190492</v>
      </c>
    </row>
    <row r="69" spans="1:204" ht="15" customHeight="1" x14ac:dyDescent="0.2">
      <c r="A69" s="3" t="s">
        <v>607</v>
      </c>
      <c r="B69" s="14" t="s">
        <v>608</v>
      </c>
      <c r="C69" s="3" t="s">
        <v>602</v>
      </c>
      <c r="D69" s="40">
        <f t="shared" si="7"/>
        <v>2.1376819999999985</v>
      </c>
      <c r="M69" s="48">
        <v>2.1376819999999999</v>
      </c>
      <c r="S69" s="48">
        <v>2.1376819999999999</v>
      </c>
      <c r="T69" s="48">
        <v>2.1376819999999999</v>
      </c>
      <c r="AC69" s="48">
        <v>2.1376819999999999</v>
      </c>
      <c r="AY69" s="48">
        <v>2.1376819999999999</v>
      </c>
      <c r="BC69" s="48">
        <v>2.1376819999999999</v>
      </c>
      <c r="BL69" s="48">
        <v>2.1376819999999999</v>
      </c>
      <c r="BO69" s="48">
        <v>2.1376819999999999</v>
      </c>
      <c r="BQ69">
        <v>2.1376819999999999</v>
      </c>
      <c r="BR69" s="48">
        <v>2.1376819999999999</v>
      </c>
      <c r="BW69" s="48">
        <v>2.1376819999999999</v>
      </c>
      <c r="CG69" s="48">
        <v>2.1376819999999999</v>
      </c>
      <c r="CH69" s="48">
        <v>2.1376819999999999</v>
      </c>
      <c r="CM69" s="48">
        <v>2.1376819999999999</v>
      </c>
      <c r="CS69" s="48">
        <v>2.1376819999999999</v>
      </c>
      <c r="CY69" s="48">
        <v>2.1376819999999999</v>
      </c>
      <c r="DD69" s="48">
        <v>2.1376819999999999</v>
      </c>
      <c r="DE69" s="48">
        <v>2.1376819999999999</v>
      </c>
      <c r="DY69" s="48">
        <v>2.1376819999999999</v>
      </c>
      <c r="EG69" s="48">
        <v>2.1376819999999999</v>
      </c>
      <c r="EP69" s="48">
        <v>2.1376819999999999</v>
      </c>
      <c r="EU69" s="48">
        <v>2.1376819999999999</v>
      </c>
      <c r="EV69" s="48">
        <v>2.1376819999999999</v>
      </c>
      <c r="EW69" s="48">
        <v>2.1376819999999999</v>
      </c>
      <c r="FJ69" s="48">
        <v>2.1376819999999999</v>
      </c>
      <c r="FT69" s="49">
        <v>2.1376819999999999</v>
      </c>
      <c r="FU69" s="48">
        <v>2.1376819999999999</v>
      </c>
      <c r="GH69" s="48">
        <v>2.1376819999999999</v>
      </c>
      <c r="GJ69" s="48">
        <v>2.1376819999999999</v>
      </c>
      <c r="GU69" s="43" t="str">
        <f t="shared" si="4"/>
        <v/>
      </c>
      <c r="GV69" s="43">
        <f t="shared" si="5"/>
        <v>2.137681999999999</v>
      </c>
    </row>
    <row r="70" spans="1:204" ht="15" customHeight="1" x14ac:dyDescent="0.2">
      <c r="A70" s="3" t="s">
        <v>492</v>
      </c>
      <c r="B70" s="14" t="s">
        <v>493</v>
      </c>
      <c r="C70" s="3" t="s">
        <v>438</v>
      </c>
      <c r="D70" s="40">
        <f t="shared" si="7"/>
        <v>1.1915420344827579</v>
      </c>
      <c r="M70" s="48">
        <v>1.1915420000000001</v>
      </c>
      <c r="S70" s="48">
        <v>1.1915420000000001</v>
      </c>
      <c r="T70" s="48">
        <v>1.1915420000000001</v>
      </c>
      <c r="AC70" s="48">
        <v>1.1915420000000001</v>
      </c>
      <c r="AY70" s="48">
        <v>1.1915420000000001</v>
      </c>
      <c r="BC70">
        <v>1.85</v>
      </c>
      <c r="BL70">
        <v>7.4626999999999999E-2</v>
      </c>
      <c r="BO70" s="48">
        <v>1.1915420000000001</v>
      </c>
      <c r="BQ70" s="48">
        <v>1.1915420000000001</v>
      </c>
      <c r="BR70" s="48">
        <v>1.1915420000000001</v>
      </c>
      <c r="BW70" s="48">
        <v>1.1915420000000001</v>
      </c>
      <c r="CG70" s="48">
        <v>1.1915420000000001</v>
      </c>
      <c r="CH70" s="48">
        <v>1.1915420000000001</v>
      </c>
      <c r="CM70" s="48">
        <v>1.1915420000000001</v>
      </c>
      <c r="CS70" s="48">
        <v>1.1915420000000001</v>
      </c>
      <c r="CY70" s="48">
        <v>1.1915420000000001</v>
      </c>
      <c r="DD70" s="48">
        <v>1.1915420000000001</v>
      </c>
      <c r="DE70" s="48">
        <v>1.1915420000000001</v>
      </c>
      <c r="DY70" s="48">
        <v>1.1915420000000001</v>
      </c>
      <c r="EG70" s="48">
        <v>1.1915420000000001</v>
      </c>
      <c r="EP70" s="48">
        <v>1.1915420000000001</v>
      </c>
      <c r="EU70" s="48">
        <v>1.1915420000000001</v>
      </c>
      <c r="EV70" s="48">
        <v>1.1915420000000001</v>
      </c>
      <c r="EW70" s="48">
        <v>1.1915420000000001</v>
      </c>
      <c r="FJ70" s="48">
        <v>1.1915420000000001</v>
      </c>
      <c r="FT70" s="40">
        <v>1.65</v>
      </c>
      <c r="FU70" s="48">
        <v>1.1915420000000001</v>
      </c>
      <c r="GH70" s="48">
        <v>1.1915420000000001</v>
      </c>
      <c r="GJ70" s="48">
        <v>1.1915420000000001</v>
      </c>
      <c r="GU70" s="43" t="str">
        <f t="shared" ref="GU70:GU101" si="8">IFERROR(AVERAGE(EQ70,FP70,CO70,BY70,AX70,DK70,FK70,AV70),"")</f>
        <v/>
      </c>
      <c r="GV70" s="43">
        <f t="shared" ref="GV70:GV101" si="9">IFERROR(AVERAGE(BQ70,FT70,EG70,BC70,BL70,CY70,DD70,CM70,GJ70,DY70,T70,DE70,BW70,BR70,EP70,AY70,FJ70,M70,CG70,EV70,AC70),"")</f>
        <v>1.1915420476190473</v>
      </c>
    </row>
    <row r="71" spans="1:204" ht="15" customHeight="1" x14ac:dyDescent="0.2">
      <c r="A71" s="3" t="s">
        <v>505</v>
      </c>
      <c r="B71" s="14" t="s">
        <v>506</v>
      </c>
      <c r="C71" s="3" t="s">
        <v>455</v>
      </c>
      <c r="D71" s="4" t="s">
        <v>227</v>
      </c>
      <c r="AA71">
        <f>0.00017636*48000</f>
        <v>8.4652799999999999</v>
      </c>
      <c r="FT71" s="40"/>
      <c r="GU71" s="43" t="str">
        <f t="shared" si="8"/>
        <v/>
      </c>
      <c r="GV71" s="43" t="str">
        <f t="shared" si="9"/>
        <v/>
      </c>
    </row>
    <row r="72" spans="1:204" ht="15" customHeight="1" x14ac:dyDescent="0.2">
      <c r="A72" s="3" t="s">
        <v>533</v>
      </c>
      <c r="B72" s="3" t="s">
        <v>534</v>
      </c>
      <c r="C72" s="3" t="s">
        <v>455</v>
      </c>
      <c r="D72" s="40">
        <f>AVERAGE(E72:GT72)</f>
        <v>13.822353153846159</v>
      </c>
      <c r="F72" s="48">
        <v>11.508031000000001</v>
      </c>
      <c r="G72" s="48">
        <v>11.508031000000001</v>
      </c>
      <c r="K72" s="48">
        <v>11.508031000000001</v>
      </c>
      <c r="M72" s="48">
        <v>15.65785</v>
      </c>
      <c r="N72" s="48">
        <v>11.508031000000001</v>
      </c>
      <c r="S72" s="48">
        <v>15.65785</v>
      </c>
      <c r="T72" s="48">
        <v>15.65785</v>
      </c>
      <c r="Y72" s="48">
        <v>11.508031000000001</v>
      </c>
      <c r="AC72" s="48">
        <v>15.65785</v>
      </c>
      <c r="AV72" s="48">
        <v>11.508031000000001</v>
      </c>
      <c r="AX72" s="38">
        <v>8.7552629999999994</v>
      </c>
      <c r="AY72" s="48">
        <v>15.65785</v>
      </c>
      <c r="BC72" s="48">
        <v>15.65785</v>
      </c>
      <c r="BH72" s="48">
        <v>11.508031000000001</v>
      </c>
      <c r="BL72" s="48">
        <v>15.65785</v>
      </c>
      <c r="BO72" s="48">
        <v>15.65785</v>
      </c>
      <c r="BQ72" s="48">
        <v>15.65785</v>
      </c>
      <c r="BR72" s="38">
        <v>28.80425</v>
      </c>
      <c r="BV72" s="48">
        <v>11.508031000000001</v>
      </c>
      <c r="BW72" s="48">
        <v>15.65785</v>
      </c>
      <c r="BY72" s="48">
        <v>11.508031000000001</v>
      </c>
      <c r="CG72" s="48">
        <v>15.65785</v>
      </c>
      <c r="CH72" s="48">
        <v>15.65785</v>
      </c>
      <c r="CM72" s="48">
        <v>15.65785</v>
      </c>
      <c r="CN72" s="48">
        <v>11.508031000000001</v>
      </c>
      <c r="CO72" s="48">
        <v>11.508031000000001</v>
      </c>
      <c r="CS72" s="48">
        <v>15.65785</v>
      </c>
      <c r="CY72" s="48">
        <v>15.65785</v>
      </c>
      <c r="CZ72" s="48">
        <v>11.508031000000001</v>
      </c>
      <c r="DD72" s="48">
        <v>15.65785</v>
      </c>
      <c r="DE72" s="48">
        <v>15.65785</v>
      </c>
      <c r="DK72" s="48">
        <v>11.508031000000001</v>
      </c>
      <c r="DR72" s="48">
        <v>11.508031000000001</v>
      </c>
      <c r="DS72" s="48">
        <v>11.508031000000001</v>
      </c>
      <c r="DY72" s="48">
        <v>15.65785</v>
      </c>
      <c r="EF72" s="48">
        <v>11.508031000000001</v>
      </c>
      <c r="EG72" s="48">
        <v>15.65785</v>
      </c>
      <c r="EP72" s="48">
        <v>15.65785</v>
      </c>
      <c r="EQ72" s="38">
        <v>14.2608</v>
      </c>
      <c r="EU72" s="48">
        <v>15.65785</v>
      </c>
      <c r="EV72" s="38">
        <v>2.51145</v>
      </c>
      <c r="EW72" s="48">
        <v>15.65785</v>
      </c>
      <c r="FF72" s="48">
        <v>11.508031000000001</v>
      </c>
      <c r="FJ72" s="48">
        <v>15.65785</v>
      </c>
      <c r="FK72" s="48">
        <v>11.508031000000001</v>
      </c>
      <c r="FP72" s="48">
        <v>11.508031000000001</v>
      </c>
      <c r="FT72" s="49">
        <v>15.65785</v>
      </c>
      <c r="FU72" s="48">
        <v>15.65785</v>
      </c>
      <c r="GC72" s="48">
        <v>11.508031000000001</v>
      </c>
      <c r="GF72" s="48">
        <v>11.508031000000001</v>
      </c>
      <c r="GH72" s="48">
        <v>15.65785</v>
      </c>
      <c r="GJ72" s="48">
        <v>15.65785</v>
      </c>
      <c r="GU72" s="43">
        <f t="shared" si="8"/>
        <v>11.508031125</v>
      </c>
      <c r="GV72" s="43">
        <f t="shared" si="9"/>
        <v>15.65785</v>
      </c>
    </row>
    <row r="73" spans="1:204" ht="15" customHeight="1" x14ac:dyDescent="0.2">
      <c r="A73" s="3" t="s">
        <v>521</v>
      </c>
      <c r="B73" s="3" t="s">
        <v>522</v>
      </c>
      <c r="C73" s="3" t="s">
        <v>455</v>
      </c>
      <c r="D73" s="40">
        <f>AVERAGE(E73:GT73)</f>
        <v>13.02038178846154</v>
      </c>
      <c r="F73" s="48">
        <v>22.593332</v>
      </c>
      <c r="G73" s="48">
        <v>22.593332</v>
      </c>
      <c r="K73" s="48">
        <v>22.593332</v>
      </c>
      <c r="M73" s="48">
        <v>5.4280419999999996</v>
      </c>
      <c r="N73" s="48">
        <v>22.593332</v>
      </c>
      <c r="S73" s="48">
        <v>5.4280419999999996</v>
      </c>
      <c r="T73" s="48">
        <v>5.4280419999999996</v>
      </c>
      <c r="Y73" s="48">
        <v>22.593332</v>
      </c>
      <c r="AC73" s="48">
        <v>5.4280419999999996</v>
      </c>
      <c r="AV73" s="48">
        <v>22.593332</v>
      </c>
      <c r="AX73" s="48">
        <v>22.593332</v>
      </c>
      <c r="AY73" s="48">
        <v>5.4280419999999996</v>
      </c>
      <c r="BC73">
        <v>1.41</v>
      </c>
      <c r="BH73" s="48">
        <v>22.593332</v>
      </c>
      <c r="BL73" s="48">
        <v>5.4280419999999996</v>
      </c>
      <c r="BO73" s="48">
        <v>5.4280419999999996</v>
      </c>
      <c r="BQ73" s="48">
        <v>5.4280419999999996</v>
      </c>
      <c r="BR73" s="48">
        <v>5.4280419999999996</v>
      </c>
      <c r="BV73" s="48">
        <v>22.593332</v>
      </c>
      <c r="BW73" s="48">
        <v>5.4280419999999996</v>
      </c>
      <c r="BY73" s="48">
        <v>22.593332</v>
      </c>
      <c r="CG73" s="48">
        <v>5.4280419999999996</v>
      </c>
      <c r="CH73" s="48">
        <v>5.4280419999999996</v>
      </c>
      <c r="CM73" s="48">
        <v>5.4280419999999996</v>
      </c>
      <c r="CN73" s="48">
        <v>22.593332</v>
      </c>
      <c r="CO73" s="48">
        <v>22.593332</v>
      </c>
      <c r="CS73" s="48">
        <v>5.4280419999999996</v>
      </c>
      <c r="CY73">
        <v>1.801242</v>
      </c>
      <c r="CZ73" s="48">
        <v>22.593332</v>
      </c>
      <c r="DD73" s="48">
        <v>5.4280419999999996</v>
      </c>
      <c r="DE73" s="48">
        <v>5.4280419999999996</v>
      </c>
      <c r="DK73" s="48">
        <v>22.593332</v>
      </c>
      <c r="DR73" s="48">
        <v>22.593332</v>
      </c>
      <c r="DS73" s="48">
        <v>22.593332</v>
      </c>
      <c r="DY73">
        <v>20.129384999999999</v>
      </c>
      <c r="EF73" s="48">
        <v>22.593332</v>
      </c>
      <c r="EG73" s="48">
        <v>5.4280419999999996</v>
      </c>
      <c r="EP73">
        <v>5.1496360000000001</v>
      </c>
      <c r="EQ73">
        <v>30.383675</v>
      </c>
      <c r="EU73" s="48">
        <v>5.4280419999999996</v>
      </c>
      <c r="EV73">
        <v>1.3990800000000001</v>
      </c>
      <c r="EW73" s="48">
        <v>5.4280419999999996</v>
      </c>
      <c r="FF73" s="48">
        <v>22.593332</v>
      </c>
      <c r="FJ73">
        <v>2.0169489999999999</v>
      </c>
      <c r="FK73" s="48">
        <v>22.593332</v>
      </c>
      <c r="FP73">
        <v>14.802989999999999</v>
      </c>
      <c r="FT73" s="40">
        <v>6.09</v>
      </c>
      <c r="FU73" s="48">
        <v>5.4280419999999996</v>
      </c>
      <c r="GC73" s="48">
        <v>22.593332</v>
      </c>
      <c r="GF73" s="48">
        <v>22.593332</v>
      </c>
      <c r="GH73" s="48">
        <v>5.4280419999999996</v>
      </c>
      <c r="GJ73" s="48">
        <v>5.4280419999999996</v>
      </c>
      <c r="GU73" s="43">
        <f t="shared" si="8"/>
        <v>22.593332125</v>
      </c>
      <c r="GV73" s="43">
        <f t="shared" si="9"/>
        <v>5.4280419047619057</v>
      </c>
    </row>
    <row r="74" spans="1:204" ht="15" customHeight="1" x14ac:dyDescent="0.2">
      <c r="A74" s="3" t="s">
        <v>619</v>
      </c>
      <c r="B74" s="3" t="s">
        <v>620</v>
      </c>
      <c r="C74" s="3" t="s">
        <v>614</v>
      </c>
      <c r="D74" s="40">
        <f>AVERAGE(E74:GT74)</f>
        <v>0.67809996153846153</v>
      </c>
      <c r="F74" s="48">
        <v>0.16926099999999999</v>
      </c>
      <c r="G74" s="48">
        <v>0.16926099999999999</v>
      </c>
      <c r="K74" s="48">
        <v>0.16926099999999999</v>
      </c>
      <c r="M74" s="48">
        <v>1.0816619999999999</v>
      </c>
      <c r="N74" s="48">
        <v>0.16926099999999999</v>
      </c>
      <c r="S74" s="48">
        <v>1.0816619999999999</v>
      </c>
      <c r="T74" s="48">
        <v>1.0816619999999999</v>
      </c>
      <c r="Y74" s="48">
        <v>0.16926099999999999</v>
      </c>
      <c r="AC74" s="48">
        <v>1.0816619999999999</v>
      </c>
      <c r="AV74" s="48">
        <v>0.16926099999999999</v>
      </c>
      <c r="AX74" s="48">
        <v>0.16926099999999999</v>
      </c>
      <c r="AY74">
        <v>0.74325799999999997</v>
      </c>
      <c r="BC74">
        <v>0.77</v>
      </c>
      <c r="BH74" s="48">
        <v>0.16926099999999999</v>
      </c>
      <c r="BL74">
        <v>0.66536399999999996</v>
      </c>
      <c r="BO74" s="48">
        <v>1.0816619999999999</v>
      </c>
      <c r="BQ74" s="48">
        <v>1.0816619999999999</v>
      </c>
      <c r="BR74">
        <v>3.358365</v>
      </c>
      <c r="BV74" s="48">
        <v>0.16926099999999999</v>
      </c>
      <c r="BW74" s="48">
        <v>1.0816619999999999</v>
      </c>
      <c r="BY74" s="48">
        <v>0.16926099999999999</v>
      </c>
      <c r="CG74" s="48">
        <v>1.0816619999999999</v>
      </c>
      <c r="CH74" s="48">
        <v>1.0816619999999999</v>
      </c>
      <c r="CM74">
        <v>1.741892</v>
      </c>
      <c r="CN74" s="48">
        <v>0.16926099999999999</v>
      </c>
      <c r="CO74" s="48">
        <v>0.16926099999999999</v>
      </c>
      <c r="CS74" s="48">
        <v>1.0816619999999999</v>
      </c>
      <c r="CY74" s="48">
        <v>1.0816619999999999</v>
      </c>
      <c r="CZ74" s="48">
        <v>0.16926099999999999</v>
      </c>
      <c r="DD74">
        <v>0.78464100000000003</v>
      </c>
      <c r="DE74" s="48">
        <v>1.0816619999999999</v>
      </c>
      <c r="DK74" s="48">
        <v>0.16926099999999999</v>
      </c>
      <c r="DR74" s="48">
        <v>0.16926099999999999</v>
      </c>
      <c r="DS74" s="48">
        <v>0.16926099999999999</v>
      </c>
      <c r="DY74" s="48">
        <v>1.0816619999999999</v>
      </c>
      <c r="EF74" s="48">
        <v>0.16926099999999999</v>
      </c>
      <c r="EG74" s="48">
        <v>1.0816619999999999</v>
      </c>
      <c r="EP74" s="48">
        <v>1.0816619999999999</v>
      </c>
      <c r="EQ74" s="48">
        <v>0.16926099999999999</v>
      </c>
      <c r="EU74" s="48">
        <v>1.0816619999999999</v>
      </c>
      <c r="EV74">
        <v>0.46792299999999998</v>
      </c>
      <c r="EW74" s="48">
        <v>1.0816619999999999</v>
      </c>
      <c r="FF74" s="48">
        <v>0.16926099999999999</v>
      </c>
      <c r="FJ74">
        <v>0.62351199999999996</v>
      </c>
      <c r="FK74">
        <v>0.16926099999999999</v>
      </c>
      <c r="FP74" s="48">
        <v>0.16926099999999999</v>
      </c>
      <c r="FT74" s="40">
        <v>0.57999999999999996</v>
      </c>
      <c r="FU74" s="48">
        <v>1.0816619999999999</v>
      </c>
      <c r="GC74" s="48">
        <v>0.16926099999999999</v>
      </c>
      <c r="GF74" s="48">
        <v>0.16926099999999999</v>
      </c>
      <c r="GH74" s="48">
        <v>1.0816619999999999</v>
      </c>
      <c r="GJ74" s="48">
        <v>1.0816619999999999</v>
      </c>
      <c r="GU74" s="43">
        <f t="shared" si="8"/>
        <v>0.16926099999999999</v>
      </c>
      <c r="GV74" s="43">
        <f t="shared" si="9"/>
        <v>1.0816618571428573</v>
      </c>
    </row>
    <row r="75" spans="1:204" ht="15" customHeight="1" x14ac:dyDescent="0.2">
      <c r="A75" s="3" t="s">
        <v>478</v>
      </c>
      <c r="B75" s="3" t="s">
        <v>479</v>
      </c>
      <c r="C75" s="3" t="s">
        <v>438</v>
      </c>
      <c r="D75" s="40">
        <f>AVERAGE(E75:GT75)</f>
        <v>1.5997148076923073</v>
      </c>
      <c r="F75" s="48">
        <v>1.161667</v>
      </c>
      <c r="G75" s="48">
        <v>1.161667</v>
      </c>
      <c r="K75" s="48">
        <v>1.161667</v>
      </c>
      <c r="M75" s="48">
        <v>1.9471320000000001</v>
      </c>
      <c r="N75" s="48">
        <v>1.161667</v>
      </c>
      <c r="S75" s="48">
        <v>1.9471320000000001</v>
      </c>
      <c r="T75" s="48">
        <v>1.9471320000000001</v>
      </c>
      <c r="Y75" s="48">
        <v>1.161667</v>
      </c>
      <c r="AC75" s="48">
        <v>1.9471320000000001</v>
      </c>
      <c r="AV75" s="48">
        <v>1.161667</v>
      </c>
      <c r="AX75" s="38">
        <v>1.3</v>
      </c>
      <c r="AY75" s="48">
        <v>1.9471320000000001</v>
      </c>
      <c r="BC75">
        <v>1.85</v>
      </c>
      <c r="BH75" s="48">
        <v>1.161667</v>
      </c>
      <c r="BL75" s="38">
        <v>1.29</v>
      </c>
      <c r="BO75" s="48">
        <v>1.9471320000000001</v>
      </c>
      <c r="BQ75" s="38">
        <v>0.59618300000000002</v>
      </c>
      <c r="BR75" s="48">
        <v>1.9471320000000001</v>
      </c>
      <c r="BV75" s="48">
        <v>1.161667</v>
      </c>
      <c r="BW75" s="48">
        <v>1.9471320000000001</v>
      </c>
      <c r="BY75" s="48">
        <v>1.161667</v>
      </c>
      <c r="CG75" s="48">
        <v>1.9471320000000001</v>
      </c>
      <c r="CH75" s="48">
        <v>1.9471320000000001</v>
      </c>
      <c r="CM75" s="48">
        <v>1.9471320000000001</v>
      </c>
      <c r="CN75" s="48">
        <v>1.161667</v>
      </c>
      <c r="CO75" s="48">
        <v>1.161667</v>
      </c>
      <c r="CS75" s="48">
        <v>1.9471320000000001</v>
      </c>
      <c r="CY75" s="48">
        <v>1.9471320000000001</v>
      </c>
      <c r="CZ75" s="48">
        <v>1.161667</v>
      </c>
      <c r="DD75" s="48">
        <v>1.9471320000000001</v>
      </c>
      <c r="DE75" s="48">
        <v>1.9471320000000001</v>
      </c>
      <c r="DK75" s="48">
        <v>1.161667</v>
      </c>
      <c r="DR75" s="48">
        <v>1.161667</v>
      </c>
      <c r="DS75" s="48">
        <v>1.161667</v>
      </c>
      <c r="DY75" s="38">
        <v>1.0313429999999999</v>
      </c>
      <c r="EF75" s="48">
        <v>1.161667</v>
      </c>
      <c r="EG75" s="48">
        <v>1.9471320000000001</v>
      </c>
      <c r="EP75" s="48">
        <v>1.9471320000000001</v>
      </c>
      <c r="EQ75" s="38">
        <v>1.3907080000000001</v>
      </c>
      <c r="EU75" s="48">
        <v>1.9471320000000001</v>
      </c>
      <c r="EV75" s="38">
        <v>6.2409090000000003</v>
      </c>
      <c r="EW75" s="48">
        <v>1.9471320000000001</v>
      </c>
      <c r="FF75" s="48">
        <v>1.161667</v>
      </c>
      <c r="FJ75" s="38">
        <v>2.0414889999999999</v>
      </c>
      <c r="FK75" s="48">
        <v>1.161667</v>
      </c>
      <c r="FP75" s="38">
        <v>0.79429399999999994</v>
      </c>
      <c r="FT75" s="40">
        <v>0.57999999999999996</v>
      </c>
      <c r="FU75" s="48">
        <v>1.9471320000000001</v>
      </c>
      <c r="GC75" s="48">
        <v>1.161667</v>
      </c>
      <c r="GF75" s="48">
        <v>1.161667</v>
      </c>
      <c r="GH75" s="48">
        <v>1.9471320000000001</v>
      </c>
      <c r="GJ75" s="48">
        <v>1.9471320000000001</v>
      </c>
      <c r="GU75" s="43">
        <f t="shared" si="8"/>
        <v>1.1616671249999999</v>
      </c>
      <c r="GV75" s="43">
        <f t="shared" si="9"/>
        <v>1.9471320000000003</v>
      </c>
    </row>
    <row r="76" spans="1:204" ht="15" customHeight="1" x14ac:dyDescent="0.2">
      <c r="A76" s="3" t="s">
        <v>507</v>
      </c>
      <c r="B76" s="3" t="s">
        <v>508</v>
      </c>
      <c r="C76" s="3" t="s">
        <v>455</v>
      </c>
      <c r="D76" s="3" t="s">
        <v>247</v>
      </c>
      <c r="AU76" s="30">
        <f>(0.000017442+0.0000000018698+0.000015116)*63000</f>
        <v>2.0512717974000001</v>
      </c>
      <c r="FT76" s="40"/>
      <c r="GU76" s="45" t="str">
        <f t="shared" si="8"/>
        <v/>
      </c>
      <c r="GV76" s="45" t="str">
        <f t="shared" si="9"/>
        <v/>
      </c>
    </row>
    <row r="77" spans="1:204" ht="15" customHeight="1" x14ac:dyDescent="0.2">
      <c r="A77" s="3" t="s">
        <v>535</v>
      </c>
      <c r="B77" s="3" t="s">
        <v>536</v>
      </c>
      <c r="C77" s="3" t="s">
        <v>455</v>
      </c>
      <c r="D77" s="40">
        <f>AVERAGE(E77:GT77)</f>
        <v>7.093681576923073</v>
      </c>
      <c r="F77" s="48">
        <v>9.0826600000000006</v>
      </c>
      <c r="G77" s="48">
        <v>9.0826600000000006</v>
      </c>
      <c r="K77" s="48">
        <v>9.0826600000000006</v>
      </c>
      <c r="M77" s="48">
        <v>5.516216</v>
      </c>
      <c r="N77" s="48">
        <v>9.0826600000000006</v>
      </c>
      <c r="S77" s="48">
        <v>5.516216</v>
      </c>
      <c r="T77" s="48">
        <v>5.516216</v>
      </c>
      <c r="Y77" s="48">
        <v>9.0826600000000006</v>
      </c>
      <c r="AC77" s="48">
        <v>5.516216</v>
      </c>
      <c r="AV77" s="48">
        <v>9.0826600000000006</v>
      </c>
      <c r="AX77">
        <v>2.2000000000000002</v>
      </c>
      <c r="AY77" s="48">
        <v>5.516216</v>
      </c>
      <c r="BC77" s="48">
        <v>5.516216</v>
      </c>
      <c r="BH77" s="48">
        <v>9.0826600000000006</v>
      </c>
      <c r="BL77">
        <v>2.5</v>
      </c>
      <c r="BO77" s="48">
        <v>5.516216</v>
      </c>
      <c r="BQ77" s="48">
        <v>5.516216</v>
      </c>
      <c r="BR77">
        <v>20.789964000000001</v>
      </c>
      <c r="BV77" s="48">
        <v>9.0826600000000006</v>
      </c>
      <c r="BW77" s="48">
        <v>5.516216</v>
      </c>
      <c r="BY77" s="48">
        <v>9.0826600000000006</v>
      </c>
      <c r="CG77" s="48">
        <v>5.516216</v>
      </c>
      <c r="CH77" s="48">
        <v>5.516216</v>
      </c>
      <c r="CM77" s="48">
        <v>5.516216</v>
      </c>
      <c r="CN77" s="48">
        <v>9.0826600000000006</v>
      </c>
      <c r="CO77" s="48">
        <v>9.0826600000000006</v>
      </c>
      <c r="CS77" s="48">
        <v>5.516216</v>
      </c>
      <c r="CY77">
        <v>0.71052599999999999</v>
      </c>
      <c r="CZ77" s="48">
        <v>9.0826600000000006</v>
      </c>
      <c r="DD77" s="48">
        <v>5.516216</v>
      </c>
      <c r="DE77" s="48">
        <v>5.516216</v>
      </c>
      <c r="DK77" s="48">
        <v>9.0826600000000006</v>
      </c>
      <c r="DR77" s="48">
        <v>9.0826600000000006</v>
      </c>
      <c r="DS77" s="48">
        <v>9.0826600000000006</v>
      </c>
      <c r="DY77" s="48">
        <v>5.516216</v>
      </c>
      <c r="EF77" s="48">
        <v>9.0826600000000006</v>
      </c>
      <c r="EG77" s="48">
        <v>5.516216</v>
      </c>
      <c r="EP77" s="48">
        <v>5.516216</v>
      </c>
      <c r="EQ77" s="48">
        <v>9.0826600000000006</v>
      </c>
      <c r="EU77" s="48">
        <v>5.516216</v>
      </c>
      <c r="EV77">
        <v>2.444652</v>
      </c>
      <c r="EW77" s="48">
        <v>5.516216</v>
      </c>
      <c r="FF77" s="48">
        <v>9.0826600000000006</v>
      </c>
      <c r="FJ77">
        <v>0.56215199999999999</v>
      </c>
      <c r="FK77" s="48">
        <v>9.0826600000000006</v>
      </c>
      <c r="FP77">
        <v>15.96532</v>
      </c>
      <c r="FT77" s="40">
        <v>6.09</v>
      </c>
      <c r="FU77" s="48">
        <v>5.516216</v>
      </c>
      <c r="GC77" s="48">
        <v>9.0826600000000006</v>
      </c>
      <c r="GF77" s="48">
        <v>9.0826600000000006</v>
      </c>
      <c r="GH77" s="48">
        <v>5.516216</v>
      </c>
      <c r="GJ77" s="48">
        <v>5.516216</v>
      </c>
      <c r="GU77" s="43">
        <f t="shared" si="8"/>
        <v>9.0826600000000024</v>
      </c>
      <c r="GV77" s="43">
        <f t="shared" si="9"/>
        <v>5.5162159047619053</v>
      </c>
    </row>
    <row r="78" spans="1:204" ht="15" customHeight="1" x14ac:dyDescent="0.2">
      <c r="A78" s="3" t="s">
        <v>509</v>
      </c>
      <c r="B78" s="3" t="s">
        <v>510</v>
      </c>
      <c r="C78" s="3" t="s">
        <v>455</v>
      </c>
      <c r="D78" s="40">
        <f>AVERAGE(E78:GT78)</f>
        <v>0.24528299999999997</v>
      </c>
      <c r="F78" s="48">
        <v>0.245283</v>
      </c>
      <c r="G78" s="48">
        <v>0.245283</v>
      </c>
      <c r="K78" s="48">
        <v>0.245283</v>
      </c>
      <c r="N78" s="48">
        <v>0.245283</v>
      </c>
      <c r="Y78" s="48">
        <v>0.245283</v>
      </c>
      <c r="AV78" s="48">
        <v>0.245283</v>
      </c>
      <c r="AX78" s="48">
        <v>0.245283</v>
      </c>
      <c r="BH78" s="48">
        <v>0.245283</v>
      </c>
      <c r="BV78" s="48">
        <v>0.245283</v>
      </c>
      <c r="BY78" s="48">
        <v>0.245283</v>
      </c>
      <c r="CN78" s="48">
        <v>0.245283</v>
      </c>
      <c r="CO78" s="48">
        <v>0.245283</v>
      </c>
      <c r="CZ78" s="48">
        <v>0.245283</v>
      </c>
      <c r="DK78">
        <v>0.245283</v>
      </c>
      <c r="DR78" s="48">
        <v>0.245283</v>
      </c>
      <c r="DS78" s="48">
        <v>0.245283</v>
      </c>
      <c r="EF78" s="48">
        <v>0.245283</v>
      </c>
      <c r="EQ78" s="48">
        <v>0.245283</v>
      </c>
      <c r="FF78" s="48">
        <v>0.245283</v>
      </c>
      <c r="FK78" s="48">
        <v>0.245283</v>
      </c>
      <c r="FP78" s="48">
        <v>0.245283</v>
      </c>
      <c r="FT78" s="40"/>
      <c r="GC78" s="48">
        <v>0.245283</v>
      </c>
      <c r="GF78" s="48">
        <v>0.245283</v>
      </c>
      <c r="GU78" s="43">
        <f t="shared" si="8"/>
        <v>0.24528299999999997</v>
      </c>
      <c r="GV78" s="43" t="str">
        <f t="shared" si="9"/>
        <v/>
      </c>
    </row>
    <row r="79" spans="1:204" ht="15" customHeight="1" x14ac:dyDescent="0.2">
      <c r="A79" s="3" t="s">
        <v>581</v>
      </c>
      <c r="B79" s="3" t="s">
        <v>582</v>
      </c>
      <c r="C79" s="3" t="s">
        <v>433</v>
      </c>
      <c r="D79" s="54" t="s">
        <v>694</v>
      </c>
      <c r="FT79" s="40"/>
      <c r="GU79" s="43" t="str">
        <f t="shared" si="8"/>
        <v/>
      </c>
      <c r="GV79" s="43" t="str">
        <f t="shared" si="9"/>
        <v/>
      </c>
    </row>
    <row r="80" spans="1:204" ht="15" customHeight="1" x14ac:dyDescent="0.2">
      <c r="A80" s="3" t="s">
        <v>593</v>
      </c>
      <c r="B80" s="3" t="s">
        <v>594</v>
      </c>
      <c r="C80" s="3" t="s">
        <v>595</v>
      </c>
      <c r="D80" s="40">
        <f>AVERAGE(E80:GT80)</f>
        <v>7.8926917692307663</v>
      </c>
      <c r="F80" s="48">
        <v>7.2632680000000001</v>
      </c>
      <c r="G80" s="48">
        <v>7.2632680000000001</v>
      </c>
      <c r="K80" s="48">
        <v>7.2632680000000001</v>
      </c>
      <c r="M80">
        <v>9.7505480000000002</v>
      </c>
      <c r="N80" s="48">
        <v>7.2632680000000001</v>
      </c>
      <c r="S80" s="48">
        <v>8.3918900000000001</v>
      </c>
      <c r="T80">
        <v>15.942655</v>
      </c>
      <c r="Y80" s="48">
        <v>7.2632680000000001</v>
      </c>
      <c r="AC80" s="48">
        <v>8.3918900000000001</v>
      </c>
      <c r="AV80">
        <v>6.9962390000000001</v>
      </c>
      <c r="AX80">
        <v>19.395679999999999</v>
      </c>
      <c r="AY80">
        <v>4.7551649999999999</v>
      </c>
      <c r="BC80">
        <v>2.65</v>
      </c>
      <c r="BH80" s="48">
        <v>7.2632680000000001</v>
      </c>
      <c r="BL80">
        <v>2.6311770000000001</v>
      </c>
      <c r="BO80" s="48">
        <v>8.3918900000000001</v>
      </c>
      <c r="BQ80">
        <v>2.0562360000000002</v>
      </c>
      <c r="BR80">
        <v>15.219027000000001</v>
      </c>
      <c r="BV80" s="48">
        <v>7.2632680000000001</v>
      </c>
      <c r="BW80">
        <v>7.5438229999999997</v>
      </c>
      <c r="BY80">
        <v>2.3663270000000001</v>
      </c>
      <c r="CG80" s="48">
        <v>8.3918900000000001</v>
      </c>
      <c r="CH80" s="48">
        <v>8.3918900000000001</v>
      </c>
      <c r="CM80">
        <v>10.517837</v>
      </c>
      <c r="CN80" s="48">
        <v>7.2632680000000001</v>
      </c>
      <c r="CO80">
        <v>2.413802</v>
      </c>
      <c r="CS80" s="48">
        <v>8.3918900000000001</v>
      </c>
      <c r="CY80">
        <v>2.7699159999999998</v>
      </c>
      <c r="CZ80" s="48">
        <v>7.2632680000000001</v>
      </c>
      <c r="DD80">
        <v>0.79396</v>
      </c>
      <c r="DE80">
        <v>46.361027</v>
      </c>
      <c r="DK80">
        <v>8.2927309999999999</v>
      </c>
      <c r="DR80" s="48">
        <v>7.2632680000000001</v>
      </c>
      <c r="DS80" s="48">
        <v>7.2632680000000001</v>
      </c>
      <c r="DY80">
        <v>13.280111</v>
      </c>
      <c r="EF80" s="48">
        <v>7.2632680000000001</v>
      </c>
      <c r="EG80">
        <v>1.995414</v>
      </c>
      <c r="EP80">
        <v>2.347912</v>
      </c>
      <c r="EQ80">
        <v>6.3268360000000001</v>
      </c>
      <c r="EU80" s="48">
        <v>8.3918900000000001</v>
      </c>
      <c r="EV80">
        <v>5.9318949999999999</v>
      </c>
      <c r="EW80" s="48">
        <v>8.3918900000000001</v>
      </c>
      <c r="FF80" s="48">
        <v>7.2632680000000001</v>
      </c>
      <c r="FJ80">
        <v>4.3773140000000001</v>
      </c>
      <c r="FK80" s="48">
        <v>7.2632680000000001</v>
      </c>
      <c r="FP80">
        <v>5.0512620000000004</v>
      </c>
      <c r="FT80" s="40">
        <v>2.13</v>
      </c>
      <c r="FU80" s="48">
        <v>8.3918900000000001</v>
      </c>
      <c r="GC80" s="48">
        <v>7.2632680000000001</v>
      </c>
      <c r="GF80" s="48">
        <v>7.2632680000000001</v>
      </c>
      <c r="GH80" s="48">
        <v>8.3918900000000001</v>
      </c>
      <c r="GJ80" s="48">
        <v>8.3918900000000001</v>
      </c>
      <c r="GU80" s="43">
        <f t="shared" si="8"/>
        <v>7.2632681249999997</v>
      </c>
      <c r="GV80" s="43">
        <f t="shared" si="9"/>
        <v>8.3918898571428571</v>
      </c>
    </row>
    <row r="81" spans="1:204" ht="15" customHeight="1" x14ac:dyDescent="0.2">
      <c r="A81" s="3" t="s">
        <v>473</v>
      </c>
      <c r="B81" s="3" t="s">
        <v>474</v>
      </c>
      <c r="C81" s="3" t="s">
        <v>438</v>
      </c>
      <c r="D81" s="40">
        <f>AVERAGE(E81:GT81)</f>
        <v>2.8802903461538452</v>
      </c>
      <c r="F81" s="48">
        <v>4.5646310000000003</v>
      </c>
      <c r="G81" s="48">
        <v>4.5646310000000003</v>
      </c>
      <c r="K81" s="48">
        <v>4.5646310000000003</v>
      </c>
      <c r="M81" s="48">
        <v>1.5444340000000001</v>
      </c>
      <c r="N81" s="48">
        <v>4.5646310000000003</v>
      </c>
      <c r="S81" s="48">
        <v>1.5444340000000001</v>
      </c>
      <c r="T81" s="48">
        <v>1.5444340000000001</v>
      </c>
      <c r="Y81" s="48">
        <v>4.5646310000000003</v>
      </c>
      <c r="AC81" s="48">
        <v>1.5444340000000001</v>
      </c>
      <c r="AV81" s="48">
        <v>4.5646310000000003</v>
      </c>
      <c r="AX81" s="48">
        <v>4.5646310000000003</v>
      </c>
      <c r="AY81" s="48">
        <v>1.5444340000000001</v>
      </c>
      <c r="BC81" s="48">
        <v>1.5444340000000001</v>
      </c>
      <c r="BH81" s="48">
        <v>4.5646310000000003</v>
      </c>
      <c r="BL81" s="48">
        <v>1.5444340000000001</v>
      </c>
      <c r="BO81" s="48">
        <v>1.5444340000000001</v>
      </c>
      <c r="BQ81" s="48">
        <v>1.5444340000000001</v>
      </c>
      <c r="BR81" s="48">
        <v>1.5444340000000001</v>
      </c>
      <c r="BV81" s="48">
        <v>4.5646310000000003</v>
      </c>
      <c r="BW81" s="48">
        <v>1.5444340000000001</v>
      </c>
      <c r="BY81" s="48">
        <v>4.5646310000000003</v>
      </c>
      <c r="CG81" s="48">
        <v>1.5444340000000001</v>
      </c>
      <c r="CH81" s="48">
        <v>1.5444340000000001</v>
      </c>
      <c r="CM81" s="38">
        <v>0.75833300000000003</v>
      </c>
      <c r="CN81" s="48">
        <v>4.5646310000000003</v>
      </c>
      <c r="CO81" s="48">
        <v>4.5646310000000003</v>
      </c>
      <c r="CS81" s="48">
        <v>1.5444340000000001</v>
      </c>
      <c r="CY81" s="48">
        <v>1.5444340000000001</v>
      </c>
      <c r="CZ81" s="48">
        <v>4.5646310000000003</v>
      </c>
      <c r="DD81" s="48">
        <v>1.5444340000000001</v>
      </c>
      <c r="DE81" s="48">
        <v>1.5444340000000001</v>
      </c>
      <c r="DK81" s="48">
        <v>4.5646310000000003</v>
      </c>
      <c r="DR81" s="48">
        <v>4.5646310000000003</v>
      </c>
      <c r="DS81" s="48">
        <v>4.5646310000000003</v>
      </c>
      <c r="DY81" s="48">
        <v>1.5444340000000001</v>
      </c>
      <c r="EF81" s="48">
        <v>4.5646310000000003</v>
      </c>
      <c r="EG81" s="48">
        <v>1.5444340000000001</v>
      </c>
      <c r="EP81" s="48">
        <v>1.5444340000000001</v>
      </c>
      <c r="EQ81" s="38">
        <v>4.5646310000000003</v>
      </c>
      <c r="EU81" s="48">
        <v>1.5444340000000001</v>
      </c>
      <c r="EV81">
        <v>2.3305340000000001</v>
      </c>
      <c r="EW81" s="48">
        <v>1.5444340000000001</v>
      </c>
      <c r="FF81" s="48">
        <v>4.5646310000000003</v>
      </c>
      <c r="FJ81" s="48">
        <v>1.5444340000000001</v>
      </c>
      <c r="FK81" s="48">
        <v>4.5646310000000003</v>
      </c>
      <c r="FP81" s="48">
        <v>4.5646310000000003</v>
      </c>
      <c r="FT81" s="49">
        <v>1.5444340000000001</v>
      </c>
      <c r="FU81" s="48">
        <v>1.5444340000000001</v>
      </c>
      <c r="GC81" s="48">
        <v>4.5646310000000003</v>
      </c>
      <c r="GF81" s="48">
        <v>4.5646310000000003</v>
      </c>
      <c r="GH81" s="48">
        <v>1.5444340000000001</v>
      </c>
      <c r="GJ81" s="48">
        <v>1.5444340000000001</v>
      </c>
      <c r="GU81" s="43">
        <f t="shared" si="8"/>
        <v>4.5646309999999994</v>
      </c>
      <c r="GV81" s="43">
        <f t="shared" si="9"/>
        <v>1.5444339523809523</v>
      </c>
    </row>
    <row r="82" spans="1:204" ht="15" customHeight="1" x14ac:dyDescent="0.2">
      <c r="A82" s="3" t="s">
        <v>523</v>
      </c>
      <c r="B82" s="3" t="s">
        <v>524</v>
      </c>
      <c r="C82" s="3" t="s">
        <v>525</v>
      </c>
      <c r="D82" t="s">
        <v>551</v>
      </c>
      <c r="FT82" s="40"/>
      <c r="GU82" s="43" t="str">
        <f t="shared" si="8"/>
        <v/>
      </c>
      <c r="GV82" s="43" t="str">
        <f t="shared" si="9"/>
        <v/>
      </c>
    </row>
    <row r="83" spans="1:204" ht="15" customHeight="1" x14ac:dyDescent="0.2">
      <c r="A83" s="3" t="s">
        <v>434</v>
      </c>
      <c r="B83" s="3" t="s">
        <v>435</v>
      </c>
      <c r="C83" s="3" t="s">
        <v>433</v>
      </c>
      <c r="D83" s="54" t="s">
        <v>696</v>
      </c>
      <c r="FT83" s="40"/>
      <c r="GU83" s="43" t="str">
        <f t="shared" si="8"/>
        <v/>
      </c>
      <c r="GV83" s="43" t="str">
        <f t="shared" si="9"/>
        <v/>
      </c>
    </row>
    <row r="84" spans="1:204" ht="15" customHeight="1" x14ac:dyDescent="0.2">
      <c r="A84" s="3" t="s">
        <v>572</v>
      </c>
      <c r="B84" s="10" t="s">
        <v>573</v>
      </c>
      <c r="C84" s="3" t="s">
        <v>574</v>
      </c>
      <c r="D84" s="40">
        <f t="shared" ref="D84:D97" si="10">AVERAGE(E84:GT84)</f>
        <v>1.9270089999999997</v>
      </c>
      <c r="M84" s="38">
        <v>4.3541850000000002</v>
      </c>
      <c r="S84" s="48">
        <v>1.927009</v>
      </c>
      <c r="T84" s="48">
        <v>1.927009</v>
      </c>
      <c r="AC84" s="48">
        <v>1.927009</v>
      </c>
      <c r="AY84" s="38">
        <v>2.5448740000000001</v>
      </c>
      <c r="BC84">
        <v>0.7</v>
      </c>
      <c r="BL84" s="38">
        <v>1.6188739999999999</v>
      </c>
      <c r="BO84" s="48">
        <v>1.927009</v>
      </c>
      <c r="BQ84" s="38">
        <v>0.61214599999999997</v>
      </c>
      <c r="BR84" s="48">
        <v>1.927009</v>
      </c>
      <c r="BW84" s="38">
        <v>2.1631559999999999</v>
      </c>
      <c r="CG84" s="48">
        <v>1.927009</v>
      </c>
      <c r="CH84" s="48">
        <v>1.927009</v>
      </c>
      <c r="CM84" s="38">
        <v>2.3009750000000002</v>
      </c>
      <c r="CS84" s="48">
        <v>1.927009</v>
      </c>
      <c r="CY84" s="38">
        <v>1.5638559999999999</v>
      </c>
      <c r="DD84" s="38">
        <v>4.8072949999999999</v>
      </c>
      <c r="DE84" s="38">
        <v>2.108911</v>
      </c>
      <c r="DY84" s="48">
        <v>1.927009</v>
      </c>
      <c r="EG84" s="48">
        <v>1.927009</v>
      </c>
      <c r="EP84" s="38">
        <v>1.3935010000000001</v>
      </c>
      <c r="EU84" s="48">
        <v>1.927009</v>
      </c>
      <c r="EV84" s="38">
        <v>0.62066100000000002</v>
      </c>
      <c r="EW84" s="48">
        <v>1.927009</v>
      </c>
      <c r="FJ84" s="38">
        <v>1.7254370000000001</v>
      </c>
      <c r="FT84" s="39">
        <v>0.46425499999999997</v>
      </c>
      <c r="FU84" s="48">
        <v>1.927009</v>
      </c>
      <c r="GH84" s="48">
        <v>1.927009</v>
      </c>
      <c r="GJ84" s="48">
        <v>1.927009</v>
      </c>
      <c r="GU84" s="43" t="str">
        <f t="shared" si="8"/>
        <v/>
      </c>
      <c r="GV84" s="43">
        <f t="shared" si="9"/>
        <v>1.9270089999999995</v>
      </c>
    </row>
    <row r="85" spans="1:204" ht="15" customHeight="1" x14ac:dyDescent="0.2">
      <c r="A85" s="3" t="s">
        <v>575</v>
      </c>
      <c r="B85" s="13" t="s">
        <v>576</v>
      </c>
      <c r="C85" s="3" t="s">
        <v>574</v>
      </c>
      <c r="D85" s="40">
        <f t="shared" si="10"/>
        <v>2.0098719655172417</v>
      </c>
      <c r="M85" s="48">
        <v>2.0098720000000001</v>
      </c>
      <c r="S85" s="48">
        <v>2.0098720000000001</v>
      </c>
      <c r="T85" s="48">
        <v>2.0098720000000001</v>
      </c>
      <c r="AC85" s="48">
        <v>2.0098720000000001</v>
      </c>
      <c r="AY85" s="48">
        <v>2.0098720000000001</v>
      </c>
      <c r="BC85">
        <v>0.7</v>
      </c>
      <c r="BL85" s="38">
        <v>1.5943560000000001</v>
      </c>
      <c r="BO85" s="48">
        <v>2.0098720000000001</v>
      </c>
      <c r="BQ85" s="38">
        <v>0.61214599999999997</v>
      </c>
      <c r="BR85" s="48">
        <v>2.0098720000000001</v>
      </c>
      <c r="BW85" s="48">
        <v>2.0098720000000001</v>
      </c>
      <c r="CG85" s="48">
        <v>2.0098720000000001</v>
      </c>
      <c r="CH85" s="48">
        <v>2.0098720000000001</v>
      </c>
      <c r="CM85" s="38">
        <v>2.3770829999999998</v>
      </c>
      <c r="CS85" s="48">
        <v>2.0098720000000001</v>
      </c>
      <c r="CY85" s="38">
        <v>2.2139660000000001</v>
      </c>
      <c r="DD85" s="38">
        <v>9.2244810000000008</v>
      </c>
      <c r="DE85" s="48">
        <v>2.0098720000000001</v>
      </c>
      <c r="DY85" s="48">
        <v>2.0098720000000001</v>
      </c>
      <c r="EG85" s="48">
        <v>2.0098720000000001</v>
      </c>
      <c r="EP85" s="48">
        <v>2.0098720000000001</v>
      </c>
      <c r="EU85" s="48">
        <v>2.0098720000000001</v>
      </c>
      <c r="EV85" s="38">
        <v>0.62066100000000002</v>
      </c>
      <c r="EW85" s="48">
        <v>2.0098720000000001</v>
      </c>
      <c r="FJ85" s="38">
        <v>0.48615399999999998</v>
      </c>
      <c r="FT85" s="40">
        <v>0.26</v>
      </c>
      <c r="FU85" s="48">
        <v>2.0098720000000001</v>
      </c>
      <c r="GH85" s="48">
        <v>2.0098720000000001</v>
      </c>
      <c r="GJ85" s="48">
        <v>2.0098720000000001</v>
      </c>
      <c r="GU85" s="43" t="str">
        <f t="shared" si="8"/>
        <v/>
      </c>
      <c r="GV85" s="43">
        <f t="shared" si="9"/>
        <v>2.0098719523809527</v>
      </c>
    </row>
    <row r="86" spans="1:204" ht="15" customHeight="1" x14ac:dyDescent="0.2">
      <c r="A86" s="3" t="s">
        <v>577</v>
      </c>
      <c r="B86" s="13" t="s">
        <v>578</v>
      </c>
      <c r="C86" s="3" t="s">
        <v>574</v>
      </c>
      <c r="D86" s="40">
        <f t="shared" si="10"/>
        <v>1.7224708965517237</v>
      </c>
      <c r="M86" s="38">
        <v>4.3541850000000002</v>
      </c>
      <c r="S86" s="48">
        <v>1.7224710000000001</v>
      </c>
      <c r="T86" s="48">
        <v>1.7224710000000001</v>
      </c>
      <c r="AC86" s="48">
        <v>1.7224710000000001</v>
      </c>
      <c r="AY86" s="38">
        <v>2.5448740000000001</v>
      </c>
      <c r="BC86">
        <v>0.7</v>
      </c>
      <c r="BL86" s="38">
        <v>1.643392</v>
      </c>
      <c r="BO86" s="48">
        <v>1.7224710000000001</v>
      </c>
      <c r="BQ86" s="48">
        <v>1.7224710000000001</v>
      </c>
      <c r="BR86" s="48">
        <v>1.7224710000000001</v>
      </c>
      <c r="BW86" s="38">
        <v>2.1631559999999999</v>
      </c>
      <c r="CG86" s="48">
        <v>1.7224710000000001</v>
      </c>
      <c r="CH86" s="48">
        <v>1.7224710000000001</v>
      </c>
      <c r="CM86" s="38">
        <v>2.2248670000000002</v>
      </c>
      <c r="CS86" s="48">
        <v>1.7224710000000001</v>
      </c>
      <c r="CY86" s="38">
        <v>0.91374500000000003</v>
      </c>
      <c r="DD86" s="38">
        <v>0.39010899999999998</v>
      </c>
      <c r="DE86" s="38">
        <v>2.108911</v>
      </c>
      <c r="DY86" s="48">
        <v>1.7224710000000001</v>
      </c>
      <c r="EG86" s="48">
        <v>1.7224710000000001</v>
      </c>
      <c r="EP86" s="38">
        <v>1.3935010000000001</v>
      </c>
      <c r="EU86" s="48">
        <v>1.7224710000000001</v>
      </c>
      <c r="EV86" s="38">
        <v>0.62066100000000002</v>
      </c>
      <c r="EW86" s="48">
        <v>1.7224710000000001</v>
      </c>
      <c r="FJ86" s="38">
        <v>2.9647190000000001</v>
      </c>
      <c r="FT86" s="40">
        <v>0.37</v>
      </c>
      <c r="FU86" s="48">
        <v>1.7224710000000001</v>
      </c>
      <c r="GH86" s="48">
        <v>1.7224710000000001</v>
      </c>
      <c r="GJ86" s="48">
        <v>1.7224710000000001</v>
      </c>
      <c r="GU86" s="43" t="str">
        <f t="shared" si="8"/>
        <v/>
      </c>
      <c r="GV86" s="43">
        <f t="shared" si="9"/>
        <v>1.7224708571428569</v>
      </c>
    </row>
    <row r="87" spans="1:204" ht="15" customHeight="1" x14ac:dyDescent="0.2">
      <c r="A87" s="3" t="s">
        <v>543</v>
      </c>
      <c r="B87" s="3" t="s">
        <v>544</v>
      </c>
      <c r="C87" s="3" t="s">
        <v>532</v>
      </c>
      <c r="D87" s="40">
        <f t="shared" si="10"/>
        <v>0.54921993103448274</v>
      </c>
      <c r="M87" s="48">
        <v>0.54922000000000004</v>
      </c>
      <c r="S87" s="48">
        <v>0.54922000000000004</v>
      </c>
      <c r="T87" s="48">
        <v>0.54922000000000004</v>
      </c>
      <c r="AC87" s="48">
        <v>0.54922000000000004</v>
      </c>
      <c r="AY87" s="48">
        <v>0.54922000000000004</v>
      </c>
      <c r="BC87" s="48">
        <v>0.54922000000000004</v>
      </c>
      <c r="BL87" s="38">
        <v>0.10909099999999999</v>
      </c>
      <c r="BO87" s="48">
        <v>0.54922000000000004</v>
      </c>
      <c r="BQ87" s="48">
        <v>0.54922000000000004</v>
      </c>
      <c r="BR87" s="48">
        <v>0.54922000000000004</v>
      </c>
      <c r="BW87" s="48">
        <v>0.54922000000000004</v>
      </c>
      <c r="CG87" s="48">
        <v>0.54922000000000004</v>
      </c>
      <c r="CH87" s="48">
        <v>0.54922000000000004</v>
      </c>
      <c r="CM87" s="38">
        <v>1.2</v>
      </c>
      <c r="CS87" s="48">
        <v>0.54922000000000004</v>
      </c>
      <c r="CY87" s="38">
        <v>0.155</v>
      </c>
      <c r="DD87" s="38">
        <v>1.6483999999999999E-2</v>
      </c>
      <c r="DE87" s="48">
        <v>0.54922000000000004</v>
      </c>
      <c r="DY87" s="48">
        <v>0.54922000000000004</v>
      </c>
      <c r="EG87" s="48">
        <v>0.54922000000000004</v>
      </c>
      <c r="EP87" s="38">
        <v>1.265523</v>
      </c>
      <c r="EU87" s="48">
        <v>0.54922000000000004</v>
      </c>
      <c r="EV87" s="48">
        <v>0.54922000000000004</v>
      </c>
      <c r="EW87" s="48">
        <v>0.54922000000000004</v>
      </c>
      <c r="FJ87" s="48">
        <v>0.54922000000000004</v>
      </c>
      <c r="FT87" s="49">
        <v>0.54922000000000004</v>
      </c>
      <c r="FU87" s="48">
        <v>0.54922000000000004</v>
      </c>
      <c r="GH87" s="48">
        <v>0.54922000000000004</v>
      </c>
      <c r="GJ87" s="48">
        <v>0.54922000000000004</v>
      </c>
      <c r="GU87" s="43" t="str">
        <f t="shared" si="8"/>
        <v/>
      </c>
      <c r="GV87" s="43">
        <f t="shared" si="9"/>
        <v>0.54921990476190474</v>
      </c>
    </row>
    <row r="88" spans="1:204" ht="15" customHeight="1" x14ac:dyDescent="0.2">
      <c r="A88" s="3" t="s">
        <v>413</v>
      </c>
      <c r="B88" s="3" t="s">
        <v>414</v>
      </c>
      <c r="C88" s="3" t="s">
        <v>408</v>
      </c>
      <c r="D88" s="40">
        <f t="shared" si="10"/>
        <v>1.1278162075471703</v>
      </c>
      <c r="F88" s="48">
        <v>1.8869229999999999</v>
      </c>
      <c r="G88" s="48">
        <v>1.8869229999999999</v>
      </c>
      <c r="K88" s="48">
        <v>1.8869229999999999</v>
      </c>
      <c r="M88" s="48">
        <v>0.34956999999999999</v>
      </c>
      <c r="N88" s="48">
        <v>1.8869229999999999</v>
      </c>
      <c r="S88" s="48">
        <v>0.34956999999999999</v>
      </c>
      <c r="T88" s="48">
        <v>0.34956999999999999</v>
      </c>
      <c r="Y88" s="48">
        <v>1.8869229999999999</v>
      </c>
      <c r="AC88" s="48">
        <v>0.34956999999999999</v>
      </c>
      <c r="AV88" s="48">
        <v>1.8869229999999999</v>
      </c>
      <c r="AX88" s="48">
        <v>1.8869229999999999</v>
      </c>
      <c r="AY88" s="48">
        <v>0.34956999999999999</v>
      </c>
      <c r="BC88" s="48">
        <v>0.34956999999999999</v>
      </c>
      <c r="BH88" s="48">
        <v>1.8869229999999999</v>
      </c>
      <c r="BL88" s="48">
        <v>0.34956999999999999</v>
      </c>
      <c r="BO88" s="48">
        <v>0.34956999999999999</v>
      </c>
      <c r="BQ88" s="48">
        <v>0.34956999999999999</v>
      </c>
      <c r="BR88" s="48">
        <v>0.34956999999999999</v>
      </c>
      <c r="BV88" s="48">
        <v>1.8869229999999999</v>
      </c>
      <c r="BW88" s="48">
        <v>0.34956999999999999</v>
      </c>
      <c r="BY88" s="48">
        <v>1.8869229999999999</v>
      </c>
      <c r="CG88" s="48">
        <v>0.34956999999999999</v>
      </c>
      <c r="CH88" s="48">
        <v>0.34956999999999999</v>
      </c>
      <c r="CI88">
        <f>AVERAGE(0.75+0.5+0.775,1.25+0.45+8.75)</f>
        <v>6.2374999999999998</v>
      </c>
      <c r="CM88" s="48">
        <v>0.34956999999999999</v>
      </c>
      <c r="CN88" s="48">
        <v>1.8869229999999999</v>
      </c>
      <c r="CO88" s="48">
        <v>1.8869229999999999</v>
      </c>
      <c r="CS88" s="48">
        <v>0.34956999999999999</v>
      </c>
      <c r="CY88" s="48">
        <v>0.34956999999999999</v>
      </c>
      <c r="CZ88" s="48">
        <v>1.8869229999999999</v>
      </c>
      <c r="DD88" s="48">
        <v>0.34956999999999999</v>
      </c>
      <c r="DE88" s="48">
        <v>0.34956999999999999</v>
      </c>
      <c r="DK88" s="48">
        <v>1.8869229999999999</v>
      </c>
      <c r="DR88" s="48">
        <v>1.8869229999999999</v>
      </c>
      <c r="DS88" s="48">
        <v>1.8869229999999999</v>
      </c>
      <c r="DY88" s="48">
        <v>0.34956999999999999</v>
      </c>
      <c r="EF88" s="48">
        <v>1.8869229999999999</v>
      </c>
      <c r="EG88" s="48">
        <v>0.34956999999999999</v>
      </c>
      <c r="EP88" s="48">
        <v>0.34956999999999999</v>
      </c>
      <c r="EQ88">
        <v>1.8869229999999999</v>
      </c>
      <c r="EU88" s="48">
        <v>0.34956999999999999</v>
      </c>
      <c r="EV88">
        <v>0.34956999999999999</v>
      </c>
      <c r="EW88" s="48">
        <v>0.34956999999999999</v>
      </c>
      <c r="FF88" s="48">
        <v>1.8869229999999999</v>
      </c>
      <c r="FJ88" s="48">
        <v>0.34956999999999999</v>
      </c>
      <c r="FK88" s="48">
        <v>1.8869229999999999</v>
      </c>
      <c r="FP88" s="48">
        <v>1.8869229999999999</v>
      </c>
      <c r="FT88" s="49">
        <v>0.34956999999999999</v>
      </c>
      <c r="FU88" s="48">
        <v>0.34956999999999999</v>
      </c>
      <c r="GC88" s="48">
        <v>1.8869229999999999</v>
      </c>
      <c r="GF88" s="48">
        <v>1.8869229999999999</v>
      </c>
      <c r="GH88" s="48">
        <v>0.34956999999999999</v>
      </c>
      <c r="GJ88" s="48">
        <v>0.34956999999999999</v>
      </c>
      <c r="GU88" s="43">
        <f t="shared" si="8"/>
        <v>1.8869229999999997</v>
      </c>
      <c r="GV88" s="43">
        <f t="shared" si="9"/>
        <v>0.34956999999999999</v>
      </c>
    </row>
    <row r="89" spans="1:204" ht="15" customHeight="1" x14ac:dyDescent="0.2">
      <c r="A89" s="3" t="s">
        <v>423</v>
      </c>
      <c r="B89" s="3" t="s">
        <v>424</v>
      </c>
      <c r="C89" s="3" t="s">
        <v>405</v>
      </c>
      <c r="D89" s="40">
        <f t="shared" si="10"/>
        <v>0.49317521153846167</v>
      </c>
      <c r="F89" s="48">
        <v>1.6143000000000001E-2</v>
      </c>
      <c r="G89" s="48">
        <v>1.6143000000000001E-2</v>
      </c>
      <c r="K89" s="48">
        <v>1.6143000000000001E-2</v>
      </c>
      <c r="M89" s="38">
        <v>0.75648899999999997</v>
      </c>
      <c r="N89" s="48">
        <v>1.6143000000000001E-2</v>
      </c>
      <c r="S89" s="48">
        <v>0.87151100000000004</v>
      </c>
      <c r="T89" s="48">
        <v>0.87151100000000004</v>
      </c>
      <c r="Y89" s="48">
        <v>1.6143000000000001E-2</v>
      </c>
      <c r="AC89" s="48">
        <v>0.87151100000000004</v>
      </c>
      <c r="AV89" s="48">
        <v>1.6143000000000001E-2</v>
      </c>
      <c r="AX89" s="48">
        <v>1.6143000000000001E-2</v>
      </c>
      <c r="AY89" s="48">
        <v>0.87151100000000004</v>
      </c>
      <c r="BC89">
        <v>1.22</v>
      </c>
      <c r="BH89" s="48">
        <v>1.6143000000000001E-2</v>
      </c>
      <c r="BL89" s="38">
        <v>0.97686700000000004</v>
      </c>
      <c r="BO89" s="48">
        <v>0.87151100000000004</v>
      </c>
      <c r="BQ89" s="38">
        <v>0.46590900000000002</v>
      </c>
      <c r="BR89" s="48">
        <v>0.87151100000000004</v>
      </c>
      <c r="BV89" s="48">
        <v>1.6143000000000001E-2</v>
      </c>
      <c r="BW89" s="48">
        <v>0.87151100000000004</v>
      </c>
      <c r="BY89" s="48">
        <v>1.6143000000000001E-2</v>
      </c>
      <c r="CG89" s="48">
        <v>0.87151100000000004</v>
      </c>
      <c r="CH89" s="48">
        <v>0.87151100000000004</v>
      </c>
      <c r="CM89" s="48">
        <v>0.87151100000000004</v>
      </c>
      <c r="CN89" s="48">
        <v>1.6143000000000001E-2</v>
      </c>
      <c r="CO89" s="48">
        <v>1.6143000000000001E-2</v>
      </c>
      <c r="CS89" s="48">
        <v>0.87151100000000004</v>
      </c>
      <c r="CY89" s="38">
        <v>1.044513</v>
      </c>
      <c r="CZ89" s="48">
        <v>1.6143000000000001E-2</v>
      </c>
      <c r="DD89" s="38">
        <v>0.23666100000000001</v>
      </c>
      <c r="DE89" s="38">
        <v>1.4837400000000001</v>
      </c>
      <c r="DK89" s="48">
        <v>1.6143000000000001E-2</v>
      </c>
      <c r="DR89" s="48">
        <v>1.6143000000000001E-2</v>
      </c>
      <c r="DS89" s="48">
        <v>1.6143000000000001E-2</v>
      </c>
      <c r="DY89" s="48">
        <v>0.87151100000000004</v>
      </c>
      <c r="EF89" s="48">
        <v>1.6143000000000001E-2</v>
      </c>
      <c r="EG89" s="48">
        <v>0.87151100000000004</v>
      </c>
      <c r="EP89" s="38">
        <v>0.27997699999999998</v>
      </c>
      <c r="EQ89" s="38">
        <v>1.6143000000000001E-2</v>
      </c>
      <c r="EU89" s="48">
        <v>0.87151100000000004</v>
      </c>
      <c r="EV89" s="38">
        <v>0.56836100000000001</v>
      </c>
      <c r="EW89" s="48">
        <v>0.87151100000000004</v>
      </c>
      <c r="FF89" s="48">
        <v>1.6143000000000001E-2</v>
      </c>
      <c r="FJ89" s="38">
        <v>1.8616330000000001</v>
      </c>
      <c r="FK89" s="48">
        <v>1.6143000000000001E-2</v>
      </c>
      <c r="FP89" s="48">
        <v>1.6143000000000001E-2</v>
      </c>
      <c r="FT89" s="39">
        <v>0.69247400000000003</v>
      </c>
      <c r="FU89" s="48">
        <v>0.87151100000000004</v>
      </c>
      <c r="GC89" s="48">
        <v>1.6143000000000001E-2</v>
      </c>
      <c r="GF89" s="48">
        <v>1.6143000000000001E-2</v>
      </c>
      <c r="GH89" s="48">
        <v>0.87151100000000004</v>
      </c>
      <c r="GJ89" s="48">
        <v>0.87151100000000004</v>
      </c>
      <c r="GU89" s="43">
        <f t="shared" si="8"/>
        <v>1.6143000000000001E-2</v>
      </c>
      <c r="GV89" s="43">
        <f t="shared" si="9"/>
        <v>0.87151114285714304</v>
      </c>
    </row>
    <row r="90" spans="1:204" ht="15" customHeight="1" x14ac:dyDescent="0.2">
      <c r="A90" s="3" t="s">
        <v>415</v>
      </c>
      <c r="B90" s="3" t="s">
        <v>416</v>
      </c>
      <c r="C90" s="3" t="s">
        <v>408</v>
      </c>
      <c r="D90" s="40">
        <f t="shared" si="10"/>
        <v>0.31519000000000003</v>
      </c>
      <c r="M90" s="48">
        <v>0.31519000000000003</v>
      </c>
      <c r="S90" s="48">
        <v>0.31519000000000003</v>
      </c>
      <c r="T90" s="48">
        <v>0.31519000000000003</v>
      </c>
      <c r="AC90" s="48">
        <v>0.31519000000000003</v>
      </c>
      <c r="AY90" s="48">
        <v>0.31519000000000003</v>
      </c>
      <c r="BC90" s="48">
        <v>0.31519000000000003</v>
      </c>
      <c r="BL90" s="48">
        <v>0.31519000000000003</v>
      </c>
      <c r="BO90" s="48">
        <v>0.31519000000000003</v>
      </c>
      <c r="BQ90" s="48">
        <v>0.31519000000000003</v>
      </c>
      <c r="BR90" s="48">
        <v>0.31519000000000003</v>
      </c>
      <c r="BW90" s="48">
        <v>0.31519000000000003</v>
      </c>
      <c r="CG90" s="48">
        <v>0.31519000000000003</v>
      </c>
      <c r="CH90" s="48">
        <v>0.31519000000000003</v>
      </c>
      <c r="CM90" s="48">
        <v>0.31519000000000003</v>
      </c>
      <c r="CS90" s="48">
        <v>0.31519000000000003</v>
      </c>
      <c r="CY90" s="48">
        <v>0.31519000000000003</v>
      </c>
      <c r="DD90" s="48">
        <v>0.31519000000000003</v>
      </c>
      <c r="DE90" s="48">
        <v>0.31519000000000003</v>
      </c>
      <c r="DY90" s="48">
        <v>0.31519000000000003</v>
      </c>
      <c r="EG90" s="48">
        <v>0.31519000000000003</v>
      </c>
      <c r="EP90" s="48">
        <v>0.31519000000000003</v>
      </c>
      <c r="EU90" s="48">
        <v>0.31519000000000003</v>
      </c>
      <c r="EV90" s="38">
        <v>0.218666</v>
      </c>
      <c r="EW90" s="48">
        <v>0.31519000000000003</v>
      </c>
      <c r="FJ90" s="38">
        <v>0.41171400000000002</v>
      </c>
      <c r="FT90" s="49">
        <v>0.31519000000000003</v>
      </c>
      <c r="FU90" s="48">
        <v>0.31519000000000003</v>
      </c>
      <c r="GH90" s="48">
        <v>0.31519000000000003</v>
      </c>
      <c r="GJ90" s="48">
        <v>0.31519000000000003</v>
      </c>
      <c r="GU90" s="43" t="str">
        <f t="shared" si="8"/>
        <v/>
      </c>
      <c r="GV90" s="43">
        <f t="shared" si="9"/>
        <v>0.31519000000000003</v>
      </c>
    </row>
    <row r="91" spans="1:204" ht="15" customHeight="1" x14ac:dyDescent="0.2">
      <c r="A91" s="3" t="s">
        <v>528</v>
      </c>
      <c r="B91" s="3" t="s">
        <v>529</v>
      </c>
      <c r="C91" s="3" t="s">
        <v>455</v>
      </c>
      <c r="D91" s="40">
        <f t="shared" si="10"/>
        <v>5.0907073269230727</v>
      </c>
      <c r="F91" s="48">
        <v>3.6711109999999998</v>
      </c>
      <c r="G91" s="48">
        <v>3.6711109999999998</v>
      </c>
      <c r="K91" s="48">
        <v>3.6711109999999998</v>
      </c>
      <c r="M91" s="48">
        <v>6.2165939999999997</v>
      </c>
      <c r="N91" s="48">
        <v>3.6711109999999998</v>
      </c>
      <c r="S91" s="48">
        <v>6.2165939999999997</v>
      </c>
      <c r="T91" s="48">
        <v>6.2165939999999997</v>
      </c>
      <c r="Y91" s="48">
        <v>3.6711109999999998</v>
      </c>
      <c r="AC91" s="48">
        <v>6.2165939999999997</v>
      </c>
      <c r="AV91" s="48">
        <v>3.6711109999999998</v>
      </c>
      <c r="AX91">
        <v>3.6711109999999998</v>
      </c>
      <c r="AY91" s="48">
        <v>6.2165939999999997</v>
      </c>
      <c r="BC91">
        <v>1.41</v>
      </c>
      <c r="BH91" s="48">
        <v>3.6711109999999998</v>
      </c>
      <c r="BL91" s="48">
        <v>6.2165939999999997</v>
      </c>
      <c r="BO91" s="48">
        <v>6.2165939999999997</v>
      </c>
      <c r="BQ91" s="48">
        <v>6.2165939999999997</v>
      </c>
      <c r="BR91">
        <v>22.868164</v>
      </c>
      <c r="BV91" s="48">
        <v>3.6711109999999998</v>
      </c>
      <c r="BW91" s="48">
        <v>6.2165939999999997</v>
      </c>
      <c r="BY91" s="48">
        <v>3.6711109999999998</v>
      </c>
      <c r="CG91" s="48">
        <v>6.2165939999999997</v>
      </c>
      <c r="CH91" s="48">
        <v>6.2165939999999997</v>
      </c>
      <c r="CM91" s="48">
        <v>6.2165939999999997</v>
      </c>
      <c r="CN91" s="48">
        <v>3.6711109999999998</v>
      </c>
      <c r="CO91" s="48">
        <v>3.6711109999999998</v>
      </c>
      <c r="CS91" s="48">
        <v>6.2165939999999997</v>
      </c>
      <c r="CY91">
        <v>0.72548999999999997</v>
      </c>
      <c r="CZ91" s="48">
        <v>3.6711109999999998</v>
      </c>
      <c r="DD91" s="48">
        <v>6.2165939999999997</v>
      </c>
      <c r="DE91" s="48">
        <v>6.2165939999999997</v>
      </c>
      <c r="DK91" s="48">
        <v>3.6711109999999998</v>
      </c>
      <c r="DR91" s="48">
        <v>3.6711109999999998</v>
      </c>
      <c r="DS91" s="48">
        <v>3.6711109999999998</v>
      </c>
      <c r="DY91" s="48">
        <v>6.2165939999999997</v>
      </c>
      <c r="EF91" s="48">
        <v>3.6711109999999998</v>
      </c>
      <c r="EG91" s="48">
        <v>6.2165939999999997</v>
      </c>
      <c r="EP91" s="38">
        <v>5.36524</v>
      </c>
      <c r="EQ91" s="48">
        <v>3.6711109999999998</v>
      </c>
      <c r="EU91" s="48">
        <v>6.2165939999999997</v>
      </c>
      <c r="EV91" s="38">
        <v>0.84067199999999997</v>
      </c>
      <c r="EW91" s="48">
        <v>6.2165939999999997</v>
      </c>
      <c r="FF91" s="48">
        <v>3.6711109999999998</v>
      </c>
      <c r="FJ91" s="48">
        <v>6.2165939999999997</v>
      </c>
      <c r="FK91" s="48">
        <v>3.6711109999999998</v>
      </c>
      <c r="FP91" s="48">
        <v>3.6711109999999998</v>
      </c>
      <c r="FT91" s="40">
        <v>6.09</v>
      </c>
      <c r="FU91" s="48">
        <v>6.2165939999999997</v>
      </c>
      <c r="GC91" s="48">
        <v>3.6711109999999998</v>
      </c>
      <c r="GF91" s="48">
        <v>3.6711109999999998</v>
      </c>
      <c r="GH91" s="48">
        <v>6.2165939999999997</v>
      </c>
      <c r="GJ91" s="48">
        <v>6.2165939999999997</v>
      </c>
      <c r="GU91" s="43">
        <f t="shared" si="8"/>
        <v>3.6711109999999998</v>
      </c>
      <c r="GV91" s="43">
        <f t="shared" si="9"/>
        <v>6.2165940952380954</v>
      </c>
    </row>
    <row r="92" spans="1:204" ht="15" customHeight="1" x14ac:dyDescent="0.2">
      <c r="A92" s="3" t="s">
        <v>565</v>
      </c>
      <c r="B92" s="3" t="s">
        <v>566</v>
      </c>
      <c r="C92" s="3" t="s">
        <v>567</v>
      </c>
      <c r="D92" s="40">
        <f t="shared" si="10"/>
        <v>1.2582644905660374</v>
      </c>
      <c r="F92" s="48">
        <v>1.0482990000000001</v>
      </c>
      <c r="G92" s="48">
        <v>1.0482990000000001</v>
      </c>
      <c r="J92">
        <v>0.92</v>
      </c>
      <c r="K92" s="48">
        <v>1.0482990000000001</v>
      </c>
      <c r="M92">
        <v>0.60981300000000005</v>
      </c>
      <c r="N92" s="48">
        <v>1.0482990000000001</v>
      </c>
      <c r="S92" s="48">
        <v>1.436453</v>
      </c>
      <c r="T92">
        <v>2.4155769999999999</v>
      </c>
      <c r="Y92" s="48">
        <v>1.0482990000000001</v>
      </c>
      <c r="AC92">
        <v>1.2910509999999999</v>
      </c>
      <c r="AV92">
        <v>1.16936</v>
      </c>
      <c r="AX92" s="48">
        <v>1.0482990000000001</v>
      </c>
      <c r="AY92" s="48">
        <v>1.436453</v>
      </c>
      <c r="BC92" s="48">
        <v>1.436453</v>
      </c>
      <c r="BH92" s="48">
        <v>1.0482990000000001</v>
      </c>
      <c r="BL92" s="48">
        <v>1.436453</v>
      </c>
      <c r="BO92" s="48">
        <v>1.436453</v>
      </c>
      <c r="BQ92">
        <v>0.57744799999999996</v>
      </c>
      <c r="BR92">
        <v>2.1456569999999999</v>
      </c>
      <c r="BV92" s="48">
        <v>1.0482990000000001</v>
      </c>
      <c r="BW92" s="48">
        <v>1.436453</v>
      </c>
      <c r="BY92" s="48">
        <v>1.0482990000000001</v>
      </c>
      <c r="CG92">
        <v>3.8632870000000001</v>
      </c>
      <c r="CH92" s="48">
        <v>1.436453</v>
      </c>
      <c r="CM92" s="48">
        <v>1.436453</v>
      </c>
      <c r="CN92" s="48">
        <v>1.0482990000000001</v>
      </c>
      <c r="CO92" s="48">
        <v>1.0482990000000001</v>
      </c>
      <c r="CS92" s="48">
        <v>1.436453</v>
      </c>
      <c r="CY92" s="48">
        <v>1.436453</v>
      </c>
      <c r="CZ92" s="48">
        <v>1.0482990000000001</v>
      </c>
      <c r="DD92" s="48">
        <v>1.436453</v>
      </c>
      <c r="DE92" s="48">
        <v>1.436453</v>
      </c>
      <c r="DK92" s="48">
        <v>1.0482990000000001</v>
      </c>
      <c r="DR92" s="48">
        <v>1.0482990000000001</v>
      </c>
      <c r="DS92" s="48">
        <v>1.0482990000000001</v>
      </c>
      <c r="DY92">
        <v>1.251701</v>
      </c>
      <c r="EF92" s="48">
        <v>1.0482990000000001</v>
      </c>
      <c r="EG92" s="48">
        <v>1.436453</v>
      </c>
      <c r="EP92" s="48">
        <v>1.436453</v>
      </c>
      <c r="EQ92" s="48">
        <v>1.0482990000000001</v>
      </c>
      <c r="EU92" s="48">
        <v>1.436453</v>
      </c>
      <c r="EV92">
        <v>0.65990099999999996</v>
      </c>
      <c r="EW92" s="48">
        <v>1.436453</v>
      </c>
      <c r="FF92" s="48">
        <v>1.0482990000000001</v>
      </c>
      <c r="FJ92">
        <v>0.77280199999999999</v>
      </c>
      <c r="FK92">
        <v>0.92723900000000004</v>
      </c>
      <c r="FP92" s="48">
        <v>1.0482990000000001</v>
      </c>
      <c r="FT92" s="40">
        <v>0.77729599999999999</v>
      </c>
      <c r="FU92" s="48">
        <v>1.436453</v>
      </c>
      <c r="GC92" s="48">
        <v>1.0482990000000001</v>
      </c>
      <c r="GF92" s="48">
        <v>1.0482990000000001</v>
      </c>
      <c r="GH92" s="48">
        <v>1.436453</v>
      </c>
      <c r="GJ92" s="48">
        <v>1.436453</v>
      </c>
      <c r="GU92" s="43">
        <f t="shared" si="8"/>
        <v>1.048299125</v>
      </c>
      <c r="GV92" s="43">
        <f t="shared" si="9"/>
        <v>1.4364531428571428</v>
      </c>
    </row>
    <row r="93" spans="1:204" ht="15" customHeight="1" x14ac:dyDescent="0.2">
      <c r="A93" s="3" t="s">
        <v>449</v>
      </c>
      <c r="B93" s="3" t="s">
        <v>450</v>
      </c>
      <c r="C93" s="3" t="s">
        <v>438</v>
      </c>
      <c r="D93" s="40">
        <f t="shared" si="10"/>
        <v>2.6375114230769232</v>
      </c>
      <c r="F93" s="48">
        <v>2.7979159999999998</v>
      </c>
      <c r="G93" s="48">
        <v>2.7979159999999998</v>
      </c>
      <c r="K93" s="48">
        <v>2.7979159999999998</v>
      </c>
      <c r="M93" s="48">
        <v>2.510294</v>
      </c>
      <c r="N93" s="48">
        <v>2.7979159999999998</v>
      </c>
      <c r="S93" s="48">
        <v>2.510294</v>
      </c>
      <c r="T93" s="48">
        <v>2.510294</v>
      </c>
      <c r="Y93" s="48">
        <v>2.7979159999999998</v>
      </c>
      <c r="AC93" s="48">
        <v>2.510294</v>
      </c>
      <c r="AV93" s="48">
        <v>2.7979159999999998</v>
      </c>
      <c r="AX93" s="38">
        <v>0.95</v>
      </c>
      <c r="AY93" s="48">
        <v>2.510294</v>
      </c>
      <c r="BC93">
        <v>1.85</v>
      </c>
      <c r="BH93" s="48">
        <v>2.7979159999999998</v>
      </c>
      <c r="BL93" s="48">
        <v>2.510294</v>
      </c>
      <c r="BO93" s="48">
        <v>2.510294</v>
      </c>
      <c r="BQ93" s="48">
        <v>2.510294</v>
      </c>
      <c r="BR93" s="48">
        <v>2.510294</v>
      </c>
      <c r="BV93" s="48">
        <v>2.7979159999999998</v>
      </c>
      <c r="BW93" s="48">
        <v>2.510294</v>
      </c>
      <c r="BY93" s="48">
        <v>2.7979159999999998</v>
      </c>
      <c r="CG93" s="48">
        <v>2.510294</v>
      </c>
      <c r="CH93" s="48">
        <v>2.510294</v>
      </c>
      <c r="CM93" s="38">
        <v>3.8411759999999999</v>
      </c>
      <c r="CN93" s="48">
        <v>2.7979159999999998</v>
      </c>
      <c r="CO93" s="48">
        <v>2.7979159999999998</v>
      </c>
      <c r="CS93" s="48">
        <v>2.510294</v>
      </c>
      <c r="CY93" s="48">
        <v>2.510294</v>
      </c>
      <c r="CZ93" s="48">
        <v>2.7979159999999998</v>
      </c>
      <c r="DD93" s="48">
        <v>2.510294</v>
      </c>
      <c r="DE93" s="48">
        <v>2.510294</v>
      </c>
      <c r="DK93" s="48">
        <v>2.7979159999999998</v>
      </c>
      <c r="DR93" s="48">
        <v>2.7979159999999998</v>
      </c>
      <c r="DS93" s="48">
        <v>2.7979159999999998</v>
      </c>
      <c r="DY93" s="48">
        <v>2.510294</v>
      </c>
      <c r="EF93" s="48">
        <v>2.7979159999999998</v>
      </c>
      <c r="EG93" s="48">
        <v>2.510294</v>
      </c>
      <c r="EP93" s="48">
        <v>2.510294</v>
      </c>
      <c r="EQ93" s="38">
        <v>7.4413039999999997</v>
      </c>
      <c r="EU93" s="48">
        <v>2.510294</v>
      </c>
      <c r="EV93" s="38">
        <v>2.7</v>
      </c>
      <c r="EW93" s="48">
        <v>2.510294</v>
      </c>
      <c r="FF93" s="48">
        <v>2.7979159999999998</v>
      </c>
      <c r="FJ93" s="48">
        <v>2.510294</v>
      </c>
      <c r="FK93" s="48">
        <v>2.7979159999999998</v>
      </c>
      <c r="FP93" s="38">
        <v>2.444E-3</v>
      </c>
      <c r="FT93" s="40">
        <v>1.65</v>
      </c>
      <c r="FU93" s="48">
        <v>2.510294</v>
      </c>
      <c r="GC93" s="48">
        <v>2.7979159999999998</v>
      </c>
      <c r="GF93" s="48">
        <v>2.7979159999999998</v>
      </c>
      <c r="GH93" s="48">
        <v>2.510294</v>
      </c>
      <c r="GJ93" s="48">
        <v>2.510294</v>
      </c>
      <c r="GU93" s="43">
        <f t="shared" si="8"/>
        <v>2.7979160000000003</v>
      </c>
      <c r="GV93" s="43">
        <f t="shared" si="9"/>
        <v>2.5102940000000009</v>
      </c>
    </row>
    <row r="94" spans="1:204" ht="15" customHeight="1" x14ac:dyDescent="0.2">
      <c r="A94" s="3" t="s">
        <v>545</v>
      </c>
      <c r="B94" s="3" t="s">
        <v>546</v>
      </c>
      <c r="C94" s="3" t="s">
        <v>455</v>
      </c>
      <c r="D94" s="40">
        <f t="shared" si="10"/>
        <v>10.468197249999996</v>
      </c>
      <c r="F94" s="48">
        <v>19.302192999999999</v>
      </c>
      <c r="G94" s="48">
        <v>19.302192999999999</v>
      </c>
      <c r="K94" s="48">
        <v>19.302192999999999</v>
      </c>
      <c r="M94" s="48">
        <v>3.4619249999999999</v>
      </c>
      <c r="N94" s="48">
        <v>19.302192999999999</v>
      </c>
      <c r="S94" s="48">
        <v>3.4619249999999999</v>
      </c>
      <c r="T94" s="48">
        <v>3.4619249999999999</v>
      </c>
      <c r="Y94" s="48">
        <v>19.302192999999999</v>
      </c>
      <c r="AC94" s="48">
        <v>3.4619249999999999</v>
      </c>
      <c r="AV94" s="48">
        <v>19.302192999999999</v>
      </c>
      <c r="AX94">
        <v>3.92</v>
      </c>
      <c r="AY94" s="48">
        <v>3.4619249999999999</v>
      </c>
      <c r="BC94">
        <v>1.41</v>
      </c>
      <c r="BH94" s="48">
        <v>19.302192999999999</v>
      </c>
      <c r="BL94">
        <v>0.32294</v>
      </c>
      <c r="BO94" s="48">
        <v>3.4619249999999999</v>
      </c>
      <c r="BQ94">
        <v>1.7635860000000001</v>
      </c>
      <c r="BR94">
        <v>2.4571429999999999</v>
      </c>
      <c r="BV94" s="48">
        <v>19.302192999999999</v>
      </c>
      <c r="BW94" s="48">
        <v>3.4619249999999999</v>
      </c>
      <c r="BY94" s="48">
        <v>19.302192999999999</v>
      </c>
      <c r="CG94" s="48">
        <v>3.4619249999999999</v>
      </c>
      <c r="CH94" s="48">
        <v>3.4619249999999999</v>
      </c>
      <c r="CM94">
        <v>8.3910610000000005</v>
      </c>
      <c r="CN94" s="48">
        <v>19.302192999999999</v>
      </c>
      <c r="CO94" s="48">
        <v>19.302192999999999</v>
      </c>
      <c r="CS94" s="48">
        <v>3.4619249999999999</v>
      </c>
      <c r="CY94">
        <v>0.29139100000000001</v>
      </c>
      <c r="CZ94" s="48">
        <v>19.302192999999999</v>
      </c>
      <c r="DD94">
        <v>0.17746100000000001</v>
      </c>
      <c r="DE94" s="48">
        <v>3.4619249999999999</v>
      </c>
      <c r="DK94" s="48">
        <v>19.302192999999999</v>
      </c>
      <c r="DR94" s="48">
        <v>19.302192999999999</v>
      </c>
      <c r="DS94" s="48">
        <v>19.302192999999999</v>
      </c>
      <c r="DY94">
        <v>16.264150999999998</v>
      </c>
      <c r="EF94" s="48">
        <v>19.302192999999999</v>
      </c>
      <c r="EG94">
        <v>5.6828960000000004</v>
      </c>
      <c r="EP94">
        <v>2.446895</v>
      </c>
      <c r="EQ94">
        <v>34.684384999999999</v>
      </c>
      <c r="EU94" s="48">
        <v>3.4619249999999999</v>
      </c>
      <c r="EV94">
        <v>1.697495</v>
      </c>
      <c r="EW94" s="48">
        <v>3.4619249999999999</v>
      </c>
      <c r="FF94" s="48">
        <v>19.302192999999999</v>
      </c>
      <c r="FJ94">
        <v>1.85</v>
      </c>
      <c r="FK94" s="48">
        <v>19.302192999999999</v>
      </c>
      <c r="FP94" s="48">
        <v>19.302192999999999</v>
      </c>
      <c r="FT94" s="40">
        <v>2.25</v>
      </c>
      <c r="FU94" s="48">
        <v>3.4619249999999999</v>
      </c>
      <c r="GC94" s="48">
        <v>19.302192999999999</v>
      </c>
      <c r="GF94" s="48">
        <v>19.302192999999999</v>
      </c>
      <c r="GH94" s="48">
        <v>3.4619249999999999</v>
      </c>
      <c r="GJ94" s="48">
        <v>3.4619249999999999</v>
      </c>
      <c r="GU94" s="43">
        <f t="shared" si="8"/>
        <v>19.302192874999999</v>
      </c>
      <c r="GV94" s="43">
        <f t="shared" si="9"/>
        <v>3.4619247142857139</v>
      </c>
    </row>
    <row r="95" spans="1:204" ht="15" customHeight="1" x14ac:dyDescent="0.2">
      <c r="A95" s="3" t="s">
        <v>626</v>
      </c>
      <c r="B95" s="3" t="s">
        <v>627</v>
      </c>
      <c r="C95" s="3" t="s">
        <v>628</v>
      </c>
      <c r="D95" s="40">
        <f t="shared" si="10"/>
        <v>4.6644895576923089</v>
      </c>
      <c r="F95" s="48">
        <v>4.8546459999999998</v>
      </c>
      <c r="G95" s="48">
        <v>4.8546459999999998</v>
      </c>
      <c r="K95" s="48">
        <v>4.8546459999999998</v>
      </c>
      <c r="M95">
        <v>13.82827</v>
      </c>
      <c r="N95" s="48">
        <v>4.8546459999999998</v>
      </c>
      <c r="S95" s="48">
        <v>4.5136760000000002</v>
      </c>
      <c r="T95">
        <v>7.97349</v>
      </c>
      <c r="Y95" s="48">
        <v>4.8546459999999998</v>
      </c>
      <c r="AC95" s="48">
        <v>4.5136760000000002</v>
      </c>
      <c r="AV95">
        <v>4.8546459999999998</v>
      </c>
      <c r="AX95" s="48">
        <v>4.8546459999999998</v>
      </c>
      <c r="AY95">
        <v>4.4902410000000001</v>
      </c>
      <c r="BC95">
        <v>3</v>
      </c>
      <c r="BH95" s="48">
        <v>4.8546459999999998</v>
      </c>
      <c r="BL95" s="48">
        <v>4.5136760000000002</v>
      </c>
      <c r="BO95" s="48">
        <v>4.5136760000000002</v>
      </c>
      <c r="BQ95">
        <v>1.7636419999999999</v>
      </c>
      <c r="BR95">
        <v>5.3495140000000001</v>
      </c>
      <c r="BV95" s="48">
        <v>4.8546459999999998</v>
      </c>
      <c r="BW95">
        <v>4.9036619999999997</v>
      </c>
      <c r="BY95" s="48">
        <v>4.8546459999999998</v>
      </c>
      <c r="CG95" s="48">
        <v>4.5136760000000002</v>
      </c>
      <c r="CH95" s="48">
        <v>4.5136760000000002</v>
      </c>
      <c r="CM95" s="48">
        <v>4.5136760000000002</v>
      </c>
      <c r="CN95" s="48">
        <v>4.8546459999999998</v>
      </c>
      <c r="CO95" s="48">
        <v>4.8546459999999998</v>
      </c>
      <c r="CS95" s="48">
        <v>4.5136760000000002</v>
      </c>
      <c r="CY95" s="48">
        <v>4.5136760000000002</v>
      </c>
      <c r="CZ95" s="48">
        <v>4.8546459999999998</v>
      </c>
      <c r="DD95">
        <v>3.1730670000000001</v>
      </c>
      <c r="DE95" s="48">
        <v>4.5136760000000002</v>
      </c>
      <c r="DK95" s="48">
        <v>4.8546459999999998</v>
      </c>
      <c r="DR95" s="48">
        <v>4.8546459999999998</v>
      </c>
      <c r="DS95" s="48">
        <v>4.8546459999999998</v>
      </c>
      <c r="DY95">
        <v>4.5696500000000002</v>
      </c>
      <c r="EF95" s="48">
        <v>4.8546459999999998</v>
      </c>
      <c r="EG95" s="48">
        <v>4.5136760000000002</v>
      </c>
      <c r="EP95">
        <v>1.9338409999999999</v>
      </c>
      <c r="EQ95" s="48">
        <v>4.8546459999999998</v>
      </c>
      <c r="EU95" s="48">
        <v>4.5136760000000002</v>
      </c>
      <c r="EV95">
        <v>2.1101559999999999</v>
      </c>
      <c r="EW95" s="48">
        <v>4.5136760000000002</v>
      </c>
      <c r="FF95" s="48">
        <v>4.8546459999999998</v>
      </c>
      <c r="FJ95">
        <v>5.4418129999999998</v>
      </c>
      <c r="FK95" s="48">
        <v>4.8546459999999998</v>
      </c>
      <c r="FP95" s="48">
        <v>4.8546459999999998</v>
      </c>
      <c r="FT95" s="40">
        <v>0.14043700000000001</v>
      </c>
      <c r="FU95" s="48">
        <v>4.5136760000000002</v>
      </c>
      <c r="GC95" s="48">
        <v>4.8546459999999998</v>
      </c>
      <c r="GF95" s="48">
        <v>4.8546459999999998</v>
      </c>
      <c r="GH95" s="48">
        <v>4.5136760000000002</v>
      </c>
      <c r="GJ95" s="48">
        <v>4.5136760000000002</v>
      </c>
      <c r="GU95" s="43">
        <f t="shared" si="8"/>
        <v>4.8546459999999998</v>
      </c>
      <c r="GV95" s="43">
        <f t="shared" si="9"/>
        <v>4.5136757619047625</v>
      </c>
    </row>
    <row r="96" spans="1:204" ht="15" customHeight="1" x14ac:dyDescent="0.2">
      <c r="A96" s="3" t="s">
        <v>629</v>
      </c>
      <c r="B96" s="3" t="s">
        <v>630</v>
      </c>
      <c r="C96" s="3" t="s">
        <v>628</v>
      </c>
      <c r="D96" s="40">
        <f t="shared" si="10"/>
        <v>11.5</v>
      </c>
      <c r="CI96">
        <f>2+7.5+2</f>
        <v>11.5</v>
      </c>
      <c r="FT96" s="40"/>
      <c r="GU96" s="43" t="str">
        <f t="shared" si="8"/>
        <v/>
      </c>
      <c r="GV96" s="43" t="str">
        <f t="shared" si="9"/>
        <v/>
      </c>
    </row>
    <row r="97" spans="1:204" ht="15" customHeight="1" x14ac:dyDescent="0.2">
      <c r="A97" s="3" t="s">
        <v>579</v>
      </c>
      <c r="B97" s="3" t="s">
        <v>580</v>
      </c>
      <c r="C97" s="3" t="s">
        <v>574</v>
      </c>
      <c r="D97" s="40">
        <f t="shared" si="10"/>
        <v>0.96788140384615373</v>
      </c>
      <c r="F97" s="48">
        <v>0.72596400000000005</v>
      </c>
      <c r="G97" s="48">
        <v>0.72596400000000005</v>
      </c>
      <c r="K97" s="48">
        <v>0.72596400000000005</v>
      </c>
      <c r="M97">
        <v>1.6277900000000001</v>
      </c>
      <c r="N97" s="48">
        <v>0.72596400000000005</v>
      </c>
      <c r="S97" s="48">
        <v>1.1597470000000001</v>
      </c>
      <c r="T97">
        <v>2.4155769999999999</v>
      </c>
      <c r="Y97" s="48">
        <v>0.72596400000000005</v>
      </c>
      <c r="AC97">
        <v>0.46177499999999999</v>
      </c>
      <c r="AV97">
        <v>0.51089300000000004</v>
      </c>
      <c r="AX97" s="48">
        <v>0.72596400000000005</v>
      </c>
      <c r="AY97">
        <v>0.66592899999999999</v>
      </c>
      <c r="BC97">
        <v>0.7</v>
      </c>
      <c r="BH97" s="48">
        <v>0.72596400000000005</v>
      </c>
      <c r="BL97" s="48">
        <v>1.1597470000000001</v>
      </c>
      <c r="BO97" s="48">
        <v>1.1597470000000001</v>
      </c>
      <c r="BQ97">
        <v>0.57744799999999996</v>
      </c>
      <c r="BR97">
        <v>1.6629970000000001</v>
      </c>
      <c r="BV97" s="48">
        <v>0.72596400000000005</v>
      </c>
      <c r="BW97" s="48">
        <v>1.1597470000000001</v>
      </c>
      <c r="BY97" s="48">
        <v>0.72596400000000005</v>
      </c>
      <c r="CG97">
        <v>1.3735679999999999</v>
      </c>
      <c r="CH97" s="48">
        <v>1.1597470000000001</v>
      </c>
      <c r="CM97" s="48">
        <v>1.1597470000000001</v>
      </c>
      <c r="CN97" s="48">
        <v>0.72596400000000005</v>
      </c>
      <c r="CO97" s="48">
        <v>0.72596400000000005</v>
      </c>
      <c r="CS97" s="48">
        <v>1.1597470000000001</v>
      </c>
      <c r="CY97" s="48">
        <v>1.1597470000000001</v>
      </c>
      <c r="CZ97" s="48">
        <v>0.72596400000000005</v>
      </c>
      <c r="DD97" s="48">
        <v>1.1597470000000001</v>
      </c>
      <c r="DE97" s="48">
        <v>1.1597470000000001</v>
      </c>
      <c r="DK97" s="48">
        <v>0.72596400000000005</v>
      </c>
      <c r="DR97" s="48">
        <v>0.72596400000000005</v>
      </c>
      <c r="DS97" s="48">
        <v>0.72596400000000005</v>
      </c>
      <c r="DY97">
        <v>1.251701</v>
      </c>
      <c r="EF97" s="48">
        <v>0.72596400000000005</v>
      </c>
      <c r="EG97" s="48">
        <v>1.1597470000000001</v>
      </c>
      <c r="EP97" s="48">
        <v>1.1597470000000001</v>
      </c>
      <c r="EQ97" s="48">
        <v>0.72596400000000005</v>
      </c>
      <c r="EU97" s="48">
        <v>1.1597470000000001</v>
      </c>
      <c r="EV97">
        <v>0.77570700000000004</v>
      </c>
      <c r="EW97" s="48">
        <v>1.1597470000000001</v>
      </c>
      <c r="FF97" s="48">
        <v>0.72596400000000005</v>
      </c>
      <c r="FJ97">
        <v>1.6271739999999999</v>
      </c>
      <c r="FK97">
        <v>0.92723900000000004</v>
      </c>
      <c r="FP97">
        <v>0.73975999999999997</v>
      </c>
      <c r="FT97" s="40">
        <v>0.77729599999999999</v>
      </c>
      <c r="FU97" s="48">
        <v>1.1597470000000001</v>
      </c>
      <c r="GC97" s="48">
        <v>0.72596400000000005</v>
      </c>
      <c r="GF97" s="48">
        <v>0.72596400000000005</v>
      </c>
      <c r="GH97" s="48">
        <v>1.1597470000000001</v>
      </c>
      <c r="GJ97" s="48">
        <v>1.1597470000000001</v>
      </c>
      <c r="GU97" s="43">
        <f t="shared" si="8"/>
        <v>0.72596400000000016</v>
      </c>
      <c r="GV97" s="43">
        <f t="shared" si="9"/>
        <v>1.1597469047619047</v>
      </c>
    </row>
    <row r="98" spans="1:204" ht="15" customHeight="1" x14ac:dyDescent="0.2">
      <c r="A98" s="3" t="s">
        <v>596</v>
      </c>
      <c r="B98" s="3" t="s">
        <v>597</v>
      </c>
      <c r="C98" s="3" t="s">
        <v>595</v>
      </c>
      <c r="D98" t="s">
        <v>700</v>
      </c>
      <c r="FT98" s="40"/>
      <c r="GU98" s="43" t="str">
        <f t="shared" si="8"/>
        <v/>
      </c>
      <c r="GV98" s="43" t="str">
        <f t="shared" si="9"/>
        <v/>
      </c>
    </row>
    <row r="99" spans="1:204" ht="15" customHeight="1" x14ac:dyDescent="0.2">
      <c r="A99" s="3" t="s">
        <v>515</v>
      </c>
      <c r="B99" s="3" t="s">
        <v>516</v>
      </c>
      <c r="C99" s="3" t="s">
        <v>455</v>
      </c>
      <c r="D99" s="40">
        <f>AVERAGE(E99:GT99)</f>
        <v>10.048856942307699</v>
      </c>
      <c r="F99" s="48">
        <v>4.2399110000000002</v>
      </c>
      <c r="G99" s="48">
        <v>4.2399110000000002</v>
      </c>
      <c r="K99" s="48">
        <v>4.2399110000000002</v>
      </c>
      <c r="M99" s="48">
        <v>14.655951999999999</v>
      </c>
      <c r="N99" s="48">
        <v>4.2399110000000002</v>
      </c>
      <c r="S99" s="48">
        <v>14.655951999999999</v>
      </c>
      <c r="T99" s="48">
        <v>14.655951999999999</v>
      </c>
      <c r="Y99" s="48">
        <v>4.2399110000000002</v>
      </c>
      <c r="AC99" s="48">
        <v>14.655951999999999</v>
      </c>
      <c r="AV99" s="48">
        <v>4.2399110000000002</v>
      </c>
      <c r="AX99" s="38">
        <v>8.2190480000000008</v>
      </c>
      <c r="AY99" s="48">
        <v>14.655951999999999</v>
      </c>
      <c r="BC99" s="48">
        <v>14.655951999999999</v>
      </c>
      <c r="BH99" s="48">
        <v>4.2399110000000002</v>
      </c>
      <c r="BL99" s="48">
        <v>14.655951999999999</v>
      </c>
      <c r="BO99" s="48">
        <v>14.655951999999999</v>
      </c>
      <c r="BQ99" s="48">
        <v>14.655951999999999</v>
      </c>
      <c r="BR99" s="38">
        <v>14.655951999999999</v>
      </c>
      <c r="BV99" s="48">
        <v>4.2399110000000002</v>
      </c>
      <c r="BW99" s="48">
        <v>14.655951999999999</v>
      </c>
      <c r="BY99" s="48">
        <v>4.2399110000000002</v>
      </c>
      <c r="CG99" s="48">
        <v>14.655951999999999</v>
      </c>
      <c r="CH99" s="48">
        <v>14.655951999999999</v>
      </c>
      <c r="CM99" s="48">
        <v>14.655951999999999</v>
      </c>
      <c r="CN99" s="48">
        <v>4.2399110000000002</v>
      </c>
      <c r="CO99" s="48">
        <v>4.2399110000000002</v>
      </c>
      <c r="CS99" s="48">
        <v>14.655951999999999</v>
      </c>
      <c r="CY99" s="48">
        <v>14.655951999999999</v>
      </c>
      <c r="CZ99" s="48">
        <v>4.2399110000000002</v>
      </c>
      <c r="DD99" s="48">
        <v>14.655951999999999</v>
      </c>
      <c r="DE99" s="48">
        <v>14.655951999999999</v>
      </c>
      <c r="DK99">
        <v>0.245283</v>
      </c>
      <c r="DR99" s="48">
        <v>4.2399110000000002</v>
      </c>
      <c r="DS99" s="48">
        <v>4.2399110000000002</v>
      </c>
      <c r="DY99" s="48">
        <v>14.655951999999999</v>
      </c>
      <c r="EF99" s="48">
        <v>4.2399110000000002</v>
      </c>
      <c r="EG99" s="48">
        <v>14.655951999999999</v>
      </c>
      <c r="EP99" s="48">
        <v>14.655951999999999</v>
      </c>
      <c r="EQ99" s="38">
        <v>4.7193120000000004</v>
      </c>
      <c r="EU99" s="48">
        <v>14.655951999999999</v>
      </c>
      <c r="EV99" s="48">
        <v>14.655951999999999</v>
      </c>
      <c r="EW99" s="48">
        <v>14.655951999999999</v>
      </c>
      <c r="FF99" s="48">
        <v>4.2399110000000002</v>
      </c>
      <c r="FJ99" s="48">
        <v>14.655951999999999</v>
      </c>
      <c r="FK99" s="48">
        <v>4.2399110000000002</v>
      </c>
      <c r="FP99" s="38">
        <v>3.7760009999999999</v>
      </c>
      <c r="FT99" s="49">
        <v>14.655951999999999</v>
      </c>
      <c r="FU99" s="48">
        <v>14.655951999999999</v>
      </c>
      <c r="GC99" s="48">
        <v>4.2399110000000002</v>
      </c>
      <c r="GF99" s="48">
        <v>4.2399110000000002</v>
      </c>
      <c r="GH99" s="48">
        <v>14.655951999999999</v>
      </c>
      <c r="GJ99" s="48">
        <v>14.655951999999999</v>
      </c>
      <c r="GU99" s="43">
        <f t="shared" si="8"/>
        <v>4.2399110000000002</v>
      </c>
      <c r="GV99" s="43">
        <f t="shared" si="9"/>
        <v>14.655952000000008</v>
      </c>
    </row>
    <row r="100" spans="1:204" ht="15" customHeight="1" x14ac:dyDescent="0.2">
      <c r="A100" s="3" t="s">
        <v>469</v>
      </c>
      <c r="B100" s="13" t="s">
        <v>470</v>
      </c>
      <c r="C100" s="3" t="s">
        <v>438</v>
      </c>
      <c r="D100" s="40">
        <f t="shared" ref="D100:D108" si="11">AVERAGE(E100:GT100)</f>
        <v>14.969351576923072</v>
      </c>
      <c r="E100" s="40"/>
      <c r="F100" s="48">
        <v>14.226850000000001</v>
      </c>
      <c r="G100" s="48">
        <v>14.226850000000001</v>
      </c>
      <c r="K100" s="48">
        <v>14.226850000000001</v>
      </c>
      <c r="M100" s="48">
        <v>15.558232</v>
      </c>
      <c r="N100" s="48">
        <v>14.226850000000001</v>
      </c>
      <c r="S100" s="48">
        <v>15.558232</v>
      </c>
      <c r="T100" s="38">
        <v>112.148276</v>
      </c>
      <c r="Y100" s="48">
        <v>14.226850000000001</v>
      </c>
      <c r="AC100" s="48">
        <v>15.558232</v>
      </c>
      <c r="AV100" s="48">
        <v>14.226850000000001</v>
      </c>
      <c r="AX100" s="38">
        <v>25.606667000000002</v>
      </c>
      <c r="AY100" s="48">
        <v>15.558232</v>
      </c>
      <c r="BC100" s="38">
        <v>2.5666669999999998</v>
      </c>
      <c r="BH100" s="48">
        <v>14.226850000000001</v>
      </c>
      <c r="BL100" s="48">
        <v>15.558232</v>
      </c>
      <c r="BO100" s="48">
        <v>15.558232</v>
      </c>
      <c r="BQ100" s="48">
        <v>15.558232</v>
      </c>
      <c r="BR100" s="38">
        <v>8.2252670000000006</v>
      </c>
      <c r="BV100" s="48">
        <v>14.226850000000001</v>
      </c>
      <c r="BW100" s="48">
        <v>15.558232</v>
      </c>
      <c r="BY100" s="48">
        <v>14.226850000000001</v>
      </c>
      <c r="CG100" s="48">
        <v>15.558232</v>
      </c>
      <c r="CH100" s="48">
        <v>15.558232</v>
      </c>
      <c r="CM100" s="38">
        <v>1</v>
      </c>
      <c r="CN100" s="48">
        <v>14.226850000000001</v>
      </c>
      <c r="CO100" s="38">
        <v>4.916245</v>
      </c>
      <c r="CS100" s="48">
        <v>15.558232</v>
      </c>
      <c r="CY100" s="48">
        <v>15.558232</v>
      </c>
      <c r="CZ100" s="48">
        <v>14.226850000000001</v>
      </c>
      <c r="DD100" s="38">
        <v>6.7857000000000001E-2</v>
      </c>
      <c r="DE100" s="48">
        <v>15.558232</v>
      </c>
      <c r="DK100" s="48">
        <v>14.226850000000001</v>
      </c>
      <c r="DR100" s="48">
        <v>14.226850000000001</v>
      </c>
      <c r="DS100" s="48">
        <v>14.226850000000001</v>
      </c>
      <c r="DY100" s="38">
        <v>5.6901729999999997</v>
      </c>
      <c r="EF100" s="48">
        <v>14.226850000000001</v>
      </c>
      <c r="EG100" s="48">
        <v>15.558232</v>
      </c>
      <c r="EP100" s="38">
        <v>2.4550000000000001</v>
      </c>
      <c r="EQ100" s="48">
        <v>14.226850000000001</v>
      </c>
      <c r="EU100" s="48">
        <v>15.558232</v>
      </c>
      <c r="EV100" s="38">
        <v>6.9182139999999999</v>
      </c>
      <c r="EW100" s="48">
        <v>15.558232</v>
      </c>
      <c r="FF100" s="48">
        <v>14.226850000000001</v>
      </c>
      <c r="FJ100" s="38">
        <v>14.86087</v>
      </c>
      <c r="FK100" s="48">
        <v>14.226850000000001</v>
      </c>
      <c r="FP100" s="38">
        <v>12.157638</v>
      </c>
      <c r="FT100" s="40">
        <v>1.65</v>
      </c>
      <c r="FU100" s="48">
        <v>15.558232</v>
      </c>
      <c r="GC100" s="48">
        <v>14.226850000000001</v>
      </c>
      <c r="GF100" s="48">
        <v>14.226850000000001</v>
      </c>
      <c r="GH100" s="48">
        <v>15.558232</v>
      </c>
      <c r="GJ100" s="48">
        <v>15.558232</v>
      </c>
      <c r="GU100" s="43">
        <f t="shared" si="8"/>
        <v>14.226850000000001</v>
      </c>
      <c r="GV100" s="43">
        <f t="shared" si="9"/>
        <v>15.558232190476184</v>
      </c>
    </row>
    <row r="101" spans="1:204" ht="15" customHeight="1" x14ac:dyDescent="0.2">
      <c r="A101" s="3" t="s">
        <v>471</v>
      </c>
      <c r="B101" s="13" t="s">
        <v>472</v>
      </c>
      <c r="C101" s="3" t="s">
        <v>438</v>
      </c>
      <c r="D101" s="40">
        <f t="shared" si="11"/>
        <v>9.5050111538461479</v>
      </c>
      <c r="F101" s="48">
        <v>14.055664999999999</v>
      </c>
      <c r="G101" s="48">
        <v>14.055664999999999</v>
      </c>
      <c r="K101" s="48">
        <v>14.055664999999999</v>
      </c>
      <c r="M101" s="48">
        <v>5.8958719999999998</v>
      </c>
      <c r="N101" s="48">
        <v>14.055664999999999</v>
      </c>
      <c r="S101" s="48">
        <v>5.8958719999999998</v>
      </c>
      <c r="T101" s="48">
        <v>5.8958719999999998</v>
      </c>
      <c r="Y101" s="48">
        <v>14.055664999999999</v>
      </c>
      <c r="AC101" s="48">
        <v>5.8958719999999998</v>
      </c>
      <c r="AV101" s="48">
        <v>14.055664999999999</v>
      </c>
      <c r="AX101" s="38">
        <v>0.72499999999999998</v>
      </c>
      <c r="AY101" s="48">
        <v>5.8958719999999998</v>
      </c>
      <c r="BC101">
        <v>1.85</v>
      </c>
      <c r="BH101" s="48">
        <v>14.055664999999999</v>
      </c>
      <c r="BL101" s="48">
        <v>5.8958719999999998</v>
      </c>
      <c r="BO101" s="48">
        <v>5.8958719999999998</v>
      </c>
      <c r="BQ101" s="48">
        <v>5.8958719999999998</v>
      </c>
      <c r="BR101" s="38">
        <v>8.2252670000000006</v>
      </c>
      <c r="BV101" s="48">
        <v>14.055664999999999</v>
      </c>
      <c r="BW101" s="48">
        <v>5.8958719999999998</v>
      </c>
      <c r="BY101" s="48">
        <v>14.055664999999999</v>
      </c>
      <c r="CG101" s="48">
        <v>5.8958719999999998</v>
      </c>
      <c r="CH101" s="48">
        <v>5.8958719999999998</v>
      </c>
      <c r="CM101" s="38">
        <v>1</v>
      </c>
      <c r="CN101" s="48">
        <v>14.055664999999999</v>
      </c>
      <c r="CO101" s="38">
        <v>4.916245</v>
      </c>
      <c r="CS101" s="48">
        <v>5.8958719999999998</v>
      </c>
      <c r="CY101" s="48">
        <v>5.8958719999999998</v>
      </c>
      <c r="CZ101" s="48">
        <v>14.055664999999999</v>
      </c>
      <c r="DD101" s="48">
        <v>5.8958719999999998</v>
      </c>
      <c r="DE101" s="48">
        <v>5.8958719999999998</v>
      </c>
      <c r="DK101" s="48">
        <v>14.055664999999999</v>
      </c>
      <c r="DR101" s="48">
        <v>14.055664999999999</v>
      </c>
      <c r="DS101" s="48">
        <v>14.055664999999999</v>
      </c>
      <c r="DY101" s="48">
        <v>5.8958719999999998</v>
      </c>
      <c r="EF101" s="48">
        <v>14.055664999999999</v>
      </c>
      <c r="EG101" s="48">
        <v>5.8958719999999998</v>
      </c>
      <c r="EP101" s="38">
        <v>2.5208789999999999</v>
      </c>
      <c r="EQ101" s="38">
        <v>38.423775999999997</v>
      </c>
      <c r="EU101" s="48">
        <v>5.8958719999999998</v>
      </c>
      <c r="EV101" s="38">
        <v>6.9182139999999999</v>
      </c>
      <c r="EW101" s="48">
        <v>5.8958719999999998</v>
      </c>
      <c r="FF101" s="48">
        <v>14.055664999999999</v>
      </c>
      <c r="FJ101" s="38">
        <v>14.86087</v>
      </c>
      <c r="FK101" s="48">
        <v>14.055664999999999</v>
      </c>
      <c r="FP101" s="38">
        <v>12.157638</v>
      </c>
      <c r="FT101" s="49">
        <v>5.8958719999999998</v>
      </c>
      <c r="FU101" s="48">
        <v>5.8958719999999998</v>
      </c>
      <c r="GC101" s="48">
        <v>14.055664999999999</v>
      </c>
      <c r="GF101" s="48">
        <v>14.055664999999999</v>
      </c>
      <c r="GH101" s="48">
        <v>5.8958719999999998</v>
      </c>
      <c r="GJ101" s="48">
        <v>5.8958719999999998</v>
      </c>
      <c r="GU101" s="43">
        <f t="shared" si="8"/>
        <v>14.055664875000002</v>
      </c>
      <c r="GV101" s="43">
        <f t="shared" si="9"/>
        <v>5.8958719047619041</v>
      </c>
    </row>
    <row r="102" spans="1:204" ht="15" customHeight="1" x14ac:dyDescent="0.2">
      <c r="A102" s="3" t="s">
        <v>429</v>
      </c>
      <c r="B102" s="3" t="s">
        <v>430</v>
      </c>
      <c r="C102" s="3" t="s">
        <v>408</v>
      </c>
      <c r="D102" s="40">
        <f t="shared" si="11"/>
        <v>0.6313078269230773</v>
      </c>
      <c r="F102" s="48">
        <v>0.33066600000000002</v>
      </c>
      <c r="G102" s="48">
        <v>0.33066600000000002</v>
      </c>
      <c r="K102" s="48">
        <v>0.33066600000000002</v>
      </c>
      <c r="M102" s="38">
        <v>0.94432799999999995</v>
      </c>
      <c r="N102" s="48">
        <v>0.33066600000000002</v>
      </c>
      <c r="S102" s="48">
        <v>0.86974799999999997</v>
      </c>
      <c r="T102" s="38">
        <v>1.917878</v>
      </c>
      <c r="Y102" s="48">
        <v>0.33066600000000002</v>
      </c>
      <c r="AC102" s="48">
        <v>0.86974799999999997</v>
      </c>
      <c r="AV102" s="48">
        <v>0.33066600000000002</v>
      </c>
      <c r="AX102" s="38">
        <v>0.34200000000000003</v>
      </c>
      <c r="AY102" s="48">
        <v>0.86974799999999997</v>
      </c>
      <c r="BC102">
        <v>1.22</v>
      </c>
      <c r="BH102" s="48">
        <v>0.33066600000000002</v>
      </c>
      <c r="BL102" s="38">
        <v>1.131753</v>
      </c>
      <c r="BO102" s="48">
        <v>0.86974799999999997</v>
      </c>
      <c r="BQ102" s="48">
        <v>0.86974799999999997</v>
      </c>
      <c r="BR102" s="38">
        <v>1.2858860000000001</v>
      </c>
      <c r="BV102" s="48">
        <v>0.33066600000000002</v>
      </c>
      <c r="BW102" s="48">
        <v>0.86974799999999997</v>
      </c>
      <c r="BY102" s="48">
        <v>0.33066600000000002</v>
      </c>
      <c r="CG102" s="48">
        <v>0.86974799999999997</v>
      </c>
      <c r="CH102" s="48">
        <v>0.86974799999999997</v>
      </c>
      <c r="CM102" s="48">
        <v>0.86974799999999997</v>
      </c>
      <c r="CN102" s="48">
        <v>0.33066600000000002</v>
      </c>
      <c r="CO102" s="48">
        <v>0.33066600000000002</v>
      </c>
      <c r="CS102" s="48">
        <v>0.86974799999999997</v>
      </c>
      <c r="CY102" s="38">
        <v>0.39432699999999998</v>
      </c>
      <c r="CZ102" s="48">
        <v>0.33066600000000002</v>
      </c>
      <c r="DD102" s="38">
        <v>0.34987600000000002</v>
      </c>
      <c r="DE102" s="38">
        <v>1.189516</v>
      </c>
      <c r="DK102" s="48">
        <v>0.33066600000000002</v>
      </c>
      <c r="DR102" s="48">
        <v>0.33066600000000002</v>
      </c>
      <c r="DS102" s="48">
        <v>0.33066600000000002</v>
      </c>
      <c r="DY102" s="48">
        <v>0.86974799999999997</v>
      </c>
      <c r="EF102" s="48">
        <v>0.33066600000000002</v>
      </c>
      <c r="EG102" s="48">
        <v>0.86974799999999997</v>
      </c>
      <c r="EP102" s="38">
        <v>0.66564800000000002</v>
      </c>
      <c r="EQ102" s="38">
        <v>0.31933299999999998</v>
      </c>
      <c r="EU102" s="48">
        <v>0.86974799999999997</v>
      </c>
      <c r="EV102" s="38">
        <v>0.35859799999999997</v>
      </c>
      <c r="EW102" s="48">
        <v>0.86974799999999997</v>
      </c>
      <c r="FF102" s="48">
        <v>0.33066600000000002</v>
      </c>
      <c r="FJ102" s="38">
        <v>0.36916199999999999</v>
      </c>
      <c r="FK102" s="48">
        <v>0.33066600000000002</v>
      </c>
      <c r="FP102" s="48">
        <v>0.33066600000000002</v>
      </c>
      <c r="FT102" s="40">
        <v>0.61</v>
      </c>
      <c r="FU102" s="48">
        <v>0.86974799999999997</v>
      </c>
      <c r="GC102" s="48">
        <v>0.33066600000000002</v>
      </c>
      <c r="GF102" s="48">
        <v>0.33066600000000002</v>
      </c>
      <c r="GH102" s="48">
        <v>0.86974799999999997</v>
      </c>
      <c r="GJ102" s="48">
        <v>0.86974799999999997</v>
      </c>
      <c r="GU102" s="43">
        <f t="shared" ref="GU102:GU108" si="12">IFERROR(AVERAGE(EQ102,FP102,CO102,BY102,AX102,DK102,FK102,AV102),"")</f>
        <v>0.33066612499999998</v>
      </c>
      <c r="GV102" s="43">
        <f t="shared" ref="GV102:GV108" si="13">IFERROR(AVERAGE(BQ102,FT102,EG102,BC102,BL102,CY102,DD102,CM102,GJ102,DY102,T102,DE102,BW102,BR102,EP102,AY102,FJ102,M102,CG102,EV102,AC102),"")</f>
        <v>0.86974780952380948</v>
      </c>
    </row>
    <row r="103" spans="1:204" ht="15" customHeight="1" x14ac:dyDescent="0.2">
      <c r="A103" s="3" t="s">
        <v>561</v>
      </c>
      <c r="B103" s="3" t="s">
        <v>562</v>
      </c>
      <c r="C103" s="3" t="s">
        <v>554</v>
      </c>
      <c r="D103" s="40">
        <f t="shared" si="11"/>
        <v>1.1201362692307686</v>
      </c>
      <c r="F103" s="48">
        <v>2.444496</v>
      </c>
      <c r="G103" s="48">
        <v>2.444496</v>
      </c>
      <c r="K103" s="48">
        <v>2.444496</v>
      </c>
      <c r="M103" s="48">
        <v>6.9781999999999997E-2</v>
      </c>
      <c r="N103" s="48">
        <v>2.444496</v>
      </c>
      <c r="S103" s="48">
        <v>6.9781999999999997E-2</v>
      </c>
      <c r="T103" s="48">
        <v>6.9781999999999997E-2</v>
      </c>
      <c r="Y103" s="48">
        <v>2.444496</v>
      </c>
      <c r="AC103" s="48">
        <v>6.9781999999999997E-2</v>
      </c>
      <c r="AV103" s="48">
        <v>2.444496</v>
      </c>
      <c r="AX103" s="48">
        <v>2.444496</v>
      </c>
      <c r="AY103" s="48">
        <v>6.9781999999999997E-2</v>
      </c>
      <c r="BC103" s="48">
        <v>6.9781999999999997E-2</v>
      </c>
      <c r="BH103" s="48">
        <v>2.444496</v>
      </c>
      <c r="BL103" s="48">
        <v>6.9781999999999997E-2</v>
      </c>
      <c r="BO103" s="48">
        <v>6.9781999999999997E-2</v>
      </c>
      <c r="BQ103" s="48">
        <v>6.9781999999999997E-2</v>
      </c>
      <c r="BR103" s="48">
        <v>6.9781999999999997E-2</v>
      </c>
      <c r="BV103" s="48">
        <v>2.444496</v>
      </c>
      <c r="BW103" s="48">
        <v>6.9781999999999997E-2</v>
      </c>
      <c r="BY103" s="48">
        <v>2.444496</v>
      </c>
      <c r="CG103" s="48">
        <v>6.9781999999999997E-2</v>
      </c>
      <c r="CH103" s="48">
        <v>6.9781999999999997E-2</v>
      </c>
      <c r="CM103" s="48">
        <v>6.9781999999999997E-2</v>
      </c>
      <c r="CN103" s="48">
        <v>2.444496</v>
      </c>
      <c r="CO103" s="48">
        <v>2.444496</v>
      </c>
      <c r="CS103" s="48">
        <v>6.9781999999999997E-2</v>
      </c>
      <c r="CY103" s="48">
        <v>6.9781999999999997E-2</v>
      </c>
      <c r="CZ103" s="48">
        <v>2.444496</v>
      </c>
      <c r="DD103" s="48">
        <v>6.9781999999999997E-2</v>
      </c>
      <c r="DE103" s="48">
        <v>6.9781999999999997E-2</v>
      </c>
      <c r="DK103" s="48">
        <v>2.444496</v>
      </c>
      <c r="DR103" s="48">
        <v>2.444496</v>
      </c>
      <c r="DS103" s="48">
        <v>2.444496</v>
      </c>
      <c r="DY103" s="48">
        <v>6.9781999999999997E-2</v>
      </c>
      <c r="EF103" s="48">
        <v>2.444496</v>
      </c>
      <c r="EG103" s="48">
        <v>6.9781999999999997E-2</v>
      </c>
      <c r="EP103" s="48">
        <v>6.9781999999999997E-2</v>
      </c>
      <c r="EQ103" s="48">
        <v>2.444496</v>
      </c>
      <c r="EU103" s="48">
        <v>6.9781999999999997E-2</v>
      </c>
      <c r="EV103" s="38">
        <v>6.9781999999999997E-2</v>
      </c>
      <c r="EW103" s="48">
        <v>6.9781999999999997E-2</v>
      </c>
      <c r="FF103" s="48">
        <v>2.444496</v>
      </c>
      <c r="FJ103" s="48">
        <v>6.9781999999999997E-2</v>
      </c>
      <c r="FK103" s="48">
        <v>2.444496</v>
      </c>
      <c r="FP103" s="38">
        <v>2.444496</v>
      </c>
      <c r="FT103" s="49">
        <v>6.9781999999999997E-2</v>
      </c>
      <c r="FU103" s="48">
        <v>6.9781999999999997E-2</v>
      </c>
      <c r="GC103" s="48">
        <v>2.444496</v>
      </c>
      <c r="GF103" s="48">
        <v>2.444496</v>
      </c>
      <c r="GH103" s="48">
        <v>6.9781999999999997E-2</v>
      </c>
      <c r="GJ103" s="48">
        <v>6.9781999999999997E-2</v>
      </c>
      <c r="GU103" s="43">
        <f t="shared" si="12"/>
        <v>2.4444960000000004</v>
      </c>
      <c r="GV103" s="43">
        <f t="shared" si="13"/>
        <v>6.9781999999999997E-2</v>
      </c>
    </row>
    <row r="104" spans="1:204" ht="15" customHeight="1" x14ac:dyDescent="0.2">
      <c r="A104" s="3" t="s">
        <v>453</v>
      </c>
      <c r="B104" s="13" t="s">
        <v>454</v>
      </c>
      <c r="C104" s="3" t="s">
        <v>455</v>
      </c>
      <c r="D104" s="40">
        <f t="shared" si="11"/>
        <v>2.192994923076923</v>
      </c>
      <c r="F104" s="48">
        <v>2.9526509999999999</v>
      </c>
      <c r="G104" s="48">
        <v>2.9526509999999999</v>
      </c>
      <c r="K104" s="48">
        <v>2.9526509999999999</v>
      </c>
      <c r="M104" s="48">
        <v>1.590509</v>
      </c>
      <c r="N104" s="48">
        <v>2.9526509999999999</v>
      </c>
      <c r="S104" s="48">
        <v>1.590509</v>
      </c>
      <c r="T104" s="48">
        <v>1.590509</v>
      </c>
      <c r="Y104" s="48">
        <v>2.9526509999999999</v>
      </c>
      <c r="AC104" s="48">
        <v>1.590509</v>
      </c>
      <c r="AV104" s="48">
        <v>2.9526509999999999</v>
      </c>
      <c r="AX104" s="38">
        <v>0.466667</v>
      </c>
      <c r="AY104" s="48">
        <v>1.590509</v>
      </c>
      <c r="BC104" s="48">
        <v>1.590509</v>
      </c>
      <c r="BH104" s="48">
        <v>2.9526509999999999</v>
      </c>
      <c r="BL104" s="48">
        <v>1.590509</v>
      </c>
      <c r="BO104" s="48">
        <v>1.590509</v>
      </c>
      <c r="BQ104" s="48">
        <v>1.590509</v>
      </c>
      <c r="BR104" s="48">
        <v>1.590509</v>
      </c>
      <c r="BV104" s="48">
        <v>2.9526509999999999</v>
      </c>
      <c r="BW104" s="48">
        <v>1.590509</v>
      </c>
      <c r="BY104" s="48">
        <v>2.9526509999999999</v>
      </c>
      <c r="CG104" s="48">
        <v>1.590509</v>
      </c>
      <c r="CH104" s="48">
        <v>1.590509</v>
      </c>
      <c r="CM104">
        <v>1.1807909999999999</v>
      </c>
      <c r="CN104" s="48">
        <v>2.9526509999999999</v>
      </c>
      <c r="CO104" s="48">
        <v>2.9526509999999999</v>
      </c>
      <c r="CS104" s="48">
        <v>1.590509</v>
      </c>
      <c r="CY104" s="48">
        <v>1.590509</v>
      </c>
      <c r="CZ104" s="48">
        <v>2.9526509999999999</v>
      </c>
      <c r="DD104" s="48">
        <v>1.590509</v>
      </c>
      <c r="DE104" s="48">
        <v>1.590509</v>
      </c>
      <c r="DK104" s="48">
        <v>2.9526509999999999</v>
      </c>
      <c r="DR104" s="48">
        <v>2.9526509999999999</v>
      </c>
      <c r="DS104" s="48">
        <v>2.9526509999999999</v>
      </c>
      <c r="DY104" s="48">
        <v>1.590509</v>
      </c>
      <c r="EF104" s="48">
        <v>2.9526509999999999</v>
      </c>
      <c r="EG104" s="48">
        <v>1.590509</v>
      </c>
      <c r="EP104" s="48">
        <v>1.590509</v>
      </c>
      <c r="EQ104" s="38">
        <v>5.4386359999999998</v>
      </c>
      <c r="EU104" s="48">
        <v>1.590509</v>
      </c>
      <c r="EV104" s="38">
        <v>3.0193080000000001</v>
      </c>
      <c r="EW104" s="48">
        <v>1.590509</v>
      </c>
      <c r="FF104" s="48">
        <v>2.9526509999999999</v>
      </c>
      <c r="FJ104" s="38">
        <v>0.57142899999999996</v>
      </c>
      <c r="FK104" s="48">
        <v>2.9526509999999999</v>
      </c>
      <c r="FP104" s="48">
        <v>2.9526509999999999</v>
      </c>
      <c r="FT104" s="49">
        <v>1.590509</v>
      </c>
      <c r="FU104" s="48">
        <v>1.590509</v>
      </c>
      <c r="GC104" s="48">
        <v>2.9526509999999999</v>
      </c>
      <c r="GF104" s="48">
        <v>2.9526509999999999</v>
      </c>
      <c r="GH104" s="48">
        <v>1.590509</v>
      </c>
      <c r="GJ104" s="48">
        <v>1.590509</v>
      </c>
      <c r="GU104" s="43">
        <f t="shared" si="12"/>
        <v>2.9526511249999996</v>
      </c>
      <c r="GV104" s="43">
        <f t="shared" si="13"/>
        <v>1.5905090476190478</v>
      </c>
    </row>
    <row r="105" spans="1:204" ht="15" customHeight="1" x14ac:dyDescent="0.2">
      <c r="A105" s="3" t="s">
        <v>456</v>
      </c>
      <c r="B105" s="13" t="s">
        <v>457</v>
      </c>
      <c r="C105" s="3" t="s">
        <v>455</v>
      </c>
      <c r="D105" s="40">
        <f t="shared" si="11"/>
        <v>2.192994923076923</v>
      </c>
      <c r="F105" s="48">
        <v>2.9526509999999999</v>
      </c>
      <c r="G105" s="48">
        <v>2.9526509999999999</v>
      </c>
      <c r="K105" s="48">
        <v>2.9526509999999999</v>
      </c>
      <c r="M105" s="48">
        <v>1.590509</v>
      </c>
      <c r="N105" s="48">
        <v>2.9526509999999999</v>
      </c>
      <c r="S105" s="48">
        <v>1.590509</v>
      </c>
      <c r="T105" s="48">
        <v>1.590509</v>
      </c>
      <c r="Y105" s="48">
        <v>2.9526509999999999</v>
      </c>
      <c r="AC105" s="48">
        <v>1.590509</v>
      </c>
      <c r="AV105" s="48">
        <v>2.9526509999999999</v>
      </c>
      <c r="AX105" s="38">
        <v>0.466667</v>
      </c>
      <c r="AY105" s="48">
        <v>1.590509</v>
      </c>
      <c r="BC105" s="48">
        <v>1.590509</v>
      </c>
      <c r="BH105" s="48">
        <v>2.9526509999999999</v>
      </c>
      <c r="BL105" s="48">
        <v>1.590509</v>
      </c>
      <c r="BO105" s="48">
        <v>1.590509</v>
      </c>
      <c r="BQ105" s="48">
        <v>1.590509</v>
      </c>
      <c r="BR105" s="48">
        <v>1.590509</v>
      </c>
      <c r="BV105" s="48">
        <v>2.9526509999999999</v>
      </c>
      <c r="BW105" s="48">
        <v>1.590509</v>
      </c>
      <c r="BY105" s="48">
        <v>2.9526509999999999</v>
      </c>
      <c r="CG105" s="48">
        <v>1.590509</v>
      </c>
      <c r="CH105" s="48">
        <v>1.590509</v>
      </c>
      <c r="CM105">
        <v>1.1807909999999999</v>
      </c>
      <c r="CN105" s="48">
        <v>2.9526509999999999</v>
      </c>
      <c r="CO105" s="48">
        <v>2.9526509999999999</v>
      </c>
      <c r="CS105" s="48">
        <v>1.590509</v>
      </c>
      <c r="CY105" s="48">
        <v>1.590509</v>
      </c>
      <c r="CZ105" s="48">
        <v>2.9526509999999999</v>
      </c>
      <c r="DD105" s="48">
        <v>1.590509</v>
      </c>
      <c r="DE105" s="48">
        <v>1.590509</v>
      </c>
      <c r="DK105" s="48">
        <v>2.9526509999999999</v>
      </c>
      <c r="DR105" s="48">
        <v>2.9526509999999999</v>
      </c>
      <c r="DS105" s="48">
        <v>2.9526509999999999</v>
      </c>
      <c r="DY105" s="48">
        <v>1.590509</v>
      </c>
      <c r="EF105" s="48">
        <v>2.9526509999999999</v>
      </c>
      <c r="EG105" s="48">
        <v>1.590509</v>
      </c>
      <c r="EP105" s="48">
        <v>1.590509</v>
      </c>
      <c r="EQ105" s="38">
        <v>5.4386359999999998</v>
      </c>
      <c r="EU105" s="48">
        <v>1.590509</v>
      </c>
      <c r="EV105" s="38">
        <v>3.0193080000000001</v>
      </c>
      <c r="EW105" s="48">
        <v>1.590509</v>
      </c>
      <c r="FF105" s="48">
        <v>2.9526509999999999</v>
      </c>
      <c r="FJ105" s="38">
        <v>0.57142899999999996</v>
      </c>
      <c r="FK105" s="48">
        <v>2.9526509999999999</v>
      </c>
      <c r="FP105" s="48">
        <v>2.9526509999999999</v>
      </c>
      <c r="FT105" s="49">
        <v>1.590509</v>
      </c>
      <c r="FU105" s="48">
        <v>1.590509</v>
      </c>
      <c r="GC105" s="48">
        <v>2.9526509999999999</v>
      </c>
      <c r="GF105" s="48">
        <v>2.9526509999999999</v>
      </c>
      <c r="GH105" s="48">
        <v>1.590509</v>
      </c>
      <c r="GJ105" s="48">
        <v>1.590509</v>
      </c>
      <c r="GU105" s="43">
        <f t="shared" si="12"/>
        <v>2.9526511249999996</v>
      </c>
      <c r="GV105" s="43">
        <f t="shared" si="13"/>
        <v>1.5905090476190478</v>
      </c>
    </row>
    <row r="106" spans="1:204" ht="15" customHeight="1" x14ac:dyDescent="0.2">
      <c r="A106" s="3" t="s">
        <v>403</v>
      </c>
      <c r="B106" s="10" t="s">
        <v>404</v>
      </c>
      <c r="C106" s="3" t="s">
        <v>405</v>
      </c>
      <c r="D106" s="40">
        <f t="shared" si="11"/>
        <v>1.2024687307692301</v>
      </c>
      <c r="F106" s="48">
        <v>0.649648</v>
      </c>
      <c r="G106" s="48">
        <v>0.649648</v>
      </c>
      <c r="K106" s="48">
        <v>0.649648</v>
      </c>
      <c r="M106" s="38">
        <v>0.89353899999999997</v>
      </c>
      <c r="N106" s="48">
        <v>0.649648</v>
      </c>
      <c r="S106" s="48">
        <v>1.6409130000000001</v>
      </c>
      <c r="T106">
        <v>2.9443130000000002</v>
      </c>
      <c r="Y106" s="48">
        <v>0.649648</v>
      </c>
      <c r="AC106">
        <v>0.59282900000000005</v>
      </c>
      <c r="AV106" s="48">
        <v>0.649648</v>
      </c>
      <c r="AX106">
        <v>0.70155800000000001</v>
      </c>
      <c r="AY106" s="38">
        <v>1.701068</v>
      </c>
      <c r="BC106">
        <v>0.77500000000000002</v>
      </c>
      <c r="BH106" s="48">
        <v>0.649648</v>
      </c>
      <c r="BL106" s="38">
        <v>1.530014</v>
      </c>
      <c r="BO106" s="48">
        <v>1.6409130000000001</v>
      </c>
      <c r="BQ106" s="38">
        <v>0.45369199999999998</v>
      </c>
      <c r="BR106">
        <v>3.0291519999999998</v>
      </c>
      <c r="BV106" s="48">
        <v>0.649648</v>
      </c>
      <c r="BW106" s="38">
        <v>2.229965</v>
      </c>
      <c r="BY106">
        <v>0.24862300000000001</v>
      </c>
      <c r="CG106" s="38">
        <v>0.94827099999999998</v>
      </c>
      <c r="CH106" s="48">
        <v>1.6409130000000001</v>
      </c>
      <c r="CM106" s="38">
        <v>6.825145</v>
      </c>
      <c r="CN106" s="48">
        <v>0.649648</v>
      </c>
      <c r="CO106" s="48">
        <v>0.649648</v>
      </c>
      <c r="CS106" s="48">
        <v>1.6409130000000001</v>
      </c>
      <c r="CY106" s="38">
        <v>1.3302700000000001</v>
      </c>
      <c r="CZ106" s="48">
        <v>0.649648</v>
      </c>
      <c r="DD106" s="38">
        <v>1.3678809999999999</v>
      </c>
      <c r="DE106" s="38">
        <v>1.639224</v>
      </c>
      <c r="DK106" s="48">
        <v>0.649648</v>
      </c>
      <c r="DR106" s="48">
        <v>0.649648</v>
      </c>
      <c r="DS106" s="48">
        <v>0.649648</v>
      </c>
      <c r="DY106" s="38">
        <v>1.6177919999999999</v>
      </c>
      <c r="EF106" s="48">
        <v>0.649648</v>
      </c>
      <c r="EG106" s="38">
        <v>1.4634480000000001</v>
      </c>
      <c r="EP106" s="38">
        <v>1.473619</v>
      </c>
      <c r="EQ106">
        <v>0.97505299999999995</v>
      </c>
      <c r="EU106" s="48">
        <v>1.6409130000000001</v>
      </c>
      <c r="EV106">
        <v>0.69584299999999999</v>
      </c>
      <c r="EW106" s="48">
        <v>1.6409130000000001</v>
      </c>
      <c r="FF106" s="48">
        <v>0.649648</v>
      </c>
      <c r="FJ106" s="38">
        <v>0.88208600000000004</v>
      </c>
      <c r="FK106">
        <v>0.60672599999999999</v>
      </c>
      <c r="FP106">
        <v>0.71627799999999997</v>
      </c>
      <c r="FT106" s="39">
        <v>0.42510399999999998</v>
      </c>
      <c r="FU106" s="48">
        <v>1.6409130000000001</v>
      </c>
      <c r="GC106" s="48">
        <v>0.649648</v>
      </c>
      <c r="GF106" s="48">
        <v>0.649648</v>
      </c>
      <c r="GH106" s="48">
        <v>1.6409130000000001</v>
      </c>
      <c r="GJ106" s="48">
        <v>1.6409130000000001</v>
      </c>
      <c r="GU106" s="43">
        <f t="shared" si="12"/>
        <v>0.64964774999999997</v>
      </c>
      <c r="GV106" s="43">
        <f t="shared" si="13"/>
        <v>1.6409127619047619</v>
      </c>
    </row>
    <row r="107" spans="1:204" ht="15" customHeight="1" x14ac:dyDescent="0.2">
      <c r="A107" s="3" t="s">
        <v>406</v>
      </c>
      <c r="B107" s="11" t="s">
        <v>407</v>
      </c>
      <c r="C107" s="3" t="s">
        <v>408</v>
      </c>
      <c r="D107" s="40">
        <f t="shared" si="11"/>
        <v>1.3411173653846156</v>
      </c>
      <c r="F107" s="48">
        <v>0.649648</v>
      </c>
      <c r="G107" s="48">
        <v>0.649648</v>
      </c>
      <c r="K107" s="48">
        <v>0.649648</v>
      </c>
      <c r="M107" s="48">
        <v>1.889524</v>
      </c>
      <c r="N107" s="48">
        <v>0.649648</v>
      </c>
      <c r="S107" s="48">
        <v>1.889524</v>
      </c>
      <c r="T107">
        <v>2.9443130000000002</v>
      </c>
      <c r="Y107" s="48">
        <v>0.649648</v>
      </c>
      <c r="AC107">
        <v>0.59282900000000005</v>
      </c>
      <c r="AV107" s="48">
        <v>0.649648</v>
      </c>
      <c r="AX107">
        <v>0.70155800000000001</v>
      </c>
      <c r="AY107" s="48">
        <v>1.889524</v>
      </c>
      <c r="BC107">
        <v>0.33</v>
      </c>
      <c r="BH107" s="48">
        <v>0.649648</v>
      </c>
      <c r="BL107" s="38">
        <v>1.7526550000000001</v>
      </c>
      <c r="BO107" s="48">
        <v>1.889524</v>
      </c>
      <c r="BQ107" s="38">
        <v>0.82490799999999997</v>
      </c>
      <c r="BR107">
        <v>3.0291519999999998</v>
      </c>
      <c r="BV107" s="48">
        <v>0.649648</v>
      </c>
      <c r="BW107" s="48">
        <v>1.889524</v>
      </c>
      <c r="BY107">
        <v>0.24862300000000001</v>
      </c>
      <c r="CG107" s="48">
        <v>1.889524</v>
      </c>
      <c r="CH107" s="48">
        <v>1.889524</v>
      </c>
      <c r="CM107" s="38">
        <v>9.3128960000000003</v>
      </c>
      <c r="CN107" s="48">
        <v>0.649648</v>
      </c>
      <c r="CO107" s="48">
        <v>0.649648</v>
      </c>
      <c r="CS107" s="48">
        <v>1.889524</v>
      </c>
      <c r="CY107" s="38">
        <v>1.652773</v>
      </c>
      <c r="CZ107" s="48">
        <v>0.649648</v>
      </c>
      <c r="DD107" s="38">
        <v>2.1612710000000002</v>
      </c>
      <c r="DE107" s="48">
        <v>1.889524</v>
      </c>
      <c r="DK107" s="48">
        <v>0.649648</v>
      </c>
      <c r="DR107" s="48">
        <v>0.649648</v>
      </c>
      <c r="DS107" s="48">
        <v>0.649648</v>
      </c>
      <c r="DY107" s="38">
        <v>1.8733960000000001</v>
      </c>
      <c r="EF107" s="48">
        <v>0.649648</v>
      </c>
      <c r="EG107" s="38">
        <v>0.57452599999999998</v>
      </c>
      <c r="EP107" s="38">
        <v>1.976094</v>
      </c>
      <c r="EQ107">
        <v>0.97505299999999995</v>
      </c>
      <c r="EU107" s="48">
        <v>1.889524</v>
      </c>
      <c r="EV107">
        <v>0.69584299999999999</v>
      </c>
      <c r="EW107" s="48">
        <v>1.889524</v>
      </c>
      <c r="FF107" s="48">
        <v>0.649648</v>
      </c>
      <c r="FJ107" s="38">
        <v>0.202209</v>
      </c>
      <c r="FK107">
        <v>0.60672599999999999</v>
      </c>
      <c r="FP107">
        <v>0.71627799999999997</v>
      </c>
      <c r="FT107" s="40">
        <v>0.42</v>
      </c>
      <c r="FU107" s="48">
        <v>1.889524</v>
      </c>
      <c r="GC107" s="48">
        <v>0.649648</v>
      </c>
      <c r="GF107" s="48">
        <v>0.649648</v>
      </c>
      <c r="GH107" s="48">
        <v>1.889524</v>
      </c>
      <c r="GJ107" s="48">
        <v>1.889524</v>
      </c>
      <c r="GU107" s="43">
        <f t="shared" si="12"/>
        <v>0.64964774999999997</v>
      </c>
      <c r="GV107" s="43">
        <f t="shared" si="13"/>
        <v>1.8895242380952391</v>
      </c>
    </row>
    <row r="108" spans="1:204" ht="15" customHeight="1" x14ac:dyDescent="0.2">
      <c r="A108" s="3" t="s">
        <v>409</v>
      </c>
      <c r="B108" s="11" t="s">
        <v>410</v>
      </c>
      <c r="C108" s="3" t="s">
        <v>408</v>
      </c>
      <c r="D108" s="40">
        <f t="shared" si="11"/>
        <v>1.1300554423076925</v>
      </c>
      <c r="F108" s="48">
        <v>0.649648</v>
      </c>
      <c r="G108" s="48">
        <v>0.649648</v>
      </c>
      <c r="K108" s="48">
        <v>0.649648</v>
      </c>
      <c r="M108" s="38">
        <v>0.89353899999999997</v>
      </c>
      <c r="N108" s="48">
        <v>0.649648</v>
      </c>
      <c r="S108" s="48">
        <v>1.5110680000000001</v>
      </c>
      <c r="T108">
        <v>2.9443130000000002</v>
      </c>
      <c r="Y108" s="48">
        <v>0.649648</v>
      </c>
      <c r="AC108">
        <v>0.59282900000000005</v>
      </c>
      <c r="AV108" s="48">
        <v>0.649648</v>
      </c>
      <c r="AX108">
        <v>0.70155800000000001</v>
      </c>
      <c r="AY108" s="38">
        <v>1.701068</v>
      </c>
      <c r="BC108">
        <v>1.22</v>
      </c>
      <c r="BH108" s="48">
        <v>0.649648</v>
      </c>
      <c r="BL108" s="38">
        <v>1.3073729999999999</v>
      </c>
      <c r="BO108" s="48">
        <v>1.5110680000000001</v>
      </c>
      <c r="BQ108" s="38">
        <v>8.2476999999999995E-2</v>
      </c>
      <c r="BR108">
        <v>3.0291519999999998</v>
      </c>
      <c r="BV108" s="48">
        <v>0.649648</v>
      </c>
      <c r="BW108" s="38">
        <v>2.229965</v>
      </c>
      <c r="BY108">
        <v>0.24862300000000001</v>
      </c>
      <c r="CG108" s="38">
        <v>0.94827099999999998</v>
      </c>
      <c r="CH108" s="48">
        <v>1.5110680000000001</v>
      </c>
      <c r="CM108" s="38">
        <v>4.3373929999999996</v>
      </c>
      <c r="CN108" s="48">
        <v>0.649648</v>
      </c>
      <c r="CO108" s="48">
        <v>0.649648</v>
      </c>
      <c r="CS108" s="48">
        <v>1.5110680000000001</v>
      </c>
      <c r="CY108" s="38">
        <v>1.0077670000000001</v>
      </c>
      <c r="CZ108" s="48">
        <v>0.649648</v>
      </c>
      <c r="DD108" s="38">
        <v>0.57449099999999997</v>
      </c>
      <c r="DE108" s="38">
        <v>1.639224</v>
      </c>
      <c r="DK108" s="48">
        <v>0.649648</v>
      </c>
      <c r="DR108" s="48">
        <v>0.649648</v>
      </c>
      <c r="DS108" s="48">
        <v>0.649648</v>
      </c>
      <c r="DY108" s="38">
        <v>1.362187</v>
      </c>
      <c r="EF108" s="48">
        <v>0.649648</v>
      </c>
      <c r="EG108" s="38">
        <v>2.3523700000000001</v>
      </c>
      <c r="EP108" s="38">
        <v>0.97114400000000001</v>
      </c>
      <c r="EQ108">
        <v>0.97505299999999995</v>
      </c>
      <c r="EU108" s="48">
        <v>1.5110680000000001</v>
      </c>
      <c r="EV108">
        <v>0.69584299999999999</v>
      </c>
      <c r="EW108" s="48">
        <v>1.5110680000000001</v>
      </c>
      <c r="FF108" s="48">
        <v>0.649648</v>
      </c>
      <c r="FJ108" s="38">
        <v>1.561963</v>
      </c>
      <c r="FK108">
        <v>0.60672599999999999</v>
      </c>
      <c r="FP108">
        <v>0.71627799999999997</v>
      </c>
      <c r="FT108" s="40">
        <v>0.77</v>
      </c>
      <c r="FU108" s="48">
        <v>1.5110680000000001</v>
      </c>
      <c r="GC108" s="48">
        <v>0.649648</v>
      </c>
      <c r="GF108" s="48">
        <v>0.649648</v>
      </c>
      <c r="GH108" s="48">
        <v>1.5110680000000001</v>
      </c>
      <c r="GJ108" s="48">
        <v>1.5110680000000001</v>
      </c>
      <c r="GU108" s="43">
        <f t="shared" si="12"/>
        <v>0.64964774999999997</v>
      </c>
      <c r="GV108" s="43">
        <f t="shared" si="13"/>
        <v>1.5110684285714284</v>
      </c>
    </row>
    <row r="109" spans="1:204" ht="15" customHeight="1" x14ac:dyDescent="0.2">
      <c r="A109" s="3"/>
      <c r="B109" s="3"/>
      <c r="C109" s="3"/>
      <c r="FT109" s="40"/>
    </row>
    <row r="110" spans="1:204" ht="15" customHeight="1" x14ac:dyDescent="0.2">
      <c r="A110" s="3"/>
      <c r="B110" s="3"/>
      <c r="C110" s="3"/>
      <c r="FT110" s="40"/>
    </row>
    <row r="111" spans="1:204" ht="15" customHeight="1" x14ac:dyDescent="0.2">
      <c r="A111" s="3"/>
      <c r="B111" s="3"/>
      <c r="C111" s="3"/>
      <c r="FT111" s="40"/>
    </row>
    <row r="112" spans="1:204" ht="15" customHeight="1" x14ac:dyDescent="0.2">
      <c r="A112" s="3"/>
      <c r="B112" s="3"/>
      <c r="C112" s="3"/>
      <c r="FT112" s="40"/>
    </row>
    <row r="113" spans="1:176" ht="15" customHeight="1" x14ac:dyDescent="0.2">
      <c r="A113" s="3"/>
      <c r="B113" s="3"/>
      <c r="C113" s="3"/>
      <c r="FT113" s="40"/>
    </row>
    <row r="114" spans="1:176" ht="15" customHeight="1" x14ac:dyDescent="0.2">
      <c r="A114" s="3"/>
      <c r="B114" s="3"/>
      <c r="C114" s="3"/>
      <c r="FT114" s="40"/>
    </row>
    <row r="115" spans="1:176" ht="15" customHeight="1" x14ac:dyDescent="0.2">
      <c r="A115" s="3"/>
      <c r="B115" s="3"/>
      <c r="C115" s="3"/>
      <c r="FT115" s="40"/>
    </row>
    <row r="116" spans="1:176" ht="15" customHeight="1" x14ac:dyDescent="0.2">
      <c r="FT116" s="40"/>
    </row>
    <row r="117" spans="1:176" ht="15" customHeight="1" x14ac:dyDescent="0.2">
      <c r="FT117" s="40"/>
    </row>
    <row r="118" spans="1:176" ht="15" customHeight="1" x14ac:dyDescent="0.2">
      <c r="FT118" s="40"/>
    </row>
    <row r="119" spans="1:176" ht="15" customHeight="1" x14ac:dyDescent="0.2">
      <c r="FT119" s="40"/>
    </row>
    <row r="120" spans="1:176" ht="15" customHeight="1" x14ac:dyDescent="0.2">
      <c r="FT120" s="40"/>
    </row>
    <row r="121" spans="1:176" ht="15" customHeight="1" x14ac:dyDescent="0.2">
      <c r="FT121" s="40"/>
    </row>
    <row r="122" spans="1:176" ht="15" customHeight="1" x14ac:dyDescent="0.2">
      <c r="FT122" s="40"/>
    </row>
    <row r="123" spans="1:176" ht="15" customHeight="1" x14ac:dyDescent="0.2">
      <c r="FT123" s="40"/>
    </row>
    <row r="124" spans="1:176" ht="15" customHeight="1" x14ac:dyDescent="0.2">
      <c r="FT124" s="40"/>
    </row>
    <row r="125" spans="1:176" ht="15" customHeight="1" x14ac:dyDescent="0.2">
      <c r="FT125" s="40"/>
    </row>
    <row r="126" spans="1:176" ht="15" customHeight="1" x14ac:dyDescent="0.2">
      <c r="FT126" s="40"/>
    </row>
    <row r="127" spans="1:176" ht="15" customHeight="1" x14ac:dyDescent="0.2">
      <c r="FT127" s="40"/>
    </row>
    <row r="128" spans="1:176" ht="15" customHeight="1" x14ac:dyDescent="0.2">
      <c r="FT128" s="40"/>
    </row>
    <row r="129" spans="176:176" ht="15" customHeight="1" x14ac:dyDescent="0.2">
      <c r="FT129" s="40"/>
    </row>
    <row r="130" spans="176:176" ht="15" customHeight="1" x14ac:dyDescent="0.2">
      <c r="FT130" s="40"/>
    </row>
    <row r="131" spans="176:176" ht="15" customHeight="1" x14ac:dyDescent="0.2">
      <c r="FT131" s="40"/>
    </row>
    <row r="132" spans="176:176" ht="15" customHeight="1" x14ac:dyDescent="0.2">
      <c r="FT132" s="40"/>
    </row>
    <row r="133" spans="176:176" ht="15" customHeight="1" x14ac:dyDescent="0.2">
      <c r="FT133" s="40"/>
    </row>
    <row r="134" spans="176:176" ht="15" customHeight="1" x14ac:dyDescent="0.2">
      <c r="FT134" s="40"/>
    </row>
    <row r="135" spans="176:176" ht="15" customHeight="1" x14ac:dyDescent="0.2">
      <c r="FT135" s="40"/>
    </row>
    <row r="136" spans="176:176" ht="15" customHeight="1" x14ac:dyDescent="0.2">
      <c r="FT136" s="40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CC1DA"/>
  </sheetPr>
  <dimension ref="A2:GT115"/>
  <sheetViews>
    <sheetView zoomScale="70" zoomScaleNormal="70" workbookViewId="0">
      <pane xSplit="2" ySplit="4" topLeftCell="C75" activePane="bottomRight" state="frozen"/>
      <selection pane="topRight" activeCell="C1" sqref="C1"/>
      <selection pane="bottomLeft" activeCell="A5" sqref="A5"/>
      <selection pane="bottomRight" activeCell="D41" sqref="D41"/>
    </sheetView>
  </sheetViews>
  <sheetFormatPr baseColWidth="10" defaultColWidth="8.83203125" defaultRowHeight="15" x14ac:dyDescent="0.2"/>
  <cols>
    <col min="2" max="2" width="32.83203125" customWidth="1"/>
    <col min="3" max="3" width="15.33203125" customWidth="1"/>
    <col min="4" max="4" width="7.83203125" customWidth="1"/>
    <col min="5" max="202" width="5.6640625" customWidth="1"/>
  </cols>
  <sheetData>
    <row r="2" spans="1:202" ht="18.75" customHeight="1" x14ac:dyDescent="0.25">
      <c r="A2" s="2" t="s">
        <v>632</v>
      </c>
    </row>
    <row r="4" spans="1:202" ht="78" customHeight="1" x14ac:dyDescent="0.2">
      <c r="A4" s="19" t="s">
        <v>2</v>
      </c>
      <c r="B4" s="4"/>
      <c r="C4" s="4"/>
      <c r="E4" s="5" t="s">
        <v>3</v>
      </c>
      <c r="F4" s="5" t="s">
        <v>4</v>
      </c>
      <c r="G4" s="5" t="s">
        <v>5</v>
      </c>
      <c r="H4" s="5" t="s">
        <v>6</v>
      </c>
      <c r="I4" s="5" t="s">
        <v>7</v>
      </c>
      <c r="J4" s="5" t="s">
        <v>8</v>
      </c>
      <c r="K4" s="5" t="s">
        <v>9</v>
      </c>
      <c r="L4" s="5" t="s">
        <v>10</v>
      </c>
      <c r="M4" s="5" t="s">
        <v>11</v>
      </c>
      <c r="N4" s="5" t="s">
        <v>12</v>
      </c>
      <c r="O4" s="5" t="s">
        <v>13</v>
      </c>
      <c r="P4" s="5" t="s">
        <v>14</v>
      </c>
      <c r="Q4" s="5" t="s">
        <v>15</v>
      </c>
      <c r="R4" s="5" t="s">
        <v>16</v>
      </c>
      <c r="S4" s="5" t="s">
        <v>17</v>
      </c>
      <c r="T4" s="5" t="s">
        <v>18</v>
      </c>
      <c r="U4" s="5" t="s">
        <v>19</v>
      </c>
      <c r="V4" s="5" t="s">
        <v>20</v>
      </c>
      <c r="W4" s="5" t="s">
        <v>21</v>
      </c>
      <c r="X4" s="5" t="s">
        <v>22</v>
      </c>
      <c r="Y4" s="5" t="s">
        <v>23</v>
      </c>
      <c r="Z4" s="5" t="s">
        <v>24</v>
      </c>
      <c r="AA4" s="5" t="s">
        <v>25</v>
      </c>
      <c r="AB4" s="5" t="s">
        <v>26</v>
      </c>
      <c r="AC4" s="5" t="s">
        <v>27</v>
      </c>
      <c r="AD4" s="5" t="s">
        <v>28</v>
      </c>
      <c r="AE4" s="5" t="s">
        <v>29</v>
      </c>
      <c r="AF4" s="5" t="s">
        <v>30</v>
      </c>
      <c r="AG4" s="5" t="s">
        <v>31</v>
      </c>
      <c r="AH4" s="5" t="s">
        <v>32</v>
      </c>
      <c r="AI4" s="5" t="s">
        <v>33</v>
      </c>
      <c r="AJ4" s="5" t="s">
        <v>34</v>
      </c>
      <c r="AK4" s="5" t="s">
        <v>35</v>
      </c>
      <c r="AL4" s="5" t="s">
        <v>36</v>
      </c>
      <c r="AM4" s="5" t="s">
        <v>37</v>
      </c>
      <c r="AN4" s="5" t="s">
        <v>38</v>
      </c>
      <c r="AO4" s="5" t="s">
        <v>39</v>
      </c>
      <c r="AP4" s="5" t="s">
        <v>40</v>
      </c>
      <c r="AQ4" s="5" t="s">
        <v>41</v>
      </c>
      <c r="AR4" s="5" t="s">
        <v>42</v>
      </c>
      <c r="AS4" s="5" t="s">
        <v>43</v>
      </c>
      <c r="AT4" s="5" t="s">
        <v>44</v>
      </c>
      <c r="AU4" s="5" t="s">
        <v>45</v>
      </c>
      <c r="AV4" s="5" t="s">
        <v>46</v>
      </c>
      <c r="AW4" s="5" t="s">
        <v>47</v>
      </c>
      <c r="AX4" s="5" t="s">
        <v>48</v>
      </c>
      <c r="AY4" s="5" t="s">
        <v>49</v>
      </c>
      <c r="AZ4" s="5" t="s">
        <v>50</v>
      </c>
      <c r="BA4" s="5" t="s">
        <v>51</v>
      </c>
      <c r="BB4" s="5" t="s">
        <v>52</v>
      </c>
      <c r="BC4" s="5" t="s">
        <v>53</v>
      </c>
      <c r="BD4" s="5" t="s">
        <v>54</v>
      </c>
      <c r="BE4" s="5" t="s">
        <v>55</v>
      </c>
      <c r="BF4" s="5" t="s">
        <v>56</v>
      </c>
      <c r="BG4" s="5" t="s">
        <v>57</v>
      </c>
      <c r="BH4" s="5" t="s">
        <v>58</v>
      </c>
      <c r="BI4" s="5" t="s">
        <v>59</v>
      </c>
      <c r="BJ4" s="5" t="s">
        <v>60</v>
      </c>
      <c r="BK4" s="5" t="s">
        <v>61</v>
      </c>
      <c r="BL4" s="5" t="s">
        <v>62</v>
      </c>
      <c r="BM4" s="5" t="s">
        <v>63</v>
      </c>
      <c r="BN4" s="5" t="s">
        <v>64</v>
      </c>
      <c r="BO4" s="5" t="s">
        <v>65</v>
      </c>
      <c r="BP4" s="5" t="s">
        <v>66</v>
      </c>
      <c r="BQ4" s="5" t="s">
        <v>67</v>
      </c>
      <c r="BR4" s="5" t="s">
        <v>68</v>
      </c>
      <c r="BS4" s="5" t="s">
        <v>69</v>
      </c>
      <c r="BT4" s="5" t="s">
        <v>70</v>
      </c>
      <c r="BU4" s="5" t="s">
        <v>71</v>
      </c>
      <c r="BV4" s="5" t="s">
        <v>72</v>
      </c>
      <c r="BW4" s="5" t="s">
        <v>73</v>
      </c>
      <c r="BX4" s="5" t="s">
        <v>74</v>
      </c>
      <c r="BY4" s="5" t="s">
        <v>75</v>
      </c>
      <c r="BZ4" s="5" t="s">
        <v>76</v>
      </c>
      <c r="CA4" s="5" t="s">
        <v>77</v>
      </c>
      <c r="CB4" s="5" t="s">
        <v>78</v>
      </c>
      <c r="CC4" s="5" t="s">
        <v>79</v>
      </c>
      <c r="CD4" s="5" t="s">
        <v>80</v>
      </c>
      <c r="CE4" s="5" t="s">
        <v>81</v>
      </c>
      <c r="CF4" s="5" t="s">
        <v>82</v>
      </c>
      <c r="CG4" s="5" t="s">
        <v>83</v>
      </c>
      <c r="CH4" s="5" t="s">
        <v>84</v>
      </c>
      <c r="CI4" s="5" t="s">
        <v>85</v>
      </c>
      <c r="CJ4" s="5" t="s">
        <v>86</v>
      </c>
      <c r="CK4" s="5" t="s">
        <v>87</v>
      </c>
      <c r="CL4" s="5" t="s">
        <v>88</v>
      </c>
      <c r="CM4" s="5" t="s">
        <v>89</v>
      </c>
      <c r="CN4" s="5" t="s">
        <v>90</v>
      </c>
      <c r="CO4" s="5" t="s">
        <v>91</v>
      </c>
      <c r="CP4" s="5" t="s">
        <v>92</v>
      </c>
      <c r="CQ4" s="5" t="s">
        <v>93</v>
      </c>
      <c r="CR4" s="5" t="s">
        <v>94</v>
      </c>
      <c r="CS4" s="5" t="s">
        <v>95</v>
      </c>
      <c r="CT4" s="5" t="s">
        <v>96</v>
      </c>
      <c r="CU4" s="5" t="s">
        <v>97</v>
      </c>
      <c r="CV4" s="5" t="s">
        <v>98</v>
      </c>
      <c r="CW4" s="5" t="s">
        <v>99</v>
      </c>
      <c r="CX4" s="5" t="s">
        <v>100</v>
      </c>
      <c r="CY4" s="5" t="s">
        <v>101</v>
      </c>
      <c r="CZ4" s="5" t="s">
        <v>102</v>
      </c>
      <c r="DA4" s="5" t="s">
        <v>103</v>
      </c>
      <c r="DB4" s="5" t="s">
        <v>104</v>
      </c>
      <c r="DC4" s="5" t="s">
        <v>105</v>
      </c>
      <c r="DD4" s="5" t="s">
        <v>106</v>
      </c>
      <c r="DE4" s="5" t="s">
        <v>107</v>
      </c>
      <c r="DF4" s="5" t="s">
        <v>108</v>
      </c>
      <c r="DG4" s="5" t="s">
        <v>109</v>
      </c>
      <c r="DH4" s="5" t="s">
        <v>110</v>
      </c>
      <c r="DI4" s="5" t="s">
        <v>111</v>
      </c>
      <c r="DJ4" s="5" t="s">
        <v>112</v>
      </c>
      <c r="DK4" s="5" t="s">
        <v>113</v>
      </c>
      <c r="DL4" s="5" t="s">
        <v>114</v>
      </c>
      <c r="DM4" s="5" t="s">
        <v>115</v>
      </c>
      <c r="DN4" s="5" t="s">
        <v>116</v>
      </c>
      <c r="DO4" s="5" t="s">
        <v>117</v>
      </c>
      <c r="DP4" s="5" t="s">
        <v>118</v>
      </c>
      <c r="DQ4" s="5" t="s">
        <v>119</v>
      </c>
      <c r="DR4" s="5" t="s">
        <v>120</v>
      </c>
      <c r="DS4" s="5" t="s">
        <v>121</v>
      </c>
      <c r="DT4" s="5" t="s">
        <v>122</v>
      </c>
      <c r="DU4" s="5" t="s">
        <v>123</v>
      </c>
      <c r="DV4" s="5" t="s">
        <v>124</v>
      </c>
      <c r="DW4" s="5" t="s">
        <v>125</v>
      </c>
      <c r="DX4" s="5" t="s">
        <v>126</v>
      </c>
      <c r="DY4" s="5" t="s">
        <v>127</v>
      </c>
      <c r="DZ4" s="5" t="s">
        <v>128</v>
      </c>
      <c r="EA4" s="5" t="s">
        <v>129</v>
      </c>
      <c r="EB4" s="5" t="s">
        <v>130</v>
      </c>
      <c r="EC4" s="5" t="s">
        <v>131</v>
      </c>
      <c r="ED4" s="5" t="s">
        <v>132</v>
      </c>
      <c r="EE4" s="5" t="s">
        <v>133</v>
      </c>
      <c r="EF4" s="5" t="s">
        <v>134</v>
      </c>
      <c r="EG4" s="5" t="s">
        <v>135</v>
      </c>
      <c r="EH4" s="5" t="s">
        <v>136</v>
      </c>
      <c r="EI4" s="5" t="s">
        <v>137</v>
      </c>
      <c r="EJ4" s="5" t="s">
        <v>138</v>
      </c>
      <c r="EK4" s="5" t="s">
        <v>139</v>
      </c>
      <c r="EL4" s="5" t="s">
        <v>140</v>
      </c>
      <c r="EM4" s="5" t="s">
        <v>141</v>
      </c>
      <c r="EN4" s="5" t="s">
        <v>142</v>
      </c>
      <c r="EO4" s="5" t="s">
        <v>143</v>
      </c>
      <c r="EP4" s="5" t="s">
        <v>144</v>
      </c>
      <c r="EQ4" s="5" t="s">
        <v>145</v>
      </c>
      <c r="ER4" s="5" t="s">
        <v>146</v>
      </c>
      <c r="ES4" s="5" t="s">
        <v>147</v>
      </c>
      <c r="ET4" s="5" t="s">
        <v>148</v>
      </c>
      <c r="EU4" s="5" t="s">
        <v>149</v>
      </c>
      <c r="EV4" s="5" t="s">
        <v>150</v>
      </c>
      <c r="EW4" s="5" t="s">
        <v>151</v>
      </c>
      <c r="EX4" s="5" t="s">
        <v>152</v>
      </c>
      <c r="EY4" s="5" t="s">
        <v>153</v>
      </c>
      <c r="EZ4" s="5" t="s">
        <v>154</v>
      </c>
      <c r="FA4" s="5" t="s">
        <v>155</v>
      </c>
      <c r="FB4" s="5" t="s">
        <v>156</v>
      </c>
      <c r="FC4" s="5" t="s">
        <v>157</v>
      </c>
      <c r="FD4" s="5" t="s">
        <v>158</v>
      </c>
      <c r="FE4" s="5" t="s">
        <v>159</v>
      </c>
      <c r="FF4" s="5" t="s">
        <v>160</v>
      </c>
      <c r="FG4" s="5" t="s">
        <v>161</v>
      </c>
      <c r="FH4" s="5" t="s">
        <v>162</v>
      </c>
      <c r="FI4" s="5" t="s">
        <v>163</v>
      </c>
      <c r="FJ4" s="5" t="s">
        <v>164</v>
      </c>
      <c r="FK4" s="5" t="s">
        <v>165</v>
      </c>
      <c r="FL4" s="5" t="s">
        <v>166</v>
      </c>
      <c r="FM4" s="5" t="s">
        <v>167</v>
      </c>
      <c r="FN4" s="5" t="s">
        <v>168</v>
      </c>
      <c r="FO4" s="5" t="s">
        <v>169</v>
      </c>
      <c r="FP4" s="5" t="s">
        <v>170</v>
      </c>
      <c r="FQ4" s="5" t="s">
        <v>171</v>
      </c>
      <c r="FR4" s="5" t="s">
        <v>172</v>
      </c>
      <c r="FS4" s="5" t="s">
        <v>173</v>
      </c>
      <c r="FT4" s="5" t="s">
        <v>174</v>
      </c>
      <c r="FU4" s="5" t="s">
        <v>175</v>
      </c>
      <c r="FV4" s="5" t="s">
        <v>176</v>
      </c>
      <c r="FW4" s="5" t="s">
        <v>177</v>
      </c>
      <c r="FX4" s="5" t="s">
        <v>178</v>
      </c>
      <c r="FY4" s="5" t="s">
        <v>179</v>
      </c>
      <c r="FZ4" s="5" t="s">
        <v>180</v>
      </c>
      <c r="GA4" s="5" t="s">
        <v>181</v>
      </c>
      <c r="GB4" s="5" t="s">
        <v>182</v>
      </c>
      <c r="GC4" s="5" t="s">
        <v>183</v>
      </c>
      <c r="GD4" s="5" t="s">
        <v>184</v>
      </c>
      <c r="GE4" s="5" t="s">
        <v>185</v>
      </c>
      <c r="GF4" s="5" t="s">
        <v>186</v>
      </c>
      <c r="GG4" s="5" t="s">
        <v>187</v>
      </c>
      <c r="GH4" s="5" t="s">
        <v>188</v>
      </c>
      <c r="GI4" s="5" t="s">
        <v>189</v>
      </c>
      <c r="GJ4" s="5" t="s">
        <v>190</v>
      </c>
      <c r="GK4" s="5" t="s">
        <v>191</v>
      </c>
      <c r="GL4" s="5" t="s">
        <v>192</v>
      </c>
      <c r="GM4" s="5" t="s">
        <v>193</v>
      </c>
      <c r="GN4" s="5" t="s">
        <v>194</v>
      </c>
      <c r="GO4" s="5" t="s">
        <v>195</v>
      </c>
      <c r="GP4" s="5" t="s">
        <v>196</v>
      </c>
      <c r="GQ4" s="5" t="s">
        <v>197</v>
      </c>
      <c r="GR4" s="5" t="s">
        <v>198</v>
      </c>
      <c r="GS4" s="5" t="s">
        <v>199</v>
      </c>
      <c r="GT4" s="5" t="s">
        <v>200</v>
      </c>
    </row>
    <row r="5" spans="1:202" ht="15.75" customHeight="1" x14ac:dyDescent="0.2">
      <c r="A5" s="6" t="s">
        <v>201</v>
      </c>
      <c r="B5" s="7" t="s">
        <v>202</v>
      </c>
      <c r="C5" s="8" t="s">
        <v>203</v>
      </c>
      <c r="D5" s="9" t="s">
        <v>204</v>
      </c>
      <c r="E5" s="9" t="s">
        <v>205</v>
      </c>
      <c r="F5" s="9" t="s">
        <v>206</v>
      </c>
      <c r="G5" s="9" t="s">
        <v>207</v>
      </c>
      <c r="H5" s="9" t="s">
        <v>208</v>
      </c>
      <c r="I5" s="9" t="s">
        <v>209</v>
      </c>
      <c r="J5" s="9" t="s">
        <v>210</v>
      </c>
      <c r="K5" s="9" t="s">
        <v>211</v>
      </c>
      <c r="L5" s="9" t="s">
        <v>212</v>
      </c>
      <c r="M5" s="9" t="s">
        <v>213</v>
      </c>
      <c r="N5" s="9" t="s">
        <v>214</v>
      </c>
      <c r="O5" s="9" t="s">
        <v>215</v>
      </c>
      <c r="P5" s="9" t="s">
        <v>216</v>
      </c>
      <c r="Q5" s="9" t="s">
        <v>217</v>
      </c>
      <c r="R5" s="9" t="s">
        <v>218</v>
      </c>
      <c r="S5" s="9" t="s">
        <v>219</v>
      </c>
      <c r="T5" s="9" t="s">
        <v>220</v>
      </c>
      <c r="U5" s="9" t="s">
        <v>221</v>
      </c>
      <c r="V5" s="9" t="s">
        <v>222</v>
      </c>
      <c r="W5" s="9" t="s">
        <v>223</v>
      </c>
      <c r="X5" s="9" t="s">
        <v>224</v>
      </c>
      <c r="Y5" s="9" t="s">
        <v>225</v>
      </c>
      <c r="Z5" s="9" t="s">
        <v>226</v>
      </c>
      <c r="AA5" s="9" t="s">
        <v>227</v>
      </c>
      <c r="AB5" s="9" t="s">
        <v>228</v>
      </c>
      <c r="AC5" s="9" t="s">
        <v>229</v>
      </c>
      <c r="AD5" s="9" t="s">
        <v>230</v>
      </c>
      <c r="AE5" s="9" t="s">
        <v>231</v>
      </c>
      <c r="AF5" s="9" t="s">
        <v>232</v>
      </c>
      <c r="AG5" s="9" t="s">
        <v>233</v>
      </c>
      <c r="AH5" s="9" t="s">
        <v>234</v>
      </c>
      <c r="AI5" s="9" t="s">
        <v>235</v>
      </c>
      <c r="AJ5" s="9" t="s">
        <v>236</v>
      </c>
      <c r="AK5" s="9" t="s">
        <v>237</v>
      </c>
      <c r="AL5" s="9" t="s">
        <v>238</v>
      </c>
      <c r="AM5" s="9" t="s">
        <v>239</v>
      </c>
      <c r="AN5" s="9" t="s">
        <v>240</v>
      </c>
      <c r="AO5" s="9" t="s">
        <v>241</v>
      </c>
      <c r="AP5" s="9" t="s">
        <v>242</v>
      </c>
      <c r="AQ5" s="9" t="s">
        <v>243</v>
      </c>
      <c r="AR5" s="9" t="s">
        <v>244</v>
      </c>
      <c r="AS5" s="9" t="s">
        <v>245</v>
      </c>
      <c r="AT5" s="9" t="s">
        <v>246</v>
      </c>
      <c r="AU5" s="9" t="s">
        <v>247</v>
      </c>
      <c r="AV5" s="9" t="s">
        <v>248</v>
      </c>
      <c r="AW5" s="9" t="s">
        <v>249</v>
      </c>
      <c r="AX5" s="9" t="s">
        <v>250</v>
      </c>
      <c r="AY5" s="9" t="s">
        <v>251</v>
      </c>
      <c r="AZ5" s="9" t="s">
        <v>252</v>
      </c>
      <c r="BA5" s="9" t="s">
        <v>253</v>
      </c>
      <c r="BB5" s="9" t="s">
        <v>254</v>
      </c>
      <c r="BC5" s="9" t="s">
        <v>255</v>
      </c>
      <c r="BD5" s="9" t="s">
        <v>256</v>
      </c>
      <c r="BE5" s="9" t="s">
        <v>257</v>
      </c>
      <c r="BF5" s="9" t="s">
        <v>258</v>
      </c>
      <c r="BG5" s="9" t="s">
        <v>259</v>
      </c>
      <c r="BH5" s="9" t="s">
        <v>260</v>
      </c>
      <c r="BI5" s="9" t="s">
        <v>261</v>
      </c>
      <c r="BJ5" s="9" t="s">
        <v>262</v>
      </c>
      <c r="BK5" s="9" t="s">
        <v>263</v>
      </c>
      <c r="BL5" s="9" t="s">
        <v>264</v>
      </c>
      <c r="BM5" s="9" t="s">
        <v>265</v>
      </c>
      <c r="BN5" s="9" t="s">
        <v>266</v>
      </c>
      <c r="BO5" s="9" t="s">
        <v>267</v>
      </c>
      <c r="BP5" s="9" t="s">
        <v>268</v>
      </c>
      <c r="BQ5" s="9" t="s">
        <v>269</v>
      </c>
      <c r="BR5" s="9" t="s">
        <v>270</v>
      </c>
      <c r="BS5" s="9" t="s">
        <v>271</v>
      </c>
      <c r="BT5" s="9" t="s">
        <v>272</v>
      </c>
      <c r="BU5" s="9" t="s">
        <v>273</v>
      </c>
      <c r="BV5" s="9" t="s">
        <v>274</v>
      </c>
      <c r="BW5" s="9" t="s">
        <v>275</v>
      </c>
      <c r="BX5" s="9" t="s">
        <v>276</v>
      </c>
      <c r="BY5" s="9" t="s">
        <v>277</v>
      </c>
      <c r="BZ5" s="9" t="s">
        <v>278</v>
      </c>
      <c r="CA5" s="9" t="s">
        <v>279</v>
      </c>
      <c r="CB5" s="9" t="s">
        <v>280</v>
      </c>
      <c r="CC5" s="9" t="s">
        <v>281</v>
      </c>
      <c r="CD5" s="9" t="s">
        <v>282</v>
      </c>
      <c r="CE5" s="9" t="s">
        <v>283</v>
      </c>
      <c r="CF5" s="9" t="s">
        <v>284</v>
      </c>
      <c r="CG5" s="9" t="s">
        <v>285</v>
      </c>
      <c r="CH5" s="9" t="s">
        <v>286</v>
      </c>
      <c r="CI5" s="9" t="s">
        <v>287</v>
      </c>
      <c r="CJ5" s="9" t="s">
        <v>288</v>
      </c>
      <c r="CK5" s="9" t="s">
        <v>289</v>
      </c>
      <c r="CL5" s="9" t="s">
        <v>290</v>
      </c>
      <c r="CM5" s="9" t="s">
        <v>291</v>
      </c>
      <c r="CN5" s="9" t="s">
        <v>292</v>
      </c>
      <c r="CO5" s="9" t="s">
        <v>293</v>
      </c>
      <c r="CP5" s="9" t="s">
        <v>294</v>
      </c>
      <c r="CQ5" s="9" t="s">
        <v>295</v>
      </c>
      <c r="CR5" s="9" t="s">
        <v>296</v>
      </c>
      <c r="CS5" s="9" t="s">
        <v>297</v>
      </c>
      <c r="CT5" s="9" t="s">
        <v>298</v>
      </c>
      <c r="CU5" s="9" t="s">
        <v>299</v>
      </c>
      <c r="CV5" s="9" t="s">
        <v>300</v>
      </c>
      <c r="CW5" s="9" t="s">
        <v>301</v>
      </c>
      <c r="CX5" s="9" t="s">
        <v>302</v>
      </c>
      <c r="CY5" s="9" t="s">
        <v>303</v>
      </c>
      <c r="CZ5" s="9" t="s">
        <v>304</v>
      </c>
      <c r="DA5" s="9" t="s">
        <v>305</v>
      </c>
      <c r="DB5" s="9" t="s">
        <v>306</v>
      </c>
      <c r="DC5" s="9" t="s">
        <v>307</v>
      </c>
      <c r="DD5" s="9" t="s">
        <v>308</v>
      </c>
      <c r="DE5" s="9" t="s">
        <v>309</v>
      </c>
      <c r="DF5" s="9" t="s">
        <v>310</v>
      </c>
      <c r="DG5" s="9" t="s">
        <v>311</v>
      </c>
      <c r="DH5" s="9" t="s">
        <v>312</v>
      </c>
      <c r="DI5" s="9" t="s">
        <v>313</v>
      </c>
      <c r="DJ5" s="9" t="s">
        <v>314</v>
      </c>
      <c r="DK5" s="9" t="s">
        <v>315</v>
      </c>
      <c r="DL5" s="9" t="s">
        <v>316</v>
      </c>
      <c r="DM5" s="9" t="s">
        <v>317</v>
      </c>
      <c r="DN5" s="9" t="s">
        <v>318</v>
      </c>
      <c r="DO5" s="9" t="s">
        <v>319</v>
      </c>
      <c r="DP5" s="9" t="s">
        <v>320</v>
      </c>
      <c r="DQ5" s="9" t="s">
        <v>321</v>
      </c>
      <c r="DR5" s="9" t="s">
        <v>322</v>
      </c>
      <c r="DS5" s="9" t="s">
        <v>323</v>
      </c>
      <c r="DT5" s="9" t="s">
        <v>324</v>
      </c>
      <c r="DU5" s="9" t="s">
        <v>325</v>
      </c>
      <c r="DV5" s="9" t="s">
        <v>326</v>
      </c>
      <c r="DW5" s="9" t="s">
        <v>327</v>
      </c>
      <c r="DX5" s="9" t="s">
        <v>328</v>
      </c>
      <c r="DY5" s="9" t="s">
        <v>329</v>
      </c>
      <c r="DZ5" s="9" t="s">
        <v>330</v>
      </c>
      <c r="EA5" s="9" t="s">
        <v>331</v>
      </c>
      <c r="EB5" s="9" t="s">
        <v>332</v>
      </c>
      <c r="EC5" s="9" t="s">
        <v>333</v>
      </c>
      <c r="ED5" s="9" t="s">
        <v>334</v>
      </c>
      <c r="EE5" s="9" t="s">
        <v>335</v>
      </c>
      <c r="EF5" s="9" t="s">
        <v>336</v>
      </c>
      <c r="EG5" s="9" t="s">
        <v>337</v>
      </c>
      <c r="EH5" s="9" t="s">
        <v>338</v>
      </c>
      <c r="EI5" s="9" t="s">
        <v>339</v>
      </c>
      <c r="EJ5" s="9" t="s">
        <v>340</v>
      </c>
      <c r="EK5" s="9" t="s">
        <v>341</v>
      </c>
      <c r="EL5" s="9" t="s">
        <v>342</v>
      </c>
      <c r="EM5" s="9" t="s">
        <v>343</v>
      </c>
      <c r="EN5" s="9" t="s">
        <v>344</v>
      </c>
      <c r="EO5" s="9" t="s">
        <v>345</v>
      </c>
      <c r="EP5" s="9" t="s">
        <v>346</v>
      </c>
      <c r="EQ5" s="9" t="s">
        <v>347</v>
      </c>
      <c r="ER5" s="9" t="s">
        <v>348</v>
      </c>
      <c r="ES5" s="9" t="s">
        <v>349</v>
      </c>
      <c r="ET5" s="9" t="s">
        <v>350</v>
      </c>
      <c r="EU5" s="9" t="s">
        <v>351</v>
      </c>
      <c r="EV5" s="9" t="s">
        <v>352</v>
      </c>
      <c r="EW5" s="9" t="s">
        <v>353</v>
      </c>
      <c r="EX5" s="9" t="s">
        <v>354</v>
      </c>
      <c r="EY5" s="9" t="s">
        <v>355</v>
      </c>
      <c r="EZ5" s="9" t="s">
        <v>356</v>
      </c>
      <c r="FA5" s="9" t="s">
        <v>357</v>
      </c>
      <c r="FB5" s="9" t="s">
        <v>358</v>
      </c>
      <c r="FC5" s="9" t="s">
        <v>359</v>
      </c>
      <c r="FD5" s="9" t="s">
        <v>360</v>
      </c>
      <c r="FE5" s="9" t="s">
        <v>361</v>
      </c>
      <c r="FF5" s="9" t="s">
        <v>362</v>
      </c>
      <c r="FG5" s="9" t="s">
        <v>363</v>
      </c>
      <c r="FH5" s="9" t="s">
        <v>364</v>
      </c>
      <c r="FI5" s="9" t="s">
        <v>365</v>
      </c>
      <c r="FJ5" s="9" t="s">
        <v>366</v>
      </c>
      <c r="FK5" s="9" t="s">
        <v>367</v>
      </c>
      <c r="FL5" s="9" t="s">
        <v>368</v>
      </c>
      <c r="FM5" s="9" t="s">
        <v>369</v>
      </c>
      <c r="FN5" s="9" t="s">
        <v>370</v>
      </c>
      <c r="FO5" s="9" t="s">
        <v>371</v>
      </c>
      <c r="FP5" s="9" t="s">
        <v>372</v>
      </c>
      <c r="FQ5" s="9" t="s">
        <v>373</v>
      </c>
      <c r="FR5" s="9" t="s">
        <v>374</v>
      </c>
      <c r="FS5" s="9" t="s">
        <v>375</v>
      </c>
      <c r="FT5" s="9" t="s">
        <v>376</v>
      </c>
      <c r="FU5" s="9" t="s">
        <v>377</v>
      </c>
      <c r="FV5" s="9" t="s">
        <v>378</v>
      </c>
      <c r="FW5" s="9" t="s">
        <v>379</v>
      </c>
      <c r="FX5" s="9" t="s">
        <v>380</v>
      </c>
      <c r="FY5" s="9" t="s">
        <v>381</v>
      </c>
      <c r="FZ5" s="9" t="s">
        <v>382</v>
      </c>
      <c r="GA5" s="9" t="s">
        <v>383</v>
      </c>
      <c r="GB5" s="9" t="s">
        <v>384</v>
      </c>
      <c r="GC5" s="9" t="s">
        <v>385</v>
      </c>
      <c r="GD5" s="9" t="s">
        <v>386</v>
      </c>
      <c r="GE5" s="9" t="s">
        <v>387</v>
      </c>
      <c r="GF5" s="9" t="s">
        <v>388</v>
      </c>
      <c r="GG5" s="9" t="s">
        <v>389</v>
      </c>
      <c r="GH5" s="9" t="s">
        <v>390</v>
      </c>
      <c r="GI5" s="9" t="s">
        <v>391</v>
      </c>
      <c r="GJ5" s="9" t="s">
        <v>392</v>
      </c>
      <c r="GK5" s="9" t="s">
        <v>393</v>
      </c>
      <c r="GL5" s="9" t="s">
        <v>394</v>
      </c>
      <c r="GM5" s="9" t="s">
        <v>395</v>
      </c>
      <c r="GN5" s="9" t="s">
        <v>396</v>
      </c>
      <c r="GO5" s="9" t="s">
        <v>397</v>
      </c>
      <c r="GP5" s="9" t="s">
        <v>398</v>
      </c>
      <c r="GQ5" s="9" t="s">
        <v>399</v>
      </c>
      <c r="GR5" s="9" t="s">
        <v>400</v>
      </c>
      <c r="GS5" s="9" t="s">
        <v>401</v>
      </c>
      <c r="GT5" s="9" t="s">
        <v>402</v>
      </c>
    </row>
    <row r="6" spans="1:202" ht="15" customHeight="1" x14ac:dyDescent="0.2">
      <c r="A6" s="3" t="s">
        <v>552</v>
      </c>
      <c r="B6" s="3" t="s">
        <v>553</v>
      </c>
      <c r="C6" s="3" t="s">
        <v>554</v>
      </c>
      <c r="D6" t="s">
        <v>672</v>
      </c>
      <c r="L6" s="20"/>
      <c r="AM6" t="s">
        <v>673</v>
      </c>
      <c r="AN6" t="s">
        <v>673</v>
      </c>
      <c r="AO6" t="s">
        <v>673</v>
      </c>
      <c r="AP6" t="s">
        <v>673</v>
      </c>
      <c r="AX6" t="s">
        <v>633</v>
      </c>
      <c r="BC6" s="21"/>
      <c r="BD6" s="22"/>
      <c r="FP6" t="s">
        <v>633</v>
      </c>
      <c r="GL6" t="s">
        <v>671</v>
      </c>
    </row>
    <row r="7" spans="1:202" ht="15" customHeight="1" x14ac:dyDescent="0.2">
      <c r="A7" s="3" t="s">
        <v>605</v>
      </c>
      <c r="B7" s="3" t="s">
        <v>606</v>
      </c>
      <c r="C7" s="3" t="s">
        <v>438</v>
      </c>
      <c r="D7" s="3" t="s">
        <v>674</v>
      </c>
      <c r="AC7" s="23"/>
      <c r="BC7" s="21"/>
      <c r="BD7" s="22"/>
      <c r="BQ7" t="s">
        <v>633</v>
      </c>
    </row>
    <row r="8" spans="1:202" ht="15" customHeight="1" x14ac:dyDescent="0.2">
      <c r="A8" s="3" t="s">
        <v>519</v>
      </c>
      <c r="B8" s="3" t="s">
        <v>520</v>
      </c>
      <c r="C8" s="3" t="s">
        <v>455</v>
      </c>
      <c r="D8" s="3" t="s">
        <v>674</v>
      </c>
      <c r="M8" t="s">
        <v>633</v>
      </c>
      <c r="AX8" t="s">
        <v>633</v>
      </c>
      <c r="AY8" t="s">
        <v>633</v>
      </c>
      <c r="BC8" s="24" t="s">
        <v>651</v>
      </c>
      <c r="BD8" s="25" t="s">
        <v>652</v>
      </c>
      <c r="BL8" t="s">
        <v>633</v>
      </c>
      <c r="BQ8" t="s">
        <v>633</v>
      </c>
      <c r="BR8" t="s">
        <v>633</v>
      </c>
      <c r="BW8" t="s">
        <v>633</v>
      </c>
      <c r="BY8" t="s">
        <v>633</v>
      </c>
      <c r="CG8" t="s">
        <v>633</v>
      </c>
      <c r="CM8" t="s">
        <v>633</v>
      </c>
      <c r="CY8" t="s">
        <v>633</v>
      </c>
      <c r="DD8" t="s">
        <v>633</v>
      </c>
      <c r="DY8" t="s">
        <v>633</v>
      </c>
      <c r="EG8" t="s">
        <v>633</v>
      </c>
      <c r="EP8" t="s">
        <v>633</v>
      </c>
      <c r="EQ8" t="s">
        <v>633</v>
      </c>
      <c r="EV8" t="s">
        <v>633</v>
      </c>
      <c r="FJ8" t="s">
        <v>633</v>
      </c>
      <c r="FK8" t="s">
        <v>633</v>
      </c>
      <c r="FP8" t="s">
        <v>633</v>
      </c>
      <c r="FT8" t="s">
        <v>636</v>
      </c>
    </row>
    <row r="9" spans="1:202" ht="15" customHeight="1" x14ac:dyDescent="0.2">
      <c r="A9" s="3" t="s">
        <v>526</v>
      </c>
      <c r="B9" s="3" t="s">
        <v>527</v>
      </c>
      <c r="C9" s="3" t="s">
        <v>455</v>
      </c>
      <c r="D9" s="3" t="s">
        <v>674</v>
      </c>
      <c r="AX9" t="s">
        <v>633</v>
      </c>
      <c r="BC9" s="21"/>
      <c r="BD9" s="22"/>
      <c r="BR9" t="s">
        <v>633</v>
      </c>
      <c r="EV9" t="s">
        <v>633</v>
      </c>
      <c r="FJ9" t="s">
        <v>633</v>
      </c>
      <c r="FP9" t="s">
        <v>633</v>
      </c>
    </row>
    <row r="10" spans="1:202" ht="15" customHeight="1" x14ac:dyDescent="0.2">
      <c r="A10" s="3" t="s">
        <v>451</v>
      </c>
      <c r="B10" s="3" t="s">
        <v>452</v>
      </c>
      <c r="C10" s="3" t="s">
        <v>438</v>
      </c>
      <c r="D10" s="3" t="s">
        <v>674</v>
      </c>
      <c r="AX10" t="s">
        <v>633</v>
      </c>
      <c r="BC10" s="26" t="s">
        <v>637</v>
      </c>
      <c r="BD10" s="25" t="s">
        <v>635</v>
      </c>
      <c r="CM10" t="s">
        <v>633</v>
      </c>
      <c r="EV10" t="s">
        <v>633</v>
      </c>
    </row>
    <row r="11" spans="1:202" ht="15" customHeight="1" x14ac:dyDescent="0.2">
      <c r="A11" s="3" t="s">
        <v>436</v>
      </c>
      <c r="B11" s="3" t="s">
        <v>437</v>
      </c>
      <c r="C11" s="3" t="s">
        <v>438</v>
      </c>
      <c r="D11" s="3" t="s">
        <v>674</v>
      </c>
      <c r="BC11" s="26" t="s">
        <v>637</v>
      </c>
      <c r="BD11" s="25" t="s">
        <v>635</v>
      </c>
      <c r="CM11" t="s">
        <v>633</v>
      </c>
      <c r="DY11" t="s">
        <v>633</v>
      </c>
      <c r="EV11" t="s">
        <v>633</v>
      </c>
      <c r="FT11" t="s">
        <v>639</v>
      </c>
    </row>
    <row r="12" spans="1:202" ht="15" customHeight="1" x14ac:dyDescent="0.2">
      <c r="A12" s="3" t="s">
        <v>495</v>
      </c>
      <c r="B12" s="3" t="s">
        <v>496</v>
      </c>
      <c r="C12" s="3" t="s">
        <v>438</v>
      </c>
      <c r="D12" s="3" t="s">
        <v>674</v>
      </c>
      <c r="BC12" s="27"/>
      <c r="BD12" s="22"/>
      <c r="EQ12" t="s">
        <v>633</v>
      </c>
    </row>
    <row r="13" spans="1:202" ht="15" customHeight="1" x14ac:dyDescent="0.2">
      <c r="A13" s="3" t="s">
        <v>497</v>
      </c>
      <c r="B13" s="3" t="s">
        <v>498</v>
      </c>
      <c r="C13" s="3" t="s">
        <v>455</v>
      </c>
      <c r="D13" t="s">
        <v>645</v>
      </c>
      <c r="AQ13" t="s">
        <v>646</v>
      </c>
      <c r="AU13" t="s">
        <v>647</v>
      </c>
      <c r="AX13" t="s">
        <v>633</v>
      </c>
      <c r="BC13" s="21"/>
      <c r="BD13" s="22"/>
      <c r="BG13" t="s">
        <v>648</v>
      </c>
      <c r="BR13" t="s">
        <v>633</v>
      </c>
      <c r="CI13" t="s">
        <v>649</v>
      </c>
      <c r="EQ13" t="s">
        <v>633</v>
      </c>
    </row>
    <row r="14" spans="1:202" ht="15" customHeight="1" x14ac:dyDescent="0.2">
      <c r="A14" s="3" t="s">
        <v>417</v>
      </c>
      <c r="B14" s="3" t="s">
        <v>418</v>
      </c>
      <c r="C14" s="3" t="s">
        <v>405</v>
      </c>
      <c r="D14" s="3" t="s">
        <v>674</v>
      </c>
      <c r="BC14" s="26"/>
      <c r="BD14" s="25"/>
    </row>
    <row r="15" spans="1:202" ht="15" customHeight="1" x14ac:dyDescent="0.2">
      <c r="A15" s="3" t="s">
        <v>419</v>
      </c>
      <c r="B15" s="3" t="s">
        <v>420</v>
      </c>
      <c r="C15" s="3" t="s">
        <v>408</v>
      </c>
      <c r="D15" s="3" t="s">
        <v>674</v>
      </c>
      <c r="M15" t="s">
        <v>633</v>
      </c>
      <c r="T15" t="s">
        <v>633</v>
      </c>
      <c r="AC15" t="s">
        <v>633</v>
      </c>
      <c r="AX15" t="s">
        <v>633</v>
      </c>
      <c r="AY15" t="s">
        <v>633</v>
      </c>
      <c r="BC15" s="26" t="s">
        <v>637</v>
      </c>
      <c r="BD15" s="25" t="s">
        <v>635</v>
      </c>
      <c r="BL15" t="s">
        <v>633</v>
      </c>
      <c r="BQ15" t="s">
        <v>633</v>
      </c>
      <c r="BR15" t="s">
        <v>633</v>
      </c>
      <c r="CM15" t="s">
        <v>633</v>
      </c>
      <c r="CY15" t="s">
        <v>633</v>
      </c>
      <c r="DD15" t="s">
        <v>633</v>
      </c>
      <c r="DE15" t="s">
        <v>633</v>
      </c>
      <c r="DY15" t="s">
        <v>633</v>
      </c>
      <c r="EG15" t="s">
        <v>633</v>
      </c>
      <c r="EP15" t="s">
        <v>633</v>
      </c>
      <c r="EQ15" t="s">
        <v>633</v>
      </c>
      <c r="EV15" t="s">
        <v>633</v>
      </c>
      <c r="FJ15" t="s">
        <v>633</v>
      </c>
      <c r="FP15" t="s">
        <v>633</v>
      </c>
      <c r="FT15" t="s">
        <v>636</v>
      </c>
    </row>
    <row r="16" spans="1:202" ht="15" customHeight="1" x14ac:dyDescent="0.2">
      <c r="A16" s="3" t="s">
        <v>421</v>
      </c>
      <c r="B16" s="3" t="s">
        <v>422</v>
      </c>
      <c r="C16" s="3" t="s">
        <v>408</v>
      </c>
      <c r="D16" s="3" t="s">
        <v>674</v>
      </c>
      <c r="M16" t="s">
        <v>633</v>
      </c>
      <c r="T16" t="s">
        <v>633</v>
      </c>
      <c r="AC16" t="s">
        <v>633</v>
      </c>
      <c r="AX16" t="s">
        <v>633</v>
      </c>
      <c r="AY16" t="s">
        <v>633</v>
      </c>
      <c r="BC16" s="26" t="s">
        <v>637</v>
      </c>
      <c r="BD16" s="25" t="s">
        <v>635</v>
      </c>
      <c r="BL16" t="s">
        <v>633</v>
      </c>
      <c r="BR16" t="s">
        <v>633</v>
      </c>
      <c r="BW16" t="s">
        <v>633</v>
      </c>
      <c r="CM16" t="s">
        <v>633</v>
      </c>
      <c r="CY16" t="s">
        <v>633</v>
      </c>
      <c r="DD16" t="s">
        <v>633</v>
      </c>
      <c r="DE16" t="s">
        <v>633</v>
      </c>
      <c r="EP16" t="s">
        <v>633</v>
      </c>
      <c r="EQ16" t="s">
        <v>633</v>
      </c>
      <c r="EV16" t="s">
        <v>633</v>
      </c>
      <c r="FJ16" t="s">
        <v>633</v>
      </c>
      <c r="FP16" t="s">
        <v>633</v>
      </c>
      <c r="FT16" t="s">
        <v>636</v>
      </c>
    </row>
    <row r="17" spans="1:176" ht="15" customHeight="1" x14ac:dyDescent="0.2">
      <c r="A17" s="3" t="s">
        <v>610</v>
      </c>
      <c r="B17" s="3" t="s">
        <v>611</v>
      </c>
      <c r="C17" s="3" t="s">
        <v>567</v>
      </c>
      <c r="D17" s="3" t="s">
        <v>674</v>
      </c>
      <c r="AX17" t="s">
        <v>633</v>
      </c>
      <c r="BC17" s="26" t="s">
        <v>637</v>
      </c>
      <c r="BD17" s="25" t="s">
        <v>635</v>
      </c>
      <c r="BL17" t="s">
        <v>633</v>
      </c>
      <c r="FJ17" t="s">
        <v>633</v>
      </c>
      <c r="FT17" t="s">
        <v>667</v>
      </c>
    </row>
    <row r="18" spans="1:176" ht="15" customHeight="1" x14ac:dyDescent="0.2">
      <c r="A18" s="3" t="s">
        <v>547</v>
      </c>
      <c r="B18" s="3" t="s">
        <v>548</v>
      </c>
      <c r="C18" s="3" t="s">
        <v>532</v>
      </c>
      <c r="D18" s="3" t="s">
        <v>674</v>
      </c>
      <c r="BC18" s="24" t="s">
        <v>651</v>
      </c>
      <c r="BD18" s="25" t="s">
        <v>652</v>
      </c>
      <c r="CM18" t="s">
        <v>633</v>
      </c>
    </row>
    <row r="19" spans="1:176" ht="15" customHeight="1" x14ac:dyDescent="0.2">
      <c r="A19" s="3" t="s">
        <v>563</v>
      </c>
      <c r="B19" s="3" t="s">
        <v>564</v>
      </c>
      <c r="C19" s="3" t="s">
        <v>554</v>
      </c>
      <c r="D19" s="3" t="s">
        <v>676</v>
      </c>
      <c r="BC19" s="28"/>
      <c r="BD19" s="22"/>
    </row>
    <row r="20" spans="1:176" ht="15" customHeight="1" x14ac:dyDescent="0.2">
      <c r="A20" s="3" t="s">
        <v>612</v>
      </c>
      <c r="B20" s="3" t="s">
        <v>613</v>
      </c>
      <c r="C20" s="3" t="s">
        <v>614</v>
      </c>
      <c r="D20" s="3" t="s">
        <v>674</v>
      </c>
      <c r="BC20" s="26" t="s">
        <v>634</v>
      </c>
      <c r="BD20" s="25" t="s">
        <v>635</v>
      </c>
      <c r="BL20" t="s">
        <v>633</v>
      </c>
      <c r="BQ20" t="s">
        <v>633</v>
      </c>
      <c r="BR20" t="s">
        <v>633</v>
      </c>
      <c r="CM20" t="s">
        <v>633</v>
      </c>
      <c r="CY20" t="s">
        <v>633</v>
      </c>
      <c r="DD20" t="s">
        <v>633</v>
      </c>
      <c r="EV20" t="s">
        <v>633</v>
      </c>
      <c r="FK20" t="s">
        <v>633</v>
      </c>
      <c r="FT20" t="s">
        <v>636</v>
      </c>
    </row>
    <row r="21" spans="1:176" ht="15" customHeight="1" x14ac:dyDescent="0.2">
      <c r="A21" s="3" t="s">
        <v>480</v>
      </c>
      <c r="B21" s="3" t="s">
        <v>481</v>
      </c>
      <c r="C21" s="3" t="s">
        <v>438</v>
      </c>
      <c r="D21" s="3" t="s">
        <v>674</v>
      </c>
      <c r="AX21" t="s">
        <v>633</v>
      </c>
      <c r="BC21" s="26" t="s">
        <v>640</v>
      </c>
      <c r="BD21" s="25" t="s">
        <v>635</v>
      </c>
      <c r="DY21" t="s">
        <v>633</v>
      </c>
      <c r="EQ21" t="s">
        <v>633</v>
      </c>
      <c r="EV21" t="s">
        <v>633</v>
      </c>
    </row>
    <row r="22" spans="1:176" ht="15" customHeight="1" x14ac:dyDescent="0.2">
      <c r="A22" s="3" t="s">
        <v>443</v>
      </c>
      <c r="B22" s="3" t="s">
        <v>444</v>
      </c>
      <c r="C22" s="3" t="s">
        <v>438</v>
      </c>
      <c r="D22" s="3" t="s">
        <v>674</v>
      </c>
      <c r="AX22" t="s">
        <v>633</v>
      </c>
      <c r="BC22" s="26" t="s">
        <v>634</v>
      </c>
      <c r="BD22" s="22"/>
      <c r="BR22" t="s">
        <v>633</v>
      </c>
      <c r="CM22" t="s">
        <v>633</v>
      </c>
      <c r="DY22" t="s">
        <v>633</v>
      </c>
      <c r="EQ22" t="s">
        <v>633</v>
      </c>
      <c r="EV22" t="s">
        <v>633</v>
      </c>
      <c r="FP22" t="s">
        <v>633</v>
      </c>
      <c r="FT22" t="s">
        <v>639</v>
      </c>
    </row>
    <row r="23" spans="1:176" ht="15" customHeight="1" x14ac:dyDescent="0.2">
      <c r="A23" s="3" t="s">
        <v>431</v>
      </c>
      <c r="B23" s="3" t="s">
        <v>432</v>
      </c>
      <c r="C23" s="3" t="s">
        <v>433</v>
      </c>
      <c r="D23" s="3" t="s">
        <v>674</v>
      </c>
      <c r="BC23" s="28"/>
      <c r="BD23" s="22"/>
      <c r="BL23" t="s">
        <v>633</v>
      </c>
      <c r="CY23" t="s">
        <v>633</v>
      </c>
      <c r="DD23" t="s">
        <v>633</v>
      </c>
      <c r="FJ23" t="s">
        <v>633</v>
      </c>
    </row>
    <row r="24" spans="1:176" ht="15" customHeight="1" x14ac:dyDescent="0.2">
      <c r="A24" s="3" t="s">
        <v>439</v>
      </c>
      <c r="B24" s="3" t="s">
        <v>440</v>
      </c>
      <c r="C24" s="3" t="s">
        <v>438</v>
      </c>
      <c r="D24" s="3" t="s">
        <v>674</v>
      </c>
      <c r="AV24" t="s">
        <v>633</v>
      </c>
      <c r="AX24" t="s">
        <v>633</v>
      </c>
      <c r="BC24" s="26" t="s">
        <v>640</v>
      </c>
      <c r="BD24" s="25" t="s">
        <v>635</v>
      </c>
      <c r="BQ24" t="s">
        <v>633</v>
      </c>
      <c r="BR24" t="s">
        <v>633</v>
      </c>
      <c r="CM24" t="s">
        <v>633</v>
      </c>
      <c r="CY24" t="s">
        <v>633</v>
      </c>
      <c r="DD24" t="s">
        <v>633</v>
      </c>
      <c r="DY24" t="s">
        <v>633</v>
      </c>
      <c r="EP24" t="s">
        <v>633</v>
      </c>
      <c r="EQ24" t="s">
        <v>633</v>
      </c>
      <c r="EV24" t="s">
        <v>633</v>
      </c>
      <c r="FJ24" t="s">
        <v>633</v>
      </c>
      <c r="FT24" t="s">
        <v>639</v>
      </c>
    </row>
    <row r="25" spans="1:176" ht="15" customHeight="1" x14ac:dyDescent="0.2">
      <c r="A25" s="3" t="s">
        <v>458</v>
      </c>
      <c r="B25" s="3" t="s">
        <v>459</v>
      </c>
      <c r="C25" s="3" t="s">
        <v>455</v>
      </c>
      <c r="D25" s="3" t="s">
        <v>674</v>
      </c>
      <c r="AX25" t="s">
        <v>633</v>
      </c>
      <c r="BC25" s="21"/>
      <c r="BD25" s="22"/>
      <c r="BR25" t="s">
        <v>633</v>
      </c>
      <c r="CM25" t="s">
        <v>633</v>
      </c>
      <c r="EQ25" t="s">
        <v>633</v>
      </c>
      <c r="EV25" t="s">
        <v>633</v>
      </c>
      <c r="FP25" t="s">
        <v>633</v>
      </c>
    </row>
    <row r="26" spans="1:176" ht="15" customHeight="1" x14ac:dyDescent="0.2">
      <c r="A26" s="3" t="s">
        <v>482</v>
      </c>
      <c r="B26" s="3" t="s">
        <v>483</v>
      </c>
      <c r="C26" s="3" t="s">
        <v>438</v>
      </c>
      <c r="D26" s="3" t="s">
        <v>674</v>
      </c>
      <c r="AX26" t="s">
        <v>633</v>
      </c>
      <c r="BC26" s="26" t="s">
        <v>643</v>
      </c>
      <c r="BD26" s="22"/>
      <c r="BL26" t="s">
        <v>633</v>
      </c>
      <c r="BQ26" t="s">
        <v>633</v>
      </c>
      <c r="BR26" t="s">
        <v>633</v>
      </c>
      <c r="CM26" t="s">
        <v>633</v>
      </c>
      <c r="CY26" t="s">
        <v>633</v>
      </c>
      <c r="DD26" t="s">
        <v>633</v>
      </c>
      <c r="DY26" t="s">
        <v>633</v>
      </c>
      <c r="EG26" t="s">
        <v>633</v>
      </c>
      <c r="EP26" t="s">
        <v>633</v>
      </c>
      <c r="EQ26" t="s">
        <v>633</v>
      </c>
      <c r="EV26" t="s">
        <v>633</v>
      </c>
      <c r="FJ26" t="s">
        <v>633</v>
      </c>
      <c r="FT26" t="s">
        <v>636</v>
      </c>
    </row>
    <row r="27" spans="1:176" ht="15" customHeight="1" x14ac:dyDescent="0.2">
      <c r="A27" s="3" t="s">
        <v>555</v>
      </c>
      <c r="B27" s="3" t="s">
        <v>556</v>
      </c>
      <c r="C27" s="3" t="s">
        <v>554</v>
      </c>
      <c r="D27" s="3" t="s">
        <v>287</v>
      </c>
      <c r="BC27" s="28"/>
      <c r="BD27" s="22"/>
      <c r="CI27" t="s">
        <v>678</v>
      </c>
    </row>
    <row r="28" spans="1:176" ht="15" customHeight="1" x14ac:dyDescent="0.2">
      <c r="A28" s="3" t="s">
        <v>445</v>
      </c>
      <c r="B28" s="3" t="s">
        <v>446</v>
      </c>
      <c r="C28" s="3" t="s">
        <v>438</v>
      </c>
      <c r="D28" s="3" t="s">
        <v>674</v>
      </c>
      <c r="AX28" t="s">
        <v>633</v>
      </c>
      <c r="BC28" s="26" t="s">
        <v>640</v>
      </c>
      <c r="BD28" s="22"/>
      <c r="BR28" t="s">
        <v>633</v>
      </c>
      <c r="CM28" t="s">
        <v>633</v>
      </c>
      <c r="DY28" t="s">
        <v>633</v>
      </c>
      <c r="EQ28" t="s">
        <v>633</v>
      </c>
      <c r="EV28" t="s">
        <v>633</v>
      </c>
      <c r="FP28" t="s">
        <v>633</v>
      </c>
      <c r="FT28" t="s">
        <v>639</v>
      </c>
    </row>
    <row r="29" spans="1:176" ht="15" customHeight="1" x14ac:dyDescent="0.2">
      <c r="A29" s="3" t="s">
        <v>441</v>
      </c>
      <c r="B29" s="3" t="s">
        <v>442</v>
      </c>
      <c r="C29" s="3" t="s">
        <v>438</v>
      </c>
      <c r="D29" s="3" t="s">
        <v>674</v>
      </c>
      <c r="BC29" s="21"/>
      <c r="BD29" s="22"/>
    </row>
    <row r="30" spans="1:176" ht="15" customHeight="1" x14ac:dyDescent="0.2">
      <c r="A30" s="3" t="s">
        <v>530</v>
      </c>
      <c r="B30" s="3" t="s">
        <v>531</v>
      </c>
      <c r="C30" s="3" t="s">
        <v>532</v>
      </c>
      <c r="D30" s="3" t="s">
        <v>674</v>
      </c>
      <c r="M30" s="12"/>
      <c r="AX30" t="s">
        <v>633</v>
      </c>
      <c r="BC30" s="21"/>
      <c r="BD30" s="22"/>
      <c r="BR30" t="s">
        <v>633</v>
      </c>
      <c r="CY30" t="s">
        <v>633</v>
      </c>
      <c r="EV30" t="s">
        <v>633</v>
      </c>
    </row>
    <row r="31" spans="1:176" ht="15" customHeight="1" x14ac:dyDescent="0.2">
      <c r="A31" s="3" t="s">
        <v>557</v>
      </c>
      <c r="B31" s="3" t="s">
        <v>558</v>
      </c>
      <c r="C31" s="3" t="s">
        <v>554</v>
      </c>
      <c r="D31" s="3" t="s">
        <v>676</v>
      </c>
      <c r="BC31" s="21"/>
      <c r="BD31" s="22"/>
    </row>
    <row r="32" spans="1:176" ht="15" customHeight="1" x14ac:dyDescent="0.2">
      <c r="A32" s="3" t="s">
        <v>615</v>
      </c>
      <c r="B32" s="3" t="s">
        <v>616</v>
      </c>
      <c r="C32" s="3" t="s">
        <v>567</v>
      </c>
      <c r="D32" s="3" t="s">
        <v>674</v>
      </c>
      <c r="AX32" t="s">
        <v>633</v>
      </c>
      <c r="BC32" s="21"/>
      <c r="BD32" s="22"/>
      <c r="BL32" t="s">
        <v>633</v>
      </c>
      <c r="FJ32" t="s">
        <v>633</v>
      </c>
      <c r="FT32" t="s">
        <v>633</v>
      </c>
    </row>
    <row r="33" spans="1:199" ht="15" customHeight="1" x14ac:dyDescent="0.2">
      <c r="A33" s="3" t="s">
        <v>460</v>
      </c>
      <c r="B33" s="3" t="s">
        <v>461</v>
      </c>
      <c r="C33" s="3" t="s">
        <v>462</v>
      </c>
      <c r="D33" s="3" t="s">
        <v>674</v>
      </c>
      <c r="AX33" t="s">
        <v>633</v>
      </c>
      <c r="BC33" s="29"/>
      <c r="BD33" s="22"/>
      <c r="CM33" t="s">
        <v>633</v>
      </c>
      <c r="EQ33" t="s">
        <v>633</v>
      </c>
      <c r="EV33" t="s">
        <v>633</v>
      </c>
      <c r="FJ33" t="s">
        <v>633</v>
      </c>
      <c r="FP33" t="s">
        <v>633</v>
      </c>
    </row>
    <row r="34" spans="1:199" ht="15" customHeight="1" x14ac:dyDescent="0.2">
      <c r="A34" s="3" t="s">
        <v>603</v>
      </c>
      <c r="B34" s="3" t="s">
        <v>604</v>
      </c>
      <c r="C34" s="3" t="s">
        <v>602</v>
      </c>
      <c r="D34" s="3" t="s">
        <v>663</v>
      </c>
      <c r="AU34" s="30"/>
      <c r="AZ34" t="s">
        <v>664</v>
      </c>
      <c r="BC34" s="31"/>
      <c r="BD34" s="22"/>
      <c r="BX34" t="s">
        <v>665</v>
      </c>
      <c r="CJ34" t="s">
        <v>666</v>
      </c>
    </row>
    <row r="35" spans="1:199" ht="15" customHeight="1" x14ac:dyDescent="0.2">
      <c r="A35" s="3" t="s">
        <v>589</v>
      </c>
      <c r="B35" s="3" t="s">
        <v>590</v>
      </c>
      <c r="C35" s="3" t="s">
        <v>554</v>
      </c>
      <c r="D35" t="s">
        <v>659</v>
      </c>
      <c r="BC35" s="31"/>
      <c r="BD35" s="22"/>
      <c r="CI35" t="s">
        <v>660</v>
      </c>
      <c r="CJ35" t="s">
        <v>661</v>
      </c>
      <c r="EX35" t="s">
        <v>662</v>
      </c>
    </row>
    <row r="36" spans="1:199" ht="15" customHeight="1" x14ac:dyDescent="0.2">
      <c r="A36" s="3" t="s">
        <v>600</v>
      </c>
      <c r="B36" s="3" t="s">
        <v>601</v>
      </c>
      <c r="C36" s="3" t="s">
        <v>602</v>
      </c>
      <c r="D36" s="3" t="s">
        <v>674</v>
      </c>
      <c r="BC36" s="31"/>
      <c r="BD36" s="22"/>
    </row>
    <row r="37" spans="1:199" ht="15" customHeight="1" x14ac:dyDescent="0.2">
      <c r="A37" s="3" t="s">
        <v>463</v>
      </c>
      <c r="B37" s="3" t="s">
        <v>464</v>
      </c>
      <c r="C37" s="3" t="s">
        <v>438</v>
      </c>
      <c r="D37" s="3" t="s">
        <v>674</v>
      </c>
      <c r="AX37" t="s">
        <v>633</v>
      </c>
      <c r="BC37" s="32"/>
      <c r="BD37" s="22"/>
      <c r="BL37" t="s">
        <v>633</v>
      </c>
      <c r="DD37" t="s">
        <v>633</v>
      </c>
      <c r="DY37" t="s">
        <v>633</v>
      </c>
      <c r="EP37" t="s">
        <v>633</v>
      </c>
      <c r="EQ37" t="s">
        <v>633</v>
      </c>
      <c r="EV37" t="s">
        <v>633</v>
      </c>
      <c r="FT37" t="s">
        <v>639</v>
      </c>
    </row>
    <row r="38" spans="1:199" ht="15" customHeight="1" x14ac:dyDescent="0.2">
      <c r="A38" s="3" t="s">
        <v>465</v>
      </c>
      <c r="B38" s="3" t="s">
        <v>466</v>
      </c>
      <c r="C38" s="3" t="s">
        <v>438</v>
      </c>
      <c r="D38" s="3" t="s">
        <v>674</v>
      </c>
      <c r="AA38" t="s">
        <v>679</v>
      </c>
      <c r="AQ38" t="s">
        <v>679</v>
      </c>
      <c r="AX38" t="s">
        <v>633</v>
      </c>
      <c r="BC38" s="26" t="s">
        <v>634</v>
      </c>
      <c r="BD38" s="25" t="s">
        <v>635</v>
      </c>
      <c r="BL38" t="s">
        <v>633</v>
      </c>
      <c r="CF38" t="s">
        <v>679</v>
      </c>
      <c r="CI38" t="s">
        <v>679</v>
      </c>
      <c r="CJ38" t="s">
        <v>679</v>
      </c>
      <c r="CM38" t="s">
        <v>633</v>
      </c>
      <c r="EP38" t="s">
        <v>633</v>
      </c>
      <c r="EQ38" t="s">
        <v>633</v>
      </c>
      <c r="EV38" t="s">
        <v>633</v>
      </c>
      <c r="FT38" t="s">
        <v>639</v>
      </c>
      <c r="GQ38" t="s">
        <v>679</v>
      </c>
    </row>
    <row r="39" spans="1:199" ht="15" customHeight="1" x14ac:dyDescent="0.2">
      <c r="A39" s="3" t="s">
        <v>537</v>
      </c>
      <c r="B39" s="3" t="s">
        <v>538</v>
      </c>
      <c r="C39" s="3" t="s">
        <v>532</v>
      </c>
      <c r="D39" s="3" t="s">
        <v>674</v>
      </c>
      <c r="BC39" s="24" t="s">
        <v>651</v>
      </c>
      <c r="BD39" s="25" t="s">
        <v>652</v>
      </c>
      <c r="BQ39" t="s">
        <v>633</v>
      </c>
      <c r="CM39" t="s">
        <v>633</v>
      </c>
      <c r="DD39" t="s">
        <v>633</v>
      </c>
      <c r="EP39" t="s">
        <v>633</v>
      </c>
      <c r="FT39" t="s">
        <v>653</v>
      </c>
    </row>
    <row r="40" spans="1:199" ht="15" customHeight="1" x14ac:dyDescent="0.2">
      <c r="A40" s="3" t="s">
        <v>499</v>
      </c>
      <c r="B40" s="3" t="s">
        <v>500</v>
      </c>
      <c r="C40" s="3" t="s">
        <v>455</v>
      </c>
      <c r="D40" s="3" t="s">
        <v>681</v>
      </c>
      <c r="BC40" s="21"/>
      <c r="BD40" s="22"/>
    </row>
    <row r="41" spans="1:199" ht="15" customHeight="1" x14ac:dyDescent="0.2">
      <c r="A41" s="3" t="s">
        <v>598</v>
      </c>
      <c r="B41" s="3" t="s">
        <v>599</v>
      </c>
      <c r="C41" s="3" t="s">
        <v>595</v>
      </c>
      <c r="D41" s="3" t="s">
        <v>674</v>
      </c>
      <c r="BC41" s="26" t="s">
        <v>643</v>
      </c>
      <c r="BD41" s="22"/>
      <c r="CM41" t="s">
        <v>633</v>
      </c>
      <c r="EP41" t="s">
        <v>633</v>
      </c>
      <c r="EV41" t="s">
        <v>633</v>
      </c>
      <c r="FT41" t="s">
        <v>633</v>
      </c>
    </row>
    <row r="42" spans="1:199" ht="15" customHeight="1" x14ac:dyDescent="0.2">
      <c r="A42" s="3" t="s">
        <v>467</v>
      </c>
      <c r="B42" s="3" t="s">
        <v>468</v>
      </c>
      <c r="C42" s="3" t="s">
        <v>438</v>
      </c>
      <c r="D42" s="3" t="s">
        <v>674</v>
      </c>
      <c r="AX42" t="s">
        <v>633</v>
      </c>
      <c r="BC42" s="21"/>
      <c r="BD42" s="22"/>
      <c r="CM42" t="s">
        <v>633</v>
      </c>
      <c r="EQ42" t="s">
        <v>633</v>
      </c>
      <c r="EV42" t="s">
        <v>633</v>
      </c>
    </row>
    <row r="43" spans="1:199" ht="15" customHeight="1" x14ac:dyDescent="0.2">
      <c r="A43" s="3" t="s">
        <v>501</v>
      </c>
      <c r="B43" s="3" t="s">
        <v>502</v>
      </c>
      <c r="C43" s="3" t="s">
        <v>455</v>
      </c>
      <c r="D43" s="3" t="s">
        <v>685</v>
      </c>
      <c r="BC43" s="27"/>
      <c r="BD43" s="22"/>
    </row>
    <row r="44" spans="1:199" ht="15" customHeight="1" x14ac:dyDescent="0.2">
      <c r="A44" s="3" t="s">
        <v>539</v>
      </c>
      <c r="B44" s="3" t="s">
        <v>540</v>
      </c>
      <c r="C44" s="3" t="s">
        <v>532</v>
      </c>
      <c r="D44" s="3" t="s">
        <v>686</v>
      </c>
      <c r="BC44" s="21"/>
      <c r="BD44" s="22"/>
    </row>
    <row r="45" spans="1:199" ht="15" customHeight="1" x14ac:dyDescent="0.2">
      <c r="A45" s="3" t="s">
        <v>517</v>
      </c>
      <c r="B45" s="3" t="s">
        <v>518</v>
      </c>
      <c r="C45" s="3" t="s">
        <v>455</v>
      </c>
      <c r="D45" s="3" t="s">
        <v>674</v>
      </c>
      <c r="M45" t="s">
        <v>633</v>
      </c>
      <c r="AV45" t="s">
        <v>633</v>
      </c>
      <c r="AX45" t="s">
        <v>633</v>
      </c>
      <c r="AY45" t="s">
        <v>633</v>
      </c>
      <c r="BC45" s="21" t="s">
        <v>633</v>
      </c>
      <c r="BD45" s="22"/>
      <c r="BR45" t="s">
        <v>633</v>
      </c>
      <c r="BW45" t="s">
        <v>633</v>
      </c>
      <c r="BY45" t="s">
        <v>633</v>
      </c>
      <c r="CG45" t="s">
        <v>633</v>
      </c>
      <c r="CO45" t="s">
        <v>633</v>
      </c>
      <c r="DE45" t="s">
        <v>633</v>
      </c>
      <c r="DK45" t="s">
        <v>633</v>
      </c>
      <c r="EQ45" t="s">
        <v>633</v>
      </c>
      <c r="EV45" t="s">
        <v>633</v>
      </c>
      <c r="FJ45" t="s">
        <v>633</v>
      </c>
      <c r="FK45" t="s">
        <v>633</v>
      </c>
      <c r="FP45" t="s">
        <v>633</v>
      </c>
      <c r="FT45" t="s">
        <v>650</v>
      </c>
    </row>
    <row r="46" spans="1:199" ht="15" customHeight="1" x14ac:dyDescent="0.2">
      <c r="A46" s="3" t="s">
        <v>490</v>
      </c>
      <c r="B46" s="3" t="s">
        <v>491</v>
      </c>
      <c r="C46" s="3" t="s">
        <v>438</v>
      </c>
      <c r="D46" s="3" t="s">
        <v>674</v>
      </c>
      <c r="M46" t="s">
        <v>633</v>
      </c>
      <c r="T46" t="s">
        <v>633</v>
      </c>
      <c r="AY46" t="s">
        <v>633</v>
      </c>
      <c r="BC46" s="32" t="s">
        <v>633</v>
      </c>
      <c r="BD46" s="22"/>
      <c r="BL46" t="s">
        <v>633</v>
      </c>
      <c r="BR46" t="s">
        <v>633</v>
      </c>
      <c r="BW46" t="s">
        <v>633</v>
      </c>
      <c r="CM46" t="s">
        <v>633</v>
      </c>
      <c r="CY46" t="s">
        <v>633</v>
      </c>
      <c r="DD46" t="s">
        <v>633</v>
      </c>
      <c r="DE46" t="s">
        <v>633</v>
      </c>
      <c r="DY46" t="s">
        <v>633</v>
      </c>
      <c r="EQ46" t="s">
        <v>633</v>
      </c>
      <c r="EV46" t="s">
        <v>633</v>
      </c>
      <c r="FJ46" t="s">
        <v>633</v>
      </c>
      <c r="FK46" t="s">
        <v>633</v>
      </c>
      <c r="FT46" t="s">
        <v>633</v>
      </c>
    </row>
    <row r="47" spans="1:199" ht="15" customHeight="1" x14ac:dyDescent="0.2">
      <c r="A47" s="3" t="s">
        <v>484</v>
      </c>
      <c r="B47" s="3" t="s">
        <v>485</v>
      </c>
      <c r="C47" s="3" t="s">
        <v>438</v>
      </c>
      <c r="D47" s="3" t="s">
        <v>674</v>
      </c>
      <c r="BC47" s="21"/>
      <c r="BD47" s="22"/>
      <c r="BL47" t="s">
        <v>633</v>
      </c>
      <c r="CM47" t="s">
        <v>633</v>
      </c>
      <c r="EQ47" t="s">
        <v>633</v>
      </c>
      <c r="EV47" t="s">
        <v>633</v>
      </c>
      <c r="FP47" t="s">
        <v>633</v>
      </c>
      <c r="FT47" t="s">
        <v>639</v>
      </c>
    </row>
    <row r="48" spans="1:199" ht="15" customHeight="1" x14ac:dyDescent="0.2">
      <c r="A48" s="3" t="s">
        <v>568</v>
      </c>
      <c r="B48" s="3" t="s">
        <v>569</v>
      </c>
      <c r="C48" s="3" t="s">
        <v>554</v>
      </c>
      <c r="D48" t="s">
        <v>688</v>
      </c>
      <c r="J48" t="s">
        <v>687</v>
      </c>
      <c r="AP48" t="s">
        <v>687</v>
      </c>
      <c r="BC48" s="21"/>
      <c r="BD48" s="22"/>
      <c r="CI48" t="s">
        <v>687</v>
      </c>
    </row>
    <row r="49" spans="1:176" ht="15" customHeight="1" x14ac:dyDescent="0.2">
      <c r="A49" s="3" t="s">
        <v>559</v>
      </c>
      <c r="B49" s="3" t="s">
        <v>560</v>
      </c>
      <c r="C49" s="3" t="s">
        <v>554</v>
      </c>
      <c r="D49" s="3" t="s">
        <v>676</v>
      </c>
      <c r="BC49" s="21"/>
      <c r="BD49" s="22"/>
    </row>
    <row r="50" spans="1:176" ht="15" customHeight="1" x14ac:dyDescent="0.2">
      <c r="A50" s="3" t="s">
        <v>541</v>
      </c>
      <c r="B50" s="3" t="s">
        <v>542</v>
      </c>
      <c r="C50" s="3" t="s">
        <v>455</v>
      </c>
      <c r="D50" s="3" t="s">
        <v>293</v>
      </c>
      <c r="BC50" s="27"/>
      <c r="BD50" s="22"/>
      <c r="CO50" t="s">
        <v>689</v>
      </c>
    </row>
    <row r="51" spans="1:176" ht="15" customHeight="1" x14ac:dyDescent="0.2">
      <c r="A51" s="3" t="s">
        <v>488</v>
      </c>
      <c r="B51" s="3" t="s">
        <v>489</v>
      </c>
      <c r="C51" s="3" t="s">
        <v>438</v>
      </c>
      <c r="D51" s="3" t="s">
        <v>674</v>
      </c>
      <c r="BC51" s="26" t="s">
        <v>643</v>
      </c>
      <c r="BD51" s="22"/>
      <c r="BR51" t="s">
        <v>633</v>
      </c>
      <c r="CM51" t="s">
        <v>633</v>
      </c>
      <c r="DY51" t="s">
        <v>633</v>
      </c>
      <c r="EQ51" t="s">
        <v>633</v>
      </c>
      <c r="EV51" t="s">
        <v>633</v>
      </c>
      <c r="FT51" t="s">
        <v>639</v>
      </c>
    </row>
    <row r="52" spans="1:176" ht="15" customHeight="1" x14ac:dyDescent="0.2">
      <c r="A52" s="3" t="s">
        <v>511</v>
      </c>
      <c r="B52" s="3" t="s">
        <v>512</v>
      </c>
      <c r="C52" s="3" t="s">
        <v>455</v>
      </c>
      <c r="D52" s="3" t="s">
        <v>674</v>
      </c>
      <c r="AX52" t="s">
        <v>633</v>
      </c>
      <c r="BC52" s="21"/>
      <c r="BD52" s="22"/>
      <c r="DK52" t="s">
        <v>633</v>
      </c>
      <c r="FP52" t="s">
        <v>633</v>
      </c>
    </row>
    <row r="53" spans="1:176" ht="15" customHeight="1" x14ac:dyDescent="0.2">
      <c r="A53" s="3" t="s">
        <v>617</v>
      </c>
      <c r="B53" s="3" t="s">
        <v>618</v>
      </c>
      <c r="C53" s="3" t="s">
        <v>567</v>
      </c>
      <c r="D53" s="3" t="s">
        <v>674</v>
      </c>
      <c r="AX53" t="s">
        <v>633</v>
      </c>
      <c r="BC53" s="21"/>
      <c r="BD53" s="22"/>
      <c r="BL53" t="s">
        <v>633</v>
      </c>
      <c r="FJ53" t="s">
        <v>633</v>
      </c>
      <c r="FT53" t="s">
        <v>633</v>
      </c>
    </row>
    <row r="54" spans="1:176" ht="15" customHeight="1" x14ac:dyDescent="0.2">
      <c r="A54" s="3" t="s">
        <v>447</v>
      </c>
      <c r="B54" s="3" t="s">
        <v>448</v>
      </c>
      <c r="C54" s="3" t="s">
        <v>438</v>
      </c>
      <c r="D54" s="3" t="s">
        <v>674</v>
      </c>
      <c r="AX54" t="s">
        <v>633</v>
      </c>
      <c r="BC54" s="26" t="s">
        <v>640</v>
      </c>
      <c r="BD54" s="25" t="s">
        <v>635</v>
      </c>
      <c r="BR54" t="s">
        <v>633</v>
      </c>
      <c r="CM54" t="s">
        <v>633</v>
      </c>
      <c r="EQ54" t="s">
        <v>633</v>
      </c>
      <c r="EV54" t="s">
        <v>633</v>
      </c>
      <c r="FP54" t="s">
        <v>633</v>
      </c>
      <c r="FT54" t="s">
        <v>639</v>
      </c>
    </row>
    <row r="55" spans="1:176" ht="15" customHeight="1" x14ac:dyDescent="0.2">
      <c r="A55" s="3" t="s">
        <v>570</v>
      </c>
      <c r="B55" s="3" t="s">
        <v>571</v>
      </c>
      <c r="C55" s="3" t="s">
        <v>433</v>
      </c>
      <c r="D55" s="3" t="s">
        <v>674</v>
      </c>
      <c r="T55" t="s">
        <v>633</v>
      </c>
      <c r="AC55" t="s">
        <v>633</v>
      </c>
      <c r="BC55" s="26" t="s">
        <v>655</v>
      </c>
      <c r="BD55" s="22"/>
      <c r="BL55" t="s">
        <v>633</v>
      </c>
      <c r="BQ55" t="s">
        <v>633</v>
      </c>
      <c r="BR55" t="s">
        <v>633</v>
      </c>
      <c r="CG55" t="s">
        <v>633</v>
      </c>
      <c r="DY55" t="s">
        <v>633</v>
      </c>
      <c r="EV55" t="s">
        <v>633</v>
      </c>
      <c r="FK55" t="s">
        <v>633</v>
      </c>
      <c r="FT55" t="s">
        <v>636</v>
      </c>
    </row>
    <row r="56" spans="1:176" ht="15" customHeight="1" x14ac:dyDescent="0.2">
      <c r="A56" s="3" t="s">
        <v>621</v>
      </c>
      <c r="B56" s="3" t="s">
        <v>622</v>
      </c>
      <c r="C56" s="3" t="s">
        <v>567</v>
      </c>
      <c r="D56" s="3" t="s">
        <v>674</v>
      </c>
      <c r="BC56" s="26" t="s">
        <v>655</v>
      </c>
      <c r="BD56" s="22"/>
      <c r="CM56" t="s">
        <v>633</v>
      </c>
      <c r="DD56" t="s">
        <v>633</v>
      </c>
      <c r="EV56" t="s">
        <v>633</v>
      </c>
      <c r="FJ56" t="s">
        <v>633</v>
      </c>
      <c r="FK56" t="s">
        <v>633</v>
      </c>
      <c r="FT56" t="s">
        <v>633</v>
      </c>
    </row>
    <row r="57" spans="1:176" ht="15" customHeight="1" x14ac:dyDescent="0.2">
      <c r="A57" s="3" t="s">
        <v>411</v>
      </c>
      <c r="B57" s="3" t="s">
        <v>412</v>
      </c>
      <c r="C57" s="3" t="s">
        <v>405</v>
      </c>
      <c r="D57" s="3" t="s">
        <v>674</v>
      </c>
      <c r="M57" t="s">
        <v>633</v>
      </c>
      <c r="T57" t="s">
        <v>633</v>
      </c>
      <c r="AC57" t="s">
        <v>633</v>
      </c>
      <c r="AV57" t="s">
        <v>633</v>
      </c>
      <c r="AY57" t="s">
        <v>633</v>
      </c>
      <c r="BC57" s="26" t="s">
        <v>634</v>
      </c>
      <c r="BD57" s="25" t="s">
        <v>635</v>
      </c>
      <c r="BR57" t="s">
        <v>633</v>
      </c>
      <c r="BY57" t="s">
        <v>633</v>
      </c>
      <c r="CG57" t="s">
        <v>633</v>
      </c>
      <c r="CO57" t="s">
        <v>633</v>
      </c>
      <c r="DD57" t="s">
        <v>633</v>
      </c>
      <c r="EP57" t="s">
        <v>633</v>
      </c>
      <c r="EQ57" t="s">
        <v>633</v>
      </c>
      <c r="EV57" t="s">
        <v>633</v>
      </c>
      <c r="FJ57" t="s">
        <v>633</v>
      </c>
      <c r="FK57" t="s">
        <v>633</v>
      </c>
      <c r="FT57" t="s">
        <v>636</v>
      </c>
    </row>
    <row r="58" spans="1:176" ht="15" customHeight="1" x14ac:dyDescent="0.2">
      <c r="A58" s="3" t="s">
        <v>503</v>
      </c>
      <c r="B58" s="3" t="s">
        <v>504</v>
      </c>
      <c r="C58" s="3" t="s">
        <v>455</v>
      </c>
      <c r="D58" s="3" t="s">
        <v>227</v>
      </c>
      <c r="AA58" t="s">
        <v>690</v>
      </c>
      <c r="BC58" s="31"/>
      <c r="BD58" s="22"/>
    </row>
    <row r="59" spans="1:176" ht="15" customHeight="1" x14ac:dyDescent="0.2">
      <c r="A59" s="3" t="s">
        <v>427</v>
      </c>
      <c r="B59" s="3" t="s">
        <v>428</v>
      </c>
      <c r="C59" s="3" t="s">
        <v>408</v>
      </c>
      <c r="D59" s="3" t="s">
        <v>674</v>
      </c>
      <c r="BC59" s="21"/>
      <c r="BD59" s="22"/>
      <c r="BL59" t="s">
        <v>633</v>
      </c>
      <c r="CY59" t="s">
        <v>633</v>
      </c>
      <c r="DD59" t="s">
        <v>633</v>
      </c>
      <c r="FJ59" t="s">
        <v>633</v>
      </c>
    </row>
    <row r="60" spans="1:176" ht="15" customHeight="1" x14ac:dyDescent="0.2">
      <c r="A60" s="3" t="s">
        <v>425</v>
      </c>
      <c r="B60" s="3" t="s">
        <v>426</v>
      </c>
      <c r="C60" s="3" t="s">
        <v>405</v>
      </c>
      <c r="D60" s="3" t="s">
        <v>674</v>
      </c>
      <c r="M60" t="s">
        <v>633</v>
      </c>
      <c r="AX60" t="s">
        <v>633</v>
      </c>
      <c r="BC60" s="26"/>
      <c r="BD60" s="25"/>
      <c r="BL60" t="s">
        <v>633</v>
      </c>
      <c r="BQ60" t="s">
        <v>633</v>
      </c>
      <c r="CJ60" t="s">
        <v>691</v>
      </c>
      <c r="CM60" t="s">
        <v>633</v>
      </c>
      <c r="CY60" t="s">
        <v>633</v>
      </c>
      <c r="DD60" t="s">
        <v>633</v>
      </c>
      <c r="DE60" t="s">
        <v>633</v>
      </c>
      <c r="EG60" t="s">
        <v>633</v>
      </c>
      <c r="EP60" t="s">
        <v>633</v>
      </c>
      <c r="EQ60" t="s">
        <v>633</v>
      </c>
      <c r="EV60" t="s">
        <v>633</v>
      </c>
      <c r="FJ60" t="s">
        <v>633</v>
      </c>
      <c r="FT60" t="s">
        <v>636</v>
      </c>
    </row>
    <row r="61" spans="1:176" ht="15" customHeight="1" x14ac:dyDescent="0.2">
      <c r="A61" s="3" t="s">
        <v>591</v>
      </c>
      <c r="B61" s="3" t="s">
        <v>592</v>
      </c>
      <c r="C61" s="3" t="s">
        <v>588</v>
      </c>
      <c r="D61" s="3" t="s">
        <v>288</v>
      </c>
      <c r="BC61" s="31"/>
      <c r="BD61" s="22"/>
    </row>
    <row r="62" spans="1:176" ht="15" customHeight="1" x14ac:dyDescent="0.2">
      <c r="A62" s="3" t="s">
        <v>586</v>
      </c>
      <c r="B62" s="3" t="s">
        <v>587</v>
      </c>
      <c r="C62" s="3" t="s">
        <v>588</v>
      </c>
      <c r="D62" s="3" t="s">
        <v>674</v>
      </c>
      <c r="AV62" t="s">
        <v>633</v>
      </c>
      <c r="AX62" t="s">
        <v>633</v>
      </c>
      <c r="BC62" s="21"/>
      <c r="BD62" s="22"/>
      <c r="BY62" t="s">
        <v>633</v>
      </c>
      <c r="CO62" t="s">
        <v>657</v>
      </c>
      <c r="EQ62" t="s">
        <v>633</v>
      </c>
      <c r="FP62" t="s">
        <v>658</v>
      </c>
    </row>
    <row r="63" spans="1:176" ht="15" customHeight="1" x14ac:dyDescent="0.2">
      <c r="A63" s="3" t="s">
        <v>486</v>
      </c>
      <c r="B63" s="3" t="s">
        <v>487</v>
      </c>
      <c r="C63" s="3" t="s">
        <v>438</v>
      </c>
      <c r="D63" s="3" t="s">
        <v>674</v>
      </c>
      <c r="AX63" t="s">
        <v>633</v>
      </c>
      <c r="BC63" s="26" t="s">
        <v>640</v>
      </c>
      <c r="BD63" s="25" t="s">
        <v>635</v>
      </c>
      <c r="BL63" t="s">
        <v>633</v>
      </c>
      <c r="BQ63" t="s">
        <v>633</v>
      </c>
      <c r="CM63" t="s">
        <v>633</v>
      </c>
      <c r="CY63" t="s">
        <v>633</v>
      </c>
      <c r="DD63" t="s">
        <v>633</v>
      </c>
      <c r="DY63" t="s">
        <v>633</v>
      </c>
      <c r="EG63" t="s">
        <v>633</v>
      </c>
      <c r="EP63" t="s">
        <v>633</v>
      </c>
      <c r="EQ63" t="s">
        <v>633</v>
      </c>
      <c r="EV63" t="s">
        <v>633</v>
      </c>
      <c r="FJ63" t="s">
        <v>633</v>
      </c>
      <c r="FP63" t="s">
        <v>633</v>
      </c>
      <c r="FT63" t="s">
        <v>636</v>
      </c>
    </row>
    <row r="64" spans="1:176" ht="15" customHeight="1" x14ac:dyDescent="0.2">
      <c r="A64" s="3" t="s">
        <v>513</v>
      </c>
      <c r="B64" s="3" t="s">
        <v>514</v>
      </c>
      <c r="C64" s="3" t="s">
        <v>455</v>
      </c>
      <c r="D64" s="3" t="s">
        <v>674</v>
      </c>
      <c r="AX64" t="s">
        <v>633</v>
      </c>
      <c r="BC64" s="21"/>
      <c r="BD64" s="22"/>
      <c r="BY64" t="s">
        <v>633</v>
      </c>
      <c r="DK64" t="s">
        <v>633</v>
      </c>
      <c r="EQ64" t="s">
        <v>633</v>
      </c>
      <c r="FP64" t="s">
        <v>633</v>
      </c>
    </row>
    <row r="65" spans="1:176" ht="15" customHeight="1" x14ac:dyDescent="0.2">
      <c r="A65" s="3" t="s">
        <v>475</v>
      </c>
      <c r="B65" s="14" t="s">
        <v>476</v>
      </c>
      <c r="C65" s="3" t="s">
        <v>438</v>
      </c>
      <c r="D65" s="3" t="s">
        <v>674</v>
      </c>
      <c r="AX65" t="s">
        <v>633</v>
      </c>
      <c r="BC65" s="26" t="s">
        <v>640</v>
      </c>
      <c r="BD65" s="25" t="s">
        <v>635</v>
      </c>
      <c r="DY65" t="s">
        <v>633</v>
      </c>
      <c r="EQ65" t="s">
        <v>633</v>
      </c>
      <c r="EV65" t="s">
        <v>633</v>
      </c>
      <c r="FT65" t="s">
        <v>642</v>
      </c>
    </row>
    <row r="66" spans="1:176" ht="15" customHeight="1" x14ac:dyDescent="0.2">
      <c r="A66" s="3" t="s">
        <v>549</v>
      </c>
      <c r="B66" s="14" t="s">
        <v>550</v>
      </c>
      <c r="C66" s="3" t="s">
        <v>455</v>
      </c>
      <c r="D66" s="3" t="s">
        <v>674</v>
      </c>
      <c r="BC66" s="24" t="s">
        <v>651</v>
      </c>
      <c r="BD66" s="25" t="s">
        <v>652</v>
      </c>
    </row>
    <row r="67" spans="1:176" ht="15" customHeight="1" x14ac:dyDescent="0.2">
      <c r="A67" s="3" t="s">
        <v>583</v>
      </c>
      <c r="B67" s="14" t="s">
        <v>584</v>
      </c>
      <c r="C67" s="3" t="s">
        <v>574</v>
      </c>
      <c r="D67" s="3" t="s">
        <v>674</v>
      </c>
      <c r="M67" t="s">
        <v>633</v>
      </c>
      <c r="AY67" t="s">
        <v>633</v>
      </c>
      <c r="BC67" s="26" t="s">
        <v>644</v>
      </c>
      <c r="BD67" s="25" t="s">
        <v>635</v>
      </c>
      <c r="BL67" t="s">
        <v>633</v>
      </c>
      <c r="FJ67" t="s">
        <v>633</v>
      </c>
    </row>
    <row r="68" spans="1:176" ht="15" customHeight="1" x14ac:dyDescent="0.2">
      <c r="A68" s="3" t="s">
        <v>623</v>
      </c>
      <c r="B68" s="14" t="s">
        <v>624</v>
      </c>
      <c r="C68" s="3" t="s">
        <v>567</v>
      </c>
      <c r="D68" s="3" t="s">
        <v>674</v>
      </c>
      <c r="AX68" t="s">
        <v>633</v>
      </c>
      <c r="BC68" s="26" t="s">
        <v>640</v>
      </c>
      <c r="BD68" s="22"/>
      <c r="BL68" t="s">
        <v>633</v>
      </c>
      <c r="FJ68" t="s">
        <v>633</v>
      </c>
      <c r="FT68" t="s">
        <v>642</v>
      </c>
    </row>
    <row r="69" spans="1:176" ht="15" customHeight="1" x14ac:dyDescent="0.2">
      <c r="A69" s="3" t="s">
        <v>607</v>
      </c>
      <c r="B69" s="14" t="s">
        <v>608</v>
      </c>
      <c r="C69" s="3" t="s">
        <v>602</v>
      </c>
      <c r="D69" s="3" t="s">
        <v>674</v>
      </c>
      <c r="BC69" s="21"/>
      <c r="BD69" s="22"/>
      <c r="BQ69" t="s">
        <v>633</v>
      </c>
    </row>
    <row r="70" spans="1:176" ht="15" customHeight="1" x14ac:dyDescent="0.2">
      <c r="A70" s="3" t="s">
        <v>492</v>
      </c>
      <c r="B70" s="14" t="s">
        <v>493</v>
      </c>
      <c r="C70" s="3" t="s">
        <v>438</v>
      </c>
      <c r="D70" s="3" t="s">
        <v>674</v>
      </c>
      <c r="BC70" s="26" t="s">
        <v>644</v>
      </c>
      <c r="BD70" s="25" t="s">
        <v>635</v>
      </c>
      <c r="BL70" t="s">
        <v>633</v>
      </c>
      <c r="FT70" t="s">
        <v>639</v>
      </c>
    </row>
    <row r="71" spans="1:176" ht="15" customHeight="1" x14ac:dyDescent="0.2">
      <c r="A71" s="3" t="s">
        <v>505</v>
      </c>
      <c r="B71" s="3" t="s">
        <v>506</v>
      </c>
      <c r="C71" s="3" t="s">
        <v>455</v>
      </c>
      <c r="D71" s="3" t="s">
        <v>227</v>
      </c>
      <c r="AA71" t="s">
        <v>692</v>
      </c>
      <c r="BC71" s="31"/>
      <c r="BD71" s="22"/>
    </row>
    <row r="72" spans="1:176" ht="15" customHeight="1" x14ac:dyDescent="0.2">
      <c r="A72" s="3" t="s">
        <v>533</v>
      </c>
      <c r="B72" s="3" t="s">
        <v>534</v>
      </c>
      <c r="C72" s="3" t="s">
        <v>455</v>
      </c>
      <c r="D72" s="3" t="s">
        <v>674</v>
      </c>
      <c r="AX72" t="s">
        <v>633</v>
      </c>
      <c r="BC72" s="33"/>
      <c r="BD72" s="22"/>
      <c r="BR72" t="s">
        <v>633</v>
      </c>
      <c r="EQ72" t="s">
        <v>633</v>
      </c>
      <c r="EV72" t="s">
        <v>633</v>
      </c>
    </row>
    <row r="73" spans="1:176" ht="15" customHeight="1" x14ac:dyDescent="0.2">
      <c r="A73" s="3" t="s">
        <v>521</v>
      </c>
      <c r="B73" s="3" t="s">
        <v>522</v>
      </c>
      <c r="C73" s="3" t="s">
        <v>455</v>
      </c>
      <c r="D73" s="3" t="s">
        <v>674</v>
      </c>
      <c r="BC73" s="24" t="s">
        <v>651</v>
      </c>
      <c r="BD73" s="25" t="s">
        <v>652</v>
      </c>
      <c r="CY73" t="s">
        <v>633</v>
      </c>
      <c r="DY73" t="s">
        <v>633</v>
      </c>
      <c r="EP73" t="s">
        <v>633</v>
      </c>
      <c r="EQ73" t="s">
        <v>633</v>
      </c>
      <c r="EV73" t="s">
        <v>633</v>
      </c>
      <c r="FJ73" t="s">
        <v>633</v>
      </c>
      <c r="FP73" t="s">
        <v>633</v>
      </c>
      <c r="FT73" t="s">
        <v>650</v>
      </c>
    </row>
    <row r="74" spans="1:176" ht="15" customHeight="1" x14ac:dyDescent="0.2">
      <c r="A74" s="3" t="s">
        <v>619</v>
      </c>
      <c r="B74" s="3" t="s">
        <v>620</v>
      </c>
      <c r="C74" s="3" t="s">
        <v>614</v>
      </c>
      <c r="D74" s="3" t="s">
        <v>674</v>
      </c>
      <c r="AY74" t="s">
        <v>633</v>
      </c>
      <c r="BC74" s="26" t="s">
        <v>668</v>
      </c>
      <c r="BD74" s="25" t="s">
        <v>635</v>
      </c>
      <c r="BL74" t="s">
        <v>633</v>
      </c>
      <c r="BR74" t="s">
        <v>633</v>
      </c>
      <c r="CM74" t="s">
        <v>633</v>
      </c>
      <c r="DD74" t="s">
        <v>633</v>
      </c>
      <c r="EV74" t="s">
        <v>633</v>
      </c>
      <c r="FJ74" t="s">
        <v>633</v>
      </c>
      <c r="FK74" t="s">
        <v>633</v>
      </c>
      <c r="FT74" t="s">
        <v>636</v>
      </c>
    </row>
    <row r="75" spans="1:176" ht="15" customHeight="1" x14ac:dyDescent="0.2">
      <c r="A75" s="3" t="s">
        <v>478</v>
      </c>
      <c r="B75" s="3" t="s">
        <v>479</v>
      </c>
      <c r="C75" s="3" t="s">
        <v>438</v>
      </c>
      <c r="D75" s="3" t="s">
        <v>674</v>
      </c>
      <c r="AX75" t="s">
        <v>633</v>
      </c>
      <c r="BC75" s="26" t="s">
        <v>634</v>
      </c>
      <c r="BD75" s="25" t="s">
        <v>635</v>
      </c>
      <c r="BL75" t="s">
        <v>633</v>
      </c>
      <c r="BQ75" t="s">
        <v>633</v>
      </c>
      <c r="DY75" t="s">
        <v>633</v>
      </c>
      <c r="EQ75" t="s">
        <v>633</v>
      </c>
      <c r="EV75" t="s">
        <v>633</v>
      </c>
      <c r="FJ75" t="s">
        <v>633</v>
      </c>
      <c r="FP75" t="s">
        <v>633</v>
      </c>
      <c r="FT75" t="s">
        <v>636</v>
      </c>
    </row>
    <row r="76" spans="1:176" ht="15" customHeight="1" x14ac:dyDescent="0.2">
      <c r="A76" s="3" t="s">
        <v>507</v>
      </c>
      <c r="B76" s="3" t="s">
        <v>508</v>
      </c>
      <c r="C76" s="3" t="s">
        <v>455</v>
      </c>
      <c r="D76" s="3" t="s">
        <v>247</v>
      </c>
      <c r="AU76" t="s">
        <v>693</v>
      </c>
      <c r="BC76" s="31"/>
      <c r="BD76" s="22"/>
    </row>
    <row r="77" spans="1:176" ht="15" customHeight="1" x14ac:dyDescent="0.2">
      <c r="A77" s="3" t="s">
        <v>535</v>
      </c>
      <c r="B77" s="3" t="s">
        <v>536</v>
      </c>
      <c r="C77" s="3" t="s">
        <v>455</v>
      </c>
      <c r="D77" s="3" t="s">
        <v>674</v>
      </c>
      <c r="AX77" t="s">
        <v>633</v>
      </c>
      <c r="BC77" s="21"/>
      <c r="BD77" s="22"/>
      <c r="BL77" t="s">
        <v>633</v>
      </c>
      <c r="BR77" t="s">
        <v>633</v>
      </c>
      <c r="CY77" t="s">
        <v>633</v>
      </c>
      <c r="EV77" t="s">
        <v>633</v>
      </c>
      <c r="FJ77" t="s">
        <v>633</v>
      </c>
      <c r="FP77" t="s">
        <v>633</v>
      </c>
      <c r="FT77" t="s">
        <v>650</v>
      </c>
    </row>
    <row r="78" spans="1:176" ht="15" customHeight="1" x14ac:dyDescent="0.2">
      <c r="A78" s="3" t="s">
        <v>509</v>
      </c>
      <c r="B78" s="3" t="s">
        <v>510</v>
      </c>
      <c r="C78" s="3" t="s">
        <v>455</v>
      </c>
      <c r="D78" s="3" t="s">
        <v>674</v>
      </c>
      <c r="BC78" s="21"/>
      <c r="BD78" s="22"/>
      <c r="DK78" t="s">
        <v>633</v>
      </c>
    </row>
    <row r="79" spans="1:176" ht="15" customHeight="1" x14ac:dyDescent="0.2">
      <c r="A79" s="3" t="s">
        <v>581</v>
      </c>
      <c r="B79" s="3" t="s">
        <v>582</v>
      </c>
      <c r="C79" s="3" t="s">
        <v>433</v>
      </c>
      <c r="D79" s="3" t="s">
        <v>695</v>
      </c>
      <c r="BC79" s="21"/>
      <c r="BD79" s="22"/>
    </row>
    <row r="80" spans="1:176" ht="15" customHeight="1" x14ac:dyDescent="0.2">
      <c r="A80" s="3" t="s">
        <v>593</v>
      </c>
      <c r="B80" s="3" t="s">
        <v>594</v>
      </c>
      <c r="C80" s="3" t="s">
        <v>595</v>
      </c>
      <c r="D80" s="3" t="s">
        <v>674</v>
      </c>
      <c r="M80" t="s">
        <v>633</v>
      </c>
      <c r="T80" t="s">
        <v>633</v>
      </c>
      <c r="AV80" t="s">
        <v>633</v>
      </c>
      <c r="AX80" t="s">
        <v>633</v>
      </c>
      <c r="AY80" t="s">
        <v>633</v>
      </c>
      <c r="BC80" s="26" t="s">
        <v>634</v>
      </c>
      <c r="BD80" s="25" t="s">
        <v>635</v>
      </c>
      <c r="BL80" t="s">
        <v>633</v>
      </c>
      <c r="BQ80" t="s">
        <v>633</v>
      </c>
      <c r="BR80" t="s">
        <v>633</v>
      </c>
      <c r="BW80" t="s">
        <v>633</v>
      </c>
      <c r="BY80" t="s">
        <v>633</v>
      </c>
      <c r="CM80" t="s">
        <v>633</v>
      </c>
      <c r="CO80" t="s">
        <v>633</v>
      </c>
      <c r="CY80" t="s">
        <v>633</v>
      </c>
      <c r="DD80" t="s">
        <v>633</v>
      </c>
      <c r="DE80" t="s">
        <v>633</v>
      </c>
      <c r="DK80" t="s">
        <v>633</v>
      </c>
      <c r="DY80" t="s">
        <v>633</v>
      </c>
      <c r="EG80" t="s">
        <v>633</v>
      </c>
      <c r="EP80" t="s">
        <v>633</v>
      </c>
      <c r="EQ80" t="s">
        <v>633</v>
      </c>
      <c r="EV80" t="s">
        <v>633</v>
      </c>
      <c r="FJ80" t="s">
        <v>633</v>
      </c>
      <c r="FP80" t="s">
        <v>633</v>
      </c>
      <c r="FT80" t="s">
        <v>636</v>
      </c>
    </row>
    <row r="81" spans="1:176" ht="15" customHeight="1" x14ac:dyDescent="0.2">
      <c r="A81" s="3" t="s">
        <v>473</v>
      </c>
      <c r="B81" s="3" t="s">
        <v>474</v>
      </c>
      <c r="C81" s="3" t="s">
        <v>438</v>
      </c>
      <c r="D81" s="3" t="s">
        <v>674</v>
      </c>
      <c r="BC81" s="21"/>
      <c r="BD81" s="22"/>
      <c r="CM81" t="s">
        <v>633</v>
      </c>
      <c r="EQ81" t="s">
        <v>633</v>
      </c>
      <c r="EV81" t="s">
        <v>633</v>
      </c>
    </row>
    <row r="82" spans="1:176" ht="15" customHeight="1" x14ac:dyDescent="0.2">
      <c r="A82" s="3" t="s">
        <v>523</v>
      </c>
      <c r="B82" s="3" t="s">
        <v>524</v>
      </c>
      <c r="C82" s="3" t="s">
        <v>525</v>
      </c>
      <c r="D82" s="3" t="s">
        <v>654</v>
      </c>
      <c r="BC82" s="27"/>
      <c r="BD82" s="22"/>
    </row>
    <row r="83" spans="1:176" ht="15" customHeight="1" x14ac:dyDescent="0.2">
      <c r="A83" s="3" t="s">
        <v>434</v>
      </c>
      <c r="B83" s="3" t="s">
        <v>435</v>
      </c>
      <c r="C83" s="3" t="s">
        <v>433</v>
      </c>
      <c r="D83" s="31" t="s">
        <v>697</v>
      </c>
      <c r="BC83" s="31"/>
      <c r="BD83" s="22"/>
    </row>
    <row r="84" spans="1:176" ht="15" customHeight="1" x14ac:dyDescent="0.2">
      <c r="A84" s="3" t="s">
        <v>572</v>
      </c>
      <c r="B84" s="3" t="s">
        <v>573</v>
      </c>
      <c r="C84" s="3" t="s">
        <v>574</v>
      </c>
      <c r="D84" s="3" t="s">
        <v>674</v>
      </c>
      <c r="M84" t="s">
        <v>633</v>
      </c>
      <c r="AY84" t="s">
        <v>633</v>
      </c>
      <c r="BC84" s="26"/>
      <c r="BD84" s="25"/>
      <c r="BL84" t="s">
        <v>633</v>
      </c>
      <c r="BQ84" t="s">
        <v>633</v>
      </c>
      <c r="BW84" t="s">
        <v>633</v>
      </c>
      <c r="CM84" t="s">
        <v>633</v>
      </c>
      <c r="CY84" t="s">
        <v>633</v>
      </c>
      <c r="DD84" t="s">
        <v>633</v>
      </c>
      <c r="DE84" t="s">
        <v>633</v>
      </c>
      <c r="EP84" t="s">
        <v>633</v>
      </c>
      <c r="EV84" t="s">
        <v>633</v>
      </c>
      <c r="FJ84" t="s">
        <v>633</v>
      </c>
      <c r="FT84" t="s">
        <v>633</v>
      </c>
    </row>
    <row r="85" spans="1:176" ht="15" customHeight="1" x14ac:dyDescent="0.2">
      <c r="A85" s="3" t="s">
        <v>575</v>
      </c>
      <c r="B85" s="3" t="s">
        <v>576</v>
      </c>
      <c r="C85" s="3" t="s">
        <v>574</v>
      </c>
      <c r="D85" s="3" t="s">
        <v>674</v>
      </c>
      <c r="BC85" s="32"/>
      <c r="BD85" s="22"/>
      <c r="BL85" t="s">
        <v>633</v>
      </c>
      <c r="BQ85" t="s">
        <v>633</v>
      </c>
      <c r="CM85" t="s">
        <v>633</v>
      </c>
      <c r="CY85" t="s">
        <v>633</v>
      </c>
      <c r="DD85" t="s">
        <v>633</v>
      </c>
      <c r="EV85" t="s">
        <v>633</v>
      </c>
      <c r="FJ85" t="s">
        <v>633</v>
      </c>
      <c r="FT85" t="s">
        <v>636</v>
      </c>
    </row>
    <row r="86" spans="1:176" ht="15" customHeight="1" x14ac:dyDescent="0.2">
      <c r="A86" s="3" t="s">
        <v>577</v>
      </c>
      <c r="B86" s="3" t="s">
        <v>578</v>
      </c>
      <c r="C86" s="3" t="s">
        <v>574</v>
      </c>
      <c r="D86" s="3" t="s">
        <v>674</v>
      </c>
      <c r="M86" t="s">
        <v>633</v>
      </c>
      <c r="AY86" t="s">
        <v>633</v>
      </c>
      <c r="BC86" s="32"/>
      <c r="BD86" s="22"/>
      <c r="BL86" t="s">
        <v>633</v>
      </c>
      <c r="BW86" t="s">
        <v>633</v>
      </c>
      <c r="CM86" t="s">
        <v>633</v>
      </c>
      <c r="CY86" t="s">
        <v>633</v>
      </c>
      <c r="DD86" t="s">
        <v>633</v>
      </c>
      <c r="DE86" t="s">
        <v>633</v>
      </c>
      <c r="EP86" t="s">
        <v>633</v>
      </c>
      <c r="EV86" t="s">
        <v>633</v>
      </c>
      <c r="FJ86" t="s">
        <v>633</v>
      </c>
      <c r="FT86" t="s">
        <v>636</v>
      </c>
    </row>
    <row r="87" spans="1:176" ht="15" customHeight="1" x14ac:dyDescent="0.2">
      <c r="A87" s="3" t="s">
        <v>543</v>
      </c>
      <c r="B87" s="3" t="s">
        <v>544</v>
      </c>
      <c r="C87" s="3" t="s">
        <v>532</v>
      </c>
      <c r="D87" s="3" t="s">
        <v>674</v>
      </c>
      <c r="BC87" s="21"/>
      <c r="BD87" s="22"/>
      <c r="BL87" t="s">
        <v>633</v>
      </c>
      <c r="CM87" t="s">
        <v>633</v>
      </c>
      <c r="CY87" t="s">
        <v>633</v>
      </c>
      <c r="DD87" t="s">
        <v>633</v>
      </c>
      <c r="EP87" t="s">
        <v>633</v>
      </c>
    </row>
    <row r="88" spans="1:176" ht="15" customHeight="1" x14ac:dyDescent="0.2">
      <c r="A88" s="3" t="s">
        <v>413</v>
      </c>
      <c r="B88" s="3" t="s">
        <v>414</v>
      </c>
      <c r="C88" s="3" t="s">
        <v>408</v>
      </c>
      <c r="D88" s="3" t="s">
        <v>674</v>
      </c>
      <c r="BC88" s="27"/>
      <c r="BD88" s="22"/>
      <c r="EQ88" t="s">
        <v>633</v>
      </c>
      <c r="EV88" t="s">
        <v>633</v>
      </c>
    </row>
    <row r="89" spans="1:176" ht="15" customHeight="1" x14ac:dyDescent="0.2">
      <c r="A89" s="3" t="s">
        <v>423</v>
      </c>
      <c r="B89" s="3" t="s">
        <v>424</v>
      </c>
      <c r="C89" s="3" t="s">
        <v>405</v>
      </c>
      <c r="D89" s="3" t="s">
        <v>674</v>
      </c>
      <c r="M89" t="s">
        <v>633</v>
      </c>
      <c r="BC89" s="26" t="s">
        <v>634</v>
      </c>
      <c r="BD89" s="25" t="s">
        <v>635</v>
      </c>
      <c r="BL89" t="s">
        <v>633</v>
      </c>
      <c r="BQ89" t="s">
        <v>633</v>
      </c>
      <c r="CY89" t="s">
        <v>633</v>
      </c>
      <c r="DD89" t="s">
        <v>633</v>
      </c>
      <c r="DE89" t="s">
        <v>633</v>
      </c>
      <c r="EP89" t="s">
        <v>633</v>
      </c>
      <c r="EQ89" t="s">
        <v>633</v>
      </c>
      <c r="EV89" t="s">
        <v>633</v>
      </c>
      <c r="FJ89" t="s">
        <v>633</v>
      </c>
      <c r="FT89" t="s">
        <v>633</v>
      </c>
    </row>
    <row r="90" spans="1:176" ht="15" customHeight="1" x14ac:dyDescent="0.2">
      <c r="A90" s="3" t="s">
        <v>415</v>
      </c>
      <c r="B90" s="3" t="s">
        <v>416</v>
      </c>
      <c r="C90" s="3" t="s">
        <v>408</v>
      </c>
      <c r="D90" s="3" t="s">
        <v>674</v>
      </c>
      <c r="BC90" s="21"/>
      <c r="BD90" s="22"/>
      <c r="EV90" t="s">
        <v>633</v>
      </c>
      <c r="FJ90" t="s">
        <v>633</v>
      </c>
    </row>
    <row r="91" spans="1:176" ht="15" customHeight="1" x14ac:dyDescent="0.2">
      <c r="A91" s="3" t="s">
        <v>528</v>
      </c>
      <c r="B91" s="3" t="s">
        <v>529</v>
      </c>
      <c r="C91" s="3" t="s">
        <v>455</v>
      </c>
      <c r="D91" s="3" t="s">
        <v>674</v>
      </c>
      <c r="AX91" t="s">
        <v>633</v>
      </c>
      <c r="BC91" s="28"/>
      <c r="BD91" s="22"/>
      <c r="BR91" t="s">
        <v>633</v>
      </c>
      <c r="CY91" t="s">
        <v>633</v>
      </c>
      <c r="EP91" t="s">
        <v>633</v>
      </c>
      <c r="EV91" t="s">
        <v>633</v>
      </c>
      <c r="FT91" t="s">
        <v>650</v>
      </c>
    </row>
    <row r="92" spans="1:176" ht="15" customHeight="1" x14ac:dyDescent="0.2">
      <c r="A92" s="3" t="s">
        <v>565</v>
      </c>
      <c r="B92" s="3" t="s">
        <v>566</v>
      </c>
      <c r="C92" s="3" t="s">
        <v>567</v>
      </c>
      <c r="D92" s="3" t="s">
        <v>674</v>
      </c>
      <c r="J92" t="s">
        <v>698</v>
      </c>
      <c r="M92" s="55" t="s">
        <v>633</v>
      </c>
      <c r="T92" t="s">
        <v>633</v>
      </c>
      <c r="AA92" t="s">
        <v>698</v>
      </c>
      <c r="AC92" t="s">
        <v>633</v>
      </c>
      <c r="AV92" t="s">
        <v>633</v>
      </c>
      <c r="BC92" s="21"/>
      <c r="BD92" s="22"/>
      <c r="BQ92" t="s">
        <v>633</v>
      </c>
      <c r="BR92" t="s">
        <v>633</v>
      </c>
      <c r="CG92" t="s">
        <v>633</v>
      </c>
      <c r="DY92" t="s">
        <v>633</v>
      </c>
      <c r="EV92" t="s">
        <v>633</v>
      </c>
      <c r="FJ92" t="s">
        <v>633</v>
      </c>
      <c r="FK92" t="s">
        <v>633</v>
      </c>
      <c r="FT92" t="s">
        <v>633</v>
      </c>
    </row>
    <row r="93" spans="1:176" ht="15" customHeight="1" x14ac:dyDescent="0.2">
      <c r="A93" s="3" t="s">
        <v>449</v>
      </c>
      <c r="B93" s="3" t="s">
        <v>450</v>
      </c>
      <c r="C93" s="3" t="s">
        <v>438</v>
      </c>
      <c r="D93" s="3" t="s">
        <v>674</v>
      </c>
      <c r="AX93" t="s">
        <v>633</v>
      </c>
      <c r="BC93" s="26" t="s">
        <v>634</v>
      </c>
      <c r="BD93" s="25" t="s">
        <v>635</v>
      </c>
      <c r="CM93" t="s">
        <v>633</v>
      </c>
      <c r="EQ93" t="s">
        <v>633</v>
      </c>
      <c r="EV93" t="s">
        <v>633</v>
      </c>
      <c r="FP93" t="s">
        <v>633</v>
      </c>
      <c r="FT93" t="s">
        <v>639</v>
      </c>
    </row>
    <row r="94" spans="1:176" ht="15" customHeight="1" x14ac:dyDescent="0.2">
      <c r="A94" s="3" t="s">
        <v>545</v>
      </c>
      <c r="B94" s="3" t="s">
        <v>546</v>
      </c>
      <c r="C94" s="3" t="s">
        <v>455</v>
      </c>
      <c r="D94" s="3" t="s">
        <v>674</v>
      </c>
      <c r="AX94" t="s">
        <v>633</v>
      </c>
      <c r="BC94" s="21"/>
      <c r="BD94" s="22"/>
      <c r="BL94" t="s">
        <v>633</v>
      </c>
      <c r="BQ94" t="s">
        <v>633</v>
      </c>
      <c r="BR94" t="s">
        <v>633</v>
      </c>
      <c r="CM94" t="s">
        <v>633</v>
      </c>
      <c r="CY94" t="s">
        <v>633</v>
      </c>
      <c r="DD94" t="s">
        <v>633</v>
      </c>
      <c r="DY94" t="s">
        <v>633</v>
      </c>
      <c r="EG94" t="s">
        <v>633</v>
      </c>
      <c r="EP94" t="s">
        <v>633</v>
      </c>
      <c r="EQ94" t="s">
        <v>633</v>
      </c>
      <c r="EV94" t="s">
        <v>633</v>
      </c>
      <c r="FJ94" t="s">
        <v>633</v>
      </c>
      <c r="FT94" t="s">
        <v>636</v>
      </c>
    </row>
    <row r="95" spans="1:176" ht="15" customHeight="1" x14ac:dyDescent="0.2">
      <c r="A95" s="3" t="s">
        <v>626</v>
      </c>
      <c r="B95" s="3" t="s">
        <v>627</v>
      </c>
      <c r="C95" s="3" t="s">
        <v>628</v>
      </c>
      <c r="D95" s="3" t="s">
        <v>674</v>
      </c>
      <c r="M95" t="s">
        <v>633</v>
      </c>
      <c r="T95" t="s">
        <v>633</v>
      </c>
      <c r="AV95" t="s">
        <v>633</v>
      </c>
      <c r="AY95" t="s">
        <v>633</v>
      </c>
      <c r="BC95" s="26" t="s">
        <v>634</v>
      </c>
      <c r="BD95" s="25" t="s">
        <v>635</v>
      </c>
      <c r="BQ95" t="s">
        <v>633</v>
      </c>
      <c r="BR95" t="s">
        <v>633</v>
      </c>
      <c r="BW95" t="s">
        <v>633</v>
      </c>
      <c r="DD95" t="s">
        <v>633</v>
      </c>
      <c r="DY95" t="s">
        <v>633</v>
      </c>
      <c r="EP95" t="s">
        <v>633</v>
      </c>
      <c r="EV95" t="s">
        <v>633</v>
      </c>
      <c r="FJ95" t="s">
        <v>633</v>
      </c>
      <c r="FT95" t="s">
        <v>633</v>
      </c>
    </row>
    <row r="96" spans="1:176" ht="15" customHeight="1" x14ac:dyDescent="0.2">
      <c r="A96" s="3" t="s">
        <v>629</v>
      </c>
      <c r="B96" s="3" t="s">
        <v>630</v>
      </c>
      <c r="C96" s="3" t="s">
        <v>628</v>
      </c>
      <c r="D96" s="3" t="s">
        <v>674</v>
      </c>
      <c r="BC96" s="21"/>
      <c r="BD96" s="22"/>
      <c r="CI96" t="s">
        <v>699</v>
      </c>
    </row>
    <row r="97" spans="1:176" ht="15" customHeight="1" x14ac:dyDescent="0.2">
      <c r="A97" s="3" t="s">
        <v>579</v>
      </c>
      <c r="B97" s="3" t="s">
        <v>580</v>
      </c>
      <c r="C97" s="3" t="s">
        <v>574</v>
      </c>
      <c r="D97" s="3" t="s">
        <v>674</v>
      </c>
      <c r="M97" t="s">
        <v>633</v>
      </c>
      <c r="T97" t="s">
        <v>633</v>
      </c>
      <c r="AC97" t="s">
        <v>633</v>
      </c>
      <c r="AV97" t="s">
        <v>633</v>
      </c>
      <c r="AY97" t="s">
        <v>633</v>
      </c>
      <c r="BC97" s="26" t="s">
        <v>656</v>
      </c>
      <c r="BD97" s="25" t="s">
        <v>635</v>
      </c>
      <c r="BQ97" t="s">
        <v>633</v>
      </c>
      <c r="BR97" t="s">
        <v>633</v>
      </c>
      <c r="CG97" t="s">
        <v>633</v>
      </c>
      <c r="DY97" t="s">
        <v>633</v>
      </c>
      <c r="EV97" t="s">
        <v>633</v>
      </c>
      <c r="FJ97" t="s">
        <v>633</v>
      </c>
      <c r="FK97" t="s">
        <v>633</v>
      </c>
      <c r="FP97" t="s">
        <v>633</v>
      </c>
      <c r="FT97" t="s">
        <v>633</v>
      </c>
    </row>
    <row r="98" spans="1:176" ht="15" customHeight="1" x14ac:dyDescent="0.2">
      <c r="A98" s="3" t="s">
        <v>596</v>
      </c>
      <c r="B98" s="3" t="s">
        <v>597</v>
      </c>
      <c r="C98" s="3" t="s">
        <v>595</v>
      </c>
      <c r="D98" s="3" t="s">
        <v>701</v>
      </c>
      <c r="BC98" s="34"/>
      <c r="BD98" s="22"/>
    </row>
    <row r="99" spans="1:176" ht="15" customHeight="1" x14ac:dyDescent="0.2">
      <c r="A99" s="3" t="s">
        <v>515</v>
      </c>
      <c r="B99" s="3" t="s">
        <v>516</v>
      </c>
      <c r="C99" s="3" t="s">
        <v>455</v>
      </c>
      <c r="D99" s="3" t="s">
        <v>674</v>
      </c>
      <c r="AX99" t="s">
        <v>633</v>
      </c>
      <c r="BC99" s="21"/>
      <c r="BD99" s="22"/>
      <c r="BR99" t="s">
        <v>633</v>
      </c>
      <c r="DK99" t="s">
        <v>633</v>
      </c>
      <c r="EQ99" t="s">
        <v>633</v>
      </c>
      <c r="FP99" t="s">
        <v>633</v>
      </c>
    </row>
    <row r="100" spans="1:176" ht="15" customHeight="1" x14ac:dyDescent="0.2">
      <c r="A100" s="3" t="s">
        <v>469</v>
      </c>
      <c r="B100" s="3" t="s">
        <v>470</v>
      </c>
      <c r="C100" s="3" t="s">
        <v>438</v>
      </c>
      <c r="D100" s="3" t="s">
        <v>674</v>
      </c>
      <c r="T100" t="s">
        <v>633</v>
      </c>
      <c r="AX100" t="s">
        <v>633</v>
      </c>
      <c r="BC100" s="32" t="s">
        <v>633</v>
      </c>
      <c r="BD100" s="22"/>
      <c r="BR100" t="s">
        <v>633</v>
      </c>
      <c r="CM100" t="s">
        <v>633</v>
      </c>
      <c r="CO100" t="s">
        <v>633</v>
      </c>
      <c r="DD100" t="s">
        <v>633</v>
      </c>
      <c r="DY100" t="s">
        <v>633</v>
      </c>
      <c r="EP100" t="s">
        <v>633</v>
      </c>
      <c r="EV100" t="s">
        <v>633</v>
      </c>
      <c r="FJ100" t="s">
        <v>633</v>
      </c>
      <c r="FP100" t="s">
        <v>633</v>
      </c>
      <c r="FT100" t="s">
        <v>639</v>
      </c>
    </row>
    <row r="101" spans="1:176" ht="15" customHeight="1" x14ac:dyDescent="0.2">
      <c r="A101" s="3" t="s">
        <v>471</v>
      </c>
      <c r="B101" s="3" t="s">
        <v>472</v>
      </c>
      <c r="C101" s="3" t="s">
        <v>438</v>
      </c>
      <c r="D101" s="3" t="s">
        <v>674</v>
      </c>
      <c r="AX101" t="s">
        <v>633</v>
      </c>
      <c r="BC101" s="26" t="s">
        <v>641</v>
      </c>
      <c r="BD101" s="25" t="s">
        <v>635</v>
      </c>
      <c r="BR101" t="s">
        <v>633</v>
      </c>
      <c r="CM101" t="s">
        <v>633</v>
      </c>
      <c r="CO101" t="s">
        <v>633</v>
      </c>
      <c r="EP101" t="s">
        <v>633</v>
      </c>
      <c r="EQ101" t="s">
        <v>633</v>
      </c>
      <c r="EV101" t="s">
        <v>633</v>
      </c>
      <c r="FJ101" t="s">
        <v>633</v>
      </c>
      <c r="FP101" t="s">
        <v>633</v>
      </c>
    </row>
    <row r="102" spans="1:176" ht="15" customHeight="1" x14ac:dyDescent="0.2">
      <c r="A102" s="3" t="s">
        <v>429</v>
      </c>
      <c r="B102" s="3" t="s">
        <v>430</v>
      </c>
      <c r="C102" s="3" t="s">
        <v>408</v>
      </c>
      <c r="D102" s="3" t="s">
        <v>674</v>
      </c>
      <c r="M102" t="s">
        <v>633</v>
      </c>
      <c r="T102" t="s">
        <v>633</v>
      </c>
      <c r="AX102" t="s">
        <v>633</v>
      </c>
      <c r="BC102" s="26" t="s">
        <v>638</v>
      </c>
      <c r="BD102" s="25" t="s">
        <v>635</v>
      </c>
      <c r="BL102" t="s">
        <v>633</v>
      </c>
      <c r="BR102" t="s">
        <v>633</v>
      </c>
      <c r="CY102" t="s">
        <v>633</v>
      </c>
      <c r="DD102" t="s">
        <v>633</v>
      </c>
      <c r="DE102" t="s">
        <v>633</v>
      </c>
      <c r="EP102" t="s">
        <v>633</v>
      </c>
      <c r="EQ102" t="s">
        <v>633</v>
      </c>
      <c r="EV102" t="s">
        <v>633</v>
      </c>
      <c r="FJ102" t="s">
        <v>633</v>
      </c>
      <c r="FT102" t="s">
        <v>636</v>
      </c>
    </row>
    <row r="103" spans="1:176" ht="15" customHeight="1" x14ac:dyDescent="0.2">
      <c r="A103" s="3" t="s">
        <v>561</v>
      </c>
      <c r="B103" s="3" t="s">
        <v>562</v>
      </c>
      <c r="C103" s="3" t="s">
        <v>554</v>
      </c>
      <c r="D103" s="3" t="s">
        <v>674</v>
      </c>
      <c r="BC103" s="21"/>
      <c r="BD103" s="22"/>
      <c r="EV103" t="s">
        <v>633</v>
      </c>
      <c r="FP103" t="s">
        <v>633</v>
      </c>
    </row>
    <row r="104" spans="1:176" ht="15" customHeight="1" x14ac:dyDescent="0.2">
      <c r="A104" s="3" t="s">
        <v>453</v>
      </c>
      <c r="B104" s="3" t="s">
        <v>454</v>
      </c>
      <c r="C104" s="3" t="s">
        <v>455</v>
      </c>
      <c r="D104" s="3" t="s">
        <v>674</v>
      </c>
      <c r="AX104" t="s">
        <v>633</v>
      </c>
      <c r="BC104" s="22"/>
      <c r="BD104" s="22"/>
      <c r="CM104" t="s">
        <v>633</v>
      </c>
      <c r="EQ104" t="s">
        <v>633</v>
      </c>
      <c r="EV104" t="s">
        <v>633</v>
      </c>
      <c r="FJ104" t="s">
        <v>633</v>
      </c>
    </row>
    <row r="105" spans="1:176" ht="15" customHeight="1" x14ac:dyDescent="0.2">
      <c r="A105" s="3" t="s">
        <v>456</v>
      </c>
      <c r="B105" s="3" t="s">
        <v>457</v>
      </c>
      <c r="C105" s="3" t="s">
        <v>455</v>
      </c>
      <c r="D105" s="3" t="s">
        <v>674</v>
      </c>
      <c r="AX105" t="s">
        <v>633</v>
      </c>
      <c r="BC105" s="35"/>
      <c r="BD105" s="22"/>
      <c r="CM105" t="s">
        <v>633</v>
      </c>
      <c r="EQ105" t="s">
        <v>633</v>
      </c>
      <c r="EV105" t="s">
        <v>633</v>
      </c>
      <c r="FJ105" t="s">
        <v>633</v>
      </c>
    </row>
    <row r="106" spans="1:176" ht="15" customHeight="1" x14ac:dyDescent="0.2">
      <c r="A106" s="3" t="s">
        <v>403</v>
      </c>
      <c r="B106" s="3" t="s">
        <v>404</v>
      </c>
      <c r="C106" s="3" t="s">
        <v>405</v>
      </c>
      <c r="D106" s="3" t="s">
        <v>674</v>
      </c>
      <c r="BC106" s="26"/>
      <c r="BD106" s="25"/>
    </row>
    <row r="107" spans="1:176" ht="15" customHeight="1" x14ac:dyDescent="0.2">
      <c r="A107" s="3" t="s">
        <v>406</v>
      </c>
      <c r="B107" s="3" t="s">
        <v>407</v>
      </c>
      <c r="C107" s="3" t="s">
        <v>408</v>
      </c>
      <c r="D107" s="3" t="s">
        <v>674</v>
      </c>
      <c r="T107" t="s">
        <v>633</v>
      </c>
      <c r="AC107" t="s">
        <v>633</v>
      </c>
      <c r="AX107" t="s">
        <v>633</v>
      </c>
      <c r="BC107" s="26" t="s">
        <v>634</v>
      </c>
      <c r="BD107" s="25" t="s">
        <v>635</v>
      </c>
      <c r="BL107" t="s">
        <v>633</v>
      </c>
      <c r="BQ107" t="s">
        <v>633</v>
      </c>
      <c r="BR107" t="s">
        <v>633</v>
      </c>
      <c r="BY107" t="s">
        <v>633</v>
      </c>
      <c r="CM107" t="s">
        <v>633</v>
      </c>
      <c r="CY107" t="s">
        <v>633</v>
      </c>
      <c r="DD107" t="s">
        <v>633</v>
      </c>
      <c r="DY107" t="s">
        <v>633</v>
      </c>
      <c r="EG107" t="s">
        <v>633</v>
      </c>
      <c r="EP107" t="s">
        <v>633</v>
      </c>
      <c r="EQ107" t="s">
        <v>633</v>
      </c>
      <c r="EV107" t="s">
        <v>633</v>
      </c>
      <c r="FJ107" t="s">
        <v>633</v>
      </c>
      <c r="FK107" t="s">
        <v>633</v>
      </c>
      <c r="FP107" t="s">
        <v>633</v>
      </c>
      <c r="FT107" t="s">
        <v>636</v>
      </c>
    </row>
    <row r="108" spans="1:176" ht="15" customHeight="1" x14ac:dyDescent="0.2">
      <c r="A108" s="3" t="s">
        <v>409</v>
      </c>
      <c r="B108" s="3" t="s">
        <v>410</v>
      </c>
      <c r="C108" s="3" t="s">
        <v>408</v>
      </c>
      <c r="D108" s="3" t="s">
        <v>674</v>
      </c>
      <c r="M108" t="s">
        <v>633</v>
      </c>
      <c r="T108" t="s">
        <v>633</v>
      </c>
      <c r="AC108" t="s">
        <v>633</v>
      </c>
      <c r="AX108" t="s">
        <v>633</v>
      </c>
      <c r="AY108" t="s">
        <v>633</v>
      </c>
      <c r="BC108" s="26" t="s">
        <v>634</v>
      </c>
      <c r="BD108" s="25" t="s">
        <v>635</v>
      </c>
      <c r="BL108" t="s">
        <v>633</v>
      </c>
      <c r="BQ108" t="s">
        <v>633</v>
      </c>
      <c r="BR108" t="s">
        <v>633</v>
      </c>
      <c r="BW108" t="s">
        <v>633</v>
      </c>
      <c r="BY108" t="s">
        <v>633</v>
      </c>
      <c r="CG108" t="s">
        <v>633</v>
      </c>
      <c r="CM108" t="s">
        <v>633</v>
      </c>
      <c r="CY108" t="s">
        <v>633</v>
      </c>
      <c r="DD108" t="s">
        <v>633</v>
      </c>
      <c r="DE108" t="s">
        <v>633</v>
      </c>
      <c r="DY108" t="s">
        <v>633</v>
      </c>
      <c r="EG108" t="s">
        <v>633</v>
      </c>
      <c r="EP108" t="s">
        <v>633</v>
      </c>
      <c r="EQ108" t="s">
        <v>633</v>
      </c>
      <c r="EV108" t="s">
        <v>633</v>
      </c>
      <c r="FJ108" t="s">
        <v>633</v>
      </c>
      <c r="FK108" t="s">
        <v>633</v>
      </c>
      <c r="FP108" t="s">
        <v>633</v>
      </c>
      <c r="FT108" t="s">
        <v>636</v>
      </c>
    </row>
    <row r="109" spans="1:176" ht="15" customHeight="1" x14ac:dyDescent="0.2">
      <c r="A109" s="3"/>
      <c r="B109" s="3"/>
      <c r="C109" s="3"/>
    </row>
    <row r="110" spans="1:176" ht="15" customHeight="1" x14ac:dyDescent="0.2">
      <c r="A110" s="3"/>
      <c r="B110" s="3"/>
      <c r="C110" s="3"/>
    </row>
    <row r="111" spans="1:176" ht="15" customHeight="1" x14ac:dyDescent="0.2">
      <c r="A111" s="3"/>
      <c r="B111" s="3"/>
      <c r="C111" s="3"/>
    </row>
    <row r="112" spans="1:176" ht="15" customHeight="1" x14ac:dyDescent="0.2">
      <c r="A112" s="3"/>
      <c r="B112" s="3"/>
      <c r="C112" s="3"/>
    </row>
    <row r="113" spans="1:3" ht="15" customHeight="1" x14ac:dyDescent="0.2">
      <c r="A113" s="3"/>
      <c r="B113" s="3"/>
      <c r="C113" s="3"/>
    </row>
    <row r="114" spans="1:3" ht="15" customHeight="1" x14ac:dyDescent="0.2">
      <c r="A114" s="3"/>
      <c r="B114" s="3"/>
      <c r="C114" s="3"/>
    </row>
    <row r="115" spans="1:3" ht="15" customHeight="1" x14ac:dyDescent="0.2">
      <c r="A115" s="3"/>
      <c r="B115" s="3"/>
      <c r="C115" s="3"/>
    </row>
  </sheetData>
  <hyperlinks>
    <hyperlink ref="BD107" r:id="rId1" xr:uid="{00000000-0004-0000-0200-000000000000}"/>
    <hyperlink ref="BD108" r:id="rId2" xr:uid="{00000000-0004-0000-0200-000001000000}"/>
    <hyperlink ref="BD57" r:id="rId3" xr:uid="{00000000-0004-0000-0200-000002000000}"/>
    <hyperlink ref="BD15" r:id="rId4" xr:uid="{00000000-0004-0000-0200-000003000000}"/>
    <hyperlink ref="BD16" r:id="rId5" xr:uid="{00000000-0004-0000-0200-000004000000}"/>
    <hyperlink ref="BD89" r:id="rId6" xr:uid="{00000000-0004-0000-0200-000005000000}"/>
    <hyperlink ref="BD102" r:id="rId7" xr:uid="{00000000-0004-0000-0200-000006000000}"/>
    <hyperlink ref="BD11" r:id="rId8" xr:uid="{00000000-0004-0000-0200-000007000000}"/>
    <hyperlink ref="BD24" r:id="rId9" xr:uid="{00000000-0004-0000-0200-000008000000}"/>
    <hyperlink ref="BD54" r:id="rId10" xr:uid="{00000000-0004-0000-0200-000009000000}"/>
    <hyperlink ref="BD93" r:id="rId11" xr:uid="{00000000-0004-0000-0200-00000A000000}"/>
    <hyperlink ref="BD10" r:id="rId12" xr:uid="{00000000-0004-0000-0200-00000B000000}"/>
    <hyperlink ref="BD38" r:id="rId13" xr:uid="{00000000-0004-0000-0200-00000C000000}"/>
    <hyperlink ref="BD101" r:id="rId14" xr:uid="{00000000-0004-0000-0200-00000D000000}"/>
    <hyperlink ref="BD65" r:id="rId15" xr:uid="{00000000-0004-0000-0200-00000E000000}"/>
    <hyperlink ref="BD75" r:id="rId16" xr:uid="{00000000-0004-0000-0200-00000F000000}"/>
    <hyperlink ref="BD21" r:id="rId17" xr:uid="{00000000-0004-0000-0200-000010000000}"/>
    <hyperlink ref="BD63" r:id="rId18" xr:uid="{00000000-0004-0000-0200-000011000000}"/>
    <hyperlink ref="BD70" r:id="rId19" xr:uid="{00000000-0004-0000-0200-000012000000}"/>
    <hyperlink ref="BD8" r:id="rId20" xr:uid="{00000000-0004-0000-0200-000013000000}"/>
    <hyperlink ref="BD73" r:id="rId21" xr:uid="{00000000-0004-0000-0200-000014000000}"/>
    <hyperlink ref="BD39" r:id="rId22" xr:uid="{00000000-0004-0000-0200-000015000000}"/>
    <hyperlink ref="BD18" r:id="rId23" xr:uid="{00000000-0004-0000-0200-000016000000}"/>
    <hyperlink ref="BD66" r:id="rId24" xr:uid="{00000000-0004-0000-0200-000017000000}"/>
    <hyperlink ref="BD97" r:id="rId25" xr:uid="{00000000-0004-0000-0200-000018000000}"/>
    <hyperlink ref="BD67" r:id="rId26" xr:uid="{00000000-0004-0000-0200-000019000000}"/>
    <hyperlink ref="BD80" r:id="rId27" xr:uid="{00000000-0004-0000-0200-00001A000000}"/>
    <hyperlink ref="BD17" r:id="rId28" xr:uid="{00000000-0004-0000-0200-00001B000000}"/>
    <hyperlink ref="BD20" r:id="rId29" xr:uid="{00000000-0004-0000-0200-00001C000000}"/>
    <hyperlink ref="BD74" r:id="rId30" xr:uid="{00000000-0004-0000-0200-00001D000000}"/>
    <hyperlink ref="BD95" r:id="rId31" xr:uid="{00000000-0004-0000-0200-00001E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CC1DA"/>
  </sheetPr>
  <dimension ref="A1:GV136"/>
  <sheetViews>
    <sheetView zoomScale="70" zoomScaleNormal="70" workbookViewId="0">
      <pane xSplit="2" ySplit="4" topLeftCell="FE61" activePane="bottomRight" state="frozen"/>
      <selection pane="topRight" activeCell="C1" sqref="C1"/>
      <selection pane="bottomLeft" activeCell="A5" sqref="A5"/>
      <selection pane="bottomRight" activeCell="FR62" sqref="FR62"/>
    </sheetView>
  </sheetViews>
  <sheetFormatPr baseColWidth="10" defaultColWidth="8.83203125" defaultRowHeight="15" x14ac:dyDescent="0.2"/>
  <cols>
    <col min="2" max="2" width="32.83203125" customWidth="1"/>
    <col min="3" max="3" width="15.33203125" customWidth="1"/>
    <col min="4" max="4" width="8.5" customWidth="1"/>
    <col min="5" max="6" width="8.5" style="36" customWidth="1"/>
    <col min="7" max="204" width="5.6640625" customWidth="1"/>
  </cols>
  <sheetData>
    <row r="1" spans="1:204" ht="15" customHeight="1" x14ac:dyDescent="0.2">
      <c r="FV1" t="s">
        <v>0</v>
      </c>
    </row>
    <row r="2" spans="1:204" ht="18.75" customHeight="1" x14ac:dyDescent="0.25">
      <c r="A2" s="2" t="s">
        <v>1</v>
      </c>
    </row>
    <row r="4" spans="1:204" ht="78" customHeight="1" x14ac:dyDescent="0.2">
      <c r="A4" s="3" t="s">
        <v>2</v>
      </c>
      <c r="B4" s="4"/>
      <c r="C4" s="4"/>
      <c r="G4" s="5" t="s">
        <v>3</v>
      </c>
      <c r="H4" s="5" t="s">
        <v>4</v>
      </c>
      <c r="I4" s="5" t="s">
        <v>5</v>
      </c>
      <c r="J4" s="5" t="s">
        <v>6</v>
      </c>
      <c r="K4" s="5" t="s">
        <v>7</v>
      </c>
      <c r="L4" s="5" t="s">
        <v>8</v>
      </c>
      <c r="M4" s="5" t="s">
        <v>9</v>
      </c>
      <c r="N4" s="5" t="s">
        <v>10</v>
      </c>
      <c r="O4" s="5" t="s">
        <v>11</v>
      </c>
      <c r="P4" s="5" t="s">
        <v>12</v>
      </c>
      <c r="Q4" s="5" t="s">
        <v>13</v>
      </c>
      <c r="R4" s="5" t="s">
        <v>14</v>
      </c>
      <c r="S4" s="5" t="s">
        <v>15</v>
      </c>
      <c r="T4" s="5" t="s">
        <v>16</v>
      </c>
      <c r="U4" s="5" t="s">
        <v>17</v>
      </c>
      <c r="V4" s="5" t="s">
        <v>18</v>
      </c>
      <c r="W4" s="5" t="s">
        <v>19</v>
      </c>
      <c r="X4" s="5" t="s">
        <v>20</v>
      </c>
      <c r="Y4" s="5" t="s">
        <v>21</v>
      </c>
      <c r="Z4" s="5" t="s">
        <v>22</v>
      </c>
      <c r="AA4" s="5" t="s">
        <v>23</v>
      </c>
      <c r="AB4" s="5" t="s">
        <v>24</v>
      </c>
      <c r="AC4" s="5" t="s">
        <v>25</v>
      </c>
      <c r="AD4" s="5" t="s">
        <v>26</v>
      </c>
      <c r="AE4" s="5" t="s">
        <v>27</v>
      </c>
      <c r="AF4" s="5" t="s">
        <v>28</v>
      </c>
      <c r="AG4" s="5" t="s">
        <v>29</v>
      </c>
      <c r="AH4" s="5" t="s">
        <v>30</v>
      </c>
      <c r="AI4" s="5" t="s">
        <v>31</v>
      </c>
      <c r="AJ4" s="5" t="s">
        <v>32</v>
      </c>
      <c r="AK4" s="5" t="s">
        <v>33</v>
      </c>
      <c r="AL4" s="5" t="s">
        <v>34</v>
      </c>
      <c r="AM4" s="5" t="s">
        <v>35</v>
      </c>
      <c r="AN4" s="5" t="s">
        <v>36</v>
      </c>
      <c r="AO4" s="5" t="s">
        <v>37</v>
      </c>
      <c r="AP4" s="5" t="s">
        <v>38</v>
      </c>
      <c r="AQ4" s="5" t="s">
        <v>39</v>
      </c>
      <c r="AR4" s="5" t="s">
        <v>40</v>
      </c>
      <c r="AS4" s="5" t="s">
        <v>41</v>
      </c>
      <c r="AT4" s="5" t="s">
        <v>42</v>
      </c>
      <c r="AU4" s="5" t="s">
        <v>43</v>
      </c>
      <c r="AV4" s="5" t="s">
        <v>44</v>
      </c>
      <c r="AW4" s="5" t="s">
        <v>45</v>
      </c>
      <c r="AX4" s="5" t="s">
        <v>46</v>
      </c>
      <c r="AY4" s="5" t="s">
        <v>47</v>
      </c>
      <c r="AZ4" s="5" t="s">
        <v>48</v>
      </c>
      <c r="BA4" s="5" t="s">
        <v>49</v>
      </c>
      <c r="BB4" s="5" t="s">
        <v>50</v>
      </c>
      <c r="BC4" s="5" t="s">
        <v>51</v>
      </c>
      <c r="BD4" s="5" t="s">
        <v>52</v>
      </c>
      <c r="BE4" s="5" t="s">
        <v>53</v>
      </c>
      <c r="BF4" s="5" t="s">
        <v>54</v>
      </c>
      <c r="BG4" s="5" t="s">
        <v>55</v>
      </c>
      <c r="BH4" s="5" t="s">
        <v>56</v>
      </c>
      <c r="BI4" s="5" t="s">
        <v>57</v>
      </c>
      <c r="BJ4" s="5" t="s">
        <v>58</v>
      </c>
      <c r="BK4" s="5" t="s">
        <v>59</v>
      </c>
      <c r="BL4" s="5" t="s">
        <v>60</v>
      </c>
      <c r="BM4" s="5" t="s">
        <v>61</v>
      </c>
      <c r="BN4" s="5" t="s">
        <v>62</v>
      </c>
      <c r="BO4" s="5" t="s">
        <v>63</v>
      </c>
      <c r="BP4" s="5" t="s">
        <v>64</v>
      </c>
      <c r="BQ4" s="5" t="s">
        <v>65</v>
      </c>
      <c r="BR4" s="5" t="s">
        <v>66</v>
      </c>
      <c r="BS4" s="5" t="s">
        <v>67</v>
      </c>
      <c r="BT4" s="5" t="s">
        <v>68</v>
      </c>
      <c r="BU4" s="5" t="s">
        <v>69</v>
      </c>
      <c r="BV4" s="5" t="s">
        <v>70</v>
      </c>
      <c r="BW4" s="5" t="s">
        <v>71</v>
      </c>
      <c r="BX4" s="5" t="s">
        <v>72</v>
      </c>
      <c r="BY4" s="5" t="s">
        <v>73</v>
      </c>
      <c r="BZ4" s="5" t="s">
        <v>74</v>
      </c>
      <c r="CA4" s="5" t="s">
        <v>75</v>
      </c>
      <c r="CB4" s="5" t="s">
        <v>76</v>
      </c>
      <c r="CC4" s="5" t="s">
        <v>77</v>
      </c>
      <c r="CD4" s="5" t="s">
        <v>78</v>
      </c>
      <c r="CE4" s="5" t="s">
        <v>79</v>
      </c>
      <c r="CF4" s="5" t="s">
        <v>80</v>
      </c>
      <c r="CG4" s="5" t="s">
        <v>81</v>
      </c>
      <c r="CH4" s="5" t="s">
        <v>82</v>
      </c>
      <c r="CI4" s="5" t="s">
        <v>83</v>
      </c>
      <c r="CJ4" s="5" t="s">
        <v>84</v>
      </c>
      <c r="CK4" s="5" t="s">
        <v>85</v>
      </c>
      <c r="CL4" s="5" t="s">
        <v>86</v>
      </c>
      <c r="CM4" s="5" t="s">
        <v>87</v>
      </c>
      <c r="CN4" s="5" t="s">
        <v>88</v>
      </c>
      <c r="CO4" s="5" t="s">
        <v>89</v>
      </c>
      <c r="CP4" s="5" t="s">
        <v>90</v>
      </c>
      <c r="CQ4" s="5" t="s">
        <v>91</v>
      </c>
      <c r="CR4" s="5" t="s">
        <v>92</v>
      </c>
      <c r="CS4" s="5" t="s">
        <v>93</v>
      </c>
      <c r="CT4" s="5" t="s">
        <v>94</v>
      </c>
      <c r="CU4" s="5" t="s">
        <v>95</v>
      </c>
      <c r="CV4" s="5" t="s">
        <v>96</v>
      </c>
      <c r="CW4" s="5" t="s">
        <v>97</v>
      </c>
      <c r="CX4" s="5" t="s">
        <v>98</v>
      </c>
      <c r="CY4" s="5" t="s">
        <v>99</v>
      </c>
      <c r="CZ4" s="5" t="s">
        <v>100</v>
      </c>
      <c r="DA4" s="5" t="s">
        <v>101</v>
      </c>
      <c r="DB4" s="5" t="s">
        <v>102</v>
      </c>
      <c r="DC4" s="5" t="s">
        <v>103</v>
      </c>
      <c r="DD4" s="5" t="s">
        <v>104</v>
      </c>
      <c r="DE4" s="5" t="s">
        <v>105</v>
      </c>
      <c r="DF4" s="5" t="s">
        <v>106</v>
      </c>
      <c r="DG4" s="5" t="s">
        <v>107</v>
      </c>
      <c r="DH4" s="5" t="s">
        <v>108</v>
      </c>
      <c r="DI4" s="5" t="s">
        <v>109</v>
      </c>
      <c r="DJ4" s="5" t="s">
        <v>110</v>
      </c>
      <c r="DK4" s="5" t="s">
        <v>111</v>
      </c>
      <c r="DL4" s="5" t="s">
        <v>112</v>
      </c>
      <c r="DM4" s="5" t="s">
        <v>113</v>
      </c>
      <c r="DN4" s="5" t="s">
        <v>114</v>
      </c>
      <c r="DO4" s="5" t="s">
        <v>115</v>
      </c>
      <c r="DP4" s="5" t="s">
        <v>116</v>
      </c>
      <c r="DQ4" s="5" t="s">
        <v>117</v>
      </c>
      <c r="DR4" s="5" t="s">
        <v>118</v>
      </c>
      <c r="DS4" s="5" t="s">
        <v>119</v>
      </c>
      <c r="DT4" s="5" t="s">
        <v>120</v>
      </c>
      <c r="DU4" s="5" t="s">
        <v>121</v>
      </c>
      <c r="DV4" s="5" t="s">
        <v>122</v>
      </c>
      <c r="DW4" s="5" t="s">
        <v>123</v>
      </c>
      <c r="DX4" s="5" t="s">
        <v>124</v>
      </c>
      <c r="DY4" s="5" t="s">
        <v>125</v>
      </c>
      <c r="DZ4" s="5" t="s">
        <v>126</v>
      </c>
      <c r="EA4" s="5" t="s">
        <v>127</v>
      </c>
      <c r="EB4" s="5" t="s">
        <v>128</v>
      </c>
      <c r="EC4" s="5" t="s">
        <v>129</v>
      </c>
      <c r="ED4" s="5" t="s">
        <v>130</v>
      </c>
      <c r="EE4" s="5" t="s">
        <v>131</v>
      </c>
      <c r="EF4" s="5" t="s">
        <v>132</v>
      </c>
      <c r="EG4" s="5" t="s">
        <v>133</v>
      </c>
      <c r="EH4" s="5" t="s">
        <v>134</v>
      </c>
      <c r="EI4" s="5" t="s">
        <v>135</v>
      </c>
      <c r="EJ4" s="5" t="s">
        <v>136</v>
      </c>
      <c r="EK4" s="5" t="s">
        <v>137</v>
      </c>
      <c r="EL4" s="5" t="s">
        <v>138</v>
      </c>
      <c r="EM4" s="5" t="s">
        <v>139</v>
      </c>
      <c r="EN4" s="5" t="s">
        <v>140</v>
      </c>
      <c r="EO4" s="5" t="s">
        <v>141</v>
      </c>
      <c r="EP4" s="5" t="s">
        <v>142</v>
      </c>
      <c r="EQ4" s="5" t="s">
        <v>143</v>
      </c>
      <c r="ER4" s="5" t="s">
        <v>144</v>
      </c>
      <c r="ES4" s="5" t="s">
        <v>145</v>
      </c>
      <c r="ET4" s="5" t="s">
        <v>146</v>
      </c>
      <c r="EU4" s="5" t="s">
        <v>147</v>
      </c>
      <c r="EV4" s="5" t="s">
        <v>148</v>
      </c>
      <c r="EW4" s="5" t="s">
        <v>149</v>
      </c>
      <c r="EX4" s="5" t="s">
        <v>150</v>
      </c>
      <c r="EY4" s="5" t="s">
        <v>151</v>
      </c>
      <c r="EZ4" s="5" t="s">
        <v>152</v>
      </c>
      <c r="FA4" s="5" t="s">
        <v>153</v>
      </c>
      <c r="FB4" s="5" t="s">
        <v>154</v>
      </c>
      <c r="FC4" s="5" t="s">
        <v>155</v>
      </c>
      <c r="FD4" s="5" t="s">
        <v>156</v>
      </c>
      <c r="FE4" s="5" t="s">
        <v>157</v>
      </c>
      <c r="FF4" s="5" t="s">
        <v>158</v>
      </c>
      <c r="FG4" s="5" t="s">
        <v>159</v>
      </c>
      <c r="FH4" s="5" t="s">
        <v>160</v>
      </c>
      <c r="FI4" s="5" t="s">
        <v>161</v>
      </c>
      <c r="FJ4" s="5" t="s">
        <v>162</v>
      </c>
      <c r="FK4" s="5" t="s">
        <v>163</v>
      </c>
      <c r="FL4" s="5" t="s">
        <v>164</v>
      </c>
      <c r="FM4" s="5" t="s">
        <v>165</v>
      </c>
      <c r="FN4" s="5" t="s">
        <v>166</v>
      </c>
      <c r="FO4" s="5" t="s">
        <v>167</v>
      </c>
      <c r="FP4" s="5" t="s">
        <v>168</v>
      </c>
      <c r="FQ4" s="5" t="s">
        <v>169</v>
      </c>
      <c r="FR4" s="5" t="s">
        <v>170</v>
      </c>
      <c r="FS4" s="5" t="s">
        <v>171</v>
      </c>
      <c r="FT4" s="5" t="s">
        <v>172</v>
      </c>
      <c r="FU4" s="5" t="s">
        <v>173</v>
      </c>
      <c r="FV4" s="5" t="s">
        <v>174</v>
      </c>
      <c r="FW4" s="5" t="s">
        <v>175</v>
      </c>
      <c r="FX4" s="5" t="s">
        <v>176</v>
      </c>
      <c r="FY4" s="5" t="s">
        <v>177</v>
      </c>
      <c r="FZ4" s="5" t="s">
        <v>178</v>
      </c>
      <c r="GA4" s="5" t="s">
        <v>179</v>
      </c>
      <c r="GB4" s="5" t="s">
        <v>180</v>
      </c>
      <c r="GC4" s="5" t="s">
        <v>181</v>
      </c>
      <c r="GD4" s="5" t="s">
        <v>182</v>
      </c>
      <c r="GE4" s="5" t="s">
        <v>183</v>
      </c>
      <c r="GF4" s="5" t="s">
        <v>184</v>
      </c>
      <c r="GG4" s="5" t="s">
        <v>185</v>
      </c>
      <c r="GH4" s="5" t="s">
        <v>186</v>
      </c>
      <c r="GI4" s="5" t="s">
        <v>187</v>
      </c>
      <c r="GJ4" s="5" t="s">
        <v>188</v>
      </c>
      <c r="GK4" s="5" t="s">
        <v>189</v>
      </c>
      <c r="GL4" s="5" t="s">
        <v>190</v>
      </c>
      <c r="GM4" s="5" t="s">
        <v>191</v>
      </c>
      <c r="GN4" s="5" t="s">
        <v>192</v>
      </c>
      <c r="GO4" s="5" t="s">
        <v>193</v>
      </c>
      <c r="GP4" s="5" t="s">
        <v>194</v>
      </c>
      <c r="GQ4" s="5" t="s">
        <v>195</v>
      </c>
      <c r="GR4" s="5" t="s">
        <v>196</v>
      </c>
      <c r="GS4" s="5" t="s">
        <v>197</v>
      </c>
      <c r="GT4" s="5" t="s">
        <v>198</v>
      </c>
      <c r="GU4" s="5" t="s">
        <v>199</v>
      </c>
      <c r="GV4" s="5" t="s">
        <v>200</v>
      </c>
    </row>
    <row r="5" spans="1:204" ht="48" customHeight="1" x14ac:dyDescent="0.2">
      <c r="A5" s="6" t="s">
        <v>201</v>
      </c>
      <c r="B5" s="7" t="s">
        <v>202</v>
      </c>
      <c r="C5" s="8" t="s">
        <v>203</v>
      </c>
      <c r="D5" s="9" t="s">
        <v>204</v>
      </c>
      <c r="E5" s="37" t="s">
        <v>669</v>
      </c>
      <c r="F5" s="37" t="s">
        <v>670</v>
      </c>
      <c r="G5" s="9" t="s">
        <v>205</v>
      </c>
      <c r="H5" s="9" t="s">
        <v>206</v>
      </c>
      <c r="I5" s="9" t="s">
        <v>207</v>
      </c>
      <c r="J5" s="9" t="s">
        <v>208</v>
      </c>
      <c r="K5" s="9" t="s">
        <v>209</v>
      </c>
      <c r="L5" s="9" t="s">
        <v>210</v>
      </c>
      <c r="M5" s="9" t="s">
        <v>211</v>
      </c>
      <c r="N5" s="9" t="s">
        <v>212</v>
      </c>
      <c r="O5" s="9" t="s">
        <v>213</v>
      </c>
      <c r="P5" s="9" t="s">
        <v>214</v>
      </c>
      <c r="Q5" s="9" t="s">
        <v>215</v>
      </c>
      <c r="R5" s="9" t="s">
        <v>216</v>
      </c>
      <c r="S5" s="9" t="s">
        <v>217</v>
      </c>
      <c r="T5" s="9" t="s">
        <v>218</v>
      </c>
      <c r="U5" s="9" t="s">
        <v>219</v>
      </c>
      <c r="V5" s="9" t="s">
        <v>220</v>
      </c>
      <c r="W5" s="9" t="s">
        <v>221</v>
      </c>
      <c r="X5" s="9" t="s">
        <v>222</v>
      </c>
      <c r="Y5" s="9" t="s">
        <v>223</v>
      </c>
      <c r="Z5" s="9" t="s">
        <v>224</v>
      </c>
      <c r="AA5" s="9" t="s">
        <v>225</v>
      </c>
      <c r="AB5" s="9" t="s">
        <v>226</v>
      </c>
      <c r="AC5" s="9" t="s">
        <v>227</v>
      </c>
      <c r="AD5" s="9" t="s">
        <v>228</v>
      </c>
      <c r="AE5" s="9" t="s">
        <v>229</v>
      </c>
      <c r="AF5" s="9" t="s">
        <v>230</v>
      </c>
      <c r="AG5" s="9" t="s">
        <v>231</v>
      </c>
      <c r="AH5" s="9" t="s">
        <v>232</v>
      </c>
      <c r="AI5" s="9" t="s">
        <v>233</v>
      </c>
      <c r="AJ5" s="9" t="s">
        <v>234</v>
      </c>
      <c r="AK5" s="9" t="s">
        <v>235</v>
      </c>
      <c r="AL5" s="9" t="s">
        <v>236</v>
      </c>
      <c r="AM5" s="9" t="s">
        <v>237</v>
      </c>
      <c r="AN5" s="9" t="s">
        <v>238</v>
      </c>
      <c r="AO5" s="9" t="s">
        <v>239</v>
      </c>
      <c r="AP5" s="9" t="s">
        <v>240</v>
      </c>
      <c r="AQ5" s="9" t="s">
        <v>241</v>
      </c>
      <c r="AR5" s="9" t="s">
        <v>242</v>
      </c>
      <c r="AS5" s="9" t="s">
        <v>243</v>
      </c>
      <c r="AT5" s="9" t="s">
        <v>244</v>
      </c>
      <c r="AU5" s="9" t="s">
        <v>245</v>
      </c>
      <c r="AV5" s="9" t="s">
        <v>246</v>
      </c>
      <c r="AW5" s="9" t="s">
        <v>247</v>
      </c>
      <c r="AX5" s="9" t="s">
        <v>248</v>
      </c>
      <c r="AY5" s="9" t="s">
        <v>249</v>
      </c>
      <c r="AZ5" s="9" t="s">
        <v>250</v>
      </c>
      <c r="BA5" s="9" t="s">
        <v>251</v>
      </c>
      <c r="BB5" s="9" t="s">
        <v>252</v>
      </c>
      <c r="BC5" s="9" t="s">
        <v>253</v>
      </c>
      <c r="BD5" s="9" t="s">
        <v>254</v>
      </c>
      <c r="BE5" s="9" t="s">
        <v>255</v>
      </c>
      <c r="BF5" s="9" t="s">
        <v>256</v>
      </c>
      <c r="BG5" s="9" t="s">
        <v>257</v>
      </c>
      <c r="BH5" s="9" t="s">
        <v>258</v>
      </c>
      <c r="BI5" s="9" t="s">
        <v>259</v>
      </c>
      <c r="BJ5" s="9" t="s">
        <v>260</v>
      </c>
      <c r="BK5" s="9" t="s">
        <v>261</v>
      </c>
      <c r="BL5" s="9" t="s">
        <v>262</v>
      </c>
      <c r="BM5" s="9" t="s">
        <v>263</v>
      </c>
      <c r="BN5" s="9" t="s">
        <v>264</v>
      </c>
      <c r="BO5" s="9" t="s">
        <v>265</v>
      </c>
      <c r="BP5" s="9" t="s">
        <v>266</v>
      </c>
      <c r="BQ5" s="9" t="s">
        <v>267</v>
      </c>
      <c r="BR5" s="9" t="s">
        <v>268</v>
      </c>
      <c r="BS5" s="9" t="s">
        <v>269</v>
      </c>
      <c r="BT5" s="9" t="s">
        <v>270</v>
      </c>
      <c r="BU5" s="9" t="s">
        <v>271</v>
      </c>
      <c r="BV5" s="9" t="s">
        <v>272</v>
      </c>
      <c r="BW5" s="9" t="s">
        <v>273</v>
      </c>
      <c r="BX5" s="9" t="s">
        <v>274</v>
      </c>
      <c r="BY5" s="9" t="s">
        <v>275</v>
      </c>
      <c r="BZ5" s="9" t="s">
        <v>276</v>
      </c>
      <c r="CA5" s="9" t="s">
        <v>277</v>
      </c>
      <c r="CB5" s="9" t="s">
        <v>278</v>
      </c>
      <c r="CC5" s="9" t="s">
        <v>279</v>
      </c>
      <c r="CD5" s="9" t="s">
        <v>280</v>
      </c>
      <c r="CE5" s="9" t="s">
        <v>281</v>
      </c>
      <c r="CF5" s="9" t="s">
        <v>282</v>
      </c>
      <c r="CG5" s="9" t="s">
        <v>283</v>
      </c>
      <c r="CH5" s="9" t="s">
        <v>284</v>
      </c>
      <c r="CI5" s="9" t="s">
        <v>285</v>
      </c>
      <c r="CJ5" s="9" t="s">
        <v>286</v>
      </c>
      <c r="CK5" s="9" t="s">
        <v>287</v>
      </c>
      <c r="CL5" s="9" t="s">
        <v>288</v>
      </c>
      <c r="CM5" s="9" t="s">
        <v>289</v>
      </c>
      <c r="CN5" s="9" t="s">
        <v>290</v>
      </c>
      <c r="CO5" s="9" t="s">
        <v>291</v>
      </c>
      <c r="CP5" s="9" t="s">
        <v>292</v>
      </c>
      <c r="CQ5" s="9" t="s">
        <v>293</v>
      </c>
      <c r="CR5" s="9" t="s">
        <v>294</v>
      </c>
      <c r="CS5" s="9" t="s">
        <v>295</v>
      </c>
      <c r="CT5" s="9" t="s">
        <v>296</v>
      </c>
      <c r="CU5" s="9" t="s">
        <v>297</v>
      </c>
      <c r="CV5" s="9" t="s">
        <v>298</v>
      </c>
      <c r="CW5" s="9" t="s">
        <v>299</v>
      </c>
      <c r="CX5" s="9" t="s">
        <v>300</v>
      </c>
      <c r="CY5" s="9" t="s">
        <v>301</v>
      </c>
      <c r="CZ5" s="9" t="s">
        <v>302</v>
      </c>
      <c r="DA5" s="9" t="s">
        <v>303</v>
      </c>
      <c r="DB5" s="9" t="s">
        <v>304</v>
      </c>
      <c r="DC5" s="9" t="s">
        <v>305</v>
      </c>
      <c r="DD5" s="9" t="s">
        <v>306</v>
      </c>
      <c r="DE5" s="9" t="s">
        <v>307</v>
      </c>
      <c r="DF5" s="9" t="s">
        <v>308</v>
      </c>
      <c r="DG5" s="9" t="s">
        <v>309</v>
      </c>
      <c r="DH5" s="9" t="s">
        <v>310</v>
      </c>
      <c r="DI5" s="9" t="s">
        <v>311</v>
      </c>
      <c r="DJ5" s="9" t="s">
        <v>312</v>
      </c>
      <c r="DK5" s="9" t="s">
        <v>313</v>
      </c>
      <c r="DL5" s="9" t="s">
        <v>314</v>
      </c>
      <c r="DM5" s="9" t="s">
        <v>315</v>
      </c>
      <c r="DN5" s="9" t="s">
        <v>316</v>
      </c>
      <c r="DO5" s="9" t="s">
        <v>317</v>
      </c>
      <c r="DP5" s="9" t="s">
        <v>318</v>
      </c>
      <c r="DQ5" s="9" t="s">
        <v>319</v>
      </c>
      <c r="DR5" s="9" t="s">
        <v>320</v>
      </c>
      <c r="DS5" s="9" t="s">
        <v>321</v>
      </c>
      <c r="DT5" s="9" t="s">
        <v>322</v>
      </c>
      <c r="DU5" s="9" t="s">
        <v>323</v>
      </c>
      <c r="DV5" s="9" t="s">
        <v>324</v>
      </c>
      <c r="DW5" s="9" t="s">
        <v>325</v>
      </c>
      <c r="DX5" s="9" t="s">
        <v>326</v>
      </c>
      <c r="DY5" s="9" t="s">
        <v>327</v>
      </c>
      <c r="DZ5" s="9" t="s">
        <v>328</v>
      </c>
      <c r="EA5" s="9" t="s">
        <v>329</v>
      </c>
      <c r="EB5" s="9" t="s">
        <v>330</v>
      </c>
      <c r="EC5" s="9" t="s">
        <v>331</v>
      </c>
      <c r="ED5" s="9" t="s">
        <v>332</v>
      </c>
      <c r="EE5" s="9" t="s">
        <v>333</v>
      </c>
      <c r="EF5" s="9" t="s">
        <v>334</v>
      </c>
      <c r="EG5" s="9" t="s">
        <v>335</v>
      </c>
      <c r="EH5" s="9" t="s">
        <v>336</v>
      </c>
      <c r="EI5" s="9" t="s">
        <v>337</v>
      </c>
      <c r="EJ5" s="9" t="s">
        <v>338</v>
      </c>
      <c r="EK5" s="9" t="s">
        <v>339</v>
      </c>
      <c r="EL5" s="9" t="s">
        <v>340</v>
      </c>
      <c r="EM5" s="9" t="s">
        <v>341</v>
      </c>
      <c r="EN5" s="9" t="s">
        <v>342</v>
      </c>
      <c r="EO5" s="9" t="s">
        <v>343</v>
      </c>
      <c r="EP5" s="9" t="s">
        <v>344</v>
      </c>
      <c r="EQ5" s="9" t="s">
        <v>345</v>
      </c>
      <c r="ER5" s="9" t="s">
        <v>346</v>
      </c>
      <c r="ES5" s="9" t="s">
        <v>347</v>
      </c>
      <c r="ET5" s="9" t="s">
        <v>348</v>
      </c>
      <c r="EU5" s="9" t="s">
        <v>349</v>
      </c>
      <c r="EV5" s="9" t="s">
        <v>350</v>
      </c>
      <c r="EW5" s="9" t="s">
        <v>351</v>
      </c>
      <c r="EX5" s="9" t="s">
        <v>352</v>
      </c>
      <c r="EY5" s="9" t="s">
        <v>353</v>
      </c>
      <c r="EZ5" s="9" t="s">
        <v>354</v>
      </c>
      <c r="FA5" s="9" t="s">
        <v>355</v>
      </c>
      <c r="FB5" s="9" t="s">
        <v>356</v>
      </c>
      <c r="FC5" s="9" t="s">
        <v>357</v>
      </c>
      <c r="FD5" s="9" t="s">
        <v>358</v>
      </c>
      <c r="FE5" s="9" t="s">
        <v>359</v>
      </c>
      <c r="FF5" s="9" t="s">
        <v>360</v>
      </c>
      <c r="FG5" s="9" t="s">
        <v>361</v>
      </c>
      <c r="FH5" s="9" t="s">
        <v>362</v>
      </c>
      <c r="FI5" s="9" t="s">
        <v>363</v>
      </c>
      <c r="FJ5" s="9" t="s">
        <v>364</v>
      </c>
      <c r="FK5" s="9" t="s">
        <v>365</v>
      </c>
      <c r="FL5" s="9" t="s">
        <v>366</v>
      </c>
      <c r="FM5" s="9" t="s">
        <v>367</v>
      </c>
      <c r="FN5" s="9" t="s">
        <v>368</v>
      </c>
      <c r="FO5" s="9" t="s">
        <v>369</v>
      </c>
      <c r="FP5" s="9" t="s">
        <v>370</v>
      </c>
      <c r="FQ5" s="9" t="s">
        <v>371</v>
      </c>
      <c r="FR5" s="9" t="s">
        <v>372</v>
      </c>
      <c r="FS5" s="9" t="s">
        <v>373</v>
      </c>
      <c r="FT5" s="9" t="s">
        <v>374</v>
      </c>
      <c r="FU5" s="9" t="s">
        <v>375</v>
      </c>
      <c r="FV5" s="9" t="s">
        <v>376</v>
      </c>
      <c r="FW5" s="9" t="s">
        <v>377</v>
      </c>
      <c r="FX5" s="9" t="s">
        <v>378</v>
      </c>
      <c r="FY5" s="9" t="s">
        <v>379</v>
      </c>
      <c r="FZ5" s="9" t="s">
        <v>380</v>
      </c>
      <c r="GA5" s="9" t="s">
        <v>381</v>
      </c>
      <c r="GB5" s="9" t="s">
        <v>382</v>
      </c>
      <c r="GC5" s="9" t="s">
        <v>383</v>
      </c>
      <c r="GD5" s="9" t="s">
        <v>384</v>
      </c>
      <c r="GE5" s="9" t="s">
        <v>385</v>
      </c>
      <c r="GF5" s="9" t="s">
        <v>386</v>
      </c>
      <c r="GG5" s="9" t="s">
        <v>387</v>
      </c>
      <c r="GH5" s="9" t="s">
        <v>388</v>
      </c>
      <c r="GI5" s="9" t="s">
        <v>389</v>
      </c>
      <c r="GJ5" s="9" t="s">
        <v>390</v>
      </c>
      <c r="GK5" s="9" t="s">
        <v>391</v>
      </c>
      <c r="GL5" s="9" t="s">
        <v>392</v>
      </c>
      <c r="GM5" s="9" t="s">
        <v>393</v>
      </c>
      <c r="GN5" s="9" t="s">
        <v>394</v>
      </c>
      <c r="GO5" s="9" t="s">
        <v>395</v>
      </c>
      <c r="GP5" s="9" t="s">
        <v>396</v>
      </c>
      <c r="GQ5" s="9" t="s">
        <v>397</v>
      </c>
      <c r="GR5" s="9" t="s">
        <v>398</v>
      </c>
      <c r="GS5" s="9" t="s">
        <v>399</v>
      </c>
      <c r="GT5" s="9" t="s">
        <v>400</v>
      </c>
      <c r="GU5" s="9" t="s">
        <v>401</v>
      </c>
      <c r="GV5" s="9" t="s">
        <v>402</v>
      </c>
    </row>
    <row r="6" spans="1:204" ht="15" customHeight="1" x14ac:dyDescent="0.2">
      <c r="A6" s="3" t="s">
        <v>552</v>
      </c>
      <c r="B6" s="3" t="s">
        <v>553</v>
      </c>
      <c r="C6" s="3" t="s">
        <v>554</v>
      </c>
      <c r="D6" s="16" t="e">
        <f>0.9753*GN6+0.02473*#REF!</f>
        <v>#REF!</v>
      </c>
      <c r="E6" s="44">
        <f t="shared" ref="E6:E37" si="0">IFERROR(AVERAGE(ES6,FR6,CQ6,CA6,AZ6,DM6,FM6,AX6),"")</f>
        <v>1.6416435</v>
      </c>
      <c r="F6" s="44" t="str">
        <f t="shared" ref="F6:F37" si="1">IFERROR(AVERAGE(BS6,FV6,EI6,BE6,BN6,DA6,DF6,CO6,GL6,EA6,V6,DG6,BY6,BT6,ER6,BA6,FL6,O6,CI6,EX6,AE6),"")</f>
        <v/>
      </c>
      <c r="AO6">
        <v>11.1</v>
      </c>
      <c r="AP6">
        <v>11.1</v>
      </c>
      <c r="AQ6">
        <v>11.1</v>
      </c>
      <c r="AR6">
        <v>11.1</v>
      </c>
      <c r="AZ6" s="38">
        <v>0.41128999999999999</v>
      </c>
      <c r="FR6" s="38">
        <v>2.8719969999999999</v>
      </c>
      <c r="FV6" s="40"/>
      <c r="GN6">
        <v>10.9</v>
      </c>
    </row>
    <row r="7" spans="1:204" ht="15" customHeight="1" x14ac:dyDescent="0.2">
      <c r="A7" s="3" t="s">
        <v>605</v>
      </c>
      <c r="B7" s="3" t="s">
        <v>606</v>
      </c>
      <c r="C7" s="3" t="s">
        <v>438</v>
      </c>
      <c r="E7" s="43" t="str">
        <f t="shared" si="0"/>
        <v/>
      </c>
      <c r="F7" s="43">
        <f t="shared" si="1"/>
        <v>2.1376819999999999</v>
      </c>
      <c r="BS7">
        <v>2.1376819999999999</v>
      </c>
      <c r="FV7" s="40"/>
    </row>
    <row r="8" spans="1:204" ht="15" customHeight="1" x14ac:dyDescent="0.2">
      <c r="A8" s="3" t="s">
        <v>519</v>
      </c>
      <c r="B8" s="3" t="s">
        <v>520</v>
      </c>
      <c r="C8" s="3" t="s">
        <v>455</v>
      </c>
      <c r="E8" s="43">
        <f t="shared" si="0"/>
        <v>19.964834</v>
      </c>
      <c r="F8" s="43">
        <f t="shared" si="1"/>
        <v>19.181782117647057</v>
      </c>
      <c r="O8">
        <v>56.740004999999996</v>
      </c>
      <c r="AZ8">
        <v>12.364129999999999</v>
      </c>
      <c r="BA8">
        <v>27.981034000000001</v>
      </c>
      <c r="BE8">
        <v>1.41</v>
      </c>
      <c r="BN8">
        <v>5.6410000000000002E-2</v>
      </c>
      <c r="BS8">
        <v>3.828678</v>
      </c>
      <c r="BT8">
        <v>54.458585999999997</v>
      </c>
      <c r="BY8">
        <v>42.513356999999999</v>
      </c>
      <c r="CA8">
        <v>14.920032000000001</v>
      </c>
      <c r="CI8">
        <v>39.881714000000002</v>
      </c>
      <c r="CO8">
        <v>12.81155</v>
      </c>
      <c r="DA8">
        <v>0.97597199999999995</v>
      </c>
      <c r="DF8">
        <v>1.363022</v>
      </c>
      <c r="EA8">
        <v>26.951072</v>
      </c>
      <c r="EI8">
        <v>11.504027000000001</v>
      </c>
      <c r="ER8">
        <v>11.060089</v>
      </c>
      <c r="ES8">
        <v>29.140609999999999</v>
      </c>
      <c r="EX8">
        <v>3.1694089999999999</v>
      </c>
      <c r="FL8">
        <v>25.415371</v>
      </c>
      <c r="FM8">
        <v>35.590131999999997</v>
      </c>
      <c r="FR8">
        <v>7.809266</v>
      </c>
      <c r="FV8" s="41">
        <v>5.97</v>
      </c>
    </row>
    <row r="9" spans="1:204" ht="15" customHeight="1" x14ac:dyDescent="0.2">
      <c r="A9" s="3" t="s">
        <v>526</v>
      </c>
      <c r="B9" s="3" t="s">
        <v>527</v>
      </c>
      <c r="C9" s="3" t="s">
        <v>455</v>
      </c>
      <c r="E9" s="43">
        <f t="shared" si="0"/>
        <v>9.1559460000000001</v>
      </c>
      <c r="F9" s="43">
        <f t="shared" si="1"/>
        <v>6.6533629999999997</v>
      </c>
      <c r="AZ9">
        <v>6.37</v>
      </c>
      <c r="BT9">
        <v>18.271756</v>
      </c>
      <c r="EX9">
        <v>0.45675399999999999</v>
      </c>
      <c r="FL9">
        <v>1.231579</v>
      </c>
      <c r="FR9">
        <v>11.941891999999999</v>
      </c>
      <c r="FV9" s="40"/>
    </row>
    <row r="10" spans="1:204" ht="15" customHeight="1" x14ac:dyDescent="0.2">
      <c r="A10" s="3" t="s">
        <v>451</v>
      </c>
      <c r="B10" s="3" t="s">
        <v>452</v>
      </c>
      <c r="C10" s="3" t="s">
        <v>438</v>
      </c>
      <c r="E10" s="43">
        <f t="shared" si="0"/>
        <v>8.4</v>
      </c>
      <c r="F10" s="43">
        <f t="shared" si="1"/>
        <v>1.1994146666666667</v>
      </c>
      <c r="AZ10" s="38">
        <v>8.4</v>
      </c>
      <c r="BE10">
        <v>1.85</v>
      </c>
      <c r="CO10">
        <v>1.574468</v>
      </c>
      <c r="EX10">
        <v>0.17377600000000001</v>
      </c>
      <c r="FV10" s="40"/>
    </row>
    <row r="11" spans="1:204" ht="15" customHeight="1" x14ac:dyDescent="0.2">
      <c r="A11" s="3" t="s">
        <v>436</v>
      </c>
      <c r="B11" s="3" t="s">
        <v>437</v>
      </c>
      <c r="C11" s="3" t="s">
        <v>438</v>
      </c>
      <c r="E11" s="43" t="str">
        <f t="shared" si="0"/>
        <v/>
      </c>
      <c r="F11" s="43">
        <f t="shared" si="1"/>
        <v>1.8030816000000001</v>
      </c>
      <c r="BE11">
        <v>1.85</v>
      </c>
      <c r="CO11">
        <v>1.574468</v>
      </c>
      <c r="EA11" s="38">
        <v>3.7671640000000002</v>
      </c>
      <c r="EX11">
        <v>0.17377600000000001</v>
      </c>
      <c r="FV11" s="40">
        <v>1.65</v>
      </c>
    </row>
    <row r="12" spans="1:204" ht="15" customHeight="1" x14ac:dyDescent="0.2">
      <c r="A12" s="3" t="s">
        <v>495</v>
      </c>
      <c r="B12" s="3" t="s">
        <v>496</v>
      </c>
      <c r="C12" s="3" t="s">
        <v>438</v>
      </c>
      <c r="D12" s="12"/>
      <c r="E12" s="43">
        <f t="shared" si="0"/>
        <v>1.0968E-2</v>
      </c>
      <c r="F12" s="43" t="str">
        <f t="shared" si="1"/>
        <v/>
      </c>
      <c r="ES12" s="38">
        <v>1.0968E-2</v>
      </c>
      <c r="FV12" s="40"/>
    </row>
    <row r="13" spans="1:204" ht="15" customHeight="1" x14ac:dyDescent="0.2">
      <c r="A13" s="3" t="s">
        <v>497</v>
      </c>
      <c r="B13" s="3" t="s">
        <v>498</v>
      </c>
      <c r="C13" s="3" t="s">
        <v>455</v>
      </c>
      <c r="D13" s="16">
        <f>0.7067*CK13+0.1908*BI13+0.05134*AW13+0.05098*AS13</f>
        <v>9.7277979999999982</v>
      </c>
      <c r="E13" s="44">
        <f t="shared" si="0"/>
        <v>2.3866019999999999</v>
      </c>
      <c r="F13" s="44">
        <f t="shared" si="1"/>
        <v>1.318071</v>
      </c>
      <c r="AS13">
        <v>9.6999999999999993</v>
      </c>
      <c r="AW13">
        <v>64.8</v>
      </c>
      <c r="AZ13" s="38">
        <v>3.0952380000000002</v>
      </c>
      <c r="BI13">
        <v>15.4</v>
      </c>
      <c r="BT13" s="38">
        <v>1.318071</v>
      </c>
      <c r="CK13">
        <v>4.2</v>
      </c>
      <c r="ES13" s="38">
        <v>1.6779660000000001</v>
      </c>
      <c r="FV13" s="40"/>
    </row>
    <row r="14" spans="1:204" ht="15" customHeight="1" x14ac:dyDescent="0.2">
      <c r="A14" s="3" t="s">
        <v>417</v>
      </c>
      <c r="B14" s="10" t="s">
        <v>418</v>
      </c>
      <c r="C14" s="3" t="s">
        <v>405</v>
      </c>
      <c r="E14" s="43">
        <f t="shared" si="0"/>
        <v>1.0565960000000001</v>
      </c>
      <c r="F14" s="43">
        <f t="shared" si="1"/>
        <v>1.3221061578947368</v>
      </c>
      <c r="O14" s="38">
        <v>1.089974</v>
      </c>
      <c r="V14">
        <v>2.8777750000000002</v>
      </c>
      <c r="AE14">
        <v>0.22081600000000001</v>
      </c>
      <c r="AZ14">
        <v>2.049598</v>
      </c>
      <c r="BA14" s="38">
        <v>1.2367600000000001</v>
      </c>
      <c r="BE14">
        <v>0.77500000000000002</v>
      </c>
      <c r="BN14" s="38">
        <v>1.4795499999999999</v>
      </c>
      <c r="BS14" s="38">
        <v>0.96313700000000002</v>
      </c>
      <c r="BT14">
        <v>2.2562380000000002</v>
      </c>
      <c r="BY14" s="38">
        <v>2.2881830000000001</v>
      </c>
      <c r="CO14" s="38">
        <v>3.6526529999999999</v>
      </c>
      <c r="DA14" s="38">
        <v>0.72162400000000004</v>
      </c>
      <c r="DF14" s="38">
        <v>1.4302699999999999</v>
      </c>
      <c r="DG14" s="38">
        <v>1.159478</v>
      </c>
      <c r="EA14" s="38">
        <v>1.6774560000000001</v>
      </c>
      <c r="EI14" s="38">
        <v>0.33670499999999998</v>
      </c>
      <c r="ER14" s="38">
        <v>1.1087849999999999</v>
      </c>
      <c r="ES14">
        <v>0.477182</v>
      </c>
      <c r="EX14">
        <v>0.37135600000000002</v>
      </c>
      <c r="FL14" s="38">
        <v>0.85068100000000002</v>
      </c>
      <c r="FR14">
        <v>0.64300800000000002</v>
      </c>
      <c r="FV14" s="39">
        <v>0.62357600000000002</v>
      </c>
    </row>
    <row r="15" spans="1:204" ht="15" customHeight="1" x14ac:dyDescent="0.2">
      <c r="A15" s="3" t="s">
        <v>419</v>
      </c>
      <c r="B15" s="11" t="s">
        <v>420</v>
      </c>
      <c r="C15" s="3" t="s">
        <v>408</v>
      </c>
      <c r="E15" s="43">
        <f t="shared" si="0"/>
        <v>1.0565960000000001</v>
      </c>
      <c r="F15" s="43">
        <f t="shared" si="1"/>
        <v>1.2797092222222222</v>
      </c>
      <c r="O15" s="38">
        <v>1.1385989999999999</v>
      </c>
      <c r="V15">
        <v>2.8777750000000002</v>
      </c>
      <c r="AE15">
        <v>0.22081600000000001</v>
      </c>
      <c r="AZ15">
        <v>2.049598</v>
      </c>
      <c r="BA15" s="38">
        <v>0.95353200000000005</v>
      </c>
      <c r="BE15">
        <v>0.33</v>
      </c>
      <c r="BN15" s="38">
        <v>2.0947439999999999</v>
      </c>
      <c r="BS15" s="38">
        <v>0.96313700000000002</v>
      </c>
      <c r="BT15">
        <v>2.2562380000000002</v>
      </c>
      <c r="CO15" s="38">
        <v>1.9772160000000001</v>
      </c>
      <c r="DA15" s="38">
        <v>1.2779149999999999</v>
      </c>
      <c r="DF15" s="38">
        <v>2.0793710000000001</v>
      </c>
      <c r="DG15" s="38">
        <v>0.90826099999999999</v>
      </c>
      <c r="EA15" s="38">
        <v>1.6774560000000001</v>
      </c>
      <c r="EI15" s="38">
        <v>0.33670499999999998</v>
      </c>
      <c r="ER15" s="38">
        <v>1.7489129999999999</v>
      </c>
      <c r="ES15">
        <v>0.477182</v>
      </c>
      <c r="EX15">
        <v>0.37135600000000002</v>
      </c>
      <c r="FL15" s="38">
        <v>1.352732</v>
      </c>
      <c r="FR15">
        <v>0.64300800000000002</v>
      </c>
      <c r="FV15" s="40">
        <v>0.47</v>
      </c>
    </row>
    <row r="16" spans="1:204" ht="15" customHeight="1" x14ac:dyDescent="0.2">
      <c r="A16" s="3" t="s">
        <v>421</v>
      </c>
      <c r="B16" s="11" t="s">
        <v>422</v>
      </c>
      <c r="C16" s="3" t="s">
        <v>408</v>
      </c>
      <c r="E16" s="43">
        <f t="shared" si="0"/>
        <v>1.0565960000000001</v>
      </c>
      <c r="F16" s="43">
        <f t="shared" si="1"/>
        <v>1.3851646875000001</v>
      </c>
      <c r="O16" s="38">
        <v>1.04135</v>
      </c>
      <c r="V16">
        <v>2.8777750000000002</v>
      </c>
      <c r="AE16">
        <v>0.22081600000000001</v>
      </c>
      <c r="AZ16">
        <v>2.049598</v>
      </c>
      <c r="BA16" s="38">
        <v>1.519987</v>
      </c>
      <c r="BE16">
        <v>1.22</v>
      </c>
      <c r="BN16" s="38">
        <v>0.86435700000000004</v>
      </c>
      <c r="BT16">
        <v>2.2562380000000002</v>
      </c>
      <c r="BY16" s="38">
        <v>2.2881830000000001</v>
      </c>
      <c r="CO16" s="38">
        <v>5.3280900000000004</v>
      </c>
      <c r="DA16" s="38">
        <v>0.16533300000000001</v>
      </c>
      <c r="DF16">
        <v>0.78116799999999997</v>
      </c>
      <c r="DG16" s="38">
        <v>1.410695</v>
      </c>
      <c r="ER16" s="38">
        <v>0.46865699999999999</v>
      </c>
      <c r="ES16">
        <v>0.477182</v>
      </c>
      <c r="EX16">
        <v>0.37135600000000002</v>
      </c>
      <c r="FL16" s="38">
        <v>0.34863</v>
      </c>
      <c r="FR16">
        <v>0.64300800000000002</v>
      </c>
      <c r="FV16" s="40">
        <v>1</v>
      </c>
    </row>
    <row r="17" spans="1:178" ht="15" customHeight="1" x14ac:dyDescent="0.2">
      <c r="A17" s="3" t="s">
        <v>610</v>
      </c>
      <c r="B17" s="3" t="s">
        <v>611</v>
      </c>
      <c r="C17" s="3" t="s">
        <v>567</v>
      </c>
      <c r="E17" s="43">
        <f t="shared" si="0"/>
        <v>0.47368399999999999</v>
      </c>
      <c r="F17" s="43">
        <f t="shared" si="1"/>
        <v>0.91651850000000012</v>
      </c>
      <c r="G17" s="47"/>
      <c r="AZ17">
        <v>0.47368399999999999</v>
      </c>
      <c r="BE17">
        <v>0.77</v>
      </c>
      <c r="BN17">
        <v>1.7</v>
      </c>
      <c r="FL17">
        <v>9.6074000000000007E-2</v>
      </c>
      <c r="FV17" s="41">
        <v>1.1000000000000001</v>
      </c>
    </row>
    <row r="18" spans="1:178" ht="15" customHeight="1" x14ac:dyDescent="0.2">
      <c r="A18" s="3" t="s">
        <v>547</v>
      </c>
      <c r="B18" s="3" t="s">
        <v>548</v>
      </c>
      <c r="C18" s="3" t="s">
        <v>532</v>
      </c>
      <c r="E18" s="43" t="str">
        <f t="shared" si="0"/>
        <v/>
      </c>
      <c r="F18" s="43">
        <f t="shared" si="1"/>
        <v>3.1605555000000001</v>
      </c>
      <c r="BE18">
        <v>1.41</v>
      </c>
      <c r="CO18">
        <v>4.911111</v>
      </c>
      <c r="FV18" s="41"/>
    </row>
    <row r="19" spans="1:178" ht="15" customHeight="1" x14ac:dyDescent="0.2">
      <c r="A19" s="3" t="s">
        <v>563</v>
      </c>
      <c r="B19" s="3" t="s">
        <v>564</v>
      </c>
      <c r="C19" s="3" t="s">
        <v>554</v>
      </c>
      <c r="E19" s="43" t="str">
        <f t="shared" si="0"/>
        <v/>
      </c>
      <c r="F19" s="43" t="str">
        <f t="shared" si="1"/>
        <v/>
      </c>
      <c r="FV19" s="40"/>
    </row>
    <row r="20" spans="1:178" ht="15" customHeight="1" x14ac:dyDescent="0.2">
      <c r="A20" s="3" t="s">
        <v>612</v>
      </c>
      <c r="B20" s="3" t="s">
        <v>613</v>
      </c>
      <c r="C20" s="3" t="s">
        <v>614</v>
      </c>
      <c r="E20" s="43">
        <f t="shared" si="0"/>
        <v>0.16926099999999999</v>
      </c>
      <c r="F20" s="43">
        <f t="shared" si="1"/>
        <v>1.1939602222222221</v>
      </c>
      <c r="BE20">
        <v>0.77</v>
      </c>
      <c r="BN20">
        <v>1.131807</v>
      </c>
      <c r="BS20">
        <v>1.2513559999999999</v>
      </c>
      <c r="BT20">
        <v>1.28765</v>
      </c>
      <c r="CO20">
        <v>1.8428880000000001</v>
      </c>
      <c r="DA20">
        <v>1.9089860000000001</v>
      </c>
      <c r="DF20">
        <v>0.78464100000000003</v>
      </c>
      <c r="EX20">
        <v>1.1583140000000001</v>
      </c>
      <c r="FM20">
        <v>0.16926099999999999</v>
      </c>
      <c r="FV20" s="41">
        <v>0.61</v>
      </c>
    </row>
    <row r="21" spans="1:178" ht="15" customHeight="1" x14ac:dyDescent="0.2">
      <c r="A21" s="3" t="s">
        <v>480</v>
      </c>
      <c r="B21" s="3" t="s">
        <v>481</v>
      </c>
      <c r="C21" s="3" t="s">
        <v>438</v>
      </c>
      <c r="D21" s="12"/>
      <c r="E21" s="43">
        <f t="shared" si="0"/>
        <v>5.1823435</v>
      </c>
      <c r="F21" s="43">
        <f t="shared" si="1"/>
        <v>1.1124266666666667</v>
      </c>
      <c r="AZ21" s="38">
        <v>5.6666670000000003</v>
      </c>
      <c r="BE21">
        <v>1.85</v>
      </c>
      <c r="EA21" s="38">
        <v>1.0474030000000001</v>
      </c>
      <c r="ES21" s="38">
        <v>4.6980199999999996</v>
      </c>
      <c r="EX21" s="38">
        <v>0.43987700000000002</v>
      </c>
      <c r="FV21" s="41"/>
    </row>
    <row r="22" spans="1:178" ht="15" customHeight="1" x14ac:dyDescent="0.2">
      <c r="A22" s="3" t="s">
        <v>443</v>
      </c>
      <c r="B22" s="13" t="s">
        <v>444</v>
      </c>
      <c r="C22" s="3" t="s">
        <v>438</v>
      </c>
      <c r="E22" s="43">
        <f t="shared" si="0"/>
        <v>2.2712786666666669</v>
      </c>
      <c r="F22" s="43">
        <f t="shared" si="1"/>
        <v>1.5900365000000001</v>
      </c>
      <c r="AZ22" s="38">
        <v>1.2714289999999999</v>
      </c>
      <c r="BE22">
        <v>1.85</v>
      </c>
      <c r="BT22" s="38">
        <v>2.6886E-2</v>
      </c>
      <c r="CO22" s="38">
        <v>3.6142859999999999</v>
      </c>
      <c r="EA22" s="38">
        <v>1.4796530000000001</v>
      </c>
      <c r="ES22" s="38">
        <v>3.897872</v>
      </c>
      <c r="EX22" s="38">
        <v>0.91939400000000004</v>
      </c>
      <c r="FR22" s="38">
        <v>1.6445350000000001</v>
      </c>
      <c r="FV22" s="41">
        <v>1.65</v>
      </c>
    </row>
    <row r="23" spans="1:178" ht="15" customHeight="1" x14ac:dyDescent="0.2">
      <c r="A23" s="3" t="s">
        <v>431</v>
      </c>
      <c r="B23" s="3" t="s">
        <v>432</v>
      </c>
      <c r="C23" s="3" t="s">
        <v>433</v>
      </c>
      <c r="E23" s="43" t="str">
        <f t="shared" si="0"/>
        <v/>
      </c>
      <c r="F23" s="43">
        <f t="shared" si="1"/>
        <v>0.14098899999999998</v>
      </c>
      <c r="BN23" s="38">
        <v>3.3285000000000002E-2</v>
      </c>
      <c r="DA23" s="38">
        <v>0.23798</v>
      </c>
      <c r="DF23" s="38">
        <v>3.6930999999999999E-2</v>
      </c>
      <c r="FL23" s="38">
        <v>0.25575999999999999</v>
      </c>
      <c r="FV23" s="40"/>
    </row>
    <row r="24" spans="1:178" ht="15" customHeight="1" x14ac:dyDescent="0.2">
      <c r="A24" s="3" t="s">
        <v>439</v>
      </c>
      <c r="B24" s="3" t="s">
        <v>440</v>
      </c>
      <c r="C24" s="3" t="s">
        <v>438</v>
      </c>
      <c r="E24" s="43">
        <f t="shared" si="0"/>
        <v>3.5769243333333329</v>
      </c>
      <c r="F24" s="43">
        <f t="shared" si="1"/>
        <v>1.9400066363636363</v>
      </c>
      <c r="AX24" s="38">
        <v>3.554386</v>
      </c>
      <c r="AZ24" s="38">
        <v>0.854545</v>
      </c>
      <c r="BE24">
        <v>1.85</v>
      </c>
      <c r="BS24" s="38">
        <v>1.6882349999999999</v>
      </c>
      <c r="BT24">
        <v>0.818716</v>
      </c>
      <c r="CO24" s="38">
        <v>6.1172409999999999</v>
      </c>
      <c r="DA24" s="38">
        <v>1.0940000000000001</v>
      </c>
      <c r="DF24" s="38">
        <v>0.57407399999999997</v>
      </c>
      <c r="EA24" s="38">
        <v>3.018815</v>
      </c>
      <c r="ER24" s="38">
        <v>0.71496099999999996</v>
      </c>
      <c r="ES24" s="38">
        <v>6.3218420000000002</v>
      </c>
      <c r="EX24" s="38">
        <v>1.4540310000000001</v>
      </c>
      <c r="FL24" s="38">
        <v>2.36</v>
      </c>
      <c r="FV24" s="40">
        <v>1.65</v>
      </c>
    </row>
    <row r="25" spans="1:178" ht="15" customHeight="1" x14ac:dyDescent="0.2">
      <c r="A25" s="3" t="s">
        <v>458</v>
      </c>
      <c r="B25" s="3" t="s">
        <v>459</v>
      </c>
      <c r="C25" s="3" t="s">
        <v>455</v>
      </c>
      <c r="E25" s="43">
        <f t="shared" si="0"/>
        <v>14.221631000000002</v>
      </c>
      <c r="F25" s="43">
        <f t="shared" si="1"/>
        <v>4.4162246666666665</v>
      </c>
      <c r="AZ25" s="38">
        <v>6.66</v>
      </c>
      <c r="BT25" s="38">
        <v>11.219063999999999</v>
      </c>
      <c r="CO25">
        <v>1.1807909999999999</v>
      </c>
      <c r="ES25" s="38">
        <v>16.228750000000002</v>
      </c>
      <c r="EX25" s="38">
        <v>0.84881899999999999</v>
      </c>
      <c r="FR25" s="38">
        <v>19.776143000000001</v>
      </c>
      <c r="FV25" s="40"/>
    </row>
    <row r="26" spans="1:178" ht="15" customHeight="1" x14ac:dyDescent="0.2">
      <c r="A26" s="3" t="s">
        <v>482</v>
      </c>
      <c r="B26" s="3" t="s">
        <v>483</v>
      </c>
      <c r="C26" s="3" t="s">
        <v>438</v>
      </c>
      <c r="E26" s="43">
        <f t="shared" si="0"/>
        <v>4.4364555000000001</v>
      </c>
      <c r="F26" s="43">
        <f t="shared" si="1"/>
        <v>3.554998307692308</v>
      </c>
      <c r="AZ26" s="38">
        <v>3.74</v>
      </c>
      <c r="BE26">
        <v>2.65</v>
      </c>
      <c r="BN26" s="38">
        <v>3.7440000000000002</v>
      </c>
      <c r="BS26" s="38">
        <v>1.6382859999999999</v>
      </c>
      <c r="BT26" s="38">
        <v>18.684170999999999</v>
      </c>
      <c r="CO26" s="38">
        <v>3.6373630000000001</v>
      </c>
      <c r="DA26" s="38">
        <v>4.085</v>
      </c>
      <c r="DF26" s="38">
        <v>0.477941</v>
      </c>
      <c r="EA26" s="38">
        <v>3.7995230000000002</v>
      </c>
      <c r="EI26" s="38">
        <v>1.427333</v>
      </c>
      <c r="ER26" s="38">
        <v>1.660458</v>
      </c>
      <c r="ES26" s="38">
        <v>5.132911</v>
      </c>
      <c r="EX26" s="38">
        <v>0.70218000000000003</v>
      </c>
      <c r="FL26" s="38">
        <v>1.478723</v>
      </c>
      <c r="FV26" s="41">
        <v>2.23</v>
      </c>
    </row>
    <row r="27" spans="1:178" ht="15" customHeight="1" x14ac:dyDescent="0.2">
      <c r="A27" s="3" t="s">
        <v>555</v>
      </c>
      <c r="B27" s="3" t="s">
        <v>556</v>
      </c>
      <c r="C27" s="3" t="s">
        <v>554</v>
      </c>
      <c r="E27" s="43" t="str">
        <f t="shared" si="0"/>
        <v/>
      </c>
      <c r="F27" s="43" t="str">
        <f t="shared" si="1"/>
        <v/>
      </c>
      <c r="FV27" s="40"/>
    </row>
    <row r="28" spans="1:178" ht="15" customHeight="1" x14ac:dyDescent="0.2">
      <c r="A28" s="3" t="s">
        <v>445</v>
      </c>
      <c r="B28" s="13" t="s">
        <v>446</v>
      </c>
      <c r="C28" s="3" t="s">
        <v>438</v>
      </c>
      <c r="E28" s="43">
        <f t="shared" si="0"/>
        <v>2.2712786666666669</v>
      </c>
      <c r="F28" s="43">
        <f t="shared" si="1"/>
        <v>1.5900365000000001</v>
      </c>
      <c r="AZ28" s="38">
        <v>1.2714289999999999</v>
      </c>
      <c r="BE28">
        <v>1.85</v>
      </c>
      <c r="BT28" s="38">
        <v>2.6886E-2</v>
      </c>
      <c r="CO28" s="38">
        <v>3.6142859999999999</v>
      </c>
      <c r="EA28" s="38">
        <v>1.4796530000000001</v>
      </c>
      <c r="ES28" s="38">
        <v>3.897872</v>
      </c>
      <c r="EX28" s="38">
        <v>0.91939400000000004</v>
      </c>
      <c r="FR28" s="38">
        <v>1.6445350000000001</v>
      </c>
      <c r="FV28" s="41">
        <v>1.65</v>
      </c>
    </row>
    <row r="29" spans="1:178" ht="15" customHeight="1" x14ac:dyDescent="0.2">
      <c r="A29" s="3" t="s">
        <v>441</v>
      </c>
      <c r="B29" s="3" t="s">
        <v>442</v>
      </c>
      <c r="C29" s="3" t="s">
        <v>438</v>
      </c>
      <c r="E29" s="43">
        <f t="shared" si="0"/>
        <v>2.2712786666666669</v>
      </c>
      <c r="F29" s="43">
        <f t="shared" si="1"/>
        <v>1.5100547500000001</v>
      </c>
      <c r="AZ29" s="38">
        <v>1.2714289999999999</v>
      </c>
      <c r="BT29" s="38">
        <v>2.6886E-2</v>
      </c>
      <c r="CO29" s="38">
        <v>3.6142859999999999</v>
      </c>
      <c r="EA29" s="38">
        <v>1.4796530000000001</v>
      </c>
      <c r="ES29" s="38">
        <v>3.897872</v>
      </c>
      <c r="EX29" s="38">
        <v>0.91939400000000004</v>
      </c>
      <c r="FR29" s="38">
        <v>1.6445350000000001</v>
      </c>
      <c r="FV29" s="40"/>
    </row>
    <row r="30" spans="1:178" ht="15" customHeight="1" x14ac:dyDescent="0.2">
      <c r="A30" s="3" t="s">
        <v>530</v>
      </c>
      <c r="B30" s="3" t="s">
        <v>531</v>
      </c>
      <c r="C30" s="3" t="s">
        <v>532</v>
      </c>
      <c r="E30" s="43">
        <f t="shared" si="0"/>
        <v>3.6711109999999998</v>
      </c>
      <c r="F30" s="43">
        <f t="shared" si="1"/>
        <v>8.3620099999999997</v>
      </c>
      <c r="O30" s="12"/>
      <c r="AZ30">
        <v>3.6711109999999998</v>
      </c>
      <c r="BT30">
        <v>22.868164</v>
      </c>
      <c r="DA30">
        <v>0.72548999999999997</v>
      </c>
      <c r="EX30">
        <v>1.4923759999999999</v>
      </c>
      <c r="FV30" s="41"/>
    </row>
    <row r="31" spans="1:178" ht="15" customHeight="1" x14ac:dyDescent="0.2">
      <c r="A31" s="3" t="s">
        <v>557</v>
      </c>
      <c r="B31" s="3" t="s">
        <v>558</v>
      </c>
      <c r="C31" s="3" t="s">
        <v>554</v>
      </c>
      <c r="E31" s="43" t="str">
        <f t="shared" si="0"/>
        <v/>
      </c>
      <c r="F31" s="43" t="str">
        <f t="shared" si="1"/>
        <v/>
      </c>
      <c r="FV31" s="41"/>
    </row>
    <row r="32" spans="1:178" ht="15" customHeight="1" x14ac:dyDescent="0.2">
      <c r="A32" s="3" t="s">
        <v>615</v>
      </c>
      <c r="B32" s="3" t="s">
        <v>616</v>
      </c>
      <c r="C32" s="3" t="s">
        <v>567</v>
      </c>
      <c r="D32" s="4"/>
      <c r="E32" s="43">
        <f t="shared" si="0"/>
        <v>0.47368399999999999</v>
      </c>
      <c r="F32" s="43">
        <f t="shared" si="1"/>
        <v>2.0200749999999998</v>
      </c>
      <c r="AZ32">
        <v>0.47368399999999999</v>
      </c>
      <c r="BN32">
        <v>1.7</v>
      </c>
      <c r="FL32">
        <v>9.6074000000000007E-2</v>
      </c>
      <c r="FV32" s="40">
        <v>4.264151</v>
      </c>
    </row>
    <row r="33" spans="1:178" ht="15" customHeight="1" x14ac:dyDescent="0.2">
      <c r="A33" s="3" t="s">
        <v>460</v>
      </c>
      <c r="B33" s="3" t="s">
        <v>461</v>
      </c>
      <c r="C33" s="3" t="s">
        <v>462</v>
      </c>
      <c r="E33" s="43">
        <f t="shared" si="0"/>
        <v>25.807767999999999</v>
      </c>
      <c r="F33" s="43">
        <f t="shared" si="1"/>
        <v>2.363328333333333</v>
      </c>
      <c r="AZ33" s="38">
        <v>7.85</v>
      </c>
      <c r="CO33">
        <v>1.1807909999999999</v>
      </c>
      <c r="ES33" s="38">
        <v>37.645282999999999</v>
      </c>
      <c r="EX33" s="38">
        <v>0.66474999999999995</v>
      </c>
      <c r="FL33" s="38">
        <v>5.2444439999999997</v>
      </c>
      <c r="FR33" s="38">
        <v>31.928021000000001</v>
      </c>
      <c r="FV33" s="40"/>
    </row>
    <row r="34" spans="1:178" ht="15" customHeight="1" x14ac:dyDescent="0.2">
      <c r="A34" s="3" t="s">
        <v>603</v>
      </c>
      <c r="B34" s="3" t="s">
        <v>604</v>
      </c>
      <c r="C34" s="3" t="s">
        <v>602</v>
      </c>
      <c r="D34" s="18">
        <f>0.478*BB34+0.269*CL34+0.253*BZ34</f>
        <v>8.4564000000000004</v>
      </c>
      <c r="E34" s="44" t="str">
        <f t="shared" si="0"/>
        <v/>
      </c>
      <c r="F34" s="44" t="str">
        <f t="shared" si="1"/>
        <v/>
      </c>
      <c r="BB34">
        <v>9.6</v>
      </c>
      <c r="BZ34">
        <v>7.1</v>
      </c>
      <c r="CL34">
        <v>7.7</v>
      </c>
      <c r="FV34" s="40"/>
    </row>
    <row r="35" spans="1:178" ht="15" customHeight="1" x14ac:dyDescent="0.2">
      <c r="A35" s="3" t="s">
        <v>589</v>
      </c>
      <c r="B35" s="3" t="s">
        <v>590</v>
      </c>
      <c r="C35" s="3" t="s">
        <v>554</v>
      </c>
      <c r="D35" s="18">
        <f>0.4136*CL35+0.3486*EQ35+0.2379*CK35</f>
        <v>5.7005700000000008</v>
      </c>
      <c r="E35" s="44" t="str">
        <f t="shared" si="0"/>
        <v/>
      </c>
      <c r="F35" s="44" t="str">
        <f t="shared" si="1"/>
        <v/>
      </c>
      <c r="CK35">
        <v>5.7</v>
      </c>
      <c r="CL35">
        <v>5.7</v>
      </c>
      <c r="EQ35">
        <v>5.7</v>
      </c>
      <c r="FV35" s="40"/>
    </row>
    <row r="36" spans="1:178" ht="15" customHeight="1" x14ac:dyDescent="0.2">
      <c r="A36" s="3" t="s">
        <v>600</v>
      </c>
      <c r="B36" s="3" t="s">
        <v>601</v>
      </c>
      <c r="C36" s="3" t="s">
        <v>602</v>
      </c>
      <c r="E36" s="43" t="str">
        <f t="shared" si="0"/>
        <v/>
      </c>
      <c r="F36" s="43" t="str">
        <f t="shared" si="1"/>
        <v/>
      </c>
      <c r="FV36" s="40"/>
    </row>
    <row r="37" spans="1:178" ht="15" customHeight="1" x14ac:dyDescent="0.2">
      <c r="A37" s="3" t="s">
        <v>463</v>
      </c>
      <c r="B37" s="13" t="s">
        <v>464</v>
      </c>
      <c r="C37" s="3" t="s">
        <v>438</v>
      </c>
      <c r="E37" s="43">
        <f t="shared" si="0"/>
        <v>26.733333500000001</v>
      </c>
      <c r="F37" s="43">
        <f t="shared" si="1"/>
        <v>3.1316271666666666</v>
      </c>
      <c r="AZ37" s="38">
        <v>25.375</v>
      </c>
      <c r="BN37" s="38">
        <v>0.27142899999999998</v>
      </c>
      <c r="DF37" s="38">
        <v>1.7833330000000001</v>
      </c>
      <c r="EA37" s="38">
        <v>8.2828130000000009</v>
      </c>
      <c r="ER37" s="38">
        <v>2.36</v>
      </c>
      <c r="ES37" s="38">
        <v>28.091667000000001</v>
      </c>
      <c r="EX37" s="38">
        <v>4.4421879999999998</v>
      </c>
      <c r="FV37" s="41">
        <v>1.65</v>
      </c>
    </row>
    <row r="38" spans="1:178" ht="15" customHeight="1" x14ac:dyDescent="0.2">
      <c r="A38" s="3" t="s">
        <v>465</v>
      </c>
      <c r="B38" s="13" t="s">
        <v>466</v>
      </c>
      <c r="C38" s="3" t="s">
        <v>438</v>
      </c>
      <c r="E38" s="43">
        <f t="shared" ref="E38:E69" si="2">IFERROR(AVERAGE(ES38,FR38,CQ38,CA38,AZ38,DM38,FM38,AX38),"")</f>
        <v>24.150595500000001</v>
      </c>
      <c r="F38" s="43">
        <f t="shared" ref="F38:F69" si="3">IFERROR(AVERAGE(BS38,FV38,EI38,BE38,BN38,DA38,DF38,CO38,GL38,EA38,V38,DG38,BY38,BT38,ER38,BA38,FL38,O38,CI38,EX38,AE38),"")</f>
        <v>2.0236833333333331</v>
      </c>
      <c r="AZ38" s="38">
        <v>20.209523999999998</v>
      </c>
      <c r="BE38">
        <v>1.85</v>
      </c>
      <c r="BN38" s="38">
        <v>0.27142899999999998</v>
      </c>
      <c r="CO38">
        <v>1.1807909999999999</v>
      </c>
      <c r="ER38" s="38">
        <v>2.7476919999999998</v>
      </c>
      <c r="ES38" s="38">
        <v>28.091667000000001</v>
      </c>
      <c r="EX38" s="38">
        <v>4.4421879999999998</v>
      </c>
      <c r="FV38" s="41">
        <v>1.65</v>
      </c>
    </row>
    <row r="39" spans="1:178" ht="15" customHeight="1" x14ac:dyDescent="0.2">
      <c r="A39" s="3" t="s">
        <v>537</v>
      </c>
      <c r="B39" s="3" t="s">
        <v>538</v>
      </c>
      <c r="C39" s="3" t="s">
        <v>532</v>
      </c>
      <c r="E39" s="43" t="str">
        <f t="shared" si="2"/>
        <v/>
      </c>
      <c r="F39" s="43">
        <f t="shared" si="3"/>
        <v>2.1862533333333332</v>
      </c>
      <c r="BE39">
        <v>1.41</v>
      </c>
      <c r="BS39" s="38">
        <v>0.25545000000000001</v>
      </c>
      <c r="CO39" s="38">
        <v>6.5</v>
      </c>
      <c r="DF39" s="38">
        <v>0.20393700000000001</v>
      </c>
      <c r="ER39" s="38">
        <v>2.4981330000000002</v>
      </c>
      <c r="FV39" s="41">
        <v>2.25</v>
      </c>
    </row>
    <row r="40" spans="1:178" ht="15" customHeight="1" x14ac:dyDescent="0.2">
      <c r="A40" s="3" t="s">
        <v>499</v>
      </c>
      <c r="B40" s="3" t="s">
        <v>500</v>
      </c>
      <c r="C40" s="3" t="s">
        <v>455</v>
      </c>
      <c r="E40" s="43" t="str">
        <f t="shared" si="2"/>
        <v/>
      </c>
      <c r="F40" s="43" t="str">
        <f t="shared" si="3"/>
        <v/>
      </c>
      <c r="FV40" s="41"/>
    </row>
    <row r="41" spans="1:178" ht="15" customHeight="1" x14ac:dyDescent="0.2">
      <c r="A41" s="3" t="s">
        <v>598</v>
      </c>
      <c r="B41" s="3" t="s">
        <v>599</v>
      </c>
      <c r="C41" s="3" t="s">
        <v>595</v>
      </c>
      <c r="E41" s="43" t="str">
        <f t="shared" si="2"/>
        <v/>
      </c>
      <c r="F41" s="43">
        <f t="shared" si="3"/>
        <v>2.5437482000000005</v>
      </c>
      <c r="BE41">
        <v>2.65</v>
      </c>
      <c r="CO41">
        <v>2.1972930000000002</v>
      </c>
      <c r="ER41">
        <v>1.41273</v>
      </c>
      <c r="EX41">
        <v>3.1556600000000001</v>
      </c>
      <c r="FV41" s="41">
        <v>3.303058</v>
      </c>
    </row>
    <row r="42" spans="1:178" ht="15" customHeight="1" x14ac:dyDescent="0.2">
      <c r="A42" s="3" t="s">
        <v>467</v>
      </c>
      <c r="B42" s="3" t="s">
        <v>468</v>
      </c>
      <c r="C42" s="3" t="s">
        <v>438</v>
      </c>
      <c r="E42" s="43">
        <f t="shared" si="2"/>
        <v>5.0324999999999998</v>
      </c>
      <c r="F42" s="43">
        <f t="shared" si="3"/>
        <v>1.1038190000000001</v>
      </c>
      <c r="AZ42" s="38">
        <v>3.0249999999999999</v>
      </c>
      <c r="CO42">
        <v>1.1807909999999999</v>
      </c>
      <c r="ES42" s="38">
        <v>7.04</v>
      </c>
      <c r="EX42" s="38">
        <v>1.0268470000000001</v>
      </c>
      <c r="FV42" s="41"/>
    </row>
    <row r="43" spans="1:178" ht="15" customHeight="1" x14ac:dyDescent="0.2">
      <c r="A43" s="3" t="s">
        <v>501</v>
      </c>
      <c r="B43" s="3" t="s">
        <v>502</v>
      </c>
      <c r="C43" s="3" t="s">
        <v>455</v>
      </c>
      <c r="E43" s="43" t="str">
        <f t="shared" si="2"/>
        <v/>
      </c>
      <c r="F43" s="43" t="str">
        <f t="shared" si="3"/>
        <v/>
      </c>
      <c r="FV43" s="41"/>
    </row>
    <row r="44" spans="1:178" ht="15" customHeight="1" x14ac:dyDescent="0.2">
      <c r="A44" s="3" t="s">
        <v>539</v>
      </c>
      <c r="B44" s="3" t="s">
        <v>540</v>
      </c>
      <c r="C44" s="3" t="s">
        <v>532</v>
      </c>
      <c r="E44" s="43" t="str">
        <f t="shared" si="2"/>
        <v/>
      </c>
      <c r="F44" s="43" t="str">
        <f t="shared" si="3"/>
        <v/>
      </c>
      <c r="FV44" s="41"/>
    </row>
    <row r="45" spans="1:178" ht="15" customHeight="1" x14ac:dyDescent="0.2">
      <c r="A45" s="3" t="s">
        <v>517</v>
      </c>
      <c r="B45" s="3" t="s">
        <v>518</v>
      </c>
      <c r="C45" s="3" t="s">
        <v>455</v>
      </c>
      <c r="D45" s="12"/>
      <c r="E45" s="43">
        <f t="shared" si="2"/>
        <v>22.742478875</v>
      </c>
      <c r="F45" s="43">
        <f t="shared" si="3"/>
        <v>18.924152600000003</v>
      </c>
      <c r="O45" s="38">
        <v>24.003001999999999</v>
      </c>
      <c r="AX45">
        <v>25.609604999999998</v>
      </c>
      <c r="AZ45" s="38">
        <v>20.684007000000001</v>
      </c>
      <c r="BA45">
        <v>17.831565999999999</v>
      </c>
      <c r="BE45" s="38">
        <v>5.9090999999999998E-2</v>
      </c>
      <c r="BT45" s="38">
        <v>33.251061</v>
      </c>
      <c r="BY45" s="38">
        <v>19.649287999999999</v>
      </c>
      <c r="CA45">
        <v>7.3716600000000003</v>
      </c>
      <c r="CI45">
        <v>18.674876000000001</v>
      </c>
      <c r="CQ45">
        <v>26.440076000000001</v>
      </c>
      <c r="DG45" s="38">
        <v>52.202585999999997</v>
      </c>
      <c r="DM45">
        <v>57.495122000000002</v>
      </c>
      <c r="ES45">
        <v>16.400030000000001</v>
      </c>
      <c r="EX45">
        <v>6.437659</v>
      </c>
      <c r="FL45">
        <v>11.042396999999999</v>
      </c>
      <c r="FM45">
        <v>0.60044200000000003</v>
      </c>
      <c r="FR45" s="38">
        <v>27.338889000000002</v>
      </c>
      <c r="FV45" s="41">
        <v>6.09</v>
      </c>
    </row>
    <row r="46" spans="1:178" ht="15" customHeight="1" x14ac:dyDescent="0.2">
      <c r="A46" s="3" t="s">
        <v>490</v>
      </c>
      <c r="B46" s="3" t="s">
        <v>491</v>
      </c>
      <c r="C46" s="3" t="s">
        <v>438</v>
      </c>
      <c r="E46" s="43">
        <f t="shared" si="2"/>
        <v>0.55234249999999996</v>
      </c>
      <c r="F46" s="43">
        <f t="shared" si="3"/>
        <v>0.70102393333333346</v>
      </c>
      <c r="O46" s="38">
        <v>0.88594099999999998</v>
      </c>
      <c r="V46" s="38">
        <v>1.264937</v>
      </c>
      <c r="BA46" s="38">
        <v>1.0489059999999999</v>
      </c>
      <c r="BE46" s="38">
        <v>0.32154100000000002</v>
      </c>
      <c r="BN46" s="38">
        <v>0.18001900000000001</v>
      </c>
      <c r="BT46" s="38">
        <v>1.0294760000000001</v>
      </c>
      <c r="BY46" s="38">
        <v>1.7535339999999999</v>
      </c>
      <c r="CO46" s="38">
        <v>1.1171219999999999</v>
      </c>
      <c r="DA46" s="38">
        <v>0.13800000000000001</v>
      </c>
      <c r="DF46" s="38">
        <v>0.19689799999999999</v>
      </c>
      <c r="DG46" s="38">
        <v>1.043302</v>
      </c>
      <c r="EA46" s="38">
        <v>0.92408199999999996</v>
      </c>
      <c r="ES46" s="38">
        <v>0.28067900000000001</v>
      </c>
      <c r="EX46" s="38">
        <v>0.49806499999999998</v>
      </c>
      <c r="FL46" s="38">
        <v>6.8039000000000002E-2</v>
      </c>
      <c r="FM46" s="38">
        <v>0.82400600000000002</v>
      </c>
      <c r="FV46" s="42">
        <v>4.5497000000000003E-2</v>
      </c>
    </row>
    <row r="47" spans="1:178" ht="15" customHeight="1" x14ac:dyDescent="0.2">
      <c r="A47" s="3" t="s">
        <v>484</v>
      </c>
      <c r="B47" s="3" t="s">
        <v>485</v>
      </c>
      <c r="C47" s="3" t="s">
        <v>438</v>
      </c>
      <c r="E47" s="43">
        <f t="shared" si="2"/>
        <v>2.1570165000000001</v>
      </c>
      <c r="F47" s="43">
        <f t="shared" si="3"/>
        <v>2.5287742499999997</v>
      </c>
      <c r="BN47" s="38">
        <v>0.12</v>
      </c>
      <c r="CO47">
        <v>8.0214569999999998</v>
      </c>
      <c r="ES47" s="38">
        <v>2.9637359999999999</v>
      </c>
      <c r="EX47" s="38">
        <v>0.32363999999999998</v>
      </c>
      <c r="FR47" s="38">
        <v>1.3502970000000001</v>
      </c>
      <c r="FV47" s="41">
        <v>1.65</v>
      </c>
    </row>
    <row r="48" spans="1:178" ht="15" customHeight="1" x14ac:dyDescent="0.2">
      <c r="A48" s="3" t="s">
        <v>568</v>
      </c>
      <c r="B48" s="3" t="s">
        <v>569</v>
      </c>
      <c r="C48" s="3" t="s">
        <v>554</v>
      </c>
      <c r="D48" s="17"/>
      <c r="E48" s="46" t="str">
        <f t="shared" si="2"/>
        <v/>
      </c>
      <c r="F48" s="46" t="str">
        <f t="shared" si="3"/>
        <v/>
      </c>
      <c r="FV48" s="41"/>
    </row>
    <row r="49" spans="1:178" ht="15" customHeight="1" x14ac:dyDescent="0.2">
      <c r="A49" s="3" t="s">
        <v>559</v>
      </c>
      <c r="B49" s="3" t="s">
        <v>560</v>
      </c>
      <c r="C49" s="3" t="s">
        <v>554</v>
      </c>
      <c r="E49" s="43" t="str">
        <f t="shared" si="2"/>
        <v/>
      </c>
      <c r="F49" s="43" t="str">
        <f t="shared" si="3"/>
        <v/>
      </c>
      <c r="FV49" s="41"/>
    </row>
    <row r="50" spans="1:178" ht="15" customHeight="1" x14ac:dyDescent="0.2">
      <c r="A50" s="3" t="s">
        <v>541</v>
      </c>
      <c r="B50" s="3" t="s">
        <v>542</v>
      </c>
      <c r="C50" s="3" t="s">
        <v>455</v>
      </c>
      <c r="E50" s="43" t="str">
        <f t="shared" si="2"/>
        <v/>
      </c>
      <c r="F50" s="43" t="str">
        <f t="shared" si="3"/>
        <v/>
      </c>
      <c r="FV50" s="41"/>
    </row>
    <row r="51" spans="1:178" ht="15" customHeight="1" x14ac:dyDescent="0.2">
      <c r="A51" s="3" t="s">
        <v>488</v>
      </c>
      <c r="B51" s="3" t="s">
        <v>489</v>
      </c>
      <c r="C51" s="3" t="s">
        <v>438</v>
      </c>
      <c r="E51" s="43">
        <f t="shared" si="2"/>
        <v>11.893478</v>
      </c>
      <c r="F51" s="43">
        <f t="shared" si="3"/>
        <v>2.3616280000000001</v>
      </c>
      <c r="BE51">
        <v>1.85</v>
      </c>
      <c r="BT51" s="38">
        <v>2.9122710000000001</v>
      </c>
      <c r="CO51" s="38">
        <v>3.5</v>
      </c>
      <c r="EA51" s="38">
        <v>4.0837209999999997</v>
      </c>
      <c r="ES51" s="38">
        <v>11.893478</v>
      </c>
      <c r="EX51">
        <v>0.17377600000000001</v>
      </c>
      <c r="FV51" s="41">
        <v>1.65</v>
      </c>
    </row>
    <row r="52" spans="1:178" ht="15" customHeight="1" x14ac:dyDescent="0.2">
      <c r="A52" s="3" t="s">
        <v>511</v>
      </c>
      <c r="B52" s="3" t="s">
        <v>512</v>
      </c>
      <c r="C52" s="3" t="s">
        <v>455</v>
      </c>
      <c r="E52" s="43">
        <f t="shared" si="2"/>
        <v>7.6389320000000005</v>
      </c>
      <c r="F52" s="43" t="str">
        <f t="shared" si="3"/>
        <v/>
      </c>
      <c r="AZ52" s="38">
        <v>14.705128</v>
      </c>
      <c r="DM52">
        <v>0.245283</v>
      </c>
      <c r="FR52" s="38">
        <v>7.9663849999999998</v>
      </c>
      <c r="FV52" s="41"/>
    </row>
    <row r="53" spans="1:178" ht="15" customHeight="1" x14ac:dyDescent="0.2">
      <c r="A53" s="3" t="s">
        <v>617</v>
      </c>
      <c r="B53" s="3" t="s">
        <v>618</v>
      </c>
      <c r="C53" s="3" t="s">
        <v>567</v>
      </c>
      <c r="E53" s="43">
        <f t="shared" si="2"/>
        <v>0.47368399999999999</v>
      </c>
      <c r="F53" s="43">
        <f t="shared" si="3"/>
        <v>2.0200749999999998</v>
      </c>
      <c r="AZ53">
        <v>0.47368399999999999</v>
      </c>
      <c r="BN53">
        <v>1.7</v>
      </c>
      <c r="FL53">
        <v>9.6074000000000007E-2</v>
      </c>
      <c r="FV53" s="41">
        <v>4.264151</v>
      </c>
    </row>
    <row r="54" spans="1:178" ht="15" customHeight="1" x14ac:dyDescent="0.2">
      <c r="A54" s="3" t="s">
        <v>447</v>
      </c>
      <c r="B54" s="3" t="s">
        <v>448</v>
      </c>
      <c r="C54" s="3" t="s">
        <v>438</v>
      </c>
      <c r="E54" s="43">
        <f t="shared" si="2"/>
        <v>6.9819980000000008</v>
      </c>
      <c r="F54" s="43">
        <f t="shared" si="3"/>
        <v>12.2844058</v>
      </c>
      <c r="AZ54" s="38">
        <v>0.48571399999999998</v>
      </c>
      <c r="BE54">
        <v>1.85</v>
      </c>
      <c r="BT54" s="38">
        <v>55.173099000000001</v>
      </c>
      <c r="CO54" s="38">
        <v>2.3136359999999998</v>
      </c>
      <c r="ES54" s="38">
        <v>4.158442</v>
      </c>
      <c r="EX54" s="38">
        <v>0.43529400000000001</v>
      </c>
      <c r="FR54" s="38">
        <v>16.301838</v>
      </c>
      <c r="FV54" s="41">
        <v>1.65</v>
      </c>
    </row>
    <row r="55" spans="1:178" ht="15" customHeight="1" x14ac:dyDescent="0.2">
      <c r="A55" s="3" t="s">
        <v>570</v>
      </c>
      <c r="B55" s="3" t="s">
        <v>571</v>
      </c>
      <c r="C55" s="3" t="s">
        <v>433</v>
      </c>
      <c r="E55" s="43">
        <f t="shared" si="2"/>
        <v>0.92723900000000004</v>
      </c>
      <c r="F55" s="43">
        <f t="shared" si="3"/>
        <v>1.3499282222222222</v>
      </c>
      <c r="V55">
        <v>2.4155769999999999</v>
      </c>
      <c r="AE55">
        <v>1.2910509999999999</v>
      </c>
      <c r="BN55">
        <v>0.148148</v>
      </c>
      <c r="BS55">
        <v>0.57744799999999996</v>
      </c>
      <c r="BT55">
        <v>1.5148790000000001</v>
      </c>
      <c r="CI55">
        <v>3.8632870000000001</v>
      </c>
      <c r="EA55">
        <v>1.251701</v>
      </c>
      <c r="EX55">
        <v>0.38726300000000002</v>
      </c>
      <c r="FM55">
        <v>0.92723900000000004</v>
      </c>
      <c r="FV55" s="41">
        <v>0.7</v>
      </c>
    </row>
    <row r="56" spans="1:178" ht="15" customHeight="1" x14ac:dyDescent="0.2">
      <c r="A56" s="3" t="s">
        <v>621</v>
      </c>
      <c r="B56" s="3" t="s">
        <v>622</v>
      </c>
      <c r="C56" s="3" t="s">
        <v>567</v>
      </c>
      <c r="E56" s="43">
        <f t="shared" si="2"/>
        <v>0.16926099999999999</v>
      </c>
      <c r="F56" s="43">
        <f t="shared" si="3"/>
        <v>0.6552593333333333</v>
      </c>
      <c r="BE56">
        <v>0.77</v>
      </c>
      <c r="CO56">
        <v>0.67101900000000003</v>
      </c>
      <c r="DF56">
        <v>0.78464100000000003</v>
      </c>
      <c r="EX56">
        <v>8.4020999999999998E-2</v>
      </c>
      <c r="FL56">
        <v>0.61</v>
      </c>
      <c r="FM56">
        <v>0.16926099999999999</v>
      </c>
      <c r="FV56" s="41">
        <v>1.0118750000000001</v>
      </c>
    </row>
    <row r="57" spans="1:178" ht="15" customHeight="1" x14ac:dyDescent="0.2">
      <c r="A57" s="3" t="s">
        <v>411</v>
      </c>
      <c r="B57" s="3" t="s">
        <v>412</v>
      </c>
      <c r="C57" s="3" t="s">
        <v>405</v>
      </c>
      <c r="E57" s="43">
        <f t="shared" si="2"/>
        <v>1.1808386000000002</v>
      </c>
      <c r="F57" s="43">
        <f t="shared" si="3"/>
        <v>0.83806799999999992</v>
      </c>
      <c r="O57">
        <v>0.95865400000000001</v>
      </c>
      <c r="V57">
        <v>1.3350500000000001</v>
      </c>
      <c r="AE57">
        <v>0.58743000000000001</v>
      </c>
      <c r="AX57">
        <v>0.61416800000000005</v>
      </c>
      <c r="BA57">
        <v>0.65991500000000003</v>
      </c>
      <c r="BE57">
        <v>0.21</v>
      </c>
      <c r="BT57">
        <v>1.0612820000000001</v>
      </c>
      <c r="CA57">
        <v>0.56204299999999996</v>
      </c>
      <c r="CI57">
        <v>1.393443</v>
      </c>
      <c r="CQ57">
        <v>2.0927950000000002</v>
      </c>
      <c r="DF57">
        <v>1.008527</v>
      </c>
      <c r="ER57">
        <v>0.383299</v>
      </c>
      <c r="ES57">
        <v>1.9788650000000001</v>
      </c>
      <c r="EX57">
        <v>1.1216710000000001</v>
      </c>
      <c r="FL57">
        <v>1.2275450000000001</v>
      </c>
      <c r="FM57">
        <v>0.65632199999999996</v>
      </c>
      <c r="FV57" s="41">
        <v>0.11</v>
      </c>
    </row>
    <row r="58" spans="1:178" ht="15" customHeight="1" x14ac:dyDescent="0.2">
      <c r="A58" s="3" t="s">
        <v>503</v>
      </c>
      <c r="B58" s="3" t="s">
        <v>504</v>
      </c>
      <c r="C58" s="3" t="s">
        <v>455</v>
      </c>
      <c r="D58" s="4"/>
      <c r="E58" s="43" t="str">
        <f t="shared" si="2"/>
        <v/>
      </c>
      <c r="F58" s="43" t="str">
        <f t="shared" si="3"/>
        <v/>
      </c>
      <c r="FV58" s="41"/>
    </row>
    <row r="59" spans="1:178" ht="15" customHeight="1" x14ac:dyDescent="0.2">
      <c r="A59" s="3" t="s">
        <v>427</v>
      </c>
      <c r="B59" s="3" t="s">
        <v>428</v>
      </c>
      <c r="C59" s="3" t="s">
        <v>408</v>
      </c>
      <c r="D59" s="12"/>
      <c r="E59" s="43" t="str">
        <f t="shared" si="2"/>
        <v/>
      </c>
      <c r="F59" s="43">
        <f t="shared" si="3"/>
        <v>0.14098899999999998</v>
      </c>
      <c r="BN59" s="38">
        <v>3.3285000000000002E-2</v>
      </c>
      <c r="DA59" s="38">
        <v>0.23798</v>
      </c>
      <c r="DF59" s="38">
        <v>3.6930999999999999E-2</v>
      </c>
      <c r="FL59" s="38">
        <v>0.25575999999999999</v>
      </c>
      <c r="FV59" s="41"/>
    </row>
    <row r="60" spans="1:178" ht="15" customHeight="1" x14ac:dyDescent="0.2">
      <c r="A60" s="3" t="s">
        <v>425</v>
      </c>
      <c r="B60" s="3" t="s">
        <v>426</v>
      </c>
      <c r="C60" s="3" t="s">
        <v>405</v>
      </c>
      <c r="E60" s="43">
        <f t="shared" si="2"/>
        <v>0.45260999999999996</v>
      </c>
      <c r="F60" s="43">
        <f t="shared" si="3"/>
        <v>0.53115223076923079</v>
      </c>
      <c r="O60" s="38">
        <v>0.30130800000000002</v>
      </c>
      <c r="AZ60" s="38">
        <v>0.84545499999999996</v>
      </c>
      <c r="BE60">
        <v>0.33</v>
      </c>
      <c r="BN60" s="38">
        <v>0.28690900000000003</v>
      </c>
      <c r="BS60" s="38">
        <v>0.624475</v>
      </c>
      <c r="CO60" s="38">
        <v>2.1348020000000001</v>
      </c>
      <c r="DA60" s="38">
        <v>0.22417200000000001</v>
      </c>
      <c r="DF60" s="38">
        <v>0.15504699999999999</v>
      </c>
      <c r="DG60" s="38">
        <v>0.62651900000000005</v>
      </c>
      <c r="EI60" s="38">
        <v>0.66012899999999997</v>
      </c>
      <c r="ER60" s="38">
        <v>0.34736</v>
      </c>
      <c r="ES60" s="38">
        <v>5.9764999999999999E-2</v>
      </c>
      <c r="EX60" s="38">
        <v>0.51593900000000004</v>
      </c>
      <c r="FL60" s="38">
        <v>0.24831900000000001</v>
      </c>
      <c r="FV60" s="40">
        <v>0.45</v>
      </c>
    </row>
    <row r="61" spans="1:178" ht="15" customHeight="1" x14ac:dyDescent="0.2">
      <c r="A61" s="3" t="s">
        <v>591</v>
      </c>
      <c r="B61" s="3" t="s">
        <v>592</v>
      </c>
      <c r="C61" s="3" t="s">
        <v>588</v>
      </c>
      <c r="D61" s="3"/>
      <c r="E61" s="45" t="str">
        <f t="shared" si="2"/>
        <v/>
      </c>
      <c r="F61" s="45" t="str">
        <f t="shared" si="3"/>
        <v/>
      </c>
      <c r="FV61" s="40"/>
    </row>
    <row r="62" spans="1:178" ht="15" customHeight="1" x14ac:dyDescent="0.2">
      <c r="A62" s="3" t="s">
        <v>586</v>
      </c>
      <c r="B62" s="3" t="s">
        <v>587</v>
      </c>
      <c r="C62" s="3" t="s">
        <v>588</v>
      </c>
      <c r="D62" s="16">
        <f>0.6712*FR62+0.3288*CQ62</f>
        <v>6.9504799999999998</v>
      </c>
      <c r="E62" s="44">
        <f t="shared" si="2"/>
        <v>4.9777066666666663</v>
      </c>
      <c r="F62" s="44" t="str">
        <f t="shared" si="3"/>
        <v/>
      </c>
      <c r="AX62">
        <v>5.3190879999999998</v>
      </c>
      <c r="AZ62" s="38">
        <v>2.6315789999999999</v>
      </c>
      <c r="CA62">
        <v>0.64945799999999998</v>
      </c>
      <c r="CQ62">
        <v>16.75</v>
      </c>
      <c r="ES62">
        <v>2.3661150000000002</v>
      </c>
      <c r="FR62">
        <v>2.15</v>
      </c>
      <c r="FV62" s="40"/>
    </row>
    <row r="63" spans="1:178" ht="15" customHeight="1" x14ac:dyDescent="0.2">
      <c r="A63" s="3" t="s">
        <v>486</v>
      </c>
      <c r="B63" s="3" t="s">
        <v>487</v>
      </c>
      <c r="C63" s="3" t="s">
        <v>438</v>
      </c>
      <c r="E63" s="43">
        <f t="shared" si="2"/>
        <v>4.898149666666666</v>
      </c>
      <c r="F63" s="43">
        <f t="shared" si="3"/>
        <v>5.034742333333333</v>
      </c>
      <c r="AZ63" s="38">
        <v>5.773333</v>
      </c>
      <c r="BE63">
        <v>1.85</v>
      </c>
      <c r="BN63" s="38">
        <v>7.4999999999999997E-2</v>
      </c>
      <c r="BS63" s="38">
        <v>2.861157</v>
      </c>
      <c r="CO63" s="38">
        <v>20.440909000000001</v>
      </c>
      <c r="DA63" s="38">
        <v>3.5225</v>
      </c>
      <c r="DF63" s="38">
        <v>1.415333</v>
      </c>
      <c r="EA63" s="38">
        <v>12.165461000000001</v>
      </c>
      <c r="EI63" s="38">
        <v>1.9141589999999999</v>
      </c>
      <c r="ER63" s="38">
        <v>3.9361999999999999</v>
      </c>
      <c r="ES63" s="38">
        <v>6.4372220000000002</v>
      </c>
      <c r="EX63" s="38">
        <v>1.384126</v>
      </c>
      <c r="FL63" s="38">
        <v>6.1420630000000003</v>
      </c>
      <c r="FR63" s="38">
        <v>2.4838939999999998</v>
      </c>
      <c r="FV63" s="40">
        <v>4.71</v>
      </c>
    </row>
    <row r="64" spans="1:178" ht="15" customHeight="1" x14ac:dyDescent="0.2">
      <c r="A64" s="3" t="s">
        <v>513</v>
      </c>
      <c r="B64" s="3" t="s">
        <v>514</v>
      </c>
      <c r="C64" s="3" t="s">
        <v>455</v>
      </c>
      <c r="E64" s="43">
        <f t="shared" si="2"/>
        <v>11.685094400000001</v>
      </c>
      <c r="F64" s="43" t="str">
        <f t="shared" si="3"/>
        <v/>
      </c>
      <c r="AZ64">
        <v>40.725619999999999</v>
      </c>
      <c r="CA64">
        <v>5.7826120000000003</v>
      </c>
      <c r="DM64">
        <v>0.245283</v>
      </c>
      <c r="ES64">
        <v>6.8378819999999996</v>
      </c>
      <c r="FR64">
        <v>4.8340750000000003</v>
      </c>
      <c r="FV64" s="40"/>
    </row>
    <row r="65" spans="1:178" ht="15" customHeight="1" x14ac:dyDescent="0.2">
      <c r="A65" s="3" t="s">
        <v>475</v>
      </c>
      <c r="B65" s="14" t="s">
        <v>476</v>
      </c>
      <c r="C65" s="3" t="s">
        <v>438</v>
      </c>
      <c r="D65" s="15" t="s">
        <v>477</v>
      </c>
      <c r="E65" s="43">
        <f t="shared" si="2"/>
        <v>5.1823435</v>
      </c>
      <c r="F65" s="43">
        <f t="shared" si="3"/>
        <v>0.71307000000000009</v>
      </c>
      <c r="AZ65" s="38">
        <v>5.6666670000000003</v>
      </c>
      <c r="BE65">
        <v>0.77</v>
      </c>
      <c r="EA65" s="38">
        <v>1.0474030000000001</v>
      </c>
      <c r="ES65" s="38">
        <v>4.6980199999999996</v>
      </c>
      <c r="EX65" s="38">
        <v>0.43987700000000002</v>
      </c>
      <c r="FV65" s="40">
        <v>0.59499999999999997</v>
      </c>
    </row>
    <row r="66" spans="1:178" ht="15" customHeight="1" x14ac:dyDescent="0.2">
      <c r="A66" s="3" t="s">
        <v>549</v>
      </c>
      <c r="B66" s="14" t="s">
        <v>550</v>
      </c>
      <c r="C66" s="3" t="s">
        <v>455</v>
      </c>
      <c r="D66" s="15" t="s">
        <v>551</v>
      </c>
      <c r="E66" s="43" t="str">
        <f t="shared" si="2"/>
        <v/>
      </c>
      <c r="F66" s="43">
        <f t="shared" si="3"/>
        <v>1.41</v>
      </c>
      <c r="BE66">
        <v>1.41</v>
      </c>
      <c r="FV66" s="40"/>
    </row>
    <row r="67" spans="1:178" ht="15" customHeight="1" x14ac:dyDescent="0.2">
      <c r="A67" s="3" t="s">
        <v>583</v>
      </c>
      <c r="B67" s="14" t="s">
        <v>584</v>
      </c>
      <c r="C67" s="3" t="s">
        <v>574</v>
      </c>
      <c r="D67" s="15" t="s">
        <v>585</v>
      </c>
      <c r="E67" s="43" t="str">
        <f t="shared" si="2"/>
        <v/>
      </c>
      <c r="F67" s="43">
        <f t="shared" si="3"/>
        <v>1.0775140000000001</v>
      </c>
      <c r="O67">
        <v>0.93998300000000001</v>
      </c>
      <c r="BA67">
        <v>0.90517899999999996</v>
      </c>
      <c r="BE67">
        <v>3</v>
      </c>
      <c r="BN67">
        <v>1.5510000000000001E-3</v>
      </c>
      <c r="FL67">
        <v>0.54085700000000003</v>
      </c>
      <c r="FV67" s="40"/>
    </row>
    <row r="68" spans="1:178" ht="15" customHeight="1" x14ac:dyDescent="0.2">
      <c r="A68" s="3" t="s">
        <v>623</v>
      </c>
      <c r="B68" s="14" t="s">
        <v>624</v>
      </c>
      <c r="C68" s="3" t="s">
        <v>567</v>
      </c>
      <c r="D68" s="15" t="s">
        <v>625</v>
      </c>
      <c r="E68" s="43">
        <f t="shared" si="2"/>
        <v>0.47368399999999999</v>
      </c>
      <c r="F68" s="43">
        <f t="shared" si="3"/>
        <v>0.79026850000000004</v>
      </c>
      <c r="AZ68">
        <v>0.47368399999999999</v>
      </c>
      <c r="BE68">
        <v>0.77</v>
      </c>
      <c r="BN68">
        <v>1.7</v>
      </c>
      <c r="FL68">
        <v>9.6074000000000007E-2</v>
      </c>
      <c r="FV68" s="40">
        <v>0.59499999999999997</v>
      </c>
    </row>
    <row r="69" spans="1:178" ht="15" customHeight="1" x14ac:dyDescent="0.2">
      <c r="A69" s="3" t="s">
        <v>607</v>
      </c>
      <c r="B69" s="14" t="s">
        <v>608</v>
      </c>
      <c r="C69" s="3" t="s">
        <v>602</v>
      </c>
      <c r="D69" s="15" t="s">
        <v>609</v>
      </c>
      <c r="E69" s="43" t="str">
        <f t="shared" si="2"/>
        <v/>
      </c>
      <c r="F69" s="43">
        <f t="shared" si="3"/>
        <v>2.1376819999999999</v>
      </c>
      <c r="BS69">
        <v>2.1376819999999999</v>
      </c>
      <c r="FV69" s="40"/>
    </row>
    <row r="70" spans="1:178" ht="15" customHeight="1" x14ac:dyDescent="0.2">
      <c r="A70" s="3" t="s">
        <v>492</v>
      </c>
      <c r="B70" s="14" t="s">
        <v>493</v>
      </c>
      <c r="C70" s="3" t="s">
        <v>438</v>
      </c>
      <c r="D70" s="15" t="s">
        <v>494</v>
      </c>
      <c r="E70" s="43" t="str">
        <f t="shared" ref="E70:E101" si="4">IFERROR(AVERAGE(ES70,FR70,CQ70,CA70,AZ70,DM70,FM70,AX70),"")</f>
        <v/>
      </c>
      <c r="F70" s="43">
        <f t="shared" ref="F70:F101" si="5">IFERROR(AVERAGE(BS70,FV70,EI70,BE70,BN70,DA70,DF70,CO70,GL70,EA70,V70,DG70,BY70,BT70,ER70,BA70,FL70,O70,CI70,EX70,AE70),"")</f>
        <v>1.1915423333333333</v>
      </c>
      <c r="BE70">
        <v>1.85</v>
      </c>
      <c r="BN70">
        <v>7.4626999999999999E-2</v>
      </c>
      <c r="FV70" s="40">
        <v>1.65</v>
      </c>
    </row>
    <row r="71" spans="1:178" ht="15" customHeight="1" x14ac:dyDescent="0.2">
      <c r="A71" s="3" t="s">
        <v>505</v>
      </c>
      <c r="B71" s="14" t="s">
        <v>506</v>
      </c>
      <c r="C71" s="3" t="s">
        <v>455</v>
      </c>
      <c r="D71" s="4"/>
      <c r="E71" s="43" t="str">
        <f t="shared" si="4"/>
        <v/>
      </c>
      <c r="F71" s="43" t="str">
        <f t="shared" si="5"/>
        <v/>
      </c>
      <c r="FV71" s="40"/>
    </row>
    <row r="72" spans="1:178" ht="15" customHeight="1" x14ac:dyDescent="0.2">
      <c r="A72" s="3" t="s">
        <v>533</v>
      </c>
      <c r="B72" s="3" t="s">
        <v>534</v>
      </c>
      <c r="C72" s="3" t="s">
        <v>455</v>
      </c>
      <c r="E72" s="43">
        <f t="shared" si="4"/>
        <v>11.5080315</v>
      </c>
      <c r="F72" s="43">
        <f t="shared" si="5"/>
        <v>15.65785</v>
      </c>
      <c r="AZ72" s="38">
        <v>8.7552629999999994</v>
      </c>
      <c r="BT72" s="38">
        <v>28.80425</v>
      </c>
      <c r="ES72" s="38">
        <v>14.2608</v>
      </c>
      <c r="EX72" s="38">
        <v>2.51145</v>
      </c>
      <c r="FV72" s="40"/>
    </row>
    <row r="73" spans="1:178" ht="15" customHeight="1" x14ac:dyDescent="0.2">
      <c r="A73" s="3" t="s">
        <v>521</v>
      </c>
      <c r="B73" s="3" t="s">
        <v>522</v>
      </c>
      <c r="C73" s="3" t="s">
        <v>455</v>
      </c>
      <c r="E73" s="43">
        <f t="shared" si="4"/>
        <v>22.593332499999999</v>
      </c>
      <c r="F73" s="43">
        <f t="shared" si="5"/>
        <v>5.4280417142857136</v>
      </c>
      <c r="BE73">
        <v>1.41</v>
      </c>
      <c r="DA73">
        <v>1.801242</v>
      </c>
      <c r="EA73">
        <v>20.129384999999999</v>
      </c>
      <c r="ER73">
        <v>5.1496360000000001</v>
      </c>
      <c r="ES73">
        <v>30.383675</v>
      </c>
      <c r="EX73">
        <v>1.3990800000000001</v>
      </c>
      <c r="FL73">
        <v>2.0169489999999999</v>
      </c>
      <c r="FR73">
        <v>14.802989999999999</v>
      </c>
      <c r="FV73" s="40">
        <v>6.09</v>
      </c>
    </row>
    <row r="74" spans="1:178" ht="15" customHeight="1" x14ac:dyDescent="0.2">
      <c r="A74" s="3" t="s">
        <v>619</v>
      </c>
      <c r="B74" s="3" t="s">
        <v>620</v>
      </c>
      <c r="C74" s="3" t="s">
        <v>614</v>
      </c>
      <c r="E74" s="43">
        <f t="shared" si="4"/>
        <v>0.16926099999999999</v>
      </c>
      <c r="F74" s="43">
        <f t="shared" si="5"/>
        <v>1.0816616666666667</v>
      </c>
      <c r="BA74">
        <v>0.74325799999999997</v>
      </c>
      <c r="BE74">
        <v>0.77</v>
      </c>
      <c r="BN74">
        <v>0.66536399999999996</v>
      </c>
      <c r="BT74">
        <v>3.358365</v>
      </c>
      <c r="CO74">
        <v>1.741892</v>
      </c>
      <c r="DF74">
        <v>0.78464100000000003</v>
      </c>
      <c r="EX74">
        <v>0.46792299999999998</v>
      </c>
      <c r="FL74">
        <v>0.62351199999999996</v>
      </c>
      <c r="FM74">
        <v>0.16926099999999999</v>
      </c>
      <c r="FV74" s="40">
        <v>0.57999999999999996</v>
      </c>
    </row>
    <row r="75" spans="1:178" ht="15" customHeight="1" x14ac:dyDescent="0.2">
      <c r="A75" s="3" t="s">
        <v>478</v>
      </c>
      <c r="B75" s="3" t="s">
        <v>479</v>
      </c>
      <c r="C75" s="3" t="s">
        <v>438</v>
      </c>
      <c r="E75" s="43">
        <f t="shared" si="4"/>
        <v>1.1616673333333332</v>
      </c>
      <c r="F75" s="43">
        <f t="shared" si="5"/>
        <v>1.9471320000000001</v>
      </c>
      <c r="AZ75" s="38">
        <v>1.3</v>
      </c>
      <c r="BE75">
        <v>1.85</v>
      </c>
      <c r="BN75" s="38">
        <v>1.29</v>
      </c>
      <c r="BS75" s="38">
        <v>0.59618300000000002</v>
      </c>
      <c r="EA75" s="38">
        <v>1.0313429999999999</v>
      </c>
      <c r="ES75" s="38">
        <v>1.3907080000000001</v>
      </c>
      <c r="EX75" s="38">
        <v>6.2409090000000003</v>
      </c>
      <c r="FL75" s="38">
        <v>2.0414889999999999</v>
      </c>
      <c r="FR75" s="38">
        <v>0.79429399999999994</v>
      </c>
      <c r="FV75" s="40">
        <v>0.57999999999999996</v>
      </c>
    </row>
    <row r="76" spans="1:178" ht="15" customHeight="1" x14ac:dyDescent="0.2">
      <c r="A76" s="3" t="s">
        <v>507</v>
      </c>
      <c r="B76" s="3" t="s">
        <v>508</v>
      </c>
      <c r="C76" s="3" t="s">
        <v>455</v>
      </c>
      <c r="D76" s="3"/>
      <c r="E76" s="45" t="str">
        <f t="shared" si="4"/>
        <v/>
      </c>
      <c r="F76" s="45" t="str">
        <f t="shared" si="5"/>
        <v/>
      </c>
      <c r="FV76" s="40"/>
    </row>
    <row r="77" spans="1:178" ht="15" customHeight="1" x14ac:dyDescent="0.2">
      <c r="A77" s="3" t="s">
        <v>535</v>
      </c>
      <c r="B77" s="3" t="s">
        <v>536</v>
      </c>
      <c r="C77" s="3" t="s">
        <v>455</v>
      </c>
      <c r="E77" s="43">
        <f t="shared" si="4"/>
        <v>9.0826600000000006</v>
      </c>
      <c r="F77" s="43">
        <f t="shared" si="5"/>
        <v>5.5162156666666675</v>
      </c>
      <c r="AZ77">
        <v>2.2000000000000002</v>
      </c>
      <c r="BN77">
        <v>2.5</v>
      </c>
      <c r="BT77">
        <v>20.789964000000001</v>
      </c>
      <c r="DA77">
        <v>0.71052599999999999</v>
      </c>
      <c r="EX77">
        <v>2.444652</v>
      </c>
      <c r="FL77">
        <v>0.56215199999999999</v>
      </c>
      <c r="FR77">
        <v>15.96532</v>
      </c>
      <c r="FV77" s="40">
        <v>6.09</v>
      </c>
    </row>
    <row r="78" spans="1:178" ht="15" customHeight="1" x14ac:dyDescent="0.2">
      <c r="A78" s="3" t="s">
        <v>509</v>
      </c>
      <c r="B78" s="3" t="s">
        <v>510</v>
      </c>
      <c r="C78" s="3" t="s">
        <v>455</v>
      </c>
      <c r="E78" s="43">
        <f t="shared" si="4"/>
        <v>0.245283</v>
      </c>
      <c r="F78" s="43" t="str">
        <f t="shared" si="5"/>
        <v/>
      </c>
      <c r="DM78">
        <v>0.245283</v>
      </c>
      <c r="FV78" s="40"/>
    </row>
    <row r="79" spans="1:178" ht="15" customHeight="1" x14ac:dyDescent="0.2">
      <c r="A79" s="3" t="s">
        <v>581</v>
      </c>
      <c r="B79" s="3" t="s">
        <v>582</v>
      </c>
      <c r="C79" s="3" t="s">
        <v>433</v>
      </c>
      <c r="D79" s="4"/>
      <c r="E79" s="43" t="str">
        <f t="shared" si="4"/>
        <v/>
      </c>
      <c r="F79" s="43" t="str">
        <f t="shared" si="5"/>
        <v/>
      </c>
      <c r="FV79" s="40"/>
    </row>
    <row r="80" spans="1:178" ht="15" customHeight="1" x14ac:dyDescent="0.2">
      <c r="A80" s="3" t="s">
        <v>593</v>
      </c>
      <c r="B80" s="3" t="s">
        <v>594</v>
      </c>
      <c r="C80" s="3" t="s">
        <v>595</v>
      </c>
      <c r="E80" s="43">
        <f t="shared" si="4"/>
        <v>7.2632681428571431</v>
      </c>
      <c r="F80" s="43">
        <f t="shared" si="5"/>
        <v>8.3918898333333338</v>
      </c>
      <c r="O80">
        <v>9.7505480000000002</v>
      </c>
      <c r="V80">
        <v>15.942655</v>
      </c>
      <c r="AX80">
        <v>6.9962390000000001</v>
      </c>
      <c r="AZ80">
        <v>19.395679999999999</v>
      </c>
      <c r="BA80">
        <v>4.7551649999999999</v>
      </c>
      <c r="BE80">
        <v>2.65</v>
      </c>
      <c r="BN80">
        <v>2.6311770000000001</v>
      </c>
      <c r="BS80">
        <v>2.0562360000000002</v>
      </c>
      <c r="BT80">
        <v>15.219027000000001</v>
      </c>
      <c r="BY80">
        <v>7.5438229999999997</v>
      </c>
      <c r="CA80">
        <v>2.3663270000000001</v>
      </c>
      <c r="CO80">
        <v>10.517837</v>
      </c>
      <c r="CQ80">
        <v>2.413802</v>
      </c>
      <c r="DA80">
        <v>2.7699159999999998</v>
      </c>
      <c r="DF80">
        <v>0.79396</v>
      </c>
      <c r="DG80">
        <v>46.361027</v>
      </c>
      <c r="DM80">
        <v>8.2927309999999999</v>
      </c>
      <c r="EA80">
        <v>13.280111</v>
      </c>
      <c r="EI80">
        <v>1.995414</v>
      </c>
      <c r="ER80">
        <v>2.347912</v>
      </c>
      <c r="ES80">
        <v>6.3268360000000001</v>
      </c>
      <c r="EX80">
        <v>5.9318949999999999</v>
      </c>
      <c r="FL80">
        <v>4.3773140000000001</v>
      </c>
      <c r="FR80">
        <v>5.0512620000000004</v>
      </c>
      <c r="FV80" s="40">
        <v>2.13</v>
      </c>
    </row>
    <row r="81" spans="1:178" ht="15" customHeight="1" x14ac:dyDescent="0.2">
      <c r="A81" s="3" t="s">
        <v>473</v>
      </c>
      <c r="B81" s="3" t="s">
        <v>474</v>
      </c>
      <c r="C81" s="3" t="s">
        <v>438</v>
      </c>
      <c r="E81" s="43">
        <f t="shared" si="4"/>
        <v>4.5646310000000003</v>
      </c>
      <c r="F81" s="43">
        <f t="shared" si="5"/>
        <v>1.5444335</v>
      </c>
      <c r="CO81" s="38">
        <v>0.75833300000000003</v>
      </c>
      <c r="ES81" s="38">
        <v>4.5646310000000003</v>
      </c>
      <c r="EX81">
        <v>2.3305340000000001</v>
      </c>
      <c r="FV81" s="40"/>
    </row>
    <row r="82" spans="1:178" ht="15" customHeight="1" x14ac:dyDescent="0.2">
      <c r="A82" s="3" t="s">
        <v>523</v>
      </c>
      <c r="B82" s="3" t="s">
        <v>524</v>
      </c>
      <c r="C82" s="3" t="s">
        <v>525</v>
      </c>
      <c r="E82" s="43" t="str">
        <f t="shared" si="4"/>
        <v/>
      </c>
      <c r="F82" s="43" t="str">
        <f t="shared" si="5"/>
        <v/>
      </c>
      <c r="FV82" s="40"/>
    </row>
    <row r="83" spans="1:178" ht="15" customHeight="1" x14ac:dyDescent="0.2">
      <c r="A83" s="3" t="s">
        <v>434</v>
      </c>
      <c r="B83" s="3" t="s">
        <v>435</v>
      </c>
      <c r="C83" s="3" t="s">
        <v>433</v>
      </c>
      <c r="D83" s="12"/>
      <c r="E83" s="43" t="str">
        <f t="shared" si="4"/>
        <v/>
      </c>
      <c r="F83" s="43" t="str">
        <f t="shared" si="5"/>
        <v/>
      </c>
      <c r="FV83" s="40"/>
    </row>
    <row r="84" spans="1:178" ht="15" customHeight="1" x14ac:dyDescent="0.2">
      <c r="A84" s="3" t="s">
        <v>572</v>
      </c>
      <c r="B84" s="10" t="s">
        <v>573</v>
      </c>
      <c r="C84" s="3" t="s">
        <v>574</v>
      </c>
      <c r="E84" s="43" t="str">
        <f t="shared" si="4"/>
        <v/>
      </c>
      <c r="F84" s="43">
        <f t="shared" si="5"/>
        <v>1.927009</v>
      </c>
      <c r="O84" s="38">
        <v>4.3541850000000002</v>
      </c>
      <c r="BA84" s="38">
        <v>2.5448740000000001</v>
      </c>
      <c r="BE84">
        <v>0.7</v>
      </c>
      <c r="BN84" s="38">
        <v>1.6188739999999999</v>
      </c>
      <c r="BS84" s="38">
        <v>0.61214599999999997</v>
      </c>
      <c r="BY84" s="38">
        <v>2.1631559999999999</v>
      </c>
      <c r="CO84" s="38">
        <v>2.3009750000000002</v>
      </c>
      <c r="DA84" s="38">
        <v>1.5638559999999999</v>
      </c>
      <c r="DF84" s="38">
        <v>4.8072949999999999</v>
      </c>
      <c r="DG84" s="38">
        <v>2.108911</v>
      </c>
      <c r="ER84" s="38">
        <v>1.3935010000000001</v>
      </c>
      <c r="EX84" s="38">
        <v>0.62066100000000002</v>
      </c>
      <c r="FL84" s="38">
        <v>1.7254370000000001</v>
      </c>
      <c r="FV84" s="39">
        <v>0.46425499999999997</v>
      </c>
    </row>
    <row r="85" spans="1:178" ht="15" customHeight="1" x14ac:dyDescent="0.2">
      <c r="A85" s="3" t="s">
        <v>575</v>
      </c>
      <c r="B85" s="13" t="s">
        <v>576</v>
      </c>
      <c r="C85" s="3" t="s">
        <v>574</v>
      </c>
      <c r="E85" s="43" t="str">
        <f t="shared" si="4"/>
        <v/>
      </c>
      <c r="F85" s="43">
        <f t="shared" si="5"/>
        <v>2.0098718888888887</v>
      </c>
      <c r="BE85">
        <v>0.7</v>
      </c>
      <c r="BN85" s="38">
        <v>1.5943560000000001</v>
      </c>
      <c r="BS85" s="38">
        <v>0.61214599999999997</v>
      </c>
      <c r="CO85" s="38">
        <v>2.3770829999999998</v>
      </c>
      <c r="DA85" s="38">
        <v>2.2139660000000001</v>
      </c>
      <c r="DF85" s="38">
        <v>9.2244810000000008</v>
      </c>
      <c r="EX85" s="38">
        <v>0.62066100000000002</v>
      </c>
      <c r="FL85" s="38">
        <v>0.48615399999999998</v>
      </c>
      <c r="FV85" s="40">
        <v>0.26</v>
      </c>
    </row>
    <row r="86" spans="1:178" ht="15" customHeight="1" x14ac:dyDescent="0.2">
      <c r="A86" s="3" t="s">
        <v>577</v>
      </c>
      <c r="B86" s="13" t="s">
        <v>578</v>
      </c>
      <c r="C86" s="3" t="s">
        <v>574</v>
      </c>
      <c r="E86" s="43" t="str">
        <f t="shared" si="4"/>
        <v/>
      </c>
      <c r="F86" s="43">
        <f t="shared" si="5"/>
        <v>1.722470769230769</v>
      </c>
      <c r="O86" s="38">
        <v>4.3541850000000002</v>
      </c>
      <c r="BA86" s="38">
        <v>2.5448740000000001</v>
      </c>
      <c r="BE86">
        <v>0.7</v>
      </c>
      <c r="BN86" s="38">
        <v>1.643392</v>
      </c>
      <c r="BY86" s="38">
        <v>2.1631559999999999</v>
      </c>
      <c r="CO86" s="38">
        <v>2.2248670000000002</v>
      </c>
      <c r="DA86" s="38">
        <v>0.91374500000000003</v>
      </c>
      <c r="DF86" s="38">
        <v>0.39010899999999998</v>
      </c>
      <c r="DG86" s="38">
        <v>2.108911</v>
      </c>
      <c r="ER86" s="38">
        <v>1.3935010000000001</v>
      </c>
      <c r="EX86" s="38">
        <v>0.62066100000000002</v>
      </c>
      <c r="FL86" s="38">
        <v>2.9647190000000001</v>
      </c>
      <c r="FV86" s="40">
        <v>0.37</v>
      </c>
    </row>
    <row r="87" spans="1:178" ht="15" customHeight="1" x14ac:dyDescent="0.2">
      <c r="A87" s="3" t="s">
        <v>543</v>
      </c>
      <c r="B87" s="3" t="s">
        <v>544</v>
      </c>
      <c r="C87" s="3" t="s">
        <v>532</v>
      </c>
      <c r="E87" s="43" t="str">
        <f t="shared" si="4"/>
        <v/>
      </c>
      <c r="F87" s="43">
        <f t="shared" si="5"/>
        <v>0.54921960000000003</v>
      </c>
      <c r="BN87" s="38">
        <v>0.10909099999999999</v>
      </c>
      <c r="CO87" s="38">
        <v>1.2</v>
      </c>
      <c r="DA87" s="38">
        <v>0.155</v>
      </c>
      <c r="DF87" s="38">
        <v>1.6483999999999999E-2</v>
      </c>
      <c r="ER87" s="38">
        <v>1.265523</v>
      </c>
      <c r="FV87" s="40"/>
    </row>
    <row r="88" spans="1:178" ht="15" customHeight="1" x14ac:dyDescent="0.2">
      <c r="A88" s="3" t="s">
        <v>413</v>
      </c>
      <c r="B88" s="3" t="s">
        <v>414</v>
      </c>
      <c r="C88" s="3" t="s">
        <v>408</v>
      </c>
      <c r="D88" s="4"/>
      <c r="E88" s="43">
        <f t="shared" si="4"/>
        <v>1.8869229999999999</v>
      </c>
      <c r="F88" s="43">
        <f t="shared" si="5"/>
        <v>0.34956999999999999</v>
      </c>
      <c r="ES88">
        <v>1.8869229999999999</v>
      </c>
      <c r="EX88">
        <v>0.34956999999999999</v>
      </c>
      <c r="FV88" s="40"/>
    </row>
    <row r="89" spans="1:178" ht="15" customHeight="1" x14ac:dyDescent="0.2">
      <c r="A89" s="3" t="s">
        <v>423</v>
      </c>
      <c r="B89" s="3" t="s">
        <v>424</v>
      </c>
      <c r="C89" s="3" t="s">
        <v>405</v>
      </c>
      <c r="E89" s="43">
        <f t="shared" si="4"/>
        <v>1.6143000000000001E-2</v>
      </c>
      <c r="F89" s="43">
        <f t="shared" si="5"/>
        <v>0.87151127272727258</v>
      </c>
      <c r="O89" s="38">
        <v>0.75648899999999997</v>
      </c>
      <c r="BE89">
        <v>1.22</v>
      </c>
      <c r="BN89" s="38">
        <v>0.97686700000000004</v>
      </c>
      <c r="BS89" s="38">
        <v>0.46590900000000002</v>
      </c>
      <c r="DA89" s="38">
        <v>1.044513</v>
      </c>
      <c r="DF89" s="38">
        <v>0.23666100000000001</v>
      </c>
      <c r="DG89" s="38">
        <v>1.4837400000000001</v>
      </c>
      <c r="ER89" s="38">
        <v>0.27997699999999998</v>
      </c>
      <c r="ES89" s="38">
        <v>1.6143000000000001E-2</v>
      </c>
      <c r="EX89" s="38">
        <v>0.56836100000000001</v>
      </c>
      <c r="FL89" s="38">
        <v>1.8616330000000001</v>
      </c>
      <c r="FV89" s="39">
        <v>0.69247400000000003</v>
      </c>
    </row>
    <row r="90" spans="1:178" ht="15" customHeight="1" x14ac:dyDescent="0.2">
      <c r="A90" s="3" t="s">
        <v>415</v>
      </c>
      <c r="B90" s="3" t="s">
        <v>416</v>
      </c>
      <c r="C90" s="3" t="s">
        <v>408</v>
      </c>
      <c r="E90" s="43" t="str">
        <f t="shared" si="4"/>
        <v/>
      </c>
      <c r="F90" s="43">
        <f t="shared" si="5"/>
        <v>0.31519000000000003</v>
      </c>
      <c r="EX90" s="38">
        <v>0.218666</v>
      </c>
      <c r="FL90" s="38">
        <v>0.41171400000000002</v>
      </c>
      <c r="FV90" s="40"/>
    </row>
    <row r="91" spans="1:178" ht="15" customHeight="1" x14ac:dyDescent="0.2">
      <c r="A91" s="3" t="s">
        <v>528</v>
      </c>
      <c r="B91" s="3" t="s">
        <v>529</v>
      </c>
      <c r="C91" s="3" t="s">
        <v>455</v>
      </c>
      <c r="E91" s="43">
        <f t="shared" si="4"/>
        <v>3.6711109999999998</v>
      </c>
      <c r="F91" s="43">
        <f t="shared" si="5"/>
        <v>6.2165943333333331</v>
      </c>
      <c r="AZ91">
        <v>3.6711109999999998</v>
      </c>
      <c r="BE91">
        <v>1.41</v>
      </c>
      <c r="BT91">
        <v>22.868164</v>
      </c>
      <c r="DA91">
        <v>0.72548999999999997</v>
      </c>
      <c r="ER91" s="38">
        <v>5.36524</v>
      </c>
      <c r="EX91" s="38">
        <v>0.84067199999999997</v>
      </c>
      <c r="FV91" s="40">
        <v>6.09</v>
      </c>
    </row>
    <row r="92" spans="1:178" ht="15" customHeight="1" x14ac:dyDescent="0.2">
      <c r="A92" s="3" t="s">
        <v>565</v>
      </c>
      <c r="B92" s="3" t="s">
        <v>566</v>
      </c>
      <c r="C92" s="3" t="s">
        <v>567</v>
      </c>
      <c r="D92" s="12"/>
      <c r="E92" s="43">
        <f t="shared" si="4"/>
        <v>1.0482994999999999</v>
      </c>
      <c r="F92" s="43">
        <f t="shared" si="5"/>
        <v>1.4364532999999999</v>
      </c>
      <c r="O92">
        <v>0.60981300000000005</v>
      </c>
      <c r="V92">
        <v>2.4155769999999999</v>
      </c>
      <c r="AE92">
        <v>1.2910509999999999</v>
      </c>
      <c r="AX92">
        <v>1.16936</v>
      </c>
      <c r="BS92">
        <v>0.57744799999999996</v>
      </c>
      <c r="BT92">
        <v>2.1456569999999999</v>
      </c>
      <c r="CI92">
        <v>3.8632870000000001</v>
      </c>
      <c r="EA92">
        <v>1.251701</v>
      </c>
      <c r="EX92">
        <v>0.65990099999999996</v>
      </c>
      <c r="FL92">
        <v>0.77280199999999999</v>
      </c>
      <c r="FM92">
        <v>0.92723900000000004</v>
      </c>
      <c r="FV92" s="40">
        <v>0.77729599999999999</v>
      </c>
    </row>
    <row r="93" spans="1:178" ht="15" customHeight="1" x14ac:dyDescent="0.2">
      <c r="A93" s="3" t="s">
        <v>449</v>
      </c>
      <c r="B93" s="3" t="s">
        <v>450</v>
      </c>
      <c r="C93" s="3" t="s">
        <v>438</v>
      </c>
      <c r="E93" s="43">
        <f t="shared" si="4"/>
        <v>2.7979159999999994</v>
      </c>
      <c r="F93" s="43">
        <f t="shared" si="5"/>
        <v>2.510294</v>
      </c>
      <c r="AZ93" s="38">
        <v>0.95</v>
      </c>
      <c r="BE93">
        <v>1.85</v>
      </c>
      <c r="CO93" s="38">
        <v>3.8411759999999999</v>
      </c>
      <c r="ES93" s="38">
        <v>7.4413039999999997</v>
      </c>
      <c r="EX93" s="38">
        <v>2.7</v>
      </c>
      <c r="FR93" s="38">
        <v>2.444E-3</v>
      </c>
      <c r="FV93" s="40">
        <v>1.65</v>
      </c>
    </row>
    <row r="94" spans="1:178" ht="15" customHeight="1" x14ac:dyDescent="0.2">
      <c r="A94" s="3" t="s">
        <v>545</v>
      </c>
      <c r="B94" s="3" t="s">
        <v>546</v>
      </c>
      <c r="C94" s="3" t="s">
        <v>455</v>
      </c>
      <c r="E94" s="43">
        <f t="shared" si="4"/>
        <v>19.3021925</v>
      </c>
      <c r="F94" s="43">
        <f t="shared" si="5"/>
        <v>3.4619245384615387</v>
      </c>
      <c r="AZ94">
        <v>3.92</v>
      </c>
      <c r="BE94">
        <v>1.41</v>
      </c>
      <c r="BN94">
        <v>0.32294</v>
      </c>
      <c r="BS94">
        <v>1.7635860000000001</v>
      </c>
      <c r="BT94">
        <v>2.4571429999999999</v>
      </c>
      <c r="CO94">
        <v>8.3910610000000005</v>
      </c>
      <c r="DA94">
        <v>0.29139100000000001</v>
      </c>
      <c r="DF94">
        <v>0.17746100000000001</v>
      </c>
      <c r="EA94">
        <v>16.264150999999998</v>
      </c>
      <c r="EI94">
        <v>5.6828960000000004</v>
      </c>
      <c r="ER94">
        <v>2.446895</v>
      </c>
      <c r="ES94">
        <v>34.684384999999999</v>
      </c>
      <c r="EX94">
        <v>1.697495</v>
      </c>
      <c r="FL94">
        <v>1.85</v>
      </c>
      <c r="FV94" s="40">
        <v>2.25</v>
      </c>
    </row>
    <row r="95" spans="1:178" ht="15" customHeight="1" x14ac:dyDescent="0.2">
      <c r="A95" s="3" t="s">
        <v>626</v>
      </c>
      <c r="B95" s="3" t="s">
        <v>627</v>
      </c>
      <c r="C95" s="3" t="s">
        <v>628</v>
      </c>
      <c r="E95" s="43">
        <f t="shared" si="4"/>
        <v>4.8546459999999998</v>
      </c>
      <c r="F95" s="43">
        <f t="shared" si="5"/>
        <v>4.5136756153846154</v>
      </c>
      <c r="O95">
        <v>13.82827</v>
      </c>
      <c r="V95">
        <v>7.97349</v>
      </c>
      <c r="AX95">
        <v>4.8546459999999998</v>
      </c>
      <c r="BA95">
        <v>4.4902410000000001</v>
      </c>
      <c r="BE95">
        <v>3</v>
      </c>
      <c r="BS95">
        <v>1.7636419999999999</v>
      </c>
      <c r="BT95">
        <v>5.3495140000000001</v>
      </c>
      <c r="BY95">
        <v>4.9036619999999997</v>
      </c>
      <c r="DF95">
        <v>3.1730670000000001</v>
      </c>
      <c r="EA95">
        <v>4.5696500000000002</v>
      </c>
      <c r="ER95">
        <v>1.9338409999999999</v>
      </c>
      <c r="EX95">
        <v>2.1101559999999999</v>
      </c>
      <c r="FL95">
        <v>5.4418129999999998</v>
      </c>
      <c r="FV95" s="40">
        <v>0.14043700000000001</v>
      </c>
    </row>
    <row r="96" spans="1:178" ht="15" customHeight="1" x14ac:dyDescent="0.2">
      <c r="A96" s="3" t="s">
        <v>629</v>
      </c>
      <c r="B96" s="3" t="s">
        <v>630</v>
      </c>
      <c r="C96" s="3" t="s">
        <v>628</v>
      </c>
      <c r="E96" s="43" t="str">
        <f t="shared" si="4"/>
        <v/>
      </c>
      <c r="F96" s="43" t="str">
        <f t="shared" si="5"/>
        <v/>
      </c>
      <c r="FV96" s="40"/>
    </row>
    <row r="97" spans="1:178" ht="15" customHeight="1" x14ac:dyDescent="0.2">
      <c r="A97" s="3" t="s">
        <v>579</v>
      </c>
      <c r="B97" s="3" t="s">
        <v>580</v>
      </c>
      <c r="C97" s="3" t="s">
        <v>574</v>
      </c>
      <c r="E97" s="43">
        <f t="shared" si="4"/>
        <v>0.72596399999999994</v>
      </c>
      <c r="F97" s="43">
        <f t="shared" si="5"/>
        <v>1.1597468333333334</v>
      </c>
      <c r="O97">
        <v>1.6277900000000001</v>
      </c>
      <c r="V97">
        <v>2.4155769999999999</v>
      </c>
      <c r="AE97">
        <v>0.46177499999999999</v>
      </c>
      <c r="AX97">
        <v>0.51089300000000004</v>
      </c>
      <c r="BA97">
        <v>0.66592899999999999</v>
      </c>
      <c r="BE97">
        <v>0.7</v>
      </c>
      <c r="BS97">
        <v>0.57744799999999996</v>
      </c>
      <c r="BT97">
        <v>1.6629970000000001</v>
      </c>
      <c r="CI97">
        <v>1.3735679999999999</v>
      </c>
      <c r="EA97">
        <v>1.251701</v>
      </c>
      <c r="EX97">
        <v>0.77570700000000004</v>
      </c>
      <c r="FL97">
        <v>1.6271739999999999</v>
      </c>
      <c r="FM97">
        <v>0.92723900000000004</v>
      </c>
      <c r="FR97">
        <v>0.73975999999999997</v>
      </c>
      <c r="FV97" s="40">
        <v>0.77729599999999999</v>
      </c>
    </row>
    <row r="98" spans="1:178" ht="15" customHeight="1" x14ac:dyDescent="0.2">
      <c r="A98" s="3" t="s">
        <v>596</v>
      </c>
      <c r="B98" s="3" t="s">
        <v>597</v>
      </c>
      <c r="C98" s="3" t="s">
        <v>595</v>
      </c>
      <c r="E98" s="43" t="str">
        <f t="shared" si="4"/>
        <v/>
      </c>
      <c r="F98" s="43" t="str">
        <f t="shared" si="5"/>
        <v/>
      </c>
      <c r="FV98" s="40"/>
    </row>
    <row r="99" spans="1:178" ht="15" customHeight="1" x14ac:dyDescent="0.2">
      <c r="A99" s="3" t="s">
        <v>515</v>
      </c>
      <c r="B99" s="3" t="s">
        <v>516</v>
      </c>
      <c r="C99" s="3" t="s">
        <v>455</v>
      </c>
      <c r="E99" s="43">
        <f t="shared" si="4"/>
        <v>4.2399110000000002</v>
      </c>
      <c r="F99" s="43">
        <f t="shared" si="5"/>
        <v>14.655951999999999</v>
      </c>
      <c r="AZ99" s="38">
        <v>8.2190480000000008</v>
      </c>
      <c r="BT99" s="38">
        <v>14.655951999999999</v>
      </c>
      <c r="DM99">
        <v>0.245283</v>
      </c>
      <c r="ES99" s="38">
        <v>4.7193120000000004</v>
      </c>
      <c r="FR99" s="38">
        <v>3.7760009999999999</v>
      </c>
      <c r="FV99" s="40"/>
    </row>
    <row r="100" spans="1:178" ht="15" customHeight="1" x14ac:dyDescent="0.2">
      <c r="A100" s="3" t="s">
        <v>469</v>
      </c>
      <c r="B100" s="13" t="s">
        <v>470</v>
      </c>
      <c r="C100" s="3" t="s">
        <v>438</v>
      </c>
      <c r="E100" s="43">
        <f t="shared" si="4"/>
        <v>14.226850000000001</v>
      </c>
      <c r="F100" s="43">
        <f t="shared" si="5"/>
        <v>15.558232400000003</v>
      </c>
      <c r="G100" s="40"/>
      <c r="V100" s="38">
        <v>112.148276</v>
      </c>
      <c r="AZ100" s="38">
        <v>25.606667000000002</v>
      </c>
      <c r="BE100" s="38">
        <v>2.5666669999999998</v>
      </c>
      <c r="BT100" s="38">
        <v>8.2252670000000006</v>
      </c>
      <c r="CO100" s="38">
        <v>1</v>
      </c>
      <c r="CQ100" s="38">
        <v>4.916245</v>
      </c>
      <c r="DF100" s="38">
        <v>6.7857000000000001E-2</v>
      </c>
      <c r="EA100" s="38">
        <v>5.6901729999999997</v>
      </c>
      <c r="ER100" s="38">
        <v>2.4550000000000001</v>
      </c>
      <c r="EX100" s="38">
        <v>6.9182139999999999</v>
      </c>
      <c r="FL100" s="38">
        <v>14.86087</v>
      </c>
      <c r="FR100" s="38">
        <v>12.157638</v>
      </c>
      <c r="FV100" s="40">
        <v>1.65</v>
      </c>
    </row>
    <row r="101" spans="1:178" ht="15" customHeight="1" x14ac:dyDescent="0.2">
      <c r="A101" s="3" t="s">
        <v>471</v>
      </c>
      <c r="B101" s="13" t="s">
        <v>472</v>
      </c>
      <c r="C101" s="3" t="s">
        <v>438</v>
      </c>
      <c r="E101" s="43">
        <f t="shared" si="4"/>
        <v>14.05566475</v>
      </c>
      <c r="F101" s="43">
        <f t="shared" si="5"/>
        <v>5.8958716666666673</v>
      </c>
      <c r="AZ101" s="38">
        <v>0.72499999999999998</v>
      </c>
      <c r="BE101">
        <v>1.85</v>
      </c>
      <c r="BT101" s="38">
        <v>8.2252670000000006</v>
      </c>
      <c r="CO101" s="38">
        <v>1</v>
      </c>
      <c r="CQ101" s="38">
        <v>4.916245</v>
      </c>
      <c r="ER101" s="38">
        <v>2.5208789999999999</v>
      </c>
      <c r="ES101" s="38">
        <v>38.423775999999997</v>
      </c>
      <c r="EX101" s="38">
        <v>6.9182139999999999</v>
      </c>
      <c r="FL101" s="38">
        <v>14.86087</v>
      </c>
      <c r="FR101" s="38">
        <v>12.157638</v>
      </c>
      <c r="FV101" s="40"/>
    </row>
    <row r="102" spans="1:178" ht="15" customHeight="1" x14ac:dyDescent="0.2">
      <c r="A102" s="3" t="s">
        <v>429</v>
      </c>
      <c r="B102" s="3" t="s">
        <v>430</v>
      </c>
      <c r="C102" s="3" t="s">
        <v>408</v>
      </c>
      <c r="E102" s="43">
        <f t="shared" ref="E102:E108" si="6">IFERROR(AVERAGE(ES102,FR102,CQ102,CA102,AZ102,DM102,FM102,AX102),"")</f>
        <v>0.33066649999999997</v>
      </c>
      <c r="F102" s="43">
        <f t="shared" ref="F102:F108" si="7">IFERROR(AVERAGE(BS102,FV102,EI102,BE102,BN102,DA102,DF102,CO102,GL102,EA102,V102,DG102,BY102,BT102,ER102,BA102,FL102,O102,CI102,EX102,AE102),"")</f>
        <v>0.86974766666666692</v>
      </c>
      <c r="O102" s="38">
        <v>0.94432799999999995</v>
      </c>
      <c r="V102" s="38">
        <v>1.917878</v>
      </c>
      <c r="AZ102" s="38">
        <v>0.34200000000000003</v>
      </c>
      <c r="BE102">
        <v>1.22</v>
      </c>
      <c r="BN102" s="38">
        <v>1.131753</v>
      </c>
      <c r="BT102" s="38">
        <v>1.2858860000000001</v>
      </c>
      <c r="DA102" s="38">
        <v>0.39432699999999998</v>
      </c>
      <c r="DF102" s="38">
        <v>0.34987600000000002</v>
      </c>
      <c r="DG102" s="38">
        <v>1.189516</v>
      </c>
      <c r="ER102" s="38">
        <v>0.66564800000000002</v>
      </c>
      <c r="ES102" s="38">
        <v>0.31933299999999998</v>
      </c>
      <c r="EX102" s="38">
        <v>0.35859799999999997</v>
      </c>
      <c r="FL102" s="38">
        <v>0.36916199999999999</v>
      </c>
      <c r="FV102" s="40">
        <v>0.61</v>
      </c>
    </row>
    <row r="103" spans="1:178" ht="15" customHeight="1" x14ac:dyDescent="0.2">
      <c r="A103" s="3" t="s">
        <v>561</v>
      </c>
      <c r="B103" s="3" t="s">
        <v>562</v>
      </c>
      <c r="C103" s="3" t="s">
        <v>554</v>
      </c>
      <c r="E103" s="43">
        <f t="shared" si="6"/>
        <v>2.444496</v>
      </c>
      <c r="F103" s="43">
        <f t="shared" si="7"/>
        <v>6.9781999999999997E-2</v>
      </c>
      <c r="EX103" s="38">
        <v>6.9781999999999997E-2</v>
      </c>
      <c r="FR103" s="38">
        <v>2.444496</v>
      </c>
      <c r="FV103" s="40"/>
    </row>
    <row r="104" spans="1:178" ht="15" customHeight="1" x14ac:dyDescent="0.2">
      <c r="A104" s="3" t="s">
        <v>453</v>
      </c>
      <c r="B104" s="13" t="s">
        <v>454</v>
      </c>
      <c r="C104" s="3" t="s">
        <v>455</v>
      </c>
      <c r="E104" s="43">
        <f t="shared" si="6"/>
        <v>2.9526515</v>
      </c>
      <c r="F104" s="43">
        <f t="shared" si="7"/>
        <v>1.5905093333333333</v>
      </c>
      <c r="AZ104" s="38">
        <v>0.466667</v>
      </c>
      <c r="CO104">
        <v>1.1807909999999999</v>
      </c>
      <c r="ES104" s="38">
        <v>5.4386359999999998</v>
      </c>
      <c r="EX104" s="38">
        <v>3.0193080000000001</v>
      </c>
      <c r="FL104" s="38">
        <v>0.57142899999999996</v>
      </c>
      <c r="FV104" s="40"/>
    </row>
    <row r="105" spans="1:178" ht="15" customHeight="1" x14ac:dyDescent="0.2">
      <c r="A105" s="3" t="s">
        <v>456</v>
      </c>
      <c r="B105" s="13" t="s">
        <v>457</v>
      </c>
      <c r="C105" s="3" t="s">
        <v>455</v>
      </c>
      <c r="E105" s="43">
        <f t="shared" si="6"/>
        <v>2.9526515</v>
      </c>
      <c r="F105" s="43">
        <f t="shared" si="7"/>
        <v>1.5905093333333333</v>
      </c>
      <c r="AZ105" s="38">
        <v>0.466667</v>
      </c>
      <c r="CO105">
        <v>1.1807909999999999</v>
      </c>
      <c r="ES105" s="38">
        <v>5.4386359999999998</v>
      </c>
      <c r="EX105" s="38">
        <v>3.0193080000000001</v>
      </c>
      <c r="FL105" s="38">
        <v>0.57142899999999996</v>
      </c>
      <c r="FV105" s="40"/>
    </row>
    <row r="106" spans="1:178" ht="15" customHeight="1" x14ac:dyDescent="0.2">
      <c r="A106" s="3" t="s">
        <v>403</v>
      </c>
      <c r="B106" s="10" t="s">
        <v>404</v>
      </c>
      <c r="C106" s="3" t="s">
        <v>405</v>
      </c>
      <c r="E106" s="43">
        <f t="shared" si="6"/>
        <v>0.64964759999999999</v>
      </c>
      <c r="F106" s="43">
        <f t="shared" si="7"/>
        <v>1.64091275</v>
      </c>
      <c r="O106" s="38">
        <v>0.89353899999999997</v>
      </c>
      <c r="V106">
        <v>2.9443130000000002</v>
      </c>
      <c r="AE106">
        <v>0.59282900000000005</v>
      </c>
      <c r="AZ106">
        <v>0.70155800000000001</v>
      </c>
      <c r="BA106" s="38">
        <v>1.701068</v>
      </c>
      <c r="BE106">
        <v>0.77500000000000002</v>
      </c>
      <c r="BN106" s="38">
        <v>1.530014</v>
      </c>
      <c r="BS106" s="38">
        <v>0.45369199999999998</v>
      </c>
      <c r="BT106">
        <v>3.0291519999999998</v>
      </c>
      <c r="BY106" s="38">
        <v>2.229965</v>
      </c>
      <c r="CA106">
        <v>0.24862300000000001</v>
      </c>
      <c r="CI106" s="38">
        <v>0.94827099999999998</v>
      </c>
      <c r="CO106" s="38">
        <v>6.825145</v>
      </c>
      <c r="DA106" s="38">
        <v>1.3302700000000001</v>
      </c>
      <c r="DF106" s="38">
        <v>1.3678809999999999</v>
      </c>
      <c r="DG106" s="38">
        <v>1.639224</v>
      </c>
      <c r="EA106" s="38">
        <v>1.6177919999999999</v>
      </c>
      <c r="EI106" s="38">
        <v>1.4634480000000001</v>
      </c>
      <c r="ER106" s="38">
        <v>1.473619</v>
      </c>
      <c r="ES106">
        <v>0.97505299999999995</v>
      </c>
      <c r="EX106">
        <v>0.69584299999999999</v>
      </c>
      <c r="FL106" s="38">
        <v>0.88208600000000004</v>
      </c>
      <c r="FM106">
        <v>0.60672599999999999</v>
      </c>
      <c r="FR106">
        <v>0.71627799999999997</v>
      </c>
      <c r="FV106" s="39">
        <v>0.42510399999999998</v>
      </c>
    </row>
    <row r="107" spans="1:178" ht="15" customHeight="1" x14ac:dyDescent="0.2">
      <c r="A107" s="3" t="s">
        <v>406</v>
      </c>
      <c r="B107" s="11" t="s">
        <v>407</v>
      </c>
      <c r="C107" s="3" t="s">
        <v>408</v>
      </c>
      <c r="E107" s="43">
        <f t="shared" si="6"/>
        <v>0.64964759999999999</v>
      </c>
      <c r="F107" s="43">
        <f t="shared" si="7"/>
        <v>1.8895243333333336</v>
      </c>
      <c r="V107">
        <v>2.9443130000000002</v>
      </c>
      <c r="AE107">
        <v>0.59282900000000005</v>
      </c>
      <c r="AZ107">
        <v>0.70155800000000001</v>
      </c>
      <c r="BE107">
        <v>0.33</v>
      </c>
      <c r="BN107" s="38">
        <v>1.7526550000000001</v>
      </c>
      <c r="BS107" s="38">
        <v>0.82490799999999997</v>
      </c>
      <c r="BT107">
        <v>3.0291519999999998</v>
      </c>
      <c r="CA107">
        <v>0.24862300000000001</v>
      </c>
      <c r="CO107" s="38">
        <v>9.3128960000000003</v>
      </c>
      <c r="DA107" s="38">
        <v>1.652773</v>
      </c>
      <c r="DF107" s="38">
        <v>2.1612710000000002</v>
      </c>
      <c r="EA107" s="38">
        <v>1.8733960000000001</v>
      </c>
      <c r="EI107" s="38">
        <v>0.57452599999999998</v>
      </c>
      <c r="ER107" s="38">
        <v>1.976094</v>
      </c>
      <c r="ES107">
        <v>0.97505299999999995</v>
      </c>
      <c r="EX107">
        <v>0.69584299999999999</v>
      </c>
      <c r="FL107" s="38">
        <v>0.202209</v>
      </c>
      <c r="FM107">
        <v>0.60672599999999999</v>
      </c>
      <c r="FR107">
        <v>0.71627799999999997</v>
      </c>
      <c r="FV107" s="40">
        <v>0.42</v>
      </c>
    </row>
    <row r="108" spans="1:178" ht="15" customHeight="1" x14ac:dyDescent="0.2">
      <c r="A108" s="3" t="s">
        <v>409</v>
      </c>
      <c r="B108" s="11" t="s">
        <v>410</v>
      </c>
      <c r="C108" s="3" t="s">
        <v>408</v>
      </c>
      <c r="E108" s="43">
        <f t="shared" si="6"/>
        <v>0.64964759999999999</v>
      </c>
      <c r="F108" s="43">
        <f t="shared" si="7"/>
        <v>1.5110684499999998</v>
      </c>
      <c r="O108" s="38">
        <v>0.89353899999999997</v>
      </c>
      <c r="V108">
        <v>2.9443130000000002</v>
      </c>
      <c r="AE108">
        <v>0.59282900000000005</v>
      </c>
      <c r="AZ108">
        <v>0.70155800000000001</v>
      </c>
      <c r="BA108" s="38">
        <v>1.701068</v>
      </c>
      <c r="BE108">
        <v>1.22</v>
      </c>
      <c r="BN108" s="38">
        <v>1.3073729999999999</v>
      </c>
      <c r="BS108" s="38">
        <v>8.2476999999999995E-2</v>
      </c>
      <c r="BT108">
        <v>3.0291519999999998</v>
      </c>
      <c r="BY108" s="38">
        <v>2.229965</v>
      </c>
      <c r="CA108">
        <v>0.24862300000000001</v>
      </c>
      <c r="CI108" s="38">
        <v>0.94827099999999998</v>
      </c>
      <c r="CO108" s="38">
        <v>4.3373929999999996</v>
      </c>
      <c r="DA108" s="38">
        <v>1.0077670000000001</v>
      </c>
      <c r="DF108" s="38">
        <v>0.57449099999999997</v>
      </c>
      <c r="DG108" s="38">
        <v>1.639224</v>
      </c>
      <c r="EA108" s="38">
        <v>1.362187</v>
      </c>
      <c r="EI108" s="38">
        <v>2.3523700000000001</v>
      </c>
      <c r="ER108" s="38">
        <v>0.97114400000000001</v>
      </c>
      <c r="ES108">
        <v>0.97505299999999995</v>
      </c>
      <c r="EX108">
        <v>0.69584299999999999</v>
      </c>
      <c r="FL108" s="38">
        <v>1.561963</v>
      </c>
      <c r="FM108">
        <v>0.60672599999999999</v>
      </c>
      <c r="FR108">
        <v>0.71627799999999997</v>
      </c>
      <c r="FV108" s="40">
        <v>0.77</v>
      </c>
    </row>
    <row r="109" spans="1:178" ht="15" customHeight="1" x14ac:dyDescent="0.2">
      <c r="A109" s="3"/>
      <c r="B109" s="3"/>
      <c r="C109" s="3"/>
      <c r="FV109" s="40"/>
    </row>
    <row r="110" spans="1:178" ht="15" customHeight="1" x14ac:dyDescent="0.2">
      <c r="A110" s="3"/>
      <c r="B110" s="3"/>
      <c r="C110" s="3"/>
      <c r="FV110" s="40"/>
    </row>
    <row r="111" spans="1:178" ht="15" customHeight="1" x14ac:dyDescent="0.2">
      <c r="A111" s="3"/>
      <c r="B111" s="3"/>
      <c r="C111" s="3"/>
      <c r="FV111" s="40"/>
    </row>
    <row r="112" spans="1:178" ht="15" customHeight="1" x14ac:dyDescent="0.2">
      <c r="A112" s="3"/>
      <c r="B112" s="3"/>
      <c r="C112" s="3"/>
      <c r="FV112" s="40"/>
    </row>
    <row r="113" spans="1:178" ht="15" customHeight="1" x14ac:dyDescent="0.2">
      <c r="A113" s="3"/>
      <c r="B113" s="3"/>
      <c r="C113" s="3"/>
      <c r="FV113" s="40"/>
    </row>
    <row r="114" spans="1:178" ht="15" customHeight="1" x14ac:dyDescent="0.2">
      <c r="A114" s="3"/>
      <c r="B114" s="3"/>
      <c r="C114" s="3"/>
      <c r="FV114" s="40"/>
    </row>
    <row r="115" spans="1:178" ht="15" customHeight="1" x14ac:dyDescent="0.2">
      <c r="A115" s="3"/>
      <c r="B115" s="3"/>
      <c r="C115" s="3"/>
      <c r="FV115" s="40"/>
    </row>
    <row r="116" spans="1:178" ht="15" customHeight="1" x14ac:dyDescent="0.2">
      <c r="FV116" s="40"/>
    </row>
    <row r="117" spans="1:178" ht="15" customHeight="1" x14ac:dyDescent="0.2">
      <c r="FV117" s="40"/>
    </row>
    <row r="118" spans="1:178" ht="15" customHeight="1" x14ac:dyDescent="0.2">
      <c r="FV118" s="40"/>
    </row>
    <row r="119" spans="1:178" ht="15" customHeight="1" x14ac:dyDescent="0.2">
      <c r="FV119" s="40"/>
    </row>
    <row r="120" spans="1:178" ht="15" customHeight="1" x14ac:dyDescent="0.2">
      <c r="FV120" s="40"/>
    </row>
    <row r="121" spans="1:178" ht="15" customHeight="1" x14ac:dyDescent="0.2">
      <c r="FV121" s="40"/>
    </row>
    <row r="122" spans="1:178" ht="15" customHeight="1" x14ac:dyDescent="0.2">
      <c r="FV122" s="40"/>
    </row>
    <row r="123" spans="1:178" ht="15" customHeight="1" x14ac:dyDescent="0.2">
      <c r="FV123" s="40"/>
    </row>
    <row r="124" spans="1:178" ht="15" customHeight="1" x14ac:dyDescent="0.2">
      <c r="FV124" s="40"/>
    </row>
    <row r="125" spans="1:178" ht="15" customHeight="1" x14ac:dyDescent="0.2">
      <c r="FV125" s="40"/>
    </row>
    <row r="126" spans="1:178" ht="15" customHeight="1" x14ac:dyDescent="0.2">
      <c r="FV126" s="40"/>
    </row>
    <row r="127" spans="1:178" ht="15" customHeight="1" x14ac:dyDescent="0.2">
      <c r="FV127" s="40"/>
    </row>
    <row r="128" spans="1:178" ht="15" customHeight="1" x14ac:dyDescent="0.2">
      <c r="FV128" s="40"/>
    </row>
    <row r="129" spans="178:178" ht="15" customHeight="1" x14ac:dyDescent="0.2">
      <c r="FV129" s="40"/>
    </row>
    <row r="130" spans="178:178" ht="15" customHeight="1" x14ac:dyDescent="0.2">
      <c r="FV130" s="40"/>
    </row>
    <row r="131" spans="178:178" ht="15" customHeight="1" x14ac:dyDescent="0.2">
      <c r="FV131" s="40"/>
    </row>
    <row r="132" spans="178:178" ht="15" customHeight="1" x14ac:dyDescent="0.2">
      <c r="FV132" s="40"/>
    </row>
    <row r="133" spans="178:178" ht="15" customHeight="1" x14ac:dyDescent="0.2">
      <c r="FV133" s="40"/>
    </row>
    <row r="134" spans="178:178" ht="15" customHeight="1" x14ac:dyDescent="0.2">
      <c r="FV134" s="40"/>
    </row>
    <row r="135" spans="178:178" ht="15" customHeight="1" x14ac:dyDescent="0.2">
      <c r="FV135" s="40"/>
    </row>
    <row r="136" spans="178:178" ht="15" customHeight="1" x14ac:dyDescent="0.2">
      <c r="FV136" s="40"/>
    </row>
  </sheetData>
  <pageMargins left="0.7" right="0.7" top="0.75" bottom="0.75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INFO</vt:lpstr>
      <vt:lpstr>Data</vt:lpstr>
      <vt:lpstr>Sources</vt:lpstr>
      <vt:lpstr>Data without averages</vt:lpstr>
      <vt:lpstr>Data!Crop_data</vt:lpstr>
      <vt:lpstr>Crop_data</vt:lpstr>
      <vt:lpstr>Data!Crop_data_codes</vt:lpstr>
      <vt:lpstr>Crop_data_codes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Wilhelm Wanecek</cp:lastModifiedBy>
  <cp:revision>0</cp:revision>
  <dcterms:created xsi:type="dcterms:W3CDTF">2015-06-05T18:17:20Z</dcterms:created>
  <dcterms:modified xsi:type="dcterms:W3CDTF">2026-06-15T11:28:05Z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0x010100A603BB68AE5C0F4C908E70EB4D1DDDC3</vt:lpwstr>
  </property>
</Properties>
</file>