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filterPrivacy="1" updateLinks="never" codeName="ThisWorkbook"/>
  <xr:revisionPtr revIDLastSave="0" documentId="13_ncr:1_{BDC1BB1D-D7F1-7648-AC84-E2232B93E163}" xr6:coauthVersionLast="47" xr6:coauthVersionMax="47" xr10:uidLastSave="{00000000-0000-0000-0000-000000000000}"/>
  <bookViews>
    <workbookView xWindow="0" yWindow="660" windowWidth="29400" windowHeight="14360" activeTab="1" xr2:uid="{00000000-000D-0000-FFFF-FFFF00000000}"/>
  </bookViews>
  <sheets>
    <sheet name="INFO" sheetId="117" r:id="rId1"/>
    <sheet name="Data" sheetId="135" r:id="rId2"/>
    <sheet name="Sources" sheetId="136" r:id="rId3"/>
    <sheet name="Reference list" sheetId="122" r:id="rId4"/>
  </sheets>
  <definedNames>
    <definedName name="Crop_data">Data!$A$6:$Z$118</definedName>
    <definedName name="Crop_data_codes">Data!$A$6:$A$118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35" l="1"/>
  <c r="D36" i="135" l="1"/>
  <c r="D35" i="135"/>
  <c r="D66" i="135"/>
  <c r="D13" i="1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69" authorId="0" shapeId="0" xr:uid="{1C9E3370-6816-40CA-980C-FC1501E9C819}">
      <text>
        <r>
          <rPr>
            <sz val="11"/>
            <color theme="1"/>
            <rFont val="Calibri"/>
            <family val="2"/>
            <scheme val="minor"/>
          </rPr>
          <t>[Trådad kommentar]
I din version av Excel kan du läsa den här trådade kommentaren, men eventuella ändringar i den tas bort om filen öppnas i en senare version av Excel. Läs mer: https://go.microsoft.com/fwlink/?linkid=870924
Kommentar:
    Approximera med en annan gröda eller ta medel</t>
        </r>
      </text>
    </comment>
    <comment ref="D89" authorId="0" shapeId="0" xr:uid="{91D442DA-E470-47EA-BBF4-F651886EF87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Bolivia</t>
        </r>
      </text>
    </comment>
    <comment ref="D98" authorId="0" shapeId="0" xr:uid="{6999D27A-1281-4ECF-91C5-E5D62A9E037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ecoinvent, RoW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V34" authorId="0" shapeId="0" xr:uid="{A44E80FC-CA83-4236-ACE7-C34F982CF278}">
      <text>
        <r>
          <rPr>
            <sz val="11"/>
            <color theme="1"/>
            <rFont val="Calibri"/>
            <family val="2"/>
            <scheme val="minor"/>
          </rPr>
          <t>[Trådad kommentar]
I din version av Excel kan du läsa den här trådade kommentaren, men eventuella ändringar i den tas bort om filen öppnas i en senare version av Excel. Läs mer: https://go.microsoft.com/fwlink/?linkid=870924
Kommentar:
    Sebastian Castro-Tanzi, Thomas Dietsch, Natalia Urena, Lucia Vindas, Mark Chandler.  Analysis of management and site factors to improve the sustainability of smallholder coffee production in Tarrazú, Costa Rica, Agriculture, Ecosystems &amp; Environment, Volume 155, 2012, p 172-181</t>
        </r>
      </text>
    </comment>
  </commentList>
</comments>
</file>

<file path=xl/sharedStrings.xml><?xml version="1.0" encoding="utf-8"?>
<sst xmlns="http://schemas.openxmlformats.org/spreadsheetml/2006/main" count="1547" uniqueCount="680">
  <si>
    <t>Crops</t>
  </si>
  <si>
    <t>Crop code</t>
  </si>
  <si>
    <t>Crop</t>
  </si>
  <si>
    <t>Category</t>
  </si>
  <si>
    <t>01371</t>
  </si>
  <si>
    <t>01654</t>
  </si>
  <si>
    <t>01341</t>
  </si>
  <si>
    <t>01343</t>
  </si>
  <si>
    <t>01216</t>
  </si>
  <si>
    <t>01211</t>
  </si>
  <si>
    <t>01311</t>
  </si>
  <si>
    <t>01312</t>
  </si>
  <si>
    <t>0115</t>
  </si>
  <si>
    <t>0115_s</t>
  </si>
  <si>
    <t>0115_w</t>
  </si>
  <si>
    <t>01701</t>
  </si>
  <si>
    <t>01355.01</t>
  </si>
  <si>
    <t>01377</t>
  </si>
  <si>
    <t>01702</t>
  </si>
  <si>
    <t>01243</t>
  </si>
  <si>
    <t>01213_b</t>
  </si>
  <si>
    <t>01192</t>
  </si>
  <si>
    <t>01212</t>
  </si>
  <si>
    <t>01229</t>
  </si>
  <si>
    <t>01251</t>
  </si>
  <si>
    <t>01372</t>
  </si>
  <si>
    <t>01213_cf</t>
  </si>
  <si>
    <t>01213</t>
  </si>
  <si>
    <t>01199.90</t>
  </si>
  <si>
    <t>01344.02</t>
  </si>
  <si>
    <t>01373</t>
  </si>
  <si>
    <t>01703</t>
  </si>
  <si>
    <t>01231</t>
  </si>
  <si>
    <t>01640</t>
  </si>
  <si>
    <t>01460</t>
  </si>
  <si>
    <t>01610</t>
  </si>
  <si>
    <t>01232</t>
  </si>
  <si>
    <t>01232_gh</t>
  </si>
  <si>
    <t>01232_of</t>
  </si>
  <si>
    <t>01351.01</t>
  </si>
  <si>
    <t>01314</t>
  </si>
  <si>
    <t>01599.10</t>
  </si>
  <si>
    <t>01233</t>
  </si>
  <si>
    <t>01315</t>
  </si>
  <si>
    <t>01351.02</t>
  </si>
  <si>
    <t>01330</t>
  </si>
  <si>
    <t>01290.01</t>
  </si>
  <si>
    <t>01252</t>
  </si>
  <si>
    <t>0142</t>
  </si>
  <si>
    <t>01374</t>
  </si>
  <si>
    <t>01352</t>
  </si>
  <si>
    <t>01254</t>
  </si>
  <si>
    <t>01322</t>
  </si>
  <si>
    <t>01704</t>
  </si>
  <si>
    <t>01214</t>
  </si>
  <si>
    <t>01441</t>
  </si>
  <si>
    <t>01709.02</t>
  </si>
  <si>
    <t>0112</t>
  </si>
  <si>
    <t>01316</t>
  </si>
  <si>
    <t>0118</t>
  </si>
  <si>
    <t>01199.02</t>
  </si>
  <si>
    <t>01270</t>
  </si>
  <si>
    <t>0117</t>
  </si>
  <si>
    <t>01491.01</t>
  </si>
  <si>
    <t>01450</t>
  </si>
  <si>
    <t>01253.02</t>
  </si>
  <si>
    <t>01323</t>
  </si>
  <si>
    <t>01241.90</t>
  </si>
  <si>
    <t>01359.90</t>
  </si>
  <si>
    <t>01449.90</t>
  </si>
  <si>
    <t>01709.90</t>
  </si>
  <si>
    <t>01699</t>
  </si>
  <si>
    <t>01290.90</t>
  </si>
  <si>
    <t>01317</t>
  </si>
  <si>
    <t>01345</t>
  </si>
  <si>
    <t>01342.01</t>
  </si>
  <si>
    <t>01705</t>
  </si>
  <si>
    <t>01242</t>
  </si>
  <si>
    <t>01651</t>
  </si>
  <si>
    <t>01318</t>
  </si>
  <si>
    <t>01313</t>
  </si>
  <si>
    <t>01346</t>
  </si>
  <si>
    <t>01321</t>
  </si>
  <si>
    <t>01448</t>
  </si>
  <si>
    <t>01510</t>
  </si>
  <si>
    <t>01235</t>
  </si>
  <si>
    <t>01342.02</t>
  </si>
  <si>
    <t>01194</t>
  </si>
  <si>
    <t>01443</t>
  </si>
  <si>
    <t>01443_s</t>
  </si>
  <si>
    <t>01443_w</t>
  </si>
  <si>
    <t>01353.01</t>
  </si>
  <si>
    <t>0113</t>
  </si>
  <si>
    <t>0116</t>
  </si>
  <si>
    <t>0114</t>
  </si>
  <si>
    <t>01344.01</t>
  </si>
  <si>
    <t>0141</t>
  </si>
  <si>
    <t>01215</t>
  </si>
  <si>
    <t>01354</t>
  </si>
  <si>
    <t>01801</t>
  </si>
  <si>
    <t>01802</t>
  </si>
  <si>
    <t>01445</t>
  </si>
  <si>
    <t>01530</t>
  </si>
  <si>
    <t>01324</t>
  </si>
  <si>
    <t>01234</t>
  </si>
  <si>
    <t>01234_gh</t>
  </si>
  <si>
    <t>01234_of</t>
  </si>
  <si>
    <t>01191</t>
  </si>
  <si>
    <t>01929.02</t>
  </si>
  <si>
    <t>01709.01</t>
  </si>
  <si>
    <t>01376</t>
  </si>
  <si>
    <t>01221</t>
  </si>
  <si>
    <t>01221_gh</t>
  </si>
  <si>
    <t>01221_of</t>
  </si>
  <si>
    <t>0111</t>
  </si>
  <si>
    <t>0111_s</t>
  </si>
  <si>
    <t>0111_w</t>
  </si>
  <si>
    <t>Almonds, in shell</t>
  </si>
  <si>
    <t>Nuts</t>
  </si>
  <si>
    <t>Anise, badian, coriander, cumin, caraway, fennel and juniper berries, raw</t>
  </si>
  <si>
    <t>Vegetables</t>
  </si>
  <si>
    <t>Apples</t>
  </si>
  <si>
    <t>Fruits</t>
  </si>
  <si>
    <t>Apricots</t>
  </si>
  <si>
    <t>Artichokes</t>
  </si>
  <si>
    <t>Asparagus</t>
  </si>
  <si>
    <t>Avocados</t>
  </si>
  <si>
    <t>Bananas</t>
  </si>
  <si>
    <t>Barley, average</t>
  </si>
  <si>
    <t>Cereals, incl feed</t>
  </si>
  <si>
    <t>Barley, spring</t>
  </si>
  <si>
    <t>Cereals</t>
  </si>
  <si>
    <t>Barley, winter</t>
  </si>
  <si>
    <t>Beans, dry</t>
  </si>
  <si>
    <t>Pulses</t>
  </si>
  <si>
    <t>Blueberries</t>
  </si>
  <si>
    <t>Berries</t>
  </si>
  <si>
    <t>Brazil nuts, in shell</t>
  </si>
  <si>
    <t>Broad beans and horse beans, dry</t>
  </si>
  <si>
    <t>Pulses, incl feed</t>
  </si>
  <si>
    <t>Broad beans and horse beans, green</t>
  </si>
  <si>
    <t>Broccoli</t>
  </si>
  <si>
    <t>Buckwheat</t>
  </si>
  <si>
    <t>Seeds</t>
  </si>
  <si>
    <t>Cabbages</t>
  </si>
  <si>
    <t>Cantaloupes and other melons</t>
  </si>
  <si>
    <t>Carrots and turnips</t>
  </si>
  <si>
    <t>Cashew nuts, in shell</t>
  </si>
  <si>
    <t>Cauliflowers</t>
  </si>
  <si>
    <t>Cauliflowers and broccoli, average</t>
  </si>
  <si>
    <t>Cereals n.e.c.</t>
  </si>
  <si>
    <t>Cherries</t>
  </si>
  <si>
    <t>Chestnuts, in shell</t>
  </si>
  <si>
    <t>Chick peas, dry</t>
  </si>
  <si>
    <t>Chillies and peppers, green (Capsicum spp. and Pimenta spp.), raw</t>
  </si>
  <si>
    <t>Spices</t>
  </si>
  <si>
    <t>Cocoa beans</t>
  </si>
  <si>
    <t>Stimulants</t>
  </si>
  <si>
    <t>Coconut, in shell</t>
  </si>
  <si>
    <t>Coffee, green</t>
  </si>
  <si>
    <t>Cucumbers and gherkins, averrage</t>
  </si>
  <si>
    <t>Cucumbers and gherkins, greenhouse</t>
  </si>
  <si>
    <t>Cucumbers and gherkins, openfield</t>
  </si>
  <si>
    <t>Currants</t>
  </si>
  <si>
    <t>Dates</t>
  </si>
  <si>
    <t>Edible roots and tubers with high starch or inulin content, n.e.c., fresh</t>
  </si>
  <si>
    <t>Roots</t>
  </si>
  <si>
    <t>Eggplants (aubergines)</t>
  </si>
  <si>
    <t>Figs</t>
  </si>
  <si>
    <t>Gooseberries</t>
  </si>
  <si>
    <t>Grapes</t>
  </si>
  <si>
    <t>Green corn (maize)</t>
  </si>
  <si>
    <t>Green garlic</t>
  </si>
  <si>
    <t>Groundnuts, excluding shelled</t>
  </si>
  <si>
    <t>Hazelnuts, in shell</t>
  </si>
  <si>
    <t>Kiwi fruit</t>
  </si>
  <si>
    <t>Leeks and other alliaceous vegetables</t>
  </si>
  <si>
    <t>Lemons and limes</t>
  </si>
  <si>
    <t>Lentils, dry</t>
  </si>
  <si>
    <t>Lettuce and chicory</t>
  </si>
  <si>
    <t>Linseed</t>
  </si>
  <si>
    <t>Lupins</t>
  </si>
  <si>
    <t>Maize (corn)</t>
  </si>
  <si>
    <t>Mangoes, guavas and mangosteens</t>
  </si>
  <si>
    <t>Millet</t>
  </si>
  <si>
    <t>Mixed grain</t>
  </si>
  <si>
    <t>Mushrooms and truffles</t>
  </si>
  <si>
    <t>Mushrooms</t>
  </si>
  <si>
    <t>Oats</t>
  </si>
  <si>
    <t>Oil palm fruit</t>
  </si>
  <si>
    <t>Oil crops, tree</t>
  </si>
  <si>
    <t>Olives</t>
  </si>
  <si>
    <t>Onions and shallots, dry (excluding dehydrated)</t>
  </si>
  <si>
    <t>Oranges</t>
  </si>
  <si>
    <t>Other beans, green</t>
  </si>
  <si>
    <t>Other fruits, n.e.c.</t>
  </si>
  <si>
    <t>Other oil seeds, n.e.c.</t>
  </si>
  <si>
    <t>Oil crops</t>
  </si>
  <si>
    <t>Other pulses n.e.c.</t>
  </si>
  <si>
    <t>Other stimulant, spice and aromatic crops, n.e.c.</t>
  </si>
  <si>
    <t>Other vegetables, fresh n.e.c.</t>
  </si>
  <si>
    <t>Papayas</t>
  </si>
  <si>
    <t>Peaches and nectarines</t>
  </si>
  <si>
    <t>Pears</t>
  </si>
  <si>
    <t>Peas, dry</t>
  </si>
  <si>
    <t>Peas, green</t>
  </si>
  <si>
    <t>Pepper (Piper spp.), raw</t>
  </si>
  <si>
    <t>Pineapples</t>
  </si>
  <si>
    <t>Plantains and cooking bananas</t>
  </si>
  <si>
    <t>Plums and sloes</t>
  </si>
  <si>
    <t>Pomelos and grapefruits</t>
  </si>
  <si>
    <t>Poppy seed</t>
  </si>
  <si>
    <t>Potatoes</t>
  </si>
  <si>
    <t>Pumpkins, squash and gourds</t>
  </si>
  <si>
    <t>Quinces</t>
  </si>
  <si>
    <t>Other</t>
  </si>
  <si>
    <t>Quinoa</t>
  </si>
  <si>
    <t>Rape or colza seed, average</t>
  </si>
  <si>
    <t>Rape or colza seed, spring</t>
  </si>
  <si>
    <t>Rape or colza seed, winter</t>
  </si>
  <si>
    <t>Raspberries</t>
  </si>
  <si>
    <t>Rice</t>
  </si>
  <si>
    <t>Rye</t>
  </si>
  <si>
    <t>Sorghum</t>
  </si>
  <si>
    <t>Sour cherries</t>
  </si>
  <si>
    <t>Soya beans</t>
  </si>
  <si>
    <t>Spinach</t>
  </si>
  <si>
    <t>Strawberries</t>
  </si>
  <si>
    <t>Sugar beet</t>
  </si>
  <si>
    <t>Sugar crops</t>
  </si>
  <si>
    <t>Sugar cane</t>
  </si>
  <si>
    <t>Sunflower seed</t>
  </si>
  <si>
    <t>Sweet potatoes</t>
  </si>
  <si>
    <t>Tangerines, mandarins, clementines</t>
  </si>
  <si>
    <t>Tomatoes, average</t>
  </si>
  <si>
    <t>Tomatoes, greenhouse</t>
  </si>
  <si>
    <t>Tomatoes, openfield</t>
  </si>
  <si>
    <t>Triticale</t>
  </si>
  <si>
    <t>True hemp, raw or retted</t>
  </si>
  <si>
    <t>Vetches</t>
  </si>
  <si>
    <t>Walnuts, in shell</t>
  </si>
  <si>
    <t>Watermelons</t>
  </si>
  <si>
    <t>Watermelons, greenhouse</t>
  </si>
  <si>
    <t>Watermelons, openfield</t>
  </si>
  <si>
    <t>Wheat, average</t>
  </si>
  <si>
    <t>Wheat, spring</t>
  </si>
  <si>
    <t>Wheat, winter</t>
  </si>
  <si>
    <t>Reference list</t>
  </si>
  <si>
    <t>AR</t>
  </si>
  <si>
    <t>AU</t>
  </si>
  <si>
    <t>AT</t>
  </si>
  <si>
    <t>BE</t>
  </si>
  <si>
    <t>BO</t>
  </si>
  <si>
    <t>BR</t>
  </si>
  <si>
    <t>BG</t>
  </si>
  <si>
    <t>Default</t>
  </si>
  <si>
    <t>AF</t>
  </si>
  <si>
    <t>AL</t>
  </si>
  <si>
    <t>DZ</t>
  </si>
  <si>
    <t>AO</t>
  </si>
  <si>
    <t>AG</t>
  </si>
  <si>
    <t>AM</t>
  </si>
  <si>
    <t>AZ</t>
  </si>
  <si>
    <t>BS</t>
  </si>
  <si>
    <t>BH</t>
  </si>
  <si>
    <t>BD</t>
  </si>
  <si>
    <t>BB</t>
  </si>
  <si>
    <t>BY</t>
  </si>
  <si>
    <t>BZ</t>
  </si>
  <si>
    <t>BJ</t>
  </si>
  <si>
    <t>BT</t>
  </si>
  <si>
    <t>BA</t>
  </si>
  <si>
    <t>BW</t>
  </si>
  <si>
    <t>BN</t>
  </si>
  <si>
    <t>BF</t>
  </si>
  <si>
    <t>BI</t>
  </si>
  <si>
    <t>CV</t>
  </si>
  <si>
    <t>KH</t>
  </si>
  <si>
    <t>CM</t>
  </si>
  <si>
    <t>CA</t>
  </si>
  <si>
    <t>CF</t>
  </si>
  <si>
    <t>TD</t>
  </si>
  <si>
    <t>CL</t>
  </si>
  <si>
    <t>CN</t>
  </si>
  <si>
    <t>HK</t>
  </si>
  <si>
    <t>MO</t>
  </si>
  <si>
    <t>TW</t>
  </si>
  <si>
    <t>CO</t>
  </si>
  <si>
    <t>KM</t>
  </si>
  <si>
    <t>CD</t>
  </si>
  <si>
    <t>CG</t>
  </si>
  <si>
    <t>CK</t>
  </si>
  <si>
    <t>CR</t>
  </si>
  <si>
    <t>CI</t>
  </si>
  <si>
    <t>HR</t>
  </si>
  <si>
    <t>CU</t>
  </si>
  <si>
    <t>CY</t>
  </si>
  <si>
    <t>CZ</t>
  </si>
  <si>
    <t>KP</t>
  </si>
  <si>
    <t>DK</t>
  </si>
  <si>
    <t>DJ</t>
  </si>
  <si>
    <t>DM</t>
  </si>
  <si>
    <t>DO</t>
  </si>
  <si>
    <t>EC</t>
  </si>
  <si>
    <t>EG</t>
  </si>
  <si>
    <t>SV</t>
  </si>
  <si>
    <t>GQ</t>
  </si>
  <si>
    <t>ER</t>
  </si>
  <si>
    <t>EE</t>
  </si>
  <si>
    <t>SZ</t>
  </si>
  <si>
    <t>ET</t>
  </si>
  <si>
    <t>FO</t>
  </si>
  <si>
    <t>FJ</t>
  </si>
  <si>
    <t>FI</t>
  </si>
  <si>
    <t>FR</t>
  </si>
  <si>
    <t>PF</t>
  </si>
  <si>
    <t>GA</t>
  </si>
  <si>
    <t>GM</t>
  </si>
  <si>
    <t>GE</t>
  </si>
  <si>
    <t>DE</t>
  </si>
  <si>
    <t>GH</t>
  </si>
  <si>
    <t>GR</t>
  </si>
  <si>
    <t>GD</t>
  </si>
  <si>
    <t>GT</t>
  </si>
  <si>
    <t>GN</t>
  </si>
  <si>
    <t>GW</t>
  </si>
  <si>
    <t>GY</t>
  </si>
  <si>
    <t>HT</t>
  </si>
  <si>
    <t>HN</t>
  </si>
  <si>
    <t>HU</t>
  </si>
  <si>
    <t>IS</t>
  </si>
  <si>
    <t>IN</t>
  </si>
  <si>
    <t>ID</t>
  </si>
  <si>
    <t>IR</t>
  </si>
  <si>
    <t>IQ</t>
  </si>
  <si>
    <t>IE</t>
  </si>
  <si>
    <t>IL</t>
  </si>
  <si>
    <t>IT</t>
  </si>
  <si>
    <t>JM</t>
  </si>
  <si>
    <t>JP</t>
  </si>
  <si>
    <t>JO</t>
  </si>
  <si>
    <t>KZ</t>
  </si>
  <si>
    <t>KE</t>
  </si>
  <si>
    <t>KI</t>
  </si>
  <si>
    <t>KR</t>
  </si>
  <si>
    <t>KW</t>
  </si>
  <si>
    <t>KG</t>
  </si>
  <si>
    <t>LA</t>
  </si>
  <si>
    <t>LV</t>
  </si>
  <si>
    <t>LB</t>
  </si>
  <si>
    <t>LS</t>
  </si>
  <si>
    <t>LR</t>
  </si>
  <si>
    <t>LY</t>
  </si>
  <si>
    <t>LT</t>
  </si>
  <si>
    <t>LU</t>
  </si>
  <si>
    <t>MG</t>
  </si>
  <si>
    <t>MW</t>
  </si>
  <si>
    <t>MY</t>
  </si>
  <si>
    <t>MV</t>
  </si>
  <si>
    <t>ML</t>
  </si>
  <si>
    <t>MT</t>
  </si>
  <si>
    <t>MH</t>
  </si>
  <si>
    <t>MR</t>
  </si>
  <si>
    <t>MU</t>
  </si>
  <si>
    <t>MX</t>
  </si>
  <si>
    <t>FM</t>
  </si>
  <si>
    <t>MD</t>
  </si>
  <si>
    <t>MN</t>
  </si>
  <si>
    <t>ME</t>
  </si>
  <si>
    <t>MA</t>
  </si>
  <si>
    <t>MZ</t>
  </si>
  <si>
    <t>MM</t>
  </si>
  <si>
    <t>NA</t>
  </si>
  <si>
    <t>NR</t>
  </si>
  <si>
    <t>NP</t>
  </si>
  <si>
    <t>NL</t>
  </si>
  <si>
    <t>NC</t>
  </si>
  <si>
    <t>NZ</t>
  </si>
  <si>
    <t>NI</t>
  </si>
  <si>
    <t>NE</t>
  </si>
  <si>
    <t>NG</t>
  </si>
  <si>
    <t>NU</t>
  </si>
  <si>
    <t>MK</t>
  </si>
  <si>
    <t>NO</t>
  </si>
  <si>
    <t>OM</t>
  </si>
  <si>
    <t>PK</t>
  </si>
  <si>
    <t>PL</t>
  </si>
  <si>
    <t>PS</t>
  </si>
  <si>
    <t>PA</t>
  </si>
  <si>
    <t>PG</t>
  </si>
  <si>
    <t>PY</t>
  </si>
  <si>
    <t>PE</t>
  </si>
  <si>
    <t>PH</t>
  </si>
  <si>
    <t>PT</t>
  </si>
  <si>
    <t>PR</t>
  </si>
  <si>
    <t>QA</t>
  </si>
  <si>
    <t>RO</t>
  </si>
  <si>
    <t>RU</t>
  </si>
  <si>
    <t>RW</t>
  </si>
  <si>
    <t>KN</t>
  </si>
  <si>
    <t>LC</t>
  </si>
  <si>
    <t>VC</t>
  </si>
  <si>
    <t>WS</t>
  </si>
  <si>
    <t>ST</t>
  </si>
  <si>
    <t>SA</t>
  </si>
  <si>
    <t>SN</t>
  </si>
  <si>
    <t>RS</t>
  </si>
  <si>
    <t>SC</t>
  </si>
  <si>
    <t>SL</t>
  </si>
  <si>
    <t>SG</t>
  </si>
  <si>
    <t>SK</t>
  </si>
  <si>
    <t>SI</t>
  </si>
  <si>
    <t>SB</t>
  </si>
  <si>
    <t>SO</t>
  </si>
  <si>
    <t>ZA</t>
  </si>
  <si>
    <t>SS</t>
  </si>
  <si>
    <t>ES</t>
  </si>
  <si>
    <t>LK</t>
  </si>
  <si>
    <t>SD</t>
  </si>
  <si>
    <t>SR</t>
  </si>
  <si>
    <t>SE</t>
  </si>
  <si>
    <t>CH</t>
  </si>
  <si>
    <t>SY</t>
  </si>
  <si>
    <t>TJ</t>
  </si>
  <si>
    <t>TZ</t>
  </si>
  <si>
    <t>TH</t>
  </si>
  <si>
    <t>TL</t>
  </si>
  <si>
    <t>TG</t>
  </si>
  <si>
    <t>TO</t>
  </si>
  <si>
    <t>TT</t>
  </si>
  <si>
    <t>TN</t>
  </si>
  <si>
    <t>TR</t>
  </si>
  <si>
    <t>TM</t>
  </si>
  <si>
    <t>TV</t>
  </si>
  <si>
    <t>GB</t>
  </si>
  <si>
    <t>US</t>
  </si>
  <si>
    <t>UG</t>
  </si>
  <si>
    <t>UA</t>
  </si>
  <si>
    <t>AE</t>
  </si>
  <si>
    <t>UY</t>
  </si>
  <si>
    <t>UZ</t>
  </si>
  <si>
    <t>VU</t>
  </si>
  <si>
    <t>VE</t>
  </si>
  <si>
    <t>VN</t>
  </si>
  <si>
    <t>YE</t>
  </si>
  <si>
    <t>ZM</t>
  </si>
  <si>
    <t>ZW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</si>
  <si>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</si>
  <si>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</si>
  <si>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</si>
  <si>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</si>
  <si>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</si>
  <si>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</si>
  <si>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</si>
  <si>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</si>
  <si>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</si>
  <si>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</si>
  <si>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</si>
  <si>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</si>
  <si>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</si>
  <si>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</si>
  <si>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</si>
  <si>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</si>
  <si>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</si>
  <si>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</si>
  <si>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</si>
  <si>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</si>
  <si>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</si>
  <si>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</si>
  <si>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</si>
  <si>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</si>
  <si>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</si>
  <si>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</si>
  <si>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</si>
  <si>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</si>
  <si>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</si>
  <si>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</si>
  <si>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</si>
  <si>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</si>
  <si>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</si>
  <si>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</si>
  <si>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</si>
  <si>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China, Hong Kong SAR</t>
  </si>
  <si>
    <t>China, Macao SAR</t>
  </si>
  <si>
    <t>China, Taiwan Province of</t>
  </si>
  <si>
    <t>China, mainland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</si>
  <si>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</si>
  <si>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</si>
  <si>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</si>
  <si>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</si>
  <si>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</si>
  <si>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</si>
  <si>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</si>
  <si>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</si>
  <si>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</si>
  <si>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</si>
  <si>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</si>
  <si>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</si>
  <si>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</si>
  <si>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</si>
  <si>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</si>
  <si>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</si>
  <si>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</si>
  <si>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</si>
  <si>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</si>
  <si>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</si>
  <si>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</si>
  <si>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</si>
  <si>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</si>
  <si>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</si>
  <si>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</si>
  <si>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</si>
  <si>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</si>
  <si>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</si>
  <si>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</si>
  <si>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</si>
  <si>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</si>
  <si>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</si>
  <si>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</si>
  <si>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</si>
  <si>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</si>
  <si>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</si>
  <si>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</si>
  <si>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</si>
  <si>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</si>
  <si>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</si>
  <si>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</si>
  <si>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</si>
  <si>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</si>
  <si>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</si>
  <si>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</si>
  <si>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</si>
  <si>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</si>
  <si>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</si>
  <si>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</si>
  <si>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</si>
  <si>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</si>
  <si>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</si>
  <si>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</si>
  <si>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</si>
  <si>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</si>
  <si>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</si>
  <si>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</si>
  <si>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</si>
  <si>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</si>
  <si>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</si>
  <si>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</si>
  <si>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</si>
  <si>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</si>
  <si>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</si>
  <si>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</si>
  <si>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</si>
  <si>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</si>
  <si>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</si>
  <si>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</si>
  <si>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</si>
  <si>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</si>
  <si>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</si>
  <si>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</si>
  <si>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</si>
  <si>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</si>
  <si>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</si>
  <si>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</si>
  <si>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</si>
  <si>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</si>
  <si>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</si>
  <si>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</si>
  <si>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</si>
  <si>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</si>
  <si>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</si>
  <si>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</si>
  <si>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</si>
  <si>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</si>
  <si>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</si>
  <si>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</si>
  <si>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</si>
  <si>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</si>
  <si>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</si>
  <si>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</si>
  <si>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</si>
  <si>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</si>
  <si>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</si>
  <si>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</si>
  <si>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</si>
  <si>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</si>
  <si>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</si>
  <si>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</si>
  <si>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</si>
  <si>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</si>
  <si>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</si>
  <si>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</si>
  <si>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</si>
  <si>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</si>
  <si>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</si>
  <si>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</si>
  <si>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</si>
  <si>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</si>
  <si>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</si>
  <si>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</si>
  <si>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</si>
  <si>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</si>
  <si>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</si>
  <si>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</si>
  <si>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</si>
  <si>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</si>
  <si>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</si>
  <si>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</si>
  <si>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</si>
  <si>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</si>
  <si>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</si>
  <si>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</si>
  <si>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</si>
  <si>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</si>
  <si>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</si>
  <si>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</si>
  <si>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</si>
  <si>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</si>
  <si>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</si>
  <si>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</si>
  <si>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</si>
  <si>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</si>
  <si>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</si>
  <si>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</si>
  <si>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</si>
  <si>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</si>
  <si>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</si>
  <si>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</si>
  <si>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</si>
  <si>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</si>
  <si>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</si>
  <si>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</si>
  <si>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</si>
  <si>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</si>
  <si>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</si>
  <si>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</si>
  <si>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</si>
  <si>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</si>
  <si>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</si>
  <si>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</si>
  <si>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Viet Nam</t>
  </si>
  <si>
    <t>Yemen</t>
  </si>
  <si>
    <t>Zambia</t>
  </si>
  <si>
    <t>Zimbabwe</t>
  </si>
  <si>
    <t>Côte d'Ivoire</t>
  </si>
  <si>
    <t>Venezuela</t>
  </si>
  <si>
    <t>Türkiye</t>
  </si>
  <si>
    <t>ecoinvent 3.12, banana production, CO</t>
  </si>
  <si>
    <t>ecoinvent 3.12, banana production, CR</t>
  </si>
  <si>
    <t>ecoinvent 3.12, banana production, EC</t>
  </si>
  <si>
    <t>ecoinvent 3.12, banana production, IN</t>
  </si>
  <si>
    <t>ecoinvent 3.12, banana production, RoW, weighted average IN, EC, CR, CO (shares given in ecoinvent documentation under RoW)</t>
  </si>
  <si>
    <t>ecoinvent 3.12, banana production, CN</t>
  </si>
  <si>
    <t>ecoinvent 3.12, banana production, US</t>
  </si>
  <si>
    <t>Pesticide use</t>
  </si>
  <si>
    <t>ecoinvent 3.12, olive production, Spain</t>
  </si>
  <si>
    <t>ecoinvent 3.12, olive production, Italy</t>
  </si>
  <si>
    <t>ecoinvent 3.12, olive production, RoW, weighted average ES and IT (shares given in ecoinvent documentation under RoW)</t>
  </si>
  <si>
    <t>Use of pesticides per crop and country, kg per hectare</t>
  </si>
  <si>
    <t>Pesticide use per crop and country, kg per hectare</t>
  </si>
  <si>
    <t>ecoinvent 3.12, cocoa bean production, sundried, GH</t>
  </si>
  <si>
    <t>ecoinvent 3.12, cocoa bean production, sundried, CI</t>
  </si>
  <si>
    <t>ecoinvent 3.12, cocoa bean production, sundried, ID</t>
  </si>
  <si>
    <t>ecoinvent 3.12, cocoa production, sundried RoW, weighted average CI, GH and ID (shares given in ecoinvent documentation under RoW)</t>
  </si>
  <si>
    <t>ecoinvent 3.12, coconut production, dehusked RoW, weighted average IN, ID and PH (shares given in ecoinvent documentation under RoW)</t>
  </si>
  <si>
    <t>ecoinvent 3.12, coconut production, dehusked, IN</t>
  </si>
  <si>
    <t>ecoinvent 3.12, coconut production, dehusked, ID</t>
  </si>
  <si>
    <t>ecoinvent 3.12, coconut production, dehusked, PH</t>
  </si>
  <si>
    <t>FAO, 2024. Total pesticide use per area of cropland. Data for Denmark, general for all crops, used for fruits in this data collection</t>
  </si>
  <si>
    <t>Pesticide use per hectare of cropland, 2022</t>
  </si>
  <si>
    <t>Landbrugets anvendelse af pesticider fordelt på hovedafgrøder. In Pesticide Use (kg/ha) by Crop pag 79. Figure 8.1. Also App 6 in pag 123</t>
  </si>
  <si>
    <t>https://www2.mst.dk/Udgiv/publikationer/2024/02/978-87-7038-599-2.pdf</t>
  </si>
  <si>
    <t xml:space="preserve">Landbrugets anvendelse af pesticider fordelt på hovedafgrøder. In Pesticide Use (kg/ha) by Crop pag 79. Figure 8.1. </t>
  </si>
  <si>
    <t>Landbrugets anvendelse af pesticider fordelt på hovedafgrøder. In Pesticide Use (kg/ha) by Crop pag 79. Figure 8.1. *Data for vegetables</t>
  </si>
  <si>
    <t>Landbrugets anvendelse af pesticider fordelt på hovedafgrøder. In Pesticide Use (kg/ha) by Crop pag 79. Figure 8.1. *Data for potatos</t>
  </si>
  <si>
    <t>Landbrugets anvendelse af pesticider fordelt på hovedafgrøder. In Pesticide Use (kg/ha) by Crop pag 79. Figure 8.1. *Data for peas</t>
  </si>
  <si>
    <t>Landbrugets anvendelse af pesticider fordelt på hovedafgrøder. In Pesticide Use (kg/ha) by Crop pag 79. Figure 8.1. *Data for raps</t>
  </si>
  <si>
    <t>Landbrugets anvendelse af pesticider fordelt på hovedafgrøder. In Pesticide Use (kg/ha) by Crop pag 79. Figure 8.1.</t>
  </si>
  <si>
    <t>Landbrugets anvendelse af pesticider fordelt på hovedafgrøder. In Pesticide Use (kg/ha) by Crop pag 79. Figure 8.1. Also Bilag 6. Data for Raps</t>
  </si>
  <si>
    <t>Landbrugets anvendelse af pesticider fordelt på hovedafgrøder. In Pesticide Use (kg/ha) by Crop pag 79. Figure 8.1.  *Data for vegetables</t>
  </si>
  <si>
    <t>Landbrugets anvendelse af pesticider fordelt på hovedafgrøder. In Pesticide Use (kg/ha) by Crop pag 79. Figure 8.1.  *Winter cereals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</si>
</sst>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6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8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8" tint="-0.249977111117893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10"/>
      <color theme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D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2" fillId="0" borderId="0" applyNumberFormat="0" applyBorder="0" applyAlignment="0"/>
    <xf numFmtId="0" fontId="2" fillId="0" borderId="0" applyNumberFormat="0" applyBorder="0" applyAlignment="0"/>
    <xf numFmtId="0" fontId="7" fillId="0" borderId="0"/>
    <xf numFmtId="0" fontId="8" fillId="0" borderId="0"/>
    <xf numFmtId="0" fontId="3" fillId="2" borderId="0" applyNumberFormat="0" applyBorder="0" applyAlignment="0" applyProtection="0">
      <alignment horizontal="right"/>
    </xf>
    <xf numFmtId="0" fontId="9" fillId="0" borderId="0"/>
    <xf numFmtId="0" fontId="10" fillId="0" borderId="0"/>
    <xf numFmtId="0" fontId="1" fillId="0" borderId="0"/>
    <xf numFmtId="0" fontId="9" fillId="0" borderId="0"/>
    <xf numFmtId="0" fontId="1" fillId="0" borderId="0"/>
    <xf numFmtId="0" fontId="21" fillId="0" borderId="0" applyNumberFormat="0" applyFill="0" applyBorder="0" applyAlignment="0" applyProtection="0"/>
  </cellStyleXfs>
  <cellXfs count="54">
    <xf numFmtId="0" fontId="0" fillId="0" borderId="0" xfId="0"/>
    <xf numFmtId="0" fontId="3" fillId="0" borderId="0" xfId="0" applyFont="1"/>
    <xf numFmtId="49" fontId="0" fillId="0" borderId="0" xfId="0" applyNumberFormat="1"/>
    <xf numFmtId="0" fontId="11" fillId="0" borderId="0" xfId="0" applyFont="1"/>
    <xf numFmtId="0" fontId="6" fillId="0" borderId="0" xfId="0" applyFont="1"/>
    <xf numFmtId="0" fontId="8" fillId="0" borderId="0" xfId="4"/>
    <xf numFmtId="0" fontId="3" fillId="0" borderId="0" xfId="8" applyFont="1" applyAlignment="1">
      <alignment horizontal="left" vertical="top"/>
    </xf>
    <xf numFmtId="0" fontId="5" fillId="0" borderId="0" xfId="4" applyFont="1" applyAlignment="1">
      <alignment horizontal="left"/>
    </xf>
    <xf numFmtId="0" fontId="2" fillId="0" borderId="0" xfId="8" applyFont="1" applyAlignment="1">
      <alignment horizontal="left" vertical="top"/>
    </xf>
    <xf numFmtId="0" fontId="3" fillId="0" borderId="0" xfId="8" applyFont="1" applyAlignment="1">
      <alignment horizontal="left"/>
    </xf>
    <xf numFmtId="1" fontId="8" fillId="0" borderId="0" xfId="4" applyNumberFormat="1"/>
    <xf numFmtId="0" fontId="0" fillId="0" borderId="0" xfId="4" applyFont="1"/>
    <xf numFmtId="0" fontId="0" fillId="0" borderId="0" xfId="8" applyFont="1" applyAlignment="1">
      <alignment horizontal="left" vertical="top"/>
    </xf>
    <xf numFmtId="0" fontId="14" fillId="0" borderId="0" xfId="0" applyFont="1" applyAlignment="1">
      <alignment horizontal="left"/>
    </xf>
    <xf numFmtId="164" fontId="0" fillId="0" borderId="0" xfId="4" applyNumberFormat="1" applyFont="1" applyAlignment="1">
      <alignment horizontal="left" vertical="center"/>
    </xf>
    <xf numFmtId="0" fontId="5" fillId="0" borderId="0" xfId="0" applyFont="1"/>
    <xf numFmtId="164" fontId="8" fillId="0" borderId="0" xfId="4" applyNumberFormat="1" applyAlignment="1">
      <alignment horizontal="left" vertical="center"/>
    </xf>
    <xf numFmtId="0" fontId="0" fillId="0" borderId="0" xfId="8" applyFont="1" applyAlignment="1">
      <alignment vertical="center"/>
    </xf>
    <xf numFmtId="0" fontId="3" fillId="0" borderId="0" xfId="8" applyFont="1" applyAlignment="1">
      <alignment horizontal="left" vertical="center"/>
    </xf>
    <xf numFmtId="0" fontId="0" fillId="0" borderId="0" xfId="0" applyAlignment="1">
      <alignment vertical="center"/>
    </xf>
    <xf numFmtId="1" fontId="13" fillId="0" borderId="0" xfId="0" applyNumberFormat="1" applyFont="1"/>
    <xf numFmtId="0" fontId="15" fillId="0" borderId="0" xfId="0" applyFont="1"/>
    <xf numFmtId="0" fontId="0" fillId="0" borderId="0" xfId="0" applyAlignment="1">
      <alignment textRotation="90"/>
    </xf>
    <xf numFmtId="49" fontId="4" fillId="0" borderId="0" xfId="0" applyNumberFormat="1" applyFont="1"/>
    <xf numFmtId="0" fontId="17" fillId="0" borderId="0" xfId="0" applyFont="1"/>
    <xf numFmtId="0" fontId="18" fillId="0" borderId="0" xfId="0" applyFont="1" applyAlignment="1">
      <alignment horizontal="left" vertical="center"/>
    </xf>
    <xf numFmtId="0" fontId="16" fillId="0" borderId="0" xfId="0" applyFont="1"/>
    <xf numFmtId="0" fontId="18" fillId="0" borderId="0" xfId="0" applyFont="1"/>
    <xf numFmtId="1" fontId="12" fillId="0" borderId="0" xfId="0" applyNumberFormat="1" applyFont="1"/>
    <xf numFmtId="1" fontId="12" fillId="0" borderId="0" xfId="0" applyNumberFormat="1" applyFont="1" applyAlignment="1">
      <alignment vertical="center" wrapText="1"/>
    </xf>
    <xf numFmtId="1" fontId="12" fillId="3" borderId="0" xfId="0" applyNumberFormat="1" applyFont="1" applyFill="1" applyAlignment="1">
      <alignment vertical="center" wrapText="1"/>
    </xf>
    <xf numFmtId="49" fontId="16" fillId="0" borderId="0" xfId="0" applyNumberFormat="1" applyFont="1"/>
    <xf numFmtId="0" fontId="3" fillId="0" borderId="0" xfId="0" applyFont="1" applyAlignment="1">
      <alignment horizontal="left" vertical="center"/>
    </xf>
    <xf numFmtId="49" fontId="0" fillId="4" borderId="0" xfId="0" applyNumberFormat="1" applyFill="1" applyAlignment="1">
      <alignment horizontal="left" vertical="top" wrapText="1"/>
    </xf>
    <xf numFmtId="0" fontId="3" fillId="4" borderId="0" xfId="0" applyFont="1" applyFill="1" applyAlignment="1">
      <alignment vertical="top" wrapText="1"/>
    </xf>
    <xf numFmtId="0" fontId="3" fillId="4" borderId="0" xfId="0" applyFont="1" applyFill="1" applyAlignment="1">
      <alignment horizontal="left" vertical="top" wrapText="1"/>
    </xf>
    <xf numFmtId="0" fontId="0" fillId="4" borderId="0" xfId="0" applyFill="1"/>
    <xf numFmtId="165" fontId="0" fillId="0" borderId="0" xfId="0" applyNumberFormat="1"/>
    <xf numFmtId="165" fontId="4" fillId="0" borderId="0" xfId="0" applyNumberFormat="1" applyFont="1"/>
    <xf numFmtId="2" fontId="22" fillId="0" borderId="0" xfId="0" applyNumberFormat="1" applyFont="1" applyAlignment="1">
      <alignment horizontal="left" vertical="center"/>
    </xf>
    <xf numFmtId="0" fontId="23" fillId="0" borderId="0" xfId="11" applyFont="1"/>
    <xf numFmtId="2" fontId="24" fillId="0" borderId="0" xfId="0" applyNumberFormat="1" applyFont="1" applyAlignment="1">
      <alignment horizontal="right"/>
    </xf>
    <xf numFmtId="2" fontId="22" fillId="0" borderId="0" xfId="0" applyNumberFormat="1" applyFont="1"/>
    <xf numFmtId="2" fontId="24" fillId="0" borderId="0" xfId="0" applyNumberFormat="1" applyFont="1" applyAlignment="1">
      <alignment horizontal="right" vertical="center"/>
    </xf>
    <xf numFmtId="2" fontId="24" fillId="0" borderId="0" xfId="10" applyNumberFormat="1" applyFont="1" applyAlignment="1">
      <alignment horizontal="right"/>
    </xf>
    <xf numFmtId="0" fontId="25" fillId="0" borderId="0" xfId="0" applyFont="1"/>
    <xf numFmtId="2" fontId="24" fillId="0" borderId="0" xfId="4" applyNumberFormat="1" applyFont="1" applyAlignment="1">
      <alignment horizontal="right"/>
    </xf>
    <xf numFmtId="2" fontId="24" fillId="0" borderId="0" xfId="10" applyNumberFormat="1" applyFont="1"/>
    <xf numFmtId="0" fontId="22" fillId="0" borderId="0" xfId="0" applyFont="1"/>
    <xf numFmtId="0" fontId="22" fillId="0" borderId="0" xfId="0" applyFont="1" applyAlignment="1">
      <alignment horizontal="left"/>
    </xf>
    <xf numFmtId="0" fontId="24" fillId="0" borderId="0" xfId="10" applyFont="1"/>
    <xf numFmtId="1" fontId="26" fillId="0" borderId="0" xfId="0" applyNumberFormat="1" applyFont="1"/>
    <xf numFmtId="2" fontId="25" fillId="0" borderId="0" xfId="0" applyNumberFormat="1" applyFont="1" applyAlignment="1">
      <alignment horizontal="right"/>
    </xf>
    <xf numFmtId="49" fontId="3" fillId="0" borderId="0" xfId="0" applyNumberFormat="1" applyFont="1"/>
  </cellXfs>
  <cellStyles count="12">
    <cellStyle name="Hyperlink" xfId="11" xr:uid="{AAB88C2B-3272-4F6D-ACBE-296B550D52C8}"/>
    <cellStyle name="Normal" xfId="0" builtinId="0"/>
    <cellStyle name="Normal 2" xfId="4" xr:uid="{00000000-0005-0000-0000-000001000000}"/>
    <cellStyle name="Normal 2 2" xfId="2" xr:uid="{00000000-0005-0000-0000-000002000000}"/>
    <cellStyle name="Normal 2 3" xfId="10" xr:uid="{86ECBE21-E890-4194-B01E-A50365CE69F3}"/>
    <cellStyle name="Normal 3" xfId="3" xr:uid="{00000000-0005-0000-0000-000003000000}"/>
    <cellStyle name="Normal 4" xfId="1" xr:uid="{00000000-0005-0000-0000-000004000000}"/>
    <cellStyle name="Normal 5" xfId="6" xr:uid="{00000000-0005-0000-0000-000005000000}"/>
    <cellStyle name="Normal 6" xfId="7" xr:uid="{00000000-0005-0000-0000-000006000000}"/>
    <cellStyle name="Normal 6 2" xfId="9" xr:uid="{00000000-0005-0000-0000-000007000000}"/>
    <cellStyle name="Normal 7" xfId="8" xr:uid="{00000000-0005-0000-0000-000008000000}"/>
    <cellStyle name="Validate" xfId="5" xr:uid="{00000000-0005-0000-0000-000009000000}"/>
  </cellStyles>
  <dxfs count="0"/>
  <tableStyles count="0" defaultTableStyle="TableStyleMedium2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9" dT="2026-02-11T07:18:25.85" personId="{00000000-0000-0000-0000-000000000000}" id="{1C9E3370-6816-40CA-980C-FC1501E9C819}">
    <text>Approximera med en annan gröda eller ta medel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V34" dT="2026-02-08T20:05:41.77" personId="{00000000-0000-0000-0000-000000000000}" id="{A44E80FC-CA83-4236-ACE7-C34F982CF278}">
    <text>Sebastian Castro-Tanzi, Thomas Dietsch, Natalia Urena, Lucia Vindas, Mark Chandler.  Analysis of management and site factors to improve the sustainability of smallholder coffee production in Tarrazú, Costa Rica, Agriculture, Ecosystems &amp; Environment, Volume 155, 2012, p 172-181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2.mst.dk/Udgiv/publikationer/2024/02/978-87-7038-599-2.pdf" TargetMode="External"/><Relationship Id="rId18" Type="http://schemas.openxmlformats.org/officeDocument/2006/relationships/hyperlink" Target="https://ourworldindata.org/grapher/pesticide-use-per-hectare-of-cropland?mapSelect=OWID_EU27~DNK" TargetMode="External"/><Relationship Id="rId26" Type="http://schemas.openxmlformats.org/officeDocument/2006/relationships/hyperlink" Target="https://www2.mst.dk/Udgiv/publikationer/2024/02/978-87-7038-599-2.pdf" TargetMode="External"/><Relationship Id="rId3" Type="http://schemas.openxmlformats.org/officeDocument/2006/relationships/hyperlink" Target="https://www2.mst.dk/Udgiv/publikationer/2024/02/978-87-7038-599-2.pdf" TargetMode="External"/><Relationship Id="rId21" Type="http://schemas.openxmlformats.org/officeDocument/2006/relationships/hyperlink" Target="https://ourworldindata.org/grapher/pesticide-use-per-hectare-of-cropland?mapSelect=OWID_EU27~DNK" TargetMode="External"/><Relationship Id="rId34" Type="http://schemas.microsoft.com/office/2017/10/relationships/threadedComment" Target="../threadedComments/threadedComment2.xml"/><Relationship Id="rId7" Type="http://schemas.openxmlformats.org/officeDocument/2006/relationships/hyperlink" Target="https://www2.mst.dk/Udgiv/publikationer/2024/02/978-87-7038-599-2.pdf" TargetMode="External"/><Relationship Id="rId12" Type="http://schemas.openxmlformats.org/officeDocument/2006/relationships/hyperlink" Target="https://www2.mst.dk/Udgiv/publikationer/2024/02/978-87-7038-599-2.pdf" TargetMode="External"/><Relationship Id="rId17" Type="http://schemas.openxmlformats.org/officeDocument/2006/relationships/hyperlink" Target="https://www2.mst.dk/Udgiv/publikationer/2024/02/978-87-7038-599-2.pdf" TargetMode="External"/><Relationship Id="rId25" Type="http://schemas.openxmlformats.org/officeDocument/2006/relationships/hyperlink" Target="https://www2.mst.dk/Udgiv/publikationer/2024/02/978-87-7038-599-2.pdf" TargetMode="External"/><Relationship Id="rId33" Type="http://schemas.openxmlformats.org/officeDocument/2006/relationships/comments" Target="../comments2.xml"/><Relationship Id="rId2" Type="http://schemas.openxmlformats.org/officeDocument/2006/relationships/hyperlink" Target="https://www2.mst.dk/Udgiv/publikationer/2024/02/978-87-7038-599-2.pdf" TargetMode="External"/><Relationship Id="rId16" Type="http://schemas.openxmlformats.org/officeDocument/2006/relationships/hyperlink" Target="https://www2.mst.dk/Udgiv/publikationer/2024/02/978-87-7038-599-2.pdf" TargetMode="External"/><Relationship Id="rId20" Type="http://schemas.openxmlformats.org/officeDocument/2006/relationships/hyperlink" Target="https://ourworldindata.org/grapher/pesticide-use-per-hectare-of-cropland?mapSelect=OWID_EU27~DNK" TargetMode="External"/><Relationship Id="rId29" Type="http://schemas.openxmlformats.org/officeDocument/2006/relationships/hyperlink" Target="https://www2.mst.dk/Udgiv/publikationer/2024/02/978-87-7038-599-2.pdf" TargetMode="External"/><Relationship Id="rId1" Type="http://schemas.openxmlformats.org/officeDocument/2006/relationships/hyperlink" Target="https://www2.mst.dk/Udgiv/publikationer/2024/02/978-87-7038-599-2.pdf" TargetMode="External"/><Relationship Id="rId6" Type="http://schemas.openxmlformats.org/officeDocument/2006/relationships/hyperlink" Target="https://www2.mst.dk/Udgiv/publikationer/2024/02/978-87-7038-599-2.pdf" TargetMode="External"/><Relationship Id="rId11" Type="http://schemas.openxmlformats.org/officeDocument/2006/relationships/hyperlink" Target="https://www2.mst.dk/Udgiv/publikationer/2024/02/978-87-7038-599-2.pdf" TargetMode="External"/><Relationship Id="rId24" Type="http://schemas.openxmlformats.org/officeDocument/2006/relationships/hyperlink" Target="https://www2.mst.dk/Udgiv/publikationer/2024/02/978-87-7038-599-2.pdf" TargetMode="External"/><Relationship Id="rId32" Type="http://schemas.openxmlformats.org/officeDocument/2006/relationships/vmlDrawing" Target="../drawings/vmlDrawing2.vml"/><Relationship Id="rId5" Type="http://schemas.openxmlformats.org/officeDocument/2006/relationships/hyperlink" Target="https://www2.mst.dk/Udgiv/publikationer/2024/02/978-87-7038-599-2.pdf" TargetMode="External"/><Relationship Id="rId15" Type="http://schemas.openxmlformats.org/officeDocument/2006/relationships/hyperlink" Target="https://www2.mst.dk/Udgiv/publikationer/2024/02/978-87-7038-599-2.pdf" TargetMode="External"/><Relationship Id="rId23" Type="http://schemas.openxmlformats.org/officeDocument/2006/relationships/hyperlink" Target="https://www2.mst.dk/Udgiv/publikationer/2024/02/978-87-7038-599-2.pdf" TargetMode="External"/><Relationship Id="rId28" Type="http://schemas.openxmlformats.org/officeDocument/2006/relationships/hyperlink" Target="https://www2.mst.dk/Udgiv/publikationer/2024/02/978-87-7038-599-2.pdf" TargetMode="External"/><Relationship Id="rId10" Type="http://schemas.openxmlformats.org/officeDocument/2006/relationships/hyperlink" Target="https://www2.mst.dk/Udgiv/publikationer/2024/02/978-87-7038-599-2.pdf" TargetMode="External"/><Relationship Id="rId19" Type="http://schemas.openxmlformats.org/officeDocument/2006/relationships/hyperlink" Target="https://ourworldindata.org/grapher/pesticide-use-per-hectare-of-cropland?mapSelect=OWID_EU27~DNK" TargetMode="External"/><Relationship Id="rId31" Type="http://schemas.openxmlformats.org/officeDocument/2006/relationships/hyperlink" Target="https://www2.mst.dk/Udgiv/publikationer/2024/02/978-87-7038-599-2.pdf" TargetMode="External"/><Relationship Id="rId4" Type="http://schemas.openxmlformats.org/officeDocument/2006/relationships/hyperlink" Target="https://www2.mst.dk/Udgiv/publikationer/2024/02/978-87-7038-599-2.pdf" TargetMode="External"/><Relationship Id="rId9" Type="http://schemas.openxmlformats.org/officeDocument/2006/relationships/hyperlink" Target="https://www2.mst.dk/Udgiv/publikationer/2024/02/978-87-7038-599-2.pdf" TargetMode="External"/><Relationship Id="rId14" Type="http://schemas.openxmlformats.org/officeDocument/2006/relationships/hyperlink" Target="https://www2.mst.dk/Udgiv/publikationer/2024/02/978-87-7038-599-2.pdf" TargetMode="External"/><Relationship Id="rId22" Type="http://schemas.openxmlformats.org/officeDocument/2006/relationships/hyperlink" Target="https://www2.mst.dk/Udgiv/publikationer/2024/02/978-87-7038-599-2.pdf" TargetMode="External"/><Relationship Id="rId27" Type="http://schemas.openxmlformats.org/officeDocument/2006/relationships/hyperlink" Target="https://www2.mst.dk/Udgiv/publikationer/2024/02/978-87-7038-599-2.pdf" TargetMode="External"/><Relationship Id="rId30" Type="http://schemas.openxmlformats.org/officeDocument/2006/relationships/hyperlink" Target="https://ourworldindata.org/grapher/pesticide-use-per-hectare-of-cropland?mapSelect=OWID_EU27~DNK" TargetMode="External"/><Relationship Id="rId8" Type="http://schemas.openxmlformats.org/officeDocument/2006/relationships/hyperlink" Target="https://www2.mst.dk/Udgiv/publikationer/2024/02/978-87-7038-599-2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1"/>
  </sheetPr>
  <dimension ref="A2"/>
  <sheetViews>
    <sheetView workbookViewId="0">
      <selection activeCell="B12" sqref="B12"/>
    </sheetView>
  </sheetViews>
  <sheetFormatPr baseColWidth="10" defaultColWidth="8.6640625" defaultRowHeight="15" x14ac:dyDescent="0.2"/>
  <cols>
    <col min="2" max="2" width="27.33203125" customWidth="1"/>
  </cols>
  <sheetData>
    <row r="2" spans="1:1" ht="21" x14ac:dyDescent="0.25">
      <c r="A2" s="3" t="s">
        <v>653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EE517-F2A3-4D7B-B63D-A6F356545CA1}">
  <sheetPr>
    <tabColor theme="7" tint="0.59999389629810485"/>
  </sheetPr>
  <dimension ref="A2:GT125"/>
  <sheetViews>
    <sheetView tabSelected="1" topLeftCell="B12" zoomScale="80" zoomScaleNormal="80" workbookViewId="0">
      <pane xSplit="6100" topLeftCell="AF1"/>
      <selection activeCell="D7" sqref="D7"/>
      <selection pane="topRight" activeCell="BD13" sqref="BD13"/>
    </sheetView>
  </sheetViews>
  <sheetFormatPr baseColWidth="10" defaultColWidth="8.83203125" defaultRowHeight="15" x14ac:dyDescent="0.2"/>
  <cols>
    <col min="2" max="2" width="32.83203125" customWidth="1"/>
    <col min="3" max="3" width="15.33203125" customWidth="1"/>
    <col min="4" max="4" width="8.5" customWidth="1"/>
    <col min="5" max="202" width="5.6640625" customWidth="1"/>
  </cols>
  <sheetData>
    <row r="2" spans="1:202" ht="19" x14ac:dyDescent="0.25">
      <c r="A2" s="21" t="s">
        <v>658</v>
      </c>
    </row>
    <row r="4" spans="1:202" ht="78.5" customHeight="1" x14ac:dyDescent="0.2">
      <c r="A4" s="2" t="s">
        <v>0</v>
      </c>
      <c r="B4" s="1"/>
      <c r="C4" s="1"/>
      <c r="E4" s="22" t="s">
        <v>447</v>
      </c>
      <c r="F4" s="22" t="s">
        <v>448</v>
      </c>
      <c r="G4" s="22" t="s">
        <v>449</v>
      </c>
      <c r="H4" s="22" t="s">
        <v>450</v>
      </c>
      <c r="I4" s="22" t="s">
        <v>451</v>
      </c>
      <c r="J4" s="22" t="s">
        <v>452</v>
      </c>
      <c r="K4" s="22" t="s">
        <v>453</v>
      </c>
      <c r="L4" s="22" t="s">
        <v>454</v>
      </c>
      <c r="M4" s="22" t="s">
        <v>455</v>
      </c>
      <c r="N4" s="22" t="s">
        <v>456</v>
      </c>
      <c r="O4" s="22" t="s">
        <v>457</v>
      </c>
      <c r="P4" s="22" t="s">
        <v>458</v>
      </c>
      <c r="Q4" s="22" t="s">
        <v>459</v>
      </c>
      <c r="R4" s="22" t="s">
        <v>460</v>
      </c>
      <c r="S4" s="22" t="s">
        <v>461</v>
      </c>
      <c r="T4" s="22" t="s">
        <v>462</v>
      </c>
      <c r="U4" s="22" t="s">
        <v>463</v>
      </c>
      <c r="V4" s="22" t="s">
        <v>464</v>
      </c>
      <c r="W4" s="22" t="s">
        <v>465</v>
      </c>
      <c r="X4" s="22" t="s">
        <v>466</v>
      </c>
      <c r="Y4" s="22" t="s">
        <v>467</v>
      </c>
      <c r="Z4" s="22" t="s">
        <v>468</v>
      </c>
      <c r="AA4" s="22" t="s">
        <v>469</v>
      </c>
      <c r="AB4" s="22" t="s">
        <v>470</v>
      </c>
      <c r="AC4" s="22" t="s">
        <v>471</v>
      </c>
      <c r="AD4" s="22" t="s">
        <v>472</v>
      </c>
      <c r="AE4" s="22" t="s">
        <v>473</v>
      </c>
      <c r="AF4" s="22" t="s">
        <v>474</v>
      </c>
      <c r="AG4" s="22" t="s">
        <v>475</v>
      </c>
      <c r="AH4" s="22" t="s">
        <v>476</v>
      </c>
      <c r="AI4" s="22" t="s">
        <v>477</v>
      </c>
      <c r="AJ4" s="22" t="s">
        <v>478</v>
      </c>
      <c r="AK4" s="22" t="s">
        <v>479</v>
      </c>
      <c r="AL4" s="22" t="s">
        <v>480</v>
      </c>
      <c r="AM4" s="22" t="s">
        <v>482</v>
      </c>
      <c r="AN4" s="22" t="s">
        <v>483</v>
      </c>
      <c r="AO4" s="22" t="s">
        <v>484</v>
      </c>
      <c r="AP4" s="22" t="s">
        <v>485</v>
      </c>
      <c r="AQ4" s="22" t="s">
        <v>486</v>
      </c>
      <c r="AR4" s="22" t="s">
        <v>487</v>
      </c>
      <c r="AS4" s="22" t="s">
        <v>488</v>
      </c>
      <c r="AT4" s="22" t="s">
        <v>489</v>
      </c>
      <c r="AU4" s="22" t="s">
        <v>490</v>
      </c>
      <c r="AV4" s="22" t="s">
        <v>491</v>
      </c>
      <c r="AW4" s="22" t="s">
        <v>492</v>
      </c>
      <c r="AX4" s="22" t="s">
        <v>493</v>
      </c>
      <c r="AY4" s="22" t="s">
        <v>494</v>
      </c>
      <c r="AZ4" s="22" t="s">
        <v>643</v>
      </c>
      <c r="BA4" s="22" t="s">
        <v>495</v>
      </c>
      <c r="BB4" s="22" t="s">
        <v>496</v>
      </c>
      <c r="BC4" s="22" t="s">
        <v>497</v>
      </c>
      <c r="BD4" s="22" t="s">
        <v>498</v>
      </c>
      <c r="BE4" s="22" t="s">
        <v>499</v>
      </c>
      <c r="BF4" s="22" t="s">
        <v>500</v>
      </c>
      <c r="BG4" s="22" t="s">
        <v>501</v>
      </c>
      <c r="BH4" s="22" t="s">
        <v>502</v>
      </c>
      <c r="BI4" s="22" t="s">
        <v>503</v>
      </c>
      <c r="BJ4" s="22" t="s">
        <v>504</v>
      </c>
      <c r="BK4" s="22" t="s">
        <v>505</v>
      </c>
      <c r="BL4" s="22" t="s">
        <v>506</v>
      </c>
      <c r="BM4" s="22" t="s">
        <v>507</v>
      </c>
      <c r="BN4" s="22" t="s">
        <v>508</v>
      </c>
      <c r="BO4" s="22" t="s">
        <v>509</v>
      </c>
      <c r="BP4" s="22" t="s">
        <v>510</v>
      </c>
      <c r="BQ4" s="22" t="s">
        <v>511</v>
      </c>
      <c r="BR4" s="22" t="s">
        <v>512</v>
      </c>
      <c r="BS4" s="22" t="s">
        <v>513</v>
      </c>
      <c r="BT4" s="22" t="s">
        <v>514</v>
      </c>
      <c r="BU4" s="22" t="s">
        <v>515</v>
      </c>
      <c r="BV4" s="22" t="s">
        <v>516</v>
      </c>
      <c r="BW4" s="22" t="s">
        <v>517</v>
      </c>
      <c r="BX4" s="22" t="s">
        <v>518</v>
      </c>
      <c r="BY4" s="22" t="s">
        <v>519</v>
      </c>
      <c r="BZ4" s="22" t="s">
        <v>520</v>
      </c>
      <c r="CA4" s="22" t="s">
        <v>521</v>
      </c>
      <c r="CB4" s="22" t="s">
        <v>522</v>
      </c>
      <c r="CC4" s="22" t="s">
        <v>523</v>
      </c>
      <c r="CD4" s="22" t="s">
        <v>524</v>
      </c>
      <c r="CE4" s="22" t="s">
        <v>525</v>
      </c>
      <c r="CF4" s="22" t="s">
        <v>526</v>
      </c>
      <c r="CG4" s="22" t="s">
        <v>527</v>
      </c>
      <c r="CH4" s="22" t="s">
        <v>528</v>
      </c>
      <c r="CI4" s="22" t="s">
        <v>529</v>
      </c>
      <c r="CJ4" s="22" t="s">
        <v>530</v>
      </c>
      <c r="CK4" s="22" t="s">
        <v>531</v>
      </c>
      <c r="CL4" s="22" t="s">
        <v>532</v>
      </c>
      <c r="CM4" s="22" t="s">
        <v>533</v>
      </c>
      <c r="CN4" s="22" t="s">
        <v>534</v>
      </c>
      <c r="CO4" s="22" t="s">
        <v>535</v>
      </c>
      <c r="CP4" s="22" t="s">
        <v>536</v>
      </c>
      <c r="CQ4" s="22" t="s">
        <v>537</v>
      </c>
      <c r="CR4" s="22" t="s">
        <v>538</v>
      </c>
      <c r="CS4" s="22" t="s">
        <v>539</v>
      </c>
      <c r="CT4" s="22" t="s">
        <v>540</v>
      </c>
      <c r="CU4" s="22" t="s">
        <v>541</v>
      </c>
      <c r="CV4" s="22" t="s">
        <v>542</v>
      </c>
      <c r="CW4" s="22" t="s">
        <v>543</v>
      </c>
      <c r="CX4" s="22" t="s">
        <v>544</v>
      </c>
      <c r="CY4" s="22" t="s">
        <v>545</v>
      </c>
      <c r="CZ4" s="22" t="s">
        <v>546</v>
      </c>
      <c r="DA4" s="22" t="s">
        <v>547</v>
      </c>
      <c r="DB4" s="22" t="s">
        <v>548</v>
      </c>
      <c r="DC4" s="22" t="s">
        <v>549</v>
      </c>
      <c r="DD4" s="22" t="s">
        <v>550</v>
      </c>
      <c r="DE4" s="22" t="s">
        <v>551</v>
      </c>
      <c r="DF4" s="22" t="s">
        <v>552</v>
      </c>
      <c r="DG4" s="22" t="s">
        <v>553</v>
      </c>
      <c r="DH4" s="22" t="s">
        <v>554</v>
      </c>
      <c r="DI4" s="22" t="s">
        <v>555</v>
      </c>
      <c r="DJ4" s="22" t="s">
        <v>556</v>
      </c>
      <c r="DK4" s="22" t="s">
        <v>557</v>
      </c>
      <c r="DL4" s="22" t="s">
        <v>558</v>
      </c>
      <c r="DM4" s="22" t="s">
        <v>559</v>
      </c>
      <c r="DN4" s="22" t="s">
        <v>560</v>
      </c>
      <c r="DO4" s="22" t="s">
        <v>561</v>
      </c>
      <c r="DP4" s="22" t="s">
        <v>562</v>
      </c>
      <c r="DQ4" s="22" t="s">
        <v>563</v>
      </c>
      <c r="DR4" s="22" t="s">
        <v>564</v>
      </c>
      <c r="DS4" s="22" t="s">
        <v>565</v>
      </c>
      <c r="DT4" s="22" t="s">
        <v>566</v>
      </c>
      <c r="DU4" s="22" t="s">
        <v>567</v>
      </c>
      <c r="DV4" s="22" t="s">
        <v>568</v>
      </c>
      <c r="DW4" s="22" t="s">
        <v>569</v>
      </c>
      <c r="DX4" s="22" t="s">
        <v>570</v>
      </c>
      <c r="DY4" s="22" t="s">
        <v>571</v>
      </c>
      <c r="DZ4" s="22" t="s">
        <v>572</v>
      </c>
      <c r="EA4" s="22" t="s">
        <v>573</v>
      </c>
      <c r="EB4" s="22" t="s">
        <v>574</v>
      </c>
      <c r="EC4" s="22" t="s">
        <v>575</v>
      </c>
      <c r="ED4" s="22" t="s">
        <v>576</v>
      </c>
      <c r="EE4" s="22" t="s">
        <v>577</v>
      </c>
      <c r="EF4" s="22" t="s">
        <v>578</v>
      </c>
      <c r="EG4" s="22" t="s">
        <v>579</v>
      </c>
      <c r="EH4" s="22" t="s">
        <v>580</v>
      </c>
      <c r="EI4" s="22" t="s">
        <v>581</v>
      </c>
      <c r="EJ4" s="22" t="s">
        <v>582</v>
      </c>
      <c r="EK4" s="22" t="s">
        <v>583</v>
      </c>
      <c r="EL4" s="22" t="s">
        <v>584</v>
      </c>
      <c r="EM4" s="22" t="s">
        <v>585</v>
      </c>
      <c r="EN4" s="22" t="s">
        <v>586</v>
      </c>
      <c r="EO4" s="22" t="s">
        <v>587</v>
      </c>
      <c r="EP4" s="22" t="s">
        <v>588</v>
      </c>
      <c r="EQ4" s="22" t="s">
        <v>589</v>
      </c>
      <c r="ER4" s="22" t="s">
        <v>590</v>
      </c>
      <c r="ES4" s="22" t="s">
        <v>591</v>
      </c>
      <c r="ET4" s="22" t="s">
        <v>592</v>
      </c>
      <c r="EU4" s="22" t="s">
        <v>593</v>
      </c>
      <c r="EV4" s="22" t="s">
        <v>594</v>
      </c>
      <c r="EW4" s="22" t="s">
        <v>595</v>
      </c>
      <c r="EX4" s="22" t="s">
        <v>596</v>
      </c>
      <c r="EY4" s="22" t="s">
        <v>597</v>
      </c>
      <c r="EZ4" s="22" t="s">
        <v>598</v>
      </c>
      <c r="FA4" s="22" t="s">
        <v>599</v>
      </c>
      <c r="FB4" s="22" t="s">
        <v>600</v>
      </c>
      <c r="FC4" s="22" t="s">
        <v>601</v>
      </c>
      <c r="FD4" s="22" t="s">
        <v>602</v>
      </c>
      <c r="FE4" s="22" t="s">
        <v>603</v>
      </c>
      <c r="FF4" s="22" t="s">
        <v>604</v>
      </c>
      <c r="FG4" s="22" t="s">
        <v>605</v>
      </c>
      <c r="FH4" s="22" t="s">
        <v>606</v>
      </c>
      <c r="FI4" s="22" t="s">
        <v>607</v>
      </c>
      <c r="FJ4" s="22" t="s">
        <v>608</v>
      </c>
      <c r="FK4" s="22" t="s">
        <v>609</v>
      </c>
      <c r="FL4" s="22" t="s">
        <v>610</v>
      </c>
      <c r="FM4" s="22" t="s">
        <v>611</v>
      </c>
      <c r="FN4" s="22" t="s">
        <v>612</v>
      </c>
      <c r="FO4" s="22" t="s">
        <v>613</v>
      </c>
      <c r="FP4" s="22" t="s">
        <v>614</v>
      </c>
      <c r="FQ4" s="22" t="s">
        <v>615</v>
      </c>
      <c r="FR4" s="22" t="s">
        <v>616</v>
      </c>
      <c r="FS4" s="22" t="s">
        <v>617</v>
      </c>
      <c r="FT4" s="22" t="s">
        <v>618</v>
      </c>
      <c r="FU4" s="22" t="s">
        <v>619</v>
      </c>
      <c r="FV4" s="22" t="s">
        <v>620</v>
      </c>
      <c r="FW4" s="22" t="s">
        <v>621</v>
      </c>
      <c r="FX4" s="22" t="s">
        <v>622</v>
      </c>
      <c r="FY4" s="22" t="s">
        <v>623</v>
      </c>
      <c r="FZ4" s="22" t="s">
        <v>624</v>
      </c>
      <c r="GA4" s="22" t="s">
        <v>625</v>
      </c>
      <c r="GB4" s="22" t="s">
        <v>626</v>
      </c>
      <c r="GC4" s="22" t="s">
        <v>627</v>
      </c>
      <c r="GD4" s="22" t="s">
        <v>628</v>
      </c>
      <c r="GE4" s="22" t="s">
        <v>629</v>
      </c>
      <c r="GF4" s="22" t="s">
        <v>645</v>
      </c>
      <c r="GG4" s="22" t="s">
        <v>630</v>
      </c>
      <c r="GH4" s="22" t="s">
        <v>631</v>
      </c>
      <c r="GI4" s="22" t="s">
        <v>632</v>
      </c>
      <c r="GJ4" s="22" t="s">
        <v>633</v>
      </c>
      <c r="GK4" s="22" t="s">
        <v>634</v>
      </c>
      <c r="GL4" s="22" t="s">
        <v>635</v>
      </c>
      <c r="GM4" s="22" t="s">
        <v>636</v>
      </c>
      <c r="GN4" s="22" t="s">
        <v>637</v>
      </c>
      <c r="GO4" s="22" t="s">
        <v>638</v>
      </c>
      <c r="GP4" s="22" t="s">
        <v>644</v>
      </c>
      <c r="GQ4" s="22" t="s">
        <v>639</v>
      </c>
      <c r="GR4" s="22" t="s">
        <v>640</v>
      </c>
      <c r="GS4" s="22" t="s">
        <v>641</v>
      </c>
      <c r="GT4" s="22" t="s">
        <v>642</v>
      </c>
    </row>
    <row r="5" spans="1:202" ht="16" x14ac:dyDescent="0.2">
      <c r="A5" s="33" t="s">
        <v>1</v>
      </c>
      <c r="B5" s="34" t="s">
        <v>2</v>
      </c>
      <c r="C5" s="35" t="s">
        <v>3</v>
      </c>
      <c r="D5" s="36" t="s">
        <v>255</v>
      </c>
      <c r="E5" s="36" t="s">
        <v>256</v>
      </c>
      <c r="F5" s="36" t="s">
        <v>257</v>
      </c>
      <c r="G5" s="36" t="s">
        <v>258</v>
      </c>
      <c r="H5" s="36" t="s">
        <v>259</v>
      </c>
      <c r="I5" s="36" t="s">
        <v>260</v>
      </c>
      <c r="J5" s="36" t="s">
        <v>248</v>
      </c>
      <c r="K5" s="36" t="s">
        <v>261</v>
      </c>
      <c r="L5" s="36" t="s">
        <v>249</v>
      </c>
      <c r="M5" s="36" t="s">
        <v>250</v>
      </c>
      <c r="N5" s="36" t="s">
        <v>262</v>
      </c>
      <c r="O5" s="36" t="s">
        <v>263</v>
      </c>
      <c r="P5" s="36" t="s">
        <v>264</v>
      </c>
      <c r="Q5" s="36" t="s">
        <v>265</v>
      </c>
      <c r="R5" s="36" t="s">
        <v>266</v>
      </c>
      <c r="S5" s="36" t="s">
        <v>267</v>
      </c>
      <c r="T5" s="36" t="s">
        <v>251</v>
      </c>
      <c r="U5" s="36" t="s">
        <v>268</v>
      </c>
      <c r="V5" s="36" t="s">
        <v>269</v>
      </c>
      <c r="W5" s="36" t="s">
        <v>270</v>
      </c>
      <c r="X5" s="36" t="s">
        <v>252</v>
      </c>
      <c r="Y5" s="36" t="s">
        <v>271</v>
      </c>
      <c r="Z5" s="36" t="s">
        <v>272</v>
      </c>
      <c r="AA5" s="36" t="s">
        <v>253</v>
      </c>
      <c r="AB5" s="36" t="s">
        <v>273</v>
      </c>
      <c r="AC5" s="36" t="s">
        <v>254</v>
      </c>
      <c r="AD5" s="36" t="s">
        <v>274</v>
      </c>
      <c r="AE5" s="36" t="s">
        <v>275</v>
      </c>
      <c r="AF5" s="36" t="s">
        <v>276</v>
      </c>
      <c r="AG5" s="36" t="s">
        <v>277</v>
      </c>
      <c r="AH5" s="36" t="s">
        <v>278</v>
      </c>
      <c r="AI5" s="36" t="s">
        <v>279</v>
      </c>
      <c r="AJ5" s="36" t="s">
        <v>280</v>
      </c>
      <c r="AK5" s="36" t="s">
        <v>281</v>
      </c>
      <c r="AL5" s="36" t="s">
        <v>282</v>
      </c>
      <c r="AM5" s="36" t="s">
        <v>284</v>
      </c>
      <c r="AN5" s="36" t="s">
        <v>285</v>
      </c>
      <c r="AO5" s="36" t="s">
        <v>286</v>
      </c>
      <c r="AP5" s="36" t="s">
        <v>283</v>
      </c>
      <c r="AQ5" s="36" t="s">
        <v>287</v>
      </c>
      <c r="AR5" s="36" t="s">
        <v>288</v>
      </c>
      <c r="AS5" s="36" t="s">
        <v>290</v>
      </c>
      <c r="AT5" s="36" t="s">
        <v>291</v>
      </c>
      <c r="AU5" s="36" t="s">
        <v>292</v>
      </c>
      <c r="AV5" s="36" t="s">
        <v>294</v>
      </c>
      <c r="AW5" s="36" t="s">
        <v>295</v>
      </c>
      <c r="AX5" s="36" t="s">
        <v>296</v>
      </c>
      <c r="AY5" s="36" t="s">
        <v>297</v>
      </c>
      <c r="AZ5" s="36" t="s">
        <v>293</v>
      </c>
      <c r="BA5" s="36" t="s">
        <v>298</v>
      </c>
      <c r="BB5" s="36" t="s">
        <v>289</v>
      </c>
      <c r="BC5" s="36" t="s">
        <v>299</v>
      </c>
      <c r="BD5" s="36" t="s">
        <v>300</v>
      </c>
      <c r="BE5" s="36" t="s">
        <v>301</v>
      </c>
      <c r="BF5" s="36" t="s">
        <v>302</v>
      </c>
      <c r="BG5" s="36" t="s">
        <v>303</v>
      </c>
      <c r="BH5" s="36" t="s">
        <v>304</v>
      </c>
      <c r="BI5" s="36" t="s">
        <v>305</v>
      </c>
      <c r="BJ5" s="36" t="s">
        <v>306</v>
      </c>
      <c r="BK5" s="36" t="s">
        <v>307</v>
      </c>
      <c r="BL5" s="36" t="s">
        <v>308</v>
      </c>
      <c r="BM5" s="36" t="s">
        <v>309</v>
      </c>
      <c r="BN5" s="36" t="s">
        <v>310</v>
      </c>
      <c r="BO5" s="36" t="s">
        <v>311</v>
      </c>
      <c r="BP5" s="36" t="s">
        <v>312</v>
      </c>
      <c r="BQ5" s="36" t="s">
        <v>313</v>
      </c>
      <c r="BR5" s="36" t="s">
        <v>314</v>
      </c>
      <c r="BS5" s="36" t="s">
        <v>315</v>
      </c>
      <c r="BT5" s="36" t="s">
        <v>316</v>
      </c>
      <c r="BU5" s="36" t="s">
        <v>317</v>
      </c>
      <c r="BV5" s="36" t="s">
        <v>318</v>
      </c>
      <c r="BW5" s="36" t="s">
        <v>319</v>
      </c>
      <c r="BX5" s="36" t="s">
        <v>320</v>
      </c>
      <c r="BY5" s="36" t="s">
        <v>321</v>
      </c>
      <c r="BZ5" s="36" t="s">
        <v>322</v>
      </c>
      <c r="CA5" s="36" t="s">
        <v>323</v>
      </c>
      <c r="CB5" s="36" t="s">
        <v>324</v>
      </c>
      <c r="CC5" s="36" t="s">
        <v>325</v>
      </c>
      <c r="CD5" s="36" t="s">
        <v>326</v>
      </c>
      <c r="CE5" s="36" t="s">
        <v>327</v>
      </c>
      <c r="CF5" s="36" t="s">
        <v>328</v>
      </c>
      <c r="CG5" s="36" t="s">
        <v>329</v>
      </c>
      <c r="CH5" s="36" t="s">
        <v>330</v>
      </c>
      <c r="CI5" s="36" t="s">
        <v>331</v>
      </c>
      <c r="CJ5" s="36" t="s">
        <v>332</v>
      </c>
      <c r="CK5" s="36" t="s">
        <v>333</v>
      </c>
      <c r="CL5" s="36" t="s">
        <v>334</v>
      </c>
      <c r="CM5" s="36" t="s">
        <v>335</v>
      </c>
      <c r="CN5" s="36" t="s">
        <v>336</v>
      </c>
      <c r="CO5" s="36" t="s">
        <v>337</v>
      </c>
      <c r="CP5" s="36" t="s">
        <v>338</v>
      </c>
      <c r="CQ5" s="36" t="s">
        <v>339</v>
      </c>
      <c r="CR5" s="36" t="s">
        <v>340</v>
      </c>
      <c r="CS5" s="36" t="s">
        <v>341</v>
      </c>
      <c r="CT5" s="36" t="s">
        <v>342</v>
      </c>
      <c r="CU5" s="36" t="s">
        <v>343</v>
      </c>
      <c r="CV5" s="36" t="s">
        <v>345</v>
      </c>
      <c r="CW5" s="36" t="s">
        <v>346</v>
      </c>
      <c r="CX5" s="36" t="s">
        <v>347</v>
      </c>
      <c r="CY5" s="36" t="s">
        <v>348</v>
      </c>
      <c r="CZ5" s="36" t="s">
        <v>349</v>
      </c>
      <c r="DA5" s="36" t="s">
        <v>350</v>
      </c>
      <c r="DB5" s="36" t="s">
        <v>351</v>
      </c>
      <c r="DC5" s="36" t="s">
        <v>352</v>
      </c>
      <c r="DD5" s="36" t="s">
        <v>353</v>
      </c>
      <c r="DE5" s="36" t="s">
        <v>354</v>
      </c>
      <c r="DF5" s="36" t="s">
        <v>355</v>
      </c>
      <c r="DG5" s="36" t="s">
        <v>356</v>
      </c>
      <c r="DH5" s="36" t="s">
        <v>357</v>
      </c>
      <c r="DI5" s="36" t="s">
        <v>358</v>
      </c>
      <c r="DJ5" s="36" t="s">
        <v>359</v>
      </c>
      <c r="DK5" s="36" t="s">
        <v>360</v>
      </c>
      <c r="DL5" s="36" t="s">
        <v>361</v>
      </c>
      <c r="DM5" s="36" t="s">
        <v>362</v>
      </c>
      <c r="DN5" s="36" t="s">
        <v>363</v>
      </c>
      <c r="DO5" s="36" t="s">
        <v>364</v>
      </c>
      <c r="DP5" s="36" t="s">
        <v>365</v>
      </c>
      <c r="DQ5" s="36" t="s">
        <v>367</v>
      </c>
      <c r="DR5" s="36" t="s">
        <v>368</v>
      </c>
      <c r="DS5" s="36" t="s">
        <v>369</v>
      </c>
      <c r="DT5" s="36" t="s">
        <v>370</v>
      </c>
      <c r="DU5" s="36" t="s">
        <v>371</v>
      </c>
      <c r="DV5" s="36" t="s">
        <v>372</v>
      </c>
      <c r="DW5" s="36" t="s">
        <v>373</v>
      </c>
      <c r="DX5" s="36" t="s">
        <v>374</v>
      </c>
      <c r="DY5" s="36" t="s">
        <v>375</v>
      </c>
      <c r="DZ5" s="36" t="s">
        <v>376</v>
      </c>
      <c r="EA5" s="36" t="s">
        <v>377</v>
      </c>
      <c r="EB5" s="36" t="s">
        <v>378</v>
      </c>
      <c r="EC5" s="36" t="s">
        <v>379</v>
      </c>
      <c r="ED5" s="36" t="s">
        <v>380</v>
      </c>
      <c r="EE5" s="36" t="s">
        <v>381</v>
      </c>
      <c r="EF5" s="36" t="s">
        <v>382</v>
      </c>
      <c r="EG5" s="36" t="s">
        <v>383</v>
      </c>
      <c r="EH5" s="36" t="s">
        <v>384</v>
      </c>
      <c r="EI5" s="36" t="s">
        <v>385</v>
      </c>
      <c r="EJ5" s="36" t="s">
        <v>387</v>
      </c>
      <c r="EK5" s="36" t="s">
        <v>388</v>
      </c>
      <c r="EL5" s="36" t="s">
        <v>389</v>
      </c>
      <c r="EM5" s="36" t="s">
        <v>390</v>
      </c>
      <c r="EN5" s="36" t="s">
        <v>391</v>
      </c>
      <c r="EO5" s="36" t="s">
        <v>392</v>
      </c>
      <c r="EP5" s="36" t="s">
        <v>386</v>
      </c>
      <c r="EQ5" s="36" t="s">
        <v>393</v>
      </c>
      <c r="ER5" s="36" t="s">
        <v>394</v>
      </c>
      <c r="ES5" s="36" t="s">
        <v>395</v>
      </c>
      <c r="ET5" s="36" t="s">
        <v>344</v>
      </c>
      <c r="EU5" s="36" t="s">
        <v>366</v>
      </c>
      <c r="EV5" s="36" t="s">
        <v>396</v>
      </c>
      <c r="EW5" s="36" t="s">
        <v>397</v>
      </c>
      <c r="EX5" s="36" t="s">
        <v>398</v>
      </c>
      <c r="EY5" s="36" t="s">
        <v>399</v>
      </c>
      <c r="EZ5" s="36" t="s">
        <v>400</v>
      </c>
      <c r="FA5" s="36" t="s">
        <v>401</v>
      </c>
      <c r="FB5" s="36" t="s">
        <v>402</v>
      </c>
      <c r="FC5" s="36" t="s">
        <v>403</v>
      </c>
      <c r="FD5" s="36" t="s">
        <v>404</v>
      </c>
      <c r="FE5" s="36" t="s">
        <v>405</v>
      </c>
      <c r="FF5" s="36" t="s">
        <v>406</v>
      </c>
      <c r="FG5" s="36" t="s">
        <v>407</v>
      </c>
      <c r="FH5" s="36" t="s">
        <v>408</v>
      </c>
      <c r="FI5" s="36" t="s">
        <v>409</v>
      </c>
      <c r="FJ5" s="36" t="s">
        <v>410</v>
      </c>
      <c r="FK5" s="36" t="s">
        <v>411</v>
      </c>
      <c r="FL5" s="36" t="s">
        <v>412</v>
      </c>
      <c r="FM5" s="36" t="s">
        <v>413</v>
      </c>
      <c r="FN5" s="36" t="s">
        <v>414</v>
      </c>
      <c r="FO5" s="36" t="s">
        <v>415</v>
      </c>
      <c r="FP5" s="36" t="s">
        <v>416</v>
      </c>
      <c r="FQ5" s="36" t="s">
        <v>417</v>
      </c>
      <c r="FR5" s="36" t="s">
        <v>418</v>
      </c>
      <c r="FS5" s="36" t="s">
        <v>419</v>
      </c>
      <c r="FT5" s="36" t="s">
        <v>420</v>
      </c>
      <c r="FU5" s="36" t="s">
        <v>421</v>
      </c>
      <c r="FV5" s="36" t="s">
        <v>422</v>
      </c>
      <c r="FW5" s="36" t="s">
        <v>423</v>
      </c>
      <c r="FX5" s="36" t="s">
        <v>425</v>
      </c>
      <c r="FY5" s="36" t="s">
        <v>426</v>
      </c>
      <c r="FZ5" s="36" t="s">
        <v>427</v>
      </c>
      <c r="GA5" s="36" t="s">
        <v>428</v>
      </c>
      <c r="GB5" s="36" t="s">
        <v>429</v>
      </c>
      <c r="GC5" s="36" t="s">
        <v>430</v>
      </c>
      <c r="GD5" s="36" t="s">
        <v>432</v>
      </c>
      <c r="GE5" s="36" t="s">
        <v>433</v>
      </c>
      <c r="GF5" s="36" t="s">
        <v>431</v>
      </c>
      <c r="GG5" s="36" t="s">
        <v>436</v>
      </c>
      <c r="GH5" s="36" t="s">
        <v>437</v>
      </c>
      <c r="GI5" s="36" t="s">
        <v>438</v>
      </c>
      <c r="GJ5" s="36" t="s">
        <v>434</v>
      </c>
      <c r="GK5" s="36" t="s">
        <v>424</v>
      </c>
      <c r="GL5" s="36" t="s">
        <v>435</v>
      </c>
      <c r="GM5" s="36" t="s">
        <v>439</v>
      </c>
      <c r="GN5" s="36" t="s">
        <v>440</v>
      </c>
      <c r="GO5" s="36" t="s">
        <v>441</v>
      </c>
      <c r="GP5" s="36" t="s">
        <v>442</v>
      </c>
      <c r="GQ5" s="36" t="s">
        <v>443</v>
      </c>
      <c r="GR5" s="36" t="s">
        <v>444</v>
      </c>
      <c r="GS5" s="36" t="s">
        <v>445</v>
      </c>
      <c r="GT5" s="36" t="s">
        <v>446</v>
      </c>
    </row>
    <row r="6" spans="1:202" x14ac:dyDescent="0.2">
      <c r="A6" s="2" t="s">
        <v>4</v>
      </c>
      <c r="B6" s="2" t="s">
        <v>117</v>
      </c>
      <c r="C6" s="2" t="s">
        <v>118</v>
      </c>
      <c r="D6" s="37">
        <f>0.9753*GL6</f>
        <v>10.63077</v>
      </c>
      <c r="AM6">
        <v>11.1</v>
      </c>
      <c r="AN6">
        <v>11.1</v>
      </c>
      <c r="AO6">
        <v>11.1</v>
      </c>
      <c r="AP6">
        <v>11.1</v>
      </c>
      <c r="FT6" s="28"/>
      <c r="GL6">
        <v>10.9</v>
      </c>
    </row>
    <row r="7" spans="1:202" x14ac:dyDescent="0.2">
      <c r="A7" s="2" t="s">
        <v>5</v>
      </c>
      <c r="B7" s="2" t="s">
        <v>119</v>
      </c>
      <c r="C7" s="2" t="s">
        <v>120</v>
      </c>
      <c r="FT7" s="28"/>
    </row>
    <row r="8" spans="1:202" x14ac:dyDescent="0.2">
      <c r="A8" s="2" t="s">
        <v>6</v>
      </c>
      <c r="B8" s="2" t="s">
        <v>121</v>
      </c>
      <c r="C8" s="2" t="s">
        <v>122</v>
      </c>
      <c r="BC8">
        <v>1.41</v>
      </c>
      <c r="FT8" s="29"/>
    </row>
    <row r="9" spans="1:202" x14ac:dyDescent="0.2">
      <c r="A9" s="2" t="s">
        <v>7</v>
      </c>
      <c r="B9" s="2" t="s">
        <v>123</v>
      </c>
      <c r="C9" s="2" t="s">
        <v>122</v>
      </c>
      <c r="FT9" s="28"/>
    </row>
    <row r="10" spans="1:202" x14ac:dyDescent="0.2">
      <c r="A10" s="2" t="s">
        <v>8</v>
      </c>
      <c r="B10" s="2" t="s">
        <v>124</v>
      </c>
      <c r="C10" s="2" t="s">
        <v>120</v>
      </c>
      <c r="BC10">
        <v>1.85</v>
      </c>
      <c r="FT10" s="28"/>
    </row>
    <row r="11" spans="1:202" x14ac:dyDescent="0.2">
      <c r="A11" s="2" t="s">
        <v>9</v>
      </c>
      <c r="B11" s="2" t="s">
        <v>125</v>
      </c>
      <c r="C11" s="2" t="s">
        <v>120</v>
      </c>
      <c r="BC11">
        <v>1.85</v>
      </c>
      <c r="FT11" s="28"/>
    </row>
    <row r="12" spans="1:202" x14ac:dyDescent="0.2">
      <c r="A12" s="2" t="s">
        <v>10</v>
      </c>
      <c r="B12" s="2" t="s">
        <v>126</v>
      </c>
      <c r="C12" s="2" t="s">
        <v>120</v>
      </c>
      <c r="D12" s="26"/>
      <c r="FT12" s="28"/>
    </row>
    <row r="13" spans="1:202" x14ac:dyDescent="0.2">
      <c r="A13" s="2" t="s">
        <v>11</v>
      </c>
      <c r="B13" s="2" t="s">
        <v>127</v>
      </c>
      <c r="C13" s="2" t="s">
        <v>122</v>
      </c>
      <c r="D13" s="37">
        <f>0.7067*CI13+0.1908*BG13+0.05134*AU13+0.05098*AQ13</f>
        <v>9.7277979999999982</v>
      </c>
      <c r="AQ13">
        <v>9.6999999999999993</v>
      </c>
      <c r="AU13">
        <v>64.8</v>
      </c>
      <c r="BG13">
        <v>15.4</v>
      </c>
      <c r="CI13">
        <v>4.2</v>
      </c>
      <c r="FT13" s="28"/>
    </row>
    <row r="14" spans="1:202" x14ac:dyDescent="0.2">
      <c r="A14" s="2" t="s">
        <v>12</v>
      </c>
      <c r="B14" s="2" t="s">
        <v>128</v>
      </c>
      <c r="C14" s="2" t="s">
        <v>129</v>
      </c>
      <c r="BC14">
        <v>0.77500000000000002</v>
      </c>
      <c r="FT14" s="28"/>
    </row>
    <row r="15" spans="1:202" x14ac:dyDescent="0.2">
      <c r="A15" s="2" t="s">
        <v>13</v>
      </c>
      <c r="B15" s="2" t="s">
        <v>130</v>
      </c>
      <c r="C15" s="2" t="s">
        <v>131</v>
      </c>
      <c r="BC15">
        <v>0.33</v>
      </c>
      <c r="FT15" s="28"/>
    </row>
    <row r="16" spans="1:202" x14ac:dyDescent="0.2">
      <c r="A16" s="2" t="s">
        <v>14</v>
      </c>
      <c r="B16" s="2" t="s">
        <v>132</v>
      </c>
      <c r="C16" s="2" t="s">
        <v>131</v>
      </c>
      <c r="BC16">
        <v>1.22</v>
      </c>
      <c r="FT16" s="28"/>
    </row>
    <row r="17" spans="1:176" x14ac:dyDescent="0.2">
      <c r="A17" s="2" t="s">
        <v>15</v>
      </c>
      <c r="B17" s="2" t="s">
        <v>133</v>
      </c>
      <c r="C17" s="2" t="s">
        <v>134</v>
      </c>
      <c r="BC17">
        <v>0.77</v>
      </c>
      <c r="FT17" s="29"/>
    </row>
    <row r="18" spans="1:176" x14ac:dyDescent="0.2">
      <c r="A18" s="2" t="s">
        <v>16</v>
      </c>
      <c r="B18" s="2" t="s">
        <v>135</v>
      </c>
      <c r="C18" s="2" t="s">
        <v>136</v>
      </c>
      <c r="BC18">
        <v>1.41</v>
      </c>
      <c r="FT18" s="29"/>
    </row>
    <row r="19" spans="1:176" x14ac:dyDescent="0.2">
      <c r="A19" s="2" t="s">
        <v>17</v>
      </c>
      <c r="B19" s="2" t="s">
        <v>137</v>
      </c>
      <c r="C19" s="2" t="s">
        <v>118</v>
      </c>
      <c r="FT19" s="28"/>
    </row>
    <row r="20" spans="1:176" x14ac:dyDescent="0.2">
      <c r="A20" s="2" t="s">
        <v>18</v>
      </c>
      <c r="B20" s="2" t="s">
        <v>138</v>
      </c>
      <c r="C20" s="2" t="s">
        <v>139</v>
      </c>
      <c r="BC20">
        <v>0.77</v>
      </c>
      <c r="FT20" s="29"/>
    </row>
    <row r="21" spans="1:176" x14ac:dyDescent="0.2">
      <c r="A21" s="2" t="s">
        <v>19</v>
      </c>
      <c r="B21" s="2" t="s">
        <v>140</v>
      </c>
      <c r="C21" s="2" t="s">
        <v>120</v>
      </c>
      <c r="D21" s="26"/>
      <c r="BC21">
        <v>1.85</v>
      </c>
      <c r="FT21" s="29"/>
    </row>
    <row r="22" spans="1:176" x14ac:dyDescent="0.2">
      <c r="A22" s="2" t="s">
        <v>20</v>
      </c>
      <c r="B22" s="2" t="s">
        <v>141</v>
      </c>
      <c r="C22" s="2" t="s">
        <v>120</v>
      </c>
      <c r="BC22">
        <v>1.85</v>
      </c>
      <c r="FT22" s="29"/>
    </row>
    <row r="23" spans="1:176" x14ac:dyDescent="0.2">
      <c r="A23" s="2" t="s">
        <v>21</v>
      </c>
      <c r="B23" s="2" t="s">
        <v>142</v>
      </c>
      <c r="C23" s="2" t="s">
        <v>143</v>
      </c>
    </row>
    <row r="24" spans="1:176" x14ac:dyDescent="0.2">
      <c r="A24" s="2" t="s">
        <v>22</v>
      </c>
      <c r="B24" s="2" t="s">
        <v>144</v>
      </c>
      <c r="C24" s="2" t="s">
        <v>120</v>
      </c>
      <c r="BC24">
        <v>1.85</v>
      </c>
      <c r="FT24" s="28"/>
    </row>
    <row r="25" spans="1:176" x14ac:dyDescent="0.2">
      <c r="A25" s="2" t="s">
        <v>23</v>
      </c>
      <c r="B25" s="2" t="s">
        <v>145</v>
      </c>
      <c r="C25" s="2" t="s">
        <v>122</v>
      </c>
    </row>
    <row r="26" spans="1:176" x14ac:dyDescent="0.2">
      <c r="A26" s="2" t="s">
        <v>24</v>
      </c>
      <c r="B26" s="2" t="s">
        <v>146</v>
      </c>
      <c r="C26" s="2" t="s">
        <v>120</v>
      </c>
      <c r="BC26">
        <v>2.65</v>
      </c>
      <c r="FT26" s="29"/>
    </row>
    <row r="27" spans="1:176" x14ac:dyDescent="0.2">
      <c r="A27" s="2" t="s">
        <v>25</v>
      </c>
      <c r="B27" s="2" t="s">
        <v>147</v>
      </c>
      <c r="C27" s="2" t="s">
        <v>118</v>
      </c>
    </row>
    <row r="28" spans="1:176" x14ac:dyDescent="0.2">
      <c r="A28" s="2" t="s">
        <v>26</v>
      </c>
      <c r="B28" s="2" t="s">
        <v>148</v>
      </c>
      <c r="C28" s="2" t="s">
        <v>120</v>
      </c>
      <c r="BC28">
        <v>1.85</v>
      </c>
      <c r="FP28" s="26"/>
      <c r="FT28" s="29"/>
    </row>
    <row r="29" spans="1:176" x14ac:dyDescent="0.2">
      <c r="A29" s="2" t="s">
        <v>27</v>
      </c>
      <c r="B29" s="2" t="s">
        <v>149</v>
      </c>
      <c r="C29" s="2" t="s">
        <v>120</v>
      </c>
      <c r="FT29" s="28"/>
    </row>
    <row r="30" spans="1:176" x14ac:dyDescent="0.2">
      <c r="A30" s="2" t="s">
        <v>28</v>
      </c>
      <c r="B30" s="2" t="s">
        <v>150</v>
      </c>
      <c r="C30" s="2" t="s">
        <v>131</v>
      </c>
      <c r="D30" s="26"/>
      <c r="FT30" s="28"/>
    </row>
    <row r="31" spans="1:176" x14ac:dyDescent="0.2">
      <c r="A31" s="2" t="s">
        <v>29</v>
      </c>
      <c r="B31" s="2" t="s">
        <v>151</v>
      </c>
      <c r="C31" s="2" t="s">
        <v>136</v>
      </c>
      <c r="M31" s="26"/>
      <c r="FT31" s="29"/>
    </row>
    <row r="32" spans="1:176" x14ac:dyDescent="0.2">
      <c r="A32" s="2" t="s">
        <v>30</v>
      </c>
      <c r="B32" s="2" t="s">
        <v>152</v>
      </c>
      <c r="C32" s="2" t="s">
        <v>118</v>
      </c>
      <c r="FT32" s="29"/>
    </row>
    <row r="33" spans="1:176" x14ac:dyDescent="0.2">
      <c r="A33" s="2" t="s">
        <v>31</v>
      </c>
      <c r="B33" s="2" t="s">
        <v>153</v>
      </c>
      <c r="C33" s="2" t="s">
        <v>134</v>
      </c>
      <c r="D33" s="1"/>
      <c r="FT33" s="28"/>
    </row>
    <row r="34" spans="1:176" x14ac:dyDescent="0.2">
      <c r="A34" s="2" t="s">
        <v>32</v>
      </c>
      <c r="B34" s="2" t="s">
        <v>154</v>
      </c>
      <c r="C34" s="2" t="s">
        <v>155</v>
      </c>
      <c r="FT34" s="28"/>
    </row>
    <row r="35" spans="1:176" x14ac:dyDescent="0.2">
      <c r="A35" s="2" t="s">
        <v>33</v>
      </c>
      <c r="B35" s="2" t="s">
        <v>156</v>
      </c>
      <c r="C35" s="2" t="s">
        <v>157</v>
      </c>
      <c r="D35" s="38">
        <f>0.478*AZ35+0.269*CJ35+0.253*BX35</f>
        <v>8.4564000000000004</v>
      </c>
      <c r="AZ35">
        <v>9.6</v>
      </c>
      <c r="BX35">
        <v>7.1</v>
      </c>
      <c r="CJ35">
        <v>7.7</v>
      </c>
      <c r="FT35" s="28"/>
    </row>
    <row r="36" spans="1:176" x14ac:dyDescent="0.2">
      <c r="A36" s="2" t="s">
        <v>34</v>
      </c>
      <c r="B36" s="2" t="s">
        <v>158</v>
      </c>
      <c r="C36" s="2" t="s">
        <v>118</v>
      </c>
      <c r="D36" s="38">
        <f>0.4136*CJ36+0.3486*EO36+0.2379*CI36</f>
        <v>5.7005700000000008</v>
      </c>
      <c r="CI36">
        <v>5.7</v>
      </c>
      <c r="CJ36">
        <v>5.7</v>
      </c>
      <c r="EO36">
        <v>5.7</v>
      </c>
      <c r="FT36" s="28"/>
    </row>
    <row r="37" spans="1:176" x14ac:dyDescent="0.2">
      <c r="A37" s="2" t="s">
        <v>35</v>
      </c>
      <c r="B37" s="2" t="s">
        <v>159</v>
      </c>
      <c r="C37" s="2" t="s">
        <v>157</v>
      </c>
      <c r="FT37" s="28"/>
    </row>
    <row r="38" spans="1:176" x14ac:dyDescent="0.2">
      <c r="A38" s="31" t="s">
        <v>36</v>
      </c>
      <c r="B38" s="31" t="s">
        <v>160</v>
      </c>
      <c r="C38" s="31" t="s">
        <v>120</v>
      </c>
      <c r="BC38">
        <v>1.85</v>
      </c>
      <c r="FT38" s="20"/>
    </row>
    <row r="39" spans="1:176" x14ac:dyDescent="0.2">
      <c r="A39" s="2" t="s">
        <v>37</v>
      </c>
      <c r="B39" s="2" t="s">
        <v>161</v>
      </c>
      <c r="C39" s="2" t="s">
        <v>120</v>
      </c>
      <c r="FT39" s="29"/>
    </row>
    <row r="40" spans="1:176" x14ac:dyDescent="0.2">
      <c r="A40" s="2" t="s">
        <v>38</v>
      </c>
      <c r="B40" s="2" t="s">
        <v>162</v>
      </c>
      <c r="C40" s="2" t="s">
        <v>120</v>
      </c>
      <c r="BC40">
        <v>1.85</v>
      </c>
      <c r="FT40" s="29"/>
    </row>
    <row r="41" spans="1:176" x14ac:dyDescent="0.2">
      <c r="A41" s="2" t="s">
        <v>39</v>
      </c>
      <c r="B41" s="2" t="s">
        <v>163</v>
      </c>
      <c r="C41" s="2" t="s">
        <v>136</v>
      </c>
      <c r="BC41">
        <v>1.41</v>
      </c>
      <c r="FT41" s="29"/>
    </row>
    <row r="42" spans="1:176" x14ac:dyDescent="0.2">
      <c r="A42" s="2" t="s">
        <v>40</v>
      </c>
      <c r="B42" s="2" t="s">
        <v>164</v>
      </c>
      <c r="C42" s="2" t="s">
        <v>122</v>
      </c>
      <c r="FT42" s="29"/>
    </row>
    <row r="43" spans="1:176" x14ac:dyDescent="0.2">
      <c r="A43" s="2" t="s">
        <v>41</v>
      </c>
      <c r="B43" s="2" t="s">
        <v>165</v>
      </c>
      <c r="C43" s="2" t="s">
        <v>166</v>
      </c>
      <c r="BC43">
        <v>2.65</v>
      </c>
      <c r="FT43" s="29"/>
    </row>
    <row r="44" spans="1:176" x14ac:dyDescent="0.2">
      <c r="A44" s="2" t="s">
        <v>42</v>
      </c>
      <c r="B44" s="2" t="s">
        <v>167</v>
      </c>
      <c r="C44" s="2" t="s">
        <v>120</v>
      </c>
      <c r="FT44" s="29"/>
    </row>
    <row r="45" spans="1:176" x14ac:dyDescent="0.2">
      <c r="A45" s="2" t="s">
        <v>43</v>
      </c>
      <c r="B45" s="2" t="s">
        <v>168</v>
      </c>
      <c r="C45" s="2" t="s">
        <v>122</v>
      </c>
      <c r="FT45" s="29"/>
    </row>
    <row r="46" spans="1:176" x14ac:dyDescent="0.2">
      <c r="A46" s="2" t="s">
        <v>44</v>
      </c>
      <c r="B46" s="2" t="s">
        <v>169</v>
      </c>
      <c r="C46" s="2" t="s">
        <v>136</v>
      </c>
      <c r="FT46" s="29"/>
    </row>
    <row r="47" spans="1:176" x14ac:dyDescent="0.2">
      <c r="A47" s="2" t="s">
        <v>45</v>
      </c>
      <c r="B47" s="2" t="s">
        <v>170</v>
      </c>
      <c r="C47" s="2" t="s">
        <v>122</v>
      </c>
      <c r="D47" s="26"/>
      <c r="FT47" s="29"/>
    </row>
    <row r="48" spans="1:176" x14ac:dyDescent="0.2">
      <c r="A48" s="2" t="s">
        <v>46</v>
      </c>
      <c r="B48" s="2" t="s">
        <v>171</v>
      </c>
      <c r="C48" s="2" t="s">
        <v>120</v>
      </c>
      <c r="FT48" s="29"/>
    </row>
    <row r="49" spans="1:176" x14ac:dyDescent="0.2">
      <c r="A49" s="2" t="s">
        <v>47</v>
      </c>
      <c r="B49" s="2" t="s">
        <v>172</v>
      </c>
      <c r="C49" s="2" t="s">
        <v>120</v>
      </c>
      <c r="FT49" s="29"/>
    </row>
    <row r="50" spans="1:176" x14ac:dyDescent="0.2">
      <c r="A50" s="2" t="s">
        <v>48</v>
      </c>
      <c r="B50" s="2" t="s">
        <v>173</v>
      </c>
      <c r="C50" s="2" t="s">
        <v>118</v>
      </c>
      <c r="D50" s="32"/>
      <c r="FT50" s="29"/>
    </row>
    <row r="51" spans="1:176" x14ac:dyDescent="0.2">
      <c r="A51" s="2" t="s">
        <v>49</v>
      </c>
      <c r="B51" s="2" t="s">
        <v>174</v>
      </c>
      <c r="C51" s="2" t="s">
        <v>118</v>
      </c>
      <c r="FT51" s="29"/>
    </row>
    <row r="52" spans="1:176" x14ac:dyDescent="0.2">
      <c r="A52" s="2" t="s">
        <v>50</v>
      </c>
      <c r="B52" s="2" t="s">
        <v>175</v>
      </c>
      <c r="C52" s="2" t="s">
        <v>122</v>
      </c>
      <c r="FT52" s="29"/>
    </row>
    <row r="53" spans="1:176" x14ac:dyDescent="0.2">
      <c r="A53" s="2" t="s">
        <v>51</v>
      </c>
      <c r="B53" s="2" t="s">
        <v>176</v>
      </c>
      <c r="C53" s="2" t="s">
        <v>120</v>
      </c>
      <c r="BC53">
        <v>1.85</v>
      </c>
      <c r="FT53" s="29"/>
    </row>
    <row r="54" spans="1:176" x14ac:dyDescent="0.2">
      <c r="A54" s="2" t="s">
        <v>52</v>
      </c>
      <c r="B54" s="2" t="s">
        <v>177</v>
      </c>
      <c r="C54" s="2" t="s">
        <v>122</v>
      </c>
      <c r="FT54" s="29"/>
    </row>
    <row r="55" spans="1:176" x14ac:dyDescent="0.2">
      <c r="A55" s="2" t="s">
        <v>53</v>
      </c>
      <c r="B55" s="2" t="s">
        <v>178</v>
      </c>
      <c r="C55" s="2" t="s">
        <v>134</v>
      </c>
      <c r="FT55" s="30"/>
    </row>
    <row r="56" spans="1:176" x14ac:dyDescent="0.2">
      <c r="A56" s="2" t="s">
        <v>54</v>
      </c>
      <c r="B56" s="2" t="s">
        <v>179</v>
      </c>
      <c r="C56" s="2" t="s">
        <v>120</v>
      </c>
      <c r="BC56">
        <v>1.85</v>
      </c>
      <c r="FT56" s="29"/>
    </row>
    <row r="57" spans="1:176" x14ac:dyDescent="0.2">
      <c r="A57" s="2" t="s">
        <v>55</v>
      </c>
      <c r="B57" s="2" t="s">
        <v>180</v>
      </c>
      <c r="C57" s="2" t="s">
        <v>143</v>
      </c>
      <c r="FT57" s="29"/>
    </row>
    <row r="58" spans="1:176" x14ac:dyDescent="0.2">
      <c r="A58" s="2" t="s">
        <v>56</v>
      </c>
      <c r="B58" s="2" t="s">
        <v>181</v>
      </c>
      <c r="C58" s="2" t="s">
        <v>134</v>
      </c>
      <c r="BC58">
        <v>0.77</v>
      </c>
      <c r="FT58" s="29"/>
    </row>
    <row r="59" spans="1:176" x14ac:dyDescent="0.2">
      <c r="A59" s="2" t="s">
        <v>57</v>
      </c>
      <c r="B59" s="2" t="s">
        <v>182</v>
      </c>
      <c r="C59" s="2" t="s">
        <v>129</v>
      </c>
      <c r="BC59">
        <v>0.21</v>
      </c>
      <c r="FT59" s="29"/>
    </row>
    <row r="60" spans="1:176" x14ac:dyDescent="0.2">
      <c r="A60" s="2" t="s">
        <v>58</v>
      </c>
      <c r="B60" s="2" t="s">
        <v>183</v>
      </c>
      <c r="C60" s="2" t="s">
        <v>122</v>
      </c>
      <c r="D60" s="1"/>
      <c r="FT60" s="29"/>
    </row>
    <row r="61" spans="1:176" x14ac:dyDescent="0.2">
      <c r="A61" s="2" t="s">
        <v>59</v>
      </c>
      <c r="B61" s="2" t="s">
        <v>184</v>
      </c>
      <c r="C61" s="2" t="s">
        <v>131</v>
      </c>
      <c r="D61" s="26"/>
      <c r="FT61" s="29"/>
    </row>
    <row r="62" spans="1:176" x14ac:dyDescent="0.2">
      <c r="A62" s="31" t="s">
        <v>60</v>
      </c>
      <c r="B62" s="31" t="s">
        <v>185</v>
      </c>
      <c r="C62" s="31" t="s">
        <v>131</v>
      </c>
      <c r="FT62" s="29"/>
    </row>
    <row r="63" spans="1:176" x14ac:dyDescent="0.2">
      <c r="A63" s="2" t="s">
        <v>61</v>
      </c>
      <c r="B63" s="2" t="s">
        <v>186</v>
      </c>
      <c r="C63" s="2" t="s">
        <v>187</v>
      </c>
      <c r="FT63" s="29"/>
    </row>
    <row r="64" spans="1:176" x14ac:dyDescent="0.2">
      <c r="A64" s="2" t="s">
        <v>62</v>
      </c>
      <c r="B64" s="2" t="s">
        <v>188</v>
      </c>
      <c r="C64" s="2" t="s">
        <v>129</v>
      </c>
      <c r="BC64">
        <v>0.33</v>
      </c>
      <c r="FT64" s="28"/>
    </row>
    <row r="65" spans="1:176" x14ac:dyDescent="0.2">
      <c r="A65" s="2" t="s">
        <v>63</v>
      </c>
      <c r="B65" s="2" t="s">
        <v>189</v>
      </c>
      <c r="C65" s="2" t="s">
        <v>190</v>
      </c>
      <c r="D65" s="2"/>
      <c r="FT65" s="28"/>
    </row>
    <row r="66" spans="1:176" x14ac:dyDescent="0.2">
      <c r="A66" s="2" t="s">
        <v>64</v>
      </c>
      <c r="B66" s="2" t="s">
        <v>191</v>
      </c>
      <c r="C66" s="2" t="s">
        <v>190</v>
      </c>
      <c r="D66" s="37">
        <f>0.6712*FP66+0.3288*CO66</f>
        <v>6.9504799999999998</v>
      </c>
      <c r="CO66">
        <v>16.75</v>
      </c>
      <c r="FP66">
        <v>2.15</v>
      </c>
      <c r="FT66" s="28"/>
    </row>
    <row r="67" spans="1:176" x14ac:dyDescent="0.2">
      <c r="A67" s="2" t="s">
        <v>65</v>
      </c>
      <c r="B67" s="2" t="s">
        <v>192</v>
      </c>
      <c r="C67" s="2" t="s">
        <v>120</v>
      </c>
      <c r="BC67">
        <v>1.85</v>
      </c>
      <c r="FT67" s="28"/>
    </row>
    <row r="68" spans="1:176" x14ac:dyDescent="0.2">
      <c r="A68" s="2" t="s">
        <v>66</v>
      </c>
      <c r="B68" s="2" t="s">
        <v>193</v>
      </c>
      <c r="C68" s="2" t="s">
        <v>122</v>
      </c>
      <c r="FT68" s="28"/>
    </row>
    <row r="69" spans="1:176" x14ac:dyDescent="0.2">
      <c r="A69" s="2" t="s">
        <v>67</v>
      </c>
      <c r="B69" s="31" t="s">
        <v>194</v>
      </c>
      <c r="C69" s="2" t="s">
        <v>120</v>
      </c>
      <c r="BC69">
        <v>0.77</v>
      </c>
      <c r="FT69" s="28"/>
    </row>
    <row r="70" spans="1:176" x14ac:dyDescent="0.2">
      <c r="A70" s="2" t="s">
        <v>68</v>
      </c>
      <c r="B70" s="31" t="s">
        <v>195</v>
      </c>
      <c r="C70" s="2" t="s">
        <v>122</v>
      </c>
      <c r="BC70">
        <v>1.41</v>
      </c>
      <c r="FT70" s="28"/>
    </row>
    <row r="71" spans="1:176" x14ac:dyDescent="0.2">
      <c r="A71" s="2" t="s">
        <v>69</v>
      </c>
      <c r="B71" s="31" t="s">
        <v>196</v>
      </c>
      <c r="C71" s="2" t="s">
        <v>197</v>
      </c>
      <c r="BC71">
        <v>3</v>
      </c>
      <c r="FT71" s="28"/>
    </row>
    <row r="72" spans="1:176" x14ac:dyDescent="0.2">
      <c r="A72" s="2" t="s">
        <v>70</v>
      </c>
      <c r="B72" s="31" t="s">
        <v>198</v>
      </c>
      <c r="C72" s="2" t="s">
        <v>134</v>
      </c>
      <c r="BC72">
        <v>0.77</v>
      </c>
      <c r="FT72" s="28"/>
    </row>
    <row r="73" spans="1:176" x14ac:dyDescent="0.2">
      <c r="A73" s="2" t="s">
        <v>71</v>
      </c>
      <c r="B73" s="31" t="s">
        <v>199</v>
      </c>
      <c r="C73" s="2" t="s">
        <v>157</v>
      </c>
      <c r="FT73" s="28"/>
    </row>
    <row r="74" spans="1:176" x14ac:dyDescent="0.2">
      <c r="A74" s="2" t="s">
        <v>72</v>
      </c>
      <c r="B74" s="31" t="s">
        <v>200</v>
      </c>
      <c r="C74" s="2" t="s">
        <v>120</v>
      </c>
      <c r="BC74">
        <v>1.85</v>
      </c>
      <c r="FT74" s="28"/>
    </row>
    <row r="75" spans="1:176" x14ac:dyDescent="0.2">
      <c r="A75" s="2" t="s">
        <v>73</v>
      </c>
      <c r="B75" s="2" t="s">
        <v>201</v>
      </c>
      <c r="C75" s="2" t="s">
        <v>122</v>
      </c>
      <c r="D75" s="1"/>
      <c r="FT75" s="28"/>
    </row>
    <row r="76" spans="1:176" x14ac:dyDescent="0.2">
      <c r="A76" s="2" t="s">
        <v>74</v>
      </c>
      <c r="B76" s="2" t="s">
        <v>202</v>
      </c>
      <c r="C76" s="2" t="s">
        <v>122</v>
      </c>
      <c r="FT76" s="28"/>
    </row>
    <row r="77" spans="1:176" x14ac:dyDescent="0.2">
      <c r="A77" s="2" t="s">
        <v>75</v>
      </c>
      <c r="B77" s="2" t="s">
        <v>203</v>
      </c>
      <c r="C77" s="2" t="s">
        <v>122</v>
      </c>
      <c r="BC77">
        <v>1.41</v>
      </c>
      <c r="FT77" s="28"/>
    </row>
    <row r="78" spans="1:176" x14ac:dyDescent="0.2">
      <c r="A78" s="2" t="s">
        <v>76</v>
      </c>
      <c r="B78" s="2" t="s">
        <v>204</v>
      </c>
      <c r="C78" s="2" t="s">
        <v>139</v>
      </c>
      <c r="BC78">
        <v>0.77</v>
      </c>
      <c r="FT78" s="28"/>
    </row>
    <row r="79" spans="1:176" x14ac:dyDescent="0.2">
      <c r="A79" s="2" t="s">
        <v>77</v>
      </c>
      <c r="B79" s="2" t="s">
        <v>205</v>
      </c>
      <c r="C79" s="2" t="s">
        <v>120</v>
      </c>
      <c r="BC79">
        <v>1.85</v>
      </c>
      <c r="FT79" s="28"/>
    </row>
    <row r="80" spans="1:176" x14ac:dyDescent="0.2">
      <c r="A80" s="2" t="s">
        <v>78</v>
      </c>
      <c r="B80" s="2" t="s">
        <v>206</v>
      </c>
      <c r="C80" s="2" t="s">
        <v>120</v>
      </c>
      <c r="FT80" s="28"/>
    </row>
    <row r="81" spans="1:176" x14ac:dyDescent="0.2">
      <c r="A81" s="2" t="s">
        <v>79</v>
      </c>
      <c r="B81" s="2" t="s">
        <v>207</v>
      </c>
      <c r="C81" s="2" t="s">
        <v>122</v>
      </c>
      <c r="D81" s="2"/>
      <c r="FT81" s="28"/>
    </row>
    <row r="82" spans="1:176" x14ac:dyDescent="0.2">
      <c r="A82" s="2" t="s">
        <v>80</v>
      </c>
      <c r="B82" s="2" t="s">
        <v>208</v>
      </c>
      <c r="C82" s="2" t="s">
        <v>122</v>
      </c>
      <c r="D82" s="2"/>
      <c r="FT82" s="28"/>
    </row>
    <row r="83" spans="1:176" x14ac:dyDescent="0.2">
      <c r="A83" s="2" t="s">
        <v>81</v>
      </c>
      <c r="B83" s="2" t="s">
        <v>209</v>
      </c>
      <c r="C83" s="2" t="s">
        <v>122</v>
      </c>
      <c r="FT83" s="28"/>
    </row>
    <row r="84" spans="1:176" x14ac:dyDescent="0.2">
      <c r="A84" s="2" t="s">
        <v>82</v>
      </c>
      <c r="B84" s="2" t="s">
        <v>210</v>
      </c>
      <c r="C84" s="2" t="s">
        <v>122</v>
      </c>
      <c r="FT84" s="28"/>
    </row>
    <row r="85" spans="1:176" x14ac:dyDescent="0.2">
      <c r="A85" s="2" t="s">
        <v>83</v>
      </c>
      <c r="B85" s="2" t="s">
        <v>211</v>
      </c>
      <c r="C85" s="2" t="s">
        <v>143</v>
      </c>
      <c r="D85" s="1"/>
      <c r="FT85" s="28"/>
    </row>
    <row r="86" spans="1:176" x14ac:dyDescent="0.2">
      <c r="A86" s="2" t="s">
        <v>84</v>
      </c>
      <c r="B86" s="2" t="s">
        <v>212</v>
      </c>
      <c r="C86" s="2" t="s">
        <v>166</v>
      </c>
      <c r="BC86">
        <v>2.65</v>
      </c>
      <c r="FT86" s="28"/>
    </row>
    <row r="87" spans="1:176" x14ac:dyDescent="0.2">
      <c r="A87" s="2" t="s">
        <v>85</v>
      </c>
      <c r="B87" s="2" t="s">
        <v>213</v>
      </c>
      <c r="C87" s="2" t="s">
        <v>120</v>
      </c>
      <c r="FT87" s="28"/>
    </row>
    <row r="88" spans="1:176" x14ac:dyDescent="0.2">
      <c r="A88" s="2" t="s">
        <v>86</v>
      </c>
      <c r="B88" s="2" t="s">
        <v>214</v>
      </c>
      <c r="C88" s="2" t="s">
        <v>215</v>
      </c>
      <c r="FT88" s="28"/>
    </row>
    <row r="89" spans="1:176" x14ac:dyDescent="0.2">
      <c r="A89" s="2" t="s">
        <v>87</v>
      </c>
      <c r="B89" s="2" t="s">
        <v>216</v>
      </c>
      <c r="C89" s="2" t="s">
        <v>143</v>
      </c>
      <c r="D89" s="26"/>
      <c r="FT89" s="28"/>
    </row>
    <row r="90" spans="1:176" x14ac:dyDescent="0.2">
      <c r="A90" s="2" t="s">
        <v>88</v>
      </c>
      <c r="B90" s="2" t="s">
        <v>217</v>
      </c>
      <c r="C90" s="2" t="s">
        <v>197</v>
      </c>
      <c r="BC90">
        <v>0.7</v>
      </c>
      <c r="FT90" s="28"/>
    </row>
    <row r="91" spans="1:176" x14ac:dyDescent="0.2">
      <c r="A91" s="2" t="s">
        <v>89</v>
      </c>
      <c r="B91" s="2" t="s">
        <v>218</v>
      </c>
      <c r="C91" s="2" t="s">
        <v>197</v>
      </c>
      <c r="BC91">
        <v>0.7</v>
      </c>
      <c r="FT91" s="28"/>
    </row>
    <row r="92" spans="1:176" x14ac:dyDescent="0.2">
      <c r="A92" s="2" t="s">
        <v>90</v>
      </c>
      <c r="B92" s="2" t="s">
        <v>219</v>
      </c>
      <c r="C92" s="2" t="s">
        <v>197</v>
      </c>
      <c r="BC92">
        <v>0.7</v>
      </c>
      <c r="FT92" s="28"/>
    </row>
    <row r="93" spans="1:176" x14ac:dyDescent="0.2">
      <c r="A93" s="2" t="s">
        <v>91</v>
      </c>
      <c r="B93" s="2" t="s">
        <v>220</v>
      </c>
      <c r="C93" s="2" t="s">
        <v>136</v>
      </c>
      <c r="FT93" s="28"/>
    </row>
    <row r="94" spans="1:176" x14ac:dyDescent="0.2">
      <c r="A94" s="2" t="s">
        <v>92</v>
      </c>
      <c r="B94" s="2" t="s">
        <v>221</v>
      </c>
      <c r="C94" s="2" t="s">
        <v>131</v>
      </c>
      <c r="D94" s="1"/>
      <c r="FT94" s="28"/>
    </row>
    <row r="95" spans="1:176" x14ac:dyDescent="0.2">
      <c r="A95" s="2" t="s">
        <v>93</v>
      </c>
      <c r="B95" s="2" t="s">
        <v>222</v>
      </c>
      <c r="C95" s="2" t="s">
        <v>129</v>
      </c>
      <c r="BC95">
        <v>1.22</v>
      </c>
      <c r="FT95" s="28"/>
    </row>
    <row r="96" spans="1:176" x14ac:dyDescent="0.2">
      <c r="A96" s="2" t="s">
        <v>94</v>
      </c>
      <c r="B96" s="2" t="s">
        <v>223</v>
      </c>
      <c r="C96" s="2" t="s">
        <v>131</v>
      </c>
      <c r="FT96" s="28"/>
    </row>
    <row r="97" spans="1:176" x14ac:dyDescent="0.2">
      <c r="A97" s="2" t="s">
        <v>95</v>
      </c>
      <c r="B97" s="2" t="s">
        <v>224</v>
      </c>
      <c r="C97" s="2" t="s">
        <v>122</v>
      </c>
      <c r="BC97">
        <v>1.41</v>
      </c>
      <c r="FT97" s="28"/>
    </row>
    <row r="98" spans="1:176" x14ac:dyDescent="0.2">
      <c r="A98" s="2" t="s">
        <v>96</v>
      </c>
      <c r="B98" s="2" t="s">
        <v>225</v>
      </c>
      <c r="C98" s="2" t="s">
        <v>134</v>
      </c>
      <c r="D98" s="26"/>
      <c r="FT98" s="28"/>
    </row>
    <row r="99" spans="1:176" x14ac:dyDescent="0.2">
      <c r="A99" s="2" t="s">
        <v>97</v>
      </c>
      <c r="B99" s="2" t="s">
        <v>226</v>
      </c>
      <c r="C99" s="2" t="s">
        <v>120</v>
      </c>
      <c r="BC99">
        <v>1.85</v>
      </c>
      <c r="FT99" s="28"/>
    </row>
    <row r="100" spans="1:176" x14ac:dyDescent="0.2">
      <c r="A100" s="2" t="s">
        <v>98</v>
      </c>
      <c r="B100" s="2" t="s">
        <v>227</v>
      </c>
      <c r="C100" s="2" t="s">
        <v>122</v>
      </c>
      <c r="BC100">
        <v>1.41</v>
      </c>
      <c r="FT100" s="28"/>
    </row>
    <row r="101" spans="1:176" x14ac:dyDescent="0.2">
      <c r="A101" s="2" t="s">
        <v>99</v>
      </c>
      <c r="B101" s="2" t="s">
        <v>228</v>
      </c>
      <c r="C101" s="2" t="s">
        <v>229</v>
      </c>
      <c r="BC101">
        <v>3</v>
      </c>
      <c r="FT101" s="28"/>
    </row>
    <row r="102" spans="1:176" x14ac:dyDescent="0.2">
      <c r="A102" s="2" t="s">
        <v>100</v>
      </c>
      <c r="B102" s="2" t="s">
        <v>230</v>
      </c>
      <c r="C102" s="2" t="s">
        <v>229</v>
      </c>
      <c r="FT102" s="28"/>
    </row>
    <row r="103" spans="1:176" x14ac:dyDescent="0.2">
      <c r="A103" s="2" t="s">
        <v>101</v>
      </c>
      <c r="B103" s="2" t="s">
        <v>231</v>
      </c>
      <c r="C103" s="2" t="s">
        <v>197</v>
      </c>
      <c r="BC103">
        <v>0.7</v>
      </c>
      <c r="FT103" s="28"/>
    </row>
    <row r="104" spans="1:176" x14ac:dyDescent="0.2">
      <c r="A104" s="2" t="s">
        <v>102</v>
      </c>
      <c r="B104" s="2" t="s">
        <v>232</v>
      </c>
      <c r="C104" s="2" t="s">
        <v>166</v>
      </c>
      <c r="FT104" s="28"/>
    </row>
    <row r="105" spans="1:176" x14ac:dyDescent="0.2">
      <c r="A105" s="2" t="s">
        <v>103</v>
      </c>
      <c r="B105" s="2" t="s">
        <v>233</v>
      </c>
      <c r="C105" s="2" t="s">
        <v>122</v>
      </c>
      <c r="FT105" s="28"/>
    </row>
    <row r="106" spans="1:176" x14ac:dyDescent="0.2">
      <c r="A106" s="2" t="s">
        <v>104</v>
      </c>
      <c r="B106" s="2" t="s">
        <v>234</v>
      </c>
      <c r="C106" s="2" t="s">
        <v>120</v>
      </c>
      <c r="BC106">
        <v>1.85</v>
      </c>
      <c r="FT106" s="28"/>
    </row>
    <row r="107" spans="1:176" x14ac:dyDescent="0.2">
      <c r="A107" s="2" t="s">
        <v>105</v>
      </c>
      <c r="B107" s="2" t="s">
        <v>235</v>
      </c>
      <c r="C107" s="2" t="s">
        <v>120</v>
      </c>
      <c r="FT107" s="28"/>
    </row>
    <row r="108" spans="1:176" x14ac:dyDescent="0.2">
      <c r="A108" s="2" t="s">
        <v>106</v>
      </c>
      <c r="B108" s="2" t="s">
        <v>236</v>
      </c>
      <c r="C108" s="2" t="s">
        <v>120</v>
      </c>
      <c r="BC108">
        <v>1.85</v>
      </c>
      <c r="FT108" s="28"/>
    </row>
    <row r="109" spans="1:176" x14ac:dyDescent="0.2">
      <c r="A109" s="2" t="s">
        <v>107</v>
      </c>
      <c r="B109" s="2" t="s">
        <v>237</v>
      </c>
      <c r="C109" s="2" t="s">
        <v>131</v>
      </c>
      <c r="BC109">
        <v>1.22</v>
      </c>
      <c r="FT109" s="28"/>
    </row>
    <row r="110" spans="1:176" x14ac:dyDescent="0.2">
      <c r="A110" s="2" t="s">
        <v>108</v>
      </c>
      <c r="B110" s="2" t="s">
        <v>238</v>
      </c>
      <c r="C110" s="2" t="s">
        <v>215</v>
      </c>
      <c r="BC110">
        <v>0.7</v>
      </c>
      <c r="FT110" s="28"/>
    </row>
    <row r="111" spans="1:176" x14ac:dyDescent="0.2">
      <c r="A111" s="2" t="s">
        <v>109</v>
      </c>
      <c r="B111" s="2" t="s">
        <v>239</v>
      </c>
      <c r="C111" s="2" t="s">
        <v>215</v>
      </c>
      <c r="FT111" s="28"/>
    </row>
    <row r="112" spans="1:176" x14ac:dyDescent="0.2">
      <c r="A112" s="2" t="s">
        <v>110</v>
      </c>
      <c r="B112" s="2" t="s">
        <v>240</v>
      </c>
      <c r="C112" s="2" t="s">
        <v>118</v>
      </c>
      <c r="FT112" s="28"/>
    </row>
    <row r="113" spans="1:176" x14ac:dyDescent="0.2">
      <c r="A113" s="2" t="s">
        <v>111</v>
      </c>
      <c r="B113" s="2" t="s">
        <v>241</v>
      </c>
      <c r="C113" s="2" t="s">
        <v>122</v>
      </c>
      <c r="FT113" s="28"/>
    </row>
    <row r="114" spans="1:176" x14ac:dyDescent="0.2">
      <c r="A114" s="2" t="s">
        <v>112</v>
      </c>
      <c r="B114" s="2" t="s">
        <v>242</v>
      </c>
      <c r="C114" s="2" t="s">
        <v>122</v>
      </c>
      <c r="FT114" s="28"/>
    </row>
    <row r="115" spans="1:176" x14ac:dyDescent="0.2">
      <c r="A115" s="2" t="s">
        <v>113</v>
      </c>
      <c r="B115" s="2" t="s">
        <v>243</v>
      </c>
      <c r="C115" s="2" t="s">
        <v>122</v>
      </c>
      <c r="FT115" s="28"/>
    </row>
    <row r="116" spans="1:176" x14ac:dyDescent="0.2">
      <c r="A116" s="2" t="s">
        <v>114</v>
      </c>
      <c r="B116" s="2" t="s">
        <v>244</v>
      </c>
      <c r="C116" s="2" t="s">
        <v>129</v>
      </c>
      <c r="BC116">
        <v>0.77500000000000002</v>
      </c>
      <c r="FT116" s="28"/>
    </row>
    <row r="117" spans="1:176" x14ac:dyDescent="0.2">
      <c r="A117" s="2" t="s">
        <v>115</v>
      </c>
      <c r="B117" s="2" t="s">
        <v>245</v>
      </c>
      <c r="C117" s="2" t="s">
        <v>131</v>
      </c>
      <c r="BC117">
        <v>0.33</v>
      </c>
      <c r="FT117" s="28"/>
    </row>
    <row r="118" spans="1:176" x14ac:dyDescent="0.2">
      <c r="A118" s="2" t="s">
        <v>116</v>
      </c>
      <c r="B118" s="2" t="s">
        <v>246</v>
      </c>
      <c r="C118" s="2" t="s">
        <v>131</v>
      </c>
      <c r="BC118">
        <v>1.22</v>
      </c>
      <c r="FT118" s="28"/>
    </row>
    <row r="119" spans="1:176" x14ac:dyDescent="0.2">
      <c r="A119" s="2"/>
      <c r="B119" s="2"/>
      <c r="C119" s="2"/>
    </row>
    <row r="120" spans="1:176" x14ac:dyDescent="0.2">
      <c r="A120" s="2"/>
      <c r="B120" s="2"/>
      <c r="C120" s="2"/>
    </row>
    <row r="121" spans="1:176" x14ac:dyDescent="0.2">
      <c r="A121" s="2"/>
      <c r="B121" s="2"/>
      <c r="C121" s="2"/>
    </row>
    <row r="122" spans="1:176" x14ac:dyDescent="0.2">
      <c r="A122" s="2"/>
      <c r="B122" s="2"/>
      <c r="C122" s="2"/>
    </row>
    <row r="123" spans="1:176" x14ac:dyDescent="0.2">
      <c r="A123" s="2"/>
      <c r="B123" s="2"/>
      <c r="C123" s="2"/>
    </row>
    <row r="124" spans="1:176" x14ac:dyDescent="0.2">
      <c r="A124" s="2"/>
      <c r="B124" s="2"/>
      <c r="C124" s="2"/>
    </row>
    <row r="125" spans="1:176" x14ac:dyDescent="0.2">
      <c r="A125" s="2"/>
      <c r="B125" s="2"/>
      <c r="C125" s="2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33BA-5552-4113-A19A-52B78074BD73}">
  <sheetPr>
    <tabColor theme="7" tint="0.59999389629810485"/>
  </sheetPr>
  <dimension ref="A2:GU116"/>
  <sheetViews>
    <sheetView topLeftCell="M1" zoomScale="80" zoomScaleNormal="80" workbookViewId="0">
      <selection activeCell="AM1" sqref="AM1:AM1048576"/>
    </sheetView>
  </sheetViews>
  <sheetFormatPr baseColWidth="10" defaultColWidth="8.83203125" defaultRowHeight="15" x14ac:dyDescent="0.2"/>
  <cols>
    <col min="2" max="2" width="32.83203125" customWidth="1"/>
    <col min="3" max="3" width="15.33203125" customWidth="1"/>
    <col min="4" max="4" width="7.83203125" customWidth="1"/>
    <col min="5" max="203" width="5.6640625" customWidth="1"/>
  </cols>
  <sheetData>
    <row r="2" spans="1:203" ht="19" x14ac:dyDescent="0.25">
      <c r="A2" s="21" t="s">
        <v>657</v>
      </c>
    </row>
    <row r="4" spans="1:203" ht="78.5" customHeight="1" x14ac:dyDescent="0.2">
      <c r="A4" s="23" t="s">
        <v>0</v>
      </c>
      <c r="B4" s="1"/>
      <c r="C4" s="1"/>
      <c r="E4" s="22" t="s">
        <v>447</v>
      </c>
      <c r="F4" s="22" t="s">
        <v>448</v>
      </c>
      <c r="G4" s="22" t="s">
        <v>449</v>
      </c>
      <c r="H4" s="22" t="s">
        <v>450</v>
      </c>
      <c r="I4" s="22" t="s">
        <v>451</v>
      </c>
      <c r="J4" s="22" t="s">
        <v>452</v>
      </c>
      <c r="K4" s="22" t="s">
        <v>453</v>
      </c>
      <c r="L4" s="22" t="s">
        <v>454</v>
      </c>
      <c r="M4" s="22" t="s">
        <v>455</v>
      </c>
      <c r="N4" s="22" t="s">
        <v>456</v>
      </c>
      <c r="O4" s="22" t="s">
        <v>457</v>
      </c>
      <c r="P4" s="22" t="s">
        <v>458</v>
      </c>
      <c r="Q4" s="22" t="s">
        <v>459</v>
      </c>
      <c r="R4" s="22" t="s">
        <v>460</v>
      </c>
      <c r="S4" s="22" t="s">
        <v>461</v>
      </c>
      <c r="T4" s="22" t="s">
        <v>462</v>
      </c>
      <c r="U4" s="22" t="s">
        <v>463</v>
      </c>
      <c r="V4" s="22" t="s">
        <v>464</v>
      </c>
      <c r="W4" s="22" t="s">
        <v>465</v>
      </c>
      <c r="X4" s="22" t="s">
        <v>466</v>
      </c>
      <c r="Y4" s="22" t="s">
        <v>467</v>
      </c>
      <c r="Z4" s="22" t="s">
        <v>468</v>
      </c>
      <c r="AA4" s="22" t="s">
        <v>469</v>
      </c>
      <c r="AB4" s="22" t="s">
        <v>470</v>
      </c>
      <c r="AC4" s="22" t="s">
        <v>471</v>
      </c>
      <c r="AD4" s="22" t="s">
        <v>472</v>
      </c>
      <c r="AE4" s="22" t="s">
        <v>473</v>
      </c>
      <c r="AF4" s="22" t="s">
        <v>474</v>
      </c>
      <c r="AG4" s="22" t="s">
        <v>475</v>
      </c>
      <c r="AH4" s="22" t="s">
        <v>476</v>
      </c>
      <c r="AI4" s="22" t="s">
        <v>477</v>
      </c>
      <c r="AJ4" s="22" t="s">
        <v>478</v>
      </c>
      <c r="AK4" s="22" t="s">
        <v>479</v>
      </c>
      <c r="AL4" s="22" t="s">
        <v>480</v>
      </c>
      <c r="AM4" s="22" t="s">
        <v>481</v>
      </c>
      <c r="AN4" s="22" t="s">
        <v>482</v>
      </c>
      <c r="AO4" s="22" t="s">
        <v>483</v>
      </c>
      <c r="AP4" s="22" t="s">
        <v>484</v>
      </c>
      <c r="AQ4" s="22" t="s">
        <v>485</v>
      </c>
      <c r="AR4" s="22" t="s">
        <v>486</v>
      </c>
      <c r="AS4" s="22" t="s">
        <v>487</v>
      </c>
      <c r="AT4" s="22" t="s">
        <v>488</v>
      </c>
      <c r="AU4" s="22" t="s">
        <v>489</v>
      </c>
      <c r="AV4" s="22" t="s">
        <v>490</v>
      </c>
      <c r="AW4" s="22" t="s">
        <v>491</v>
      </c>
      <c r="AX4" s="22" t="s">
        <v>492</v>
      </c>
      <c r="AY4" s="22" t="s">
        <v>493</v>
      </c>
      <c r="AZ4" s="22" t="s">
        <v>494</v>
      </c>
      <c r="BA4" s="22" t="s">
        <v>643</v>
      </c>
      <c r="BB4" s="22" t="s">
        <v>495</v>
      </c>
      <c r="BC4" s="22" t="s">
        <v>496</v>
      </c>
      <c r="BD4" s="22" t="s">
        <v>497</v>
      </c>
      <c r="BE4" s="22" t="s">
        <v>498</v>
      </c>
      <c r="BF4" s="22" t="s">
        <v>499</v>
      </c>
      <c r="BG4" s="22" t="s">
        <v>500</v>
      </c>
      <c r="BH4" s="22" t="s">
        <v>501</v>
      </c>
      <c r="BI4" s="22" t="s">
        <v>502</v>
      </c>
      <c r="BJ4" s="22" t="s">
        <v>503</v>
      </c>
      <c r="BK4" s="22" t="s">
        <v>504</v>
      </c>
      <c r="BL4" s="22" t="s">
        <v>505</v>
      </c>
      <c r="BM4" s="22" t="s">
        <v>506</v>
      </c>
      <c r="BN4" s="22" t="s">
        <v>507</v>
      </c>
      <c r="BO4" s="22" t="s">
        <v>508</v>
      </c>
      <c r="BP4" s="22" t="s">
        <v>509</v>
      </c>
      <c r="BQ4" s="22" t="s">
        <v>510</v>
      </c>
      <c r="BR4" s="22" t="s">
        <v>511</v>
      </c>
      <c r="BS4" s="22" t="s">
        <v>512</v>
      </c>
      <c r="BT4" s="22" t="s">
        <v>513</v>
      </c>
      <c r="BU4" s="22" t="s">
        <v>514</v>
      </c>
      <c r="BV4" s="22" t="s">
        <v>515</v>
      </c>
      <c r="BW4" s="22" t="s">
        <v>516</v>
      </c>
      <c r="BX4" s="22" t="s">
        <v>517</v>
      </c>
      <c r="BY4" s="22" t="s">
        <v>518</v>
      </c>
      <c r="BZ4" s="22" t="s">
        <v>519</v>
      </c>
      <c r="CA4" s="22" t="s">
        <v>520</v>
      </c>
      <c r="CB4" s="22" t="s">
        <v>521</v>
      </c>
      <c r="CC4" s="22" t="s">
        <v>522</v>
      </c>
      <c r="CD4" s="22" t="s">
        <v>523</v>
      </c>
      <c r="CE4" s="22" t="s">
        <v>524</v>
      </c>
      <c r="CF4" s="22" t="s">
        <v>525</v>
      </c>
      <c r="CG4" s="22" t="s">
        <v>526</v>
      </c>
      <c r="CH4" s="22" t="s">
        <v>527</v>
      </c>
      <c r="CI4" s="22" t="s">
        <v>528</v>
      </c>
      <c r="CJ4" s="22" t="s">
        <v>529</v>
      </c>
      <c r="CK4" s="22" t="s">
        <v>530</v>
      </c>
      <c r="CL4" s="22" t="s">
        <v>531</v>
      </c>
      <c r="CM4" s="22" t="s">
        <v>532</v>
      </c>
      <c r="CN4" s="22" t="s">
        <v>533</v>
      </c>
      <c r="CO4" s="22" t="s">
        <v>534</v>
      </c>
      <c r="CP4" s="22" t="s">
        <v>535</v>
      </c>
      <c r="CQ4" s="22" t="s">
        <v>536</v>
      </c>
      <c r="CR4" s="22" t="s">
        <v>537</v>
      </c>
      <c r="CS4" s="22" t="s">
        <v>538</v>
      </c>
      <c r="CT4" s="22" t="s">
        <v>539</v>
      </c>
      <c r="CU4" s="22" t="s">
        <v>540</v>
      </c>
      <c r="CV4" s="22" t="s">
        <v>541</v>
      </c>
      <c r="CW4" s="22" t="s">
        <v>542</v>
      </c>
      <c r="CX4" s="22" t="s">
        <v>543</v>
      </c>
      <c r="CY4" s="22" t="s">
        <v>544</v>
      </c>
      <c r="CZ4" s="22" t="s">
        <v>545</v>
      </c>
      <c r="DA4" s="22" t="s">
        <v>546</v>
      </c>
      <c r="DB4" s="22" t="s">
        <v>547</v>
      </c>
      <c r="DC4" s="22" t="s">
        <v>548</v>
      </c>
      <c r="DD4" s="22" t="s">
        <v>549</v>
      </c>
      <c r="DE4" s="22" t="s">
        <v>550</v>
      </c>
      <c r="DF4" s="22" t="s">
        <v>551</v>
      </c>
      <c r="DG4" s="22" t="s">
        <v>552</v>
      </c>
      <c r="DH4" s="22" t="s">
        <v>553</v>
      </c>
      <c r="DI4" s="22" t="s">
        <v>554</v>
      </c>
      <c r="DJ4" s="22" t="s">
        <v>555</v>
      </c>
      <c r="DK4" s="22" t="s">
        <v>556</v>
      </c>
      <c r="DL4" s="22" t="s">
        <v>557</v>
      </c>
      <c r="DM4" s="22" t="s">
        <v>558</v>
      </c>
      <c r="DN4" s="22" t="s">
        <v>559</v>
      </c>
      <c r="DO4" s="22" t="s">
        <v>560</v>
      </c>
      <c r="DP4" s="22" t="s">
        <v>561</v>
      </c>
      <c r="DQ4" s="22" t="s">
        <v>562</v>
      </c>
      <c r="DR4" s="22" t="s">
        <v>563</v>
      </c>
      <c r="DS4" s="22" t="s">
        <v>564</v>
      </c>
      <c r="DT4" s="22" t="s">
        <v>565</v>
      </c>
      <c r="DU4" s="22" t="s">
        <v>566</v>
      </c>
      <c r="DV4" s="22" t="s">
        <v>567</v>
      </c>
      <c r="DW4" s="22" t="s">
        <v>568</v>
      </c>
      <c r="DX4" s="22" t="s">
        <v>569</v>
      </c>
      <c r="DY4" s="22" t="s">
        <v>570</v>
      </c>
      <c r="DZ4" s="22" t="s">
        <v>571</v>
      </c>
      <c r="EA4" s="22" t="s">
        <v>572</v>
      </c>
      <c r="EB4" s="22" t="s">
        <v>573</v>
      </c>
      <c r="EC4" s="22" t="s">
        <v>574</v>
      </c>
      <c r="ED4" s="22" t="s">
        <v>575</v>
      </c>
      <c r="EE4" s="22" t="s">
        <v>576</v>
      </c>
      <c r="EF4" s="22" t="s">
        <v>577</v>
      </c>
      <c r="EG4" s="22" t="s">
        <v>578</v>
      </c>
      <c r="EH4" s="22" t="s">
        <v>579</v>
      </c>
      <c r="EI4" s="22" t="s">
        <v>580</v>
      </c>
      <c r="EJ4" s="22" t="s">
        <v>581</v>
      </c>
      <c r="EK4" s="22" t="s">
        <v>582</v>
      </c>
      <c r="EL4" s="22" t="s">
        <v>583</v>
      </c>
      <c r="EM4" s="22" t="s">
        <v>584</v>
      </c>
      <c r="EN4" s="22" t="s">
        <v>585</v>
      </c>
      <c r="EO4" s="22" t="s">
        <v>586</v>
      </c>
      <c r="EP4" s="22" t="s">
        <v>587</v>
      </c>
      <c r="EQ4" s="22" t="s">
        <v>588</v>
      </c>
      <c r="ER4" s="22" t="s">
        <v>589</v>
      </c>
      <c r="ES4" s="22" t="s">
        <v>590</v>
      </c>
      <c r="ET4" s="22" t="s">
        <v>591</v>
      </c>
      <c r="EU4" s="22" t="s">
        <v>592</v>
      </c>
      <c r="EV4" s="22" t="s">
        <v>593</v>
      </c>
      <c r="EW4" s="22" t="s">
        <v>594</v>
      </c>
      <c r="EX4" s="22" t="s">
        <v>595</v>
      </c>
      <c r="EY4" s="22" t="s">
        <v>596</v>
      </c>
      <c r="EZ4" s="22" t="s">
        <v>597</v>
      </c>
      <c r="FA4" s="22" t="s">
        <v>598</v>
      </c>
      <c r="FB4" s="22" t="s">
        <v>599</v>
      </c>
      <c r="FC4" s="22" t="s">
        <v>600</v>
      </c>
      <c r="FD4" s="22" t="s">
        <v>601</v>
      </c>
      <c r="FE4" s="22" t="s">
        <v>602</v>
      </c>
      <c r="FF4" s="22" t="s">
        <v>603</v>
      </c>
      <c r="FG4" s="22" t="s">
        <v>604</v>
      </c>
      <c r="FH4" s="22" t="s">
        <v>605</v>
      </c>
      <c r="FI4" s="22" t="s">
        <v>606</v>
      </c>
      <c r="FJ4" s="22" t="s">
        <v>607</v>
      </c>
      <c r="FK4" s="22" t="s">
        <v>608</v>
      </c>
      <c r="FL4" s="22" t="s">
        <v>609</v>
      </c>
      <c r="FM4" s="22" t="s">
        <v>610</v>
      </c>
      <c r="FN4" s="22" t="s">
        <v>611</v>
      </c>
      <c r="FO4" s="22" t="s">
        <v>612</v>
      </c>
      <c r="FP4" s="22" t="s">
        <v>613</v>
      </c>
      <c r="FQ4" s="22" t="s">
        <v>614</v>
      </c>
      <c r="FR4" s="22" t="s">
        <v>615</v>
      </c>
      <c r="FS4" s="22" t="s">
        <v>616</v>
      </c>
      <c r="FT4" s="22" t="s">
        <v>617</v>
      </c>
      <c r="FU4" s="22" t="s">
        <v>618</v>
      </c>
      <c r="FV4" s="22" t="s">
        <v>619</v>
      </c>
      <c r="FW4" s="22" t="s">
        <v>620</v>
      </c>
      <c r="FX4" s="22" t="s">
        <v>621</v>
      </c>
      <c r="FY4" s="22" t="s">
        <v>622</v>
      </c>
      <c r="FZ4" s="22" t="s">
        <v>623</v>
      </c>
      <c r="GA4" s="22" t="s">
        <v>624</v>
      </c>
      <c r="GB4" s="22" t="s">
        <v>625</v>
      </c>
      <c r="GC4" s="22" t="s">
        <v>626</v>
      </c>
      <c r="GD4" s="22" t="s">
        <v>627</v>
      </c>
      <c r="GE4" s="22" t="s">
        <v>628</v>
      </c>
      <c r="GF4" s="22" t="s">
        <v>629</v>
      </c>
      <c r="GG4" s="22" t="s">
        <v>645</v>
      </c>
      <c r="GH4" s="22" t="s">
        <v>630</v>
      </c>
      <c r="GI4" s="22" t="s">
        <v>631</v>
      </c>
      <c r="GJ4" s="22" t="s">
        <v>632</v>
      </c>
      <c r="GK4" s="22" t="s">
        <v>633</v>
      </c>
      <c r="GL4" s="22" t="s">
        <v>634</v>
      </c>
      <c r="GM4" s="22" t="s">
        <v>635</v>
      </c>
      <c r="GN4" s="22" t="s">
        <v>636</v>
      </c>
      <c r="GO4" s="22" t="s">
        <v>637</v>
      </c>
      <c r="GP4" s="22" t="s">
        <v>638</v>
      </c>
      <c r="GQ4" s="22" t="s">
        <v>644</v>
      </c>
      <c r="GR4" s="22" t="s">
        <v>639</v>
      </c>
      <c r="GS4" s="22" t="s">
        <v>640</v>
      </c>
      <c r="GT4" s="22" t="s">
        <v>641</v>
      </c>
      <c r="GU4" s="22" t="s">
        <v>642</v>
      </c>
    </row>
    <row r="5" spans="1:203" ht="16" x14ac:dyDescent="0.2">
      <c r="A5" s="33" t="s">
        <v>1</v>
      </c>
      <c r="B5" s="34" t="s">
        <v>2</v>
      </c>
      <c r="C5" s="35" t="s">
        <v>3</v>
      </c>
      <c r="D5" s="36" t="s">
        <v>255</v>
      </c>
      <c r="E5" s="36" t="s">
        <v>256</v>
      </c>
      <c r="F5" s="36" t="s">
        <v>257</v>
      </c>
      <c r="G5" s="36" t="s">
        <v>258</v>
      </c>
      <c r="H5" s="36" t="s">
        <v>259</v>
      </c>
      <c r="I5" s="36" t="s">
        <v>260</v>
      </c>
      <c r="J5" s="36" t="s">
        <v>248</v>
      </c>
      <c r="K5" s="36" t="s">
        <v>261</v>
      </c>
      <c r="L5" s="36" t="s">
        <v>249</v>
      </c>
      <c r="M5" s="36" t="s">
        <v>250</v>
      </c>
      <c r="N5" s="36" t="s">
        <v>262</v>
      </c>
      <c r="O5" s="36" t="s">
        <v>263</v>
      </c>
      <c r="P5" s="36" t="s">
        <v>264</v>
      </c>
      <c r="Q5" s="36" t="s">
        <v>265</v>
      </c>
      <c r="R5" s="36" t="s">
        <v>266</v>
      </c>
      <c r="S5" s="36" t="s">
        <v>267</v>
      </c>
      <c r="T5" s="36" t="s">
        <v>251</v>
      </c>
      <c r="U5" s="36" t="s">
        <v>268</v>
      </c>
      <c r="V5" s="36" t="s">
        <v>269</v>
      </c>
      <c r="W5" s="36" t="s">
        <v>270</v>
      </c>
      <c r="X5" s="36" t="s">
        <v>252</v>
      </c>
      <c r="Y5" s="36" t="s">
        <v>271</v>
      </c>
      <c r="Z5" s="36" t="s">
        <v>272</v>
      </c>
      <c r="AA5" s="36" t="s">
        <v>253</v>
      </c>
      <c r="AB5" s="36" t="s">
        <v>273</v>
      </c>
      <c r="AC5" s="36" t="s">
        <v>254</v>
      </c>
      <c r="AD5" s="36" t="s">
        <v>274</v>
      </c>
      <c r="AE5" s="36" t="s">
        <v>275</v>
      </c>
      <c r="AF5" s="36" t="s">
        <v>276</v>
      </c>
      <c r="AG5" s="36" t="s">
        <v>277</v>
      </c>
      <c r="AH5" s="36" t="s">
        <v>278</v>
      </c>
      <c r="AI5" s="36" t="s">
        <v>279</v>
      </c>
      <c r="AJ5" s="36" t="s">
        <v>280</v>
      </c>
      <c r="AK5" s="36" t="s">
        <v>281</v>
      </c>
      <c r="AL5" s="36" t="s">
        <v>282</v>
      </c>
      <c r="AM5" s="36" t="s">
        <v>283</v>
      </c>
      <c r="AN5" s="36" t="s">
        <v>284</v>
      </c>
      <c r="AO5" s="36" t="s">
        <v>285</v>
      </c>
      <c r="AP5" s="36" t="s">
        <v>286</v>
      </c>
      <c r="AQ5" s="36" t="s">
        <v>283</v>
      </c>
      <c r="AR5" s="36" t="s">
        <v>287</v>
      </c>
      <c r="AS5" s="36" t="s">
        <v>288</v>
      </c>
      <c r="AT5" s="36" t="s">
        <v>290</v>
      </c>
      <c r="AU5" s="36" t="s">
        <v>291</v>
      </c>
      <c r="AV5" s="36" t="s">
        <v>292</v>
      </c>
      <c r="AW5" s="36" t="s">
        <v>294</v>
      </c>
      <c r="AX5" s="36" t="s">
        <v>295</v>
      </c>
      <c r="AY5" s="36" t="s">
        <v>296</v>
      </c>
      <c r="AZ5" s="36" t="s">
        <v>297</v>
      </c>
      <c r="BA5" s="36" t="s">
        <v>293</v>
      </c>
      <c r="BB5" s="36" t="s">
        <v>298</v>
      </c>
      <c r="BC5" s="36" t="s">
        <v>289</v>
      </c>
      <c r="BD5" s="36" t="s">
        <v>299</v>
      </c>
      <c r="BE5" s="36" t="s">
        <v>300</v>
      </c>
      <c r="BF5" s="36" t="s">
        <v>301</v>
      </c>
      <c r="BG5" s="36" t="s">
        <v>302</v>
      </c>
      <c r="BH5" s="36" t="s">
        <v>303</v>
      </c>
      <c r="BI5" s="36" t="s">
        <v>304</v>
      </c>
      <c r="BJ5" s="36" t="s">
        <v>305</v>
      </c>
      <c r="BK5" s="36" t="s">
        <v>306</v>
      </c>
      <c r="BL5" s="36" t="s">
        <v>307</v>
      </c>
      <c r="BM5" s="36" t="s">
        <v>308</v>
      </c>
      <c r="BN5" s="36" t="s">
        <v>309</v>
      </c>
      <c r="BO5" s="36" t="s">
        <v>310</v>
      </c>
      <c r="BP5" s="36" t="s">
        <v>311</v>
      </c>
      <c r="BQ5" s="36" t="s">
        <v>312</v>
      </c>
      <c r="BR5" s="36" t="s">
        <v>313</v>
      </c>
      <c r="BS5" s="36" t="s">
        <v>314</v>
      </c>
      <c r="BT5" s="36" t="s">
        <v>315</v>
      </c>
      <c r="BU5" s="36" t="s">
        <v>316</v>
      </c>
      <c r="BV5" s="36" t="s">
        <v>317</v>
      </c>
      <c r="BW5" s="36" t="s">
        <v>318</v>
      </c>
      <c r="BX5" s="36" t="s">
        <v>319</v>
      </c>
      <c r="BY5" s="36" t="s">
        <v>320</v>
      </c>
      <c r="BZ5" s="36" t="s">
        <v>321</v>
      </c>
      <c r="CA5" s="36" t="s">
        <v>322</v>
      </c>
      <c r="CB5" s="36" t="s">
        <v>323</v>
      </c>
      <c r="CC5" s="36" t="s">
        <v>324</v>
      </c>
      <c r="CD5" s="36" t="s">
        <v>325</v>
      </c>
      <c r="CE5" s="36" t="s">
        <v>326</v>
      </c>
      <c r="CF5" s="36" t="s">
        <v>327</v>
      </c>
      <c r="CG5" s="36" t="s">
        <v>328</v>
      </c>
      <c r="CH5" s="36" t="s">
        <v>329</v>
      </c>
      <c r="CI5" s="36" t="s">
        <v>330</v>
      </c>
      <c r="CJ5" s="36" t="s">
        <v>331</v>
      </c>
      <c r="CK5" s="36" t="s">
        <v>332</v>
      </c>
      <c r="CL5" s="36" t="s">
        <v>333</v>
      </c>
      <c r="CM5" s="36" t="s">
        <v>334</v>
      </c>
      <c r="CN5" s="36" t="s">
        <v>335</v>
      </c>
      <c r="CO5" s="36" t="s">
        <v>336</v>
      </c>
      <c r="CP5" s="36" t="s">
        <v>337</v>
      </c>
      <c r="CQ5" s="36" t="s">
        <v>338</v>
      </c>
      <c r="CR5" s="36" t="s">
        <v>339</v>
      </c>
      <c r="CS5" s="36" t="s">
        <v>340</v>
      </c>
      <c r="CT5" s="36" t="s">
        <v>341</v>
      </c>
      <c r="CU5" s="36" t="s">
        <v>342</v>
      </c>
      <c r="CV5" s="36" t="s">
        <v>343</v>
      </c>
      <c r="CW5" s="36" t="s">
        <v>345</v>
      </c>
      <c r="CX5" s="36" t="s">
        <v>346</v>
      </c>
      <c r="CY5" s="36" t="s">
        <v>347</v>
      </c>
      <c r="CZ5" s="36" t="s">
        <v>348</v>
      </c>
      <c r="DA5" s="36" t="s">
        <v>349</v>
      </c>
      <c r="DB5" s="36" t="s">
        <v>350</v>
      </c>
      <c r="DC5" s="36" t="s">
        <v>351</v>
      </c>
      <c r="DD5" s="36" t="s">
        <v>352</v>
      </c>
      <c r="DE5" s="36" t="s">
        <v>353</v>
      </c>
      <c r="DF5" s="36" t="s">
        <v>354</v>
      </c>
      <c r="DG5" s="36" t="s">
        <v>355</v>
      </c>
      <c r="DH5" s="36" t="s">
        <v>356</v>
      </c>
      <c r="DI5" s="36" t="s">
        <v>357</v>
      </c>
      <c r="DJ5" s="36" t="s">
        <v>358</v>
      </c>
      <c r="DK5" s="36" t="s">
        <v>359</v>
      </c>
      <c r="DL5" s="36" t="s">
        <v>360</v>
      </c>
      <c r="DM5" s="36" t="s">
        <v>361</v>
      </c>
      <c r="DN5" s="36" t="s">
        <v>362</v>
      </c>
      <c r="DO5" s="36" t="s">
        <v>363</v>
      </c>
      <c r="DP5" s="36" t="s">
        <v>364</v>
      </c>
      <c r="DQ5" s="36" t="s">
        <v>365</v>
      </c>
      <c r="DR5" s="36" t="s">
        <v>367</v>
      </c>
      <c r="DS5" s="36" t="s">
        <v>368</v>
      </c>
      <c r="DT5" s="36" t="s">
        <v>369</v>
      </c>
      <c r="DU5" s="36" t="s">
        <v>370</v>
      </c>
      <c r="DV5" s="36" t="s">
        <v>371</v>
      </c>
      <c r="DW5" s="36" t="s">
        <v>372</v>
      </c>
      <c r="DX5" s="36" t="s">
        <v>373</v>
      </c>
      <c r="DY5" s="36" t="s">
        <v>374</v>
      </c>
      <c r="DZ5" s="36" t="s">
        <v>375</v>
      </c>
      <c r="EA5" s="36" t="s">
        <v>376</v>
      </c>
      <c r="EB5" s="36" t="s">
        <v>377</v>
      </c>
      <c r="EC5" s="36" t="s">
        <v>378</v>
      </c>
      <c r="ED5" s="36" t="s">
        <v>379</v>
      </c>
      <c r="EE5" s="36" t="s">
        <v>380</v>
      </c>
      <c r="EF5" s="36" t="s">
        <v>381</v>
      </c>
      <c r="EG5" s="36" t="s">
        <v>382</v>
      </c>
      <c r="EH5" s="36" t="s">
        <v>383</v>
      </c>
      <c r="EI5" s="36" t="s">
        <v>384</v>
      </c>
      <c r="EJ5" s="36" t="s">
        <v>385</v>
      </c>
      <c r="EK5" s="36" t="s">
        <v>387</v>
      </c>
      <c r="EL5" s="36" t="s">
        <v>388</v>
      </c>
      <c r="EM5" s="36" t="s">
        <v>389</v>
      </c>
      <c r="EN5" s="36" t="s">
        <v>390</v>
      </c>
      <c r="EO5" s="36" t="s">
        <v>391</v>
      </c>
      <c r="EP5" s="36" t="s">
        <v>392</v>
      </c>
      <c r="EQ5" s="36" t="s">
        <v>386</v>
      </c>
      <c r="ER5" s="36" t="s">
        <v>393</v>
      </c>
      <c r="ES5" s="36" t="s">
        <v>394</v>
      </c>
      <c r="ET5" s="36" t="s">
        <v>395</v>
      </c>
      <c r="EU5" s="36" t="s">
        <v>344</v>
      </c>
      <c r="EV5" s="36" t="s">
        <v>366</v>
      </c>
      <c r="EW5" s="36" t="s">
        <v>396</v>
      </c>
      <c r="EX5" s="36" t="s">
        <v>397</v>
      </c>
      <c r="EY5" s="36" t="s">
        <v>398</v>
      </c>
      <c r="EZ5" s="36" t="s">
        <v>399</v>
      </c>
      <c r="FA5" s="36" t="s">
        <v>400</v>
      </c>
      <c r="FB5" s="36" t="s">
        <v>401</v>
      </c>
      <c r="FC5" s="36" t="s">
        <v>402</v>
      </c>
      <c r="FD5" s="36" t="s">
        <v>403</v>
      </c>
      <c r="FE5" s="36" t="s">
        <v>404</v>
      </c>
      <c r="FF5" s="36" t="s">
        <v>405</v>
      </c>
      <c r="FG5" s="36" t="s">
        <v>406</v>
      </c>
      <c r="FH5" s="36" t="s">
        <v>407</v>
      </c>
      <c r="FI5" s="36" t="s">
        <v>408</v>
      </c>
      <c r="FJ5" s="36" t="s">
        <v>409</v>
      </c>
      <c r="FK5" s="36" t="s">
        <v>410</v>
      </c>
      <c r="FL5" s="36" t="s">
        <v>411</v>
      </c>
      <c r="FM5" s="36" t="s">
        <v>412</v>
      </c>
      <c r="FN5" s="36" t="s">
        <v>413</v>
      </c>
      <c r="FO5" s="36" t="s">
        <v>414</v>
      </c>
      <c r="FP5" s="36" t="s">
        <v>415</v>
      </c>
      <c r="FQ5" s="36" t="s">
        <v>416</v>
      </c>
      <c r="FR5" s="36" t="s">
        <v>417</v>
      </c>
      <c r="FS5" s="36" t="s">
        <v>418</v>
      </c>
      <c r="FT5" s="36" t="s">
        <v>419</v>
      </c>
      <c r="FU5" s="36" t="s">
        <v>420</v>
      </c>
      <c r="FV5" s="36" t="s">
        <v>421</v>
      </c>
      <c r="FW5" s="36" t="s">
        <v>422</v>
      </c>
      <c r="FX5" s="36" t="s">
        <v>423</v>
      </c>
      <c r="FY5" s="36" t="s">
        <v>425</v>
      </c>
      <c r="FZ5" s="36" t="s">
        <v>426</v>
      </c>
      <c r="GA5" s="36" t="s">
        <v>427</v>
      </c>
      <c r="GB5" s="36" t="s">
        <v>428</v>
      </c>
      <c r="GC5" s="36" t="s">
        <v>429</v>
      </c>
      <c r="GD5" s="36" t="s">
        <v>430</v>
      </c>
      <c r="GE5" s="36" t="s">
        <v>432</v>
      </c>
      <c r="GF5" s="36" t="s">
        <v>433</v>
      </c>
      <c r="GG5" s="36" t="s">
        <v>431</v>
      </c>
      <c r="GH5" s="36" t="s">
        <v>436</v>
      </c>
      <c r="GI5" s="36" t="s">
        <v>437</v>
      </c>
      <c r="GJ5" s="36" t="s">
        <v>438</v>
      </c>
      <c r="GK5" s="36" t="s">
        <v>434</v>
      </c>
      <c r="GL5" s="36" t="s">
        <v>424</v>
      </c>
      <c r="GM5" s="36" t="s">
        <v>435</v>
      </c>
      <c r="GN5" s="36" t="s">
        <v>439</v>
      </c>
      <c r="GO5" s="36" t="s">
        <v>440</v>
      </c>
      <c r="GP5" s="36" t="s">
        <v>441</v>
      </c>
      <c r="GQ5" s="36" t="s">
        <v>442</v>
      </c>
      <c r="GR5" s="36" t="s">
        <v>443</v>
      </c>
      <c r="GS5" s="36" t="s">
        <v>444</v>
      </c>
      <c r="GT5" s="36" t="s">
        <v>445</v>
      </c>
      <c r="GU5" s="36" t="s">
        <v>446</v>
      </c>
    </row>
    <row r="6" spans="1:203" x14ac:dyDescent="0.2">
      <c r="A6" s="2" t="s">
        <v>4</v>
      </c>
      <c r="B6" s="2" t="s">
        <v>117</v>
      </c>
      <c r="C6" s="2" t="s">
        <v>118</v>
      </c>
      <c r="D6" s="25"/>
      <c r="L6" s="25"/>
      <c r="AM6" t="s">
        <v>651</v>
      </c>
      <c r="BD6" s="41"/>
      <c r="BE6" s="4"/>
      <c r="GM6" t="s">
        <v>652</v>
      </c>
    </row>
    <row r="7" spans="1:203" x14ac:dyDescent="0.2">
      <c r="A7" s="2" t="s">
        <v>5</v>
      </c>
      <c r="B7" s="2" t="s">
        <v>119</v>
      </c>
      <c r="C7" s="2" t="s">
        <v>120</v>
      </c>
      <c r="D7" s="4"/>
      <c r="AC7" s="27"/>
      <c r="BD7" s="41"/>
      <c r="BE7" s="4"/>
    </row>
    <row r="8" spans="1:203" x14ac:dyDescent="0.2">
      <c r="A8" s="2" t="s">
        <v>6</v>
      </c>
      <c r="B8" s="2" t="s">
        <v>121</v>
      </c>
      <c r="C8" s="2" t="s">
        <v>122</v>
      </c>
      <c r="BD8" s="39" t="s">
        <v>667</v>
      </c>
      <c r="BE8" s="40" t="s">
        <v>668</v>
      </c>
    </row>
    <row r="9" spans="1:203" x14ac:dyDescent="0.2">
      <c r="A9" s="2" t="s">
        <v>7</v>
      </c>
      <c r="B9" s="2" t="s">
        <v>123</v>
      </c>
      <c r="C9" s="2" t="s">
        <v>122</v>
      </c>
      <c r="BD9" s="41"/>
      <c r="BE9" s="4"/>
    </row>
    <row r="10" spans="1:203" x14ac:dyDescent="0.2">
      <c r="A10" s="2" t="s">
        <v>8</v>
      </c>
      <c r="B10" s="2" t="s">
        <v>124</v>
      </c>
      <c r="C10" s="2" t="s">
        <v>120</v>
      </c>
      <c r="BD10" s="42" t="s">
        <v>669</v>
      </c>
      <c r="BE10" s="40" t="s">
        <v>670</v>
      </c>
    </row>
    <row r="11" spans="1:203" x14ac:dyDescent="0.2">
      <c r="A11" s="2" t="s">
        <v>9</v>
      </c>
      <c r="B11" s="2" t="s">
        <v>125</v>
      </c>
      <c r="C11" s="2" t="s">
        <v>120</v>
      </c>
      <c r="BD11" s="42" t="s">
        <v>669</v>
      </c>
      <c r="BE11" s="40" t="s">
        <v>670</v>
      </c>
    </row>
    <row r="12" spans="1:203" x14ac:dyDescent="0.2">
      <c r="A12" s="2" t="s">
        <v>10</v>
      </c>
      <c r="B12" s="2" t="s">
        <v>126</v>
      </c>
      <c r="C12" s="2" t="s">
        <v>120</v>
      </c>
      <c r="BD12" s="43"/>
      <c r="BE12" s="4"/>
    </row>
    <row r="13" spans="1:203" x14ac:dyDescent="0.2">
      <c r="A13" s="2" t="s">
        <v>11</v>
      </c>
      <c r="B13" s="2" t="s">
        <v>127</v>
      </c>
      <c r="C13" s="2" t="s">
        <v>122</v>
      </c>
      <c r="D13" t="s">
        <v>650</v>
      </c>
      <c r="AR13" t="s">
        <v>646</v>
      </c>
      <c r="AV13" t="s">
        <v>647</v>
      </c>
      <c r="BD13" s="44"/>
      <c r="BE13" s="4"/>
      <c r="BH13" t="s">
        <v>648</v>
      </c>
      <c r="CJ13" t="s">
        <v>649</v>
      </c>
    </row>
    <row r="14" spans="1:203" x14ac:dyDescent="0.2">
      <c r="A14" s="2" t="s">
        <v>12</v>
      </c>
      <c r="B14" s="2" t="s">
        <v>128</v>
      </c>
      <c r="C14" s="2" t="s">
        <v>129</v>
      </c>
      <c r="BD14" s="42"/>
      <c r="BE14" s="40"/>
    </row>
    <row r="15" spans="1:203" x14ac:dyDescent="0.2">
      <c r="A15" s="2" t="s">
        <v>13</v>
      </c>
      <c r="B15" s="2" t="s">
        <v>130</v>
      </c>
      <c r="C15" s="2" t="s">
        <v>131</v>
      </c>
      <c r="BD15" s="42" t="s">
        <v>669</v>
      </c>
      <c r="BE15" s="40" t="s">
        <v>670</v>
      </c>
    </row>
    <row r="16" spans="1:203" x14ac:dyDescent="0.2">
      <c r="A16" s="2" t="s">
        <v>14</v>
      </c>
      <c r="B16" s="2" t="s">
        <v>132</v>
      </c>
      <c r="C16" s="2" t="s">
        <v>131</v>
      </c>
      <c r="BD16" s="42" t="s">
        <v>669</v>
      </c>
      <c r="BE16" s="40" t="s">
        <v>670</v>
      </c>
    </row>
    <row r="17" spans="1:57" x14ac:dyDescent="0.2">
      <c r="A17" s="2" t="s">
        <v>15</v>
      </c>
      <c r="B17" s="2" t="s">
        <v>133</v>
      </c>
      <c r="C17" s="2" t="s">
        <v>134</v>
      </c>
      <c r="BD17" s="42" t="s">
        <v>669</v>
      </c>
      <c r="BE17" s="40" t="s">
        <v>670</v>
      </c>
    </row>
    <row r="18" spans="1:57" x14ac:dyDescent="0.2">
      <c r="A18" s="2" t="s">
        <v>16</v>
      </c>
      <c r="B18" s="2" t="s">
        <v>135</v>
      </c>
      <c r="C18" s="2" t="s">
        <v>136</v>
      </c>
      <c r="BD18" s="39" t="s">
        <v>667</v>
      </c>
      <c r="BE18" s="40" t="s">
        <v>668</v>
      </c>
    </row>
    <row r="19" spans="1:57" x14ac:dyDescent="0.2">
      <c r="A19" s="2" t="s">
        <v>17</v>
      </c>
      <c r="B19" s="2" t="s">
        <v>137</v>
      </c>
      <c r="C19" s="2" t="s">
        <v>118</v>
      </c>
      <c r="BD19" s="45"/>
      <c r="BE19" s="4"/>
    </row>
    <row r="20" spans="1:57" x14ac:dyDescent="0.2">
      <c r="A20" s="2" t="s">
        <v>18</v>
      </c>
      <c r="B20" s="2" t="s">
        <v>138</v>
      </c>
      <c r="C20" s="2" t="s">
        <v>139</v>
      </c>
      <c r="BD20" s="42" t="s">
        <v>671</v>
      </c>
      <c r="BE20" s="40" t="s">
        <v>670</v>
      </c>
    </row>
    <row r="21" spans="1:57" x14ac:dyDescent="0.2">
      <c r="A21" s="2" t="s">
        <v>19</v>
      </c>
      <c r="B21" s="2" t="s">
        <v>140</v>
      </c>
      <c r="C21" s="2" t="s">
        <v>120</v>
      </c>
      <c r="BD21" s="42" t="s">
        <v>672</v>
      </c>
      <c r="BE21" s="40" t="s">
        <v>670</v>
      </c>
    </row>
    <row r="22" spans="1:57" x14ac:dyDescent="0.2">
      <c r="A22" s="2" t="s">
        <v>20</v>
      </c>
      <c r="B22" s="2" t="s">
        <v>141</v>
      </c>
      <c r="C22" s="2" t="s">
        <v>120</v>
      </c>
      <c r="BD22" s="42" t="s">
        <v>671</v>
      </c>
      <c r="BE22" s="4"/>
    </row>
    <row r="23" spans="1:57" x14ac:dyDescent="0.2">
      <c r="A23" s="2" t="s">
        <v>21</v>
      </c>
      <c r="B23" s="2" t="s">
        <v>142</v>
      </c>
      <c r="C23" s="2" t="s">
        <v>143</v>
      </c>
      <c r="BD23" s="45"/>
      <c r="BE23" s="4"/>
    </row>
    <row r="24" spans="1:57" x14ac:dyDescent="0.2">
      <c r="A24" s="2" t="s">
        <v>22</v>
      </c>
      <c r="B24" s="2" t="s">
        <v>144</v>
      </c>
      <c r="C24" s="2" t="s">
        <v>120</v>
      </c>
      <c r="BD24" s="42" t="s">
        <v>672</v>
      </c>
      <c r="BE24" s="40" t="s">
        <v>670</v>
      </c>
    </row>
    <row r="25" spans="1:57" x14ac:dyDescent="0.2">
      <c r="A25" s="2" t="s">
        <v>23</v>
      </c>
      <c r="B25" s="2" t="s">
        <v>145</v>
      </c>
      <c r="C25" s="2" t="s">
        <v>122</v>
      </c>
      <c r="BD25" s="41"/>
      <c r="BE25" s="4"/>
    </row>
    <row r="26" spans="1:57" x14ac:dyDescent="0.2">
      <c r="A26" s="2" t="s">
        <v>24</v>
      </c>
      <c r="B26" s="2" t="s">
        <v>146</v>
      </c>
      <c r="C26" s="2" t="s">
        <v>120</v>
      </c>
      <c r="BD26" s="42" t="s">
        <v>673</v>
      </c>
      <c r="BE26" s="4"/>
    </row>
    <row r="27" spans="1:57" x14ac:dyDescent="0.2">
      <c r="A27" s="2" t="s">
        <v>25</v>
      </c>
      <c r="B27" s="2" t="s">
        <v>147</v>
      </c>
      <c r="C27" s="2" t="s">
        <v>118</v>
      </c>
      <c r="BD27" s="45"/>
      <c r="BE27" s="4"/>
    </row>
    <row r="28" spans="1:57" x14ac:dyDescent="0.2">
      <c r="A28" s="2" t="s">
        <v>26</v>
      </c>
      <c r="B28" s="2" t="s">
        <v>148</v>
      </c>
      <c r="C28" s="2" t="s">
        <v>120</v>
      </c>
      <c r="BD28" s="42" t="s">
        <v>672</v>
      </c>
      <c r="BE28" s="4"/>
    </row>
    <row r="29" spans="1:57" x14ac:dyDescent="0.2">
      <c r="A29" s="2" t="s">
        <v>27</v>
      </c>
      <c r="B29" s="2" t="s">
        <v>149</v>
      </c>
      <c r="C29" s="2" t="s">
        <v>120</v>
      </c>
      <c r="BD29" s="41"/>
      <c r="BE29" s="4"/>
    </row>
    <row r="30" spans="1:57" x14ac:dyDescent="0.2">
      <c r="A30" s="2" t="s">
        <v>29</v>
      </c>
      <c r="B30" s="2" t="s">
        <v>151</v>
      </c>
      <c r="C30" s="2" t="s">
        <v>136</v>
      </c>
      <c r="M30" s="26"/>
      <c r="BD30" s="46"/>
      <c r="BE30" s="4"/>
    </row>
    <row r="31" spans="1:57" x14ac:dyDescent="0.2">
      <c r="A31" s="2" t="s">
        <v>30</v>
      </c>
      <c r="B31" s="2" t="s">
        <v>152</v>
      </c>
      <c r="C31" s="2" t="s">
        <v>118</v>
      </c>
      <c r="BD31" s="46"/>
      <c r="BE31" s="4"/>
    </row>
    <row r="32" spans="1:57" x14ac:dyDescent="0.2">
      <c r="A32" s="2" t="s">
        <v>31</v>
      </c>
      <c r="B32" s="2" t="s">
        <v>153</v>
      </c>
      <c r="C32" s="2" t="s">
        <v>134</v>
      </c>
      <c r="BD32" s="41"/>
      <c r="BE32" s="4"/>
    </row>
    <row r="33" spans="1:155" x14ac:dyDescent="0.2">
      <c r="A33" s="2" t="s">
        <v>32</v>
      </c>
      <c r="B33" s="2" t="s">
        <v>154</v>
      </c>
      <c r="C33" s="2" t="s">
        <v>155</v>
      </c>
      <c r="BD33" s="47"/>
      <c r="BE33" s="4"/>
    </row>
    <row r="34" spans="1:155" x14ac:dyDescent="0.2">
      <c r="A34" s="2" t="s">
        <v>33</v>
      </c>
      <c r="B34" s="2" t="s">
        <v>156</v>
      </c>
      <c r="C34" s="2" t="s">
        <v>157</v>
      </c>
      <c r="D34" s="2" t="s">
        <v>662</v>
      </c>
      <c r="AV34" s="15"/>
      <c r="BA34" t="s">
        <v>660</v>
      </c>
      <c r="BD34" s="48"/>
      <c r="BE34" s="4"/>
      <c r="BY34" t="s">
        <v>659</v>
      </c>
      <c r="CK34" t="s">
        <v>661</v>
      </c>
    </row>
    <row r="35" spans="1:155" x14ac:dyDescent="0.2">
      <c r="A35" s="2" t="s">
        <v>34</v>
      </c>
      <c r="B35" s="2" t="s">
        <v>158</v>
      </c>
      <c r="C35" s="2" t="s">
        <v>118</v>
      </c>
      <c r="D35" t="s">
        <v>663</v>
      </c>
      <c r="BD35" s="48"/>
      <c r="BE35" s="4"/>
      <c r="CJ35" t="s">
        <v>664</v>
      </c>
      <c r="CK35" t="s">
        <v>665</v>
      </c>
      <c r="EY35" t="s">
        <v>666</v>
      </c>
    </row>
    <row r="36" spans="1:155" x14ac:dyDescent="0.2">
      <c r="A36" s="2" t="s">
        <v>35</v>
      </c>
      <c r="B36" s="2" t="s">
        <v>159</v>
      </c>
      <c r="C36" s="2" t="s">
        <v>157</v>
      </c>
      <c r="BD36" s="48"/>
      <c r="BE36" s="4"/>
    </row>
    <row r="37" spans="1:155" x14ac:dyDescent="0.2">
      <c r="A37" s="2" t="s">
        <v>37</v>
      </c>
      <c r="B37" s="2" t="s">
        <v>161</v>
      </c>
      <c r="C37" s="2" t="s">
        <v>120</v>
      </c>
      <c r="BD37" s="49"/>
      <c r="BE37" s="4"/>
    </row>
    <row r="38" spans="1:155" x14ac:dyDescent="0.2">
      <c r="A38" s="2" t="s">
        <v>38</v>
      </c>
      <c r="B38" s="2" t="s">
        <v>162</v>
      </c>
      <c r="C38" s="2" t="s">
        <v>120</v>
      </c>
      <c r="BD38" s="42" t="s">
        <v>671</v>
      </c>
      <c r="BE38" s="40" t="s">
        <v>670</v>
      </c>
    </row>
    <row r="39" spans="1:155" x14ac:dyDescent="0.2">
      <c r="A39" s="2" t="s">
        <v>39</v>
      </c>
      <c r="B39" s="2" t="s">
        <v>163</v>
      </c>
      <c r="C39" s="2" t="s">
        <v>136</v>
      </c>
      <c r="BD39" s="39" t="s">
        <v>667</v>
      </c>
      <c r="BE39" s="40" t="s">
        <v>668</v>
      </c>
    </row>
    <row r="40" spans="1:155" x14ac:dyDescent="0.2">
      <c r="A40" s="2" t="s">
        <v>40</v>
      </c>
      <c r="B40" s="2" t="s">
        <v>164</v>
      </c>
      <c r="C40" s="2" t="s">
        <v>122</v>
      </c>
      <c r="BD40" s="41"/>
      <c r="BE40" s="4"/>
    </row>
    <row r="41" spans="1:155" x14ac:dyDescent="0.2">
      <c r="A41" s="2" t="s">
        <v>41</v>
      </c>
      <c r="B41" s="2" t="s">
        <v>165</v>
      </c>
      <c r="C41" s="2" t="s">
        <v>166</v>
      </c>
      <c r="BD41" s="42" t="s">
        <v>673</v>
      </c>
      <c r="BE41" s="4"/>
    </row>
    <row r="42" spans="1:155" x14ac:dyDescent="0.2">
      <c r="A42" s="2" t="s">
        <v>42</v>
      </c>
      <c r="B42" s="2" t="s">
        <v>167</v>
      </c>
      <c r="C42" s="2" t="s">
        <v>120</v>
      </c>
      <c r="BD42" s="41"/>
      <c r="BE42" s="4"/>
    </row>
    <row r="43" spans="1:155" x14ac:dyDescent="0.2">
      <c r="A43" s="2" t="s">
        <v>43</v>
      </c>
      <c r="B43" s="2" t="s">
        <v>168</v>
      </c>
      <c r="C43" s="2" t="s">
        <v>122</v>
      </c>
      <c r="BD43" s="43"/>
      <c r="BE43" s="4"/>
    </row>
    <row r="44" spans="1:155" x14ac:dyDescent="0.2">
      <c r="A44" s="2" t="s">
        <v>44</v>
      </c>
      <c r="B44" s="2" t="s">
        <v>169</v>
      </c>
      <c r="C44" s="2" t="s">
        <v>136</v>
      </c>
      <c r="BD44" s="41"/>
      <c r="BE44" s="4"/>
    </row>
    <row r="45" spans="1:155" x14ac:dyDescent="0.2">
      <c r="A45" s="2" t="s">
        <v>45</v>
      </c>
      <c r="B45" s="2" t="s">
        <v>170</v>
      </c>
      <c r="C45" s="2" t="s">
        <v>122</v>
      </c>
      <c r="BD45" s="41"/>
      <c r="BE45" s="4"/>
    </row>
    <row r="46" spans="1:155" x14ac:dyDescent="0.2">
      <c r="A46" s="2" t="s">
        <v>46</v>
      </c>
      <c r="B46" s="2" t="s">
        <v>171</v>
      </c>
      <c r="C46" s="2" t="s">
        <v>120</v>
      </c>
      <c r="BD46" s="49"/>
      <c r="BE46" s="4"/>
    </row>
    <row r="47" spans="1:155" x14ac:dyDescent="0.2">
      <c r="A47" s="2" t="s">
        <v>47</v>
      </c>
      <c r="B47" s="2" t="s">
        <v>172</v>
      </c>
      <c r="C47" s="2" t="s">
        <v>120</v>
      </c>
      <c r="BD47" s="46"/>
      <c r="BE47" s="4"/>
    </row>
    <row r="48" spans="1:155" x14ac:dyDescent="0.2">
      <c r="A48" s="2" t="s">
        <v>48</v>
      </c>
      <c r="B48" s="2" t="s">
        <v>173</v>
      </c>
      <c r="C48" s="2" t="s">
        <v>118</v>
      </c>
      <c r="D48" s="25"/>
      <c r="BD48" s="46"/>
      <c r="BE48" s="4"/>
    </row>
    <row r="49" spans="1:173" x14ac:dyDescent="0.2">
      <c r="A49" s="2" t="s">
        <v>49</v>
      </c>
      <c r="B49" s="2" t="s">
        <v>174</v>
      </c>
      <c r="C49" s="2" t="s">
        <v>118</v>
      </c>
      <c r="BD49" s="46"/>
      <c r="BE49" s="4"/>
    </row>
    <row r="50" spans="1:173" x14ac:dyDescent="0.2">
      <c r="A50" s="2" t="s">
        <v>50</v>
      </c>
      <c r="B50" s="2" t="s">
        <v>175</v>
      </c>
      <c r="C50" s="2" t="s">
        <v>122</v>
      </c>
      <c r="BD50" s="43"/>
      <c r="BE50" s="4"/>
    </row>
    <row r="51" spans="1:173" x14ac:dyDescent="0.2">
      <c r="A51" s="2" t="s">
        <v>51</v>
      </c>
      <c r="B51" s="2" t="s">
        <v>176</v>
      </c>
      <c r="C51" s="2" t="s">
        <v>120</v>
      </c>
      <c r="BD51" s="42" t="s">
        <v>673</v>
      </c>
      <c r="BE51" s="4"/>
    </row>
    <row r="52" spans="1:173" x14ac:dyDescent="0.2">
      <c r="A52" s="2" t="s">
        <v>52</v>
      </c>
      <c r="B52" s="2" t="s">
        <v>177</v>
      </c>
      <c r="C52" s="2" t="s">
        <v>122</v>
      </c>
      <c r="BD52" s="46"/>
      <c r="BE52" s="4"/>
    </row>
    <row r="53" spans="1:173" x14ac:dyDescent="0.2">
      <c r="A53" s="2" t="s">
        <v>53</v>
      </c>
      <c r="B53" s="2" t="s">
        <v>178</v>
      </c>
      <c r="C53" s="2" t="s">
        <v>134</v>
      </c>
      <c r="BD53" s="46"/>
      <c r="BE53" s="4"/>
    </row>
    <row r="54" spans="1:173" x14ac:dyDescent="0.2">
      <c r="A54" s="2" t="s">
        <v>54</v>
      </c>
      <c r="B54" s="2" t="s">
        <v>179</v>
      </c>
      <c r="C54" s="2" t="s">
        <v>120</v>
      </c>
      <c r="BD54" s="42" t="s">
        <v>672</v>
      </c>
      <c r="BE54" s="40" t="s">
        <v>670</v>
      </c>
    </row>
    <row r="55" spans="1:173" x14ac:dyDescent="0.2">
      <c r="A55" s="2" t="s">
        <v>55</v>
      </c>
      <c r="B55" s="2" t="s">
        <v>180</v>
      </c>
      <c r="C55" s="2" t="s">
        <v>143</v>
      </c>
      <c r="BD55" s="42" t="s">
        <v>674</v>
      </c>
      <c r="BE55" s="4"/>
    </row>
    <row r="56" spans="1:173" x14ac:dyDescent="0.2">
      <c r="A56" s="2" t="s">
        <v>56</v>
      </c>
      <c r="B56" s="2" t="s">
        <v>181</v>
      </c>
      <c r="C56" s="2" t="s">
        <v>134</v>
      </c>
      <c r="BD56" s="42" t="s">
        <v>674</v>
      </c>
      <c r="BE56" s="4"/>
    </row>
    <row r="57" spans="1:173" x14ac:dyDescent="0.2">
      <c r="A57" s="2" t="s">
        <v>57</v>
      </c>
      <c r="B57" s="2" t="s">
        <v>182</v>
      </c>
      <c r="C57" s="2" t="s">
        <v>129</v>
      </c>
      <c r="BD57" s="42" t="s">
        <v>671</v>
      </c>
      <c r="BE57" s="40" t="s">
        <v>670</v>
      </c>
    </row>
    <row r="58" spans="1:173" x14ac:dyDescent="0.2">
      <c r="A58" s="2" t="s">
        <v>58</v>
      </c>
      <c r="B58" s="2" t="s">
        <v>183</v>
      </c>
      <c r="C58" s="2" t="s">
        <v>122</v>
      </c>
      <c r="BD58" s="48"/>
      <c r="BE58" s="4"/>
    </row>
    <row r="59" spans="1:173" x14ac:dyDescent="0.2">
      <c r="A59" s="2" t="s">
        <v>59</v>
      </c>
      <c r="B59" s="2" t="s">
        <v>184</v>
      </c>
      <c r="C59" s="2" t="s">
        <v>131</v>
      </c>
      <c r="BD59" s="46"/>
      <c r="BE59" s="4"/>
    </row>
    <row r="60" spans="1:173" x14ac:dyDescent="0.2">
      <c r="A60" s="2" t="s">
        <v>61</v>
      </c>
      <c r="B60" s="2" t="s">
        <v>186</v>
      </c>
      <c r="C60" s="2" t="s">
        <v>187</v>
      </c>
      <c r="BD60" s="49"/>
      <c r="BE60" s="4"/>
    </row>
    <row r="61" spans="1:173" x14ac:dyDescent="0.2">
      <c r="A61" s="2" t="s">
        <v>62</v>
      </c>
      <c r="B61" s="2" t="s">
        <v>188</v>
      </c>
      <c r="C61" s="2" t="s">
        <v>129</v>
      </c>
      <c r="BD61" s="42"/>
      <c r="BE61" s="40"/>
    </row>
    <row r="62" spans="1:173" x14ac:dyDescent="0.2">
      <c r="A62" s="2" t="s">
        <v>63</v>
      </c>
      <c r="B62" s="2" t="s">
        <v>189</v>
      </c>
      <c r="C62" s="2" t="s">
        <v>190</v>
      </c>
      <c r="BD62" s="48"/>
      <c r="BE62" s="4"/>
    </row>
    <row r="63" spans="1:173" x14ac:dyDescent="0.2">
      <c r="A63" s="2" t="s">
        <v>64</v>
      </c>
      <c r="B63" s="2" t="s">
        <v>191</v>
      </c>
      <c r="C63" s="2" t="s">
        <v>190</v>
      </c>
      <c r="D63" t="s">
        <v>656</v>
      </c>
      <c r="BD63" s="46"/>
      <c r="BE63" s="4"/>
      <c r="CP63" t="s">
        <v>655</v>
      </c>
      <c r="FQ63" t="s">
        <v>654</v>
      </c>
    </row>
    <row r="64" spans="1:173" x14ac:dyDescent="0.2">
      <c r="A64" s="2" t="s">
        <v>65</v>
      </c>
      <c r="B64" s="2" t="s">
        <v>192</v>
      </c>
      <c r="C64" s="2" t="s">
        <v>120</v>
      </c>
      <c r="BD64" s="42" t="s">
        <v>672</v>
      </c>
      <c r="BE64" s="40" t="s">
        <v>670</v>
      </c>
    </row>
    <row r="65" spans="1:57" x14ac:dyDescent="0.2">
      <c r="A65" s="2" t="s">
        <v>66</v>
      </c>
      <c r="B65" s="2" t="s">
        <v>193</v>
      </c>
      <c r="C65" s="2" t="s">
        <v>122</v>
      </c>
      <c r="BD65" s="46"/>
      <c r="BE65" s="4"/>
    </row>
    <row r="66" spans="1:57" x14ac:dyDescent="0.2">
      <c r="A66" s="2" t="s">
        <v>67</v>
      </c>
      <c r="B66" s="53" t="s">
        <v>194</v>
      </c>
      <c r="C66" s="2" t="s">
        <v>120</v>
      </c>
      <c r="BD66" s="42" t="s">
        <v>672</v>
      </c>
      <c r="BE66" s="40" t="s">
        <v>670</v>
      </c>
    </row>
    <row r="67" spans="1:57" x14ac:dyDescent="0.2">
      <c r="A67" s="2" t="s">
        <v>68</v>
      </c>
      <c r="B67" s="53" t="s">
        <v>195</v>
      </c>
      <c r="C67" s="2" t="s">
        <v>122</v>
      </c>
      <c r="BD67" s="39" t="s">
        <v>667</v>
      </c>
      <c r="BE67" s="40" t="s">
        <v>668</v>
      </c>
    </row>
    <row r="68" spans="1:57" x14ac:dyDescent="0.2">
      <c r="A68" s="2" t="s">
        <v>69</v>
      </c>
      <c r="B68" s="53" t="s">
        <v>196</v>
      </c>
      <c r="C68" s="2" t="s">
        <v>197</v>
      </c>
      <c r="BD68" s="42" t="s">
        <v>675</v>
      </c>
      <c r="BE68" s="40" t="s">
        <v>670</v>
      </c>
    </row>
    <row r="69" spans="1:57" x14ac:dyDescent="0.2">
      <c r="A69" s="2" t="s">
        <v>70</v>
      </c>
      <c r="B69" s="53" t="s">
        <v>198</v>
      </c>
      <c r="C69" s="2" t="s">
        <v>134</v>
      </c>
      <c r="BD69" s="42" t="s">
        <v>672</v>
      </c>
      <c r="BE69" s="4"/>
    </row>
    <row r="70" spans="1:57" x14ac:dyDescent="0.2">
      <c r="A70" s="2" t="s">
        <v>71</v>
      </c>
      <c r="B70" s="53" t="s">
        <v>199</v>
      </c>
      <c r="C70" s="2" t="s">
        <v>157</v>
      </c>
      <c r="BD70" s="41"/>
      <c r="BE70" s="4"/>
    </row>
    <row r="71" spans="1:57" x14ac:dyDescent="0.2">
      <c r="A71" s="2" t="s">
        <v>72</v>
      </c>
      <c r="B71" s="53" t="s">
        <v>200</v>
      </c>
      <c r="C71" s="2" t="s">
        <v>120</v>
      </c>
      <c r="BD71" s="42" t="s">
        <v>675</v>
      </c>
      <c r="BE71" s="40" t="s">
        <v>670</v>
      </c>
    </row>
    <row r="72" spans="1:57" x14ac:dyDescent="0.2">
      <c r="A72" s="2" t="s">
        <v>73</v>
      </c>
      <c r="B72" s="2" t="s">
        <v>201</v>
      </c>
      <c r="C72" s="2" t="s">
        <v>122</v>
      </c>
      <c r="BD72" s="48"/>
      <c r="BE72" s="4"/>
    </row>
    <row r="73" spans="1:57" x14ac:dyDescent="0.2">
      <c r="A73" s="2" t="s">
        <v>74</v>
      </c>
      <c r="B73" s="2" t="s">
        <v>202</v>
      </c>
      <c r="C73" s="2" t="s">
        <v>122</v>
      </c>
      <c r="BD73" s="50"/>
      <c r="BE73" s="4"/>
    </row>
    <row r="74" spans="1:57" x14ac:dyDescent="0.2">
      <c r="A74" s="2" t="s">
        <v>75</v>
      </c>
      <c r="B74" s="2" t="s">
        <v>203</v>
      </c>
      <c r="C74" s="2" t="s">
        <v>122</v>
      </c>
      <c r="BD74" s="39" t="s">
        <v>667</v>
      </c>
      <c r="BE74" s="40" t="s">
        <v>668</v>
      </c>
    </row>
    <row r="75" spans="1:57" x14ac:dyDescent="0.2">
      <c r="A75" s="2" t="s">
        <v>76</v>
      </c>
      <c r="B75" s="2" t="s">
        <v>204</v>
      </c>
      <c r="C75" s="2" t="s">
        <v>139</v>
      </c>
      <c r="BD75" s="42" t="s">
        <v>676</v>
      </c>
      <c r="BE75" s="40" t="s">
        <v>670</v>
      </c>
    </row>
    <row r="76" spans="1:57" x14ac:dyDescent="0.2">
      <c r="A76" s="2" t="s">
        <v>77</v>
      </c>
      <c r="B76" s="2" t="s">
        <v>205</v>
      </c>
      <c r="C76" s="2" t="s">
        <v>120</v>
      </c>
      <c r="BD76" s="42" t="s">
        <v>671</v>
      </c>
      <c r="BE76" s="40" t="s">
        <v>670</v>
      </c>
    </row>
    <row r="77" spans="1:57" x14ac:dyDescent="0.2">
      <c r="A77" s="2" t="s">
        <v>79</v>
      </c>
      <c r="B77" s="2" t="s">
        <v>207</v>
      </c>
      <c r="C77" s="2" t="s">
        <v>122</v>
      </c>
      <c r="AV77" s="15"/>
      <c r="BD77" s="48"/>
      <c r="BE77" s="4"/>
    </row>
    <row r="78" spans="1:57" x14ac:dyDescent="0.2">
      <c r="A78" s="2" t="s">
        <v>81</v>
      </c>
      <c r="B78" s="2" t="s">
        <v>209</v>
      </c>
      <c r="C78" s="2" t="s">
        <v>122</v>
      </c>
      <c r="BD78" s="46"/>
      <c r="BE78" s="4"/>
    </row>
    <row r="79" spans="1:57" x14ac:dyDescent="0.2">
      <c r="A79" s="2" t="s">
        <v>82</v>
      </c>
      <c r="B79" s="2" t="s">
        <v>210</v>
      </c>
      <c r="C79" s="2" t="s">
        <v>122</v>
      </c>
      <c r="BD79" s="46"/>
      <c r="BE79" s="4"/>
    </row>
    <row r="80" spans="1:57" x14ac:dyDescent="0.2">
      <c r="A80" s="2" t="s">
        <v>83</v>
      </c>
      <c r="B80" s="2" t="s">
        <v>211</v>
      </c>
      <c r="C80" s="2" t="s">
        <v>143</v>
      </c>
      <c r="BD80" s="46"/>
      <c r="BE80" s="4"/>
    </row>
    <row r="81" spans="1:57" x14ac:dyDescent="0.2">
      <c r="A81" s="2" t="s">
        <v>84</v>
      </c>
      <c r="B81" s="2" t="s">
        <v>212</v>
      </c>
      <c r="C81" s="2" t="s">
        <v>166</v>
      </c>
      <c r="BD81" s="42" t="s">
        <v>671</v>
      </c>
      <c r="BE81" s="40" t="s">
        <v>670</v>
      </c>
    </row>
    <row r="82" spans="1:57" x14ac:dyDescent="0.2">
      <c r="A82" s="2" t="s">
        <v>85</v>
      </c>
      <c r="B82" s="2" t="s">
        <v>213</v>
      </c>
      <c r="C82" s="2" t="s">
        <v>120</v>
      </c>
      <c r="BD82" s="41"/>
      <c r="BE82" s="4"/>
    </row>
    <row r="83" spans="1:57" x14ac:dyDescent="0.2">
      <c r="A83" s="2" t="s">
        <v>86</v>
      </c>
      <c r="B83" s="2" t="s">
        <v>214</v>
      </c>
      <c r="C83" s="2" t="s">
        <v>215</v>
      </c>
      <c r="BD83" s="43"/>
      <c r="BE83" s="4"/>
    </row>
    <row r="84" spans="1:57" x14ac:dyDescent="0.2">
      <c r="A84" s="2" t="s">
        <v>87</v>
      </c>
      <c r="B84" s="2" t="s">
        <v>216</v>
      </c>
      <c r="C84" s="2" t="s">
        <v>143</v>
      </c>
      <c r="D84" s="27"/>
      <c r="BD84" s="48"/>
      <c r="BE84" s="4"/>
    </row>
    <row r="85" spans="1:57" x14ac:dyDescent="0.2">
      <c r="A85" s="2" t="s">
        <v>88</v>
      </c>
      <c r="B85" s="2" t="s">
        <v>217</v>
      </c>
      <c r="C85" s="2" t="s">
        <v>197</v>
      </c>
      <c r="BD85" s="42"/>
      <c r="BE85" s="40"/>
    </row>
    <row r="86" spans="1:57" x14ac:dyDescent="0.2">
      <c r="A86" s="2" t="s">
        <v>89</v>
      </c>
      <c r="B86" s="2" t="s">
        <v>218</v>
      </c>
      <c r="C86" s="2" t="s">
        <v>197</v>
      </c>
      <c r="BD86" s="49"/>
      <c r="BE86" s="4"/>
    </row>
    <row r="87" spans="1:57" x14ac:dyDescent="0.2">
      <c r="A87" s="2" t="s">
        <v>90</v>
      </c>
      <c r="B87" s="2" t="s">
        <v>219</v>
      </c>
      <c r="C87" s="2" t="s">
        <v>197</v>
      </c>
      <c r="BD87" s="49"/>
      <c r="BE87" s="4"/>
    </row>
    <row r="88" spans="1:57" x14ac:dyDescent="0.2">
      <c r="A88" s="2" t="s">
        <v>91</v>
      </c>
      <c r="B88" s="2" t="s">
        <v>220</v>
      </c>
      <c r="C88" s="2" t="s">
        <v>136</v>
      </c>
      <c r="BD88" s="41"/>
      <c r="BE88" s="4"/>
    </row>
    <row r="89" spans="1:57" x14ac:dyDescent="0.2">
      <c r="A89" s="2" t="s">
        <v>92</v>
      </c>
      <c r="B89" s="2" t="s">
        <v>221</v>
      </c>
      <c r="C89" s="2" t="s">
        <v>131</v>
      </c>
      <c r="BD89" s="43"/>
      <c r="BE89" s="4"/>
    </row>
    <row r="90" spans="1:57" x14ac:dyDescent="0.2">
      <c r="A90" s="2" t="s">
        <v>93</v>
      </c>
      <c r="B90" s="2" t="s">
        <v>222</v>
      </c>
      <c r="C90" s="2" t="s">
        <v>129</v>
      </c>
      <c r="BD90" s="42" t="s">
        <v>671</v>
      </c>
      <c r="BE90" s="40" t="s">
        <v>670</v>
      </c>
    </row>
    <row r="91" spans="1:57" x14ac:dyDescent="0.2">
      <c r="A91" s="2" t="s">
        <v>94</v>
      </c>
      <c r="B91" s="2" t="s">
        <v>223</v>
      </c>
      <c r="C91" s="2" t="s">
        <v>131</v>
      </c>
      <c r="BD91" s="46"/>
      <c r="BE91" s="4"/>
    </row>
    <row r="92" spans="1:57" x14ac:dyDescent="0.2">
      <c r="A92" s="2" t="s">
        <v>95</v>
      </c>
      <c r="B92" s="2" t="s">
        <v>224</v>
      </c>
      <c r="C92" s="2" t="s">
        <v>122</v>
      </c>
      <c r="BD92" s="45"/>
      <c r="BE92" s="4"/>
    </row>
    <row r="93" spans="1:57" x14ac:dyDescent="0.2">
      <c r="A93" s="2" t="s">
        <v>96</v>
      </c>
      <c r="B93" s="2" t="s">
        <v>225</v>
      </c>
      <c r="C93" s="2" t="s">
        <v>134</v>
      </c>
      <c r="D93" s="24"/>
      <c r="M93" s="25"/>
      <c r="AA93" s="25"/>
      <c r="BD93" s="46"/>
      <c r="BE93" s="4"/>
    </row>
    <row r="94" spans="1:57" x14ac:dyDescent="0.2">
      <c r="A94" s="2" t="s">
        <v>97</v>
      </c>
      <c r="B94" s="2" t="s">
        <v>226</v>
      </c>
      <c r="C94" s="2" t="s">
        <v>120</v>
      </c>
      <c r="BD94" s="42" t="s">
        <v>671</v>
      </c>
      <c r="BE94" s="40" t="s">
        <v>670</v>
      </c>
    </row>
    <row r="95" spans="1:57" x14ac:dyDescent="0.2">
      <c r="A95" s="2" t="s">
        <v>98</v>
      </c>
      <c r="B95" s="2" t="s">
        <v>227</v>
      </c>
      <c r="C95" s="2" t="s">
        <v>122</v>
      </c>
      <c r="BD95" s="46"/>
      <c r="BE95" s="4"/>
    </row>
    <row r="96" spans="1:57" x14ac:dyDescent="0.2">
      <c r="A96" s="2" t="s">
        <v>99</v>
      </c>
      <c r="B96" s="2" t="s">
        <v>228</v>
      </c>
      <c r="C96" s="2" t="s">
        <v>229</v>
      </c>
      <c r="BD96" s="42" t="s">
        <v>671</v>
      </c>
      <c r="BE96" s="40" t="s">
        <v>670</v>
      </c>
    </row>
    <row r="97" spans="1:57" x14ac:dyDescent="0.2">
      <c r="A97" s="2" t="s">
        <v>100</v>
      </c>
      <c r="B97" s="2" t="s">
        <v>230</v>
      </c>
      <c r="C97" s="2" t="s">
        <v>229</v>
      </c>
      <c r="BD97" s="46"/>
      <c r="BE97" s="4"/>
    </row>
    <row r="98" spans="1:57" x14ac:dyDescent="0.2">
      <c r="A98" s="2" t="s">
        <v>101</v>
      </c>
      <c r="B98" s="2" t="s">
        <v>231</v>
      </c>
      <c r="C98" s="2" t="s">
        <v>197</v>
      </c>
      <c r="BD98" s="42" t="s">
        <v>677</v>
      </c>
      <c r="BE98" s="40" t="s">
        <v>670</v>
      </c>
    </row>
    <row r="99" spans="1:57" x14ac:dyDescent="0.2">
      <c r="A99" s="2" t="s">
        <v>102</v>
      </c>
      <c r="B99" s="2" t="s">
        <v>232</v>
      </c>
      <c r="C99" s="2" t="s">
        <v>166</v>
      </c>
      <c r="BD99" s="51"/>
      <c r="BE99" s="4"/>
    </row>
    <row r="100" spans="1:57" x14ac:dyDescent="0.2">
      <c r="A100" s="2" t="s">
        <v>103</v>
      </c>
      <c r="B100" s="2" t="s">
        <v>233</v>
      </c>
      <c r="C100" s="2" t="s">
        <v>122</v>
      </c>
      <c r="BD100" s="46"/>
      <c r="BE100" s="4"/>
    </row>
    <row r="101" spans="1:57" x14ac:dyDescent="0.2">
      <c r="A101" s="2" t="s">
        <v>105</v>
      </c>
      <c r="B101" s="2" t="s">
        <v>235</v>
      </c>
      <c r="C101" s="2" t="s">
        <v>120</v>
      </c>
      <c r="BD101" s="49"/>
      <c r="BE101" s="4"/>
    </row>
    <row r="102" spans="1:57" x14ac:dyDescent="0.2">
      <c r="A102" s="2" t="s">
        <v>106</v>
      </c>
      <c r="B102" s="2" t="s">
        <v>236</v>
      </c>
      <c r="C102" s="2" t="s">
        <v>120</v>
      </c>
      <c r="BD102" s="42" t="s">
        <v>678</v>
      </c>
      <c r="BE102" s="40" t="s">
        <v>670</v>
      </c>
    </row>
    <row r="103" spans="1:57" x14ac:dyDescent="0.2">
      <c r="A103" s="2" t="s">
        <v>107</v>
      </c>
      <c r="B103" s="2" t="s">
        <v>237</v>
      </c>
      <c r="C103" s="2" t="s">
        <v>131</v>
      </c>
      <c r="BD103" s="42" t="s">
        <v>679</v>
      </c>
      <c r="BE103" s="40" t="s">
        <v>670</v>
      </c>
    </row>
    <row r="104" spans="1:57" x14ac:dyDescent="0.2">
      <c r="A104" s="2" t="s">
        <v>110</v>
      </c>
      <c r="B104" s="2" t="s">
        <v>240</v>
      </c>
      <c r="C104" s="2" t="s">
        <v>118</v>
      </c>
      <c r="BD104" s="46"/>
      <c r="BE104" s="4"/>
    </row>
    <row r="105" spans="1:57" x14ac:dyDescent="0.2">
      <c r="A105" s="2" t="s">
        <v>112</v>
      </c>
      <c r="B105" s="2" t="s">
        <v>242</v>
      </c>
      <c r="C105" s="2" t="s">
        <v>122</v>
      </c>
      <c r="BD105" s="4"/>
      <c r="BE105" s="4"/>
    </row>
    <row r="106" spans="1:57" x14ac:dyDescent="0.2">
      <c r="A106" s="2" t="s">
        <v>113</v>
      </c>
      <c r="B106" s="2" t="s">
        <v>243</v>
      </c>
      <c r="C106" s="2" t="s">
        <v>122</v>
      </c>
      <c r="BD106" s="52"/>
      <c r="BE106" s="4"/>
    </row>
    <row r="107" spans="1:57" x14ac:dyDescent="0.2">
      <c r="A107" s="2" t="s">
        <v>114</v>
      </c>
      <c r="B107" s="2" t="s">
        <v>244</v>
      </c>
      <c r="C107" s="2" t="s">
        <v>129</v>
      </c>
      <c r="BD107" s="42"/>
      <c r="BE107" s="40"/>
    </row>
    <row r="108" spans="1:57" x14ac:dyDescent="0.2">
      <c r="A108" s="2" t="s">
        <v>115</v>
      </c>
      <c r="B108" s="2" t="s">
        <v>245</v>
      </c>
      <c r="C108" s="2" t="s">
        <v>131</v>
      </c>
      <c r="BD108" s="42" t="s">
        <v>671</v>
      </c>
      <c r="BE108" s="40" t="s">
        <v>670</v>
      </c>
    </row>
    <row r="109" spans="1:57" x14ac:dyDescent="0.2">
      <c r="A109" s="2" t="s">
        <v>116</v>
      </c>
      <c r="B109" s="2" t="s">
        <v>246</v>
      </c>
      <c r="C109" s="2" t="s">
        <v>131</v>
      </c>
      <c r="BD109" s="42" t="s">
        <v>671</v>
      </c>
      <c r="BE109" s="40" t="s">
        <v>670</v>
      </c>
    </row>
    <row r="110" spans="1:57" x14ac:dyDescent="0.2">
      <c r="A110" s="2"/>
      <c r="B110" s="2"/>
      <c r="C110" s="2"/>
    </row>
    <row r="111" spans="1:57" x14ac:dyDescent="0.2">
      <c r="A111" s="2"/>
      <c r="B111" s="2"/>
      <c r="C111" s="2"/>
    </row>
    <row r="112" spans="1:57" x14ac:dyDescent="0.2">
      <c r="A112" s="2"/>
      <c r="B112" s="2"/>
      <c r="C112" s="2"/>
    </row>
    <row r="113" spans="1:3" x14ac:dyDescent="0.2">
      <c r="A113" s="2"/>
      <c r="B113" s="2"/>
      <c r="C113" s="2"/>
    </row>
    <row r="114" spans="1:3" x14ac:dyDescent="0.2">
      <c r="A114" s="2"/>
      <c r="B114" s="2"/>
      <c r="C114" s="2"/>
    </row>
    <row r="115" spans="1:3" x14ac:dyDescent="0.2">
      <c r="A115" s="2"/>
      <c r="B115" s="2"/>
      <c r="C115" s="2"/>
    </row>
    <row r="116" spans="1:3" x14ac:dyDescent="0.2">
      <c r="A116" s="2"/>
      <c r="B116" s="2"/>
      <c r="C116" s="2"/>
    </row>
  </sheetData>
  <hyperlinks>
    <hyperlink ref="BE20" r:id="rId1" xr:uid="{A1ACC70D-93CC-4CC3-AC5C-42CE4EDB17B5}"/>
    <hyperlink ref="BE21" r:id="rId2" xr:uid="{867CDBF9-3CD6-4E3B-A943-6DBCFF9E739B}"/>
    <hyperlink ref="BE15" r:id="rId3" xr:uid="{2F89A987-95BF-4AE2-896E-944E66E104A4}"/>
    <hyperlink ref="BE16" r:id="rId4" xr:uid="{95A99B7F-B5A8-48A5-B61E-E3E6CFDFD7D6}"/>
    <hyperlink ref="BE57" r:id="rId5" xr:uid="{7E648E5E-FFB8-478F-A0DF-0D9E1E3E6EA5}"/>
    <hyperlink ref="BE75" r:id="rId6" xr:uid="{2D36EFF8-EB15-447C-9E4A-8CB406CCD80C}"/>
    <hyperlink ref="BE76" r:id="rId7" xr:uid="{85D4C6D2-82C4-404F-AD94-53554D245F2C}"/>
    <hyperlink ref="BE81" r:id="rId8" xr:uid="{9FAA20C5-A388-4D3B-AB33-847B1F7CB888}"/>
    <hyperlink ref="BE90" r:id="rId9" xr:uid="{0CC1B0CB-2162-4CE4-99BD-9D36E02B2B56}"/>
    <hyperlink ref="BE94" r:id="rId10" xr:uid="{C3DDF7F6-8D4F-4AB5-9E51-3AF9CEC65E09}"/>
    <hyperlink ref="BE96" r:id="rId11" xr:uid="{B99A786F-0A38-4359-9ECB-9DC2102DB437}"/>
    <hyperlink ref="BE102" r:id="rId12" xr:uid="{684FBC18-483E-45A5-BF68-EAEA66D7FD47}"/>
    <hyperlink ref="BE103" r:id="rId13" xr:uid="{92D556BC-5FA8-484D-9BA3-38A18106FFB1}"/>
    <hyperlink ref="BE108" r:id="rId14" xr:uid="{99F2AA8A-C657-4D81-AAAA-A8E675BCC666}"/>
    <hyperlink ref="BE24" r:id="rId15" xr:uid="{FCB1BB43-B448-4AA4-BEE7-FB90EBFA8C5C}"/>
    <hyperlink ref="BE54" r:id="rId16" xr:uid="{2A300C7D-0520-4CB1-899F-87DE0FD4F70C}"/>
    <hyperlink ref="BE64" r:id="rId17" xr:uid="{45680992-B46B-4BD2-9AD4-82278BFD6CE3}"/>
    <hyperlink ref="BE8" r:id="rId18" display="https://ourworldindata.org/grapher/pesticide-use-per-hectare-of-cropland?mapSelect=OWID_EU27~DNK" xr:uid="{BB422AE0-E712-4D01-BEC2-6E975F3F2BF0}"/>
    <hyperlink ref="BE18" r:id="rId19" display="https://ourworldindata.org/grapher/pesticide-use-per-hectare-of-cropland?mapSelect=OWID_EU27~DNK" xr:uid="{CF54A3B1-08C3-4A9F-8FDE-95433D407E9D}"/>
    <hyperlink ref="BE67" r:id="rId20" display="https://ourworldindata.org/grapher/pesticide-use-per-hectare-of-cropland?mapSelect=OWID_EU27~DNK" xr:uid="{C23D7B9B-7FF0-4C16-8369-7D35A0DBBFBE}"/>
    <hyperlink ref="BE39" r:id="rId21" display="https://ourworldindata.org/grapher/pesticide-use-per-hectare-of-cropland?mapSelect=OWID_EU27~DNK" xr:uid="{1DFEFC2F-6F22-45F4-93D9-B5CF6537BA9D}"/>
    <hyperlink ref="BE109" r:id="rId22" xr:uid="{4EAAB083-C616-4B88-9D74-517A4F7FE602}"/>
    <hyperlink ref="BE10" r:id="rId23" xr:uid="{620678F0-0826-4AE7-BA74-1064AE0CBC1A}"/>
    <hyperlink ref="BE11" r:id="rId24" xr:uid="{F9EB4574-6A61-46DC-AF16-1778341B5E75}"/>
    <hyperlink ref="BE17" r:id="rId25" xr:uid="{EB640B74-7059-4573-A4C6-44A826CF3858}"/>
    <hyperlink ref="BE38" r:id="rId26" xr:uid="{3D462A59-96F2-4C7A-AE7F-1A886287FB45}"/>
    <hyperlink ref="BE66" r:id="rId27" xr:uid="{DBAEBE6E-6D58-4298-ABCB-BE445F942C19}"/>
    <hyperlink ref="BE68" r:id="rId28" xr:uid="{3628E090-B083-475E-81D0-DAB4EAE1336F}"/>
    <hyperlink ref="BE71" r:id="rId29" xr:uid="{505579D3-ACEE-4DD2-9FC1-6AF7FA2F4C71}"/>
    <hyperlink ref="BE74" r:id="rId30" display="https://ourworldindata.org/grapher/pesticide-use-per-hectare-of-cropland?mapSelect=OWID_EU27~DNK" xr:uid="{093B2BC3-7A84-4BDC-A32C-87A73916B50E}"/>
    <hyperlink ref="BE98" r:id="rId31" xr:uid="{701AA1C2-4592-4AC9-B0CD-4D3F376C164F}"/>
  </hyperlinks>
  <pageMargins left="0.7" right="0.7" top="0.75" bottom="0.75" header="0.3" footer="0.3"/>
  <legacyDrawing r:id="rId3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249977111117893"/>
  </sheetPr>
  <dimension ref="A2:V42"/>
  <sheetViews>
    <sheetView zoomScale="80" zoomScaleNormal="80" workbookViewId="0">
      <selection activeCell="A4" sqref="A4:W44"/>
    </sheetView>
  </sheetViews>
  <sheetFormatPr baseColWidth="10" defaultColWidth="8.6640625" defaultRowHeight="15" x14ac:dyDescent="0.2"/>
  <cols>
    <col min="1" max="1" width="10.33203125" style="5" customWidth="1"/>
    <col min="2" max="4" width="8.6640625" style="5"/>
    <col min="5" max="5" width="12.33203125" style="5" customWidth="1"/>
    <col min="6" max="6" width="8.6640625" style="5"/>
    <col min="7" max="7" width="8.6640625" style="5" customWidth="1"/>
    <col min="8" max="16384" width="8.6640625" style="5"/>
  </cols>
  <sheetData>
    <row r="2" spans="1:22" ht="21" x14ac:dyDescent="0.25">
      <c r="A2" s="13" t="s">
        <v>247</v>
      </c>
    </row>
    <row r="3" spans="1:22" ht="14.25" customHeight="1" x14ac:dyDescent="0.25">
      <c r="A3" s="13"/>
    </row>
    <row r="4" spans="1:22" x14ac:dyDescent="0.2">
      <c r="A4" s="6"/>
    </row>
    <row r="5" spans="1:22" x14ac:dyDescent="0.2">
      <c r="A5" s="6"/>
    </row>
    <row r="6" spans="1:22" x14ac:dyDescent="0.2">
      <c r="A6" s="11"/>
    </row>
    <row r="7" spans="1:22" x14ac:dyDescent="0.2">
      <c r="A7" s="12"/>
    </row>
    <row r="8" spans="1:22" x14ac:dyDescent="0.2">
      <c r="A8" s="6"/>
    </row>
    <row r="9" spans="1:22" x14ac:dyDescent="0.2">
      <c r="A9" s="6"/>
      <c r="R9" s="12"/>
    </row>
    <row r="10" spans="1:22" x14ac:dyDescent="0.2">
      <c r="A10" s="11"/>
      <c r="V10" s="6"/>
    </row>
    <row r="11" spans="1:22" x14ac:dyDescent="0.2">
      <c r="A11" s="6"/>
    </row>
    <row r="12" spans="1:22" x14ac:dyDescent="0.2">
      <c r="A12" s="6"/>
      <c r="S12" s="10"/>
    </row>
    <row r="13" spans="1:22" x14ac:dyDescent="0.2">
      <c r="A13" s="8"/>
      <c r="S13" s="10"/>
    </row>
    <row r="14" spans="1:22" x14ac:dyDescent="0.2">
      <c r="A14" s="19"/>
      <c r="S14" s="10"/>
    </row>
    <row r="15" spans="1:22" x14ac:dyDescent="0.2">
      <c r="A15" s="6"/>
      <c r="S15" s="10"/>
    </row>
    <row r="16" spans="1:22" x14ac:dyDescent="0.2">
      <c r="A16" s="7"/>
    </row>
    <row r="17" spans="1:22" x14ac:dyDescent="0.2">
      <c r="A17" s="1"/>
    </row>
    <row r="18" spans="1:22" x14ac:dyDescent="0.2">
      <c r="A18" s="1"/>
    </row>
    <row r="19" spans="1:22" x14ac:dyDescent="0.2">
      <c r="A19" s="11"/>
      <c r="S19" s="10"/>
    </row>
    <row r="20" spans="1:22" x14ac:dyDescent="0.2">
      <c r="A20" s="9"/>
      <c r="R20" s="6"/>
    </row>
    <row r="21" spans="1:22" x14ac:dyDescent="0.2">
      <c r="A21" s="11"/>
    </row>
    <row r="22" spans="1:22" x14ac:dyDescent="0.2">
      <c r="A22" s="12"/>
      <c r="R22" s="6"/>
    </row>
    <row r="23" spans="1:22" x14ac:dyDescent="0.2">
      <c r="A23" s="12"/>
    </row>
    <row r="24" spans="1:22" x14ac:dyDescent="0.2">
      <c r="A24" s="6"/>
      <c r="V24" s="16"/>
    </row>
    <row r="25" spans="1:22" x14ac:dyDescent="0.2">
      <c r="A25" s="14"/>
    </row>
    <row r="26" spans="1:22" x14ac:dyDescent="0.2">
      <c r="A26" s="12"/>
    </row>
    <row r="27" spans="1:22" x14ac:dyDescent="0.2">
      <c r="A27" s="6"/>
      <c r="V27" s="6"/>
    </row>
    <row r="28" spans="1:22" x14ac:dyDescent="0.2">
      <c r="A28" s="6"/>
    </row>
    <row r="29" spans="1:22" x14ac:dyDescent="0.2">
      <c r="A29" s="11"/>
    </row>
    <row r="30" spans="1:22" x14ac:dyDescent="0.2">
      <c r="A30" s="11"/>
    </row>
    <row r="31" spans="1:22" x14ac:dyDescent="0.2">
      <c r="A31" s="11"/>
    </row>
    <row r="32" spans="1:22" x14ac:dyDescent="0.2">
      <c r="A32" s="11"/>
    </row>
    <row r="33" spans="1:1" x14ac:dyDescent="0.2">
      <c r="A33" s="11"/>
    </row>
    <row r="34" spans="1:1" x14ac:dyDescent="0.2">
      <c r="A34" s="11"/>
    </row>
    <row r="35" spans="1:1" x14ac:dyDescent="0.2">
      <c r="A35" s="17"/>
    </row>
    <row r="36" spans="1:1" x14ac:dyDescent="0.2">
      <c r="A36" s="6"/>
    </row>
    <row r="37" spans="1:1" x14ac:dyDescent="0.2">
      <c r="A37" s="15"/>
    </row>
    <row r="38" spans="1:1" x14ac:dyDescent="0.2">
      <c r="A38" s="6"/>
    </row>
    <row r="40" spans="1:1" x14ac:dyDescent="0.2">
      <c r="A40" s="11"/>
    </row>
    <row r="42" spans="1:1" x14ac:dyDescent="0.2">
      <c r="A42" s="18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b5f8f8-e964-4ea5-9bc5-5fa83731a92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03BB68AE5C0F4C908E70EB4D1DDDC3" ma:contentTypeVersion="15" ma:contentTypeDescription="Skapa ett nytt dokument." ma:contentTypeScope="" ma:versionID="bc1901b771652496ef02f4cbdf878f9e">
  <xsd:schema xmlns:xsd="http://www.w3.org/2001/XMLSchema" xmlns:xs="http://www.w3.org/2001/XMLSchema" xmlns:p="http://schemas.microsoft.com/office/2006/metadata/properties" xmlns:ns3="31ffec6e-e0c6-46d3-bf16-e7019fdf1f95" xmlns:ns4="20b5f8f8-e964-4ea5-9bc5-5fa83731a92f" targetNamespace="http://schemas.microsoft.com/office/2006/metadata/properties" ma:root="true" ma:fieldsID="6c61e44642a1e9e2aad865b2f0b39e8f" ns3:_="" ns4:_="">
    <xsd:import namespace="31ffec6e-e0c6-46d3-bf16-e7019fdf1f95"/>
    <xsd:import namespace="20b5f8f8-e964-4ea5-9bc5-5fa83731a92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fec6e-e0c6-46d3-bf16-e7019fdf1f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Delar tips,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5f8f8-e964-4ea5-9bc5-5fa83731a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7ED23C-5EEB-4F10-AA20-79B788D8342E}">
  <ds:schemaRefs>
    <ds:schemaRef ds:uri="http://schemas.microsoft.com/office/2006/metadata/properties"/>
    <ds:schemaRef ds:uri="http://schemas.microsoft.com/office/infopath/2007/PartnerControls"/>
    <ds:schemaRef ds:uri="20b5f8f8-e964-4ea5-9bc5-5fa83731a92f"/>
  </ds:schemaRefs>
</ds:datastoreItem>
</file>

<file path=customXml/itemProps2.xml><?xml version="1.0" encoding="utf-8"?>
<ds:datastoreItem xmlns:ds="http://schemas.openxmlformats.org/officeDocument/2006/customXml" ds:itemID="{A16A6EDB-4C6A-433C-9B54-BF88B9AEEE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BF0A1B-B2BC-4159-BD4C-213AA08534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ffec6e-e0c6-46d3-bf16-e7019fdf1f95"/>
    <ds:schemaRef ds:uri="20b5f8f8-e964-4ea5-9bc5-5fa83731a9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INFO</vt:lpstr>
      <vt:lpstr>Data</vt:lpstr>
      <vt:lpstr>Sources</vt:lpstr>
      <vt:lpstr>Reference list</vt:lpstr>
      <vt:lpstr>Crop_data</vt:lpstr>
      <vt:lpstr>Crop_data_codes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2026-05-26T07:09:37Z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0x010100A603BB68AE5C0F4C908E70EB4D1DDDC3</vt:lpwstr>
  </property>
</Properties>
</file>