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rpc-footprints/6 - Wild foods/"/>
    </mc:Choice>
  </mc:AlternateContent>
  <xr:revisionPtr revIDLastSave="0" documentId="13_ncr:1_{1057439A-2391-9740-AB94-7B17B26F3BDD}" xr6:coauthVersionLast="47" xr6:coauthVersionMax="47" xr10:uidLastSave="{00000000-0000-0000-0000-000000000000}"/>
  <bookViews>
    <workbookView xWindow="29400" yWindow="-21000" windowWidth="38400" windowHeight="21000" activeTab="1" xr2:uid="{00000000-000D-0000-FFFF-FFFF00000000}"/>
  </bookViews>
  <sheets>
    <sheet name="INFO" sheetId="3" r:id="rId1"/>
    <sheet name="Wild foods" sheetId="4" r:id="rId2"/>
    <sheet name="Sheet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11" i="4" s="1"/>
  <c r="K2" i="4"/>
  <c r="K11" i="4" s="1"/>
  <c r="L2" i="4"/>
  <c r="L11" i="4" s="1"/>
  <c r="M2" i="4"/>
  <c r="M11" i="4" s="1"/>
  <c r="N2" i="4"/>
  <c r="N11" i="4" s="1"/>
  <c r="O2" i="4"/>
  <c r="O11" i="4" s="1"/>
  <c r="P2" i="4"/>
  <c r="P11" i="4" s="1"/>
  <c r="Q2" i="4"/>
  <c r="Q11" i="4" s="1"/>
  <c r="R2" i="4"/>
  <c r="R11" i="4" s="1"/>
  <c r="S2" i="4"/>
  <c r="S11" i="4" s="1"/>
  <c r="T2" i="4"/>
  <c r="T11" i="4" s="1"/>
  <c r="U2" i="4"/>
  <c r="U11" i="4" s="1"/>
  <c r="V2" i="4"/>
  <c r="V11" i="4" s="1"/>
  <c r="W2" i="4"/>
  <c r="W11" i="4" s="1"/>
  <c r="X2" i="4"/>
  <c r="X11" i="4" s="1"/>
  <c r="Y2" i="4"/>
  <c r="Y11" i="4" s="1"/>
  <c r="Z2" i="4"/>
  <c r="Z11" i="4" s="1"/>
  <c r="AA2" i="4"/>
  <c r="AA11" i="4" s="1"/>
  <c r="AB2" i="4"/>
  <c r="AB11" i="4" s="1"/>
  <c r="AC2" i="4"/>
  <c r="AC11" i="4" s="1"/>
  <c r="AD2" i="4"/>
  <c r="AD11" i="4" s="1"/>
  <c r="AE2" i="4"/>
  <c r="AE11" i="4" s="1"/>
  <c r="AF2" i="4"/>
  <c r="AF11" i="4" s="1"/>
  <c r="AG2" i="4"/>
  <c r="AG11" i="4" s="1"/>
  <c r="AH2" i="4"/>
  <c r="AH11" i="4" s="1"/>
  <c r="AI2" i="4"/>
  <c r="AI11" i="4" s="1"/>
  <c r="AJ2" i="4"/>
  <c r="AJ11" i="4" s="1"/>
  <c r="AK2" i="4"/>
  <c r="AK11" i="4" s="1"/>
  <c r="AL2" i="4"/>
  <c r="AL11" i="4" s="1"/>
  <c r="AM2" i="4"/>
  <c r="AM11" i="4" s="1"/>
  <c r="AN2" i="4"/>
  <c r="AN11" i="4" s="1"/>
  <c r="AO2" i="4"/>
  <c r="AO11" i="4" s="1"/>
  <c r="AP2" i="4"/>
  <c r="AP11" i="4" s="1"/>
  <c r="AQ2" i="4"/>
  <c r="AQ11" i="4" s="1"/>
  <c r="AR2" i="4"/>
  <c r="AR11" i="4" s="1"/>
  <c r="J3" i="4"/>
  <c r="J12" i="4" s="1"/>
  <c r="K3" i="4"/>
  <c r="K12" i="4" s="1"/>
  <c r="L3" i="4"/>
  <c r="L12" i="4" s="1"/>
  <c r="M3" i="4"/>
  <c r="M12" i="4" s="1"/>
  <c r="N3" i="4"/>
  <c r="N12" i="4" s="1"/>
  <c r="O3" i="4"/>
  <c r="O12" i="4" s="1"/>
  <c r="P3" i="4"/>
  <c r="P12" i="4" s="1"/>
  <c r="Q3" i="4"/>
  <c r="Q12" i="4" s="1"/>
  <c r="R3" i="4"/>
  <c r="R12" i="4" s="1"/>
  <c r="S3" i="4"/>
  <c r="S12" i="4" s="1"/>
  <c r="T3" i="4"/>
  <c r="T12" i="4" s="1"/>
  <c r="U3" i="4"/>
  <c r="U12" i="4" s="1"/>
  <c r="V3" i="4"/>
  <c r="V12" i="4" s="1"/>
  <c r="W3" i="4"/>
  <c r="W12" i="4" s="1"/>
  <c r="X3" i="4"/>
  <c r="X12" i="4" s="1"/>
  <c r="Y3" i="4"/>
  <c r="Y12" i="4" s="1"/>
  <c r="Z3" i="4"/>
  <c r="Z12" i="4" s="1"/>
  <c r="AA3" i="4"/>
  <c r="AA12" i="4" s="1"/>
  <c r="AB3" i="4"/>
  <c r="AB12" i="4" s="1"/>
  <c r="AC3" i="4"/>
  <c r="AC12" i="4" s="1"/>
  <c r="AD3" i="4"/>
  <c r="AD12" i="4" s="1"/>
  <c r="AE3" i="4"/>
  <c r="AE12" i="4" s="1"/>
  <c r="AF3" i="4"/>
  <c r="AF12" i="4" s="1"/>
  <c r="AG3" i="4"/>
  <c r="AG12" i="4" s="1"/>
  <c r="AH3" i="4"/>
  <c r="AH12" i="4" s="1"/>
  <c r="AI3" i="4"/>
  <c r="AI12" i="4" s="1"/>
  <c r="AJ3" i="4"/>
  <c r="AJ12" i="4" s="1"/>
  <c r="AK3" i="4"/>
  <c r="AK12" i="4" s="1"/>
  <c r="AL3" i="4"/>
  <c r="AL12" i="4" s="1"/>
  <c r="AM3" i="4"/>
  <c r="AM12" i="4" s="1"/>
  <c r="AN3" i="4"/>
  <c r="AN12" i="4" s="1"/>
  <c r="AO3" i="4"/>
  <c r="AO12" i="4" s="1"/>
  <c r="AP3" i="4"/>
  <c r="AP12" i="4" s="1"/>
  <c r="AQ3" i="4"/>
  <c r="AQ12" i="4" s="1"/>
  <c r="AR3" i="4"/>
  <c r="AR12" i="4" s="1"/>
  <c r="J4" i="4"/>
  <c r="J13" i="4" s="1"/>
  <c r="K4" i="4"/>
  <c r="K13" i="4" s="1"/>
  <c r="L4" i="4"/>
  <c r="L13" i="4" s="1"/>
  <c r="M4" i="4"/>
  <c r="M13" i="4" s="1"/>
  <c r="N4" i="4"/>
  <c r="N13" i="4" s="1"/>
  <c r="O4" i="4"/>
  <c r="O13" i="4" s="1"/>
  <c r="P4" i="4"/>
  <c r="P13" i="4" s="1"/>
  <c r="Q4" i="4"/>
  <c r="Q13" i="4" s="1"/>
  <c r="R4" i="4"/>
  <c r="R13" i="4" s="1"/>
  <c r="S4" i="4"/>
  <c r="S13" i="4" s="1"/>
  <c r="T4" i="4"/>
  <c r="T13" i="4" s="1"/>
  <c r="U4" i="4"/>
  <c r="U13" i="4" s="1"/>
  <c r="V4" i="4"/>
  <c r="V13" i="4" s="1"/>
  <c r="W4" i="4"/>
  <c r="W13" i="4" s="1"/>
  <c r="X4" i="4"/>
  <c r="X13" i="4" s="1"/>
  <c r="Y4" i="4"/>
  <c r="Y13" i="4" s="1"/>
  <c r="Z4" i="4"/>
  <c r="Z13" i="4" s="1"/>
  <c r="AA4" i="4"/>
  <c r="AA13" i="4" s="1"/>
  <c r="AB4" i="4"/>
  <c r="AB13" i="4" s="1"/>
  <c r="AC4" i="4"/>
  <c r="AC13" i="4" s="1"/>
  <c r="AD4" i="4"/>
  <c r="AD13" i="4" s="1"/>
  <c r="AE4" i="4"/>
  <c r="AE13" i="4" s="1"/>
  <c r="AF4" i="4"/>
  <c r="AF13" i="4" s="1"/>
  <c r="AG4" i="4"/>
  <c r="AG13" i="4" s="1"/>
  <c r="AH4" i="4"/>
  <c r="AH13" i="4" s="1"/>
  <c r="AI4" i="4"/>
  <c r="AI13" i="4" s="1"/>
  <c r="AJ4" i="4"/>
  <c r="AJ13" i="4" s="1"/>
  <c r="AK4" i="4"/>
  <c r="AK13" i="4" s="1"/>
  <c r="AL4" i="4"/>
  <c r="AL13" i="4" s="1"/>
  <c r="AM4" i="4"/>
  <c r="AM13" i="4" s="1"/>
  <c r="AN4" i="4"/>
  <c r="AN13" i="4" s="1"/>
  <c r="AO4" i="4"/>
  <c r="AO13" i="4" s="1"/>
  <c r="AP4" i="4"/>
  <c r="AP13" i="4" s="1"/>
  <c r="AQ4" i="4"/>
  <c r="AQ13" i="4" s="1"/>
  <c r="AR4" i="4"/>
  <c r="AR13" i="4" s="1"/>
  <c r="J5" i="4"/>
  <c r="J14" i="4" s="1"/>
  <c r="K5" i="4"/>
  <c r="K14" i="4" s="1"/>
  <c r="L5" i="4"/>
  <c r="L14" i="4" s="1"/>
  <c r="M5" i="4"/>
  <c r="M14" i="4" s="1"/>
  <c r="N5" i="4"/>
  <c r="N14" i="4" s="1"/>
  <c r="O5" i="4"/>
  <c r="O14" i="4" s="1"/>
  <c r="P5" i="4"/>
  <c r="P14" i="4" s="1"/>
  <c r="Q5" i="4"/>
  <c r="Q14" i="4" s="1"/>
  <c r="R5" i="4"/>
  <c r="R14" i="4" s="1"/>
  <c r="S5" i="4"/>
  <c r="S14" i="4" s="1"/>
  <c r="T5" i="4"/>
  <c r="T14" i="4" s="1"/>
  <c r="U5" i="4"/>
  <c r="U14" i="4" s="1"/>
  <c r="V5" i="4"/>
  <c r="V14" i="4" s="1"/>
  <c r="W5" i="4"/>
  <c r="W14" i="4" s="1"/>
  <c r="X5" i="4"/>
  <c r="X14" i="4" s="1"/>
  <c r="Y5" i="4"/>
  <c r="Y14" i="4" s="1"/>
  <c r="Z5" i="4"/>
  <c r="Z14" i="4" s="1"/>
  <c r="AA5" i="4"/>
  <c r="AA14" i="4" s="1"/>
  <c r="AB5" i="4"/>
  <c r="AB14" i="4" s="1"/>
  <c r="AC5" i="4"/>
  <c r="AC14" i="4" s="1"/>
  <c r="AD5" i="4"/>
  <c r="AD14" i="4" s="1"/>
  <c r="AE5" i="4"/>
  <c r="AE14" i="4" s="1"/>
  <c r="AF5" i="4"/>
  <c r="AF14" i="4" s="1"/>
  <c r="AG5" i="4"/>
  <c r="AG14" i="4" s="1"/>
  <c r="AH5" i="4"/>
  <c r="AH14" i="4" s="1"/>
  <c r="AI5" i="4"/>
  <c r="AI14" i="4" s="1"/>
  <c r="AJ5" i="4"/>
  <c r="AJ14" i="4" s="1"/>
  <c r="AK5" i="4"/>
  <c r="AK14" i="4" s="1"/>
  <c r="AL5" i="4"/>
  <c r="AL14" i="4" s="1"/>
  <c r="AM5" i="4"/>
  <c r="AM14" i="4" s="1"/>
  <c r="AN5" i="4"/>
  <c r="AN14" i="4" s="1"/>
  <c r="AO5" i="4"/>
  <c r="AO14" i="4" s="1"/>
  <c r="AP5" i="4"/>
  <c r="AP14" i="4" s="1"/>
  <c r="AQ5" i="4"/>
  <c r="AQ14" i="4" s="1"/>
  <c r="AR5" i="4"/>
  <c r="AR14" i="4" s="1"/>
  <c r="J6" i="4"/>
  <c r="J15" i="4" s="1"/>
  <c r="K6" i="4"/>
  <c r="K15" i="4" s="1"/>
  <c r="L6" i="4"/>
  <c r="L15" i="4" s="1"/>
  <c r="M6" i="4"/>
  <c r="M15" i="4" s="1"/>
  <c r="N6" i="4"/>
  <c r="N15" i="4" s="1"/>
  <c r="O6" i="4"/>
  <c r="O15" i="4" s="1"/>
  <c r="P6" i="4"/>
  <c r="P15" i="4" s="1"/>
  <c r="Q6" i="4"/>
  <c r="Q15" i="4" s="1"/>
  <c r="R6" i="4"/>
  <c r="R15" i="4" s="1"/>
  <c r="S6" i="4"/>
  <c r="S15" i="4" s="1"/>
  <c r="T6" i="4"/>
  <c r="T15" i="4" s="1"/>
  <c r="U6" i="4"/>
  <c r="U15" i="4" s="1"/>
  <c r="V6" i="4"/>
  <c r="V15" i="4" s="1"/>
  <c r="W6" i="4"/>
  <c r="W15" i="4" s="1"/>
  <c r="X6" i="4"/>
  <c r="X15" i="4" s="1"/>
  <c r="Y6" i="4"/>
  <c r="Y15" i="4" s="1"/>
  <c r="Z6" i="4"/>
  <c r="Z15" i="4" s="1"/>
  <c r="AA6" i="4"/>
  <c r="AA15" i="4" s="1"/>
  <c r="AB6" i="4"/>
  <c r="AB15" i="4" s="1"/>
  <c r="AC6" i="4"/>
  <c r="AC15" i="4" s="1"/>
  <c r="AD6" i="4"/>
  <c r="AD15" i="4" s="1"/>
  <c r="AE6" i="4"/>
  <c r="AE15" i="4" s="1"/>
  <c r="AF6" i="4"/>
  <c r="AF15" i="4" s="1"/>
  <c r="AG6" i="4"/>
  <c r="AG15" i="4" s="1"/>
  <c r="AH6" i="4"/>
  <c r="AH15" i="4" s="1"/>
  <c r="AI6" i="4"/>
  <c r="AI15" i="4" s="1"/>
  <c r="AJ6" i="4"/>
  <c r="AJ15" i="4" s="1"/>
  <c r="AK6" i="4"/>
  <c r="AK15" i="4" s="1"/>
  <c r="AL6" i="4"/>
  <c r="AL15" i="4" s="1"/>
  <c r="AM6" i="4"/>
  <c r="AM15" i="4" s="1"/>
  <c r="AN6" i="4"/>
  <c r="AN15" i="4" s="1"/>
  <c r="AO6" i="4"/>
  <c r="AO15" i="4" s="1"/>
  <c r="AP6" i="4"/>
  <c r="AP15" i="4" s="1"/>
  <c r="AQ6" i="4"/>
  <c r="AQ15" i="4" s="1"/>
  <c r="AR6" i="4"/>
  <c r="AR15" i="4" s="1"/>
  <c r="J7" i="4"/>
  <c r="J16" i="4" s="1"/>
  <c r="K7" i="4"/>
  <c r="K16" i="4" s="1"/>
  <c r="L7" i="4"/>
  <c r="L16" i="4" s="1"/>
  <c r="M7" i="4"/>
  <c r="M16" i="4" s="1"/>
  <c r="N7" i="4"/>
  <c r="N16" i="4" s="1"/>
  <c r="O7" i="4"/>
  <c r="O16" i="4" s="1"/>
  <c r="P7" i="4"/>
  <c r="P16" i="4" s="1"/>
  <c r="Q7" i="4"/>
  <c r="Q16" i="4" s="1"/>
  <c r="R7" i="4"/>
  <c r="R16" i="4" s="1"/>
  <c r="S7" i="4"/>
  <c r="S16" i="4" s="1"/>
  <c r="T7" i="4"/>
  <c r="T16" i="4" s="1"/>
  <c r="U7" i="4"/>
  <c r="U16" i="4" s="1"/>
  <c r="V7" i="4"/>
  <c r="V16" i="4" s="1"/>
  <c r="W7" i="4"/>
  <c r="W16" i="4" s="1"/>
  <c r="X7" i="4"/>
  <c r="X16" i="4" s="1"/>
  <c r="Y7" i="4"/>
  <c r="Y16" i="4" s="1"/>
  <c r="Z7" i="4"/>
  <c r="Z16" i="4" s="1"/>
  <c r="AA7" i="4"/>
  <c r="AA16" i="4" s="1"/>
  <c r="AB7" i="4"/>
  <c r="AB16" i="4" s="1"/>
  <c r="AC7" i="4"/>
  <c r="AC16" i="4" s="1"/>
  <c r="AD7" i="4"/>
  <c r="AD16" i="4" s="1"/>
  <c r="AE7" i="4"/>
  <c r="AE16" i="4" s="1"/>
  <c r="AF7" i="4"/>
  <c r="AF16" i="4" s="1"/>
  <c r="AG7" i="4"/>
  <c r="AG16" i="4" s="1"/>
  <c r="AH7" i="4"/>
  <c r="AH16" i="4" s="1"/>
  <c r="AI7" i="4"/>
  <c r="AI16" i="4" s="1"/>
  <c r="AJ7" i="4"/>
  <c r="AJ16" i="4" s="1"/>
  <c r="AK7" i="4"/>
  <c r="AK16" i="4" s="1"/>
  <c r="AL7" i="4"/>
  <c r="AL16" i="4" s="1"/>
  <c r="AM7" i="4"/>
  <c r="AM16" i="4" s="1"/>
  <c r="AN7" i="4"/>
  <c r="AN16" i="4" s="1"/>
  <c r="AO7" i="4"/>
  <c r="AO16" i="4" s="1"/>
  <c r="AP7" i="4"/>
  <c r="AP16" i="4" s="1"/>
  <c r="AQ7" i="4"/>
  <c r="AQ16" i="4" s="1"/>
  <c r="AR7" i="4"/>
  <c r="AR16" i="4" s="1"/>
  <c r="J8" i="4"/>
  <c r="J17" i="4" s="1"/>
  <c r="K8" i="4"/>
  <c r="K17" i="4" s="1"/>
  <c r="L8" i="4"/>
  <c r="L17" i="4" s="1"/>
  <c r="M8" i="4"/>
  <c r="M17" i="4" s="1"/>
  <c r="N8" i="4"/>
  <c r="N17" i="4" s="1"/>
  <c r="O8" i="4"/>
  <c r="O17" i="4" s="1"/>
  <c r="P8" i="4"/>
  <c r="P17" i="4" s="1"/>
  <c r="Q8" i="4"/>
  <c r="Q17" i="4" s="1"/>
  <c r="R8" i="4"/>
  <c r="R17" i="4" s="1"/>
  <c r="S8" i="4"/>
  <c r="S17" i="4" s="1"/>
  <c r="T8" i="4"/>
  <c r="T17" i="4" s="1"/>
  <c r="U8" i="4"/>
  <c r="U17" i="4" s="1"/>
  <c r="V8" i="4"/>
  <c r="V17" i="4" s="1"/>
  <c r="W8" i="4"/>
  <c r="W17" i="4" s="1"/>
  <c r="X8" i="4"/>
  <c r="X17" i="4" s="1"/>
  <c r="Y8" i="4"/>
  <c r="Y17" i="4" s="1"/>
  <c r="Z8" i="4"/>
  <c r="Z17" i="4" s="1"/>
  <c r="AA8" i="4"/>
  <c r="AA17" i="4" s="1"/>
  <c r="AB8" i="4"/>
  <c r="AB17" i="4" s="1"/>
  <c r="AC8" i="4"/>
  <c r="AC17" i="4" s="1"/>
  <c r="AD8" i="4"/>
  <c r="AD17" i="4" s="1"/>
  <c r="AE8" i="4"/>
  <c r="AE17" i="4" s="1"/>
  <c r="AF8" i="4"/>
  <c r="AF17" i="4" s="1"/>
  <c r="AG8" i="4"/>
  <c r="AG17" i="4" s="1"/>
  <c r="AH8" i="4"/>
  <c r="AH17" i="4" s="1"/>
  <c r="AI8" i="4"/>
  <c r="AI17" i="4" s="1"/>
  <c r="AJ8" i="4"/>
  <c r="AJ17" i="4" s="1"/>
  <c r="AK8" i="4"/>
  <c r="AK17" i="4" s="1"/>
  <c r="AL8" i="4"/>
  <c r="AL17" i="4" s="1"/>
  <c r="AM8" i="4"/>
  <c r="AM17" i="4" s="1"/>
  <c r="AN8" i="4"/>
  <c r="AN17" i="4" s="1"/>
  <c r="AO8" i="4"/>
  <c r="AO17" i="4" s="1"/>
  <c r="AP8" i="4"/>
  <c r="AP17" i="4" s="1"/>
  <c r="AQ8" i="4"/>
  <c r="AQ17" i="4" s="1"/>
  <c r="AR8" i="4"/>
  <c r="AR17" i="4" s="1"/>
  <c r="J9" i="4"/>
  <c r="J18" i="4" s="1"/>
  <c r="K9" i="4"/>
  <c r="K18" i="4" s="1"/>
  <c r="L9" i="4"/>
  <c r="L18" i="4" s="1"/>
  <c r="M9" i="4"/>
  <c r="M18" i="4" s="1"/>
  <c r="N9" i="4"/>
  <c r="N18" i="4" s="1"/>
  <c r="O9" i="4"/>
  <c r="O18" i="4" s="1"/>
  <c r="P9" i="4"/>
  <c r="P18" i="4" s="1"/>
  <c r="Q9" i="4"/>
  <c r="Q18" i="4" s="1"/>
  <c r="R9" i="4"/>
  <c r="R18" i="4" s="1"/>
  <c r="S9" i="4"/>
  <c r="S18" i="4" s="1"/>
  <c r="T9" i="4"/>
  <c r="T18" i="4" s="1"/>
  <c r="U9" i="4"/>
  <c r="U18" i="4" s="1"/>
  <c r="V9" i="4"/>
  <c r="V18" i="4" s="1"/>
  <c r="W9" i="4"/>
  <c r="W18" i="4" s="1"/>
  <c r="X9" i="4"/>
  <c r="X18" i="4" s="1"/>
  <c r="Y9" i="4"/>
  <c r="Y18" i="4" s="1"/>
  <c r="Z9" i="4"/>
  <c r="Z18" i="4" s="1"/>
  <c r="AA9" i="4"/>
  <c r="AA18" i="4" s="1"/>
  <c r="AB9" i="4"/>
  <c r="AB18" i="4" s="1"/>
  <c r="AC9" i="4"/>
  <c r="AC18" i="4" s="1"/>
  <c r="AD9" i="4"/>
  <c r="AD18" i="4" s="1"/>
  <c r="AE9" i="4"/>
  <c r="AE18" i="4" s="1"/>
  <c r="AF9" i="4"/>
  <c r="AF18" i="4" s="1"/>
  <c r="AG9" i="4"/>
  <c r="AG18" i="4" s="1"/>
  <c r="AH9" i="4"/>
  <c r="AH18" i="4" s="1"/>
  <c r="AI9" i="4"/>
  <c r="AI18" i="4" s="1"/>
  <c r="AJ9" i="4"/>
  <c r="AJ18" i="4" s="1"/>
  <c r="AK9" i="4"/>
  <c r="AK18" i="4" s="1"/>
  <c r="AL9" i="4"/>
  <c r="AL18" i="4" s="1"/>
  <c r="AM9" i="4"/>
  <c r="AM18" i="4" s="1"/>
  <c r="AN9" i="4"/>
  <c r="AN18" i="4" s="1"/>
  <c r="AO9" i="4"/>
  <c r="AO18" i="4" s="1"/>
  <c r="AP9" i="4"/>
  <c r="AP18" i="4" s="1"/>
  <c r="AQ9" i="4"/>
  <c r="AQ18" i="4" s="1"/>
  <c r="AR9" i="4"/>
  <c r="AR18" i="4" s="1"/>
  <c r="J10" i="4"/>
  <c r="J19" i="4" s="1"/>
  <c r="K10" i="4"/>
  <c r="K19" i="4" s="1"/>
  <c r="L10" i="4"/>
  <c r="L19" i="4" s="1"/>
  <c r="M10" i="4"/>
  <c r="M19" i="4" s="1"/>
  <c r="N10" i="4"/>
  <c r="N19" i="4" s="1"/>
  <c r="O10" i="4"/>
  <c r="O19" i="4" s="1"/>
  <c r="P10" i="4"/>
  <c r="P19" i="4" s="1"/>
  <c r="Q10" i="4"/>
  <c r="Q19" i="4" s="1"/>
  <c r="R10" i="4"/>
  <c r="R19" i="4" s="1"/>
  <c r="S10" i="4"/>
  <c r="S19" i="4" s="1"/>
  <c r="T10" i="4"/>
  <c r="T19" i="4" s="1"/>
  <c r="U10" i="4"/>
  <c r="U19" i="4" s="1"/>
  <c r="V10" i="4"/>
  <c r="V19" i="4" s="1"/>
  <c r="W10" i="4"/>
  <c r="W19" i="4" s="1"/>
  <c r="X10" i="4"/>
  <c r="X19" i="4" s="1"/>
  <c r="Y10" i="4"/>
  <c r="Y19" i="4" s="1"/>
  <c r="Z10" i="4"/>
  <c r="Z19" i="4" s="1"/>
  <c r="AA10" i="4"/>
  <c r="AA19" i="4" s="1"/>
  <c r="AB10" i="4"/>
  <c r="AB19" i="4" s="1"/>
  <c r="AC10" i="4"/>
  <c r="AC19" i="4" s="1"/>
  <c r="AD10" i="4"/>
  <c r="AD19" i="4" s="1"/>
  <c r="AE10" i="4"/>
  <c r="AE19" i="4" s="1"/>
  <c r="AF10" i="4"/>
  <c r="AF19" i="4" s="1"/>
  <c r="AG10" i="4"/>
  <c r="AG19" i="4" s="1"/>
  <c r="AH10" i="4"/>
  <c r="AH19" i="4" s="1"/>
  <c r="AI10" i="4"/>
  <c r="AI19" i="4" s="1"/>
  <c r="AJ10" i="4"/>
  <c r="AJ19" i="4" s="1"/>
  <c r="AK10" i="4"/>
  <c r="AK19" i="4" s="1"/>
  <c r="AL10" i="4"/>
  <c r="AL19" i="4" s="1"/>
  <c r="AM10" i="4"/>
  <c r="AM19" i="4" s="1"/>
  <c r="AN10" i="4"/>
  <c r="AN19" i="4" s="1"/>
  <c r="AO10" i="4"/>
  <c r="AO19" i="4" s="1"/>
  <c r="AP10" i="4"/>
  <c r="AP19" i="4" s="1"/>
  <c r="AQ10" i="4"/>
  <c r="AQ19" i="4" s="1"/>
  <c r="AR10" i="4"/>
  <c r="AR19" i="4" s="1"/>
  <c r="I9" i="4"/>
  <c r="I18" i="4" s="1"/>
  <c r="I7" i="4"/>
  <c r="I16" i="4" s="1"/>
  <c r="I4" i="4"/>
  <c r="I13" i="4" s="1"/>
  <c r="I3" i="4"/>
  <c r="I12" i="4" s="1"/>
  <c r="I2" i="4"/>
  <c r="I11" i="4" s="1"/>
  <c r="I6" i="4"/>
  <c r="I15" i="4" s="1"/>
  <c r="I8" i="4"/>
  <c r="I17" i="4" s="1"/>
  <c r="I10" i="4"/>
  <c r="I19" i="4" s="1"/>
  <c r="I5" i="4"/>
  <c r="I14" i="4" s="1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I83" i="3"/>
  <c r="AQ81" i="3"/>
  <c r="AJ81" i="3"/>
  <c r="K81" i="3" s="1"/>
  <c r="AF81" i="3"/>
  <c r="Z81" i="3"/>
  <c r="L81" i="3"/>
  <c r="J81" i="3"/>
  <c r="Z66" i="3"/>
  <c r="AL66" i="3"/>
  <c r="L66" i="3" s="1"/>
  <c r="L68" i="3" s="1"/>
  <c r="N27" i="3"/>
  <c r="U27" i="3"/>
  <c r="V27" i="3"/>
  <c r="X27" i="3"/>
  <c r="Z27" i="3"/>
  <c r="AA27" i="3"/>
  <c r="AB27" i="3"/>
  <c r="AC27" i="3"/>
  <c r="AD27" i="3"/>
  <c r="N39" i="3"/>
  <c r="O39" i="3"/>
  <c r="P39" i="3"/>
  <c r="Q39" i="3"/>
  <c r="R39" i="3"/>
  <c r="S39" i="3"/>
  <c r="O27" i="3" s="1"/>
  <c r="T39" i="3"/>
  <c r="P27" i="3" s="1"/>
  <c r="U39" i="3"/>
  <c r="Q27" i="3" s="1"/>
  <c r="V39" i="3"/>
  <c r="R27" i="3" s="1"/>
  <c r="W39" i="3"/>
  <c r="S27" i="3" s="1"/>
  <c r="X39" i="3"/>
  <c r="T27" i="3" s="1"/>
  <c r="Y39" i="3"/>
  <c r="Z39" i="3"/>
  <c r="AA39" i="3"/>
  <c r="W27" i="3" s="1"/>
  <c r="AB39" i="3"/>
  <c r="AC39" i="3"/>
  <c r="Y27" i="3" s="1"/>
  <c r="AD39" i="3"/>
  <c r="AE39" i="3"/>
  <c r="AF39" i="3"/>
  <c r="AG39" i="3"/>
  <c r="AH39" i="3"/>
  <c r="AI39" i="3"/>
  <c r="AE27" i="3" s="1"/>
  <c r="AJ39" i="3"/>
  <c r="AK39" i="3"/>
  <c r="AG27" i="3" s="1"/>
  <c r="AL39" i="3"/>
  <c r="AH27" i="3" s="1"/>
  <c r="AM39" i="3"/>
  <c r="AI27" i="3" s="1"/>
  <c r="AN39" i="3"/>
  <c r="AO39" i="3"/>
  <c r="AK27" i="3" s="1"/>
  <c r="AP39" i="3"/>
  <c r="AQ39" i="3"/>
  <c r="AM27" i="3" s="1"/>
  <c r="AR39" i="3"/>
  <c r="AN27" i="3" s="1"/>
  <c r="AS39" i="3"/>
  <c r="AO27" i="3" s="1"/>
  <c r="AT39" i="3"/>
  <c r="AP27" i="3" s="1"/>
  <c r="AU39" i="3"/>
  <c r="AV39" i="3"/>
  <c r="M39" i="3"/>
  <c r="I27" i="3"/>
  <c r="F61" i="3"/>
  <c r="G61" i="3" s="1"/>
  <c r="R68" i="3"/>
  <c r="Q68" i="3"/>
  <c r="P68" i="3"/>
  <c r="O68" i="3"/>
  <c r="N68" i="3"/>
  <c r="I29" i="3"/>
  <c r="D39" i="3"/>
  <c r="D40" i="3"/>
  <c r="B45" i="3"/>
  <c r="D45" i="3" s="1"/>
  <c r="D46" i="3"/>
  <c r="D44" i="3"/>
  <c r="D38" i="3"/>
  <c r="D34" i="3"/>
  <c r="D33" i="3"/>
  <c r="D32" i="3"/>
  <c r="M81" i="3" l="1"/>
  <c r="I81" i="3"/>
  <c r="AB66" i="3"/>
  <c r="D41" i="3"/>
  <c r="E40" i="3" s="1"/>
  <c r="C15" i="3" s="1"/>
  <c r="D47" i="3"/>
  <c r="E44" i="3" s="1"/>
  <c r="C17" i="3" s="1"/>
  <c r="D17" i="3" s="1"/>
  <c r="D35" i="3"/>
  <c r="E32" i="3" s="1"/>
  <c r="C21" i="3" s="1"/>
  <c r="D21" i="3" s="1"/>
  <c r="E39" i="3" l="1"/>
  <c r="C14" i="3" s="1"/>
  <c r="D14" i="3" s="1"/>
  <c r="E38" i="3"/>
  <c r="C13" i="3" s="1"/>
  <c r="E46" i="3"/>
  <c r="C19" i="3" s="1"/>
  <c r="D19" i="3" s="1"/>
  <c r="AR27" i="3" s="1"/>
  <c r="E45" i="3"/>
  <c r="C18" i="3" s="1"/>
  <c r="D18" i="3" s="1"/>
  <c r="C9" i="3"/>
  <c r="D9" i="3" s="1"/>
  <c r="D13" i="3"/>
  <c r="D15" i="3"/>
  <c r="E33" i="3"/>
  <c r="E34" i="3"/>
  <c r="J27" i="3" l="1"/>
  <c r="AF66" i="3"/>
  <c r="J66" i="3" s="1"/>
  <c r="AF27" i="3"/>
  <c r="L27" i="3"/>
  <c r="L29" i="3" s="1"/>
  <c r="AL27" i="3"/>
  <c r="AE68" i="3"/>
  <c r="AD68" i="3"/>
  <c r="AC68" i="3"/>
  <c r="AG68" i="3"/>
  <c r="AF68" i="3"/>
  <c r="AR68" i="3"/>
  <c r="AB68" i="3"/>
  <c r="AA68" i="3"/>
  <c r="AP68" i="3"/>
  <c r="Z68" i="3"/>
  <c r="AO68" i="3"/>
  <c r="Y68" i="3"/>
  <c r="AN68" i="3"/>
  <c r="X68" i="3"/>
  <c r="AM68" i="3"/>
  <c r="W68" i="3"/>
  <c r="AL68" i="3"/>
  <c r="V68" i="3"/>
  <c r="AK68" i="3"/>
  <c r="U68" i="3"/>
  <c r="T68" i="3"/>
  <c r="AI68" i="3"/>
  <c r="S68" i="3"/>
  <c r="AH68" i="3"/>
  <c r="AC29" i="3"/>
  <c r="AD29" i="3"/>
  <c r="N29" i="3"/>
  <c r="AK29" i="3"/>
  <c r="AL29" i="3"/>
  <c r="W29" i="3"/>
  <c r="Y29" i="3"/>
  <c r="AR29" i="3"/>
  <c r="AM29" i="3"/>
  <c r="AN29" i="3"/>
  <c r="AP29" i="3"/>
  <c r="AA29" i="3"/>
  <c r="AB29" i="3"/>
  <c r="AE29" i="3"/>
  <c r="AF29" i="3"/>
  <c r="O29" i="3"/>
  <c r="AG29" i="3"/>
  <c r="AH29" i="3"/>
  <c r="AI29" i="3"/>
  <c r="U29" i="3"/>
  <c r="V29" i="3"/>
  <c r="X29" i="3"/>
  <c r="AO29" i="3"/>
  <c r="Z29" i="3"/>
  <c r="T29" i="3"/>
  <c r="S29" i="3"/>
  <c r="Q29" i="3"/>
  <c r="P29" i="3"/>
  <c r="R29" i="3"/>
  <c r="J29" i="3"/>
  <c r="C11" i="3"/>
  <c r="D11" i="3" s="1"/>
  <c r="C23" i="3"/>
  <c r="D23" i="3" s="1"/>
  <c r="C10" i="3"/>
  <c r="C22" i="3"/>
  <c r="D22" i="3" s="1"/>
  <c r="D10" i="3"/>
  <c r="AQ66" i="3" l="1"/>
  <c r="M27" i="3"/>
  <c r="M29" i="3" s="1"/>
  <c r="AQ27" i="3"/>
  <c r="AQ29" i="3" s="1"/>
  <c r="J68" i="3"/>
  <c r="K27" i="3"/>
  <c r="K29" i="3" s="1"/>
  <c r="AJ66" i="3"/>
  <c r="AJ27" i="3"/>
  <c r="AJ29" i="3" s="1"/>
  <c r="I24" i="3"/>
  <c r="K66" i="3" l="1"/>
  <c r="AJ68" i="3"/>
  <c r="M66" i="3"/>
  <c r="M68" i="3" s="1"/>
  <c r="AQ68" i="3"/>
  <c r="K68" i="3" l="1"/>
  <c r="I66" i="3"/>
  <c r="I68" i="3" s="1"/>
</calcChain>
</file>

<file path=xl/sharedStrings.xml><?xml version="1.0" encoding="utf-8"?>
<sst xmlns="http://schemas.openxmlformats.org/spreadsheetml/2006/main" count="530" uniqueCount="146">
  <si>
    <t>A.06.03.001</t>
  </si>
  <si>
    <t>A.06.03.002</t>
  </si>
  <si>
    <t>A.06.03.003</t>
  </si>
  <si>
    <t>A.06.03.004</t>
  </si>
  <si>
    <t>Wild foods</t>
  </si>
  <si>
    <t>Wild boar</t>
  </si>
  <si>
    <t>Source:</t>
  </si>
  <si>
    <t>Behaderovic, D., &amp; Berglund, M. (2022). Klimatavtryck av vildsvinskött. Hushållningssällskapet Halland. https://hushallningssallskapet.se/wp-content/uploads/2023/10/rapport-klimatavtryck-av-vildsvinskott2022.pdf</t>
  </si>
  <si>
    <t>Jakt - transports</t>
  </si>
  <si>
    <t>CO2</t>
  </si>
  <si>
    <t>CH4</t>
  </si>
  <si>
    <t>N2O</t>
  </si>
  <si>
    <t>Feeding - utfodring</t>
  </si>
  <si>
    <t>Total</t>
  </si>
  <si>
    <t>Gode et al. 2011</t>
  </si>
  <si>
    <t>kg CO2 per MJ</t>
  </si>
  <si>
    <t>kg CH4 per MJ</t>
  </si>
  <si>
    <t>kg N2O per MJ</t>
  </si>
  <si>
    <t>In CO2e</t>
  </si>
  <si>
    <t>Source</t>
  </si>
  <si>
    <t>EF</t>
  </si>
  <si>
    <t>Diesel</t>
  </si>
  <si>
    <t>%</t>
  </si>
  <si>
    <t>In gases</t>
  </si>
  <si>
    <t>Wheat</t>
  </si>
  <si>
    <t>kg CO2 per kg</t>
  </si>
  <si>
    <t>SAFAD, wheat SE</t>
  </si>
  <si>
    <t>0.16484003368588274</t>
  </si>
  <si>
    <t>2.1569594254895508E-4</t>
  </si>
  <si>
    <t>9.1674057328054498E-4</t>
  </si>
  <si>
    <t>Vildsvin - from the animal</t>
  </si>
  <si>
    <t>VHA - vilthantering - el och transport - assume same distribution as for diesel</t>
  </si>
  <si>
    <t>Pig meat</t>
  </si>
  <si>
    <t>EF - ent ferm+manure</t>
  </si>
  <si>
    <t>SAFAD, pig meat SE</t>
  </si>
  <si>
    <t>Allocation, %:</t>
  </si>
  <si>
    <t>0111</t>
  </si>
  <si>
    <t>Wheat, average</t>
  </si>
  <si>
    <t>Cereals, incl feed</t>
  </si>
  <si>
    <t>Sweden</t>
  </si>
  <si>
    <t>SE</t>
  </si>
  <si>
    <t>0.42153794927943045</t>
  </si>
  <si>
    <t>1.5363343063450607</t>
  </si>
  <si>
    <t>2.350591488707943E-2</t>
  </si>
  <si>
    <t>2.150868028883085E-3</t>
  </si>
  <si>
    <t>0.11368873866953449</t>
  </si>
  <si>
    <t>3.14353683629948e-14</t>
  </si>
  <si>
    <t>1.4290327566282921E-3</t>
  </si>
  <si>
    <t>0.11883715916280413</t>
  </si>
  <si>
    <t>3.01313E-2</t>
  </si>
  <si>
    <t>7.3741076533864705E-2</t>
  </si>
  <si>
    <t>2.7E-2</t>
  </si>
  <si>
    <t>9.2769916609057948E-5</t>
  </si>
  <si>
    <t>9.5000000000000005E-5</t>
  </si>
  <si>
    <t>2.79260259398971e-05</t>
  </si>
  <si>
    <t>1.5506058283512638E-4</t>
  </si>
  <si>
    <t>1.1000000000000001E-6</t>
  </si>
  <si>
    <t>2.12247008898919e-06</t>
  </si>
  <si>
    <t>SUA code</t>
  </si>
  <si>
    <t>SUA name</t>
  </si>
  <si>
    <t>Category</t>
  </si>
  <si>
    <t>Country name</t>
  </si>
  <si>
    <t>Country code</t>
  </si>
  <si>
    <t>Carbon footprint, primary production</t>
  </si>
  <si>
    <t>Carbon dioxide, primary production</t>
  </si>
  <si>
    <t>Methane, fossil, primary production</t>
  </si>
  <si>
    <t>Methane, biogenic, primary production</t>
  </si>
  <si>
    <t>Nitrous oxide, primary production</t>
  </si>
  <si>
    <t>Land</t>
  </si>
  <si>
    <t>N input</t>
  </si>
  <si>
    <t>P input</t>
  </si>
  <si>
    <t>Water</t>
  </si>
  <si>
    <t>Pesticides</t>
  </si>
  <si>
    <t>Biodiversity</t>
  </si>
  <si>
    <t>Ammonia</t>
  </si>
  <si>
    <t>Animal welfare</t>
  </si>
  <si>
    <t>Antibiotics</t>
  </si>
  <si>
    <t>Mineral fertiliser production (CO2e)</t>
  </si>
  <si>
    <t>Capital goods (CO2e)</t>
  </si>
  <si>
    <t>Soil emissions (CO2e)</t>
  </si>
  <si>
    <t>Energy primary production (CO2e)</t>
  </si>
  <si>
    <t>Land use change (CO2e)</t>
  </si>
  <si>
    <t>Enteric fermentation (CO2e)</t>
  </si>
  <si>
    <t>Manure management (CO2e)</t>
  </si>
  <si>
    <t>Mineral fertiliser production (CO2)</t>
  </si>
  <si>
    <t>Capital goods (CO2)</t>
  </si>
  <si>
    <t>Energy primary production (CO2)</t>
  </si>
  <si>
    <t>Land use change (CO2)</t>
  </si>
  <si>
    <t>Mineral fertiliser production (CH4, fossil)</t>
  </si>
  <si>
    <t>Capital goods (CH4, fossil)</t>
  </si>
  <si>
    <t>Energy primary production (CH4, fossil)</t>
  </si>
  <si>
    <t>Soil emissions (CH4, biogenic)</t>
  </si>
  <si>
    <t>Enteric fermentation (CH4, biogenic)</t>
  </si>
  <si>
    <t>Manure management (CH4, biogenic)</t>
  </si>
  <si>
    <t>Mineral fertiliser production (N2O)</t>
  </si>
  <si>
    <t>Capital goods (N2O)</t>
  </si>
  <si>
    <t>Soil emissions (N2O)</t>
  </si>
  <si>
    <t>Energy primary production (N2O)</t>
  </si>
  <si>
    <t>Manure management (N2O)</t>
  </si>
  <si>
    <t>Scaling factor:</t>
  </si>
  <si>
    <t>Unallocated</t>
  </si>
  <si>
    <t>Note! Total 4.85 so 4.8 not entirely correct in the table.</t>
  </si>
  <si>
    <t>Allocated</t>
  </si>
  <si>
    <t>Elk and deer meat</t>
  </si>
  <si>
    <t>Deer</t>
  </si>
  <si>
    <t>Age at death</t>
  </si>
  <si>
    <t>Bonefree meat</t>
  </si>
  <si>
    <t>Methane per kg meat</t>
  </si>
  <si>
    <t>CO2e per kg meat</t>
  </si>
  <si>
    <t>https://www.nature.scot/sites/default/files/2025-06/naturescot-archive-report-024.pdf</t>
  </si>
  <si>
    <t>EF (kg CH4 per year)</t>
  </si>
  <si>
    <t>EF calves(kg CH4 per year)</t>
  </si>
  <si>
    <t>Long code</t>
  </si>
  <si>
    <t>FoodEx2 code</t>
  </si>
  <si>
    <t>FoodEx2 name</t>
  </si>
  <si>
    <t>A.06.04.005</t>
  </si>
  <si>
    <t>A01TB</t>
  </si>
  <si>
    <t>Quail fresh meat</t>
  </si>
  <si>
    <t>Game meat</t>
  </si>
  <si>
    <t>A.06.04.003</t>
  </si>
  <si>
    <t>A01TG</t>
  </si>
  <si>
    <t>Mallard fresh meat</t>
  </si>
  <si>
    <t>A.06.04.004</t>
  </si>
  <si>
    <t>A01SY</t>
  </si>
  <si>
    <t>Partridge fresh meat</t>
  </si>
  <si>
    <t>A01SE</t>
  </si>
  <si>
    <t>European moose meat</t>
  </si>
  <si>
    <t>A01SH</t>
  </si>
  <si>
    <t>Wild boar fresh meat</t>
  </si>
  <si>
    <t>A.06.02.007</t>
  </si>
  <si>
    <t>A01ST</t>
  </si>
  <si>
    <t>Ratites fresh meat</t>
  </si>
  <si>
    <t>A01SF</t>
  </si>
  <si>
    <t>Reindeer meat</t>
  </si>
  <si>
    <t>A.06.04.001</t>
  </si>
  <si>
    <t>A01SZ</t>
  </si>
  <si>
    <t>Pheasant fresh meat</t>
  </si>
  <si>
    <t>A01SC</t>
  </si>
  <si>
    <t>Deer, red fresh meat</t>
  </si>
  <si>
    <t>Check</t>
  </si>
  <si>
    <t>All other game</t>
  </si>
  <si>
    <t>21170.02</t>
  </si>
  <si>
    <t>Rest of World</t>
  </si>
  <si>
    <t>RoW</t>
  </si>
  <si>
    <t>N/P/Diesel</t>
  </si>
  <si>
    <t>Direct Values (N-P-Diesel)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</si>
</sst>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1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0" fontId="16" fillId="33" borderId="0" xfId="0" applyFont="1" applyFill="1"/>
    <xf numFmtId="0" fontId="0" fillId="0" borderId="0" xfId="0" quotePrefix="1"/>
    <xf numFmtId="0" fontId="0" fillId="34" borderId="0" xfId="0" applyFill="1"/>
    <xf numFmtId="11" fontId="0" fillId="0" borderId="0" xfId="0" quotePrefix="1" applyNumberFormat="1" applyAlignment="1">
      <alignment wrapText="1"/>
    </xf>
    <xf numFmtId="11" fontId="0" fillId="0" borderId="0" xfId="0" quotePrefix="1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34" borderId="0" xfId="0" applyFont="1" applyFill="1"/>
    <xf numFmtId="0" fontId="14" fillId="0" borderId="0" xfId="0" applyFont="1"/>
    <xf numFmtId="0" fontId="19" fillId="0" borderId="0" xfId="0" applyFont="1"/>
    <xf numFmtId="2" fontId="19" fillId="0" borderId="0" xfId="0" applyNumberFormat="1" applyFont="1"/>
    <xf numFmtId="2" fontId="0" fillId="34" borderId="0" xfId="0" applyNumberFormat="1" applyFill="1"/>
    <xf numFmtId="0" fontId="0" fillId="0" borderId="0" xfId="0" applyAlignment="1">
      <alignment wrapText="1"/>
    </xf>
    <xf numFmtId="0" fontId="0" fillId="35" borderId="0" xfId="0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88900</xdr:colOff>
      <xdr:row>6</xdr:row>
      <xdr:rowOff>107737</xdr:rowOff>
    </xdr:from>
    <xdr:to>
      <xdr:col>15</xdr:col>
      <xdr:colOff>585394</xdr:colOff>
      <xdr:row>18</xdr:row>
      <xdr:rowOff>127640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767F7EF-B149-44CB-F3BE-919A29E6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300" y="1111037"/>
          <a:ext cx="4154094" cy="2229703"/>
        </a:xfrm>
        <a:prstGeom prst="rect">
          <a:avLst/>
        </a:prstGeom>
      </xdr:spPr>
    </xdr:pic>
    <xdr:clientData/>
  </xdr:twoCellAnchor>
  <xdr:twoCellAnchor>
    <xdr:from>
      <xdr:col>5</xdr:col>
      <xdr:colOff>6350</xdr:colOff>
      <xdr:row>6</xdr:row>
      <xdr:rowOff>0</xdr:rowOff>
    </xdr:from>
    <xdr:to>
      <xdr:col>8</xdr:col>
      <xdr:colOff>152400</xdr:colOff>
      <xdr:row>17</xdr:row>
      <xdr:rowOff>6350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E438F1B2-B802-87B3-8E05-C19308462EDA}"/>
            </a:ext>
          </a:extLst>
        </xdr:cNvPr>
        <xdr:cNvSpPr txBox="1"/>
      </xdr:nvSpPr>
      <xdr:spPr>
        <a:xfrm>
          <a:off x="3092450" y="1187450"/>
          <a:ext cx="3619500" cy="203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The footprints for</a:t>
          </a:r>
          <a:r>
            <a:rPr lang="sv-SE" sz="1100" baseline="0"/>
            <a:t> wild boar is calculated from literature data from Behaderovic &amp; Berglund (2022). However, only values in CO2e where available (see Tabell 12 to the right). These were divided into CO2, CH4 and N2O using ratios for diesel (for transports&amp;VHA), wheat (for feeding), pig meat (enteric ferm + manure). Cropland use and other footprints where based on the feed cultivation only and scaled from wheat. </a:t>
          </a:r>
        </a:p>
        <a:p>
          <a:endParaRPr lang="sv-SE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Allocating 30% to the meat, economic allocation based on</a:t>
          </a:r>
          <a:r>
            <a:rPr lang="sv-S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Behaderovic &amp; Berglund (2019)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sv-SE">
              <a:effectLst/>
            </a:rPr>
            <a:t> </a:t>
          </a:r>
          <a:endParaRPr lang="sv-SE" sz="1100" baseline="0"/>
        </a:p>
        <a:p>
          <a:endParaRPr lang="sv-SE" sz="1100" baseline="0"/>
        </a:p>
        <a:p>
          <a:endParaRPr lang="sv-SE" sz="1100"/>
        </a:p>
      </xdr:txBody>
    </xdr:sp>
    <xdr:clientData/>
  </xdr:twoCellAnchor>
  <xdr:twoCellAnchor>
    <xdr:from>
      <xdr:col>0</xdr:col>
      <xdr:colOff>88900</xdr:colOff>
      <xdr:row>49</xdr:row>
      <xdr:rowOff>76200</xdr:rowOff>
    </xdr:from>
    <xdr:to>
      <xdr:col>10</xdr:col>
      <xdr:colOff>44450</xdr:colOff>
      <xdr:row>58</xdr:row>
      <xdr:rowOff>95250</xdr:rowOff>
    </xdr:to>
    <xdr:sp macro="" textlink="">
      <xdr:nvSpPr>
        <xdr:cNvPr id="4" name="textruta 3">
          <a:extLst>
            <a:ext uri="{FF2B5EF4-FFF2-40B4-BE49-F238E27FC236}">
              <a16:creationId xmlns:a16="http://schemas.microsoft.com/office/drawing/2014/main" id="{169B4770-2761-4B04-8AD9-2DC2416A3D0B}"/>
            </a:ext>
          </a:extLst>
        </xdr:cNvPr>
        <xdr:cNvSpPr txBox="1"/>
      </xdr:nvSpPr>
      <xdr:spPr>
        <a:xfrm>
          <a:off x="88900" y="9226550"/>
          <a:ext cx="7734300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For elk and deer the same emissions</a:t>
          </a:r>
          <a:r>
            <a:rPr lang="sv-SE" sz="1100" baseline="0"/>
            <a:t> from hunting (transports) and VHA (handling/processing) as for wild boar is assumed (from Behaderovic &amp; Berglund (2022)). No emissions from feeding including. </a:t>
          </a:r>
        </a:p>
        <a:p>
          <a:endParaRPr lang="sv-SE" sz="1100" baseline="0"/>
        </a:p>
        <a:p>
          <a:r>
            <a:rPr lang="sv-SE" sz="1100" baseline="0"/>
            <a:t>Emissions of methane from enteric fermentation was calculated based on the following assumptions:</a:t>
          </a:r>
        </a:p>
        <a:p>
          <a:r>
            <a:rPr lang="sv-SE" sz="1100" baseline="0"/>
            <a:t>	Age at death	Bonefree meat	EF enteric fermentation</a:t>
          </a:r>
        </a:p>
        <a:p>
          <a:r>
            <a:rPr lang="sv-SE" sz="1100" baseline="0"/>
            <a:t>Deer	3 years	10 kg	10.4 kg CH4 per year  (Scottish Natural Heritage, 2009)</a:t>
          </a:r>
        </a:p>
        <a:p>
          <a:endParaRPr lang="sv-SE" sz="1100" baseline="0"/>
        </a:p>
        <a:p>
          <a:r>
            <a:rPr lang="sv-SE" sz="1100" baseline="0"/>
            <a:t>The same per kg emissions were assumed for elk.</a:t>
          </a:r>
          <a:endParaRPr lang="sv-SE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Allocating 30% to the meat, economic allocation based on </a:t>
          </a:r>
          <a:r>
            <a:rPr lang="sv-S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Behaderovic &amp; Berglund (2019)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sv-SE">
              <a:effectLst/>
            </a:rPr>
            <a:t> </a:t>
          </a:r>
          <a:endParaRPr lang="sv-SE" sz="1100" baseline="0"/>
        </a:p>
        <a:p>
          <a:endParaRPr lang="sv-SE" sz="1100" baseline="0"/>
        </a:p>
        <a:p>
          <a:endParaRPr lang="sv-SE" sz="1100"/>
        </a:p>
      </xdr:txBody>
    </xdr:sp>
    <xdr:clientData/>
  </xdr:twoCellAnchor>
  <xdr:twoCellAnchor>
    <xdr:from>
      <xdr:col>0</xdr:col>
      <xdr:colOff>0</xdr:colOff>
      <xdr:row>71</xdr:row>
      <xdr:rowOff>0</xdr:rowOff>
    </xdr:from>
    <xdr:to>
      <xdr:col>9</xdr:col>
      <xdr:colOff>565150</xdr:colOff>
      <xdr:row>77</xdr:row>
      <xdr:rowOff>0</xdr:rowOff>
    </xdr:to>
    <xdr:sp macro="" textlink="">
      <xdr:nvSpPr>
        <xdr:cNvPr id="5" name="textruta 4">
          <a:extLst>
            <a:ext uri="{FF2B5EF4-FFF2-40B4-BE49-F238E27FC236}">
              <a16:creationId xmlns:a16="http://schemas.microsoft.com/office/drawing/2014/main" id="{895CA0AA-1F9B-4ADB-ADA5-E6F15111577C}"/>
            </a:ext>
          </a:extLst>
        </xdr:cNvPr>
        <xdr:cNvSpPr txBox="1"/>
      </xdr:nvSpPr>
      <xdr:spPr>
        <a:xfrm>
          <a:off x="0" y="15049500"/>
          <a:ext cx="77343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For all other</a:t>
          </a:r>
          <a:r>
            <a:rPr lang="sv-SE" sz="1100" baseline="0"/>
            <a:t> game</a:t>
          </a:r>
          <a:r>
            <a:rPr lang="sv-SE" sz="1100"/>
            <a:t> the same emissions</a:t>
          </a:r>
          <a:r>
            <a:rPr lang="sv-SE" sz="1100" baseline="0"/>
            <a:t> from hunting (transports) and VHA (handling/processing) as for wild boar is assumed (from Behaderovic &amp; Berglund (2022)). No emissions from feeding including. </a:t>
          </a:r>
        </a:p>
        <a:p>
          <a:endParaRPr lang="sv-SE" sz="1100" baseline="0"/>
        </a:p>
        <a:p>
          <a:r>
            <a:rPr lang="sv-SE" sz="1100" baseline="0"/>
            <a:t>No feeding and no emissions from enteric fermentation.</a:t>
          </a:r>
        </a:p>
        <a:p>
          <a:endParaRPr lang="sv-SE" sz="1100" baseline="0"/>
        </a:p>
        <a:p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Allocating 30% to the meat, economic allocation based on </a:t>
          </a:r>
          <a:r>
            <a:rPr lang="sv-S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Behaderovic &amp; Berglund (2019)</a:t>
          </a:r>
          <a:r>
            <a:rPr lang="sv-S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sv-SE">
              <a:effectLst/>
            </a:rPr>
            <a:t> </a:t>
          </a:r>
          <a:endParaRPr lang="sv-SE" sz="1100" baseline="0"/>
        </a:p>
        <a:p>
          <a:endParaRPr lang="sv-SE" sz="1100" baseline="0"/>
        </a:p>
        <a:p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AW83"/>
  <sheetViews>
    <sheetView topLeftCell="A73" workbookViewId="0">
      <selection activeCell="AS79" sqref="AS79"/>
    </sheetView>
  </sheetViews>
  <sheetFormatPr baseColWidth="10" defaultColWidth="8.83203125" defaultRowHeight="15" x14ac:dyDescent="0.2"/>
  <cols>
    <col min="3" max="3" width="12.33203125" customWidth="1"/>
    <col min="5" max="5" width="5.6640625" customWidth="1"/>
    <col min="6" max="6" width="16.83203125" customWidth="1"/>
    <col min="7" max="7" width="17.33203125" customWidth="1"/>
    <col min="8" max="8" width="15.6640625" customWidth="1"/>
    <col min="50" max="50" width="11.83203125" bestFit="1" customWidth="1"/>
    <col min="59" max="59" width="11.83203125" bestFit="1" customWidth="1"/>
  </cols>
  <sheetData>
    <row r="2" spans="1:21" ht="22" x14ac:dyDescent="0.3">
      <c r="A2" s="2" t="s">
        <v>4</v>
      </c>
    </row>
    <row r="4" spans="1:21" x14ac:dyDescent="0.2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">
      <c r="A5" t="s">
        <v>6</v>
      </c>
      <c r="B5" t="s">
        <v>7</v>
      </c>
    </row>
    <row r="7" spans="1:21" x14ac:dyDescent="0.2">
      <c r="C7" t="s">
        <v>18</v>
      </c>
      <c r="D7" t="s">
        <v>23</v>
      </c>
    </row>
    <row r="8" spans="1:21" x14ac:dyDescent="0.2">
      <c r="A8" t="s">
        <v>8</v>
      </c>
      <c r="C8">
        <v>3.4</v>
      </c>
    </row>
    <row r="9" spans="1:21" x14ac:dyDescent="0.2">
      <c r="B9" t="s">
        <v>9</v>
      </c>
      <c r="C9" s="3">
        <f>$C$8*E32/100</f>
        <v>3.3315825814896596</v>
      </c>
      <c r="D9" s="3">
        <f>C9</f>
        <v>3.3315825814896596</v>
      </c>
    </row>
    <row r="10" spans="1:21" x14ac:dyDescent="0.2">
      <c r="B10" t="s">
        <v>10</v>
      </c>
      <c r="C10" s="3">
        <f>$C$8*E33/100</f>
        <v>4.3978206559823735E-2</v>
      </c>
      <c r="D10">
        <f>C10/29.8</f>
        <v>1.475778743618246E-3</v>
      </c>
    </row>
    <row r="11" spans="1:21" x14ac:dyDescent="0.2">
      <c r="B11" t="s">
        <v>11</v>
      </c>
      <c r="C11" s="3">
        <f>$C$8*E34/100</f>
        <v>2.4439211950516612E-2</v>
      </c>
      <c r="D11">
        <f>C11/273</f>
        <v>8.9520922895665241E-5</v>
      </c>
    </row>
    <row r="12" spans="1:21" x14ac:dyDescent="0.2">
      <c r="A12" t="s">
        <v>12</v>
      </c>
      <c r="C12">
        <v>0.5</v>
      </c>
    </row>
    <row r="13" spans="1:21" x14ac:dyDescent="0.2">
      <c r="B13" t="s">
        <v>9</v>
      </c>
      <c r="C13" s="3">
        <f>$C$12*E38/100</f>
        <v>0.19552217536719657</v>
      </c>
      <c r="D13">
        <f>C13</f>
        <v>0.19552217536719657</v>
      </c>
    </row>
    <row r="14" spans="1:21" x14ac:dyDescent="0.2">
      <c r="B14" t="s">
        <v>10</v>
      </c>
      <c r="C14" s="3">
        <f>$C$12*E39/100</f>
        <v>7.6241523437526083E-3</v>
      </c>
      <c r="D14">
        <f>C14/29.8</f>
        <v>2.5584403838096E-4</v>
      </c>
    </row>
    <row r="15" spans="1:21" x14ac:dyDescent="0.2">
      <c r="B15" t="s">
        <v>11</v>
      </c>
      <c r="C15" s="3">
        <f>$C$12*E40/100</f>
        <v>0.29685367228905085</v>
      </c>
      <c r="D15">
        <f>C15/273</f>
        <v>1.0873760889708822E-3</v>
      </c>
    </row>
    <row r="16" spans="1:21" x14ac:dyDescent="0.2">
      <c r="A16" t="s">
        <v>30</v>
      </c>
      <c r="C16">
        <v>0.1</v>
      </c>
    </row>
    <row r="17" spans="1:44" x14ac:dyDescent="0.2">
      <c r="B17" t="s">
        <v>9</v>
      </c>
      <c r="C17" s="4">
        <f>$C$16*E44/100</f>
        <v>0</v>
      </c>
      <c r="D17">
        <f>C17</f>
        <v>0</v>
      </c>
    </row>
    <row r="18" spans="1:44" x14ac:dyDescent="0.2">
      <c r="B18" t="s">
        <v>10</v>
      </c>
      <c r="C18" s="3">
        <f>$C$16*E45/100</f>
        <v>6.3807154809769215E-2</v>
      </c>
      <c r="D18">
        <f>C18/27</f>
        <v>2.3632279559173785E-3</v>
      </c>
    </row>
    <row r="19" spans="1:44" x14ac:dyDescent="0.2">
      <c r="B19" t="s">
        <v>11</v>
      </c>
      <c r="C19" s="3">
        <f>$C$16*E46/100</f>
        <v>3.6192845190230784E-2</v>
      </c>
      <c r="D19">
        <f>C19/273</f>
        <v>1.3257452450633986E-4</v>
      </c>
    </row>
    <row r="20" spans="1:44" ht="16" thickBot="1" x14ac:dyDescent="0.25">
      <c r="A20" t="s">
        <v>31</v>
      </c>
      <c r="C20">
        <v>0.8</v>
      </c>
      <c r="K20" s="17" t="s">
        <v>101</v>
      </c>
    </row>
    <row r="21" spans="1:44" x14ac:dyDescent="0.2">
      <c r="B21" t="s">
        <v>9</v>
      </c>
      <c r="C21" s="3">
        <f>$C$20*E32/100</f>
        <v>0.78390178387991993</v>
      </c>
      <c r="D21">
        <f>C21</f>
        <v>0.78390178387991993</v>
      </c>
      <c r="F21" s="12" t="s">
        <v>35</v>
      </c>
      <c r="G21" s="13">
        <v>30</v>
      </c>
    </row>
    <row r="22" spans="1:44" ht="16" thickBot="1" x14ac:dyDescent="0.25">
      <c r="B22" t="s">
        <v>10</v>
      </c>
      <c r="C22" s="3">
        <f>$C$20*E33/100</f>
        <v>1.034781330819382E-2</v>
      </c>
      <c r="D22">
        <f>C22/29.8</f>
        <v>3.4724205732194027E-4</v>
      </c>
      <c r="F22" s="14"/>
      <c r="G22" s="15"/>
    </row>
    <row r="23" spans="1:44" x14ac:dyDescent="0.2">
      <c r="B23" t="s">
        <v>11</v>
      </c>
      <c r="C23" s="3">
        <f>$C$20*E34/100</f>
        <v>5.7504028118862613E-3</v>
      </c>
      <c r="D23">
        <f>C23/273</f>
        <v>2.1063746563685937E-5</v>
      </c>
    </row>
    <row r="24" spans="1:44" x14ac:dyDescent="0.2">
      <c r="E24" s="18"/>
      <c r="G24" s="19"/>
      <c r="H24" s="18" t="s">
        <v>139</v>
      </c>
      <c r="I24" s="18">
        <f>J27+K27*28.9+L27*27+M27*273</f>
        <v>4.7981290216446109</v>
      </c>
    </row>
    <row r="25" spans="1:44" s="21" customFormat="1" ht="80" x14ac:dyDescent="0.2">
      <c r="A25" s="21" t="s">
        <v>112</v>
      </c>
      <c r="B25" s="21" t="s">
        <v>113</v>
      </c>
      <c r="C25" s="21" t="s">
        <v>114</v>
      </c>
      <c r="D25" s="21" t="s">
        <v>58</v>
      </c>
      <c r="E25" s="21" t="s">
        <v>59</v>
      </c>
      <c r="F25" s="21" t="s">
        <v>60</v>
      </c>
      <c r="G25" s="21" t="s">
        <v>61</v>
      </c>
      <c r="H25" s="21" t="s">
        <v>62</v>
      </c>
      <c r="I25" s="21" t="s">
        <v>63</v>
      </c>
      <c r="J25" s="21" t="s">
        <v>64</v>
      </c>
      <c r="K25" s="21" t="s">
        <v>65</v>
      </c>
      <c r="L25" s="21" t="s">
        <v>66</v>
      </c>
      <c r="M25" s="21" t="s">
        <v>67</v>
      </c>
      <c r="N25" s="21" t="s">
        <v>68</v>
      </c>
      <c r="O25" s="21" t="s">
        <v>69</v>
      </c>
      <c r="P25" s="21" t="s">
        <v>70</v>
      </c>
      <c r="Q25" s="21" t="s">
        <v>71</v>
      </c>
      <c r="R25" s="21" t="s">
        <v>72</v>
      </c>
      <c r="S25" s="21" t="s">
        <v>73</v>
      </c>
      <c r="T25" s="21" t="s">
        <v>74</v>
      </c>
      <c r="U25" s="21" t="s">
        <v>75</v>
      </c>
      <c r="V25" s="21" t="s">
        <v>76</v>
      </c>
      <c r="W25" s="21" t="s">
        <v>77</v>
      </c>
      <c r="X25" s="21" t="s">
        <v>78</v>
      </c>
      <c r="Y25" s="21" t="s">
        <v>79</v>
      </c>
      <c r="Z25" s="21" t="s">
        <v>80</v>
      </c>
      <c r="AA25" s="21" t="s">
        <v>81</v>
      </c>
      <c r="AB25" s="21" t="s">
        <v>82</v>
      </c>
      <c r="AC25" s="21" t="s">
        <v>83</v>
      </c>
      <c r="AD25" s="21" t="s">
        <v>84</v>
      </c>
      <c r="AE25" s="21" t="s">
        <v>85</v>
      </c>
      <c r="AF25" s="21" t="s">
        <v>86</v>
      </c>
      <c r="AG25" s="21" t="s">
        <v>87</v>
      </c>
      <c r="AH25" s="21" t="s">
        <v>88</v>
      </c>
      <c r="AI25" s="21" t="s">
        <v>89</v>
      </c>
      <c r="AJ25" s="21" t="s">
        <v>90</v>
      </c>
      <c r="AK25" s="21" t="s">
        <v>91</v>
      </c>
      <c r="AL25" s="21" t="s">
        <v>92</v>
      </c>
      <c r="AM25" s="21" t="s">
        <v>93</v>
      </c>
      <c r="AN25" s="21" t="s">
        <v>94</v>
      </c>
      <c r="AO25" s="21" t="s">
        <v>95</v>
      </c>
      <c r="AP25" s="21" t="s">
        <v>96</v>
      </c>
      <c r="AQ25" s="21" t="s">
        <v>97</v>
      </c>
      <c r="AR25" s="21" t="s">
        <v>98</v>
      </c>
    </row>
    <row r="26" spans="1:44" s="9" customFormat="1" x14ac:dyDescent="0.2">
      <c r="A26" s="16" t="s">
        <v>100</v>
      </c>
    </row>
    <row r="27" spans="1:44" s="9" customFormat="1" x14ac:dyDescent="0.2">
      <c r="A27" s="9" t="s">
        <v>0</v>
      </c>
      <c r="B27" s="9" t="s">
        <v>127</v>
      </c>
      <c r="C27" s="9" t="s">
        <v>128</v>
      </c>
      <c r="D27" s="9">
        <v>21170.02</v>
      </c>
      <c r="E27" s="9" t="s">
        <v>118</v>
      </c>
      <c r="F27" s="9" t="s">
        <v>4</v>
      </c>
      <c r="G27" s="9" t="s">
        <v>39</v>
      </c>
      <c r="H27" s="9" t="s">
        <v>40</v>
      </c>
      <c r="I27" s="9">
        <f>(C8+C12+C16+C20)</f>
        <v>4.8</v>
      </c>
      <c r="J27" s="20">
        <f>(D9+D13+D17+D21)</f>
        <v>4.3110065407367761</v>
      </c>
      <c r="K27" s="20">
        <f>D10+D14+D22</f>
        <v>2.0788648393211462E-3</v>
      </c>
      <c r="L27" s="20">
        <f>D18</f>
        <v>2.3632279559173785E-3</v>
      </c>
      <c r="M27" s="9">
        <f>(D11+D15+D19+D23)</f>
        <v>1.3305352829365734E-3</v>
      </c>
      <c r="N27" s="9">
        <f>$C$12*R39</f>
        <v>1.8222965559462019</v>
      </c>
      <c r="O27" s="9">
        <f t="shared" ref="O27:AP27" si="0">$C$12*S39</f>
        <v>2.7881137305976866E-2</v>
      </c>
      <c r="P27" s="9">
        <f t="shared" si="0"/>
        <v>2.5512151783246778E-3</v>
      </c>
      <c r="Q27" s="9">
        <f t="shared" si="0"/>
        <v>0</v>
      </c>
      <c r="R27" s="9">
        <f t="shared" si="0"/>
        <v>0.13484994514001841</v>
      </c>
      <c r="S27" s="9">
        <f t="shared" si="0"/>
        <v>3.728652238396317E-14</v>
      </c>
      <c r="T27" s="9">
        <f t="shared" si="0"/>
        <v>1.6950226653033907E-3</v>
      </c>
      <c r="U27" s="9">
        <f t="shared" si="0"/>
        <v>0</v>
      </c>
      <c r="V27" s="9">
        <f t="shared" si="0"/>
        <v>0</v>
      </c>
      <c r="W27" s="9">
        <f t="shared" si="0"/>
        <v>0.14095665570080021</v>
      </c>
      <c r="X27" s="9">
        <f t="shared" si="0"/>
        <v>3.5739724088312746E-2</v>
      </c>
      <c r="Y27" s="9">
        <f t="shared" si="0"/>
        <v>0.24559936230088902</v>
      </c>
      <c r="Z27" s="9">
        <f t="shared" si="0"/>
        <v>7.7704257909998034E-2</v>
      </c>
      <c r="AA27" s="9">
        <f t="shared" si="0"/>
        <v>0</v>
      </c>
      <c r="AB27" s="9">
        <f t="shared" si="0"/>
        <v>0</v>
      </c>
      <c r="AC27" s="9">
        <f t="shared" si="0"/>
        <v>0</v>
      </c>
      <c r="AD27" s="9">
        <f t="shared" si="0"/>
        <v>8.7466711668447036E-2</v>
      </c>
      <c r="AE27" s="9">
        <f t="shared" si="0"/>
        <v>3.2025586363165347E-2</v>
      </c>
      <c r="AF27" s="9">
        <f>$C$12*AJ39+D9+D21</f>
        <v>4.1915142427051642</v>
      </c>
      <c r="AG27" s="9">
        <f t="shared" si="0"/>
        <v>0</v>
      </c>
      <c r="AH27" s="9">
        <f t="shared" si="0"/>
        <v>1.1003744356544559E-4</v>
      </c>
      <c r="AI27" s="9">
        <f t="shared" si="0"/>
        <v>1.1268261868521142E-4</v>
      </c>
      <c r="AJ27" s="9">
        <f>$C$12*AN39+D10+D22</f>
        <v>1.8561447770704888E-3</v>
      </c>
      <c r="AK27" s="9">
        <f t="shared" si="0"/>
        <v>0</v>
      </c>
      <c r="AL27" s="9">
        <f>$C$12*AP39+D18</f>
        <v>2.3632279559173785E-3</v>
      </c>
      <c r="AM27" s="9">
        <f t="shared" si="0"/>
        <v>0</v>
      </c>
      <c r="AN27" s="9">
        <f t="shared" si="0"/>
        <v>1.8392244767070676E-4</v>
      </c>
      <c r="AO27" s="9">
        <f t="shared" si="0"/>
        <v>1.3047461110919218E-6</v>
      </c>
      <c r="AP27" s="9">
        <f t="shared" si="0"/>
        <v>8.9963136373952181E-4</v>
      </c>
      <c r="AQ27" s="9">
        <f>$C$12*AU39+D11+D23</f>
        <v>1.1310220090891261E-4</v>
      </c>
      <c r="AR27" s="9">
        <f>$C$12*AV39+D19</f>
        <v>1.3257452450633986E-4</v>
      </c>
    </row>
    <row r="28" spans="1:44" s="9" customFormat="1" x14ac:dyDescent="0.2">
      <c r="A28" s="16" t="s">
        <v>102</v>
      </c>
    </row>
    <row r="29" spans="1:44" s="9" customFormat="1" x14ac:dyDescent="0.2">
      <c r="A29" s="9" t="s">
        <v>0</v>
      </c>
      <c r="B29" s="9" t="s">
        <v>127</v>
      </c>
      <c r="C29" s="9" t="s">
        <v>128</v>
      </c>
      <c r="D29" s="9">
        <v>21170.02</v>
      </c>
      <c r="E29" s="9" t="s">
        <v>118</v>
      </c>
      <c r="F29" s="9" t="s">
        <v>4</v>
      </c>
      <c r="G29" s="9" t="s">
        <v>39</v>
      </c>
      <c r="H29" s="9" t="s">
        <v>40</v>
      </c>
      <c r="I29" s="9">
        <f t="shared" ref="I29:AR29" si="1">I27*$G$21/100</f>
        <v>1.44</v>
      </c>
      <c r="J29" s="9">
        <f t="shared" si="1"/>
        <v>1.2933019622210329</v>
      </c>
      <c r="K29" s="9">
        <f t="shared" si="1"/>
        <v>6.2365945179634387E-4</v>
      </c>
      <c r="L29" s="9">
        <f t="shared" si="1"/>
        <v>7.0896838677521367E-4</v>
      </c>
      <c r="M29" s="9">
        <f t="shared" si="1"/>
        <v>3.9916058488097196E-4</v>
      </c>
      <c r="N29" s="9">
        <f t="shared" si="1"/>
        <v>0.54668896678386059</v>
      </c>
      <c r="O29" s="9">
        <f t="shared" si="1"/>
        <v>8.3643411917930597E-3</v>
      </c>
      <c r="P29" s="9">
        <f t="shared" si="1"/>
        <v>7.6536455349740333E-4</v>
      </c>
      <c r="Q29" s="9">
        <f t="shared" si="1"/>
        <v>0</v>
      </c>
      <c r="R29" s="9">
        <f t="shared" si="1"/>
        <v>4.0454983542005524E-2</v>
      </c>
      <c r="S29" s="9">
        <f t="shared" si="1"/>
        <v>1.118595671518895E-14</v>
      </c>
      <c r="T29" s="9">
        <f t="shared" si="1"/>
        <v>5.0850679959101724E-4</v>
      </c>
      <c r="U29" s="9">
        <f t="shared" si="1"/>
        <v>0</v>
      </c>
      <c r="V29" s="9">
        <f t="shared" si="1"/>
        <v>0</v>
      </c>
      <c r="W29" s="9">
        <f t="shared" si="1"/>
        <v>4.2286996710240062E-2</v>
      </c>
      <c r="X29" s="9">
        <f t="shared" si="1"/>
        <v>1.0721917226493825E-2</v>
      </c>
      <c r="Y29" s="9">
        <f t="shared" si="1"/>
        <v>7.3679808690266704E-2</v>
      </c>
      <c r="Z29" s="9">
        <f t="shared" si="1"/>
        <v>2.3311277372999411E-2</v>
      </c>
      <c r="AA29" s="9">
        <f t="shared" si="1"/>
        <v>0</v>
      </c>
      <c r="AB29" s="9">
        <f t="shared" si="1"/>
        <v>0</v>
      </c>
      <c r="AC29" s="9">
        <f t="shared" si="1"/>
        <v>0</v>
      </c>
      <c r="AD29" s="9">
        <f t="shared" si="1"/>
        <v>2.624001350053411E-2</v>
      </c>
      <c r="AE29" s="9">
        <f t="shared" si="1"/>
        <v>9.6076759089496044E-3</v>
      </c>
      <c r="AF29" s="9">
        <f t="shared" si="1"/>
        <v>1.2574542728115492</v>
      </c>
      <c r="AG29" s="9">
        <f t="shared" si="1"/>
        <v>0</v>
      </c>
      <c r="AH29" s="9">
        <f t="shared" si="1"/>
        <v>3.3011233069633681E-5</v>
      </c>
      <c r="AI29" s="9">
        <f t="shared" si="1"/>
        <v>3.3804785605563428E-5</v>
      </c>
      <c r="AJ29" s="9">
        <f t="shared" si="1"/>
        <v>5.5684343312114659E-4</v>
      </c>
      <c r="AK29" s="9">
        <f t="shared" si="1"/>
        <v>0</v>
      </c>
      <c r="AL29" s="9">
        <f t="shared" si="1"/>
        <v>7.0896838677521367E-4</v>
      </c>
      <c r="AM29" s="9">
        <f t="shared" si="1"/>
        <v>0</v>
      </c>
      <c r="AN29" s="9">
        <f t="shared" si="1"/>
        <v>5.5176734301212027E-5</v>
      </c>
      <c r="AO29" s="9">
        <f t="shared" si="1"/>
        <v>3.9142383332757652E-7</v>
      </c>
      <c r="AP29" s="9">
        <f t="shared" si="1"/>
        <v>2.6988940912185655E-4</v>
      </c>
      <c r="AQ29" s="9">
        <f t="shared" si="1"/>
        <v>3.3930660272673784E-5</v>
      </c>
      <c r="AR29" s="9">
        <f t="shared" si="1"/>
        <v>3.977235735190196E-5</v>
      </c>
    </row>
    <row r="31" spans="1:44" x14ac:dyDescent="0.2">
      <c r="A31" s="7" t="s">
        <v>21</v>
      </c>
      <c r="B31" s="6" t="s">
        <v>20</v>
      </c>
      <c r="C31" s="6"/>
      <c r="D31" s="6" t="s">
        <v>18</v>
      </c>
      <c r="E31" s="6" t="s">
        <v>22</v>
      </c>
      <c r="F31" s="6" t="s">
        <v>19</v>
      </c>
      <c r="G31" s="6"/>
      <c r="H31" s="6"/>
    </row>
    <row r="32" spans="1:44" x14ac:dyDescent="0.2">
      <c r="A32" t="s">
        <v>9</v>
      </c>
      <c r="B32" s="4">
        <v>7.5920000000000001E-2</v>
      </c>
      <c r="C32" t="s">
        <v>15</v>
      </c>
      <c r="D32" s="4">
        <f>B32</f>
        <v>7.5920000000000001E-2</v>
      </c>
      <c r="E32" s="5">
        <f>D32/$D$35*100</f>
        <v>97.987722984989986</v>
      </c>
      <c r="F32" t="s">
        <v>14</v>
      </c>
    </row>
    <row r="33" spans="1:49" x14ac:dyDescent="0.2">
      <c r="A33" t="s">
        <v>10</v>
      </c>
      <c r="B33" s="1">
        <v>3.3630000000000002E-5</v>
      </c>
      <c r="C33" t="s">
        <v>16</v>
      </c>
      <c r="D33" s="1">
        <f>B33*29.8</f>
        <v>1.002174E-3</v>
      </c>
      <c r="E33" s="5">
        <f>D33/$D$35*100</f>
        <v>1.2934766635242276</v>
      </c>
      <c r="F33" t="s">
        <v>14</v>
      </c>
    </row>
    <row r="34" spans="1:49" x14ac:dyDescent="0.2">
      <c r="A34" t="s">
        <v>11</v>
      </c>
      <c r="B34" s="1">
        <v>2.04E-6</v>
      </c>
      <c r="C34" t="s">
        <v>17</v>
      </c>
      <c r="D34" s="1">
        <f>B34*273</f>
        <v>5.5692000000000003E-4</v>
      </c>
      <c r="E34" s="5">
        <f>D34/$D$35*100</f>
        <v>0.7188003514857827</v>
      </c>
      <c r="F34" t="s">
        <v>14</v>
      </c>
    </row>
    <row r="35" spans="1:49" x14ac:dyDescent="0.2">
      <c r="A35" t="s">
        <v>13</v>
      </c>
      <c r="D35" s="4">
        <f>SUM(D32:D34)</f>
        <v>7.7479093999999998E-2</v>
      </c>
    </row>
    <row r="37" spans="1:49" x14ac:dyDescent="0.2">
      <c r="A37" s="7" t="s">
        <v>24</v>
      </c>
      <c r="B37" s="6" t="s">
        <v>20</v>
      </c>
      <c r="C37" s="6"/>
      <c r="D37" s="6" t="s">
        <v>18</v>
      </c>
      <c r="E37" s="6" t="s">
        <v>22</v>
      </c>
      <c r="F37" s="6" t="s">
        <v>19</v>
      </c>
      <c r="G37" s="6"/>
      <c r="H37" t="s">
        <v>58</v>
      </c>
      <c r="I37" t="s">
        <v>59</v>
      </c>
      <c r="J37" t="s">
        <v>60</v>
      </c>
      <c r="K37" t="s">
        <v>61</v>
      </c>
      <c r="L37" t="s">
        <v>62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69</v>
      </c>
      <c r="T37" t="s">
        <v>70</v>
      </c>
      <c r="U37" t="s">
        <v>71</v>
      </c>
      <c r="V37" t="s">
        <v>72</v>
      </c>
      <c r="W37" t="s">
        <v>73</v>
      </c>
      <c r="X37" t="s">
        <v>74</v>
      </c>
      <c r="Y37" t="s">
        <v>75</v>
      </c>
      <c r="Z37" t="s">
        <v>76</v>
      </c>
      <c r="AA37" t="s">
        <v>77</v>
      </c>
      <c r="AB37" t="s">
        <v>78</v>
      </c>
      <c r="AC37" t="s">
        <v>79</v>
      </c>
      <c r="AD37" t="s">
        <v>80</v>
      </c>
      <c r="AE37" t="s">
        <v>81</v>
      </c>
      <c r="AF37" t="s">
        <v>82</v>
      </c>
      <c r="AG37" t="s">
        <v>83</v>
      </c>
      <c r="AH37" t="s">
        <v>84</v>
      </c>
      <c r="AI37" t="s">
        <v>85</v>
      </c>
      <c r="AJ37" t="s">
        <v>86</v>
      </c>
      <c r="AK37" t="s">
        <v>87</v>
      </c>
      <c r="AL37" t="s">
        <v>88</v>
      </c>
      <c r="AM37" t="s">
        <v>89</v>
      </c>
      <c r="AN37" t="s">
        <v>90</v>
      </c>
      <c r="AO37" t="s">
        <v>91</v>
      </c>
      <c r="AP37" t="s">
        <v>92</v>
      </c>
      <c r="AQ37" t="s">
        <v>93</v>
      </c>
      <c r="AR37" t="s">
        <v>94</v>
      </c>
      <c r="AS37" t="s">
        <v>95</v>
      </c>
      <c r="AT37" t="s">
        <v>96</v>
      </c>
      <c r="AU37" t="s">
        <v>97</v>
      </c>
      <c r="AV37" t="s">
        <v>98</v>
      </c>
    </row>
    <row r="38" spans="1:49" x14ac:dyDescent="0.2">
      <c r="A38" t="s">
        <v>9</v>
      </c>
      <c r="B38" s="8">
        <v>0.16484003368588199</v>
      </c>
      <c r="C38" t="s">
        <v>25</v>
      </c>
      <c r="D38" s="4">
        <f>B38</f>
        <v>0.16484003368588199</v>
      </c>
      <c r="E38" s="5">
        <f>D38/$D$41*100</f>
        <v>39.104435073439312</v>
      </c>
      <c r="F38" t="s">
        <v>26</v>
      </c>
      <c r="H38" s="8" t="s">
        <v>36</v>
      </c>
      <c r="I38" t="s">
        <v>37</v>
      </c>
      <c r="J38" t="s">
        <v>38</v>
      </c>
      <c r="K38" t="s">
        <v>39</v>
      </c>
      <c r="L38" t="s">
        <v>40</v>
      </c>
      <c r="M38" s="8" t="s">
        <v>41</v>
      </c>
      <c r="N38" s="8" t="s">
        <v>27</v>
      </c>
      <c r="O38" s="8" t="s">
        <v>28</v>
      </c>
      <c r="P38">
        <v>0</v>
      </c>
      <c r="Q38" s="8" t="s">
        <v>29</v>
      </c>
      <c r="R38" s="8" t="s">
        <v>42</v>
      </c>
      <c r="S38" s="8" t="s">
        <v>43</v>
      </c>
      <c r="T38" s="8" t="s">
        <v>44</v>
      </c>
      <c r="U38">
        <v>0</v>
      </c>
      <c r="V38" s="8" t="s">
        <v>45</v>
      </c>
      <c r="W38" s="8" t="s">
        <v>46</v>
      </c>
      <c r="X38" s="8" t="s">
        <v>47</v>
      </c>
      <c r="AA38" s="8" t="s">
        <v>48</v>
      </c>
      <c r="AB38" s="8" t="s">
        <v>49</v>
      </c>
      <c r="AC38">
        <v>0.20705890305730501</v>
      </c>
      <c r="AD38">
        <v>6.5510587059321002E-2</v>
      </c>
      <c r="AE38">
        <v>0</v>
      </c>
      <c r="AH38" s="8" t="s">
        <v>50</v>
      </c>
      <c r="AI38" s="8" t="s">
        <v>51</v>
      </c>
      <c r="AJ38">
        <v>6.4098957152017993E-2</v>
      </c>
      <c r="AL38" s="8" t="s">
        <v>52</v>
      </c>
      <c r="AM38" s="8" t="s">
        <v>53</v>
      </c>
      <c r="AN38" s="8" t="s">
        <v>54</v>
      </c>
      <c r="AR38" s="8" t="s">
        <v>55</v>
      </c>
      <c r="AS38" s="8" t="s">
        <v>56</v>
      </c>
      <c r="AT38">
        <v>7.5845752035642996E-4</v>
      </c>
      <c r="AU38" s="8" t="s">
        <v>57</v>
      </c>
    </row>
    <row r="39" spans="1:49" x14ac:dyDescent="0.2">
      <c r="A39" t="s">
        <v>10</v>
      </c>
      <c r="B39" s="11">
        <v>2.15695942548955E-4</v>
      </c>
      <c r="C39" t="s">
        <v>16</v>
      </c>
      <c r="D39" s="1">
        <f>B39*29.8</f>
        <v>6.427739087958859E-3</v>
      </c>
      <c r="E39" s="5">
        <f>D39/$D$41*100</f>
        <v>1.5248304687505216</v>
      </c>
      <c r="F39" t="s">
        <v>26</v>
      </c>
      <c r="K39" s="22" t="s">
        <v>99</v>
      </c>
      <c r="L39" s="22"/>
      <c r="M39" s="22">
        <f>M38/$M$38</f>
        <v>1</v>
      </c>
      <c r="N39" s="22">
        <f t="shared" ref="N39:AV39" si="2">N38/$M$38</f>
        <v>0.39104435073439253</v>
      </c>
      <c r="O39" s="22">
        <f t="shared" si="2"/>
        <v>5.1168807676191925E-4</v>
      </c>
      <c r="P39" s="22">
        <f t="shared" si="2"/>
        <v>0</v>
      </c>
      <c r="Q39" s="22">
        <f t="shared" si="2"/>
        <v>2.174752177941761E-3</v>
      </c>
      <c r="R39" s="22">
        <f t="shared" si="2"/>
        <v>3.6445931118924038</v>
      </c>
      <c r="S39" s="22">
        <f t="shared" si="2"/>
        <v>5.5762274611953731E-2</v>
      </c>
      <c r="T39" s="22">
        <f t="shared" si="2"/>
        <v>5.1024303566493557E-3</v>
      </c>
      <c r="U39" s="22">
        <f t="shared" si="2"/>
        <v>0</v>
      </c>
      <c r="V39" s="22">
        <f t="shared" si="2"/>
        <v>0.26969989028003682</v>
      </c>
      <c r="W39" s="22">
        <f t="shared" si="2"/>
        <v>7.4573044767926341E-14</v>
      </c>
      <c r="X39" s="22">
        <f t="shared" si="2"/>
        <v>3.3900453306067815E-3</v>
      </c>
      <c r="Y39" s="22">
        <f t="shared" si="2"/>
        <v>0</v>
      </c>
      <c r="Z39" s="22">
        <f t="shared" si="2"/>
        <v>0</v>
      </c>
      <c r="AA39" s="22">
        <f t="shared" si="2"/>
        <v>0.28191331140160042</v>
      </c>
      <c r="AB39" s="22">
        <f t="shared" si="2"/>
        <v>7.1479448176625493E-2</v>
      </c>
      <c r="AC39" s="22">
        <f t="shared" si="2"/>
        <v>0.49119872460177805</v>
      </c>
      <c r="AD39" s="22">
        <f t="shared" si="2"/>
        <v>0.15540851581999607</v>
      </c>
      <c r="AE39" s="22">
        <f t="shared" si="2"/>
        <v>0</v>
      </c>
      <c r="AF39" s="22">
        <f t="shared" si="2"/>
        <v>0</v>
      </c>
      <c r="AG39" s="22">
        <f t="shared" si="2"/>
        <v>0</v>
      </c>
      <c r="AH39" s="22">
        <f t="shared" si="2"/>
        <v>0.17493342333689407</v>
      </c>
      <c r="AI39" s="22">
        <f t="shared" si="2"/>
        <v>6.4051172726330693E-2</v>
      </c>
      <c r="AJ39" s="22">
        <f t="shared" si="2"/>
        <v>0.15205975467116944</v>
      </c>
      <c r="AK39" s="22">
        <f t="shared" si="2"/>
        <v>0</v>
      </c>
      <c r="AL39" s="22">
        <f t="shared" si="2"/>
        <v>2.2007488713089119E-4</v>
      </c>
      <c r="AM39" s="22">
        <f t="shared" si="2"/>
        <v>2.2536523737042285E-4</v>
      </c>
      <c r="AN39" s="22">
        <f t="shared" si="2"/>
        <v>6.6247952260605213E-5</v>
      </c>
      <c r="AO39" s="22">
        <f t="shared" si="2"/>
        <v>0</v>
      </c>
      <c r="AP39" s="22">
        <f t="shared" si="2"/>
        <v>0</v>
      </c>
      <c r="AQ39" s="22">
        <f t="shared" si="2"/>
        <v>0</v>
      </c>
      <c r="AR39" s="22">
        <f t="shared" si="2"/>
        <v>3.6784489534141351E-4</v>
      </c>
      <c r="AS39" s="22">
        <f t="shared" si="2"/>
        <v>2.6094922221838435E-6</v>
      </c>
      <c r="AT39" s="22">
        <f t="shared" si="2"/>
        <v>1.7992627274790436E-3</v>
      </c>
      <c r="AU39" s="22">
        <f t="shared" si="2"/>
        <v>5.035062899122855E-6</v>
      </c>
      <c r="AV39" s="22">
        <f t="shared" si="2"/>
        <v>0</v>
      </c>
      <c r="AW39" s="22"/>
    </row>
    <row r="40" spans="1:49" x14ac:dyDescent="0.2">
      <c r="A40" t="s">
        <v>11</v>
      </c>
      <c r="B40" s="11">
        <v>9.16740573280544E-4</v>
      </c>
      <c r="C40" t="s">
        <v>17</v>
      </c>
      <c r="D40" s="1">
        <f>B40*273</f>
        <v>0.25027017650558853</v>
      </c>
      <c r="E40" s="5">
        <f>D40/$D$41*100</f>
        <v>59.370734457810173</v>
      </c>
      <c r="F40" t="s">
        <v>26</v>
      </c>
    </row>
    <row r="41" spans="1:49" x14ac:dyDescent="0.2">
      <c r="A41" t="s">
        <v>13</v>
      </c>
      <c r="D41" s="4">
        <f>SUM(D38:D40)</f>
        <v>0.42153794927942934</v>
      </c>
    </row>
    <row r="43" spans="1:49" x14ac:dyDescent="0.2">
      <c r="A43" s="7" t="s">
        <v>32</v>
      </c>
      <c r="B43" s="6" t="s">
        <v>33</v>
      </c>
      <c r="C43" s="6"/>
      <c r="D43" s="6" t="s">
        <v>18</v>
      </c>
      <c r="E43" s="6" t="s">
        <v>22</v>
      </c>
      <c r="F43" s="6" t="s">
        <v>19</v>
      </c>
      <c r="G43" s="6"/>
    </row>
    <row r="44" spans="1:49" x14ac:dyDescent="0.2">
      <c r="A44" t="s">
        <v>9</v>
      </c>
      <c r="B44" s="8"/>
      <c r="C44" t="s">
        <v>25</v>
      </c>
      <c r="D44" s="4">
        <f>B44</f>
        <v>0</v>
      </c>
      <c r="E44" s="5">
        <f>D44/$D$47*100</f>
        <v>0</v>
      </c>
      <c r="F44" t="s">
        <v>34</v>
      </c>
    </row>
    <row r="45" spans="1:49" ht="17" customHeight="1" x14ac:dyDescent="0.2">
      <c r="A45" t="s">
        <v>10</v>
      </c>
      <c r="B45" s="10">
        <f>0.00942446314340999+0.01286441904522</f>
        <v>2.228888218862999E-2</v>
      </c>
      <c r="C45" t="s">
        <v>16</v>
      </c>
      <c r="D45" s="1">
        <f>B45*27</f>
        <v>0.60179981909300972</v>
      </c>
      <c r="E45" s="5">
        <f t="shared" ref="E45:E46" si="3">D45/$D$47*100</f>
        <v>63.807154809769216</v>
      </c>
      <c r="F45" t="s">
        <v>34</v>
      </c>
    </row>
    <row r="46" spans="1:49" x14ac:dyDescent="0.2">
      <c r="A46" t="s">
        <v>11</v>
      </c>
      <c r="B46" s="11">
        <v>1.2503821100018999E-3</v>
      </c>
      <c r="C46" t="s">
        <v>17</v>
      </c>
      <c r="D46" s="1">
        <f>B46*273</f>
        <v>0.34135431603051869</v>
      </c>
      <c r="E46" s="5">
        <f t="shared" si="3"/>
        <v>36.192845190230784</v>
      </c>
      <c r="F46" t="s">
        <v>34</v>
      </c>
    </row>
    <row r="47" spans="1:49" x14ac:dyDescent="0.2">
      <c r="A47" t="s">
        <v>13</v>
      </c>
      <c r="D47" s="4">
        <f>SUM(D44:D46)</f>
        <v>0.94315413512352841</v>
      </c>
    </row>
    <row r="49" spans="1:44" x14ac:dyDescent="0.2">
      <c r="A49" s="7" t="s">
        <v>103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6" spans="1:44" ht="16" thickBot="1" x14ac:dyDescent="0.25"/>
    <row r="57" spans="1:44" x14ac:dyDescent="0.2">
      <c r="L57" s="12" t="s">
        <v>35</v>
      </c>
      <c r="M57" s="13">
        <v>30</v>
      </c>
      <c r="N57" t="s">
        <v>22</v>
      </c>
    </row>
    <row r="60" spans="1:44" x14ac:dyDescent="0.2">
      <c r="B60" t="s">
        <v>105</v>
      </c>
      <c r="C60" t="s">
        <v>106</v>
      </c>
      <c r="D60" t="s">
        <v>110</v>
      </c>
      <c r="E60" t="s">
        <v>111</v>
      </c>
      <c r="F60" t="s">
        <v>107</v>
      </c>
      <c r="G60" t="s">
        <v>108</v>
      </c>
      <c r="I60" t="s">
        <v>19</v>
      </c>
    </row>
    <row r="61" spans="1:44" x14ac:dyDescent="0.2">
      <c r="A61" t="s">
        <v>104</v>
      </c>
      <c r="B61">
        <v>3</v>
      </c>
      <c r="C61">
        <v>10</v>
      </c>
      <c r="D61">
        <v>10.4</v>
      </c>
      <c r="E61">
        <v>5.2</v>
      </c>
      <c r="F61">
        <f>(B61-0.5)*D61/10+0.5*E61/D61</f>
        <v>2.85</v>
      </c>
      <c r="G61">
        <f>F61*27</f>
        <v>76.95</v>
      </c>
      <c r="I61" t="s">
        <v>109</v>
      </c>
    </row>
    <row r="64" spans="1:44" s="21" customFormat="1" ht="80" x14ac:dyDescent="0.2">
      <c r="A64" s="21" t="s">
        <v>112</v>
      </c>
      <c r="B64" s="21" t="s">
        <v>113</v>
      </c>
      <c r="C64" s="21" t="s">
        <v>114</v>
      </c>
      <c r="D64" s="21" t="s">
        <v>58</v>
      </c>
      <c r="E64" s="21" t="s">
        <v>59</v>
      </c>
      <c r="F64" s="21" t="s">
        <v>60</v>
      </c>
      <c r="G64" s="21" t="s">
        <v>61</v>
      </c>
      <c r="H64" s="21" t="s">
        <v>62</v>
      </c>
      <c r="I64" s="21" t="s">
        <v>63</v>
      </c>
      <c r="J64" s="21" t="s">
        <v>64</v>
      </c>
      <c r="K64" s="21" t="s">
        <v>65</v>
      </c>
      <c r="L64" s="21" t="s">
        <v>66</v>
      </c>
      <c r="M64" s="21" t="s">
        <v>67</v>
      </c>
      <c r="N64" s="21" t="s">
        <v>68</v>
      </c>
      <c r="O64" s="21" t="s">
        <v>69</v>
      </c>
      <c r="P64" s="21" t="s">
        <v>70</v>
      </c>
      <c r="Q64" s="21" t="s">
        <v>71</v>
      </c>
      <c r="R64" s="21" t="s">
        <v>72</v>
      </c>
      <c r="S64" s="21" t="s">
        <v>73</v>
      </c>
      <c r="T64" s="21" t="s">
        <v>74</v>
      </c>
      <c r="U64" s="21" t="s">
        <v>75</v>
      </c>
      <c r="V64" s="21" t="s">
        <v>76</v>
      </c>
      <c r="W64" s="21" t="s">
        <v>77</v>
      </c>
      <c r="X64" s="21" t="s">
        <v>78</v>
      </c>
      <c r="Y64" s="21" t="s">
        <v>79</v>
      </c>
      <c r="Z64" s="21" t="s">
        <v>80</v>
      </c>
      <c r="AA64" s="21" t="s">
        <v>81</v>
      </c>
      <c r="AB64" s="21" t="s">
        <v>82</v>
      </c>
      <c r="AC64" s="21" t="s">
        <v>83</v>
      </c>
      <c r="AD64" s="21" t="s">
        <v>84</v>
      </c>
      <c r="AE64" s="21" t="s">
        <v>85</v>
      </c>
      <c r="AF64" s="21" t="s">
        <v>86</v>
      </c>
      <c r="AG64" s="21" t="s">
        <v>87</v>
      </c>
      <c r="AH64" s="21" t="s">
        <v>88</v>
      </c>
      <c r="AI64" s="21" t="s">
        <v>89</v>
      </c>
      <c r="AJ64" s="21" t="s">
        <v>90</v>
      </c>
      <c r="AK64" s="21" t="s">
        <v>91</v>
      </c>
      <c r="AL64" s="21" t="s">
        <v>92</v>
      </c>
      <c r="AM64" s="21" t="s">
        <v>93</v>
      </c>
      <c r="AN64" s="21" t="s">
        <v>94</v>
      </c>
      <c r="AO64" s="21" t="s">
        <v>95</v>
      </c>
      <c r="AP64" s="21" t="s">
        <v>96</v>
      </c>
      <c r="AQ64" s="21" t="s">
        <v>97</v>
      </c>
      <c r="AR64" s="21" t="s">
        <v>98</v>
      </c>
    </row>
    <row r="65" spans="1:44" s="9" customFormat="1" x14ac:dyDescent="0.2">
      <c r="A65" s="16" t="s">
        <v>100</v>
      </c>
    </row>
    <row r="66" spans="1:44" s="9" customFormat="1" x14ac:dyDescent="0.2">
      <c r="A66" s="9" t="s">
        <v>1</v>
      </c>
      <c r="B66" s="9" t="s">
        <v>137</v>
      </c>
      <c r="C66" s="9" t="s">
        <v>138</v>
      </c>
      <c r="D66" s="9">
        <v>21170.02</v>
      </c>
      <c r="E66" s="9" t="s">
        <v>118</v>
      </c>
      <c r="F66" s="9" t="s">
        <v>4</v>
      </c>
      <c r="G66" s="9" t="s">
        <v>39</v>
      </c>
      <c r="H66" s="9" t="s">
        <v>40</v>
      </c>
      <c r="I66" s="9">
        <f>J66+K66*29.8+L66*27+M66*273</f>
        <v>81.150000000000006</v>
      </c>
      <c r="J66" s="20">
        <f>AF66</f>
        <v>4.1154843653695794</v>
      </c>
      <c r="K66" s="9">
        <f>AJ66</f>
        <v>1.8230208009401864E-3</v>
      </c>
      <c r="L66" s="9">
        <f>AL66</f>
        <v>2.85</v>
      </c>
      <c r="M66" s="9">
        <f>AQ66</f>
        <v>1.1058466945935118E-4</v>
      </c>
      <c r="Z66" s="9">
        <f>C8+C20</f>
        <v>4.2</v>
      </c>
      <c r="AB66" s="9">
        <f>AL66*27</f>
        <v>76.95</v>
      </c>
      <c r="AF66" s="20">
        <f>D9+D21</f>
        <v>4.1154843653695794</v>
      </c>
      <c r="AJ66" s="9">
        <f>D10+D22</f>
        <v>1.8230208009401864E-3</v>
      </c>
      <c r="AL66" s="9">
        <f>F61</f>
        <v>2.85</v>
      </c>
      <c r="AQ66" s="9">
        <f>D11+D23</f>
        <v>1.1058466945935118E-4</v>
      </c>
    </row>
    <row r="67" spans="1:44" s="9" customFormat="1" x14ac:dyDescent="0.2">
      <c r="A67" s="16" t="s">
        <v>102</v>
      </c>
      <c r="J67" s="20"/>
    </row>
    <row r="68" spans="1:44" s="9" customFormat="1" x14ac:dyDescent="0.2">
      <c r="A68" s="9" t="s">
        <v>1</v>
      </c>
      <c r="B68" s="9" t="s">
        <v>137</v>
      </c>
      <c r="C68" s="9" t="s">
        <v>138</v>
      </c>
      <c r="D68" s="9">
        <v>21170.02</v>
      </c>
      <c r="E68" s="9" t="s">
        <v>118</v>
      </c>
      <c r="F68" s="9" t="s">
        <v>4</v>
      </c>
      <c r="G68" s="9" t="s">
        <v>39</v>
      </c>
      <c r="H68" s="9" t="s">
        <v>40</v>
      </c>
      <c r="I68" s="9">
        <f>I66*$M$57/100</f>
        <v>24.344999999999999</v>
      </c>
      <c r="J68" s="9">
        <f t="shared" ref="J68:AR68" si="4">J66*$M$57/100</f>
        <v>1.2346453096108738</v>
      </c>
      <c r="K68" s="9">
        <f t="shared" si="4"/>
        <v>5.4690624028205586E-4</v>
      </c>
      <c r="L68" s="9">
        <f t="shared" si="4"/>
        <v>0.85499999999999998</v>
      </c>
      <c r="M68" s="9">
        <f t="shared" si="4"/>
        <v>3.3175400837805351E-5</v>
      </c>
      <c r="N68" s="9">
        <f t="shared" si="4"/>
        <v>0</v>
      </c>
      <c r="O68" s="9">
        <f t="shared" si="4"/>
        <v>0</v>
      </c>
      <c r="P68" s="9">
        <f t="shared" si="4"/>
        <v>0</v>
      </c>
      <c r="Q68" s="9">
        <f t="shared" si="4"/>
        <v>0</v>
      </c>
      <c r="R68" s="9">
        <f t="shared" si="4"/>
        <v>0</v>
      </c>
      <c r="S68" s="9">
        <f t="shared" si="4"/>
        <v>0</v>
      </c>
      <c r="T68" s="9">
        <f t="shared" si="4"/>
        <v>0</v>
      </c>
      <c r="U68" s="9">
        <f t="shared" si="4"/>
        <v>0</v>
      </c>
      <c r="V68" s="9">
        <f t="shared" si="4"/>
        <v>0</v>
      </c>
      <c r="W68" s="9">
        <f t="shared" si="4"/>
        <v>0</v>
      </c>
      <c r="X68" s="9">
        <f t="shared" si="4"/>
        <v>0</v>
      </c>
      <c r="Y68" s="9">
        <f t="shared" si="4"/>
        <v>0</v>
      </c>
      <c r="Z68" s="9">
        <f t="shared" si="4"/>
        <v>1.26</v>
      </c>
      <c r="AA68" s="9">
        <f t="shared" si="4"/>
        <v>0</v>
      </c>
      <c r="AB68" s="9">
        <f t="shared" si="4"/>
        <v>23.085000000000001</v>
      </c>
      <c r="AC68" s="9">
        <f t="shared" si="4"/>
        <v>0</v>
      </c>
      <c r="AD68" s="9">
        <f t="shared" si="4"/>
        <v>0</v>
      </c>
      <c r="AE68" s="9">
        <f t="shared" si="4"/>
        <v>0</v>
      </c>
      <c r="AF68" s="9">
        <f t="shared" si="4"/>
        <v>1.2346453096108738</v>
      </c>
      <c r="AG68" s="9">
        <f t="shared" si="4"/>
        <v>0</v>
      </c>
      <c r="AH68" s="9">
        <f t="shared" si="4"/>
        <v>0</v>
      </c>
      <c r="AI68" s="9">
        <f t="shared" si="4"/>
        <v>0</v>
      </c>
      <c r="AJ68" s="9">
        <f t="shared" si="4"/>
        <v>5.4690624028205586E-4</v>
      </c>
      <c r="AK68" s="9">
        <f t="shared" si="4"/>
        <v>0</v>
      </c>
      <c r="AL68" s="9">
        <f t="shared" si="4"/>
        <v>0.85499999999999998</v>
      </c>
      <c r="AM68" s="9">
        <f t="shared" si="4"/>
        <v>0</v>
      </c>
      <c r="AN68" s="9">
        <f t="shared" si="4"/>
        <v>0</v>
      </c>
      <c r="AO68" s="9">
        <f t="shared" si="4"/>
        <v>0</v>
      </c>
      <c r="AP68" s="9">
        <f t="shared" si="4"/>
        <v>0</v>
      </c>
      <c r="AQ68" s="9">
        <f t="shared" si="4"/>
        <v>3.3175400837805351E-5</v>
      </c>
      <c r="AR68" s="9">
        <f t="shared" si="4"/>
        <v>0</v>
      </c>
    </row>
    <row r="70" spans="1:44" x14ac:dyDescent="0.2">
      <c r="A70" s="7" t="s">
        <v>140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5" spans="1:44" ht="16" thickBot="1" x14ac:dyDescent="0.25"/>
    <row r="76" spans="1:44" x14ac:dyDescent="0.2">
      <c r="L76" s="12" t="s">
        <v>35</v>
      </c>
      <c r="M76" s="13">
        <v>30</v>
      </c>
      <c r="N76" t="s">
        <v>22</v>
      </c>
    </row>
    <row r="79" spans="1:44" s="21" customFormat="1" ht="80" x14ac:dyDescent="0.2">
      <c r="A79" s="21" t="s">
        <v>112</v>
      </c>
      <c r="B79" s="21" t="s">
        <v>113</v>
      </c>
      <c r="C79" s="21" t="s">
        <v>114</v>
      </c>
      <c r="D79" s="21" t="s">
        <v>58</v>
      </c>
      <c r="E79" s="21" t="s">
        <v>59</v>
      </c>
      <c r="F79" s="21" t="s">
        <v>60</v>
      </c>
      <c r="G79" s="21" t="s">
        <v>61</v>
      </c>
      <c r="H79" s="21" t="s">
        <v>62</v>
      </c>
      <c r="I79" s="21" t="s">
        <v>63</v>
      </c>
      <c r="J79" s="21" t="s">
        <v>64</v>
      </c>
      <c r="K79" s="21" t="s">
        <v>65</v>
      </c>
      <c r="L79" s="21" t="s">
        <v>66</v>
      </c>
      <c r="M79" s="21" t="s">
        <v>67</v>
      </c>
      <c r="N79" s="21" t="s">
        <v>68</v>
      </c>
      <c r="O79" s="21" t="s">
        <v>69</v>
      </c>
      <c r="P79" s="21" t="s">
        <v>70</v>
      </c>
      <c r="Q79" s="21" t="s">
        <v>71</v>
      </c>
      <c r="R79" s="21" t="s">
        <v>72</v>
      </c>
      <c r="S79" s="21" t="s">
        <v>73</v>
      </c>
      <c r="T79" s="21" t="s">
        <v>74</v>
      </c>
      <c r="U79" s="21" t="s">
        <v>75</v>
      </c>
      <c r="V79" s="21" t="s">
        <v>76</v>
      </c>
      <c r="W79" s="21" t="s">
        <v>77</v>
      </c>
      <c r="X79" s="21" t="s">
        <v>78</v>
      </c>
      <c r="Y79" s="21" t="s">
        <v>79</v>
      </c>
      <c r="Z79" s="21" t="s">
        <v>80</v>
      </c>
      <c r="AA79" s="21" t="s">
        <v>81</v>
      </c>
      <c r="AB79" s="21" t="s">
        <v>82</v>
      </c>
      <c r="AC79" s="21" t="s">
        <v>83</v>
      </c>
      <c r="AD79" s="21" t="s">
        <v>84</v>
      </c>
      <c r="AE79" s="21" t="s">
        <v>85</v>
      </c>
      <c r="AF79" s="21" t="s">
        <v>86</v>
      </c>
      <c r="AG79" s="21" t="s">
        <v>87</v>
      </c>
      <c r="AH79" s="21" t="s">
        <v>88</v>
      </c>
      <c r="AI79" s="21" t="s">
        <v>89</v>
      </c>
      <c r="AJ79" s="21" t="s">
        <v>90</v>
      </c>
      <c r="AK79" s="21" t="s">
        <v>91</v>
      </c>
      <c r="AL79" s="21" t="s">
        <v>92</v>
      </c>
      <c r="AM79" s="21" t="s">
        <v>93</v>
      </c>
      <c r="AN79" s="21" t="s">
        <v>94</v>
      </c>
      <c r="AO79" s="21" t="s">
        <v>95</v>
      </c>
      <c r="AP79" s="21" t="s">
        <v>96</v>
      </c>
      <c r="AQ79" s="21" t="s">
        <v>97</v>
      </c>
      <c r="AR79" s="21" t="s">
        <v>98</v>
      </c>
    </row>
    <row r="80" spans="1:44" s="9" customFormat="1" x14ac:dyDescent="0.2">
      <c r="A80" s="16" t="s">
        <v>100</v>
      </c>
    </row>
    <row r="81" spans="1:44" s="9" customFormat="1" x14ac:dyDescent="0.2">
      <c r="A81" s="9" t="s">
        <v>115</v>
      </c>
      <c r="B81" s="9" t="s">
        <v>116</v>
      </c>
      <c r="C81" s="9" t="s">
        <v>117</v>
      </c>
      <c r="D81" s="9">
        <v>21170.02</v>
      </c>
      <c r="E81" s="9" t="s">
        <v>118</v>
      </c>
      <c r="F81" s="9" t="s">
        <v>4</v>
      </c>
      <c r="G81" s="9" t="s">
        <v>39</v>
      </c>
      <c r="H81" s="9" t="s">
        <v>40</v>
      </c>
      <c r="I81" s="9">
        <f>J81+K81*29.8+L81*27+M81*273</f>
        <v>4.2</v>
      </c>
      <c r="J81" s="20">
        <f>AF81</f>
        <v>4.1154843653695794</v>
      </c>
      <c r="K81" s="9">
        <f>AJ81</f>
        <v>1.8230208009401864E-3</v>
      </c>
      <c r="L81" s="9">
        <f>AL81</f>
        <v>0</v>
      </c>
      <c r="M81" s="9">
        <f>AQ81</f>
        <v>1.1058466945935118E-4</v>
      </c>
      <c r="Z81" s="9">
        <f>C8+C20</f>
        <v>4.2</v>
      </c>
      <c r="AF81" s="20">
        <f>D9+D21</f>
        <v>4.1154843653695794</v>
      </c>
      <c r="AJ81" s="9">
        <f>D10+D22</f>
        <v>1.8230208009401864E-3</v>
      </c>
      <c r="AQ81" s="9">
        <f>D11+D23</f>
        <v>1.1058466945935118E-4</v>
      </c>
    </row>
    <row r="82" spans="1:44" s="9" customFormat="1" x14ac:dyDescent="0.2">
      <c r="A82" s="16" t="s">
        <v>102</v>
      </c>
      <c r="J82" s="20"/>
    </row>
    <row r="83" spans="1:44" s="9" customFormat="1" x14ac:dyDescent="0.2">
      <c r="A83" s="9" t="s">
        <v>115</v>
      </c>
      <c r="B83" s="9" t="s">
        <v>116</v>
      </c>
      <c r="C83" s="9" t="s">
        <v>117</v>
      </c>
      <c r="D83" s="9">
        <v>21170.02</v>
      </c>
      <c r="E83" s="9" t="s">
        <v>118</v>
      </c>
      <c r="F83" s="9" t="s">
        <v>4</v>
      </c>
      <c r="G83" s="9" t="s">
        <v>39</v>
      </c>
      <c r="H83" s="9" t="s">
        <v>40</v>
      </c>
      <c r="I83" s="9">
        <f>I81*$M$76/100</f>
        <v>1.26</v>
      </c>
      <c r="J83" s="9">
        <f t="shared" ref="J83:AR83" si="5">J81*$M$76/100</f>
        <v>1.2346453096108738</v>
      </c>
      <c r="K83" s="9">
        <f t="shared" si="5"/>
        <v>5.4690624028205586E-4</v>
      </c>
      <c r="L83" s="9">
        <f t="shared" si="5"/>
        <v>0</v>
      </c>
      <c r="M83" s="9">
        <f t="shared" si="5"/>
        <v>3.3175400837805351E-5</v>
      </c>
      <c r="N83" s="9">
        <f t="shared" si="5"/>
        <v>0</v>
      </c>
      <c r="O83" s="9">
        <f t="shared" si="5"/>
        <v>0</v>
      </c>
      <c r="P83" s="9">
        <f t="shared" si="5"/>
        <v>0</v>
      </c>
      <c r="Q83" s="9">
        <f t="shared" si="5"/>
        <v>0</v>
      </c>
      <c r="R83" s="9">
        <f t="shared" si="5"/>
        <v>0</v>
      </c>
      <c r="S83" s="9">
        <f t="shared" si="5"/>
        <v>0</v>
      </c>
      <c r="T83" s="9">
        <f t="shared" si="5"/>
        <v>0</v>
      </c>
      <c r="U83" s="9">
        <f t="shared" si="5"/>
        <v>0</v>
      </c>
      <c r="V83" s="9">
        <f t="shared" si="5"/>
        <v>0</v>
      </c>
      <c r="W83" s="9">
        <f t="shared" si="5"/>
        <v>0</v>
      </c>
      <c r="X83" s="9">
        <f t="shared" si="5"/>
        <v>0</v>
      </c>
      <c r="Y83" s="9">
        <f t="shared" si="5"/>
        <v>0</v>
      </c>
      <c r="Z83" s="9">
        <f t="shared" si="5"/>
        <v>1.26</v>
      </c>
      <c r="AA83" s="9">
        <f t="shared" si="5"/>
        <v>0</v>
      </c>
      <c r="AB83" s="9">
        <f t="shared" si="5"/>
        <v>0</v>
      </c>
      <c r="AC83" s="9">
        <f t="shared" si="5"/>
        <v>0</v>
      </c>
      <c r="AD83" s="9">
        <f t="shared" si="5"/>
        <v>0</v>
      </c>
      <c r="AE83" s="9">
        <f t="shared" si="5"/>
        <v>0</v>
      </c>
      <c r="AF83" s="9">
        <f t="shared" si="5"/>
        <v>1.2346453096108738</v>
      </c>
      <c r="AG83" s="9">
        <f t="shared" si="5"/>
        <v>0</v>
      </c>
      <c r="AH83" s="9">
        <f t="shared" si="5"/>
        <v>0</v>
      </c>
      <c r="AI83" s="9">
        <f t="shared" si="5"/>
        <v>0</v>
      </c>
      <c r="AJ83" s="9">
        <f t="shared" si="5"/>
        <v>5.4690624028205586E-4</v>
      </c>
      <c r="AK83" s="9">
        <f t="shared" si="5"/>
        <v>0</v>
      </c>
      <c r="AL83" s="9">
        <f t="shared" si="5"/>
        <v>0</v>
      </c>
      <c r="AM83" s="9">
        <f t="shared" si="5"/>
        <v>0</v>
      </c>
      <c r="AN83" s="9">
        <f t="shared" si="5"/>
        <v>0</v>
      </c>
      <c r="AO83" s="9">
        <f t="shared" si="5"/>
        <v>0</v>
      </c>
      <c r="AP83" s="9">
        <f t="shared" si="5"/>
        <v>0</v>
      </c>
      <c r="AQ83" s="9">
        <f t="shared" si="5"/>
        <v>3.3175400837805351E-5</v>
      </c>
      <c r="AR83" s="9">
        <f t="shared" si="5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EA37-E052-405D-B3CF-60804D779B0E}">
  <dimension ref="A1:AS19"/>
  <sheetViews>
    <sheetView tabSelected="1" topLeftCell="W1" workbookViewId="0">
      <selection activeCell="AS2" sqref="AS2"/>
    </sheetView>
  </sheetViews>
  <sheetFormatPr baseColWidth="10" defaultColWidth="8.83203125" defaultRowHeight="15" x14ac:dyDescent="0.2"/>
  <cols>
    <col min="3" max="3" width="22.5" customWidth="1"/>
    <col min="4" max="4" width="16.1640625" customWidth="1"/>
    <col min="44" max="44" width="8.83203125" customWidth="1"/>
  </cols>
  <sheetData>
    <row r="1" spans="1:45" s="21" customFormat="1" ht="35" customHeight="1" x14ac:dyDescent="0.2">
      <c r="A1" s="21" t="s">
        <v>112</v>
      </c>
      <c r="B1" s="21" t="s">
        <v>113</v>
      </c>
      <c r="C1" s="21" t="s">
        <v>114</v>
      </c>
      <c r="D1" s="21" t="s">
        <v>58</v>
      </c>
      <c r="E1" s="21" t="s">
        <v>59</v>
      </c>
      <c r="F1" s="21" t="s">
        <v>60</v>
      </c>
      <c r="G1" s="21" t="s">
        <v>61</v>
      </c>
      <c r="H1" s="21" t="s">
        <v>62</v>
      </c>
      <c r="I1" s="21" t="s">
        <v>63</v>
      </c>
      <c r="J1" s="21" t="s">
        <v>64</v>
      </c>
      <c r="K1" s="21" t="s">
        <v>65</v>
      </c>
      <c r="L1" s="21" t="s">
        <v>66</v>
      </c>
      <c r="M1" s="21" t="s">
        <v>67</v>
      </c>
      <c r="N1" s="21" t="s">
        <v>68</v>
      </c>
      <c r="O1" s="21" t="s">
        <v>69</v>
      </c>
      <c r="P1" s="21" t="s">
        <v>70</v>
      </c>
      <c r="Q1" s="21" t="s">
        <v>71</v>
      </c>
      <c r="R1" s="21" t="s">
        <v>72</v>
      </c>
      <c r="S1" s="21" t="s">
        <v>73</v>
      </c>
      <c r="T1" s="21" t="s">
        <v>74</v>
      </c>
      <c r="U1" s="21" t="s">
        <v>75</v>
      </c>
      <c r="V1" s="21" t="s">
        <v>76</v>
      </c>
      <c r="W1" s="21" t="s">
        <v>77</v>
      </c>
      <c r="X1" s="21" t="s">
        <v>78</v>
      </c>
      <c r="Y1" s="21" t="s">
        <v>79</v>
      </c>
      <c r="Z1" s="21" t="s">
        <v>80</v>
      </c>
      <c r="AA1" s="21" t="s">
        <v>81</v>
      </c>
      <c r="AB1" s="21" t="s">
        <v>82</v>
      </c>
      <c r="AC1" s="21" t="s">
        <v>83</v>
      </c>
      <c r="AD1" s="21" t="s">
        <v>84</v>
      </c>
      <c r="AE1" s="21" t="s">
        <v>85</v>
      </c>
      <c r="AF1" s="21" t="s">
        <v>86</v>
      </c>
      <c r="AG1" s="21" t="s">
        <v>87</v>
      </c>
      <c r="AH1" s="21" t="s">
        <v>88</v>
      </c>
      <c r="AI1" s="21" t="s">
        <v>89</v>
      </c>
      <c r="AJ1" s="21" t="s">
        <v>90</v>
      </c>
      <c r="AK1" s="21" t="s">
        <v>91</v>
      </c>
      <c r="AL1" s="21" t="s">
        <v>92</v>
      </c>
      <c r="AM1" s="21" t="s">
        <v>93</v>
      </c>
      <c r="AN1" s="21" t="s">
        <v>94</v>
      </c>
      <c r="AO1" s="21" t="s">
        <v>95</v>
      </c>
      <c r="AP1" s="21" t="s">
        <v>96</v>
      </c>
      <c r="AQ1" s="21" t="s">
        <v>97</v>
      </c>
      <c r="AR1" s="21" t="s">
        <v>98</v>
      </c>
      <c r="AS1" s="21" t="s">
        <v>145</v>
      </c>
    </row>
    <row r="2" spans="1:45" x14ac:dyDescent="0.2">
      <c r="A2" t="s">
        <v>115</v>
      </c>
      <c r="B2" t="s">
        <v>116</v>
      </c>
      <c r="C2" t="s">
        <v>117</v>
      </c>
      <c r="D2" s="23" t="s">
        <v>141</v>
      </c>
      <c r="E2" t="s">
        <v>118</v>
      </c>
      <c r="F2" t="s">
        <v>4</v>
      </c>
      <c r="G2" t="s">
        <v>39</v>
      </c>
      <c r="H2" t="s">
        <v>40</v>
      </c>
      <c r="I2">
        <f>INFO!I83</f>
        <v>1.26</v>
      </c>
      <c r="J2">
        <f>INFO!J83</f>
        <v>1.2346453096108738</v>
      </c>
      <c r="K2">
        <f>INFO!K83</f>
        <v>5.4690624028205586E-4</v>
      </c>
      <c r="L2">
        <f>INFO!L83</f>
        <v>0</v>
      </c>
      <c r="M2">
        <f>INFO!M83</f>
        <v>3.3175400837805351E-5</v>
      </c>
      <c r="N2">
        <f>INFO!N83</f>
        <v>0</v>
      </c>
      <c r="O2">
        <f>INFO!O83</f>
        <v>0</v>
      </c>
      <c r="P2">
        <f>INFO!P83</f>
        <v>0</v>
      </c>
      <c r="Q2">
        <f>INFO!Q83</f>
        <v>0</v>
      </c>
      <c r="R2">
        <f>INFO!R83</f>
        <v>0</v>
      </c>
      <c r="S2">
        <f>INFO!S83</f>
        <v>0</v>
      </c>
      <c r="T2">
        <f>INFO!T83</f>
        <v>0</v>
      </c>
      <c r="U2">
        <f>INFO!U83</f>
        <v>0</v>
      </c>
      <c r="V2">
        <f>INFO!V83</f>
        <v>0</v>
      </c>
      <c r="W2">
        <f>INFO!W83</f>
        <v>0</v>
      </c>
      <c r="X2">
        <f>INFO!X83</f>
        <v>0</v>
      </c>
      <c r="Y2">
        <f>INFO!Y83</f>
        <v>0</v>
      </c>
      <c r="Z2">
        <f>INFO!Z83</f>
        <v>1.26</v>
      </c>
      <c r="AA2">
        <f>INFO!AA83</f>
        <v>0</v>
      </c>
      <c r="AB2">
        <f>INFO!AB83</f>
        <v>0</v>
      </c>
      <c r="AC2">
        <f>INFO!AC83</f>
        <v>0</v>
      </c>
      <c r="AD2">
        <f>INFO!AD83</f>
        <v>0</v>
      </c>
      <c r="AE2">
        <f>INFO!AE83</f>
        <v>0</v>
      </c>
      <c r="AF2">
        <f>INFO!AF83</f>
        <v>1.2346453096108738</v>
      </c>
      <c r="AG2">
        <f>INFO!AG83</f>
        <v>0</v>
      </c>
      <c r="AH2">
        <f>INFO!AH83</f>
        <v>0</v>
      </c>
      <c r="AI2">
        <f>INFO!AI83</f>
        <v>0</v>
      </c>
      <c r="AJ2">
        <f>INFO!AJ83</f>
        <v>5.4690624028205586E-4</v>
      </c>
      <c r="AK2">
        <f>INFO!AK83</f>
        <v>0</v>
      </c>
      <c r="AL2">
        <f>INFO!AL83</f>
        <v>0</v>
      </c>
      <c r="AM2">
        <f>INFO!AM83</f>
        <v>0</v>
      </c>
      <c r="AN2">
        <f>INFO!AN83</f>
        <v>0</v>
      </c>
      <c r="AO2">
        <f>INFO!AO83</f>
        <v>0</v>
      </c>
      <c r="AP2">
        <f>INFO!AP83</f>
        <v>0</v>
      </c>
      <c r="AQ2">
        <f>INFO!AQ83</f>
        <v>3.3175400837805351E-5</v>
      </c>
      <c r="AR2">
        <f>INFO!AR83</f>
        <v>0</v>
      </c>
      <c r="AS2" t="s">
        <v>144</v>
      </c>
    </row>
    <row r="3" spans="1:45" x14ac:dyDescent="0.2">
      <c r="A3" t="s">
        <v>119</v>
      </c>
      <c r="B3" t="s">
        <v>120</v>
      </c>
      <c r="C3" t="s">
        <v>121</v>
      </c>
      <c r="D3" s="23" t="s">
        <v>141</v>
      </c>
      <c r="E3" t="s">
        <v>118</v>
      </c>
      <c r="F3" t="s">
        <v>4</v>
      </c>
      <c r="G3" t="s">
        <v>39</v>
      </c>
      <c r="H3" t="s">
        <v>40</v>
      </c>
      <c r="I3">
        <f>INFO!I83</f>
        <v>1.26</v>
      </c>
      <c r="J3">
        <f>INFO!J83</f>
        <v>1.2346453096108738</v>
      </c>
      <c r="K3">
        <f>INFO!K83</f>
        <v>5.4690624028205586E-4</v>
      </c>
      <c r="L3">
        <f>INFO!L83</f>
        <v>0</v>
      </c>
      <c r="M3">
        <f>INFO!M83</f>
        <v>3.3175400837805351E-5</v>
      </c>
      <c r="N3">
        <f>INFO!N83</f>
        <v>0</v>
      </c>
      <c r="O3">
        <f>INFO!O83</f>
        <v>0</v>
      </c>
      <c r="P3">
        <f>INFO!P83</f>
        <v>0</v>
      </c>
      <c r="Q3">
        <f>INFO!Q83</f>
        <v>0</v>
      </c>
      <c r="R3">
        <f>INFO!R83</f>
        <v>0</v>
      </c>
      <c r="S3">
        <f>INFO!S83</f>
        <v>0</v>
      </c>
      <c r="T3">
        <f>INFO!T83</f>
        <v>0</v>
      </c>
      <c r="U3">
        <f>INFO!U83</f>
        <v>0</v>
      </c>
      <c r="V3">
        <f>INFO!V83</f>
        <v>0</v>
      </c>
      <c r="W3">
        <f>INFO!W83</f>
        <v>0</v>
      </c>
      <c r="X3">
        <f>INFO!X83</f>
        <v>0</v>
      </c>
      <c r="Y3">
        <f>INFO!Y83</f>
        <v>0</v>
      </c>
      <c r="Z3">
        <f>INFO!Z83</f>
        <v>1.26</v>
      </c>
      <c r="AA3">
        <f>INFO!AA83</f>
        <v>0</v>
      </c>
      <c r="AB3">
        <f>INFO!AB83</f>
        <v>0</v>
      </c>
      <c r="AC3">
        <f>INFO!AC83</f>
        <v>0</v>
      </c>
      <c r="AD3">
        <f>INFO!AD83</f>
        <v>0</v>
      </c>
      <c r="AE3">
        <f>INFO!AE83</f>
        <v>0</v>
      </c>
      <c r="AF3">
        <f>INFO!AF83</f>
        <v>1.2346453096108738</v>
      </c>
      <c r="AG3">
        <f>INFO!AG83</f>
        <v>0</v>
      </c>
      <c r="AH3">
        <f>INFO!AH83</f>
        <v>0</v>
      </c>
      <c r="AI3">
        <f>INFO!AI83</f>
        <v>0</v>
      </c>
      <c r="AJ3">
        <f>INFO!AJ83</f>
        <v>5.4690624028205586E-4</v>
      </c>
      <c r="AK3">
        <f>INFO!AK83</f>
        <v>0</v>
      </c>
      <c r="AL3">
        <f>INFO!AL83</f>
        <v>0</v>
      </c>
      <c r="AM3">
        <f>INFO!AM83</f>
        <v>0</v>
      </c>
      <c r="AN3">
        <f>INFO!AN83</f>
        <v>0</v>
      </c>
      <c r="AO3">
        <f>INFO!AO83</f>
        <v>0</v>
      </c>
      <c r="AP3">
        <f>INFO!AP83</f>
        <v>0</v>
      </c>
      <c r="AQ3">
        <f>INFO!AQ83</f>
        <v>3.3175400837805351E-5</v>
      </c>
      <c r="AR3">
        <f>INFO!AR83</f>
        <v>0</v>
      </c>
      <c r="AS3" t="s">
        <v>144</v>
      </c>
    </row>
    <row r="4" spans="1:45" x14ac:dyDescent="0.2">
      <c r="A4" t="s">
        <v>122</v>
      </c>
      <c r="B4" t="s">
        <v>123</v>
      </c>
      <c r="C4" t="s">
        <v>124</v>
      </c>
      <c r="D4" s="23" t="s">
        <v>141</v>
      </c>
      <c r="E4" t="s">
        <v>118</v>
      </c>
      <c r="F4" t="s">
        <v>4</v>
      </c>
      <c r="G4" t="s">
        <v>39</v>
      </c>
      <c r="H4" t="s">
        <v>40</v>
      </c>
      <c r="I4">
        <f>INFO!I83</f>
        <v>1.26</v>
      </c>
      <c r="J4">
        <f>INFO!J83</f>
        <v>1.2346453096108738</v>
      </c>
      <c r="K4">
        <f>INFO!K83</f>
        <v>5.4690624028205586E-4</v>
      </c>
      <c r="L4">
        <f>INFO!L83</f>
        <v>0</v>
      </c>
      <c r="M4">
        <f>INFO!M83</f>
        <v>3.3175400837805351E-5</v>
      </c>
      <c r="N4">
        <f>INFO!N83</f>
        <v>0</v>
      </c>
      <c r="O4">
        <f>INFO!O83</f>
        <v>0</v>
      </c>
      <c r="P4">
        <f>INFO!P83</f>
        <v>0</v>
      </c>
      <c r="Q4">
        <f>INFO!Q83</f>
        <v>0</v>
      </c>
      <c r="R4">
        <f>INFO!R83</f>
        <v>0</v>
      </c>
      <c r="S4">
        <f>INFO!S83</f>
        <v>0</v>
      </c>
      <c r="T4">
        <f>INFO!T83</f>
        <v>0</v>
      </c>
      <c r="U4">
        <f>INFO!U83</f>
        <v>0</v>
      </c>
      <c r="V4">
        <f>INFO!V83</f>
        <v>0</v>
      </c>
      <c r="W4">
        <f>INFO!W83</f>
        <v>0</v>
      </c>
      <c r="X4">
        <f>INFO!X83</f>
        <v>0</v>
      </c>
      <c r="Y4">
        <f>INFO!Y83</f>
        <v>0</v>
      </c>
      <c r="Z4">
        <f>INFO!Z83</f>
        <v>1.26</v>
      </c>
      <c r="AA4">
        <f>INFO!AA83</f>
        <v>0</v>
      </c>
      <c r="AB4">
        <f>INFO!AB83</f>
        <v>0</v>
      </c>
      <c r="AC4">
        <f>INFO!AC83</f>
        <v>0</v>
      </c>
      <c r="AD4">
        <f>INFO!AD83</f>
        <v>0</v>
      </c>
      <c r="AE4">
        <f>INFO!AE83</f>
        <v>0</v>
      </c>
      <c r="AF4">
        <f>INFO!AF83</f>
        <v>1.2346453096108738</v>
      </c>
      <c r="AG4">
        <f>INFO!AG83</f>
        <v>0</v>
      </c>
      <c r="AH4">
        <f>INFO!AH83</f>
        <v>0</v>
      </c>
      <c r="AI4">
        <f>INFO!AI83</f>
        <v>0</v>
      </c>
      <c r="AJ4">
        <f>INFO!AJ83</f>
        <v>5.4690624028205586E-4</v>
      </c>
      <c r="AK4">
        <f>INFO!AK83</f>
        <v>0</v>
      </c>
      <c r="AL4">
        <f>INFO!AL83</f>
        <v>0</v>
      </c>
      <c r="AM4">
        <f>INFO!AM83</f>
        <v>0</v>
      </c>
      <c r="AN4">
        <f>INFO!AN83</f>
        <v>0</v>
      </c>
      <c r="AO4">
        <f>INFO!AO83</f>
        <v>0</v>
      </c>
      <c r="AP4">
        <f>INFO!AP83</f>
        <v>0</v>
      </c>
      <c r="AQ4">
        <f>INFO!AQ83</f>
        <v>3.3175400837805351E-5</v>
      </c>
      <c r="AR4">
        <f>INFO!AR83</f>
        <v>0</v>
      </c>
      <c r="AS4" t="s">
        <v>144</v>
      </c>
    </row>
    <row r="5" spans="1:45" x14ac:dyDescent="0.2">
      <c r="A5" t="s">
        <v>2</v>
      </c>
      <c r="B5" t="s">
        <v>125</v>
      </c>
      <c r="C5" t="s">
        <v>126</v>
      </c>
      <c r="D5" s="23" t="s">
        <v>141</v>
      </c>
      <c r="E5" t="s">
        <v>118</v>
      </c>
      <c r="F5" t="s">
        <v>4</v>
      </c>
      <c r="G5" t="s">
        <v>39</v>
      </c>
      <c r="H5" t="s">
        <v>40</v>
      </c>
      <c r="I5">
        <f>INFO!I68</f>
        <v>24.344999999999999</v>
      </c>
      <c r="J5">
        <f>INFO!J68</f>
        <v>1.2346453096108738</v>
      </c>
      <c r="K5">
        <f>INFO!K68</f>
        <v>5.4690624028205586E-4</v>
      </c>
      <c r="L5">
        <f>INFO!L68</f>
        <v>0.85499999999999998</v>
      </c>
      <c r="M5">
        <f>INFO!M68</f>
        <v>3.3175400837805351E-5</v>
      </c>
      <c r="N5">
        <f>INFO!N68</f>
        <v>0</v>
      </c>
      <c r="O5">
        <f>INFO!O68</f>
        <v>0</v>
      </c>
      <c r="P5">
        <f>INFO!P68</f>
        <v>0</v>
      </c>
      <c r="Q5">
        <f>INFO!Q68</f>
        <v>0</v>
      </c>
      <c r="R5">
        <f>INFO!R68</f>
        <v>0</v>
      </c>
      <c r="S5">
        <f>INFO!S68</f>
        <v>0</v>
      </c>
      <c r="T5">
        <f>INFO!T68</f>
        <v>0</v>
      </c>
      <c r="U5">
        <f>INFO!U68</f>
        <v>0</v>
      </c>
      <c r="V5">
        <f>INFO!V68</f>
        <v>0</v>
      </c>
      <c r="W5">
        <f>INFO!W68</f>
        <v>0</v>
      </c>
      <c r="X5">
        <f>INFO!X68</f>
        <v>0</v>
      </c>
      <c r="Y5">
        <f>INFO!Y68</f>
        <v>0</v>
      </c>
      <c r="Z5">
        <f>INFO!Z68</f>
        <v>1.26</v>
      </c>
      <c r="AA5">
        <f>INFO!AA68</f>
        <v>0</v>
      </c>
      <c r="AB5">
        <f>INFO!AB68</f>
        <v>23.085000000000001</v>
      </c>
      <c r="AC5">
        <f>INFO!AC68</f>
        <v>0</v>
      </c>
      <c r="AD5">
        <f>INFO!AD68</f>
        <v>0</v>
      </c>
      <c r="AE5">
        <f>INFO!AE68</f>
        <v>0</v>
      </c>
      <c r="AF5">
        <f>INFO!AF68</f>
        <v>1.2346453096108738</v>
      </c>
      <c r="AG5">
        <f>INFO!AG68</f>
        <v>0</v>
      </c>
      <c r="AH5">
        <f>INFO!AH68</f>
        <v>0</v>
      </c>
      <c r="AI5">
        <f>INFO!AI68</f>
        <v>0</v>
      </c>
      <c r="AJ5">
        <f>INFO!AJ68</f>
        <v>5.4690624028205586E-4</v>
      </c>
      <c r="AK5">
        <f>INFO!AK68</f>
        <v>0</v>
      </c>
      <c r="AL5">
        <f>INFO!AL68</f>
        <v>0.85499999999999998</v>
      </c>
      <c r="AM5">
        <f>INFO!AM68</f>
        <v>0</v>
      </c>
      <c r="AN5">
        <f>INFO!AN68</f>
        <v>0</v>
      </c>
      <c r="AO5">
        <f>INFO!AO68</f>
        <v>0</v>
      </c>
      <c r="AP5">
        <f>INFO!AP68</f>
        <v>0</v>
      </c>
      <c r="AQ5">
        <f>INFO!AQ68</f>
        <v>3.3175400837805351E-5</v>
      </c>
      <c r="AR5">
        <f>INFO!AR68</f>
        <v>0</v>
      </c>
      <c r="AS5" t="s">
        <v>144</v>
      </c>
    </row>
    <row r="6" spans="1:45" x14ac:dyDescent="0.2">
      <c r="A6" t="s">
        <v>0</v>
      </c>
      <c r="B6" t="s">
        <v>127</v>
      </c>
      <c r="C6" t="s">
        <v>128</v>
      </c>
      <c r="D6" s="23" t="s">
        <v>141</v>
      </c>
      <c r="E6" t="s">
        <v>118</v>
      </c>
      <c r="F6" t="s">
        <v>4</v>
      </c>
      <c r="G6" t="s">
        <v>39</v>
      </c>
      <c r="H6" t="s">
        <v>40</v>
      </c>
      <c r="I6">
        <f>INFO!I29</f>
        <v>1.44</v>
      </c>
      <c r="J6">
        <f>INFO!J29</f>
        <v>1.2933019622210329</v>
      </c>
      <c r="K6">
        <f>INFO!K29</f>
        <v>6.2365945179634387E-4</v>
      </c>
      <c r="L6">
        <f>INFO!L29</f>
        <v>7.0896838677521367E-4</v>
      </c>
      <c r="M6">
        <f>INFO!M29</f>
        <v>3.9916058488097196E-4</v>
      </c>
      <c r="N6">
        <f>INFO!N29</f>
        <v>0.54668896678386059</v>
      </c>
      <c r="O6">
        <f>INFO!O29</f>
        <v>8.3643411917930597E-3</v>
      </c>
      <c r="P6">
        <f>INFO!P29</f>
        <v>7.6536455349740333E-4</v>
      </c>
      <c r="Q6">
        <f>INFO!Q29</f>
        <v>0</v>
      </c>
      <c r="R6">
        <f>INFO!R29</f>
        <v>4.0454983542005524E-2</v>
      </c>
      <c r="S6">
        <f>INFO!S29</f>
        <v>1.118595671518895E-14</v>
      </c>
      <c r="T6">
        <f>INFO!T29</f>
        <v>5.0850679959101724E-4</v>
      </c>
      <c r="U6">
        <f>INFO!U29</f>
        <v>0</v>
      </c>
      <c r="V6">
        <f>INFO!V29</f>
        <v>0</v>
      </c>
      <c r="W6">
        <f>INFO!W29</f>
        <v>4.2286996710240062E-2</v>
      </c>
      <c r="X6">
        <f>INFO!X29</f>
        <v>1.0721917226493825E-2</v>
      </c>
      <c r="Y6">
        <f>INFO!Y29</f>
        <v>7.3679808690266704E-2</v>
      </c>
      <c r="Z6">
        <f>INFO!Z29</f>
        <v>2.3311277372999411E-2</v>
      </c>
      <c r="AA6">
        <f>INFO!AA29</f>
        <v>0</v>
      </c>
      <c r="AB6">
        <f>INFO!AB29</f>
        <v>0</v>
      </c>
      <c r="AC6">
        <f>INFO!AC29</f>
        <v>0</v>
      </c>
      <c r="AD6">
        <f>INFO!AD29</f>
        <v>2.624001350053411E-2</v>
      </c>
      <c r="AE6">
        <f>INFO!AE29</f>
        <v>9.6076759089496044E-3</v>
      </c>
      <c r="AF6">
        <f>INFO!AF29</f>
        <v>1.2574542728115492</v>
      </c>
      <c r="AG6">
        <f>INFO!AG29</f>
        <v>0</v>
      </c>
      <c r="AH6">
        <f>INFO!AH29</f>
        <v>3.3011233069633681E-5</v>
      </c>
      <c r="AI6">
        <f>INFO!AI29</f>
        <v>3.3804785605563428E-5</v>
      </c>
      <c r="AJ6">
        <f>INFO!AJ29</f>
        <v>5.5684343312114659E-4</v>
      </c>
      <c r="AK6">
        <f>INFO!AK29</f>
        <v>0</v>
      </c>
      <c r="AL6">
        <f>INFO!AL29</f>
        <v>7.0896838677521367E-4</v>
      </c>
      <c r="AM6">
        <f>INFO!AM29</f>
        <v>0</v>
      </c>
      <c r="AN6">
        <f>INFO!AN29</f>
        <v>5.5176734301212027E-5</v>
      </c>
      <c r="AO6">
        <f>INFO!AO29</f>
        <v>3.9142383332757652E-7</v>
      </c>
      <c r="AP6">
        <f>INFO!AP29</f>
        <v>2.6988940912185655E-4</v>
      </c>
      <c r="AQ6">
        <f>INFO!AQ29</f>
        <v>3.3930660272673784E-5</v>
      </c>
      <c r="AR6">
        <f>INFO!AR29</f>
        <v>3.977235735190196E-5</v>
      </c>
      <c r="AS6" t="s">
        <v>144</v>
      </c>
    </row>
    <row r="7" spans="1:45" x14ac:dyDescent="0.2">
      <c r="A7" t="s">
        <v>129</v>
      </c>
      <c r="B7" t="s">
        <v>130</v>
      </c>
      <c r="C7" t="s">
        <v>131</v>
      </c>
      <c r="D7" s="23" t="s">
        <v>141</v>
      </c>
      <c r="E7" t="s">
        <v>118</v>
      </c>
      <c r="F7" t="s">
        <v>4</v>
      </c>
      <c r="G7" t="s">
        <v>39</v>
      </c>
      <c r="H7" t="s">
        <v>40</v>
      </c>
      <c r="I7">
        <f>INFO!I83</f>
        <v>1.26</v>
      </c>
      <c r="J7">
        <f>INFO!J83</f>
        <v>1.2346453096108738</v>
      </c>
      <c r="K7">
        <f>INFO!K83</f>
        <v>5.4690624028205586E-4</v>
      </c>
      <c r="L7">
        <f>INFO!L83</f>
        <v>0</v>
      </c>
      <c r="M7">
        <f>INFO!M83</f>
        <v>3.3175400837805351E-5</v>
      </c>
      <c r="N7">
        <f>INFO!N83</f>
        <v>0</v>
      </c>
      <c r="O7">
        <f>INFO!O83</f>
        <v>0</v>
      </c>
      <c r="P7">
        <f>INFO!P83</f>
        <v>0</v>
      </c>
      <c r="Q7">
        <f>INFO!Q83</f>
        <v>0</v>
      </c>
      <c r="R7">
        <f>INFO!R83</f>
        <v>0</v>
      </c>
      <c r="S7">
        <f>INFO!S83</f>
        <v>0</v>
      </c>
      <c r="T7">
        <f>INFO!T83</f>
        <v>0</v>
      </c>
      <c r="U7">
        <f>INFO!U83</f>
        <v>0</v>
      </c>
      <c r="V7">
        <f>INFO!V83</f>
        <v>0</v>
      </c>
      <c r="W7">
        <f>INFO!W83</f>
        <v>0</v>
      </c>
      <c r="X7">
        <f>INFO!X83</f>
        <v>0</v>
      </c>
      <c r="Y7">
        <f>INFO!Y83</f>
        <v>0</v>
      </c>
      <c r="Z7">
        <f>INFO!Z83</f>
        <v>1.26</v>
      </c>
      <c r="AA7">
        <f>INFO!AA83</f>
        <v>0</v>
      </c>
      <c r="AB7">
        <f>INFO!AB83</f>
        <v>0</v>
      </c>
      <c r="AC7">
        <f>INFO!AC83</f>
        <v>0</v>
      </c>
      <c r="AD7">
        <f>INFO!AD83</f>
        <v>0</v>
      </c>
      <c r="AE7">
        <f>INFO!AE83</f>
        <v>0</v>
      </c>
      <c r="AF7">
        <f>INFO!AF83</f>
        <v>1.2346453096108738</v>
      </c>
      <c r="AG7">
        <f>INFO!AG83</f>
        <v>0</v>
      </c>
      <c r="AH7">
        <f>INFO!AH83</f>
        <v>0</v>
      </c>
      <c r="AI7">
        <f>INFO!AI83</f>
        <v>0</v>
      </c>
      <c r="AJ7">
        <f>INFO!AJ83</f>
        <v>5.4690624028205586E-4</v>
      </c>
      <c r="AK7">
        <f>INFO!AK83</f>
        <v>0</v>
      </c>
      <c r="AL7">
        <f>INFO!AL83</f>
        <v>0</v>
      </c>
      <c r="AM7">
        <f>INFO!AM83</f>
        <v>0</v>
      </c>
      <c r="AN7">
        <f>INFO!AN83</f>
        <v>0</v>
      </c>
      <c r="AO7">
        <f>INFO!AO83</f>
        <v>0</v>
      </c>
      <c r="AP7">
        <f>INFO!AP83</f>
        <v>0</v>
      </c>
      <c r="AQ7">
        <f>INFO!AQ83</f>
        <v>3.3175400837805351E-5</v>
      </c>
      <c r="AR7">
        <f>INFO!AR83</f>
        <v>0</v>
      </c>
      <c r="AS7" t="s">
        <v>144</v>
      </c>
    </row>
    <row r="8" spans="1:45" x14ac:dyDescent="0.2">
      <c r="A8" t="s">
        <v>3</v>
      </c>
      <c r="B8" t="s">
        <v>132</v>
      </c>
      <c r="C8" t="s">
        <v>133</v>
      </c>
      <c r="D8" s="23" t="s">
        <v>141</v>
      </c>
      <c r="E8" t="s">
        <v>118</v>
      </c>
      <c r="F8" t="s">
        <v>4</v>
      </c>
      <c r="G8" t="s">
        <v>39</v>
      </c>
      <c r="H8" t="s">
        <v>40</v>
      </c>
      <c r="I8">
        <f>INFO!I68</f>
        <v>24.344999999999999</v>
      </c>
      <c r="J8">
        <f>INFO!J68</f>
        <v>1.2346453096108738</v>
      </c>
      <c r="K8">
        <f>INFO!K68</f>
        <v>5.4690624028205586E-4</v>
      </c>
      <c r="L8">
        <f>INFO!L68</f>
        <v>0.85499999999999998</v>
      </c>
      <c r="M8">
        <f>INFO!M68</f>
        <v>3.3175400837805351E-5</v>
      </c>
      <c r="N8">
        <f>INFO!N68</f>
        <v>0</v>
      </c>
      <c r="O8">
        <f>INFO!O68</f>
        <v>0</v>
      </c>
      <c r="P8">
        <f>INFO!P68</f>
        <v>0</v>
      </c>
      <c r="Q8">
        <f>INFO!Q68</f>
        <v>0</v>
      </c>
      <c r="R8">
        <f>INFO!R68</f>
        <v>0</v>
      </c>
      <c r="S8">
        <f>INFO!S68</f>
        <v>0</v>
      </c>
      <c r="T8">
        <f>INFO!T68</f>
        <v>0</v>
      </c>
      <c r="U8">
        <f>INFO!U68</f>
        <v>0</v>
      </c>
      <c r="V8">
        <f>INFO!V68</f>
        <v>0</v>
      </c>
      <c r="W8">
        <f>INFO!W68</f>
        <v>0</v>
      </c>
      <c r="X8">
        <f>INFO!X68</f>
        <v>0</v>
      </c>
      <c r="Y8">
        <f>INFO!Y68</f>
        <v>0</v>
      </c>
      <c r="Z8">
        <f>INFO!Z68</f>
        <v>1.26</v>
      </c>
      <c r="AA8">
        <f>INFO!AA68</f>
        <v>0</v>
      </c>
      <c r="AB8">
        <f>INFO!AB68</f>
        <v>23.085000000000001</v>
      </c>
      <c r="AC8">
        <f>INFO!AC68</f>
        <v>0</v>
      </c>
      <c r="AD8">
        <f>INFO!AD68</f>
        <v>0</v>
      </c>
      <c r="AE8">
        <f>INFO!AE68</f>
        <v>0</v>
      </c>
      <c r="AF8">
        <f>INFO!AF68</f>
        <v>1.2346453096108738</v>
      </c>
      <c r="AG8">
        <f>INFO!AG68</f>
        <v>0</v>
      </c>
      <c r="AH8">
        <f>INFO!AH68</f>
        <v>0</v>
      </c>
      <c r="AI8">
        <f>INFO!AI68</f>
        <v>0</v>
      </c>
      <c r="AJ8">
        <f>INFO!AJ68</f>
        <v>5.4690624028205586E-4</v>
      </c>
      <c r="AK8">
        <f>INFO!AK68</f>
        <v>0</v>
      </c>
      <c r="AL8">
        <f>INFO!AL68</f>
        <v>0.85499999999999998</v>
      </c>
      <c r="AM8">
        <f>INFO!AM68</f>
        <v>0</v>
      </c>
      <c r="AN8">
        <f>INFO!AN68</f>
        <v>0</v>
      </c>
      <c r="AO8">
        <f>INFO!AO68</f>
        <v>0</v>
      </c>
      <c r="AP8">
        <f>INFO!AP68</f>
        <v>0</v>
      </c>
      <c r="AQ8">
        <f>INFO!AQ68</f>
        <v>3.3175400837805351E-5</v>
      </c>
      <c r="AR8">
        <f>INFO!AR68</f>
        <v>0</v>
      </c>
      <c r="AS8" t="s">
        <v>144</v>
      </c>
    </row>
    <row r="9" spans="1:45" x14ac:dyDescent="0.2">
      <c r="A9" t="s">
        <v>134</v>
      </c>
      <c r="B9" t="s">
        <v>135</v>
      </c>
      <c r="C9" t="s">
        <v>136</v>
      </c>
      <c r="D9" s="23" t="s">
        <v>141</v>
      </c>
      <c r="E9" t="s">
        <v>118</v>
      </c>
      <c r="F9" t="s">
        <v>4</v>
      </c>
      <c r="G9" t="s">
        <v>39</v>
      </c>
      <c r="H9" t="s">
        <v>40</v>
      </c>
      <c r="I9">
        <f>INFO!I83</f>
        <v>1.26</v>
      </c>
      <c r="J9">
        <f>INFO!J83</f>
        <v>1.2346453096108738</v>
      </c>
      <c r="K9">
        <f>INFO!K83</f>
        <v>5.4690624028205586E-4</v>
      </c>
      <c r="L9">
        <f>INFO!L83</f>
        <v>0</v>
      </c>
      <c r="M9">
        <f>INFO!M83</f>
        <v>3.3175400837805351E-5</v>
      </c>
      <c r="N9">
        <f>INFO!N83</f>
        <v>0</v>
      </c>
      <c r="O9">
        <f>INFO!O83</f>
        <v>0</v>
      </c>
      <c r="P9">
        <f>INFO!P83</f>
        <v>0</v>
      </c>
      <c r="Q9">
        <f>INFO!Q83</f>
        <v>0</v>
      </c>
      <c r="R9">
        <f>INFO!R83</f>
        <v>0</v>
      </c>
      <c r="S9">
        <f>INFO!S83</f>
        <v>0</v>
      </c>
      <c r="T9">
        <f>INFO!T83</f>
        <v>0</v>
      </c>
      <c r="U9">
        <f>INFO!U83</f>
        <v>0</v>
      </c>
      <c r="V9">
        <f>INFO!V83</f>
        <v>0</v>
      </c>
      <c r="W9">
        <f>INFO!W83</f>
        <v>0</v>
      </c>
      <c r="X9">
        <f>INFO!X83</f>
        <v>0</v>
      </c>
      <c r="Y9">
        <f>INFO!Y83</f>
        <v>0</v>
      </c>
      <c r="Z9">
        <f>INFO!Z83</f>
        <v>1.26</v>
      </c>
      <c r="AA9">
        <f>INFO!AA83</f>
        <v>0</v>
      </c>
      <c r="AB9">
        <f>INFO!AB83</f>
        <v>0</v>
      </c>
      <c r="AC9">
        <f>INFO!AC83</f>
        <v>0</v>
      </c>
      <c r="AD9">
        <f>INFO!AD83</f>
        <v>0</v>
      </c>
      <c r="AE9">
        <f>INFO!AE83</f>
        <v>0</v>
      </c>
      <c r="AF9">
        <f>INFO!AF83</f>
        <v>1.2346453096108738</v>
      </c>
      <c r="AG9">
        <f>INFO!AG83</f>
        <v>0</v>
      </c>
      <c r="AH9">
        <f>INFO!AH83</f>
        <v>0</v>
      </c>
      <c r="AI9">
        <f>INFO!AI83</f>
        <v>0</v>
      </c>
      <c r="AJ9">
        <f>INFO!AJ83</f>
        <v>5.4690624028205586E-4</v>
      </c>
      <c r="AK9">
        <f>INFO!AK83</f>
        <v>0</v>
      </c>
      <c r="AL9">
        <f>INFO!AL83</f>
        <v>0</v>
      </c>
      <c r="AM9">
        <f>INFO!AM83</f>
        <v>0</v>
      </c>
      <c r="AN9">
        <f>INFO!AN83</f>
        <v>0</v>
      </c>
      <c r="AO9">
        <f>INFO!AO83</f>
        <v>0</v>
      </c>
      <c r="AP9">
        <f>INFO!AP83</f>
        <v>0</v>
      </c>
      <c r="AQ9">
        <f>INFO!AQ83</f>
        <v>3.3175400837805351E-5</v>
      </c>
      <c r="AR9">
        <f>INFO!AR83</f>
        <v>0</v>
      </c>
      <c r="AS9" t="s">
        <v>144</v>
      </c>
    </row>
    <row r="10" spans="1:45" x14ac:dyDescent="0.2">
      <c r="A10" t="s">
        <v>1</v>
      </c>
      <c r="B10" t="s">
        <v>137</v>
      </c>
      <c r="C10" t="s">
        <v>138</v>
      </c>
      <c r="D10" s="23" t="s">
        <v>141</v>
      </c>
      <c r="E10" t="s">
        <v>118</v>
      </c>
      <c r="F10" t="s">
        <v>4</v>
      </c>
      <c r="G10" t="s">
        <v>39</v>
      </c>
      <c r="H10" t="s">
        <v>40</v>
      </c>
      <c r="I10">
        <f>INFO!I68</f>
        <v>24.344999999999999</v>
      </c>
      <c r="J10">
        <f>INFO!J68</f>
        <v>1.2346453096108738</v>
      </c>
      <c r="K10">
        <f>INFO!K68</f>
        <v>5.4690624028205586E-4</v>
      </c>
      <c r="L10">
        <f>INFO!L68</f>
        <v>0.85499999999999998</v>
      </c>
      <c r="M10">
        <f>INFO!M68</f>
        <v>3.3175400837805351E-5</v>
      </c>
      <c r="N10">
        <f>INFO!N68</f>
        <v>0</v>
      </c>
      <c r="O10">
        <f>INFO!O68</f>
        <v>0</v>
      </c>
      <c r="P10">
        <f>INFO!P68</f>
        <v>0</v>
      </c>
      <c r="Q10">
        <f>INFO!Q68</f>
        <v>0</v>
      </c>
      <c r="R10">
        <f>INFO!R68</f>
        <v>0</v>
      </c>
      <c r="S10">
        <f>INFO!S68</f>
        <v>0</v>
      </c>
      <c r="T10">
        <f>INFO!T68</f>
        <v>0</v>
      </c>
      <c r="U10">
        <f>INFO!U68</f>
        <v>0</v>
      </c>
      <c r="V10">
        <f>INFO!V68</f>
        <v>0</v>
      </c>
      <c r="W10">
        <f>INFO!W68</f>
        <v>0</v>
      </c>
      <c r="X10">
        <f>INFO!X68</f>
        <v>0</v>
      </c>
      <c r="Y10">
        <f>INFO!Y68</f>
        <v>0</v>
      </c>
      <c r="Z10">
        <f>INFO!Z68</f>
        <v>1.26</v>
      </c>
      <c r="AA10">
        <f>INFO!AA68</f>
        <v>0</v>
      </c>
      <c r="AB10">
        <f>INFO!AB68</f>
        <v>23.085000000000001</v>
      </c>
      <c r="AC10">
        <f>INFO!AC68</f>
        <v>0</v>
      </c>
      <c r="AD10">
        <f>INFO!AD68</f>
        <v>0</v>
      </c>
      <c r="AE10">
        <f>INFO!AE68</f>
        <v>0</v>
      </c>
      <c r="AF10">
        <f>INFO!AF68</f>
        <v>1.2346453096108738</v>
      </c>
      <c r="AG10">
        <f>INFO!AG68</f>
        <v>0</v>
      </c>
      <c r="AH10">
        <f>INFO!AH68</f>
        <v>0</v>
      </c>
      <c r="AI10">
        <f>INFO!AI68</f>
        <v>0</v>
      </c>
      <c r="AJ10">
        <f>INFO!AJ68</f>
        <v>5.4690624028205586E-4</v>
      </c>
      <c r="AK10">
        <f>INFO!AK68</f>
        <v>0</v>
      </c>
      <c r="AL10">
        <f>INFO!AL68</f>
        <v>0.85499999999999998</v>
      </c>
      <c r="AM10">
        <f>INFO!AM68</f>
        <v>0</v>
      </c>
      <c r="AN10">
        <f>INFO!AN68</f>
        <v>0</v>
      </c>
      <c r="AO10">
        <f>INFO!AO68</f>
        <v>0</v>
      </c>
      <c r="AP10">
        <f>INFO!AP68</f>
        <v>0</v>
      </c>
      <c r="AQ10">
        <f>INFO!AQ68</f>
        <v>3.3175400837805351E-5</v>
      </c>
      <c r="AR10">
        <f>INFO!AR68</f>
        <v>0</v>
      </c>
      <c r="AS10" t="s">
        <v>144</v>
      </c>
    </row>
    <row r="11" spans="1:45" x14ac:dyDescent="0.2">
      <c r="A11" t="s">
        <v>115</v>
      </c>
      <c r="B11" t="s">
        <v>116</v>
      </c>
      <c r="C11" t="s">
        <v>117</v>
      </c>
      <c r="D11" s="23" t="s">
        <v>141</v>
      </c>
      <c r="E11" t="s">
        <v>118</v>
      </c>
      <c r="F11" t="s">
        <v>4</v>
      </c>
      <c r="G11" t="s">
        <v>142</v>
      </c>
      <c r="H11" t="s">
        <v>143</v>
      </c>
      <c r="I11">
        <f>I2</f>
        <v>1.26</v>
      </c>
      <c r="J11">
        <f t="shared" ref="J11:AR11" si="0">J2</f>
        <v>1.2346453096108738</v>
      </c>
      <c r="K11">
        <f t="shared" si="0"/>
        <v>5.4690624028205586E-4</v>
      </c>
      <c r="L11">
        <f t="shared" si="0"/>
        <v>0</v>
      </c>
      <c r="M11">
        <f t="shared" si="0"/>
        <v>3.3175400837805351E-5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1.26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1.2346453096108738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5.4690624028205586E-4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3.3175400837805351E-5</v>
      </c>
      <c r="AR11">
        <f t="shared" si="0"/>
        <v>0</v>
      </c>
    </row>
    <row r="12" spans="1:45" x14ac:dyDescent="0.2">
      <c r="A12" t="s">
        <v>119</v>
      </c>
      <c r="B12" t="s">
        <v>120</v>
      </c>
      <c r="C12" t="s">
        <v>121</v>
      </c>
      <c r="D12" s="23" t="s">
        <v>141</v>
      </c>
      <c r="E12" t="s">
        <v>118</v>
      </c>
      <c r="F12" t="s">
        <v>4</v>
      </c>
      <c r="G12" t="s">
        <v>142</v>
      </c>
      <c r="H12" t="s">
        <v>143</v>
      </c>
      <c r="I12">
        <f t="shared" ref="I12:AR12" si="1">I3</f>
        <v>1.26</v>
      </c>
      <c r="J12">
        <f t="shared" si="1"/>
        <v>1.2346453096108738</v>
      </c>
      <c r="K12">
        <f t="shared" si="1"/>
        <v>5.4690624028205586E-4</v>
      </c>
      <c r="L12">
        <f t="shared" si="1"/>
        <v>0</v>
      </c>
      <c r="M12">
        <f t="shared" si="1"/>
        <v>3.3175400837805351E-5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0</v>
      </c>
      <c r="W12">
        <f t="shared" si="1"/>
        <v>0</v>
      </c>
      <c r="X12">
        <f t="shared" si="1"/>
        <v>0</v>
      </c>
      <c r="Y12">
        <f t="shared" si="1"/>
        <v>0</v>
      </c>
      <c r="Z12">
        <f t="shared" si="1"/>
        <v>1.26</v>
      </c>
      <c r="AA12">
        <f t="shared" si="1"/>
        <v>0</v>
      </c>
      <c r="AB12">
        <f t="shared" si="1"/>
        <v>0</v>
      </c>
      <c r="AC12">
        <f t="shared" si="1"/>
        <v>0</v>
      </c>
      <c r="AD12">
        <f t="shared" si="1"/>
        <v>0</v>
      </c>
      <c r="AE12">
        <f t="shared" si="1"/>
        <v>0</v>
      </c>
      <c r="AF12">
        <f t="shared" si="1"/>
        <v>1.2346453096108738</v>
      </c>
      <c r="AG12">
        <f t="shared" si="1"/>
        <v>0</v>
      </c>
      <c r="AH12">
        <f t="shared" si="1"/>
        <v>0</v>
      </c>
      <c r="AI12">
        <f t="shared" si="1"/>
        <v>0</v>
      </c>
      <c r="AJ12">
        <f t="shared" si="1"/>
        <v>5.4690624028205586E-4</v>
      </c>
      <c r="AK12">
        <f t="shared" si="1"/>
        <v>0</v>
      </c>
      <c r="AL12">
        <f t="shared" si="1"/>
        <v>0</v>
      </c>
      <c r="AM12">
        <f t="shared" si="1"/>
        <v>0</v>
      </c>
      <c r="AN12">
        <f t="shared" si="1"/>
        <v>0</v>
      </c>
      <c r="AO12">
        <f t="shared" si="1"/>
        <v>0</v>
      </c>
      <c r="AP12">
        <f t="shared" si="1"/>
        <v>0</v>
      </c>
      <c r="AQ12">
        <f t="shared" si="1"/>
        <v>3.3175400837805351E-5</v>
      </c>
      <c r="AR12">
        <f t="shared" si="1"/>
        <v>0</v>
      </c>
    </row>
    <row r="13" spans="1:45" x14ac:dyDescent="0.2">
      <c r="A13" t="s">
        <v>122</v>
      </c>
      <c r="B13" t="s">
        <v>123</v>
      </c>
      <c r="C13" t="s">
        <v>124</v>
      </c>
      <c r="D13" s="23" t="s">
        <v>141</v>
      </c>
      <c r="E13" t="s">
        <v>118</v>
      </c>
      <c r="F13" t="s">
        <v>4</v>
      </c>
      <c r="G13" t="s">
        <v>142</v>
      </c>
      <c r="H13" t="s">
        <v>143</v>
      </c>
      <c r="I13">
        <f t="shared" ref="I13:AR13" si="2">I4</f>
        <v>1.26</v>
      </c>
      <c r="J13">
        <f t="shared" si="2"/>
        <v>1.2346453096108738</v>
      </c>
      <c r="K13">
        <f t="shared" si="2"/>
        <v>5.4690624028205586E-4</v>
      </c>
      <c r="L13">
        <f t="shared" si="2"/>
        <v>0</v>
      </c>
      <c r="M13">
        <f t="shared" si="2"/>
        <v>3.3175400837805351E-5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1.26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1.2346453096108738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5.4690624028205586E-4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3.3175400837805351E-5</v>
      </c>
      <c r="AR13">
        <f t="shared" si="2"/>
        <v>0</v>
      </c>
    </row>
    <row r="14" spans="1:45" x14ac:dyDescent="0.2">
      <c r="A14" t="s">
        <v>2</v>
      </c>
      <c r="B14" t="s">
        <v>125</v>
      </c>
      <c r="C14" t="s">
        <v>126</v>
      </c>
      <c r="D14" s="23" t="s">
        <v>141</v>
      </c>
      <c r="E14" t="s">
        <v>118</v>
      </c>
      <c r="F14" t="s">
        <v>4</v>
      </c>
      <c r="G14" t="s">
        <v>142</v>
      </c>
      <c r="H14" t="s">
        <v>143</v>
      </c>
      <c r="I14">
        <f t="shared" ref="I14:AR14" si="3">I5</f>
        <v>24.344999999999999</v>
      </c>
      <c r="J14">
        <f t="shared" si="3"/>
        <v>1.2346453096108738</v>
      </c>
      <c r="K14">
        <f t="shared" si="3"/>
        <v>5.4690624028205586E-4</v>
      </c>
      <c r="L14">
        <f t="shared" si="3"/>
        <v>0.85499999999999998</v>
      </c>
      <c r="M14">
        <f t="shared" si="3"/>
        <v>3.3175400837805351E-5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1.26</v>
      </c>
      <c r="AA14">
        <f t="shared" si="3"/>
        <v>0</v>
      </c>
      <c r="AB14">
        <f t="shared" si="3"/>
        <v>23.085000000000001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1.2346453096108738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5.4690624028205586E-4</v>
      </c>
      <c r="AK14">
        <f t="shared" si="3"/>
        <v>0</v>
      </c>
      <c r="AL14">
        <f t="shared" si="3"/>
        <v>0.85499999999999998</v>
      </c>
      <c r="AM14">
        <f t="shared" si="3"/>
        <v>0</v>
      </c>
      <c r="AN14">
        <f t="shared" si="3"/>
        <v>0</v>
      </c>
      <c r="AO14">
        <f t="shared" si="3"/>
        <v>0</v>
      </c>
      <c r="AP14">
        <f t="shared" si="3"/>
        <v>0</v>
      </c>
      <c r="AQ14">
        <f t="shared" si="3"/>
        <v>3.3175400837805351E-5</v>
      </c>
      <c r="AR14">
        <f t="shared" si="3"/>
        <v>0</v>
      </c>
    </row>
    <row r="15" spans="1:45" x14ac:dyDescent="0.2">
      <c r="A15" t="s">
        <v>0</v>
      </c>
      <c r="B15" t="s">
        <v>127</v>
      </c>
      <c r="C15" t="s">
        <v>128</v>
      </c>
      <c r="D15" s="23" t="s">
        <v>141</v>
      </c>
      <c r="E15" t="s">
        <v>118</v>
      </c>
      <c r="F15" t="s">
        <v>4</v>
      </c>
      <c r="G15" t="s">
        <v>142</v>
      </c>
      <c r="H15" t="s">
        <v>143</v>
      </c>
      <c r="I15">
        <f t="shared" ref="I15:AR15" si="4">I6</f>
        <v>1.44</v>
      </c>
      <c r="J15">
        <f t="shared" si="4"/>
        <v>1.2933019622210329</v>
      </c>
      <c r="K15">
        <f t="shared" si="4"/>
        <v>6.2365945179634387E-4</v>
      </c>
      <c r="L15">
        <f t="shared" si="4"/>
        <v>7.0896838677521367E-4</v>
      </c>
      <c r="M15">
        <f t="shared" si="4"/>
        <v>3.9916058488097196E-4</v>
      </c>
      <c r="N15">
        <f t="shared" si="4"/>
        <v>0.54668896678386059</v>
      </c>
      <c r="O15">
        <f t="shared" si="4"/>
        <v>8.3643411917930597E-3</v>
      </c>
      <c r="P15">
        <f t="shared" si="4"/>
        <v>7.6536455349740333E-4</v>
      </c>
      <c r="Q15">
        <f t="shared" si="4"/>
        <v>0</v>
      </c>
      <c r="R15">
        <f t="shared" si="4"/>
        <v>4.0454983542005524E-2</v>
      </c>
      <c r="S15">
        <f t="shared" si="4"/>
        <v>1.118595671518895E-14</v>
      </c>
      <c r="T15">
        <f t="shared" si="4"/>
        <v>5.0850679959101724E-4</v>
      </c>
      <c r="U15">
        <f t="shared" si="4"/>
        <v>0</v>
      </c>
      <c r="V15">
        <f t="shared" si="4"/>
        <v>0</v>
      </c>
      <c r="W15">
        <f t="shared" si="4"/>
        <v>4.2286996710240062E-2</v>
      </c>
      <c r="X15">
        <f t="shared" si="4"/>
        <v>1.0721917226493825E-2</v>
      </c>
      <c r="Y15">
        <f t="shared" si="4"/>
        <v>7.3679808690266704E-2</v>
      </c>
      <c r="Z15">
        <f t="shared" si="4"/>
        <v>2.3311277372999411E-2</v>
      </c>
      <c r="AA15">
        <f t="shared" si="4"/>
        <v>0</v>
      </c>
      <c r="AB15">
        <f t="shared" si="4"/>
        <v>0</v>
      </c>
      <c r="AC15">
        <f t="shared" si="4"/>
        <v>0</v>
      </c>
      <c r="AD15">
        <f t="shared" si="4"/>
        <v>2.624001350053411E-2</v>
      </c>
      <c r="AE15">
        <f t="shared" si="4"/>
        <v>9.6076759089496044E-3</v>
      </c>
      <c r="AF15">
        <f t="shared" si="4"/>
        <v>1.2574542728115492</v>
      </c>
      <c r="AG15">
        <f t="shared" si="4"/>
        <v>0</v>
      </c>
      <c r="AH15">
        <f t="shared" si="4"/>
        <v>3.3011233069633681E-5</v>
      </c>
      <c r="AI15">
        <f t="shared" si="4"/>
        <v>3.3804785605563428E-5</v>
      </c>
      <c r="AJ15">
        <f t="shared" si="4"/>
        <v>5.5684343312114659E-4</v>
      </c>
      <c r="AK15">
        <f t="shared" si="4"/>
        <v>0</v>
      </c>
      <c r="AL15">
        <f t="shared" si="4"/>
        <v>7.0896838677521367E-4</v>
      </c>
      <c r="AM15">
        <f t="shared" si="4"/>
        <v>0</v>
      </c>
      <c r="AN15">
        <f t="shared" si="4"/>
        <v>5.5176734301212027E-5</v>
      </c>
      <c r="AO15">
        <f t="shared" si="4"/>
        <v>3.9142383332757652E-7</v>
      </c>
      <c r="AP15">
        <f t="shared" si="4"/>
        <v>2.6988940912185655E-4</v>
      </c>
      <c r="AQ15">
        <f t="shared" si="4"/>
        <v>3.3930660272673784E-5</v>
      </c>
      <c r="AR15">
        <f t="shared" si="4"/>
        <v>3.977235735190196E-5</v>
      </c>
    </row>
    <row r="16" spans="1:45" x14ac:dyDescent="0.2">
      <c r="A16" t="s">
        <v>129</v>
      </c>
      <c r="B16" t="s">
        <v>130</v>
      </c>
      <c r="C16" t="s">
        <v>131</v>
      </c>
      <c r="D16" s="23" t="s">
        <v>141</v>
      </c>
      <c r="E16" t="s">
        <v>118</v>
      </c>
      <c r="F16" t="s">
        <v>4</v>
      </c>
      <c r="G16" t="s">
        <v>142</v>
      </c>
      <c r="H16" t="s">
        <v>143</v>
      </c>
      <c r="I16">
        <f t="shared" ref="I16:AR16" si="5">I7</f>
        <v>1.26</v>
      </c>
      <c r="J16">
        <f t="shared" si="5"/>
        <v>1.2346453096108738</v>
      </c>
      <c r="K16">
        <f t="shared" si="5"/>
        <v>5.4690624028205586E-4</v>
      </c>
      <c r="L16">
        <f t="shared" si="5"/>
        <v>0</v>
      </c>
      <c r="M16">
        <f t="shared" si="5"/>
        <v>3.3175400837805351E-5</v>
      </c>
      <c r="N16">
        <f t="shared" si="5"/>
        <v>0</v>
      </c>
      <c r="O16">
        <f t="shared" si="5"/>
        <v>0</v>
      </c>
      <c r="P16">
        <f t="shared" si="5"/>
        <v>0</v>
      </c>
      <c r="Q16">
        <f t="shared" si="5"/>
        <v>0</v>
      </c>
      <c r="R16">
        <f t="shared" si="5"/>
        <v>0</v>
      </c>
      <c r="S16">
        <f t="shared" si="5"/>
        <v>0</v>
      </c>
      <c r="T16">
        <f t="shared" si="5"/>
        <v>0</v>
      </c>
      <c r="U16">
        <f t="shared" si="5"/>
        <v>0</v>
      </c>
      <c r="V16">
        <f t="shared" si="5"/>
        <v>0</v>
      </c>
      <c r="W16">
        <f t="shared" si="5"/>
        <v>0</v>
      </c>
      <c r="X16">
        <f t="shared" si="5"/>
        <v>0</v>
      </c>
      <c r="Y16">
        <f t="shared" si="5"/>
        <v>0</v>
      </c>
      <c r="Z16">
        <f t="shared" si="5"/>
        <v>1.26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si="5"/>
        <v>1.2346453096108738</v>
      </c>
      <c r="AG16">
        <f t="shared" si="5"/>
        <v>0</v>
      </c>
      <c r="AH16">
        <f t="shared" si="5"/>
        <v>0</v>
      </c>
      <c r="AI16">
        <f t="shared" si="5"/>
        <v>0</v>
      </c>
      <c r="AJ16">
        <f t="shared" si="5"/>
        <v>5.4690624028205586E-4</v>
      </c>
      <c r="AK16">
        <f t="shared" si="5"/>
        <v>0</v>
      </c>
      <c r="AL16">
        <f t="shared" si="5"/>
        <v>0</v>
      </c>
      <c r="AM16">
        <f t="shared" si="5"/>
        <v>0</v>
      </c>
      <c r="AN16">
        <f t="shared" si="5"/>
        <v>0</v>
      </c>
      <c r="AO16">
        <f t="shared" si="5"/>
        <v>0</v>
      </c>
      <c r="AP16">
        <f t="shared" si="5"/>
        <v>0</v>
      </c>
      <c r="AQ16">
        <f t="shared" si="5"/>
        <v>3.3175400837805351E-5</v>
      </c>
      <c r="AR16">
        <f t="shared" si="5"/>
        <v>0</v>
      </c>
    </row>
    <row r="17" spans="1:44" x14ac:dyDescent="0.2">
      <c r="A17" t="s">
        <v>3</v>
      </c>
      <c r="B17" t="s">
        <v>132</v>
      </c>
      <c r="C17" t="s">
        <v>133</v>
      </c>
      <c r="D17" s="23" t="s">
        <v>141</v>
      </c>
      <c r="E17" t="s">
        <v>118</v>
      </c>
      <c r="F17" t="s">
        <v>4</v>
      </c>
      <c r="G17" t="s">
        <v>142</v>
      </c>
      <c r="H17" t="s">
        <v>143</v>
      </c>
      <c r="I17">
        <f t="shared" ref="I17:AR17" si="6">I8</f>
        <v>24.344999999999999</v>
      </c>
      <c r="J17">
        <f t="shared" si="6"/>
        <v>1.2346453096108738</v>
      </c>
      <c r="K17">
        <f t="shared" si="6"/>
        <v>5.4690624028205586E-4</v>
      </c>
      <c r="L17">
        <f t="shared" si="6"/>
        <v>0.85499999999999998</v>
      </c>
      <c r="M17">
        <f t="shared" si="6"/>
        <v>3.3175400837805351E-5</v>
      </c>
      <c r="N17">
        <f t="shared" si="6"/>
        <v>0</v>
      </c>
      <c r="O17">
        <f t="shared" si="6"/>
        <v>0</v>
      </c>
      <c r="P17">
        <f t="shared" si="6"/>
        <v>0</v>
      </c>
      <c r="Q17">
        <f t="shared" si="6"/>
        <v>0</v>
      </c>
      <c r="R17">
        <f t="shared" si="6"/>
        <v>0</v>
      </c>
      <c r="S17">
        <f t="shared" si="6"/>
        <v>0</v>
      </c>
      <c r="T17">
        <f t="shared" si="6"/>
        <v>0</v>
      </c>
      <c r="U17">
        <f t="shared" si="6"/>
        <v>0</v>
      </c>
      <c r="V17">
        <f t="shared" si="6"/>
        <v>0</v>
      </c>
      <c r="W17">
        <f t="shared" si="6"/>
        <v>0</v>
      </c>
      <c r="X17">
        <f t="shared" si="6"/>
        <v>0</v>
      </c>
      <c r="Y17">
        <f t="shared" si="6"/>
        <v>0</v>
      </c>
      <c r="Z17">
        <f t="shared" si="6"/>
        <v>1.26</v>
      </c>
      <c r="AA17">
        <f t="shared" si="6"/>
        <v>0</v>
      </c>
      <c r="AB17">
        <f t="shared" si="6"/>
        <v>23.085000000000001</v>
      </c>
      <c r="AC17">
        <f t="shared" si="6"/>
        <v>0</v>
      </c>
      <c r="AD17">
        <f t="shared" si="6"/>
        <v>0</v>
      </c>
      <c r="AE17">
        <f t="shared" si="6"/>
        <v>0</v>
      </c>
      <c r="AF17">
        <f t="shared" si="6"/>
        <v>1.2346453096108738</v>
      </c>
      <c r="AG17">
        <f t="shared" si="6"/>
        <v>0</v>
      </c>
      <c r="AH17">
        <f t="shared" si="6"/>
        <v>0</v>
      </c>
      <c r="AI17">
        <f t="shared" si="6"/>
        <v>0</v>
      </c>
      <c r="AJ17">
        <f t="shared" si="6"/>
        <v>5.4690624028205586E-4</v>
      </c>
      <c r="AK17">
        <f t="shared" si="6"/>
        <v>0</v>
      </c>
      <c r="AL17">
        <f t="shared" si="6"/>
        <v>0.85499999999999998</v>
      </c>
      <c r="AM17">
        <f t="shared" si="6"/>
        <v>0</v>
      </c>
      <c r="AN17">
        <f t="shared" si="6"/>
        <v>0</v>
      </c>
      <c r="AO17">
        <f t="shared" si="6"/>
        <v>0</v>
      </c>
      <c r="AP17">
        <f t="shared" si="6"/>
        <v>0</v>
      </c>
      <c r="AQ17">
        <f t="shared" si="6"/>
        <v>3.3175400837805351E-5</v>
      </c>
      <c r="AR17">
        <f t="shared" si="6"/>
        <v>0</v>
      </c>
    </row>
    <row r="18" spans="1:44" x14ac:dyDescent="0.2">
      <c r="A18" t="s">
        <v>134</v>
      </c>
      <c r="B18" t="s">
        <v>135</v>
      </c>
      <c r="C18" t="s">
        <v>136</v>
      </c>
      <c r="D18" s="23" t="s">
        <v>141</v>
      </c>
      <c r="E18" t="s">
        <v>118</v>
      </c>
      <c r="F18" t="s">
        <v>4</v>
      </c>
      <c r="G18" t="s">
        <v>142</v>
      </c>
      <c r="H18" t="s">
        <v>143</v>
      </c>
      <c r="I18">
        <f t="shared" ref="I18:AR18" si="7">I9</f>
        <v>1.26</v>
      </c>
      <c r="J18">
        <f t="shared" si="7"/>
        <v>1.2346453096108738</v>
      </c>
      <c r="K18">
        <f t="shared" si="7"/>
        <v>5.4690624028205586E-4</v>
      </c>
      <c r="L18">
        <f t="shared" si="7"/>
        <v>0</v>
      </c>
      <c r="M18">
        <f t="shared" si="7"/>
        <v>3.3175400837805351E-5</v>
      </c>
      <c r="N18">
        <f t="shared" si="7"/>
        <v>0</v>
      </c>
      <c r="O18">
        <f t="shared" si="7"/>
        <v>0</v>
      </c>
      <c r="P18">
        <f t="shared" si="7"/>
        <v>0</v>
      </c>
      <c r="Q18">
        <f t="shared" si="7"/>
        <v>0</v>
      </c>
      <c r="R18">
        <f t="shared" si="7"/>
        <v>0</v>
      </c>
      <c r="S18">
        <f t="shared" si="7"/>
        <v>0</v>
      </c>
      <c r="T18">
        <f t="shared" si="7"/>
        <v>0</v>
      </c>
      <c r="U18">
        <f t="shared" si="7"/>
        <v>0</v>
      </c>
      <c r="V18">
        <f t="shared" si="7"/>
        <v>0</v>
      </c>
      <c r="W18">
        <f t="shared" si="7"/>
        <v>0</v>
      </c>
      <c r="X18">
        <f t="shared" si="7"/>
        <v>0</v>
      </c>
      <c r="Y18">
        <f t="shared" si="7"/>
        <v>0</v>
      </c>
      <c r="Z18">
        <f t="shared" si="7"/>
        <v>1.26</v>
      </c>
      <c r="AA18">
        <f t="shared" si="7"/>
        <v>0</v>
      </c>
      <c r="AB18">
        <f t="shared" si="7"/>
        <v>0</v>
      </c>
      <c r="AC18">
        <f t="shared" si="7"/>
        <v>0</v>
      </c>
      <c r="AD18">
        <f t="shared" si="7"/>
        <v>0</v>
      </c>
      <c r="AE18">
        <f t="shared" si="7"/>
        <v>0</v>
      </c>
      <c r="AF18">
        <f t="shared" si="7"/>
        <v>1.2346453096108738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5.4690624028205586E-4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si="7"/>
        <v>0</v>
      </c>
      <c r="AO18">
        <f t="shared" si="7"/>
        <v>0</v>
      </c>
      <c r="AP18">
        <f t="shared" si="7"/>
        <v>0</v>
      </c>
      <c r="AQ18">
        <f t="shared" si="7"/>
        <v>3.3175400837805351E-5</v>
      </c>
      <c r="AR18">
        <f t="shared" si="7"/>
        <v>0</v>
      </c>
    </row>
    <row r="19" spans="1:44" x14ac:dyDescent="0.2">
      <c r="A19" t="s">
        <v>1</v>
      </c>
      <c r="B19" t="s">
        <v>137</v>
      </c>
      <c r="C19" t="s">
        <v>138</v>
      </c>
      <c r="D19" s="23" t="s">
        <v>141</v>
      </c>
      <c r="E19" t="s">
        <v>118</v>
      </c>
      <c r="F19" t="s">
        <v>4</v>
      </c>
      <c r="G19" t="s">
        <v>142</v>
      </c>
      <c r="H19" t="s">
        <v>143</v>
      </c>
      <c r="I19">
        <f t="shared" ref="I19:AR19" si="8">I10</f>
        <v>24.344999999999999</v>
      </c>
      <c r="J19">
        <f t="shared" si="8"/>
        <v>1.2346453096108738</v>
      </c>
      <c r="K19">
        <f t="shared" si="8"/>
        <v>5.4690624028205586E-4</v>
      </c>
      <c r="L19">
        <f t="shared" si="8"/>
        <v>0.85499999999999998</v>
      </c>
      <c r="M19">
        <f t="shared" si="8"/>
        <v>3.3175400837805351E-5</v>
      </c>
      <c r="N19">
        <f t="shared" si="8"/>
        <v>0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1.26</v>
      </c>
      <c r="AA19">
        <f t="shared" si="8"/>
        <v>0</v>
      </c>
      <c r="AB19">
        <f t="shared" si="8"/>
        <v>23.085000000000001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1.2346453096108738</v>
      </c>
      <c r="AG19">
        <f t="shared" si="8"/>
        <v>0</v>
      </c>
      <c r="AH19">
        <f t="shared" si="8"/>
        <v>0</v>
      </c>
      <c r="AI19">
        <f t="shared" si="8"/>
        <v>0</v>
      </c>
      <c r="AJ19">
        <f t="shared" si="8"/>
        <v>5.4690624028205586E-4</v>
      </c>
      <c r="AK19">
        <f t="shared" si="8"/>
        <v>0</v>
      </c>
      <c r="AL19">
        <f t="shared" si="8"/>
        <v>0.85499999999999998</v>
      </c>
      <c r="AM19">
        <f t="shared" si="8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3.3175400837805351E-5</v>
      </c>
      <c r="AR19">
        <f t="shared" si="8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F371-DEAC-644E-8D4E-A0A0D7D24000}">
  <dimension ref="A1"/>
  <sheetViews>
    <sheetView workbookViewId="0">
      <selection activeCell="E2" sqref="E2:AN10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Wild foods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Wilhelm Wanecek</cp:lastModifiedBy>
  <cp:revision/>
  <dcterms:created xsi:type="dcterms:W3CDTF">2023-12-22T07:57:14Z</dcterms:created>
  <dcterms:modified xsi:type="dcterms:W3CDTF">2026-07-02T12:11:34Z</dcterms:modified>
  <cp:category/>
  <cp:contentStatus/>
</cp:coreProperties>
</file>